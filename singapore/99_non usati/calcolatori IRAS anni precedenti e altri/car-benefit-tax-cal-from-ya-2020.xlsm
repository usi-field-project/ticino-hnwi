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sigs" ContentType="application/vnd.openxmlformats-package.digital-signature-origin"/>
  <Override PartName="/xl/workbook.xml" ContentType="application/vnd.ms-excel.sheet.macroEnabled.main+xml"/>
  <Override PartName="/xl/styles.xml" ContentType="application/vnd.openxmlformats-officedocument.spreadsheetml.styles+xml"/>
  <Override PartName="/xl/sharedStrings.xml" ContentType="application/vnd.openxmlformats-officedocument.spreadsheetml.sharedString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vbaProject.bin" ContentType="application/vnd.ms-office.vbaProject"/>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app.xml" ContentType="application/vnd.openxmlformats-officedocument.extended-properties+xml"/>
  <Override PartName="/docProps/custom.xml" ContentType="application/vnd.openxmlformats-officedocument.custom-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3D1A710C-6663-3D7B-7F91-EC182F24A4BC}"/>
  <workbookPr codeName="ThisWorkbook"/>
  <mc:AlternateContent xmlns:mc="http://schemas.openxmlformats.org/markup-compatibility/2006">
    <mc:Choice Requires="x15">
      <x15ac:absPath xmlns:x15ac="http://schemas.microsoft.com/office/spreadsheetml/2010/11/ac" url="C:\Users\INLTJYF\Desktop\"/>
    </mc:Choice>
  </mc:AlternateContent>
  <xr:revisionPtr revIDLastSave="0" documentId="13_ncr:1_{2C09E981-DEBB-4372-B922-9D1EE69DB810}" xr6:coauthVersionLast="47" xr6:coauthVersionMax="47" xr10:uidLastSave="{00000000-0000-0000-0000-000000000000}"/>
  <bookViews>
    <workbookView showHorizontalScroll="0" showSheetTabs="0" xWindow="-108" yWindow="-108" windowWidth="23256" windowHeight="13896" xr2:uid="{911F4DFF-E5FE-486D-B540-B2CD75FEE952}"/>
  </bookViews>
  <sheets>
    <sheet name="Menu" sheetId="5" r:id="rId1"/>
    <sheet name="NewCar" sheetId="1" r:id="rId2"/>
    <sheet name="PteCar" sheetId="9" r:id="rId3"/>
    <sheet name="Lease Car" sheetId="6" r:id="rId4"/>
    <sheet name="Reference" sheetId="2" state="hidden" r:id="rId5"/>
  </sheets>
  <definedNames>
    <definedName name="CarCost" localSheetId="1">NewCar!$F$15</definedName>
    <definedName name="CarCost" localSheetId="2">PteCar!$F$20</definedName>
    <definedName name="CarYear">Reference!$A$1:$B$13</definedName>
    <definedName name="PARF" localSheetId="1">NewCar!$F$18</definedName>
    <definedName name="PARF" localSheetId="2">PteCar!$F$23</definedName>
    <definedName name="RemainYr" localSheetId="2">PteCar!$F$17</definedName>
    <definedName name="RunCost" localSheetId="1">NewCar!$F$22</definedName>
    <definedName name="RunCost" localSheetId="2">PteCar!$F$27</definedName>
    <definedName name="YesNo">Reference!$C$2:$C$3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0" i="1" l="1"/>
  <c r="H10" i="1"/>
  <c r="F28" i="1" s="1"/>
  <c r="C11" i="1"/>
  <c r="D11" i="1"/>
  <c r="F11" i="1"/>
  <c r="H11" i="1"/>
  <c r="G10" i="9"/>
  <c r="H10" i="9"/>
  <c r="F33" i="9"/>
  <c r="C11" i="9"/>
  <c r="D11" i="9"/>
  <c r="F11" i="9"/>
  <c r="H11" i="9"/>
  <c r="C18" i="9"/>
  <c r="C21" i="9"/>
  <c r="C24" i="9"/>
  <c r="H10" i="6"/>
  <c r="G23" i="6"/>
</calcChain>
</file>

<file path=xl/sharedStrings.xml><?xml version="1.0" encoding="utf-8"?>
<sst xmlns="http://schemas.openxmlformats.org/spreadsheetml/2006/main" count="78" uniqueCount="44">
  <si>
    <t>Yes</t>
  </si>
  <si>
    <t>No</t>
  </si>
  <si>
    <t>Amount of Car Benefit that is subject to tax</t>
  </si>
  <si>
    <t>From</t>
  </si>
  <si>
    <t>To</t>
  </si>
  <si>
    <t>(DD/MM/YYYY)</t>
  </si>
  <si>
    <t>Usage in Days</t>
  </si>
  <si>
    <t>Compute Car Benefit</t>
  </si>
  <si>
    <t>Years</t>
  </si>
  <si>
    <t>Rental cost incurred by Employer</t>
  </si>
  <si>
    <t>Car provided to the employee is a New Car</t>
  </si>
  <si>
    <t>Car provided to the employee is a Leased Car</t>
  </si>
  <si>
    <r>
      <rPr>
        <sz val="12"/>
        <color indexed="60"/>
        <rFont val="Times New Roman"/>
        <family val="1"/>
      </rPr>
      <t xml:space="preserve">What to do : </t>
    </r>
    <r>
      <rPr>
        <sz val="12"/>
        <color theme="1"/>
        <rFont val="Times New Roman"/>
        <family val="2"/>
      </rPr>
      <t>Select the relevant Car type</t>
    </r>
  </si>
  <si>
    <t>Period of Usage</t>
  </si>
  <si>
    <t>Car Details</t>
  </si>
  <si>
    <t>Car-Benefit Calculator for Employer's use</t>
  </si>
  <si>
    <t>New Car</t>
  </si>
  <si>
    <t>Type of Car</t>
  </si>
  <si>
    <t>Clear All</t>
  </si>
  <si>
    <t>Menu</t>
  </si>
  <si>
    <t>Car provided to the employee is a :</t>
  </si>
  <si>
    <t>Year</t>
  </si>
  <si>
    <t>Days</t>
  </si>
  <si>
    <r>
      <rPr>
        <sz val="12"/>
        <color indexed="60"/>
        <rFont val="Times New Roman"/>
        <family val="1"/>
      </rPr>
      <t xml:space="preserve">What to do : </t>
    </r>
    <r>
      <rPr>
        <sz val="12"/>
        <color theme="1"/>
        <rFont val="Times New Roman"/>
        <family val="2"/>
      </rPr>
      <t xml:space="preserve">Enter details in the yellow boxes.  </t>
    </r>
    <r>
      <rPr>
        <b/>
        <sz val="12"/>
        <color indexed="8"/>
        <rFont val="Times New Roman"/>
        <family val="1"/>
      </rPr>
      <t>All yellow boxes are compulsory fields.</t>
    </r>
  </si>
  <si>
    <r>
      <rPr>
        <sz val="12"/>
        <color indexed="60"/>
        <rFont val="Times New Roman"/>
        <family val="1"/>
      </rPr>
      <t xml:space="preserve">What to do : </t>
    </r>
    <r>
      <rPr>
        <sz val="12"/>
        <color theme="1"/>
        <rFont val="Times New Roman"/>
        <family val="2"/>
      </rPr>
      <t xml:space="preserve">Enter details in the yellow boxes. </t>
    </r>
    <r>
      <rPr>
        <b/>
        <sz val="12"/>
        <color indexed="8"/>
        <rFont val="Times New Roman"/>
        <family val="1"/>
      </rPr>
      <t>All yellow boxes are compulsory fields.</t>
    </r>
  </si>
  <si>
    <t>The calculator provides only estimates based on the stated assumptions and your inputs.  It may not provide for all possible scenarios.</t>
  </si>
  <si>
    <t>Car Cost</t>
  </si>
  <si>
    <t>Acquisition cost of car (inclusive of COE) paid or payable by employer at date of purchase.</t>
  </si>
  <si>
    <t>PARF rebate</t>
  </si>
  <si>
    <t>Preferential Additional Registration Fee rebate to be granted when car is de-registered at the age of above 9 but not exceeding 10 years.</t>
  </si>
  <si>
    <t>Actual running and maintenance costs incurred by employer</t>
  </si>
  <si>
    <t>to employee by employer.</t>
  </si>
  <si>
    <t>Costs eg. road tax, petrol, car park fee, ERP charge, car insurance and maintanance (if any), include reimbursements made</t>
  </si>
  <si>
    <t>Was car's COE renewed by employer?</t>
  </si>
  <si>
    <t>by employer</t>
  </si>
  <si>
    <t>Actual running and maintenance costs incurred</t>
  </si>
  <si>
    <t>Remaining Years</t>
  </si>
  <si>
    <t>YesNo</t>
  </si>
  <si>
    <t>2nd Hand Car or Car with Renewed COE</t>
  </si>
  <si>
    <t>Car provided to the employee is a 2nd Hand Car or Car with Renewed COE</t>
  </si>
  <si>
    <t>Leased Car</t>
  </si>
  <si>
    <t>Car-Benefit Calculator for Employer's use (wef YA2020)</t>
  </si>
  <si>
    <t>Car Details - Total Cost Incurred during Period of Usage</t>
  </si>
  <si>
    <t xml:space="preserve">The calculator is correct as of 25 Feb 2026. Please check the IRAS website at www.iras.gov.sg for the latest version.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</si>
</sst>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quot;$&quot;#,##0.00"/>
  </numFmts>
  <fonts count="39" x14ac:knownFonts="1">
    <font>
      <sz val="12"/>
      <color theme="1"/>
      <name val="Times New Roman"/>
      <family val="2"/>
    </font>
    <font>
      <u/>
      <sz val="10"/>
      <name val="Arial"/>
      <family val="2"/>
    </font>
    <font>
      <sz val="12"/>
      <color indexed="60"/>
      <name val="Times New Roman"/>
      <family val="1"/>
    </font>
    <font>
      <b/>
      <sz val="11"/>
      <name val="Arial"/>
      <family val="2"/>
    </font>
    <font>
      <b/>
      <sz val="12"/>
      <color indexed="8"/>
      <name val="Times New Roman"/>
      <family val="1"/>
    </font>
    <font>
      <sz val="10"/>
      <name val="Times New Roman"/>
      <family val="1"/>
    </font>
    <font>
      <sz val="12"/>
      <color indexed="10"/>
      <name val="Times New Roman"/>
      <family val="2"/>
    </font>
    <font>
      <sz val="10"/>
      <color indexed="8"/>
      <name val="Arial"/>
      <family val="2"/>
    </font>
    <font>
      <i/>
      <sz val="9"/>
      <color indexed="10"/>
      <name val="Arial"/>
      <family val="2"/>
    </font>
    <font>
      <i/>
      <sz val="9"/>
      <color indexed="10"/>
      <name val="Times New Roman"/>
      <family val="2"/>
    </font>
    <font>
      <i/>
      <sz val="10"/>
      <color indexed="39"/>
      <name val="Arial"/>
      <family val="2"/>
    </font>
    <font>
      <b/>
      <sz val="12"/>
      <color indexed="39"/>
      <name val="Times New Roman"/>
      <family val="1"/>
    </font>
    <font>
      <sz val="10"/>
      <color indexed="39"/>
      <name val="Arial"/>
      <family val="2"/>
    </font>
    <font>
      <sz val="12"/>
      <color theme="1"/>
      <name val="Times New Roman"/>
      <family val="2"/>
    </font>
    <font>
      <sz val="12"/>
      <color theme="0"/>
      <name val="Times New Roman"/>
      <family val="1"/>
    </font>
    <font>
      <sz val="12"/>
      <color rgb="FF9C0006"/>
      <name val="Times New Roman"/>
      <family val="1"/>
    </font>
    <font>
      <b/>
      <sz val="12"/>
      <color rgb="FFFA7D00"/>
      <name val="Times New Roman"/>
      <family val="2"/>
    </font>
    <font>
      <b/>
      <sz val="12"/>
      <color theme="0"/>
      <name val="Times New Roman"/>
      <family val="1"/>
    </font>
    <font>
      <i/>
      <sz val="12"/>
      <color rgb="FF7F7F7F"/>
      <name val="Times New Roman"/>
      <family val="2"/>
    </font>
    <font>
      <sz val="12"/>
      <color rgb="FF006100"/>
      <name val="Times New Roman"/>
      <family val="1"/>
    </font>
    <font>
      <b/>
      <sz val="15"/>
      <color theme="3"/>
      <name val="Times New Roman"/>
      <family val="2"/>
    </font>
    <font>
      <b/>
      <sz val="13"/>
      <color theme="3"/>
      <name val="Times New Roman"/>
      <family val="2"/>
    </font>
    <font>
      <b/>
      <sz val="11"/>
      <color theme="3"/>
      <name val="Times New Roman"/>
      <family val="2"/>
    </font>
    <font>
      <u/>
      <sz val="12"/>
      <color theme="10"/>
      <name val="Times New Roman"/>
      <family val="2"/>
    </font>
    <font>
      <sz val="12"/>
      <color rgb="FF3F3F76"/>
      <name val="Times New Roman"/>
      <family val="1"/>
    </font>
    <font>
      <sz val="12"/>
      <color rgb="FFFA7D00"/>
      <name val="Times New Roman"/>
      <family val="1"/>
    </font>
    <font>
      <sz val="12"/>
      <color rgb="FF9C6500"/>
      <name val="Times New Roman"/>
      <family val="1"/>
    </font>
    <font>
      <b/>
      <sz val="12"/>
      <color rgb="FF3F3F3F"/>
      <name val="Times New Roman"/>
      <family val="1"/>
    </font>
    <font>
      <b/>
      <sz val="18"/>
      <color theme="3"/>
      <name val="Cambria"/>
      <family val="2"/>
      <scheme val="major"/>
    </font>
    <font>
      <b/>
      <sz val="12"/>
      <color theme="1"/>
      <name val="Times New Roman"/>
      <family val="1"/>
    </font>
    <font>
      <sz val="10"/>
      <color theme="1"/>
      <name val="Arial"/>
      <family val="2"/>
    </font>
    <font>
      <b/>
      <sz val="10"/>
      <color theme="1"/>
      <name val="Arial"/>
      <family val="2"/>
    </font>
    <font>
      <b/>
      <sz val="12"/>
      <color theme="1"/>
      <name val="Arial"/>
      <family val="2"/>
    </font>
    <font>
      <b/>
      <sz val="11"/>
      <color theme="0"/>
      <name val="Arial"/>
      <family val="2"/>
    </font>
    <font>
      <sz val="12"/>
      <color theme="0"/>
      <name val="Arial"/>
      <family val="2"/>
    </font>
    <font>
      <b/>
      <sz val="12"/>
      <color theme="0"/>
      <name val="Arial"/>
      <family val="2"/>
    </font>
    <font>
      <b/>
      <sz val="14"/>
      <color theme="0"/>
      <name val="Arial"/>
      <family val="2"/>
    </font>
    <font>
      <sz val="10"/>
      <color rgb="FF3333FF"/>
      <name val="Arial"/>
      <family val="2"/>
    </font>
    <font>
      <sz val="10"/>
      <color theme="0"/>
      <name val="Arial"/>
      <family val="2"/>
    </font>
  </fonts>
  <fills count="40">
    <fill>
      <patternFill patternType="none"/>
    </fill>
    <fill>
      <patternFill patternType="gray125"/>
    </fill>
    <fill>
      <patternFill patternType="solid">
        <fgColor indexed="47"/>
        <bgColor indexed="64"/>
      </patternFill>
    </fill>
    <fill>
      <patternFill patternType="solid">
        <fgColor indexed="26"/>
        <bgColor indexed="64"/>
      </patternFill>
    </fill>
    <fill>
      <patternFill patternType="solid">
        <fgColor indexed="39"/>
        <bgColor indexed="64"/>
      </patternFill>
    </fill>
    <fill>
      <patternFill patternType="solid">
        <fgColor indexed="34"/>
        <bgColor indexed="64"/>
      </patternFill>
    </fill>
    <fill>
      <patternFill patternType="solid">
        <fgColor theme="4" tint="0.79992065187536243"/>
        <bgColor indexed="64"/>
      </patternFill>
    </fill>
    <fill>
      <patternFill patternType="solid">
        <fgColor theme="5" tint="0.79992065187536243"/>
        <bgColor indexed="64"/>
      </patternFill>
    </fill>
    <fill>
      <patternFill patternType="solid">
        <fgColor theme="6" tint="0.79992065187536243"/>
        <bgColor indexed="64"/>
      </patternFill>
    </fill>
    <fill>
      <patternFill patternType="solid">
        <fgColor theme="7" tint="0.79992065187536243"/>
        <bgColor indexed="64"/>
      </patternFill>
    </fill>
    <fill>
      <patternFill patternType="solid">
        <fgColor theme="8" tint="0.79992065187536243"/>
        <bgColor indexed="64"/>
      </patternFill>
    </fill>
    <fill>
      <patternFill patternType="solid">
        <fgColor theme="9" tint="0.79992065187536243"/>
        <bgColor indexed="64"/>
      </patternFill>
    </fill>
    <fill>
      <patternFill patternType="solid">
        <fgColor theme="4" tint="0.59993285927915285"/>
        <bgColor indexed="64"/>
      </patternFill>
    </fill>
    <fill>
      <patternFill patternType="solid">
        <fgColor theme="5" tint="0.59993285927915285"/>
        <bgColor indexed="64"/>
      </patternFill>
    </fill>
    <fill>
      <patternFill patternType="solid">
        <fgColor theme="6" tint="0.59993285927915285"/>
        <bgColor indexed="64"/>
      </patternFill>
    </fill>
    <fill>
      <patternFill patternType="solid">
        <fgColor theme="7" tint="0.59993285927915285"/>
        <bgColor indexed="64"/>
      </patternFill>
    </fill>
    <fill>
      <patternFill patternType="solid">
        <fgColor theme="8" tint="0.59993285927915285"/>
        <bgColor indexed="64"/>
      </patternFill>
    </fill>
    <fill>
      <patternFill patternType="solid">
        <fgColor theme="9" tint="0.599932859279152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rgb="FFFFC7CE"/>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rgb="FF0070C0"/>
        <bgColor indexed="64"/>
      </patternFill>
    </fill>
    <fill>
      <patternFill patternType="solid">
        <fgColor rgb="FF00B0F0"/>
        <bgColor indexed="64"/>
      </patternFill>
    </fill>
    <fill>
      <patternFill patternType="solid">
        <fgColor theme="0" tint="-0.14993743705557422"/>
        <bgColor indexed="64"/>
      </patternFill>
    </fill>
    <fill>
      <patternFill patternType="solid">
        <fgColor theme="5" tint="-0.24991607409894101"/>
        <bgColor indexed="64"/>
      </patternFill>
    </fill>
    <fill>
      <patternFill patternType="solid">
        <fgColor rgb="FF990000"/>
        <bgColor indexed="64"/>
      </patternFill>
    </fill>
  </fills>
  <borders count="22">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9"/>
      </left>
      <right style="thin">
        <color indexed="9"/>
      </right>
      <top style="thin">
        <color indexed="9"/>
      </top>
      <bottom style="thin">
        <color indexed="9"/>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2370372631001"/>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4">
    <xf numFmtId="0" fontId="0" fillId="0" borderId="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4" fillId="20" borderId="0" applyNumberFormat="0" applyBorder="0" applyAlignment="0" applyProtection="0"/>
    <xf numFmtId="0" fontId="14" fillId="21" borderId="0" applyNumberFormat="0" applyBorder="0" applyAlignment="0" applyProtection="0"/>
    <xf numFmtId="0" fontId="14" fillId="22" borderId="0" applyNumberFormat="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14" fillId="29" borderId="0" applyNumberFormat="0" applyBorder="0" applyAlignment="0" applyProtection="0"/>
    <xf numFmtId="0" fontId="15" fillId="30" borderId="0" applyNumberFormat="0" applyBorder="0" applyAlignment="0" applyProtection="0"/>
    <xf numFmtId="0" fontId="16" fillId="31" borderId="13" applyNumberFormat="0" applyAlignment="0" applyProtection="0"/>
    <xf numFmtId="0" fontId="17" fillId="32" borderId="14" applyNumberFormat="0" applyAlignment="0" applyProtection="0"/>
    <xf numFmtId="165" fontId="13" fillId="0" borderId="0" applyFont="0" applyFill="0" applyBorder="0" applyAlignment="0" applyProtection="0"/>
    <xf numFmtId="0" fontId="18" fillId="0" borderId="0" applyNumberFormat="0" applyFill="0" applyBorder="0" applyAlignment="0" applyProtection="0"/>
    <xf numFmtId="0" fontId="19" fillId="33" borderId="0" applyNumberFormat="0" applyBorder="0" applyAlignment="0" applyProtection="0"/>
    <xf numFmtId="0" fontId="20" fillId="0" borderId="15" applyNumberFormat="0" applyFill="0" applyAlignment="0" applyProtection="0"/>
    <xf numFmtId="0" fontId="21" fillId="0" borderId="16" applyNumberFormat="0" applyFill="0" applyAlignment="0" applyProtection="0"/>
    <xf numFmtId="0" fontId="22" fillId="0" borderId="17" applyNumberFormat="0" applyFill="0" applyAlignment="0" applyProtection="0"/>
    <xf numFmtId="0" fontId="22" fillId="0" borderId="0" applyNumberFormat="0" applyFill="0" applyBorder="0" applyAlignment="0" applyProtection="0"/>
    <xf numFmtId="0" fontId="23" fillId="0" borderId="0" applyNumberFormat="0" applyFill="0" applyBorder="0" applyAlignment="0" applyProtection="0">
      <alignment vertical="top"/>
      <protection locked="0"/>
    </xf>
    <xf numFmtId="0" fontId="24" fillId="2" borderId="13" applyNumberFormat="0" applyAlignment="0" applyProtection="0"/>
    <xf numFmtId="0" fontId="25" fillId="0" borderId="18" applyNumberFormat="0" applyFill="0" applyAlignment="0" applyProtection="0"/>
    <xf numFmtId="0" fontId="26" fillId="34" borderId="0" applyNumberFormat="0" applyBorder="0" applyAlignment="0" applyProtection="0"/>
    <xf numFmtId="0" fontId="13" fillId="3" borderId="19" applyNumberFormat="0" applyFont="0" applyAlignment="0" applyProtection="0"/>
    <xf numFmtId="0" fontId="27" fillId="31" borderId="20" applyNumberFormat="0" applyAlignment="0" applyProtection="0"/>
    <xf numFmtId="0" fontId="28" fillId="0" borderId="0" applyNumberFormat="0" applyFill="0" applyBorder="0" applyAlignment="0" applyProtection="0"/>
    <xf numFmtId="0" fontId="29" fillId="0" borderId="21" applyNumberFormat="0" applyFill="0" applyAlignment="0" applyProtection="0"/>
    <xf numFmtId="0" fontId="6" fillId="0" borderId="0" applyNumberFormat="0" applyFill="0" applyBorder="0" applyAlignment="0" applyProtection="0"/>
  </cellStyleXfs>
  <cellXfs count="89">
    <xf numFmtId="0" fontId="0" fillId="0" borderId="0" xfId="0"/>
    <xf numFmtId="0" fontId="30" fillId="0" borderId="0" xfId="0" applyFont="1"/>
    <xf numFmtId="0" fontId="31" fillId="0" borderId="0" xfId="0" applyFont="1"/>
    <xf numFmtId="0" fontId="31" fillId="0" borderId="0" xfId="0" applyFont="1" applyAlignment="1">
      <alignment horizontal="center"/>
    </xf>
    <xf numFmtId="0" fontId="7" fillId="0" borderId="0" xfId="0" applyFont="1"/>
    <xf numFmtId="0" fontId="32" fillId="0" borderId="0" xfId="0" applyFont="1"/>
    <xf numFmtId="0" fontId="3" fillId="0" borderId="0" xfId="0" applyFont="1"/>
    <xf numFmtId="0" fontId="33" fillId="35" borderId="0" xfId="0" applyFont="1" applyFill="1"/>
    <xf numFmtId="0" fontId="34" fillId="35" borderId="0" xfId="0" applyFont="1" applyFill="1" applyAlignment="1">
      <alignment horizontal="center"/>
    </xf>
    <xf numFmtId="0" fontId="0" fillId="0" borderId="0" xfId="0" applyAlignment="1">
      <alignment horizontal="left"/>
    </xf>
    <xf numFmtId="0" fontId="23" fillId="0" borderId="1" xfId="35" applyBorder="1" applyAlignment="1" applyProtection="1"/>
    <xf numFmtId="0" fontId="0" fillId="0" borderId="2" xfId="0" applyBorder="1"/>
    <xf numFmtId="0" fontId="0" fillId="0" borderId="1" xfId="0" applyBorder="1"/>
    <xf numFmtId="0" fontId="0" fillId="0" borderId="3" xfId="0" applyBorder="1"/>
    <xf numFmtId="0" fontId="0" fillId="0" borderId="4" xfId="0" applyBorder="1"/>
    <xf numFmtId="0" fontId="0" fillId="0" borderId="5" xfId="0" applyBorder="1"/>
    <xf numFmtId="0" fontId="30" fillId="0" borderId="0" xfId="0" quotePrefix="1" applyFont="1"/>
    <xf numFmtId="0" fontId="0" fillId="0" borderId="0" xfId="0" quotePrefix="1"/>
    <xf numFmtId="0" fontId="35" fillId="4" borderId="6" xfId="0" applyFont="1" applyFill="1" applyBorder="1" applyAlignment="1">
      <alignment horizontal="center"/>
    </xf>
    <xf numFmtId="0" fontId="35" fillId="4" borderId="6" xfId="35" applyFont="1" applyFill="1" applyBorder="1" applyAlignment="1" applyProtection="1">
      <alignment horizontal="center"/>
    </xf>
    <xf numFmtId="0" fontId="33" fillId="4" borderId="6" xfId="35" applyFont="1" applyFill="1" applyBorder="1" applyAlignment="1" applyProtection="1">
      <alignment horizontal="center"/>
    </xf>
    <xf numFmtId="0" fontId="33" fillId="4" borderId="6" xfId="0" applyFont="1" applyFill="1" applyBorder="1" applyAlignment="1">
      <alignment horizontal="center"/>
    </xf>
    <xf numFmtId="0" fontId="35" fillId="36" borderId="7" xfId="0" applyFont="1" applyFill="1" applyBorder="1" applyAlignment="1">
      <alignment horizontal="centerContinuous"/>
    </xf>
    <xf numFmtId="0" fontId="35" fillId="36" borderId="8" xfId="0" applyFont="1" applyFill="1" applyBorder="1" applyAlignment="1">
      <alignment horizontal="centerContinuous"/>
    </xf>
    <xf numFmtId="0" fontId="35" fillId="36" borderId="9" xfId="0" applyFont="1" applyFill="1" applyBorder="1" applyAlignment="1">
      <alignment horizontal="centerContinuous"/>
    </xf>
    <xf numFmtId="0" fontId="17" fillId="36" borderId="0" xfId="0" applyFont="1" applyFill="1" applyAlignment="1">
      <alignment horizontal="centerContinuous"/>
    </xf>
    <xf numFmtId="0" fontId="36" fillId="36" borderId="0" xfId="0" applyFont="1" applyFill="1" applyAlignment="1">
      <alignment horizontal="centerContinuous"/>
    </xf>
    <xf numFmtId="0" fontId="32" fillId="0" borderId="0" xfId="0" applyFont="1" applyProtection="1">
      <protection hidden="1"/>
    </xf>
    <xf numFmtId="0" fontId="30" fillId="0" borderId="0" xfId="0" applyFont="1" applyProtection="1">
      <protection hidden="1"/>
    </xf>
    <xf numFmtId="0" fontId="35" fillId="4" borderId="6" xfId="35" applyFont="1" applyFill="1" applyBorder="1" applyAlignment="1" applyProtection="1">
      <alignment horizontal="center"/>
      <protection hidden="1"/>
    </xf>
    <xf numFmtId="0" fontId="35" fillId="4" borderId="6" xfId="0" applyFont="1" applyFill="1" applyBorder="1" applyAlignment="1" applyProtection="1">
      <alignment horizontal="center"/>
      <protection hidden="1"/>
    </xf>
    <xf numFmtId="0" fontId="0" fillId="0" borderId="10" xfId="0" applyBorder="1" applyProtection="1">
      <protection hidden="1"/>
    </xf>
    <xf numFmtId="0" fontId="33" fillId="35" borderId="0" xfId="0" applyFont="1" applyFill="1" applyProtection="1">
      <protection hidden="1"/>
    </xf>
    <xf numFmtId="0" fontId="34" fillId="35" borderId="0" xfId="0" applyFont="1" applyFill="1" applyAlignment="1" applyProtection="1">
      <alignment horizontal="center"/>
      <protection hidden="1"/>
    </xf>
    <xf numFmtId="0" fontId="30" fillId="0" borderId="0" xfId="0" applyFont="1" applyAlignment="1" applyProtection="1">
      <alignment horizontal="center"/>
      <protection hidden="1"/>
    </xf>
    <xf numFmtId="0" fontId="7" fillId="0" borderId="0" xfId="0" applyFont="1" applyAlignment="1" applyProtection="1">
      <alignment horizontal="center"/>
      <protection hidden="1"/>
    </xf>
    <xf numFmtId="14" fontId="30" fillId="5" borderId="0" xfId="0" applyNumberFormat="1" applyFont="1" applyFill="1" applyAlignment="1" applyProtection="1">
      <alignment horizontal="center"/>
      <protection locked="0" hidden="1"/>
    </xf>
    <xf numFmtId="0" fontId="30" fillId="37" borderId="0" xfId="0" applyFont="1" applyFill="1" applyAlignment="1" applyProtection="1">
      <alignment horizontal="center"/>
      <protection hidden="1"/>
    </xf>
    <xf numFmtId="0" fontId="37" fillId="0" borderId="0" xfId="0" applyFont="1" applyProtection="1">
      <protection hidden="1"/>
    </xf>
    <xf numFmtId="14" fontId="37" fillId="0" borderId="0" xfId="0" applyNumberFormat="1" applyFont="1" applyAlignment="1" applyProtection="1">
      <alignment horizontal="center"/>
      <protection hidden="1"/>
    </xf>
    <xf numFmtId="14" fontId="30" fillId="0" borderId="0" xfId="0" applyNumberFormat="1" applyFont="1" applyAlignment="1" applyProtection="1">
      <alignment horizontal="center"/>
      <protection hidden="1"/>
    </xf>
    <xf numFmtId="14" fontId="38" fillId="35" borderId="0" xfId="0" applyNumberFormat="1" applyFont="1" applyFill="1" applyAlignment="1" applyProtection="1">
      <alignment horizontal="center"/>
      <protection hidden="1"/>
    </xf>
    <xf numFmtId="0" fontId="38" fillId="35" borderId="0" xfId="0" applyFont="1" applyFill="1" applyProtection="1">
      <protection hidden="1"/>
    </xf>
    <xf numFmtId="0" fontId="38" fillId="35" borderId="0" xfId="0" applyFont="1" applyFill="1" applyAlignment="1" applyProtection="1">
      <alignment horizontal="center"/>
      <protection hidden="1"/>
    </xf>
    <xf numFmtId="0" fontId="31" fillId="0" borderId="0" xfId="0" applyFont="1" applyProtection="1">
      <protection hidden="1"/>
    </xf>
    <xf numFmtId="166" fontId="30" fillId="5" borderId="0" xfId="0" applyNumberFormat="1" applyFont="1" applyFill="1" applyAlignment="1" applyProtection="1">
      <alignment horizontal="center"/>
      <protection locked="0" hidden="1"/>
    </xf>
    <xf numFmtId="0" fontId="10" fillId="0" borderId="0" xfId="0" applyFont="1" applyProtection="1">
      <protection hidden="1"/>
    </xf>
    <xf numFmtId="166" fontId="30" fillId="0" borderId="0" xfId="0" applyNumberFormat="1" applyFont="1" applyAlignment="1" applyProtection="1">
      <alignment horizontal="center"/>
      <protection hidden="1"/>
    </xf>
    <xf numFmtId="166" fontId="30" fillId="17" borderId="0" xfId="0" applyNumberFormat="1" applyFont="1" applyFill="1" applyAlignment="1" applyProtection="1">
      <alignment horizontal="center"/>
      <protection hidden="1"/>
    </xf>
    <xf numFmtId="0" fontId="12" fillId="0" borderId="0" xfId="0" applyFont="1" applyProtection="1">
      <protection hidden="1"/>
    </xf>
    <xf numFmtId="0" fontId="31" fillId="0" borderId="0" xfId="0" applyFont="1" applyAlignment="1" applyProtection="1">
      <alignment vertical="center"/>
      <protection hidden="1"/>
    </xf>
    <xf numFmtId="0" fontId="30" fillId="5" borderId="0" xfId="0" applyFont="1" applyFill="1" applyAlignment="1" applyProtection="1">
      <alignment horizontal="center" vertical="center"/>
      <protection locked="0" hidden="1"/>
    </xf>
    <xf numFmtId="0" fontId="30" fillId="0" borderId="0" xfId="0" applyFont="1" applyAlignment="1" applyProtection="1">
      <alignment horizontal="left" vertical="center"/>
      <protection hidden="1"/>
    </xf>
    <xf numFmtId="0" fontId="30" fillId="0" borderId="0" xfId="0" applyFont="1" applyAlignment="1" applyProtection="1">
      <alignment horizontal="center" vertical="center"/>
      <protection hidden="1"/>
    </xf>
    <xf numFmtId="0" fontId="1" fillId="0" borderId="0" xfId="0" applyFont="1" applyProtection="1">
      <protection hidden="1"/>
    </xf>
    <xf numFmtId="0" fontId="0" fillId="0" borderId="0" xfId="0" applyProtection="1">
      <protection hidden="1"/>
    </xf>
    <xf numFmtId="14" fontId="38" fillId="35" borderId="0" xfId="0" applyNumberFormat="1" applyFont="1" applyFill="1" applyAlignment="1" applyProtection="1">
      <alignment horizontal="center"/>
      <protection locked="0" hidden="1"/>
    </xf>
    <xf numFmtId="166" fontId="30" fillId="0" borderId="0" xfId="0" applyNumberFormat="1" applyFont="1" applyAlignment="1" applyProtection="1">
      <alignment horizontal="center"/>
      <protection locked="0" hidden="1"/>
    </xf>
    <xf numFmtId="0" fontId="12" fillId="0" borderId="0" xfId="0" applyFont="1" applyAlignment="1" applyProtection="1">
      <alignment horizontal="left"/>
      <protection hidden="1"/>
    </xf>
    <xf numFmtId="0" fontId="6" fillId="0" borderId="0" xfId="0" applyFont="1"/>
    <xf numFmtId="0" fontId="5" fillId="0" borderId="0" xfId="0" applyFont="1"/>
    <xf numFmtId="164" fontId="30" fillId="17" borderId="0" xfId="28" applyNumberFormat="1" applyFont="1" applyFill="1" applyAlignment="1" applyProtection="1">
      <alignment horizontal="center"/>
      <protection hidden="1"/>
    </xf>
    <xf numFmtId="166" fontId="30" fillId="0" borderId="0" xfId="0" applyNumberFormat="1" applyFont="1" applyAlignment="1">
      <alignment wrapText="1"/>
    </xf>
    <xf numFmtId="0" fontId="30" fillId="0" borderId="0" xfId="0" applyFont="1" applyAlignment="1" applyProtection="1">
      <alignment horizontal="center" vertical="center"/>
      <protection locked="0" hidden="1"/>
    </xf>
    <xf numFmtId="164" fontId="30" fillId="17" borderId="0" xfId="28" applyNumberFormat="1" applyFont="1" applyFill="1" applyAlignment="1" applyProtection="1">
      <alignment horizontal="center" wrapText="1"/>
      <protection hidden="1"/>
    </xf>
    <xf numFmtId="0" fontId="30" fillId="0" borderId="0" xfId="0" applyFont="1" applyAlignment="1">
      <alignment wrapText="1"/>
    </xf>
    <xf numFmtId="166" fontId="0" fillId="0" borderId="0" xfId="0" quotePrefix="1" applyNumberFormat="1"/>
    <xf numFmtId="0" fontId="11" fillId="0" borderId="1" xfId="35" applyFont="1" applyBorder="1" applyAlignment="1" applyProtection="1">
      <alignment horizontal="center"/>
    </xf>
    <xf numFmtId="0" fontId="11" fillId="0" borderId="0" xfId="35" applyFont="1" applyBorder="1" applyAlignment="1" applyProtection="1">
      <alignment horizontal="center"/>
    </xf>
    <xf numFmtId="0" fontId="11" fillId="0" borderId="2" xfId="35" applyFont="1" applyBorder="1" applyAlignment="1" applyProtection="1">
      <alignment horizontal="center"/>
    </xf>
    <xf numFmtId="0" fontId="36" fillId="38" borderId="0" xfId="0" applyFont="1" applyFill="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1" fillId="0" borderId="11" xfId="35" applyFont="1" applyBorder="1" applyAlignment="1" applyProtection="1">
      <alignment horizontal="center"/>
    </xf>
    <xf numFmtId="0" fontId="11" fillId="0" borderId="10" xfId="0" applyFont="1" applyBorder="1" applyAlignment="1">
      <alignment horizontal="center"/>
    </xf>
    <xf numFmtId="0" fontId="11" fillId="0" borderId="12" xfId="0" applyFont="1" applyBorder="1" applyAlignment="1">
      <alignment horizontal="center"/>
    </xf>
    <xf numFmtId="0" fontId="11" fillId="0" borderId="1" xfId="35" applyFont="1" applyBorder="1" applyAlignment="1" applyProtection="1">
      <alignment horizontal="center" wrapText="1"/>
    </xf>
    <xf numFmtId="0" fontId="11" fillId="0" borderId="0" xfId="35" applyFont="1" applyBorder="1" applyAlignment="1" applyProtection="1">
      <alignment horizontal="center" wrapText="1"/>
    </xf>
    <xf numFmtId="0" fontId="11" fillId="0" borderId="2" xfId="35" applyFont="1" applyBorder="1" applyAlignment="1" applyProtection="1">
      <alignment horizontal="center" wrapText="1"/>
    </xf>
    <xf numFmtId="0" fontId="36" fillId="39" borderId="0" xfId="0" applyFont="1" applyFill="1" applyAlignment="1">
      <alignment horizontal="center"/>
    </xf>
    <xf numFmtId="0" fontId="0" fillId="0" borderId="7" xfId="0" applyBorder="1" applyAlignment="1" applyProtection="1">
      <alignment horizontal="center"/>
      <protection hidden="1"/>
    </xf>
    <xf numFmtId="0" fontId="0" fillId="0" borderId="8" xfId="0" applyBorder="1" applyAlignment="1" applyProtection="1">
      <alignment horizontal="center"/>
      <protection hidden="1"/>
    </xf>
    <xf numFmtId="0" fontId="0" fillId="0" borderId="9" xfId="0" applyBorder="1" applyAlignment="1" applyProtection="1">
      <alignment horizontal="center"/>
      <protection hidden="1"/>
    </xf>
    <xf numFmtId="0" fontId="8" fillId="0" borderId="0" xfId="0" applyFont="1" applyAlignment="1" applyProtection="1">
      <alignment horizontal="center" vertical="center" wrapText="1"/>
      <protection hidden="1"/>
    </xf>
    <xf numFmtId="0" fontId="9" fillId="0" borderId="0" xfId="0" applyFont="1" applyAlignment="1">
      <alignment horizontal="center" vertical="center" wrapText="1"/>
    </xf>
    <xf numFmtId="0" fontId="0" fillId="0" borderId="0" xfId="0" applyAlignment="1" applyProtection="1">
      <alignment vertical="center" wrapText="1"/>
      <protection hidden="1"/>
    </xf>
    <xf numFmtId="0" fontId="10" fillId="0" borderId="0" xfId="0" applyFont="1" applyAlignment="1" applyProtection="1">
      <alignment vertical="top" wrapText="1"/>
      <protection hidden="1"/>
    </xf>
    <xf numFmtId="0" fontId="0" fillId="0" borderId="0" xfId="0" applyAlignment="1">
      <alignment vertical="top" wrapText="1"/>
    </xf>
  </cellXfs>
  <cellStyles count="44">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urrency" xfId="28" builtinId="4"/>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35" builtinId="8"/>
    <cellStyle name="Input" xfId="36" builtinId="20" customBuiltin="1"/>
    <cellStyle name="Linked Cell" xfId="37" builtinId="24" customBuiltin="1"/>
    <cellStyle name="Neutral" xfId="38" builtinId="28" customBuiltin="1"/>
    <cellStyle name="Normal" xfId="0" builtinId="0"/>
    <cellStyle name="Note" xfId="39" builtinId="10" customBuiltin="1"/>
    <cellStyle name="Output" xfId="40" builtinId="21" customBuiltin="1"/>
    <cellStyle name="Title" xfId="41" builtinId="15" customBuiltin="1"/>
    <cellStyle name="Total" xfId="42" builtinId="25" customBuiltin="1"/>
    <cellStyle name="Warning Text" xfId="43"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&#65279;<?xml version="1.0" encoding="utf-8" standalone="yes"?>
<Relationships xmlns="http://schemas.openxmlformats.org/package/2006/relationships">
  <Relationship Id="rId3" Type="http://schemas.microsoft.com/office/2020/07/relationships/vbaProjectSignatureV3" Target="vbaProjectSignatureV3.bin" />
  <Relationship Id="rId2" Type="http://schemas.microsoft.com/office/2014/relationships/vbaProjectSignatureAgile" Target="vbaProjectSignatureAgile.bin" />
  <Relationship Id="rId1" Type="http://schemas.microsoft.com/office/2006/relationships/vbaProjectSignature" Target="vbaProjectSignature.bin" />
</Relationships>
</file>

<file path=xl/_rels/workbook.xml.rels>&#65279;<?xml version="1.0" encoding="utf-8" standalone="yes"?>
<Relationships xmlns="http://schemas.openxmlformats.org/package/2006/relationships">
  <Relationship Id="rId8" Type="http://schemas.openxmlformats.org/officeDocument/2006/relationships/sharedStrings" Target="sharedStrings.xml" />
  <Relationship Id="rId13" Type="http://schemas.microsoft.com/office/2006/relationships/vbaProject" Target="vbaProject.bin" />
  <Relationship Id="rId3" Type="http://schemas.openxmlformats.org/officeDocument/2006/relationships/worksheet" Target="worksheets/sheet3.xml" />
  <Relationship Id="rId7" Type="http://schemas.openxmlformats.org/officeDocument/2006/relationships/styles" Target="styles.xml" />
  <Relationship Id="rId12" Type="http://schemas.openxmlformats.org/officeDocument/2006/relationships/customXml" Target="../customXml/item3.xml" />
  <Relationship Id="rId2" Type="http://schemas.openxmlformats.org/officeDocument/2006/relationships/worksheet" Target="worksheets/sheet2.xml" />
  <Relationship Id="rId1" Type="http://schemas.openxmlformats.org/officeDocument/2006/relationships/worksheet" Target="worksheets/sheet1.xml" />
  <Relationship Id="rId6" Type="http://schemas.openxmlformats.org/officeDocument/2006/relationships/theme" Target="theme/theme1.xml" />
  <Relationship Id="rId11" Type="http://schemas.openxmlformats.org/officeDocument/2006/relationships/customXml" Target="../customXml/item2.xml" />
  <Relationship Id="rId5" Type="http://schemas.openxmlformats.org/officeDocument/2006/relationships/worksheet" Target="worksheets/sheet5.xml" />
  <Relationship Id="rId10" Type="http://schemas.openxmlformats.org/officeDocument/2006/relationships/customXml" Target="../customXml/item1.xml" />
  <Relationship Id="rId4" Type="http://schemas.openxmlformats.org/officeDocument/2006/relationships/worksheet" Target="worksheets/sheet4.xml" />
  <Relationship Id="rId9" Type="http://schemas.openxmlformats.org/officeDocument/2006/relationships/calcChain" Target="calcChain.xml" />
</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&#65279;<?xml version="1.0" encoding="utf-8" standalone="yes"?>
<Relationships xmlns="http://schemas.openxmlformats.org/package/2006/relationships" />
</file>

<file path=xl/worksheets/_rels/sheet2.xml.rels>&#65279;<?xml version="1.0" encoding="utf-8" standalone="yes"?>
<Relationships xmlns="http://schemas.openxmlformats.org/package/2006/relationships" />
</file>

<file path=xl/worksheets/_rels/sheet3.xml.rels>&#65279;<?xml version="1.0" encoding="utf-8" standalone="yes"?>
<Relationships xmlns="http://schemas.openxmlformats.org/package/2006/relationships" />
</file>

<file path=xl/worksheets/_rels/sheet4.xml.rels>&#65279;<?xml version="1.0" encoding="utf-8" standalone="yes"?>
<Relationships xmlns="http://schemas.openxmlformats.org/package/2006/relationships" />
</file>

<file path=xl/worksheets/_rels/sheet5.xml.rels>&#65279;<?xml version="1.0" encoding="utf-8" standalone="yes"?>
<Relationships xmlns="http://schemas.openxmlformats.org/package/2006/relationships" />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558A2-6C1D-4973-BB80-C68FA10FB98C}">
  <sheetPr codeName="Sheet1">
    <pageSetUpPr autoPageBreaks="0"/>
  </sheetPr>
  <dimension ref="C1:N20"/>
  <sheetViews>
    <sheetView showGridLines="0" showRowColHeaders="0" tabSelected="1" zoomScale="110" zoomScaleNormal="110" workbookViewId="0"/>
  </sheetViews>
  <sheetFormatPr defaultRowHeight="15.6" x14ac:dyDescent="0.3"/>
  <cols>
    <col min="1" max="1" width="3.59765625" customWidth="1"/>
    <col min="2" max="2" width="5.59765625" customWidth="1"/>
    <col min="7" max="7" width="5.5" customWidth="1"/>
    <col min="10" max="10" width="5.59765625" customWidth="1"/>
    <col min="11" max="11" width="3.59765625" customWidth="1"/>
    <col min="14" max="14" width="17.796875" customWidth="1"/>
  </cols>
  <sheetData>
    <row r="1" spans="3:14" ht="17.399999999999999" x14ac:dyDescent="0.3">
      <c r="C1" s="70" t="s">
        <v>41</v>
      </c>
      <c r="D1" s="70"/>
      <c r="E1" s="70"/>
      <c r="F1" s="70"/>
      <c r="G1" s="70"/>
      <c r="H1" s="70"/>
      <c r="I1" s="70"/>
      <c r="J1" s="70"/>
      <c r="K1" s="70"/>
      <c r="L1" s="70"/>
      <c r="M1" s="70"/>
      <c r="N1" s="70"/>
    </row>
    <row r="3" spans="3:14" ht="17.399999999999999" x14ac:dyDescent="0.3">
      <c r="C3" s="26" t="s">
        <v>19</v>
      </c>
      <c r="D3" s="25"/>
      <c r="E3" s="25"/>
      <c r="F3" s="25"/>
      <c r="G3" s="25"/>
      <c r="H3" s="25"/>
      <c r="I3" s="25"/>
      <c r="J3" s="25"/>
      <c r="K3" s="25"/>
      <c r="L3" s="25"/>
      <c r="M3" s="25"/>
      <c r="N3" s="25"/>
    </row>
    <row r="5" spans="3:14" x14ac:dyDescent="0.3">
      <c r="C5" s="71" t="s">
        <v>12</v>
      </c>
      <c r="D5" s="72"/>
      <c r="E5" s="72"/>
      <c r="F5" s="72"/>
      <c r="G5" s="72"/>
      <c r="H5" s="72"/>
      <c r="I5" s="72"/>
      <c r="J5" s="72"/>
      <c r="K5" s="72"/>
      <c r="L5" s="72"/>
      <c r="M5" s="72"/>
      <c r="N5" s="73"/>
    </row>
    <row r="7" spans="3:14" x14ac:dyDescent="0.3">
      <c r="F7" t="s">
        <v>20</v>
      </c>
    </row>
    <row r="9" spans="3:14" x14ac:dyDescent="0.3">
      <c r="F9" s="22" t="s">
        <v>17</v>
      </c>
      <c r="G9" s="23"/>
      <c r="H9" s="23"/>
      <c r="I9" s="23"/>
      <c r="J9" s="24"/>
    </row>
    <row r="10" spans="3:14" x14ac:dyDescent="0.3">
      <c r="E10" s="9"/>
      <c r="F10" s="74" t="s">
        <v>16</v>
      </c>
      <c r="G10" s="75"/>
      <c r="H10" s="75"/>
      <c r="I10" s="75"/>
      <c r="J10" s="76"/>
    </row>
    <row r="11" spans="3:14" x14ac:dyDescent="0.3">
      <c r="F11" s="12"/>
      <c r="J11" s="11"/>
    </row>
    <row r="12" spans="3:14" x14ac:dyDescent="0.3">
      <c r="F12" s="77" t="s">
        <v>38</v>
      </c>
      <c r="G12" s="78"/>
      <c r="H12" s="78"/>
      <c r="I12" s="78"/>
      <c r="J12" s="79"/>
    </row>
    <row r="13" spans="3:14" x14ac:dyDescent="0.3">
      <c r="F13" s="10"/>
      <c r="J13" s="11"/>
    </row>
    <row r="14" spans="3:14" x14ac:dyDescent="0.3">
      <c r="F14" s="67" t="s">
        <v>40</v>
      </c>
      <c r="G14" s="68"/>
      <c r="H14" s="68"/>
      <c r="I14" s="68"/>
      <c r="J14" s="69"/>
    </row>
    <row r="15" spans="3:14" x14ac:dyDescent="0.3">
      <c r="F15" s="13"/>
      <c r="G15" s="14"/>
      <c r="H15" s="14"/>
      <c r="I15" s="14"/>
      <c r="J15" s="15"/>
    </row>
    <row r="18" spans="3:3" x14ac:dyDescent="0.3">
      <c r="C18" s="60" t="s">
        <v>43</v>
      </c>
    </row>
    <row r="19" spans="3:3" x14ac:dyDescent="0.3">
      <c r="C19" s="60" t="s">
        <v>25</v>
      </c>
    </row>
    <row r="20" spans="3:3" x14ac:dyDescent="0.3">
      <c r="C20" s="59"/>
    </row>
  </sheetData>
  <sheetProtection password="CA99" sheet="1"/>
  <mergeCells count="5">
    <mergeCell ref="F14:J14"/>
    <mergeCell ref="C1:N1"/>
    <mergeCell ref="C5:N5"/>
    <mergeCell ref="F10:J10"/>
    <mergeCell ref="F12:J12"/>
  </mergeCells>
  <hyperlinks>
    <hyperlink ref="F14" location="'Lease Car'!A1" display="For Lease Car" xr:uid="{6AEB5BD9-4E42-4F10-A4B4-FD1702494196}"/>
    <hyperlink ref="F10" location="NewCar!A1" display="For New Car" xr:uid="{985D62DB-C37E-46ED-B017-24994692728B}"/>
    <hyperlink ref="F12" location="PteCar!A1" display="2nd Hand Car" xr:uid="{9C0465A4-F726-4E95-8D3A-F75790C3A8E8}"/>
  </hyperlinks>
  <printOptions horizontalCentered="1" verticalCentere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3C6E0-960C-4D44-B00A-73F0A0CA2410}">
  <sheetPr codeName="Sheet2">
    <pageSetUpPr autoPageBreaks="0"/>
  </sheetPr>
  <dimension ref="C1:O38"/>
  <sheetViews>
    <sheetView showGridLines="0" showRowColHeaders="0" zoomScale="120" zoomScaleNormal="120" workbookViewId="0">
      <selection activeCell="H3" sqref="H3"/>
    </sheetView>
  </sheetViews>
  <sheetFormatPr defaultColWidth="9" defaultRowHeight="13.2" x14ac:dyDescent="0.25"/>
  <cols>
    <col min="1" max="1" width="3.59765625" style="1" customWidth="1"/>
    <col min="2" max="2" width="5.59765625" style="1" customWidth="1"/>
    <col min="3" max="3" width="16.8984375" style="1" customWidth="1"/>
    <col min="4" max="4" width="19.3984375" style="1" customWidth="1"/>
    <col min="5" max="5" width="5.09765625" style="1" customWidth="1"/>
    <col min="6" max="6" width="19.3984375" style="1" customWidth="1"/>
    <col min="7" max="7" width="19.59765625" style="1" customWidth="1"/>
    <col min="8" max="8" width="11.5" style="1" bestFit="1" customWidth="1"/>
    <col min="9" max="9" width="9" style="1"/>
    <col min="10" max="10" width="5.59765625" style="1" customWidth="1"/>
    <col min="11" max="11" width="3.59765625" style="1" customWidth="1"/>
    <col min="12" max="16384" width="9" style="1"/>
  </cols>
  <sheetData>
    <row r="1" spans="3:15" ht="17.399999999999999" x14ac:dyDescent="0.3">
      <c r="C1" s="80" t="s">
        <v>15</v>
      </c>
      <c r="D1" s="80"/>
      <c r="E1" s="80"/>
      <c r="F1" s="80"/>
      <c r="G1" s="80"/>
      <c r="H1" s="80"/>
      <c r="I1" s="80"/>
    </row>
    <row r="3" spans="3:15" ht="15.6" x14ac:dyDescent="0.3">
      <c r="C3" s="27" t="s">
        <v>10</v>
      </c>
      <c r="D3" s="28"/>
      <c r="E3" s="28"/>
      <c r="F3" s="28"/>
      <c r="G3" s="28"/>
      <c r="H3" s="29" t="s">
        <v>19</v>
      </c>
      <c r="I3" s="30" t="s">
        <v>18</v>
      </c>
    </row>
    <row r="4" spans="3:15" x14ac:dyDescent="0.25">
      <c r="C4" s="28"/>
      <c r="D4" s="28"/>
      <c r="E4" s="28"/>
      <c r="F4" s="28"/>
      <c r="G4" s="28"/>
      <c r="H4" s="28"/>
      <c r="I4" s="28"/>
    </row>
    <row r="5" spans="3:15" ht="15.6" x14ac:dyDescent="0.3">
      <c r="C5" s="81" t="s">
        <v>23</v>
      </c>
      <c r="D5" s="82"/>
      <c r="E5" s="82"/>
      <c r="F5" s="82"/>
      <c r="G5" s="82"/>
      <c r="H5" s="82"/>
      <c r="I5" s="83"/>
    </row>
    <row r="6" spans="3:15" ht="15" customHeight="1" x14ac:dyDescent="0.3">
      <c r="C6" s="31"/>
      <c r="D6" s="31"/>
      <c r="E6" s="31"/>
      <c r="F6" s="31"/>
      <c r="G6" s="31"/>
      <c r="H6" s="31"/>
      <c r="I6" s="31"/>
      <c r="J6" s="6"/>
      <c r="K6" s="6"/>
      <c r="L6" s="6"/>
      <c r="M6" s="6"/>
      <c r="N6" s="6"/>
      <c r="O6" s="6"/>
    </row>
    <row r="7" spans="3:15" ht="15" customHeight="1" x14ac:dyDescent="0.25">
      <c r="C7" s="32" t="s">
        <v>13</v>
      </c>
      <c r="D7" s="33"/>
      <c r="E7" s="33"/>
      <c r="F7" s="33"/>
      <c r="G7" s="33"/>
      <c r="H7" s="33"/>
      <c r="I7" s="33"/>
      <c r="J7" s="6"/>
      <c r="K7" s="6"/>
      <c r="L7" s="6"/>
      <c r="M7" s="6"/>
      <c r="N7" s="6"/>
      <c r="O7" s="6"/>
    </row>
    <row r="8" spans="3:15" x14ac:dyDescent="0.25">
      <c r="C8" s="28"/>
      <c r="D8" s="34" t="s">
        <v>3</v>
      </c>
      <c r="E8" s="28"/>
      <c r="F8" s="34" t="s">
        <v>4</v>
      </c>
      <c r="G8" s="35"/>
      <c r="H8" s="28"/>
      <c r="I8" s="28"/>
    </row>
    <row r="9" spans="3:15" x14ac:dyDescent="0.25">
      <c r="C9" s="28"/>
      <c r="D9" s="34" t="s">
        <v>5</v>
      </c>
      <c r="E9" s="28"/>
      <c r="F9" s="34" t="s">
        <v>5</v>
      </c>
      <c r="G9" s="28"/>
      <c r="H9" s="34" t="s">
        <v>6</v>
      </c>
      <c r="I9" s="28"/>
    </row>
    <row r="10" spans="3:15" x14ac:dyDescent="0.25">
      <c r="C10" s="28"/>
      <c r="D10" s="36"/>
      <c r="E10" s="28"/>
      <c r="F10" s="36"/>
      <c r="G10" s="84" t="str">
        <f>IF(F10="","",IF(F10&lt;D10,"Date Error: 'To Date' cannot be before 'From Date'. Please re-enter.",""))</f>
        <v/>
      </c>
      <c r="H10" s="37" t="str">
        <f>IF(D10="","",+IF((F10-D10+1)&gt;366,"Error",(F10-D10+1)))</f>
        <v/>
      </c>
      <c r="I10" s="28"/>
    </row>
    <row r="11" spans="3:15" x14ac:dyDescent="0.25">
      <c r="C11" s="38" t="str">
        <f>IF(AND(D10="",F10=""),"","You have entered :")</f>
        <v/>
      </c>
      <c r="D11" s="39" t="str">
        <f>+IF(D10="","",TEXT(D10,"d mmmm, yyyy"))</f>
        <v/>
      </c>
      <c r="E11" s="28"/>
      <c r="F11" s="39" t="str">
        <f>+IF(F10="","",TEXT(F10,"d mmmm, yyyy"))</f>
        <v/>
      </c>
      <c r="G11" s="85"/>
      <c r="H11" s="58" t="str">
        <f>IF(YEAR(D10)=YEAR(F10),"","Period of usage is for the same year")</f>
        <v/>
      </c>
      <c r="I11" s="28"/>
    </row>
    <row r="12" spans="3:15" x14ac:dyDescent="0.25">
      <c r="C12" s="28"/>
      <c r="D12" s="40"/>
      <c r="E12" s="28"/>
      <c r="F12" s="40"/>
      <c r="G12" s="85"/>
      <c r="H12" s="34"/>
      <c r="I12" s="28"/>
    </row>
    <row r="13" spans="3:15" ht="13.8" x14ac:dyDescent="0.25">
      <c r="C13" s="32" t="s">
        <v>14</v>
      </c>
      <c r="D13" s="41"/>
      <c r="E13" s="42"/>
      <c r="F13" s="41"/>
      <c r="G13" s="42"/>
      <c r="H13" s="43"/>
      <c r="I13" s="42"/>
    </row>
    <row r="14" spans="3:15" x14ac:dyDescent="0.25">
      <c r="C14" s="28"/>
      <c r="D14" s="40"/>
      <c r="E14" s="28"/>
      <c r="F14" s="40"/>
      <c r="G14" s="28"/>
      <c r="H14" s="34"/>
      <c r="I14" s="28"/>
    </row>
    <row r="15" spans="3:15" x14ac:dyDescent="0.25">
      <c r="C15" s="44" t="s">
        <v>26</v>
      </c>
      <c r="D15" s="28"/>
      <c r="E15" s="28"/>
      <c r="F15" s="45"/>
      <c r="G15" s="28"/>
      <c r="H15" s="34"/>
      <c r="I15" s="28"/>
    </row>
    <row r="16" spans="3:15" x14ac:dyDescent="0.25">
      <c r="C16" s="46" t="s">
        <v>27</v>
      </c>
      <c r="D16" s="28"/>
      <c r="E16" s="28"/>
      <c r="F16" s="40"/>
      <c r="G16" s="28"/>
      <c r="H16" s="34"/>
      <c r="I16" s="28"/>
    </row>
    <row r="17" spans="3:9" x14ac:dyDescent="0.25">
      <c r="C17" s="28"/>
      <c r="D17" s="28"/>
      <c r="E17" s="28"/>
      <c r="F17" s="28"/>
      <c r="G17" s="28"/>
      <c r="H17" s="28"/>
      <c r="I17" s="28"/>
    </row>
    <row r="18" spans="3:9" x14ac:dyDescent="0.25">
      <c r="C18" s="44" t="s">
        <v>28</v>
      </c>
      <c r="D18" s="28"/>
      <c r="E18" s="28"/>
      <c r="F18" s="45"/>
      <c r="G18" s="28"/>
      <c r="H18" s="28"/>
      <c r="I18" s="28"/>
    </row>
    <row r="19" spans="3:9" x14ac:dyDescent="0.25">
      <c r="C19" s="46" t="s">
        <v>29</v>
      </c>
      <c r="D19" s="28"/>
      <c r="E19" s="28"/>
      <c r="F19" s="28"/>
      <c r="G19" s="47"/>
      <c r="H19" s="28"/>
      <c r="I19" s="28"/>
    </row>
    <row r="20" spans="3:9" x14ac:dyDescent="0.25">
      <c r="C20" s="28"/>
      <c r="D20" s="28"/>
      <c r="E20" s="28"/>
      <c r="F20" s="28"/>
      <c r="G20" s="28"/>
      <c r="H20" s="28"/>
      <c r="I20" s="28"/>
    </row>
    <row r="21" spans="3:9" x14ac:dyDescent="0.25">
      <c r="C21" s="44" t="s">
        <v>35</v>
      </c>
      <c r="D21" s="28"/>
      <c r="E21" s="28"/>
      <c r="F21" s="28"/>
      <c r="G21" s="28"/>
      <c r="H21" s="28"/>
      <c r="I21" s="28"/>
    </row>
    <row r="22" spans="3:9" x14ac:dyDescent="0.25">
      <c r="C22" s="44" t="s">
        <v>34</v>
      </c>
      <c r="D22" s="28"/>
      <c r="E22" s="28"/>
      <c r="F22" s="45"/>
      <c r="G22" s="28"/>
      <c r="H22" s="28"/>
      <c r="I22" s="28"/>
    </row>
    <row r="23" spans="3:9" x14ac:dyDescent="0.25">
      <c r="C23" s="46" t="s">
        <v>32</v>
      </c>
      <c r="D23" s="28"/>
      <c r="E23" s="28"/>
      <c r="F23" s="28"/>
      <c r="G23" s="28"/>
      <c r="H23" s="28"/>
      <c r="I23" s="28"/>
    </row>
    <row r="24" spans="3:9" x14ac:dyDescent="0.25">
      <c r="C24" s="46" t="s">
        <v>31</v>
      </c>
      <c r="D24" s="28"/>
      <c r="E24" s="28"/>
      <c r="F24" s="28"/>
      <c r="G24" s="28"/>
      <c r="H24" s="28"/>
      <c r="I24" s="28"/>
    </row>
    <row r="25" spans="3:9" x14ac:dyDescent="0.25">
      <c r="C25" s="28"/>
      <c r="D25" s="28"/>
      <c r="E25" s="28"/>
      <c r="F25" s="28"/>
      <c r="G25" s="28"/>
      <c r="H25" s="28"/>
      <c r="I25" s="28"/>
    </row>
    <row r="26" spans="3:9" ht="13.8" x14ac:dyDescent="0.25">
      <c r="C26" s="32" t="s">
        <v>7</v>
      </c>
      <c r="D26" s="41"/>
      <c r="E26" s="42"/>
      <c r="F26" s="41"/>
      <c r="G26" s="42"/>
      <c r="H26" s="43"/>
      <c r="I26" s="42"/>
    </row>
    <row r="27" spans="3:9" x14ac:dyDescent="0.25">
      <c r="C27" s="28"/>
      <c r="D27" s="28"/>
      <c r="E27" s="28"/>
      <c r="F27" s="28"/>
      <c r="G27" s="28"/>
      <c r="H27" s="28"/>
      <c r="I27" s="28"/>
    </row>
    <row r="28" spans="3:9" x14ac:dyDescent="0.25">
      <c r="C28" s="44" t="s">
        <v>2</v>
      </c>
      <c r="D28" s="28"/>
      <c r="E28" s="28"/>
      <c r="F28" s="48" t="str">
        <f>IF(OR(H10="",H10&lt;0,H10="Error",F15="",F18="",F22=""),"",IF(((3/7)*(((CarCost-PARF)/10)*(H10/VLOOKUP(YEAR(D10),CarYear,2,FALSE))+RunCost))&lt;0,"NIL",((3/7)*(((CarCost-PARF)/10)*(H10/VLOOKUP(YEAR(D10),CarYear,2,FALSE))+RunCost))))</f>
        <v/>
      </c>
      <c r="G28" s="28"/>
      <c r="H28" s="28"/>
      <c r="I28" s="28"/>
    </row>
    <row r="29" spans="3:9" x14ac:dyDescent="0.25">
      <c r="C29" s="28"/>
      <c r="D29" s="28"/>
      <c r="E29" s="28"/>
      <c r="F29" s="28"/>
      <c r="G29" s="28"/>
      <c r="H29" s="28"/>
      <c r="I29" s="28"/>
    </row>
    <row r="30" spans="3:9" x14ac:dyDescent="0.25">
      <c r="C30" s="28"/>
      <c r="D30" s="28"/>
      <c r="E30" s="28"/>
      <c r="F30" s="28"/>
      <c r="G30" s="28"/>
      <c r="H30" s="28"/>
      <c r="I30" s="28"/>
    </row>
    <row r="31" spans="3:9" x14ac:dyDescent="0.25">
      <c r="F31" s="62"/>
      <c r="G31" s="16"/>
    </row>
    <row r="34" spans="4:4" x14ac:dyDescent="0.25">
      <c r="D34" s="16"/>
    </row>
    <row r="35" spans="4:4" x14ac:dyDescent="0.25">
      <c r="D35" s="16"/>
    </row>
    <row r="36" spans="4:4" x14ac:dyDescent="0.25">
      <c r="D36" s="16"/>
    </row>
    <row r="37" spans="4:4" x14ac:dyDescent="0.25">
      <c r="D37" s="16"/>
    </row>
    <row r="38" spans="4:4" x14ac:dyDescent="0.25">
      <c r="D38" s="16"/>
    </row>
  </sheetData>
  <sheetProtection password="CA99" sheet="1"/>
  <mergeCells count="3">
    <mergeCell ref="C1:I1"/>
    <mergeCell ref="C5:I5"/>
    <mergeCell ref="G10:G12"/>
  </mergeCells>
  <dataValidations count="2">
    <dataValidation type="decimal" operator="greaterThanOrEqual" allowBlank="1" showInputMessage="1" showErrorMessage="1" error="Invalid entry: _x000a_Numeric values only._x000a_Negative value is not acceptable._x000a_Please retry." sqref="F15 F18 F22" xr:uid="{C5B0B88C-52B3-4555-86FB-EC3E7BB0BF1D}">
      <formula1>0</formula1>
    </dataValidation>
    <dataValidation type="date" allowBlank="1" showInputMessage="1" showErrorMessage="1" error="Invalid Date:_x000a_Please Re-enter." sqref="D10 F10" xr:uid="{562CD53B-B20B-431C-849F-ACFF369F5920}">
      <formula1>43466</formula1>
      <formula2>47848</formula2>
    </dataValidation>
  </dataValidations>
  <hyperlinks>
    <hyperlink ref="H3" location="Menu!A1" display="Menu" xr:uid="{C6F3AA3D-C0A7-4621-B836-C3E3EC705B28}"/>
  </hyperlinks>
  <printOptions horizontalCentered="1" verticalCentere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42294-4BAA-4F19-A9BF-AD38F6BC7192}">
  <sheetPr codeName="Sheet8">
    <pageSetUpPr autoPageBreaks="0"/>
  </sheetPr>
  <dimension ref="B1:R52"/>
  <sheetViews>
    <sheetView showGridLines="0" showRowColHeaders="0" zoomScale="110" zoomScaleNormal="110" workbookViewId="0">
      <selection activeCell="H3" sqref="H3"/>
    </sheetView>
  </sheetViews>
  <sheetFormatPr defaultColWidth="9" defaultRowHeight="13.2" x14ac:dyDescent="0.25"/>
  <cols>
    <col min="1" max="1" width="3.59765625" style="1" customWidth="1"/>
    <col min="2" max="2" width="5.59765625" style="1" customWidth="1"/>
    <col min="3" max="3" width="18.5" style="1" customWidth="1"/>
    <col min="4" max="4" width="21.09765625" style="1" customWidth="1"/>
    <col min="5" max="5" width="8.8984375" style="1" customWidth="1"/>
    <col min="6" max="6" width="17.59765625" style="1" customWidth="1"/>
    <col min="7" max="7" width="17.09765625" style="1" customWidth="1"/>
    <col min="8" max="8" width="9" style="1"/>
    <col min="9" max="9" width="8.8984375" style="1" customWidth="1"/>
    <col min="10" max="10" width="5.59765625" style="1" customWidth="1"/>
    <col min="11" max="11" width="3.59765625" style="1" customWidth="1"/>
    <col min="12" max="12" width="6.796875" style="1" customWidth="1"/>
    <col min="13" max="13" width="9" style="1"/>
    <col min="14" max="14" width="10.09765625" style="1" customWidth="1"/>
    <col min="15" max="16384" width="9" style="1"/>
  </cols>
  <sheetData>
    <row r="1" spans="3:9" ht="17.399999999999999" x14ac:dyDescent="0.3">
      <c r="C1" s="80" t="s">
        <v>15</v>
      </c>
      <c r="D1" s="80"/>
      <c r="E1" s="80"/>
      <c r="F1" s="80"/>
      <c r="G1" s="80"/>
      <c r="H1" s="80"/>
      <c r="I1" s="80"/>
    </row>
    <row r="3" spans="3:9" ht="15.6" x14ac:dyDescent="0.3">
      <c r="C3" s="5" t="s">
        <v>39</v>
      </c>
      <c r="H3" s="19" t="s">
        <v>19</v>
      </c>
      <c r="I3" s="18" t="s">
        <v>18</v>
      </c>
    </row>
    <row r="5" spans="3:9" ht="15.6" x14ac:dyDescent="0.3">
      <c r="C5" s="71" t="s">
        <v>23</v>
      </c>
      <c r="D5" s="72"/>
      <c r="E5" s="72"/>
      <c r="F5" s="72"/>
      <c r="G5" s="72"/>
      <c r="H5" s="72"/>
      <c r="I5" s="73"/>
    </row>
    <row r="7" spans="3:9" ht="15" x14ac:dyDescent="0.25">
      <c r="C7" s="7" t="s">
        <v>13</v>
      </c>
      <c r="D7" s="8"/>
      <c r="E7" s="8"/>
      <c r="F7" s="8"/>
      <c r="G7" s="8"/>
      <c r="H7" s="8"/>
      <c r="I7" s="8"/>
    </row>
    <row r="8" spans="3:9" x14ac:dyDescent="0.25">
      <c r="D8" s="3" t="s">
        <v>3</v>
      </c>
      <c r="E8" s="2"/>
      <c r="F8" s="3" t="s">
        <v>4</v>
      </c>
    </row>
    <row r="9" spans="3:9" x14ac:dyDescent="0.25">
      <c r="C9" s="28"/>
      <c r="D9" s="34" t="s">
        <v>5</v>
      </c>
      <c r="E9" s="34"/>
      <c r="F9" s="34" t="s">
        <v>5</v>
      </c>
      <c r="G9" s="28"/>
      <c r="H9" s="34" t="s">
        <v>6</v>
      </c>
      <c r="I9" s="28"/>
    </row>
    <row r="10" spans="3:9" x14ac:dyDescent="0.25">
      <c r="C10" s="28"/>
      <c r="D10" s="36"/>
      <c r="E10" s="28"/>
      <c r="F10" s="36"/>
      <c r="G10" s="84" t="str">
        <f>+IF(F10="","",IF(F10&lt;D1:D10,"Date Error: 'To Date' cannot be before 'From Date'. Please re-enter",""))</f>
        <v/>
      </c>
      <c r="H10" s="37" t="str">
        <f>IF(D10="","",+IF((F10-D10+1)&gt;366,"Error",(F10-D10+1)))</f>
        <v/>
      </c>
      <c r="I10" s="28"/>
    </row>
    <row r="11" spans="3:9" x14ac:dyDescent="0.25">
      <c r="C11" s="38" t="str">
        <f>IF(AND(D10="",F10=""),"","You have entered :")</f>
        <v/>
      </c>
      <c r="D11" s="39" t="str">
        <f>+IF(D10="","",TEXT(D10,"d mmmm, yyyy"))</f>
        <v/>
      </c>
      <c r="E11" s="28"/>
      <c r="F11" s="39" t="str">
        <f>+IF(F10="","",TEXT(F10,"d mmmm, yyyy"))</f>
        <v/>
      </c>
      <c r="G11" s="84"/>
      <c r="H11" s="58" t="str">
        <f>IF(YEAR(D10)=YEAR(F10),"","Period of usage is for the same year")</f>
        <v/>
      </c>
      <c r="I11" s="28"/>
    </row>
    <row r="12" spans="3:9" x14ac:dyDescent="0.25">
      <c r="C12" s="28"/>
      <c r="D12" s="28"/>
      <c r="E12" s="28"/>
      <c r="F12" s="28"/>
      <c r="G12" s="84"/>
      <c r="H12" s="28"/>
      <c r="I12" s="49"/>
    </row>
    <row r="13" spans="3:9" ht="13.8" x14ac:dyDescent="0.25">
      <c r="C13" s="32" t="s">
        <v>14</v>
      </c>
      <c r="D13" s="41"/>
      <c r="E13" s="42"/>
      <c r="F13" s="41"/>
      <c r="G13" s="42"/>
      <c r="H13" s="43"/>
      <c r="I13" s="42"/>
    </row>
    <row r="14" spans="3:9" x14ac:dyDescent="0.25">
      <c r="C14" s="28"/>
      <c r="D14" s="28"/>
      <c r="E14" s="28"/>
      <c r="F14" s="28"/>
      <c r="G14" s="28"/>
      <c r="H14" s="28"/>
      <c r="I14" s="49"/>
    </row>
    <row r="15" spans="3:9" x14ac:dyDescent="0.25">
      <c r="C15" s="50" t="s">
        <v>33</v>
      </c>
      <c r="D15" s="50"/>
      <c r="E15" s="28"/>
      <c r="F15" s="51"/>
      <c r="G15" s="47"/>
      <c r="H15" s="28"/>
      <c r="I15" s="28"/>
    </row>
    <row r="16" spans="3:9" x14ac:dyDescent="0.25">
      <c r="C16" s="50"/>
      <c r="D16" s="50"/>
      <c r="E16" s="28"/>
      <c r="F16" s="63"/>
      <c r="G16" s="47"/>
      <c r="H16" s="28"/>
      <c r="I16" s="28"/>
    </row>
    <row r="17" spans="3:9" x14ac:dyDescent="0.25">
      <c r="C17" s="44" t="s">
        <v>36</v>
      </c>
      <c r="D17" s="53"/>
      <c r="E17" s="28"/>
      <c r="F17" s="51"/>
      <c r="G17" s="52" t="s">
        <v>8</v>
      </c>
      <c r="H17" s="28"/>
      <c r="I17" s="28"/>
    </row>
    <row r="18" spans="3:9" ht="28.95" customHeight="1" x14ac:dyDescent="0.25">
      <c r="C18" s="87" t="str">
        <f>IF(F15="","",IF(F15="No","No. of years remaining from the date of purchase of car to the date of expiry of the first COE or the renewed COE (if second-hand car is more than 10 years old at time of purchase","No. of remaining years from date of renewal of COE to the date of expiry of the renewed COE (currently either 5 or 10 years)."))</f>
        <v/>
      </c>
      <c r="D18" s="88"/>
      <c r="E18" s="88"/>
      <c r="F18" s="88"/>
      <c r="G18" s="88"/>
      <c r="H18" s="88"/>
      <c r="I18" s="28"/>
    </row>
    <row r="19" spans="3:9" ht="13.2" customHeight="1" x14ac:dyDescent="0.25">
      <c r="C19" s="28"/>
      <c r="E19" s="28"/>
      <c r="F19" s="28"/>
      <c r="G19" s="86"/>
      <c r="H19" s="86"/>
      <c r="I19" s="86"/>
    </row>
    <row r="20" spans="3:9" x14ac:dyDescent="0.25">
      <c r="C20" s="44" t="s">
        <v>26</v>
      </c>
      <c r="D20" s="28"/>
      <c r="E20" s="28"/>
      <c r="F20" s="45"/>
      <c r="G20" s="28"/>
      <c r="H20" s="28"/>
      <c r="I20" s="28"/>
    </row>
    <row r="21" spans="3:9" x14ac:dyDescent="0.25">
      <c r="C21" s="46" t="str">
        <f>IF(F15="","",IF(F15="No","Acquisition cost of car (inclusive of COE) paid or payable by employer at date of purchase.","Amount payable on renewal of COE for the continued use of car after the end of the 10th year."))</f>
        <v/>
      </c>
      <c r="D21" s="28"/>
      <c r="E21" s="28"/>
      <c r="F21" s="28"/>
      <c r="G21" s="28"/>
      <c r="H21" s="28"/>
      <c r="I21" s="28"/>
    </row>
    <row r="22" spans="3:9" ht="13.2" customHeight="1" x14ac:dyDescent="0.25">
      <c r="C22" s="49"/>
      <c r="D22" s="28"/>
      <c r="E22" s="28"/>
      <c r="F22" s="28"/>
      <c r="G22" s="28"/>
      <c r="H22" s="28"/>
      <c r="I22" s="28"/>
    </row>
    <row r="23" spans="3:9" x14ac:dyDescent="0.25">
      <c r="C23" s="44" t="s">
        <v>28</v>
      </c>
      <c r="D23" s="28"/>
      <c r="E23" s="28"/>
      <c r="F23" s="45"/>
      <c r="G23" s="28"/>
      <c r="H23" s="28"/>
      <c r="I23" s="28"/>
    </row>
    <row r="24" spans="3:9" ht="27" customHeight="1" x14ac:dyDescent="0.25">
      <c r="C24" s="87" t="str">
        <f>IF(F15="","",IF(F15="No","Preferential Additional Registration Fee rebate to be granted when car is de-registered at the age of above 9 but not exceeding 10 years.","Amount of Preferential Additional Registration Fee rebate which wiuld have been granted on the first COE when car is 
de-registered between 9 and 10 years old, if not renewal."))</f>
        <v/>
      </c>
      <c r="D24" s="88"/>
      <c r="E24" s="88"/>
      <c r="F24" s="88"/>
      <c r="G24" s="88"/>
      <c r="H24" s="88"/>
      <c r="I24" s="28"/>
    </row>
    <row r="25" spans="3:9" ht="13.2" customHeight="1" x14ac:dyDescent="0.25">
      <c r="C25" s="49"/>
      <c r="D25" s="28"/>
      <c r="E25" s="28"/>
      <c r="F25" s="28"/>
      <c r="G25" s="28"/>
      <c r="H25" s="28"/>
      <c r="I25" s="28"/>
    </row>
    <row r="26" spans="3:9" x14ac:dyDescent="0.25">
      <c r="C26" s="44" t="s">
        <v>35</v>
      </c>
      <c r="D26" s="28"/>
      <c r="E26" s="28"/>
      <c r="G26" s="28"/>
      <c r="H26" s="28"/>
      <c r="I26" s="28"/>
    </row>
    <row r="27" spans="3:9" x14ac:dyDescent="0.25">
      <c r="C27" s="44" t="s">
        <v>34</v>
      </c>
      <c r="D27" s="28"/>
      <c r="E27" s="28"/>
      <c r="F27" s="45"/>
      <c r="G27" s="28"/>
      <c r="H27" s="28"/>
      <c r="I27" s="28"/>
    </row>
    <row r="28" spans="3:9" x14ac:dyDescent="0.25">
      <c r="C28" s="46" t="s">
        <v>32</v>
      </c>
      <c r="D28" s="28"/>
      <c r="E28" s="28"/>
      <c r="F28" s="28"/>
      <c r="G28" s="28"/>
      <c r="H28" s="28"/>
      <c r="I28" s="54"/>
    </row>
    <row r="29" spans="3:9" x14ac:dyDescent="0.25">
      <c r="C29" s="46" t="s">
        <v>31</v>
      </c>
      <c r="D29" s="28"/>
      <c r="E29" s="28"/>
      <c r="F29" s="28"/>
      <c r="G29" s="28"/>
      <c r="H29" s="28"/>
      <c r="I29" s="54"/>
    </row>
    <row r="30" spans="3:9" x14ac:dyDescent="0.25">
      <c r="C30" s="28"/>
      <c r="D30" s="28"/>
      <c r="E30" s="28"/>
      <c r="F30" s="28"/>
      <c r="G30" s="47"/>
      <c r="H30" s="28"/>
      <c r="I30" s="28"/>
    </row>
    <row r="31" spans="3:9" ht="13.8" x14ac:dyDescent="0.25">
      <c r="C31" s="32" t="s">
        <v>7</v>
      </c>
      <c r="D31" s="41"/>
      <c r="E31" s="42"/>
      <c r="F31" s="41"/>
      <c r="G31" s="42"/>
      <c r="H31" s="43"/>
      <c r="I31" s="42"/>
    </row>
    <row r="32" spans="3:9" x14ac:dyDescent="0.25">
      <c r="C32" s="28"/>
      <c r="D32" s="28"/>
      <c r="E32" s="28"/>
      <c r="F32" s="28"/>
      <c r="G32" s="28"/>
      <c r="H32" s="28"/>
      <c r="I32" s="28"/>
    </row>
    <row r="33" spans="2:18" ht="15.6" customHeight="1" x14ac:dyDescent="0.3">
      <c r="C33" s="44" t="s">
        <v>2</v>
      </c>
      <c r="D33" s="28"/>
      <c r="E33" s="28"/>
      <c r="F33" s="64" t="str">
        <f>+IF(OR(H10="",H10="Error",H10&lt;0,F15="",F17="",F20="",F23="",F27=""),"",
IF(F15="","",
IF(F15="No",
IF(((0.428571428571429)*(((CarCost-PARF)/RemainYr)*(H10/VLOOKUP(YEAR(D10),CarYear,2,FALSE))+RunCost))&lt;0,"NIL",
((0.428571428571429)*(((CarCost-PARF)/RemainYr)*(H10/VLOOKUP(YEAR(D10),CarYear,2,FALSE))+RunCost))),
IF(F15="Yes",
IF(((0.428571428571429)*(((CarCost+PARF)/RemainYr)*(H10/VLOOKUP(YEAR(D10),CarYear,2,FALSE))+RunCost))&lt;0,"NIL",
((0.428571428571429)*(((CarCost+PARF)/RemainYr)*(H10/VLOOKUP(YEAR(D10),CarYear,2,FALSE))+RunCost)))))))</f>
        <v/>
      </c>
      <c r="G33"/>
      <c r="H33"/>
      <c r="I33"/>
      <c r="J33"/>
      <c r="K33"/>
      <c r="L33"/>
      <c r="M33"/>
      <c r="N33"/>
      <c r="O33"/>
      <c r="P33"/>
      <c r="Q33"/>
      <c r="R33"/>
    </row>
    <row r="34" spans="2:18" x14ac:dyDescent="0.25">
      <c r="C34" s="28"/>
      <c r="D34" s="28"/>
      <c r="E34" s="28"/>
      <c r="F34" s="28"/>
      <c r="G34" s="28"/>
      <c r="H34" s="28"/>
      <c r="I34" s="28"/>
    </row>
    <row r="35" spans="2:18" x14ac:dyDescent="0.25">
      <c r="F35" s="65"/>
    </row>
    <row r="37" spans="2:18" x14ac:dyDescent="0.25">
      <c r="F37" s="4"/>
    </row>
    <row r="40" spans="2:18" x14ac:dyDescent="0.25">
      <c r="B40" s="16"/>
    </row>
    <row r="43" spans="2:18" x14ac:dyDescent="0.25">
      <c r="D43" s="16"/>
    </row>
    <row r="52" spans="4:4" x14ac:dyDescent="0.25">
      <c r="D52" s="16"/>
    </row>
  </sheetData>
  <sheetProtection password="CA99" sheet="1"/>
  <mergeCells count="6">
    <mergeCell ref="C1:I1"/>
    <mergeCell ref="C5:I5"/>
    <mergeCell ref="G19:I19"/>
    <mergeCell ref="G10:G12"/>
    <mergeCell ref="C24:H24"/>
    <mergeCell ref="C18:H18"/>
  </mergeCells>
  <dataValidations count="5">
    <dataValidation type="decimal" operator="greaterThanOrEqual" allowBlank="1" showInputMessage="1" showErrorMessage="1" error="Invalid entry: _x000a_Numeric values only._x000a_Negative value is not acceptable._x000a_Please retry." sqref="F20 F23 F27" xr:uid="{D5412924-AC94-4F03-AF7E-3A30B232EE68}">
      <formula1>0</formula1>
    </dataValidation>
    <dataValidation type="list" errorStyle="warning" allowBlank="1" showInputMessage="1" showErrorMessage="1" errorTitle="YesNo" error="Select Yes or No" prompt="Select Yes or No" sqref="F15" xr:uid="{06D17299-24D8-4C39-BFD8-0AAEDC232AAA}">
      <formula1>YesNo</formula1>
    </dataValidation>
    <dataValidation type="date" allowBlank="1" showInputMessage="1" showErrorMessage="1" error="Invalid Date._x000a_Please Retry." sqref="D10 F10" xr:uid="{A2CA3181-8C6A-4787-9128-1556F19C14C2}">
      <formula1>43466</formula1>
      <formula2>47848</formula2>
    </dataValidation>
    <dataValidation allowBlank="1" sqref="F16" xr:uid="{A665776E-FC06-4EAB-A260-2FBB0E4750F2}"/>
    <dataValidation type="whole" allowBlank="1" showInputMessage="1" showErrorMessage="1" error="Invalid entry: _x000a_Numeric values only._x000a_Negative value and value more than 10 _x000a_is not acceptable._x000a_Please retry." sqref="F17" xr:uid="{AF527FDA-E95A-457F-B8FF-9FDA9679AEFE}">
      <formula1>1</formula1>
      <formula2>10</formula2>
    </dataValidation>
  </dataValidations>
  <hyperlinks>
    <hyperlink ref="H3" location="Menu!A1" display="Menu" xr:uid="{EAFCBF4D-358A-4F92-BB1A-9A1EDE11CB2B}"/>
  </hyperlinks>
  <printOptions horizontalCentered="1" verticalCentere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9DC9A-69EB-43A5-B9EF-9BA7B458BD25}">
  <sheetPr codeName="Sheet5"/>
  <dimension ref="A1:O26"/>
  <sheetViews>
    <sheetView showGridLines="0" showRowColHeaders="0" zoomScale="120" zoomScaleNormal="120" workbookViewId="0">
      <selection activeCell="H3" sqref="H3"/>
    </sheetView>
  </sheetViews>
  <sheetFormatPr defaultColWidth="9" defaultRowHeight="15.6" x14ac:dyDescent="0.3"/>
  <cols>
    <col min="1" max="1" width="3.59765625" customWidth="1"/>
    <col min="2" max="2" width="5.59765625" customWidth="1"/>
    <col min="3" max="3" width="17.5" customWidth="1"/>
    <col min="4" max="6" width="12.3984375" bestFit="1" customWidth="1"/>
    <col min="7" max="7" width="15.09765625" customWidth="1"/>
    <col min="8" max="8" width="12.3984375" customWidth="1"/>
    <col min="9" max="9" width="11.5" bestFit="1" customWidth="1"/>
    <col min="10" max="10" width="5.59765625" customWidth="1"/>
    <col min="11" max="11" width="3.59765625" customWidth="1"/>
  </cols>
  <sheetData>
    <row r="1" spans="1:15" ht="17.399999999999999" x14ac:dyDescent="0.3">
      <c r="A1" s="1"/>
      <c r="B1" s="1"/>
      <c r="C1" s="80" t="s">
        <v>15</v>
      </c>
      <c r="D1" s="80"/>
      <c r="E1" s="80"/>
      <c r="F1" s="80"/>
      <c r="G1" s="80"/>
      <c r="H1" s="80"/>
      <c r="I1" s="80"/>
    </row>
    <row r="3" spans="1:15" x14ac:dyDescent="0.3">
      <c r="C3" s="5" t="s">
        <v>11</v>
      </c>
      <c r="H3" s="20" t="s">
        <v>19</v>
      </c>
      <c r="I3" s="21" t="s">
        <v>18</v>
      </c>
    </row>
    <row r="5" spans="1:15" x14ac:dyDescent="0.3">
      <c r="C5" s="71" t="s">
        <v>24</v>
      </c>
      <c r="D5" s="72"/>
      <c r="E5" s="72"/>
      <c r="F5" s="72"/>
      <c r="G5" s="72"/>
      <c r="H5" s="72"/>
      <c r="I5" s="73"/>
      <c r="L5" s="17"/>
    </row>
    <row r="7" spans="1:15" s="1" customFormat="1" ht="15" customHeight="1" x14ac:dyDescent="0.25">
      <c r="C7" s="32" t="s">
        <v>13</v>
      </c>
      <c r="D7" s="33"/>
      <c r="E7" s="33"/>
      <c r="F7" s="33"/>
      <c r="G7" s="33"/>
      <c r="H7" s="33"/>
      <c r="I7" s="33"/>
      <c r="J7" s="6"/>
      <c r="K7" s="6"/>
      <c r="L7" s="6"/>
      <c r="M7" s="6"/>
      <c r="N7" s="6"/>
      <c r="O7" s="6"/>
    </row>
    <row r="8" spans="1:15" s="1" customFormat="1" ht="13.2" x14ac:dyDescent="0.25">
      <c r="C8" s="28"/>
      <c r="D8" s="34" t="s">
        <v>3</v>
      </c>
      <c r="E8" s="28"/>
      <c r="F8" s="34" t="s">
        <v>4</v>
      </c>
      <c r="G8" s="35"/>
      <c r="H8" s="28"/>
      <c r="I8" s="28"/>
    </row>
    <row r="9" spans="1:15" s="1" customFormat="1" ht="13.2" x14ac:dyDescent="0.25">
      <c r="C9" s="28"/>
      <c r="D9" s="34" t="s">
        <v>5</v>
      </c>
      <c r="E9" s="28"/>
      <c r="F9" s="34" t="s">
        <v>5</v>
      </c>
      <c r="G9" s="28"/>
      <c r="H9" s="34" t="s">
        <v>6</v>
      </c>
      <c r="I9" s="28"/>
    </row>
    <row r="10" spans="1:15" s="1" customFormat="1" x14ac:dyDescent="0.3">
      <c r="C10" s="28"/>
      <c r="D10" s="36"/>
      <c r="E10" s="28"/>
      <c r="F10" s="36"/>
      <c r="G10"/>
      <c r="H10" s="37" t="str">
        <f>IF(D10="","",+IF((F10-D10+1)&gt;366,"Error",(F10-D10+1)))</f>
        <v/>
      </c>
      <c r="I10" s="28"/>
    </row>
    <row r="12" spans="1:15" x14ac:dyDescent="0.3">
      <c r="C12" s="32" t="s">
        <v>42</v>
      </c>
      <c r="D12" s="56"/>
      <c r="E12" s="42"/>
      <c r="F12" s="56"/>
      <c r="G12" s="42"/>
      <c r="H12" s="43"/>
      <c r="I12" s="42"/>
    </row>
    <row r="13" spans="1:15" x14ac:dyDescent="0.3">
      <c r="C13" s="55"/>
      <c r="D13" s="55"/>
      <c r="E13" s="55"/>
      <c r="F13" s="55"/>
      <c r="G13" s="55"/>
      <c r="H13" s="55"/>
      <c r="I13" s="55"/>
    </row>
    <row r="14" spans="1:15" x14ac:dyDescent="0.3">
      <c r="C14" s="44" t="s">
        <v>9</v>
      </c>
      <c r="D14" s="55"/>
      <c r="F14" s="57"/>
      <c r="G14" s="45"/>
      <c r="H14" s="55"/>
      <c r="I14" s="55"/>
    </row>
    <row r="15" spans="1:15" x14ac:dyDescent="0.3">
      <c r="C15" s="55"/>
      <c r="D15" s="55"/>
      <c r="E15" s="55"/>
      <c r="F15" s="55"/>
      <c r="G15" s="55"/>
      <c r="H15" s="55"/>
      <c r="I15" s="55"/>
    </row>
    <row r="16" spans="1:15" x14ac:dyDescent="0.3">
      <c r="C16" s="44" t="s">
        <v>30</v>
      </c>
      <c r="D16" s="55"/>
      <c r="E16" s="55"/>
      <c r="F16" s="55"/>
      <c r="G16" s="45"/>
      <c r="H16" s="55"/>
      <c r="I16" s="55"/>
    </row>
    <row r="17" spans="3:9" x14ac:dyDescent="0.3">
      <c r="C17" s="46" t="s">
        <v>32</v>
      </c>
      <c r="D17" s="55"/>
      <c r="E17" s="55"/>
      <c r="F17" s="55"/>
      <c r="G17" s="55"/>
      <c r="H17" s="55"/>
      <c r="I17" s="55"/>
    </row>
    <row r="18" spans="3:9" x14ac:dyDescent="0.3">
      <c r="C18" s="46" t="s">
        <v>31</v>
      </c>
      <c r="D18" s="55"/>
      <c r="F18" s="55"/>
      <c r="H18" s="55"/>
      <c r="I18" s="55"/>
    </row>
    <row r="19" spans="3:9" x14ac:dyDescent="0.3">
      <c r="C19" s="46"/>
      <c r="D19" s="55"/>
      <c r="F19" s="55"/>
      <c r="H19" s="55"/>
      <c r="I19" s="55"/>
    </row>
    <row r="20" spans="3:9" x14ac:dyDescent="0.3">
      <c r="C20" s="28"/>
      <c r="D20" s="28"/>
      <c r="E20" s="28"/>
      <c r="F20" s="28"/>
      <c r="G20" s="47"/>
      <c r="H20" s="55"/>
      <c r="I20" s="55"/>
    </row>
    <row r="21" spans="3:9" x14ac:dyDescent="0.3">
      <c r="C21" s="32" t="s">
        <v>7</v>
      </c>
      <c r="D21" s="33"/>
      <c r="E21" s="33"/>
      <c r="F21" s="33"/>
      <c r="G21" s="33"/>
      <c r="H21" s="33"/>
      <c r="I21" s="33"/>
    </row>
    <row r="22" spans="3:9" x14ac:dyDescent="0.3">
      <c r="C22" s="28"/>
      <c r="D22" s="28"/>
      <c r="E22" s="28"/>
      <c r="F22" s="28"/>
      <c r="G22" s="28"/>
      <c r="H22" s="55"/>
      <c r="I22" s="55"/>
    </row>
    <row r="23" spans="3:9" x14ac:dyDescent="0.3">
      <c r="C23" s="44" t="s">
        <v>2</v>
      </c>
      <c r="D23" s="28"/>
      <c r="E23" s="55"/>
      <c r="F23" s="55"/>
      <c r="G23" s="61" t="str">
        <f>+IF(OR(H10="",H10=0,H10="Error",G14="",G14=0,G16=""),"",IF(((3/7)*SUM(G14,G16))&lt;0,"NIL",((3/7)*SUM(G14,G16))))</f>
        <v/>
      </c>
      <c r="H23" s="55"/>
      <c r="I23" s="55"/>
    </row>
    <row r="24" spans="3:9" x14ac:dyDescent="0.3">
      <c r="C24" s="55"/>
      <c r="D24" s="55"/>
      <c r="E24" s="55"/>
      <c r="F24" s="55"/>
      <c r="G24" s="55"/>
      <c r="H24" s="55"/>
      <c r="I24" s="55"/>
    </row>
    <row r="26" spans="3:9" x14ac:dyDescent="0.3">
      <c r="G26" s="66"/>
    </row>
  </sheetData>
  <sheetProtection password="CA99" sheet="1"/>
  <mergeCells count="2">
    <mergeCell ref="C1:I1"/>
    <mergeCell ref="C5:I5"/>
  </mergeCells>
  <dataValidations count="3">
    <dataValidation type="decimal" operator="greaterThanOrEqual" allowBlank="1" showInputMessage="1" showErrorMessage="1" errorTitle="Invalid entry" error="Invalid entry: _x000a_Numeric values only._x000a_Negative value is not acceptable._x000a_Please retry." sqref="G14" xr:uid="{6C119D16-CF32-47A5-990D-CA085C7E6466}">
      <formula1>0</formula1>
    </dataValidation>
    <dataValidation type="decimal" operator="greaterThanOrEqual" allowBlank="1" showErrorMessage="1" errorTitle="Invalid entry" error="Invalid entry :_x000a_Numeric value only._x000a_Negative value is not acceptable._x000a_Please retry." sqref="G16 G18" xr:uid="{7A365F68-A329-4AA8-A0A2-BB4EF0C8A6C6}">
      <formula1>0</formula1>
    </dataValidation>
    <dataValidation type="date" allowBlank="1" showInputMessage="1" showErrorMessage="1" error="Invalid Date:_x000a_Please Re-enter." sqref="D10 F10" xr:uid="{C301468A-43F7-4405-99C2-F2F2898D8C93}">
      <formula1>43466</formula1>
      <formula2>47848</formula2>
    </dataValidation>
  </dataValidations>
  <hyperlinks>
    <hyperlink ref="H3" location="Menu!A1" display="Menu" xr:uid="{1C30E8DF-9AAF-4BBE-A749-7E09CAC0D957}"/>
  </hyperlinks>
  <printOptions horizontalCentered="1" verticalCentere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BF4E1-0505-4E28-8A39-EBCCD83E82D4}">
  <sheetPr codeName="Sheet4"/>
  <dimension ref="A1:C13"/>
  <sheetViews>
    <sheetView zoomScaleNormal="100" workbookViewId="0">
      <selection activeCell="C1" sqref="C1"/>
    </sheetView>
  </sheetViews>
  <sheetFormatPr defaultRowHeight="15.6" x14ac:dyDescent="0.3"/>
  <cols>
    <col min="1" max="1" width="4.8984375" bestFit="1" customWidth="1"/>
    <col min="2" max="2" width="4.796875" bestFit="1" customWidth="1"/>
    <col min="4" max="4" width="13.8984375" bestFit="1" customWidth="1"/>
  </cols>
  <sheetData>
    <row r="1" spans="1:3" x14ac:dyDescent="0.3">
      <c r="A1" t="s">
        <v>21</v>
      </c>
      <c r="B1" t="s">
        <v>22</v>
      </c>
      <c r="C1" t="s">
        <v>37</v>
      </c>
    </row>
    <row r="2" spans="1:3" x14ac:dyDescent="0.3">
      <c r="A2">
        <v>2019</v>
      </c>
      <c r="B2">
        <v>365</v>
      </c>
      <c r="C2" t="s">
        <v>0</v>
      </c>
    </row>
    <row r="3" spans="1:3" x14ac:dyDescent="0.3">
      <c r="A3">
        <v>2020</v>
      </c>
      <c r="B3">
        <v>366</v>
      </c>
      <c r="C3" t="s">
        <v>1</v>
      </c>
    </row>
    <row r="4" spans="1:3" x14ac:dyDescent="0.3">
      <c r="A4">
        <v>2021</v>
      </c>
      <c r="B4">
        <v>365</v>
      </c>
    </row>
    <row r="5" spans="1:3" x14ac:dyDescent="0.3">
      <c r="A5">
        <v>2022</v>
      </c>
      <c r="B5">
        <v>365</v>
      </c>
    </row>
    <row r="6" spans="1:3" x14ac:dyDescent="0.3">
      <c r="A6">
        <v>2023</v>
      </c>
      <c r="B6">
        <v>365</v>
      </c>
    </row>
    <row r="7" spans="1:3" x14ac:dyDescent="0.3">
      <c r="A7">
        <v>2024</v>
      </c>
      <c r="B7">
        <v>366</v>
      </c>
    </row>
    <row r="8" spans="1:3" x14ac:dyDescent="0.3">
      <c r="A8">
        <v>2025</v>
      </c>
      <c r="B8">
        <v>365</v>
      </c>
    </row>
    <row r="9" spans="1:3" x14ac:dyDescent="0.3">
      <c r="A9">
        <v>2026</v>
      </c>
      <c r="B9">
        <v>365</v>
      </c>
    </row>
    <row r="10" spans="1:3" x14ac:dyDescent="0.3">
      <c r="A10">
        <v>2027</v>
      </c>
      <c r="B10">
        <v>365</v>
      </c>
    </row>
    <row r="11" spans="1:3" x14ac:dyDescent="0.3">
      <c r="A11">
        <v>2028</v>
      </c>
      <c r="B11">
        <v>366</v>
      </c>
    </row>
    <row r="12" spans="1:3" x14ac:dyDescent="0.3">
      <c r="A12">
        <v>2029</v>
      </c>
      <c r="B12">
        <v>365</v>
      </c>
    </row>
    <row r="13" spans="1:3" x14ac:dyDescent="0.3">
      <c r="A13">
        <v>2030</v>
      </c>
      <c r="B13">
        <v>365</v>
      </c>
    </row>
  </sheetData>
  <printOptions horizontalCentered="1" verticalCentered="1"/>
  <pageMargins left="0.7" right="0.7" top="0.75" bottom="0.75" header="0.3" footer="0.3"/>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0NpysYzEH77l31YG9kY4GmT8tIxASQBIOgiNWRziBvk=</DigestValue>
    </Reference>
    <Reference Type="http://www.w3.org/2000/09/xmldsig#Object" URI="#idOfficeObject">
      <DigestMethod Algorithm="http://www.w3.org/2001/04/xmlenc#sha256"/>
      <DigestValue>KRHQZ/Z2cpJiEvlSeuOtjM0PSTWnJ/e2l2R4Awq9Crs=</DigestValue>
    </Reference>
    <Reference Type="http://uri.etsi.org/01903#SignedProperties" URI="#idSignedProperties">
      <Transforms>
        <Transform Algorithm="http://www.w3.org/TR/2001/REC-xml-c14n-20010315"/>
      </Transforms>
      <DigestMethod Algorithm="http://www.w3.org/2001/04/xmlenc#sha256"/>
      <DigestValue>3HYmfMrkyCVCzAYLhhJOQoBNCmAX3352mEY8nSezRoI=</DigestValue>
    </Reference>
  </SignedInfo>
  <SignatureValue>A9TXtfLpx8L6kZslJZJdSu78HILehs5qDKoaPBj9FNpxpeGixxM+SbFTbtHi7c4VVJAJfYZaw4xX
NmsrIb+7EcHn8aNN38dIQ7xY76tcrSW1qR/78X00che6sW7/zG2cXyjzOQn1OrRZP7ZvTJ0egzVv
WwxXg0YabZTqQdks+ZDGHXRyZ7PfPereMkWcA9SLJ2HLXLqCEoxdqZsv2NnTindpjYlXm9p8niiJ
AupMlKDmzsLmVKfSxRc7DuUrhzw7S/8TCOBy7eU0rssefZADUDkwiKiJaF3k0kmY3A/TaZUi5C8V
7um4vZW0LsdBLzuMVRcvHTtFyJ7VaWJOk0XCTg==</SignatureValue>
  <KeyInfo>
    <X509Data>
      <X509Certificate>MIIFzTCCBLWgAwIBAgIQTGKEg+rE56qxhckmkvJpwTANBgkqhkiG9w0BAQsFADCBtzELMAkGA1UEBhMCVVMxFjAUBgNVBAoTDUVudHJ1c3QsIEluYy4xKDAmBgNVBAsTH1NlZSB3d3cuZW50cnVzdC5uZXQvbGVnYWwtdGVybXMxOTA3BgNVBAsTMChjKSAyMDE1IEVudHJ1c3QsIEluYy4gLSBmb3IgYXV0aG9yaXplZCB1c2Ugb25seTErMCkGA1UEAxMiRW50cnVzdCBDbGFzcyAzIENsaWVudCBDQSAtIFNIQTI1NjAeFw0yNDA1MjgwOTM2MTlaFw0yNzA3MDcwOTM2MThaMIHEMQswCQYDVQQGEwJTRzESMBAGA1UEBxMJU2luZ2Fwb3JlMS4wLAYDVQQKEyVJbmxhbmQgUmV2ZW51ZSBBdXRob3JpdHkgb2YgU2luZ2Fwb3JlMSAwHgYDVQQLExdJUkFTLSBJTkZPQ09NTSBESVZJU0lPTjEuMCwGA1UEAxMlSW5sYW5kIFJldmVudWUgQXV0aG9yaXR5IG9mIFNpbmdhcG9yZTEfMB0GCSqGSIb3DQEJARYQaXJhc0BpcmFzLmdvdi5zZzCCASIwDQYJKoZIhvcNAQEBBQADggEPADCCAQoCggEBAOJOaZpPY+2nJfxRuGUXR/rXgWQ9TTe+NwHwho//aFl0pXHujY9Mf5z8jE/kvmdiwasu0OU2zYRmfOybTtbfHOm2jmXHZdOwZDt1Ttqbh6fCxjVFsUoJ0kDqOazuWUEGL8OfQypc0lAr0pF3S8RiXOOi8jCInKx2AMhc67rXaXjJAuqEyGt3CG7NcZbrJHoiY6F1/T1tWFE/ylnxGpWRUi4aVIAzBwEXHpJyV5zfRDNt48NK7BXpsEo+JmA6NFNC+YvHySqh9yAolJGPO0xlUCLO+w+dyYN7dFCTDobSYuzUEm1SeJmGQO+qTksPHxJg3ZNQBEYNSVFE+RHK8IR2rFsCAwEAAaOCAcQwggHAMAwGA1UdEwEB/wQCMAAwHQYDVR0OBBYEFMKsJ5C5Q4hrrTPvNwi2DtMsHLGtMB8GA1UdIwQYMBaAFAafb06iKU4PDK4Xv7aYRu+tuDtyMGcGCCsGAQUFBwEBBFswWTAjBggrBgEFBQcwAYYXaHR0cDovL29jc3AuZW50cnVzdC5uZXQwMgYIKwYBBQUHMAKGJmh0dHA6Ly9haWEuZW50cnVzdC5uZXQvY2xhc3MzLTIwNDguY2VyMDcGA1UdHwQwMC4wLKAqoCiGJmh0dHA6Ly9jcmwuZW50cnVzdC5uZXQvY2xhc3MzLXNoYTIuY3JsMA4GA1UdDwEB/wQEAwIGwDAgBgNVHSUEGTAXBglghkgBhvprKAsGCisGAQQBgjcKAwwwQwYKKoZIhvcvAQEJAQQ1MDMCAQGGLmh0dHA6Ly90aW1lc3RhbXAuZW50cnVzdC5uZXQvVFNTL1JGQzMxNjFzaGEyVFMwEwYKKoZIhvcvAQEJAgQFMAMCAQEwQgYDVR0gBDswOTA3BgpghkgBhvpsCgEGMCkwJwYIKwYBBQUHAgEWG2h0dHBzOi8vd3d3LmVudHJ1c3QubmV0L3JwYTANBgkqhkiG9w0BAQsFAAOCAQEAPXCEo7rpWYCiGd7cpYRUrLu5TYskcMudz1ZgjJKipCrnPWc+Um7pxKj59cs73zSrD+SxI9Oym6wdvQo6qQluLdiTYNrCthVStb6TD8EjUg9SQdQd2xqpuiZlIc4zU7xNrYUm5YC/598CiYW61xI5L6WK3zFkJLoTDUg6S8fgs5KXPB5FmDQVYp3lLX3YMPNT0zI8N1fcjPHLU4n4b3bc5icm2MgGzL0B+2eufQ5tWf/6Av0QkfdjUythpEU/xX8swX6LOqrVVXz9qE3XP4KyIoZpsHf1GzsQQeOTOZ0zdXh4opd8qQUkPay6bSgpQdu7wm/suUNhRMYqvZf1OAxT6A==</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3"/>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Transform>
          <Transform Algorithm="http://www.w3.org/TR/2001/REC-xml-c14n-20010315"/>
        </Transforms>
        <DigestMethod Algorithm="http://www.w3.org/2001/04/xmlenc#sha256"/>
        <DigestValue>s35CLrOQFwyBcDl5kApRQrsHE2xDkCcbDL8yq8uo7nk=</DigestValue>
      </Reference>
      <Reference URI="/xl/calcChain.xml?ContentType=application/vnd.openxmlformats-officedocument.spreadsheetml.calcChain+xml">
        <DigestMethod Algorithm="http://www.w3.org/2001/04/xmlenc#sha256"/>
        <DigestValue>hAIhxLcMtCtYJPD3toXqQKqYT7nf0gs/e77k/RJw3U4=</DigestValue>
      </Reference>
      <Reference URI="/xl/sharedStrings.xml?ContentType=application/vnd.openxmlformats-officedocument.spreadsheetml.sharedStrings+xml">
        <DigestMethod Algorithm="http://www.w3.org/2001/04/xmlenc#sha256"/>
        <DigestValue>FaFN183C2JeP4pLMppd12VpLp+oha5oLOR6FMhYPeEc=</DigestValue>
      </Reference>
      <Reference URI="/xl/styles.xml?ContentType=application/vnd.openxmlformats-officedocument.spreadsheetml.styles+xml">
        <DigestMethod Algorithm="http://www.w3.org/2001/04/xmlenc#sha256"/>
        <DigestValue>1FQix1vXugveFw+/LLlL4n0F9j7Uksm8PJ9K1OYOZ2I=</DigestValue>
      </Reference>
      <Reference URI="/xl/theme/theme1.xml?ContentType=application/vnd.openxmlformats-officedocument.theme+xml">
        <DigestMethod Algorithm="http://www.w3.org/2001/04/xmlenc#sha256"/>
        <DigestValue>yPW21N/Ci8bFCMTfmAgxnqV0zEorX1u3W04hIYCLjao=</DigestValue>
      </Reference>
      <Reference URI="/xl/vbaProject.bin?ContentType=application/vnd.ms-office.vbaProject">
        <DigestMethod Algorithm="http://www.w3.org/2001/04/xmlenc#sha256"/>
        <DigestValue>qayD5y3ZWTmvAoqUpPYuBoyho+K1wDo7+g6Oy3zBIx4=</DigestValue>
      </Reference>
      <Reference URI="/xl/workbook.xml?ContentType=application/vnd.ms-excel.sheet.macroEnabled.main+xml">
        <DigestMethod Algorithm="http://www.w3.org/2001/04/xmlenc#sha256"/>
        <DigestValue>APT3KF5ajCzcRfXnO6mf7wIiOpu0LqPwGHvKIjYMJ+E=</DigestValue>
      </Reference>
      <Reference URI="/xl/worksheets/sheet1.xml?ContentType=application/vnd.openxmlformats-officedocument.spreadsheetml.worksheet+xml">
        <DigestMethod Algorithm="http://www.w3.org/2001/04/xmlenc#sha256"/>
        <DigestValue>zpkaOQYfNTtnP77/zugC70BRPiBx1/5mXzTNhUBMajE=</DigestValue>
      </Reference>
      <Reference URI="/xl/worksheets/sheet2.xml?ContentType=application/vnd.openxmlformats-officedocument.spreadsheetml.worksheet+xml">
        <DigestMethod Algorithm="http://www.w3.org/2001/04/xmlenc#sha256"/>
        <DigestValue>5qe/x00Pjb1Jsu3P/EDR4ZLevTD489zDDuEFei+u3wc=</DigestValue>
      </Reference>
      <Reference URI="/xl/worksheets/sheet3.xml?ContentType=application/vnd.openxmlformats-officedocument.spreadsheetml.worksheet+xml">
        <DigestMethod Algorithm="http://www.w3.org/2001/04/xmlenc#sha256"/>
        <DigestValue>QmqOSBoy6RP4jOPmoiC3mFzgr8vb+Qgzc62ceOnsVu4=</DigestValue>
      </Reference>
      <Reference URI="/xl/worksheets/sheet4.xml?ContentType=application/vnd.openxmlformats-officedocument.spreadsheetml.worksheet+xml">
        <DigestMethod Algorithm="http://www.w3.org/2001/04/xmlenc#sha256"/>
        <DigestValue>5aXJxTLZfVZXtywfiOfbjdE/PcRLmhYZsztBA1SJFLo=</DigestValue>
      </Reference>
      <Reference URI="/xl/worksheets/sheet5.xml?ContentType=application/vnd.openxmlformats-officedocument.spreadsheetml.worksheet+xml">
        <DigestMethod Algorithm="http://www.w3.org/2001/04/xmlenc#sha256"/>
        <DigestValue>KjvsGqI1b1XbMUegCNUlgVmUh/n2v1gJdiIWUTwfYjE=</DigestValue>
      </Reference>
    </Manifest>
    <SignatureProperties>
      <SignatureProperty Id="idSignatureTime" Target="#idPackageSignature">
        <mdssi:SignatureTime xmlns:mdssi="http://schemas.openxmlformats.org/package/2006/digital-signature">
          <mdssi:Format>YYYY-MM-DDThh:mm:ssTZD</mdssi:Format>
          <mdssi:Value>2026-03-31T02:30:43Z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
          <WindowsVersion>10.0</WindowsVersion>
          <OfficeVersion>16.0.10417/14</OfficeVersion>
          <ApplicationVersion>16.0.10417</ApplicationVersion>
          <Monitors>1</Monitors>
          <HorizontalResolution>1600</HorizontalResolution>
          <VerticalResolution>900</VerticalResolution>
          <ColorDepth>32</ColorDepth>
          <SignatureProviderId>{00000000-0000-0000-0000-000000000000}</SignatureProviderId>
          <SignatureProviderUrl/>
          <SignatureProviderDetails>9</SignatureProviderDetails>
          <SignatureType>1</SignatureType>
        </SignatureInfoV1>
        <SignatureInfoV2 xmlns="http://schemas.microsoft.com/office/2006/digsig">
          <Address1>55 NEWTON RD, REVENUE HOUSE</Address1>
          <Address2/>
        </SignatureInfoV2>
      </SignatureProperty>
    </SignatureProperties>
  </Object>
  <Object>
    <xd:QualifyingProperties xmlns:xd="http://uri.etsi.org/01903/v1.3.2#" Target="#idPackageSignature">
      <xd:SignedProperties Id="idSignedProperties">
        <xd:SignedSignatureProperties>
          <xd:SigningTime>2026-03-31T02:30:43Z</xd:SigningTime>
          <xd:SigningCertificate>
            <xd:Cert>
              <xd:CertDigest>
                <DigestMethod Algorithm="http://www.w3.org/2001/04/xmlenc#sha256"/>
                <DigestValue>1OL+co2axBa3LFE5AmRjF8nkkJMN9dWHsWk+S0ejSyo=</DigestValue>
              </xd:CertDigest>
              <xd:IssuerSerial>
                <X509IssuerName>CN=Entrust Class 3 Client CA - SHA256, OU="(c) 2015 Entrust, Inc. - for authorized use only", OU=See www.entrust.net/legal-terms, O="Entrust, Inc.", C=US</X509IssuerName>
                <X509SerialNumber>101532860501404526611644611315633383873</X509SerialNumber>
              </xd:IssuerSerial>
            </xd:Cert>
          </xd:SigningCertificate>
          <xd:SignaturePolicyIdentifier>
            <xd:SignaturePolicyImplied/>
          </xd:SignaturePolicyIdentifier>
          <xd:SignatureProductionPlace>
            <xd:City>SINGAPORE</xd:City>
            <xd:StateOrProvince/>
            <xd:PostalCode>307987</xd:PostalCode>
            <xd:CountryName>SINGAPORE</xd:CountryName>
          </xd:SignatureProductionPlace>
          <xd:SignerRole>
            <xd:ClaimedRoles>
              <xd:ClaimedRole>IRAS@IRAS.GOV.SG</xd:ClaimedRole>
            </xd:ClaimedRoles>
          </xd:SignerRole>
        </xd:SignedSignatureProperties>
        <xd:SignedDataObjectProperties>
          <xd:CommitmentTypeIndication>
            <xd:CommitmentTypeId>
              <xd:Identifier>http://uri.etsi.org/01903/v1.2.2#ProofOfApproval</xd:Identifier>
              <xd:Description>Approved this document</xd:Description>
            </xd:CommitmentTypeId>
            <xd:AllSignedDataObjects/>
          </xd:CommitmentTypeIndication>
        </xd:SignedDataObjectProperties>
      </xd:SignedProperties>
      <xd:UnsignedProperties>
        <xd:UnsignedSignatureProperties>
          <xd:CertificateValues>
            <xd:EncapsulatedX509Certificate>MIIFOTCCBCGgAwIBAgIMVRYVFQAAAABRzhYOMA0GCSqGSIb3DQEBCwUAMIG0MRQwEgYDVQQKEwtFbnRydXN0Lm5ldDFAMD4GA1UECxQ3d3d3LmVudHJ1c3QubmV0L0NQU18yMDQ4IGluY29ycC4gYnkgcmVmLiAobGltaXRzIGxpYWIuKTElMCMGA1UECxMcKGMpIDE5OTkgRW50cnVzdC5uZXQgTGltaXRlZDEzMDEGA1UEAxMqRW50cnVzdC5uZXQgQ2VydGlmaWNhdGlvbiBBdXRob3JpdHkgKDIwNDgpMB4XDTE2MDIyNTE4MDgxNloXDTI5MDYyNTE4MzgxNlowgbcxCzAJBgNVBAYTAlVTMRYwFAYDVQQKEw1FbnRydXN0LCBJbmMuMSgwJgYDVQQLEx9TZWUgd3d3LmVudHJ1c3QubmV0L2xlZ2FsLXRlcm1zMTkwNwYDVQQLEzAoYykgMjAxNSBFbnRydXN0LCBJbmMuIC0gZm9yIGF1dGhvcml6ZWQgdXNlIG9ubHkxKzApBgNVBAMTIkVudHJ1c3QgQ2xhc3MgMyBDbGllbnQgQ0EgLSBTSEEyNTYwggEiMA0GCSqGSIb3DQEBAQUAA4IBDwAwggEKAoIBAQDGnEvBT0qd2X3TO1eRq83pdhUtwCAvLDGGxQk9sB+RhJhDlS7UnqraVeLgYOi7B+/Lg+0uXxny0CjtOmQ/y64wYCHmZqtYTmJndk5SjNx7mEQODi2QULUh+42xza8hByWXz7oPGEcZTnHLabj6I20aBhE1wVa6n2Ih8bDxAY9ez/EiosFCDvXNMugrJ/SSbwsVXvz6aVKwjn6ky3W5RYS1kwMLcitAs25DQqETGRhkRNSmIAlFsDpkD1b95IUojrjUOCPHLuKw+5r7GjiBkzLnLR+ujjcXzvzCFD993yTsseygqo4jBIEce68pztTn1OFm6W5k6eEFsiqRmHBY2PILAgMBAAGjggFEMIIBQDAOBgNVHQ8BAf8EBAMCAQYwNAYDVR0lBC0wKwYIKwYBBQUHAwIGCCsGAQUFBwMEBgorBgEEAYI3CgMMBglghkgBhvprKAswOwYDVR0gBDQwMjAwBgRVHSAAMCgwJgYIKwYBBQUHAgEWGmh0dHA6Ly93d3cuZW50cnVzdC5uZXQvcnBhMBIGA1UdEwEB/wQIMAYBAf8CAQAwMwYIKwYBBQUHAQEEJzAlMCMGCCsGAQUFBzABhhdodHRwOi8vb2NzcC5lbnRydXN0Lm5ldDAyBgNVHR8EKzApMCegJaAjhiFodHRwOi8vY3JsLmVudHJ1c3QubmV0LzIwNDhjYS5jcmwwHQYDVR0OBBYEFAafb06iKU4PDK4Xv7aYRu+tuDtyMB8GA1UdIwQYMBaAFFXkgdERgL7YibkIozH5oSQJFrlwMA0GCSqGSIb3DQEBCwUAA4IBAQB8eBvEzfG7ciGMiBdPtSqio/2dh+DXHDyC2Z6Vkzd305spuLwA0olAKJKZgKFM804XffTDY4zCTvY3sX9gMvHUk1utlt2Kt8KPDfFLrfxL21sNyj79WG99p7vrzVlsO+8AFZU2AdTLPLVjz9/Tmqr5RRKyq4IPZg0uaAM4+m6VIOceWnYEI2A9S+XpEHWqF9vbCevuF0iLnZalaqPdTBkfYkAuD/T6AOZabkbolo2bjssLzYsHOZExFCFu37kJZTw/JaDlC7o6A0r0QaZojaXqYM0jSfppwIWH58keRNVFyBIApO0GmIpBSieh8hZlo1X6K0yukH+M53cikOr4IS/F</xd:EncapsulatedX509Certificate>
            <xd:EncapsulatedX509Certificate>MIIEKjCCAxKgAwIBAgIEOGPe+DANBgkqhkiG9w0BAQUFADCBtDEUMBIGA1UEChMLRW50cnVzdC5uZXQxQDA+BgNVBAsUN3d3dy5lbnRydXN0Lm5ldC9DUFNfMjA0OCBpbmNvcnAuIGJ5IHJlZi4gKGxpbWl0cyBsaWFiLikxJTAjBgNVBAsTHChjKSAxOTk5IEVudHJ1c3QubmV0IExpbWl0ZWQxMzAxBgNVBAMTKkVudHJ1c3QubmV0IENlcnRpZmljYXRpb24gQXV0aG9yaXR5ICgyMDQ4KTAeFw05OTEyMjQxNzUwNTFaFw0yOTA3MjQxNDE1MTJaMIG0MRQwEgYDVQQKEwtFbnRydXN0Lm5ldDFAMD4GA1UECxQ3d3d3LmVudHJ1c3QubmV0L0NQU18yMDQ4IGluY29ycC4gYnkgcmVmLiAobGltaXRzIGxpYWIuKTElMCMGA1UECxMcKGMpIDE5OTkgRW50cnVzdC5uZXQgTGltaXRlZDEzMDEGA1UEAxMqRW50cnVzdC5uZXQgQ2VydGlmaWNhdGlvbiBBdXRob3JpdHkgKDIwNDgpMIIBIjANBgkqhkiG9w0BAQEFAAOCAQ8AMIIBCgKCAQEArU1LqRKGsuqjIAcVFmQqK0vRvwtKTY7tgHalZ7d4QMBzQshowNtTK91euHaYNZOLGp18EzoOH1u3Hs/lJBQesYGpjX24zGtLA/ECDNyrpUAkAH90lKGdCCmziAv1h3edVc3kw37XamSrhRSGlVuXMlBvPci6Zgzj/L24ScF2iUkZ/cCovYmjZy/Gn7xxGWC4LeksyZB2ZnuU4q941mVTXTzWnLLPKQP5L6RQstRIzgUyVYr9smRMDuSYB3Xbf9+5CFVghTAp+XtIpGmG4zU/HoZdenoVve8AjhUiVBcAkCaTvA5JaJG/+EfTnZVCwQ5N328mz8MYIWJmQ3DW1cAH4QIDAQABo0IwQDAOBgNVHQ8BAf8EBAMCAQYwDwYDVR0TAQH/BAUwAwEB/zAdBgNVHQ4EFgQUVeSB0RGAvtiJuQijMfmhJAkWuXAwDQYJKoZIhvcNAQEFBQADggEBADubj1abMOdTmXx6eadNl9cZlZD7Bh/KM3xGY4+WZiT6QBshJ8rmcnPyT/4xmf3IDExoU8aAghOY+rat2l098c5u9hURlIIM7j+VrxGrD9cv3h8Dj1csHsm7mhpElesYT6YfzX1XEC+bBAlahLVu2B064dae0Wx5XnkcFMXj0EyTO2U87d89vqbllRrDtRnDvV5bu/8j72gZyxKTJ1wDLW8w0B62GqzeWvfRqqgnpv55gcR5mTNXuhKwqeBCbJPKVt7+bYQLCIt+jerXmCHG8+c8eS9enNFMFY3h7CI3zJpDC5fcgJCNs2ebb0gIFVbPv/ErfF6adulZkMV8gzURZVE=</xd:EncapsulatedX509Certificate>
          </xd:CertificateValues>
        </xd:UnsignedSignatureProperties>
      </xd:UnsignedProperties>
    </xd:QualifyingProperties>
  </Object>
</Signature>
</file>

<file path=customXml/_rels/item1.xml.rels>&#65279;<?xml version="1.0" encoding="utf-8" standalone="yes"?>
<Relationships xmlns="http://schemas.openxmlformats.org/package/2006/relationships">
  <Relationship Id="rId1" Type="http://schemas.openxmlformats.org/officeDocument/2006/relationships/customXmlProps" Target="itemProps1.xml" />
</Relationships>
</file>

<file path=customXml/_rels/item2.xml.rels>&#65279;<?xml version="1.0" encoding="utf-8" standalone="yes"?>
<Relationships xmlns="http://schemas.openxmlformats.org/package/2006/relationships">
  <Relationship Id="rId1" Type="http://schemas.openxmlformats.org/officeDocument/2006/relationships/customXmlProps" Target="itemProps2.xml" />
</Relationships>
</file>

<file path=customXml/_rels/item3.xml.rels>&#65279;<?xml version="1.0" encoding="utf-8" standalone="yes"?>
<Relationships xmlns="http://schemas.openxmlformats.org/package/2006/relationships">
  <Relationship Id="rId1" Type="http://schemas.openxmlformats.org/officeDocument/2006/relationships/customXmlProps" Target="itemProps3.xml" />
</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0CD91C384FF2146BB98A616420EA244" ma:contentTypeVersion="20" ma:contentTypeDescription="Create a new document." ma:contentTypeScope="" ma:versionID="31866ad0b70258c46f415a82b047a285">
  <xsd:schema xmlns:xsd="http://www.w3.org/2001/XMLSchema" xmlns:xs="http://www.w3.org/2001/XMLSchema" xmlns:p="http://schemas.microsoft.com/office/2006/metadata/properties" xmlns:ns1="http://schemas.microsoft.com/sharepoint/v3" xmlns:ns2="88a6a153-49cb-47b7-a685-3875533540c1" xmlns:ns3="936906ec-1363-406d-a4a3-425a77224731" targetNamespace="http://schemas.microsoft.com/office/2006/metadata/properties" ma:root="true" ma:fieldsID="d348f63fead1a6438e284836a527fe3d" ns1:_="" ns2:_="" ns3:_="">
    <xsd:import namespace="http://schemas.microsoft.com/sharepoint/v3"/>
    <xsd:import namespace="88a6a153-49cb-47b7-a685-3875533540c1"/>
    <xsd:import namespace="936906ec-1363-406d-a4a3-425a77224731"/>
    <xsd:element name="properties">
      <xsd:complexType>
        <xsd:sequence>
          <xsd:element name="documentManagement">
            <xsd:complexType>
              <xsd:all>
                <xsd:element ref="ns1:PublishingStartDate" minOccurs="0"/>
                <xsd:element ref="ns1:PublishingExpirationDate" minOccurs="0"/>
                <xsd:element ref="ns2:MediaServiceFastMetadata" minOccurs="0"/>
                <xsd:element ref="ns2:MediaServiceSearchProperties" minOccurs="0"/>
                <xsd:element ref="ns2:MediaServiceMetadata"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4"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5"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a6a153-49cb-47b7-a685-3875533540c1" elementFormDefault="qualified">
    <xsd:import namespace="http://schemas.microsoft.com/office/2006/documentManagement/types"/>
    <xsd:import namespace="http://schemas.microsoft.com/office/infopath/2007/PartnerControls"/>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descriptio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fe9d480b-ab17-401a-b600-22ef0398b2a7"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36906ec-1363-406d-a4a3-425a77224731"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5291389-ab1c-46c3-b48d-36b642461fa1}" ma:internalName="TaxCatchAll" ma:showField="CatchAllData" ma:web="936906ec-1363-406d-a4a3-425a7722473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8a6a153-49cb-47b7-a685-3875533540c1">
      <Terms xmlns="http://schemas.microsoft.com/office/infopath/2007/PartnerControls"/>
    </lcf76f155ced4ddcb4097134ff3c332f>
    <TaxCatchAll xmlns="936906ec-1363-406d-a4a3-425a77224731" xsi:nil="true"/>
    <PublishingExpirationDate xmlns="http://schemas.microsoft.com/sharepoint/v3" xsi:nil="true"/>
    <PublishingStartDate xmlns="http://schemas.microsoft.com/sharepoint/v3" xsi:nil="true"/>
  </documentManagement>
</p:properties>
</file>

<file path=customXml/itemProps1.xml><?xml version="1.0" encoding="utf-8"?>
<ds:datastoreItem xmlns:ds="http://schemas.openxmlformats.org/officeDocument/2006/customXml" ds:itemID="{813B3B72-9530-45B4-A47A-34A45DEF4B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8a6a153-49cb-47b7-a685-3875533540c1"/>
    <ds:schemaRef ds:uri="936906ec-1363-406d-a4a3-425a772247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58690CE-F60C-479F-A77B-D9421FF0D81F}">
  <ds:schemaRefs>
    <ds:schemaRef ds:uri="http://schemas.microsoft.com/sharepoint/v3/contenttype/forms"/>
  </ds:schemaRefs>
</ds:datastoreItem>
</file>

<file path=customXml/itemProps3.xml><?xml version="1.0" encoding="utf-8"?>
<ds:datastoreItem xmlns:ds="http://schemas.openxmlformats.org/officeDocument/2006/customXml" ds:itemID="{D3D30952-E7F8-4683-9733-7417B40CCC98}">
  <ds:schemaRefs>
    <ds:schemaRef ds:uri="http://purl.org/dc/terms/"/>
    <ds:schemaRef ds:uri="http://schemas.microsoft.com/sharepoint/v3"/>
    <ds:schemaRef ds:uri="http://www.w3.org/XML/1998/namespace"/>
    <ds:schemaRef ds:uri="http://schemas.microsoft.com/office/2006/documentManagement/types"/>
    <ds:schemaRef ds:uri="http://purl.org/dc/dcmitype/"/>
    <ds:schemaRef ds:uri="http://schemas.microsoft.com/office/infopath/2007/PartnerControls"/>
    <ds:schemaRef ds:uri="88a6a153-49cb-47b7-a685-3875533540c1"/>
    <ds:schemaRef ds:uri="936906ec-1363-406d-a4a3-425a77224731"/>
    <ds:schemaRef ds:uri="http://schemas.openxmlformats.org/package/2006/metadata/core-properties"/>
    <ds:schemaRef ds:uri="http://schemas.microsoft.com/office/2006/metadata/propertie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Menu</vt:lpstr>
      <vt:lpstr>NewCar</vt:lpstr>
      <vt:lpstr>PteCar</vt:lpstr>
      <vt:lpstr>Lease Car</vt:lpstr>
      <vt:lpstr>Reference</vt:lpstr>
      <vt:lpstr>NewCar!CarCost</vt:lpstr>
      <vt:lpstr>PteCar!CarCost</vt:lpstr>
      <vt:lpstr>CarYear</vt:lpstr>
      <vt:lpstr>NewCar!PARF</vt:lpstr>
      <vt:lpstr>PteCar!PARF</vt:lpstr>
      <vt:lpstr>PteCar!RemainYr</vt:lpstr>
      <vt:lpstr>NewCar!RunCost</vt:lpstr>
      <vt:lpstr>PteCar!RunCost</vt:lpstr>
      <vt:lpstr>YesNo</vt:lpstr>
    </vt:vector>
  </TitlesOfParts>
  <Company>Singapore Government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INLLMCB</dc:creator>
  <cp:lastModifiedBy>Sabrina TING (IRAS)</cp:lastModifiedBy>
  <cp:lastPrinted>2018-11-07T05:57:26Z</cp:lastPrinted>
  <dcterms:created xsi:type="dcterms:W3CDTF">2013-02-18T02:05:34Z</dcterms:created>
  <dcterms:modified xsi:type="dcterms:W3CDTF">2026-03-27T03:40:32Z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f288355-fb4c-44cd-b9ca-40cfc2aee5f8_Enabled">
    <vt:lpwstr>True</vt:lpwstr>
  </property>
  <property fmtid="{D5CDD505-2E9C-101B-9397-08002B2CF9AE}" pid="3" name="MSIP_Label_4f288355-fb4c-44cd-b9ca-40cfc2aee5f8_SiteId">
    <vt:lpwstr>0b11c524-9a1c-4e1b-84cb-6336aefc2243</vt:lpwstr>
  </property>
  <property fmtid="{D5CDD505-2E9C-101B-9397-08002B2CF9AE}" pid="4" name="MSIP_Label_4f288355-fb4c-44cd-b9ca-40cfc2aee5f8_Owner">
    <vt:lpwstr>LEE_Miin_Che@iras.gov.sg</vt:lpwstr>
  </property>
  <property fmtid="{D5CDD505-2E9C-101B-9397-08002B2CF9AE}" pid="5" name="MSIP_Label_4f288355-fb4c-44cd-b9ca-40cfc2aee5f8_SetDate">
    <vt:lpwstr>2019-12-11T09:27:53.2471768Z</vt:lpwstr>
  </property>
  <property fmtid="{D5CDD505-2E9C-101B-9397-08002B2CF9AE}" pid="6" name="MSIP_Label_4f288355-fb4c-44cd-b9ca-40cfc2aee5f8_Name">
    <vt:lpwstr>NON-SENSITIVE</vt:lpwstr>
  </property>
  <property fmtid="{D5CDD505-2E9C-101B-9397-08002B2CF9AE}" pid="7" name="MSIP_Label_4f288355-fb4c-44cd-b9ca-40cfc2aee5f8_Application">
    <vt:lpwstr>Microsoft Azure Information Protection</vt:lpwstr>
  </property>
  <property fmtid="{D5CDD505-2E9C-101B-9397-08002B2CF9AE}" pid="8" name="MSIP_Label_4f288355-fb4c-44cd-b9ca-40cfc2aee5f8_ActionId">
    <vt:lpwstr>ea425de7-2c50-45a6-b921-83545bc4499f</vt:lpwstr>
  </property>
  <property fmtid="{D5CDD505-2E9C-101B-9397-08002B2CF9AE}" pid="9" name="MSIP_Label_4f288355-fb4c-44cd-b9ca-40cfc2aee5f8_Parent">
    <vt:lpwstr>3f9331f7-95a2-472a-92bc-d73219eb516b</vt:lpwstr>
  </property>
  <property fmtid="{D5CDD505-2E9C-101B-9397-08002B2CF9AE}" pid="10" name="MSIP_Label_4f288355-fb4c-44cd-b9ca-40cfc2aee5f8_Extended_MSFT_Method">
    <vt:lpwstr>Automatic</vt:lpwstr>
  </property>
  <property fmtid="{D5CDD505-2E9C-101B-9397-08002B2CF9AE}" pid="11" name="ContentTypeId">
    <vt:lpwstr>0x01010000CD91C384FF2146BB98A616420EA244</vt:lpwstr>
  </property>
  <property fmtid="{D5CDD505-2E9C-101B-9397-08002B2CF9AE}" pid="12" name="MediaServiceImageTags">
    <vt:lpwstr/>
  </property>
  <property fmtid="{D5CDD505-2E9C-101B-9397-08002B2CF9AE}" pid="13" name="MSIP_Label_5434c4c7-833e-41e4-b0ab-cdb227a2f6f7_Enabled">
    <vt:lpwstr>true</vt:lpwstr>
  </property>
  <property fmtid="{D5CDD505-2E9C-101B-9397-08002B2CF9AE}" pid="14" name="MSIP_Label_5434c4c7-833e-41e4-b0ab-cdb227a2f6f7_SetDate">
    <vt:lpwstr>2026-03-27T03:40:31Z</vt:lpwstr>
  </property>
  <property fmtid="{D5CDD505-2E9C-101B-9397-08002B2CF9AE}" pid="15" name="MSIP_Label_5434c4c7-833e-41e4-b0ab-cdb227a2f6f7_Method">
    <vt:lpwstr>Privileged</vt:lpwstr>
  </property>
  <property fmtid="{D5CDD505-2E9C-101B-9397-08002B2CF9AE}" pid="16" name="MSIP_Label_5434c4c7-833e-41e4-b0ab-cdb227a2f6f7_Name">
    <vt:lpwstr>Official (Open)</vt:lpwstr>
  </property>
  <property fmtid="{D5CDD505-2E9C-101B-9397-08002B2CF9AE}" pid="17" name="MSIP_Label_5434c4c7-833e-41e4-b0ab-cdb227a2f6f7_SiteId">
    <vt:lpwstr>0b11c524-9a1c-4e1b-84cb-6336aefc2243</vt:lpwstr>
  </property>
  <property fmtid="{D5CDD505-2E9C-101B-9397-08002B2CF9AE}" pid="18" name="MSIP_Label_5434c4c7-833e-41e4-b0ab-cdb227a2f6f7_ActionId">
    <vt:lpwstr>d00810b8-d4ee-4437-8b07-d8802b2160b1</vt:lpwstr>
  </property>
  <property fmtid="{D5CDD505-2E9C-101B-9397-08002B2CF9AE}" pid="19" name="MSIP_Label_5434c4c7-833e-41e4-b0ab-cdb227a2f6f7_ContentBits">
    <vt:lpwstr>0</vt:lpwstr>
  </property>
  <property fmtid="{D5CDD505-2E9C-101B-9397-08002B2CF9AE}" pid="20" name="MSIP_Label_5434c4c7-833e-41e4-b0ab-cdb227a2f6f7_Tag">
    <vt:lpwstr>10, 0, 1, 1</vt:lpwstr>
  </property>
</Properties>
</file>