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TAT\01_Post\Cavelti\statent\"/>
    </mc:Choice>
  </mc:AlternateContent>
  <xr:revisionPtr revIDLastSave="0" documentId="11_2BCD2561DC94EE47B83EBB91327ACE28F5BF891B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dex" sheetId="1" r:id="rId1"/>
    <sheet name="Erläuterungen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<sst xmlns="http://schemas.openxmlformats.org/spreadsheetml/2006/main" count="529" uniqueCount="67">
  <si>
    <t>Amt für Statistik und Daten</t>
  </si>
  <si>
    <t>Datashop</t>
  </si>
  <si>
    <t>Tel. +41 43 259 75 00</t>
  </si>
  <si>
    <t>datashop@statistik.zh.ch</t>
  </si>
  <si>
    <t>http://www.statistik.zh.ch</t>
  </si>
  <si>
    <t>Aktualisiert am: 20.08.2026 durch: ac</t>
  </si>
  <si>
    <t>Bürozeiten</t>
  </si>
  <si>
    <t>Montag bis Freitag</t>
  </si>
  <si>
    <t>09:00 bis 12:00</t>
  </si>
  <si>
    <t>13:00 bis 16:00</t>
  </si>
  <si>
    <t>BFS, Statistik der Unternehmensstruktur (STATENT)</t>
  </si>
  <si>
    <t>Auswertung</t>
  </si>
  <si>
    <t>Erläuterungen</t>
  </si>
  <si>
    <t xml:space="preserve">Objekt  </t>
  </si>
  <si>
    <t xml:space="preserve">Erläuterung  </t>
  </si>
  <si>
    <t>Zugezogene Betriebe</t>
  </si>
  <si>
    <t>Betriebe, die in einem Jahr t in einem anderen Schweizer Kanton angesiedelt waren und ein Jahr später im Kanton Zürich.</t>
  </si>
  <si>
    <t>Weggezogene Betriebe</t>
  </si>
  <si>
    <t>Betriebe, die in einem Jahr t im Kanton Zürich angesiedelt waren und ein Jahr später in einem anderen Schweizer Kanton.</t>
  </si>
  <si>
    <t/>
  </si>
  <si>
    <t>Ein leeres Feld bedeutet, dass dieser Fall nicht existiert oder augrund der Datenschutzbestimmungen nicht ausgewiesen werden kann.</t>
  </si>
  <si>
    <t>Wanderung von Betrieben nach Zu- / Wegzugskanton 2024</t>
  </si>
  <si>
    <t>Zuzug</t>
  </si>
  <si>
    <t>Wegzug</t>
  </si>
  <si>
    <t xml:space="preserve">Jahr  </t>
  </si>
  <si>
    <t xml:space="preserve">Kantoncode  </t>
  </si>
  <si>
    <t xml:space="preserve">Kanton  </t>
  </si>
  <si>
    <t xml:space="preserve">Arbeitsstätten  </t>
  </si>
  <si>
    <t xml:space="preserve">Beschäftigte  </t>
  </si>
  <si>
    <t xml:space="preserve">Vollzeitäquivalente  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</si>
  <si>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</si>
  <si>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</si>
  <si>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</si>
  <si>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</si>
  <si>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</si>
  <si>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</si>
  <si>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</si>
  <si>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</si>
  <si>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</si>
  <si>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</si>
  <si>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</si>
  <si>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</si>
  <si>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</si>
  <si>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</si>
  <si>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</si>
  <si>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</si>
  <si>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</si>
  <si>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</si>
  <si>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</si>
  <si>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</si>
  <si>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</si>
  <si>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</si>
  <si>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</si>
  <si>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</si>
  <si>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</si>
  <si>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Wanderung von Betrieben nach Zu- / Wegzugskanton 2023</t>
  </si>
  <si>
    <t>Wanderung von Betrieben nach Zu- / Wegzugskanton 2022</t>
  </si>
  <si>
    <t>Wanderung von Betrieben nach Zu- / Wegzugskanton 2021</t>
  </si>
  <si>
    <t>Wanderung von Betrieben nach Zu- / Wegzugskanton 2020</t>
  </si>
  <si>
    <t>Wanderung von Betrieben nach Zu- / Wegzugskanton 2019</t>
  </si>
  <si>
    <t>Wanderung von Betrieben nach Zu- / Wegzugskanton 2018</t>
  </si>
  <si>
    <t>Wanderung von Betrieben nach Zu- / Wegzugskanton 2017</t>
  </si>
  <si>
    <t>Wanderung von Betrieben nach Zu- / Wegzugskanton 2016</t>
  </si>
  <si>
    <t>Wanderung von Betrieben nach Zu- / Wegzugskanton 2015</t>
  </si>
  <si>
    <t>Wanderung von Betrieben nach Zu- / Wegzugskanton 2014</t>
  </si>
  <si>
    <t>Wanderung von Betrieben nach Zu- / Wegzugskanton 2013</t>
  </si>
  <si>
    <t>Wanderung von Betrieben nach Zu- / Wegzugskanton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</si>
</sst>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2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9EE0"/>
      </bottom>
      <diagonal/>
    </border>
    <border>
      <left style="thin">
        <color rgb="FF009EE0"/>
      </left>
      <right/>
      <top/>
      <bottom/>
      <diagonal/>
    </border>
    <border>
      <left style="thin">
        <color rgb="FF009EE0"/>
      </left>
      <right/>
      <top/>
      <bottom style="medium">
        <color rgb="FF009E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/>
    </xf>
    <xf numFmtId="0" fontId="1" fillId="0" borderId="2" xfId="0" applyFont="1" applyBorder="1"/>
    <xf numFmtId="0" fontId="6" fillId="0" borderId="3" xfId="0" applyFont="1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6060" cy="7191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8"/>
  <sheetViews>
    <sheetView showGridLines="0" workbookViewId="0"/>
  </sheetViews>
  <sheetFormatPr baseColWidth="10" defaultRowHeight="14.5" x14ac:dyDescent="0.35"/>
  <cols>
    <col min="1" max="1" width="1.7265625" customWidth="1"/>
  </cols>
  <sheetData>
    <row r="2" spans="1:22" x14ac:dyDescent="0.35">
      <c r="O2" s="6" t="s">
        <v>0</v>
      </c>
      <c r="P2" s="6"/>
      <c r="Q2" s="6"/>
      <c r="R2" s="6"/>
      <c r="S2" s="6"/>
      <c r="T2" s="6" t="s">
        <v>6</v>
      </c>
      <c r="U2" s="6"/>
      <c r="V2" s="6"/>
    </row>
    <row r="3" spans="1:22" x14ac:dyDescent="0.35">
      <c r="O3" s="6" t="s">
        <v>1</v>
      </c>
      <c r="P3" s="6"/>
      <c r="Q3" s="6"/>
      <c r="R3" s="6"/>
      <c r="S3" s="6"/>
      <c r="T3" s="6" t="s">
        <v>7</v>
      </c>
      <c r="U3" s="6"/>
      <c r="V3" s="6"/>
    </row>
    <row r="4" spans="1:22" x14ac:dyDescent="0.35">
      <c r="O4" s="6" t="s">
        <v>2</v>
      </c>
      <c r="P4" s="6"/>
      <c r="Q4" s="6"/>
      <c r="R4" s="6"/>
      <c r="S4" s="6"/>
      <c r="T4" s="6" t="s">
        <v>8</v>
      </c>
      <c r="U4" s="6"/>
      <c r="V4" s="6"/>
    </row>
    <row r="5" spans="1:22" x14ac:dyDescent="0.35">
      <c r="O5" s="6" t="s">
        <v>3</v>
      </c>
      <c r="P5" s="6"/>
      <c r="Q5" s="6"/>
      <c r="R5" s="6"/>
      <c r="S5" s="6"/>
      <c r="T5" s="6" t="s">
        <v>9</v>
      </c>
      <c r="U5" s="6"/>
      <c r="V5" s="6"/>
    </row>
    <row r="6" spans="1:22" x14ac:dyDescent="0.35">
      <c r="O6" s="6" t="s">
        <v>4</v>
      </c>
      <c r="P6" s="6"/>
      <c r="Q6" s="6"/>
      <c r="R6" s="6"/>
      <c r="S6" s="6"/>
    </row>
    <row r="7" spans="1:22" x14ac:dyDescent="0.35">
      <c r="O7" s="6" t="s">
        <v>5</v>
      </c>
      <c r="P7" s="6"/>
      <c r="Q7" s="6"/>
      <c r="R7" s="6"/>
      <c r="S7" s="6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spans="1:22" ht="25" x14ac:dyDescent="0.5"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2" x14ac:dyDescent="0.35">
      <c r="C11" s="8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4" spans="1:22" x14ac:dyDescent="0.35">
      <c r="C14" s="2" t="s">
        <v>11</v>
      </c>
    </row>
    <row r="15" spans="1:22" x14ac:dyDescent="0.35">
      <c r="C15" s="9" t="str">
        <f>HYPERLINK("#'Erläuterungen'!A1", "Erläuterungen")</f>
        <v>Erläuterungen</v>
      </c>
      <c r="D15" s="6"/>
      <c r="E15" s="6"/>
      <c r="F15" s="6"/>
      <c r="G15" s="6" t="s">
        <v>12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2" x14ac:dyDescent="0.35">
      <c r="C16" s="9" t="str">
        <f>HYPERLINK("#'2024'!A1", "2024")</f>
        <v>2024</v>
      </c>
      <c r="D16" s="6"/>
      <c r="E16" s="6"/>
      <c r="F16" s="6"/>
      <c r="G16" s="6" t="s">
        <v>21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3:20" x14ac:dyDescent="0.35">
      <c r="C17" s="9" t="str">
        <f>HYPERLINK("#'2023'!A1", "2023")</f>
        <v>2023</v>
      </c>
      <c r="D17" s="6"/>
      <c r="E17" s="6"/>
      <c r="F17" s="6"/>
      <c r="G17" s="6" t="s">
        <v>55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3:20" x14ac:dyDescent="0.35">
      <c r="C18" s="9" t="str">
        <f>HYPERLINK("#'2022'!A1", "2022")</f>
        <v>2022</v>
      </c>
      <c r="D18" s="6"/>
      <c r="E18" s="6"/>
      <c r="F18" s="6"/>
      <c r="G18" s="6" t="s">
        <v>56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3:20" x14ac:dyDescent="0.35">
      <c r="C19" s="9" t="str">
        <f>HYPERLINK("#'2021'!A1", "2021")</f>
        <v>2021</v>
      </c>
      <c r="D19" s="6"/>
      <c r="E19" s="6"/>
      <c r="F19" s="6"/>
      <c r="G19" s="6" t="s">
        <v>57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3:20" x14ac:dyDescent="0.35">
      <c r="C20" s="9" t="str">
        <f>HYPERLINK("#'2020'!A1", "2020")</f>
        <v>2020</v>
      </c>
      <c r="D20" s="6"/>
      <c r="E20" s="6"/>
      <c r="F20" s="6"/>
      <c r="G20" s="6" t="s">
        <v>58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3:20" x14ac:dyDescent="0.35">
      <c r="C21" s="9" t="str">
        <f>HYPERLINK("#'2019'!A1", "2019")</f>
        <v>2019</v>
      </c>
      <c r="D21" s="6"/>
      <c r="E21" s="6"/>
      <c r="F21" s="6"/>
      <c r="G21" s="6" t="s">
        <v>59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3:20" x14ac:dyDescent="0.35">
      <c r="C22" s="9" t="str">
        <f>HYPERLINK("#'2018'!A1", "2018")</f>
        <v>2018</v>
      </c>
      <c r="D22" s="6"/>
      <c r="E22" s="6"/>
      <c r="F22" s="6"/>
      <c r="G22" s="6" t="s">
        <v>60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3:20" x14ac:dyDescent="0.35">
      <c r="C23" s="9" t="str">
        <f>HYPERLINK("#'2017'!A1", "2017")</f>
        <v>2017</v>
      </c>
      <c r="D23" s="6"/>
      <c r="E23" s="6"/>
      <c r="F23" s="6"/>
      <c r="G23" s="6" t="s">
        <v>61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3:20" x14ac:dyDescent="0.35">
      <c r="C24" s="9" t="str">
        <f>HYPERLINK("#'2016'!A1", "2016")</f>
        <v>2016</v>
      </c>
      <c r="D24" s="6"/>
      <c r="E24" s="6"/>
      <c r="F24" s="6"/>
      <c r="G24" s="6" t="s">
        <v>62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3:20" x14ac:dyDescent="0.35">
      <c r="C25" s="9" t="str">
        <f>HYPERLINK("#'2015'!A1", "2015")</f>
        <v>2015</v>
      </c>
      <c r="D25" s="6"/>
      <c r="E25" s="6"/>
      <c r="F25" s="6"/>
      <c r="G25" s="6" t="s">
        <v>63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3:20" x14ac:dyDescent="0.35">
      <c r="C26" s="9" t="str">
        <f>HYPERLINK("#'2014'!A1", "2014")</f>
        <v>2014</v>
      </c>
      <c r="D26" s="6"/>
      <c r="E26" s="6"/>
      <c r="F26" s="6"/>
      <c r="G26" s="6" t="s">
        <v>64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3:20" x14ac:dyDescent="0.35">
      <c r="C27" s="9" t="str">
        <f>HYPERLINK("#'2013'!A1", "2013")</f>
        <v>2013</v>
      </c>
      <c r="D27" s="6"/>
      <c r="E27" s="6"/>
      <c r="F27" s="6"/>
      <c r="G27" s="6" t="s">
        <v>65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3:20" x14ac:dyDescent="0.35">
      <c r="C28" s="9" t="str">
        <f>HYPERLINK("#'2012'!A1", "2012")</f>
        <v>2012</v>
      </c>
      <c r="D28" s="6"/>
      <c r="E28" s="6"/>
      <c r="F28" s="6"/>
      <c r="G28" s="6" t="s">
        <v>66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</sheetData>
  <mergeCells count="40">
    <mergeCell ref="C28:F28"/>
    <mergeCell ref="G15:T15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27:T27"/>
    <mergeCell ref="G28:T28"/>
    <mergeCell ref="C23:F23"/>
    <mergeCell ref="C24:F24"/>
    <mergeCell ref="C25:F25"/>
    <mergeCell ref="C26:F26"/>
    <mergeCell ref="C27:F27"/>
    <mergeCell ref="C18:F18"/>
    <mergeCell ref="C19:F19"/>
    <mergeCell ref="C20:F20"/>
    <mergeCell ref="C21:F21"/>
    <mergeCell ref="C22:F22"/>
    <mergeCell ref="C10:R10"/>
    <mergeCell ref="C11:R11"/>
    <mergeCell ref="C15:F15"/>
    <mergeCell ref="C16:F16"/>
    <mergeCell ref="C17:F17"/>
    <mergeCell ref="O7:S7"/>
    <mergeCell ref="T2:V2"/>
    <mergeCell ref="T3:V3"/>
    <mergeCell ref="T4:V4"/>
    <mergeCell ref="T5:V5"/>
    <mergeCell ref="O2:S2"/>
    <mergeCell ref="O3:S3"/>
    <mergeCell ref="O4:S4"/>
    <mergeCell ref="O5:S5"/>
    <mergeCell ref="O6:S6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tabSelected="1" workbookViewId="0">
      <selection sqref="A1:R1"/>
    </sheetView>
  </sheetViews>
  <sheetFormatPr baseColWidth="10" defaultRowHeight="14.5" x14ac:dyDescent="0.35"/>
  <cols>
    <col min="1" max="1" width="20.7265625" customWidth="1"/>
    <col min="2" max="2" width="130.7265625" customWidth="1"/>
  </cols>
  <sheetData>
    <row r="1" spans="1:18" ht="18" x14ac:dyDescent="0.4">
      <c r="A1" s="10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ht="15.5" x14ac:dyDescent="0.35">
      <c r="A4" s="3" t="s">
        <v>13</v>
      </c>
      <c r="B4" s="3" t="s">
        <v>14</v>
      </c>
    </row>
    <row r="5" spans="1:18" x14ac:dyDescent="0.35">
      <c r="A5" t="s">
        <v>15</v>
      </c>
      <c r="B5" t="s">
        <v>16</v>
      </c>
    </row>
    <row r="6" spans="1:18" x14ac:dyDescent="0.35">
      <c r="A6" t="s">
        <v>17</v>
      </c>
      <c r="B6" t="s">
        <v>18</v>
      </c>
    </row>
    <row r="7" spans="1:18" x14ac:dyDescent="0.35">
      <c r="A7" t="s">
        <v>19</v>
      </c>
      <c r="B7" t="s">
        <v>20</v>
      </c>
    </row>
  </sheetData>
  <mergeCells count="2">
    <mergeCell ref="A1:R1"/>
    <mergeCell ref="A2:R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2024</v>
      </c>
      <c r="B6">
        <v>2</v>
      </c>
      <c r="C6" t="s">
        <v>30</v>
      </c>
      <c r="D6" s="4">
        <v>43</v>
      </c>
      <c r="E6">
        <v>72</v>
      </c>
      <c r="F6">
        <v>54.6</v>
      </c>
      <c r="G6" s="4">
        <v>45</v>
      </c>
      <c r="H6">
        <v>158</v>
      </c>
      <c r="I6">
        <v>107.2</v>
      </c>
    </row>
    <row r="7" spans="1:18" x14ac:dyDescent="0.35">
      <c r="A7">
        <v>2024</v>
      </c>
      <c r="B7">
        <v>3</v>
      </c>
      <c r="C7" t="s">
        <v>31</v>
      </c>
      <c r="D7" s="4">
        <v>38</v>
      </c>
      <c r="E7">
        <v>132</v>
      </c>
      <c r="F7">
        <v>98.8</v>
      </c>
      <c r="G7" s="4">
        <v>45</v>
      </c>
      <c r="H7">
        <v>104</v>
      </c>
      <c r="I7">
        <v>77.3</v>
      </c>
    </row>
    <row r="8" spans="1:18" x14ac:dyDescent="0.35">
      <c r="A8">
        <v>2024</v>
      </c>
      <c r="B8">
        <v>4</v>
      </c>
      <c r="C8" t="s">
        <v>32</v>
      </c>
      <c r="D8" s="4"/>
      <c r="E8">
        <v>4</v>
      </c>
      <c r="G8" s="4">
        <v>6</v>
      </c>
      <c r="H8">
        <v>10</v>
      </c>
      <c r="I8">
        <v>7.1</v>
      </c>
    </row>
    <row r="9" spans="1:18" x14ac:dyDescent="0.35">
      <c r="A9">
        <v>2024</v>
      </c>
      <c r="B9">
        <v>5</v>
      </c>
      <c r="C9" t="s">
        <v>33</v>
      </c>
      <c r="D9" s="4">
        <v>60</v>
      </c>
      <c r="E9">
        <v>233</v>
      </c>
      <c r="F9">
        <v>173.9</v>
      </c>
      <c r="G9" s="4">
        <v>108</v>
      </c>
      <c r="H9">
        <v>483</v>
      </c>
      <c r="I9">
        <v>324.8</v>
      </c>
    </row>
    <row r="10" spans="1:18" x14ac:dyDescent="0.35">
      <c r="A10">
        <v>2024</v>
      </c>
      <c r="B10">
        <v>6</v>
      </c>
      <c r="C10" t="s">
        <v>34</v>
      </c>
      <c r="D10" s="4">
        <v>3</v>
      </c>
      <c r="E10">
        <v>5</v>
      </c>
      <c r="F10">
        <v>4.7</v>
      </c>
      <c r="G10" s="4">
        <v>3</v>
      </c>
      <c r="H10">
        <v>6</v>
      </c>
      <c r="I10">
        <v>4.0999999999999996</v>
      </c>
    </row>
    <row r="11" spans="1:18" x14ac:dyDescent="0.35">
      <c r="A11">
        <v>2024</v>
      </c>
      <c r="B11">
        <v>7</v>
      </c>
      <c r="C11" t="s">
        <v>35</v>
      </c>
      <c r="D11" s="4">
        <v>3</v>
      </c>
      <c r="E11">
        <v>40</v>
      </c>
      <c r="F11">
        <v>35.9</v>
      </c>
      <c r="G11" s="4">
        <v>5</v>
      </c>
      <c r="H11">
        <v>7</v>
      </c>
      <c r="I11">
        <v>4.5999999999999996</v>
      </c>
    </row>
    <row r="12" spans="1:18" x14ac:dyDescent="0.35">
      <c r="A12">
        <v>2024</v>
      </c>
      <c r="B12">
        <v>8</v>
      </c>
      <c r="C12" t="s">
        <v>36</v>
      </c>
      <c r="D12" s="4">
        <v>3</v>
      </c>
      <c r="G12" s="4">
        <v>11</v>
      </c>
      <c r="H12">
        <v>30</v>
      </c>
      <c r="I12">
        <v>24.2</v>
      </c>
    </row>
    <row r="13" spans="1:18" x14ac:dyDescent="0.35">
      <c r="A13">
        <v>2024</v>
      </c>
      <c r="B13">
        <v>9</v>
      </c>
      <c r="C13" t="s">
        <v>37</v>
      </c>
      <c r="D13" s="4">
        <v>124</v>
      </c>
      <c r="E13">
        <v>555</v>
      </c>
      <c r="F13">
        <v>477.4</v>
      </c>
      <c r="G13" s="4">
        <v>153</v>
      </c>
      <c r="H13">
        <v>707</v>
      </c>
      <c r="I13">
        <v>559</v>
      </c>
    </row>
    <row r="14" spans="1:18" x14ac:dyDescent="0.35">
      <c r="A14">
        <v>2024</v>
      </c>
      <c r="B14">
        <v>10</v>
      </c>
      <c r="C14" t="s">
        <v>38</v>
      </c>
      <c r="D14" s="4">
        <v>5</v>
      </c>
      <c r="E14">
        <v>8</v>
      </c>
      <c r="F14">
        <v>6</v>
      </c>
      <c r="G14" s="4">
        <v>3</v>
      </c>
      <c r="H14">
        <v>27</v>
      </c>
      <c r="I14">
        <v>24.4</v>
      </c>
    </row>
    <row r="15" spans="1:18" x14ac:dyDescent="0.35">
      <c r="A15">
        <v>2024</v>
      </c>
      <c r="B15">
        <v>11</v>
      </c>
      <c r="C15" t="s">
        <v>39</v>
      </c>
      <c r="D15" s="4">
        <v>16</v>
      </c>
      <c r="E15">
        <v>32</v>
      </c>
      <c r="F15">
        <v>22.2</v>
      </c>
      <c r="G15" s="4">
        <v>16</v>
      </c>
      <c r="H15">
        <v>33</v>
      </c>
      <c r="I15">
        <v>24</v>
      </c>
    </row>
    <row r="16" spans="1:18" x14ac:dyDescent="0.35">
      <c r="A16">
        <v>2024</v>
      </c>
      <c r="B16">
        <v>12</v>
      </c>
      <c r="C16" t="s">
        <v>40</v>
      </c>
      <c r="D16" s="4">
        <v>16</v>
      </c>
      <c r="E16">
        <v>51</v>
      </c>
      <c r="F16">
        <v>41.6</v>
      </c>
      <c r="G16" s="4">
        <v>33</v>
      </c>
      <c r="H16">
        <v>196</v>
      </c>
      <c r="I16">
        <v>134.5</v>
      </c>
    </row>
    <row r="17" spans="1:9" x14ac:dyDescent="0.35">
      <c r="A17">
        <v>2024</v>
      </c>
      <c r="B17">
        <v>13</v>
      </c>
      <c r="C17" t="s">
        <v>41</v>
      </c>
      <c r="D17" s="4">
        <v>14</v>
      </c>
      <c r="E17">
        <v>16</v>
      </c>
      <c r="F17">
        <v>13.2</v>
      </c>
      <c r="G17" s="4">
        <v>7</v>
      </c>
      <c r="H17">
        <v>8</v>
      </c>
      <c r="I17">
        <v>6.2</v>
      </c>
    </row>
    <row r="18" spans="1:9" x14ac:dyDescent="0.35">
      <c r="A18">
        <v>2024</v>
      </c>
      <c r="B18">
        <v>14</v>
      </c>
      <c r="C18" t="s">
        <v>42</v>
      </c>
      <c r="D18" s="4">
        <v>22</v>
      </c>
      <c r="E18">
        <v>32</v>
      </c>
      <c r="F18">
        <v>17.7</v>
      </c>
      <c r="G18" s="4">
        <v>36</v>
      </c>
      <c r="H18">
        <v>54</v>
      </c>
      <c r="I18">
        <v>38.5</v>
      </c>
    </row>
    <row r="19" spans="1:9" x14ac:dyDescent="0.35">
      <c r="A19">
        <v>2024</v>
      </c>
      <c r="B19">
        <v>15</v>
      </c>
      <c r="C19" t="s">
        <v>43</v>
      </c>
      <c r="D19" s="4">
        <v>8</v>
      </c>
      <c r="E19">
        <v>12</v>
      </c>
      <c r="F19">
        <v>9.1999999999999993</v>
      </c>
      <c r="G19" s="4">
        <v>12</v>
      </c>
      <c r="H19">
        <v>15</v>
      </c>
      <c r="I19">
        <v>10.199999999999999</v>
      </c>
    </row>
    <row r="20" spans="1:9" x14ac:dyDescent="0.35">
      <c r="A20">
        <v>2024</v>
      </c>
      <c r="B20">
        <v>16</v>
      </c>
      <c r="C20" t="s">
        <v>44</v>
      </c>
      <c r="D20" s="4">
        <v>4</v>
      </c>
      <c r="E20">
        <v>15</v>
      </c>
      <c r="F20">
        <v>13.7</v>
      </c>
      <c r="G20" s="4"/>
      <c r="H20">
        <v>4</v>
      </c>
    </row>
    <row r="21" spans="1:9" x14ac:dyDescent="0.35">
      <c r="A21">
        <v>2024</v>
      </c>
      <c r="B21">
        <v>17</v>
      </c>
      <c r="C21" t="s">
        <v>45</v>
      </c>
      <c r="D21" s="4">
        <v>44</v>
      </c>
      <c r="E21">
        <v>94</v>
      </c>
      <c r="F21">
        <v>71.7</v>
      </c>
      <c r="G21" s="4">
        <v>98</v>
      </c>
      <c r="H21">
        <v>228</v>
      </c>
      <c r="I21">
        <v>166.7</v>
      </c>
    </row>
    <row r="22" spans="1:9" x14ac:dyDescent="0.35">
      <c r="A22">
        <v>2024</v>
      </c>
      <c r="B22">
        <v>18</v>
      </c>
      <c r="C22" t="s">
        <v>46</v>
      </c>
      <c r="D22" s="4">
        <v>20</v>
      </c>
      <c r="E22">
        <v>36</v>
      </c>
      <c r="F22">
        <v>25.7</v>
      </c>
      <c r="G22" s="4">
        <v>38</v>
      </c>
      <c r="H22">
        <v>49</v>
      </c>
      <c r="I22">
        <v>33</v>
      </c>
    </row>
    <row r="23" spans="1:9" x14ac:dyDescent="0.35">
      <c r="A23">
        <v>2024</v>
      </c>
      <c r="B23">
        <v>19</v>
      </c>
      <c r="C23" t="s">
        <v>47</v>
      </c>
      <c r="D23" s="4">
        <v>91</v>
      </c>
      <c r="E23">
        <v>396</v>
      </c>
      <c r="F23">
        <v>333.8</v>
      </c>
      <c r="G23" s="4">
        <v>177</v>
      </c>
      <c r="H23">
        <v>654</v>
      </c>
      <c r="I23">
        <v>521.1</v>
      </c>
    </row>
    <row r="24" spans="1:9" x14ac:dyDescent="0.35">
      <c r="A24">
        <v>2024</v>
      </c>
      <c r="B24">
        <v>20</v>
      </c>
      <c r="C24" t="s">
        <v>48</v>
      </c>
      <c r="D24" s="4">
        <v>42</v>
      </c>
      <c r="E24">
        <v>82</v>
      </c>
      <c r="F24">
        <v>63.8</v>
      </c>
      <c r="G24" s="4">
        <v>80</v>
      </c>
      <c r="H24">
        <v>344</v>
      </c>
      <c r="I24">
        <v>278.60000000000002</v>
      </c>
    </row>
    <row r="25" spans="1:9" x14ac:dyDescent="0.35">
      <c r="A25">
        <v>2024</v>
      </c>
      <c r="B25">
        <v>21</v>
      </c>
      <c r="C25" t="s">
        <v>49</v>
      </c>
      <c r="D25" s="4">
        <v>15</v>
      </c>
      <c r="E25">
        <v>36</v>
      </c>
      <c r="F25">
        <v>27</v>
      </c>
      <c r="G25" s="4">
        <v>14</v>
      </c>
      <c r="H25">
        <v>72</v>
      </c>
      <c r="I25">
        <v>62.5</v>
      </c>
    </row>
    <row r="26" spans="1:9" x14ac:dyDescent="0.35">
      <c r="A26">
        <v>2024</v>
      </c>
      <c r="B26">
        <v>22</v>
      </c>
      <c r="C26" t="s">
        <v>50</v>
      </c>
      <c r="D26" s="4">
        <v>10</v>
      </c>
      <c r="E26">
        <v>41</v>
      </c>
      <c r="F26">
        <v>36</v>
      </c>
      <c r="G26" s="4">
        <v>10</v>
      </c>
      <c r="H26">
        <v>14</v>
      </c>
      <c r="I26">
        <v>10</v>
      </c>
    </row>
    <row r="27" spans="1:9" x14ac:dyDescent="0.35">
      <c r="A27">
        <v>2024</v>
      </c>
      <c r="B27">
        <v>23</v>
      </c>
      <c r="C27" t="s">
        <v>51</v>
      </c>
      <c r="D27" s="4">
        <v>5</v>
      </c>
      <c r="E27">
        <v>18</v>
      </c>
      <c r="F27">
        <v>14.5</v>
      </c>
      <c r="G27" s="4">
        <v>6</v>
      </c>
      <c r="H27">
        <v>8</v>
      </c>
    </row>
    <row r="28" spans="1:9" x14ac:dyDescent="0.35">
      <c r="A28">
        <v>2024</v>
      </c>
      <c r="B28">
        <v>24</v>
      </c>
      <c r="C28" t="s">
        <v>52</v>
      </c>
      <c r="D28" s="4"/>
      <c r="G28" s="4"/>
      <c r="H28">
        <v>9</v>
      </c>
      <c r="I28">
        <v>8</v>
      </c>
    </row>
    <row r="29" spans="1:9" x14ac:dyDescent="0.35">
      <c r="A29">
        <v>2024</v>
      </c>
      <c r="B29">
        <v>25</v>
      </c>
      <c r="C29" t="s">
        <v>53</v>
      </c>
      <c r="D29" s="4">
        <v>3</v>
      </c>
      <c r="E29">
        <v>4</v>
      </c>
      <c r="G29" s="4">
        <v>3</v>
      </c>
    </row>
    <row r="30" spans="1:9" x14ac:dyDescent="0.35">
      <c r="A30">
        <v>2024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2023</v>
      </c>
      <c r="B6">
        <v>2</v>
      </c>
      <c r="C6" t="s">
        <v>30</v>
      </c>
      <c r="D6" s="4">
        <v>36</v>
      </c>
      <c r="E6">
        <v>63</v>
      </c>
      <c r="F6">
        <v>42.7</v>
      </c>
      <c r="G6" s="4">
        <v>34</v>
      </c>
      <c r="H6">
        <v>55</v>
      </c>
      <c r="I6">
        <v>39</v>
      </c>
    </row>
    <row r="7" spans="1:18" x14ac:dyDescent="0.35">
      <c r="A7">
        <v>2023</v>
      </c>
      <c r="B7">
        <v>3</v>
      </c>
      <c r="C7" t="s">
        <v>31</v>
      </c>
      <c r="D7" s="4">
        <v>33</v>
      </c>
      <c r="E7">
        <v>157</v>
      </c>
      <c r="F7">
        <v>112.9</v>
      </c>
      <c r="G7" s="4">
        <v>49</v>
      </c>
      <c r="H7">
        <v>130</v>
      </c>
      <c r="I7">
        <v>87.4</v>
      </c>
    </row>
    <row r="8" spans="1:18" x14ac:dyDescent="0.35">
      <c r="A8">
        <v>2023</v>
      </c>
      <c r="B8">
        <v>4</v>
      </c>
      <c r="C8" t="s">
        <v>32</v>
      </c>
      <c r="D8" s="4"/>
      <c r="E8">
        <v>12</v>
      </c>
      <c r="F8">
        <v>7.7</v>
      </c>
      <c r="G8" s="4"/>
    </row>
    <row r="9" spans="1:18" x14ac:dyDescent="0.35">
      <c r="A9">
        <v>2023</v>
      </c>
      <c r="B9">
        <v>5</v>
      </c>
      <c r="C9" t="s">
        <v>33</v>
      </c>
      <c r="D9" s="4">
        <v>53</v>
      </c>
      <c r="E9">
        <v>204</v>
      </c>
      <c r="F9">
        <v>133.1</v>
      </c>
      <c r="G9" s="4">
        <v>108</v>
      </c>
      <c r="H9">
        <v>542</v>
      </c>
      <c r="I9">
        <v>417.2</v>
      </c>
    </row>
    <row r="10" spans="1:18" x14ac:dyDescent="0.35">
      <c r="A10">
        <v>2023</v>
      </c>
      <c r="B10">
        <v>6</v>
      </c>
      <c r="C10" t="s">
        <v>34</v>
      </c>
      <c r="D10" s="4">
        <v>4</v>
      </c>
      <c r="E10">
        <v>12</v>
      </c>
      <c r="F10">
        <v>7.1</v>
      </c>
      <c r="G10" s="4">
        <v>4</v>
      </c>
      <c r="H10">
        <v>7</v>
      </c>
      <c r="I10">
        <v>5.4</v>
      </c>
    </row>
    <row r="11" spans="1:18" x14ac:dyDescent="0.35">
      <c r="A11">
        <v>2023</v>
      </c>
      <c r="B11">
        <v>7</v>
      </c>
      <c r="C11" t="s">
        <v>35</v>
      </c>
      <c r="D11" s="4">
        <v>8</v>
      </c>
      <c r="E11">
        <v>65</v>
      </c>
      <c r="F11">
        <v>55</v>
      </c>
      <c r="G11" s="4">
        <v>6</v>
      </c>
      <c r="H11">
        <v>27</v>
      </c>
      <c r="I11">
        <v>16.600000000000001</v>
      </c>
    </row>
    <row r="12" spans="1:18" x14ac:dyDescent="0.35">
      <c r="A12">
        <v>2023</v>
      </c>
      <c r="B12">
        <v>8</v>
      </c>
      <c r="C12" t="s">
        <v>36</v>
      </c>
      <c r="D12" s="4">
        <v>4</v>
      </c>
      <c r="E12">
        <v>13</v>
      </c>
      <c r="F12">
        <v>11.8</v>
      </c>
      <c r="G12" s="4">
        <v>8</v>
      </c>
      <c r="H12">
        <v>79</v>
      </c>
      <c r="I12">
        <v>66.400000000000006</v>
      </c>
    </row>
    <row r="13" spans="1:18" x14ac:dyDescent="0.35">
      <c r="A13">
        <v>2023</v>
      </c>
      <c r="B13">
        <v>9</v>
      </c>
      <c r="C13" t="s">
        <v>37</v>
      </c>
      <c r="D13" s="4">
        <v>119</v>
      </c>
      <c r="E13">
        <v>860</v>
      </c>
      <c r="F13">
        <v>700.3</v>
      </c>
      <c r="G13" s="4">
        <v>119</v>
      </c>
      <c r="H13">
        <v>816</v>
      </c>
      <c r="I13">
        <v>677.3</v>
      </c>
    </row>
    <row r="14" spans="1:18" x14ac:dyDescent="0.35">
      <c r="A14">
        <v>2023</v>
      </c>
      <c r="B14">
        <v>10</v>
      </c>
      <c r="C14" t="s">
        <v>38</v>
      </c>
      <c r="D14" s="4">
        <v>3</v>
      </c>
      <c r="E14">
        <v>4</v>
      </c>
      <c r="G14" s="4"/>
      <c r="H14">
        <v>6</v>
      </c>
      <c r="I14">
        <v>5.7</v>
      </c>
    </row>
    <row r="15" spans="1:18" x14ac:dyDescent="0.35">
      <c r="A15">
        <v>2023</v>
      </c>
      <c r="B15">
        <v>11</v>
      </c>
      <c r="C15" t="s">
        <v>39</v>
      </c>
      <c r="D15" s="4">
        <v>12</v>
      </c>
      <c r="E15">
        <v>34</v>
      </c>
      <c r="F15">
        <v>21.7</v>
      </c>
      <c r="G15" s="4">
        <v>21</v>
      </c>
      <c r="H15">
        <v>430</v>
      </c>
      <c r="I15">
        <v>344.9</v>
      </c>
    </row>
    <row r="16" spans="1:18" x14ac:dyDescent="0.35">
      <c r="A16">
        <v>2023</v>
      </c>
      <c r="B16">
        <v>12</v>
      </c>
      <c r="C16" t="s">
        <v>40</v>
      </c>
      <c r="D16" s="4">
        <v>16</v>
      </c>
      <c r="E16">
        <v>30</v>
      </c>
      <c r="F16">
        <v>21.8</v>
      </c>
      <c r="G16" s="4">
        <v>30</v>
      </c>
      <c r="H16">
        <v>49</v>
      </c>
      <c r="I16">
        <v>35.5</v>
      </c>
    </row>
    <row r="17" spans="1:9" x14ac:dyDescent="0.35">
      <c r="A17">
        <v>2023</v>
      </c>
      <c r="B17">
        <v>13</v>
      </c>
      <c r="C17" t="s">
        <v>41</v>
      </c>
      <c r="D17" s="4">
        <v>12</v>
      </c>
      <c r="E17">
        <v>32</v>
      </c>
      <c r="F17">
        <v>25.7</v>
      </c>
      <c r="G17" s="4">
        <v>11</v>
      </c>
      <c r="H17">
        <v>26</v>
      </c>
      <c r="I17">
        <v>18.2</v>
      </c>
    </row>
    <row r="18" spans="1:9" x14ac:dyDescent="0.35">
      <c r="A18">
        <v>2023</v>
      </c>
      <c r="B18">
        <v>14</v>
      </c>
      <c r="C18" t="s">
        <v>42</v>
      </c>
      <c r="D18" s="4">
        <v>20</v>
      </c>
      <c r="E18">
        <v>61</v>
      </c>
      <c r="F18">
        <v>42.4</v>
      </c>
      <c r="G18" s="4">
        <v>32</v>
      </c>
      <c r="H18">
        <v>69</v>
      </c>
      <c r="I18">
        <v>50.3</v>
      </c>
    </row>
    <row r="19" spans="1:9" x14ac:dyDescent="0.35">
      <c r="A19">
        <v>2023</v>
      </c>
      <c r="B19">
        <v>15</v>
      </c>
      <c r="C19" t="s">
        <v>43</v>
      </c>
      <c r="D19" s="4">
        <v>15</v>
      </c>
      <c r="E19">
        <v>21</v>
      </c>
      <c r="F19">
        <v>15.3</v>
      </c>
      <c r="G19" s="4">
        <v>5</v>
      </c>
      <c r="H19">
        <v>6</v>
      </c>
      <c r="I19">
        <v>4.2</v>
      </c>
    </row>
    <row r="20" spans="1:9" x14ac:dyDescent="0.35">
      <c r="A20">
        <v>2023</v>
      </c>
      <c r="B20">
        <v>16</v>
      </c>
      <c r="C20" t="s">
        <v>44</v>
      </c>
      <c r="D20" s="4"/>
      <c r="G20" s="4"/>
    </row>
    <row r="21" spans="1:9" x14ac:dyDescent="0.35">
      <c r="A21">
        <v>2023</v>
      </c>
      <c r="B21">
        <v>17</v>
      </c>
      <c r="C21" t="s">
        <v>45</v>
      </c>
      <c r="D21" s="4">
        <v>54</v>
      </c>
      <c r="E21">
        <v>146</v>
      </c>
      <c r="F21">
        <v>105.7</v>
      </c>
      <c r="G21" s="4">
        <v>95</v>
      </c>
      <c r="H21">
        <v>189</v>
      </c>
      <c r="I21">
        <v>136.30000000000001</v>
      </c>
    </row>
    <row r="22" spans="1:9" x14ac:dyDescent="0.35">
      <c r="A22">
        <v>2023</v>
      </c>
      <c r="B22">
        <v>18</v>
      </c>
      <c r="C22" t="s">
        <v>46</v>
      </c>
      <c r="D22" s="4">
        <v>16</v>
      </c>
      <c r="E22">
        <v>48</v>
      </c>
      <c r="F22">
        <v>32.4</v>
      </c>
      <c r="G22" s="4">
        <v>33</v>
      </c>
      <c r="H22">
        <v>49</v>
      </c>
      <c r="I22">
        <v>34.700000000000003</v>
      </c>
    </row>
    <row r="23" spans="1:9" x14ac:dyDescent="0.35">
      <c r="A23">
        <v>2023</v>
      </c>
      <c r="B23">
        <v>19</v>
      </c>
      <c r="C23" t="s">
        <v>47</v>
      </c>
      <c r="D23" s="4">
        <v>95</v>
      </c>
      <c r="E23">
        <v>175</v>
      </c>
      <c r="F23">
        <v>118.3</v>
      </c>
      <c r="G23" s="4">
        <v>114</v>
      </c>
      <c r="H23">
        <v>288</v>
      </c>
      <c r="I23">
        <v>192.8</v>
      </c>
    </row>
    <row r="24" spans="1:9" x14ac:dyDescent="0.35">
      <c r="A24">
        <v>2023</v>
      </c>
      <c r="B24">
        <v>20</v>
      </c>
      <c r="C24" t="s">
        <v>48</v>
      </c>
      <c r="D24" s="4">
        <v>42</v>
      </c>
      <c r="E24">
        <v>66</v>
      </c>
      <c r="F24">
        <v>44.8</v>
      </c>
      <c r="G24" s="4">
        <v>73</v>
      </c>
      <c r="H24">
        <v>190</v>
      </c>
      <c r="I24">
        <v>149.5</v>
      </c>
    </row>
    <row r="25" spans="1:9" x14ac:dyDescent="0.35">
      <c r="A25">
        <v>2023</v>
      </c>
      <c r="B25">
        <v>21</v>
      </c>
      <c r="C25" t="s">
        <v>49</v>
      </c>
      <c r="D25" s="4">
        <v>12</v>
      </c>
      <c r="E25">
        <v>45</v>
      </c>
      <c r="F25">
        <v>34.5</v>
      </c>
      <c r="G25" s="4">
        <v>23</v>
      </c>
      <c r="H25">
        <v>47</v>
      </c>
      <c r="I25">
        <v>25.5</v>
      </c>
    </row>
    <row r="26" spans="1:9" x14ac:dyDescent="0.35">
      <c r="A26">
        <v>2023</v>
      </c>
      <c r="B26">
        <v>22</v>
      </c>
      <c r="C26" t="s">
        <v>50</v>
      </c>
      <c r="D26" s="4">
        <v>5</v>
      </c>
      <c r="E26">
        <v>16</v>
      </c>
      <c r="F26">
        <v>10.6</v>
      </c>
      <c r="G26" s="4">
        <v>10</v>
      </c>
      <c r="H26">
        <v>31</v>
      </c>
      <c r="I26">
        <v>19.100000000000001</v>
      </c>
    </row>
    <row r="27" spans="1:9" x14ac:dyDescent="0.35">
      <c r="A27">
        <v>2023</v>
      </c>
      <c r="B27">
        <v>23</v>
      </c>
      <c r="C27" t="s">
        <v>51</v>
      </c>
      <c r="D27" s="4">
        <v>3</v>
      </c>
      <c r="E27">
        <v>18</v>
      </c>
      <c r="F27">
        <v>12.5</v>
      </c>
      <c r="G27" s="4">
        <v>4</v>
      </c>
      <c r="H27">
        <v>6</v>
      </c>
      <c r="I27">
        <v>4.3</v>
      </c>
    </row>
    <row r="28" spans="1:9" x14ac:dyDescent="0.35">
      <c r="A28">
        <v>2023</v>
      </c>
      <c r="B28">
        <v>24</v>
      </c>
      <c r="C28" t="s">
        <v>52</v>
      </c>
      <c r="D28" s="4"/>
      <c r="G28" s="4"/>
      <c r="H28">
        <v>6</v>
      </c>
    </row>
    <row r="29" spans="1:9" x14ac:dyDescent="0.35">
      <c r="A29">
        <v>2023</v>
      </c>
      <c r="B29">
        <v>25</v>
      </c>
      <c r="C29" t="s">
        <v>53</v>
      </c>
      <c r="D29" s="4">
        <v>7</v>
      </c>
      <c r="E29">
        <v>10</v>
      </c>
      <c r="F29">
        <v>8.4</v>
      </c>
      <c r="G29" s="4">
        <v>6</v>
      </c>
      <c r="H29">
        <v>46</v>
      </c>
      <c r="I29">
        <v>32.799999999999997</v>
      </c>
    </row>
    <row r="30" spans="1:9" x14ac:dyDescent="0.35">
      <c r="A30">
        <v>2023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2022</v>
      </c>
      <c r="B6">
        <v>2</v>
      </c>
      <c r="C6" t="s">
        <v>30</v>
      </c>
      <c r="D6" s="4">
        <v>32</v>
      </c>
      <c r="E6">
        <v>120</v>
      </c>
      <c r="F6">
        <v>75.7</v>
      </c>
      <c r="G6" s="4">
        <v>39</v>
      </c>
      <c r="H6">
        <v>77</v>
      </c>
      <c r="I6">
        <v>43.6</v>
      </c>
    </row>
    <row r="7" spans="1:18" x14ac:dyDescent="0.35">
      <c r="A7">
        <v>2022</v>
      </c>
      <c r="B7">
        <v>3</v>
      </c>
      <c r="C7" t="s">
        <v>31</v>
      </c>
      <c r="D7" s="4">
        <v>47</v>
      </c>
      <c r="E7">
        <v>393</v>
      </c>
      <c r="F7">
        <v>321.89999999999998</v>
      </c>
      <c r="G7" s="4">
        <v>31</v>
      </c>
      <c r="H7">
        <v>61</v>
      </c>
      <c r="I7">
        <v>47.2</v>
      </c>
    </row>
    <row r="8" spans="1:18" x14ac:dyDescent="0.35">
      <c r="A8">
        <v>2022</v>
      </c>
      <c r="B8">
        <v>4</v>
      </c>
      <c r="C8" t="s">
        <v>32</v>
      </c>
      <c r="D8" s="4"/>
      <c r="G8" s="4">
        <v>4</v>
      </c>
      <c r="H8">
        <v>25</v>
      </c>
      <c r="I8">
        <v>20.100000000000001</v>
      </c>
    </row>
    <row r="9" spans="1:18" x14ac:dyDescent="0.35">
      <c r="A9">
        <v>2022</v>
      </c>
      <c r="B9">
        <v>5</v>
      </c>
      <c r="C9" t="s">
        <v>33</v>
      </c>
      <c r="D9" s="4">
        <v>65</v>
      </c>
      <c r="E9">
        <v>149</v>
      </c>
      <c r="F9">
        <v>117.3</v>
      </c>
      <c r="G9" s="4">
        <v>103</v>
      </c>
      <c r="H9">
        <v>380</v>
      </c>
      <c r="I9">
        <v>324.89999999999998</v>
      </c>
    </row>
    <row r="10" spans="1:18" x14ac:dyDescent="0.35">
      <c r="A10">
        <v>2022</v>
      </c>
      <c r="B10">
        <v>6</v>
      </c>
      <c r="C10" t="s">
        <v>34</v>
      </c>
      <c r="D10" s="4">
        <v>7</v>
      </c>
      <c r="E10">
        <v>31</v>
      </c>
      <c r="F10">
        <v>24.6</v>
      </c>
      <c r="G10" s="4">
        <v>7</v>
      </c>
      <c r="H10">
        <v>7</v>
      </c>
    </row>
    <row r="11" spans="1:18" x14ac:dyDescent="0.35">
      <c r="A11">
        <v>2022</v>
      </c>
      <c r="B11">
        <v>7</v>
      </c>
      <c r="C11" t="s">
        <v>35</v>
      </c>
      <c r="D11" s="4"/>
      <c r="G11" s="4">
        <v>6</v>
      </c>
      <c r="H11">
        <v>14</v>
      </c>
      <c r="I11">
        <v>8.1</v>
      </c>
    </row>
    <row r="12" spans="1:18" x14ac:dyDescent="0.35">
      <c r="A12">
        <v>2022</v>
      </c>
      <c r="B12">
        <v>8</v>
      </c>
      <c r="C12" t="s">
        <v>36</v>
      </c>
      <c r="D12" s="4">
        <v>6</v>
      </c>
      <c r="E12">
        <v>17</v>
      </c>
      <c r="F12">
        <v>12.8</v>
      </c>
      <c r="G12" s="4">
        <v>13</v>
      </c>
      <c r="H12">
        <v>17</v>
      </c>
      <c r="I12">
        <v>11.5</v>
      </c>
    </row>
    <row r="13" spans="1:18" x14ac:dyDescent="0.35">
      <c r="A13">
        <v>2022</v>
      </c>
      <c r="B13">
        <v>9</v>
      </c>
      <c r="C13" t="s">
        <v>37</v>
      </c>
      <c r="D13" s="4">
        <v>96</v>
      </c>
      <c r="E13">
        <v>396</v>
      </c>
      <c r="F13">
        <v>336.5</v>
      </c>
      <c r="G13" s="4">
        <v>134</v>
      </c>
      <c r="H13">
        <v>531</v>
      </c>
      <c r="I13">
        <v>439.9</v>
      </c>
    </row>
    <row r="14" spans="1:18" x14ac:dyDescent="0.35">
      <c r="A14">
        <v>2022</v>
      </c>
      <c r="B14">
        <v>10</v>
      </c>
      <c r="C14" t="s">
        <v>38</v>
      </c>
      <c r="D14" s="4">
        <v>4</v>
      </c>
      <c r="E14">
        <v>7</v>
      </c>
      <c r="F14">
        <v>5</v>
      </c>
      <c r="G14" s="4">
        <v>6</v>
      </c>
      <c r="H14">
        <v>36</v>
      </c>
      <c r="I14">
        <v>32</v>
      </c>
    </row>
    <row r="15" spans="1:18" x14ac:dyDescent="0.35">
      <c r="A15">
        <v>2022</v>
      </c>
      <c r="B15">
        <v>11</v>
      </c>
      <c r="C15" t="s">
        <v>39</v>
      </c>
      <c r="D15" s="4">
        <v>7</v>
      </c>
      <c r="E15">
        <v>8</v>
      </c>
      <c r="F15">
        <v>5.2</v>
      </c>
      <c r="G15" s="4">
        <v>14</v>
      </c>
      <c r="H15">
        <v>45</v>
      </c>
      <c r="I15">
        <v>30.8</v>
      </c>
    </row>
    <row r="16" spans="1:18" x14ac:dyDescent="0.35">
      <c r="A16">
        <v>2022</v>
      </c>
      <c r="B16">
        <v>12</v>
      </c>
      <c r="C16" t="s">
        <v>40</v>
      </c>
      <c r="D16" s="4">
        <v>14</v>
      </c>
      <c r="E16">
        <v>17</v>
      </c>
      <c r="F16">
        <v>8.9</v>
      </c>
      <c r="G16" s="4">
        <v>26</v>
      </c>
      <c r="H16">
        <v>60</v>
      </c>
      <c r="I16">
        <v>41.1</v>
      </c>
    </row>
    <row r="17" spans="1:9" x14ac:dyDescent="0.35">
      <c r="A17">
        <v>2022</v>
      </c>
      <c r="B17">
        <v>13</v>
      </c>
      <c r="C17" t="s">
        <v>41</v>
      </c>
      <c r="D17" s="4">
        <v>9</v>
      </c>
      <c r="E17">
        <v>48</v>
      </c>
      <c r="F17">
        <v>42.3</v>
      </c>
      <c r="G17" s="4">
        <v>7</v>
      </c>
      <c r="H17">
        <v>17</v>
      </c>
      <c r="I17">
        <v>14.2</v>
      </c>
    </row>
    <row r="18" spans="1:9" x14ac:dyDescent="0.35">
      <c r="A18">
        <v>2022</v>
      </c>
      <c r="B18">
        <v>14</v>
      </c>
      <c r="C18" t="s">
        <v>42</v>
      </c>
      <c r="D18" s="4">
        <v>21</v>
      </c>
      <c r="E18">
        <v>31</v>
      </c>
      <c r="F18">
        <v>22.7</v>
      </c>
      <c r="G18" s="4">
        <v>38</v>
      </c>
      <c r="H18">
        <v>117</v>
      </c>
      <c r="I18">
        <v>78.400000000000006</v>
      </c>
    </row>
    <row r="19" spans="1:9" x14ac:dyDescent="0.35">
      <c r="A19">
        <v>2022</v>
      </c>
      <c r="B19">
        <v>15</v>
      </c>
      <c r="C19" t="s">
        <v>43</v>
      </c>
      <c r="D19" s="4">
        <v>11</v>
      </c>
      <c r="E19">
        <v>34</v>
      </c>
      <c r="F19">
        <v>26.7</v>
      </c>
      <c r="G19" s="4">
        <v>6</v>
      </c>
      <c r="H19">
        <v>20</v>
      </c>
      <c r="I19">
        <v>15.5</v>
      </c>
    </row>
    <row r="20" spans="1:9" x14ac:dyDescent="0.35">
      <c r="A20">
        <v>2022</v>
      </c>
      <c r="B20">
        <v>16</v>
      </c>
      <c r="C20" t="s">
        <v>44</v>
      </c>
      <c r="D20" s="4"/>
      <c r="G20" s="4"/>
    </row>
    <row r="21" spans="1:9" x14ac:dyDescent="0.35">
      <c r="A21">
        <v>2022</v>
      </c>
      <c r="B21">
        <v>17</v>
      </c>
      <c r="C21" t="s">
        <v>45</v>
      </c>
      <c r="D21" s="4">
        <v>61</v>
      </c>
      <c r="E21">
        <v>137</v>
      </c>
      <c r="F21">
        <v>101.8</v>
      </c>
      <c r="G21" s="4">
        <v>83</v>
      </c>
      <c r="H21">
        <v>238</v>
      </c>
      <c r="I21">
        <v>177.4</v>
      </c>
    </row>
    <row r="22" spans="1:9" x14ac:dyDescent="0.35">
      <c r="A22">
        <v>2022</v>
      </c>
      <c r="B22">
        <v>18</v>
      </c>
      <c r="C22" t="s">
        <v>46</v>
      </c>
      <c r="D22" s="4">
        <v>25</v>
      </c>
      <c r="E22">
        <v>62</v>
      </c>
      <c r="F22">
        <v>49.2</v>
      </c>
      <c r="G22" s="4">
        <v>42</v>
      </c>
      <c r="H22">
        <v>61</v>
      </c>
      <c r="I22">
        <v>40.200000000000003</v>
      </c>
    </row>
    <row r="23" spans="1:9" x14ac:dyDescent="0.35">
      <c r="A23">
        <v>2022</v>
      </c>
      <c r="B23">
        <v>19</v>
      </c>
      <c r="C23" t="s">
        <v>47</v>
      </c>
      <c r="D23" s="4">
        <v>94</v>
      </c>
      <c r="E23">
        <v>581</v>
      </c>
      <c r="F23">
        <v>519.4</v>
      </c>
      <c r="G23" s="4">
        <v>129</v>
      </c>
      <c r="H23">
        <v>673</v>
      </c>
      <c r="I23">
        <v>565.9</v>
      </c>
    </row>
    <row r="24" spans="1:9" x14ac:dyDescent="0.35">
      <c r="A24">
        <v>2022</v>
      </c>
      <c r="B24">
        <v>20</v>
      </c>
      <c r="C24" t="s">
        <v>48</v>
      </c>
      <c r="D24" s="4">
        <v>48</v>
      </c>
      <c r="E24">
        <v>128</v>
      </c>
      <c r="F24">
        <v>101.1</v>
      </c>
      <c r="G24" s="4">
        <v>64</v>
      </c>
      <c r="H24">
        <v>158</v>
      </c>
      <c r="I24">
        <v>122.2</v>
      </c>
    </row>
    <row r="25" spans="1:9" x14ac:dyDescent="0.35">
      <c r="A25">
        <v>2022</v>
      </c>
      <c r="B25">
        <v>21</v>
      </c>
      <c r="C25" t="s">
        <v>49</v>
      </c>
      <c r="D25" s="4">
        <v>12</v>
      </c>
      <c r="E25">
        <v>16</v>
      </c>
      <c r="F25">
        <v>10.9</v>
      </c>
      <c r="G25" s="4">
        <v>19</v>
      </c>
      <c r="H25">
        <v>24</v>
      </c>
      <c r="I25">
        <v>14.8</v>
      </c>
    </row>
    <row r="26" spans="1:9" x14ac:dyDescent="0.35">
      <c r="A26">
        <v>2022</v>
      </c>
      <c r="B26">
        <v>22</v>
      </c>
      <c r="C26" t="s">
        <v>50</v>
      </c>
      <c r="D26" s="4">
        <v>7</v>
      </c>
      <c r="E26">
        <v>13</v>
      </c>
      <c r="F26">
        <v>10.6</v>
      </c>
      <c r="G26" s="4">
        <v>9</v>
      </c>
      <c r="H26">
        <v>103</v>
      </c>
      <c r="I26">
        <v>93.5</v>
      </c>
    </row>
    <row r="27" spans="1:9" x14ac:dyDescent="0.35">
      <c r="A27">
        <v>2022</v>
      </c>
      <c r="B27">
        <v>23</v>
      </c>
      <c r="C27" t="s">
        <v>51</v>
      </c>
      <c r="D27" s="4">
        <v>6</v>
      </c>
      <c r="E27">
        <v>6</v>
      </c>
      <c r="G27" s="4"/>
    </row>
    <row r="28" spans="1:9" x14ac:dyDescent="0.35">
      <c r="A28">
        <v>2022</v>
      </c>
      <c r="B28">
        <v>24</v>
      </c>
      <c r="C28" t="s">
        <v>52</v>
      </c>
      <c r="D28" s="4"/>
      <c r="G28" s="4"/>
    </row>
    <row r="29" spans="1:9" x14ac:dyDescent="0.35">
      <c r="A29">
        <v>2022</v>
      </c>
      <c r="B29">
        <v>25</v>
      </c>
      <c r="C29" t="s">
        <v>53</v>
      </c>
      <c r="D29" s="4">
        <v>8</v>
      </c>
      <c r="E29">
        <v>19</v>
      </c>
      <c r="F29">
        <v>13.2</v>
      </c>
      <c r="G29" s="4">
        <v>4</v>
      </c>
      <c r="H29">
        <v>20</v>
      </c>
      <c r="I29">
        <v>18</v>
      </c>
    </row>
    <row r="30" spans="1:9" x14ac:dyDescent="0.35">
      <c r="A30">
        <v>2022</v>
      </c>
      <c r="B30">
        <v>26</v>
      </c>
      <c r="C30" t="s">
        <v>54</v>
      </c>
      <c r="D30" s="4"/>
      <c r="G30" s="4"/>
      <c r="H30">
        <v>8</v>
      </c>
      <c r="I30">
        <v>6.9</v>
      </c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2021</v>
      </c>
      <c r="B6">
        <v>2</v>
      </c>
      <c r="C6" t="s">
        <v>30</v>
      </c>
      <c r="D6" s="4">
        <v>30</v>
      </c>
      <c r="E6">
        <v>83</v>
      </c>
      <c r="F6">
        <v>52.3</v>
      </c>
      <c r="G6" s="4">
        <v>38</v>
      </c>
      <c r="H6">
        <v>126</v>
      </c>
      <c r="I6">
        <v>54.6</v>
      </c>
    </row>
    <row r="7" spans="1:18" x14ac:dyDescent="0.35">
      <c r="A7">
        <v>2021</v>
      </c>
      <c r="B7">
        <v>3</v>
      </c>
      <c r="C7" t="s">
        <v>31</v>
      </c>
      <c r="D7" s="4">
        <v>35</v>
      </c>
      <c r="E7">
        <v>233</v>
      </c>
      <c r="F7">
        <v>166.3</v>
      </c>
      <c r="G7" s="4">
        <v>49</v>
      </c>
      <c r="H7">
        <v>125</v>
      </c>
      <c r="I7">
        <v>80.599999999999994</v>
      </c>
    </row>
    <row r="8" spans="1:18" x14ac:dyDescent="0.35">
      <c r="A8">
        <v>2021</v>
      </c>
      <c r="B8">
        <v>4</v>
      </c>
      <c r="C8" t="s">
        <v>32</v>
      </c>
      <c r="D8" s="4"/>
      <c r="G8" s="4"/>
    </row>
    <row r="9" spans="1:18" x14ac:dyDescent="0.35">
      <c r="A9">
        <v>2021</v>
      </c>
      <c r="B9">
        <v>5</v>
      </c>
      <c r="C9" t="s">
        <v>33</v>
      </c>
      <c r="D9" s="4">
        <v>58</v>
      </c>
      <c r="E9">
        <v>185</v>
      </c>
      <c r="F9">
        <v>131.80000000000001</v>
      </c>
      <c r="G9" s="4">
        <v>118</v>
      </c>
      <c r="H9">
        <v>377</v>
      </c>
      <c r="I9">
        <v>297.2</v>
      </c>
    </row>
    <row r="10" spans="1:18" x14ac:dyDescent="0.35">
      <c r="A10">
        <v>2021</v>
      </c>
      <c r="B10">
        <v>6</v>
      </c>
      <c r="C10" t="s">
        <v>34</v>
      </c>
      <c r="D10" s="4">
        <v>3</v>
      </c>
      <c r="E10">
        <v>6</v>
      </c>
      <c r="F10">
        <v>5.5</v>
      </c>
      <c r="G10" s="4">
        <v>6</v>
      </c>
      <c r="H10">
        <v>12</v>
      </c>
      <c r="I10">
        <v>9.1999999999999993</v>
      </c>
    </row>
    <row r="11" spans="1:18" x14ac:dyDescent="0.35">
      <c r="A11">
        <v>2021</v>
      </c>
      <c r="B11">
        <v>7</v>
      </c>
      <c r="C11" t="s">
        <v>35</v>
      </c>
      <c r="D11" s="4">
        <v>3</v>
      </c>
      <c r="E11">
        <v>6</v>
      </c>
      <c r="F11">
        <v>4.9000000000000004</v>
      </c>
      <c r="G11" s="4">
        <v>6</v>
      </c>
      <c r="H11">
        <v>7</v>
      </c>
      <c r="I11">
        <v>6.2</v>
      </c>
    </row>
    <row r="12" spans="1:18" x14ac:dyDescent="0.35">
      <c r="A12">
        <v>2021</v>
      </c>
      <c r="B12">
        <v>8</v>
      </c>
      <c r="C12" t="s">
        <v>36</v>
      </c>
      <c r="D12" s="4"/>
      <c r="E12">
        <v>9</v>
      </c>
      <c r="F12">
        <v>8</v>
      </c>
      <c r="G12" s="4">
        <v>14</v>
      </c>
      <c r="H12">
        <v>27</v>
      </c>
      <c r="I12">
        <v>19.100000000000001</v>
      </c>
    </row>
    <row r="13" spans="1:18" x14ac:dyDescent="0.35">
      <c r="A13">
        <v>2021</v>
      </c>
      <c r="B13">
        <v>9</v>
      </c>
      <c r="C13" t="s">
        <v>37</v>
      </c>
      <c r="D13" s="4">
        <v>92</v>
      </c>
      <c r="E13">
        <v>362</v>
      </c>
      <c r="F13">
        <v>300.89999999999998</v>
      </c>
      <c r="G13" s="4">
        <v>106</v>
      </c>
      <c r="H13">
        <v>705</v>
      </c>
      <c r="I13">
        <v>612.5</v>
      </c>
    </row>
    <row r="14" spans="1:18" x14ac:dyDescent="0.35">
      <c r="A14">
        <v>2021</v>
      </c>
      <c r="B14">
        <v>10</v>
      </c>
      <c r="C14" t="s">
        <v>38</v>
      </c>
      <c r="D14" s="4">
        <v>3</v>
      </c>
      <c r="G14" s="4"/>
    </row>
    <row r="15" spans="1:18" x14ac:dyDescent="0.35">
      <c r="A15">
        <v>2021</v>
      </c>
      <c r="B15">
        <v>11</v>
      </c>
      <c r="C15" t="s">
        <v>39</v>
      </c>
      <c r="D15" s="4">
        <v>15</v>
      </c>
      <c r="E15">
        <v>50</v>
      </c>
      <c r="F15">
        <v>46.9</v>
      </c>
      <c r="G15" s="4">
        <v>10</v>
      </c>
      <c r="H15">
        <v>15</v>
      </c>
      <c r="I15">
        <v>9.1999999999999993</v>
      </c>
    </row>
    <row r="16" spans="1:18" x14ac:dyDescent="0.35">
      <c r="A16">
        <v>2021</v>
      </c>
      <c r="B16">
        <v>12</v>
      </c>
      <c r="C16" t="s">
        <v>40</v>
      </c>
      <c r="D16" s="4">
        <v>11</v>
      </c>
      <c r="E16">
        <v>14</v>
      </c>
      <c r="F16">
        <v>9.8000000000000007</v>
      </c>
      <c r="G16" s="4">
        <v>21</v>
      </c>
      <c r="H16">
        <v>63</v>
      </c>
      <c r="I16">
        <v>48.5</v>
      </c>
    </row>
    <row r="17" spans="1:9" x14ac:dyDescent="0.35">
      <c r="A17">
        <v>2021</v>
      </c>
      <c r="B17">
        <v>13</v>
      </c>
      <c r="C17" t="s">
        <v>41</v>
      </c>
      <c r="D17" s="4">
        <v>7</v>
      </c>
      <c r="E17">
        <v>105</v>
      </c>
      <c r="F17">
        <v>100.4</v>
      </c>
      <c r="G17" s="4">
        <v>6</v>
      </c>
      <c r="H17">
        <v>7</v>
      </c>
      <c r="I17">
        <v>4.4000000000000004</v>
      </c>
    </row>
    <row r="18" spans="1:9" x14ac:dyDescent="0.35">
      <c r="A18">
        <v>2021</v>
      </c>
      <c r="B18">
        <v>14</v>
      </c>
      <c r="C18" t="s">
        <v>42</v>
      </c>
      <c r="D18" s="4">
        <v>26</v>
      </c>
      <c r="E18">
        <v>93</v>
      </c>
      <c r="F18">
        <v>70.2</v>
      </c>
      <c r="G18" s="4">
        <v>38</v>
      </c>
      <c r="H18">
        <v>201</v>
      </c>
      <c r="I18">
        <v>177.4</v>
      </c>
    </row>
    <row r="19" spans="1:9" x14ac:dyDescent="0.35">
      <c r="A19">
        <v>2021</v>
      </c>
      <c r="B19">
        <v>15</v>
      </c>
      <c r="C19" t="s">
        <v>43</v>
      </c>
      <c r="D19" s="4">
        <v>4</v>
      </c>
      <c r="E19">
        <v>17</v>
      </c>
      <c r="F19">
        <v>14.9</v>
      </c>
      <c r="G19" s="4">
        <v>5</v>
      </c>
      <c r="H19">
        <v>5</v>
      </c>
    </row>
    <row r="20" spans="1:9" x14ac:dyDescent="0.35">
      <c r="A20">
        <v>2021</v>
      </c>
      <c r="B20">
        <v>16</v>
      </c>
      <c r="C20" t="s">
        <v>44</v>
      </c>
      <c r="D20" s="4"/>
      <c r="G20" s="4"/>
    </row>
    <row r="21" spans="1:9" x14ac:dyDescent="0.35">
      <c r="A21">
        <v>2021</v>
      </c>
      <c r="B21">
        <v>17</v>
      </c>
      <c r="C21" t="s">
        <v>45</v>
      </c>
      <c r="D21" s="4">
        <v>48</v>
      </c>
      <c r="E21">
        <v>88</v>
      </c>
      <c r="F21">
        <v>55.7</v>
      </c>
      <c r="G21" s="4">
        <v>88</v>
      </c>
      <c r="H21">
        <v>188</v>
      </c>
      <c r="I21">
        <v>140.9</v>
      </c>
    </row>
    <row r="22" spans="1:9" x14ac:dyDescent="0.35">
      <c r="A22">
        <v>2021</v>
      </c>
      <c r="B22">
        <v>18</v>
      </c>
      <c r="C22" t="s">
        <v>46</v>
      </c>
      <c r="D22" s="4">
        <v>21</v>
      </c>
      <c r="E22">
        <v>25</v>
      </c>
      <c r="F22">
        <v>17</v>
      </c>
      <c r="G22" s="4">
        <v>38</v>
      </c>
      <c r="H22">
        <v>58</v>
      </c>
      <c r="I22">
        <v>38</v>
      </c>
    </row>
    <row r="23" spans="1:9" x14ac:dyDescent="0.35">
      <c r="A23">
        <v>2021</v>
      </c>
      <c r="B23">
        <v>19</v>
      </c>
      <c r="C23" t="s">
        <v>47</v>
      </c>
      <c r="D23" s="4">
        <v>82</v>
      </c>
      <c r="E23">
        <v>281</v>
      </c>
      <c r="F23">
        <v>214.6</v>
      </c>
      <c r="G23" s="4">
        <v>177</v>
      </c>
      <c r="H23">
        <v>394</v>
      </c>
      <c r="I23">
        <v>297.10000000000002</v>
      </c>
    </row>
    <row r="24" spans="1:9" x14ac:dyDescent="0.35">
      <c r="A24">
        <v>2021</v>
      </c>
      <c r="B24">
        <v>20</v>
      </c>
      <c r="C24" t="s">
        <v>48</v>
      </c>
      <c r="D24" s="4">
        <v>39</v>
      </c>
      <c r="E24">
        <v>94</v>
      </c>
      <c r="F24">
        <v>69.7</v>
      </c>
      <c r="G24" s="4">
        <v>78</v>
      </c>
      <c r="H24">
        <v>270</v>
      </c>
      <c r="I24">
        <v>221.8</v>
      </c>
    </row>
    <row r="25" spans="1:9" x14ac:dyDescent="0.35">
      <c r="A25">
        <v>2021</v>
      </c>
      <c r="B25">
        <v>21</v>
      </c>
      <c r="C25" t="s">
        <v>49</v>
      </c>
      <c r="D25" s="4">
        <v>7</v>
      </c>
      <c r="E25">
        <v>32</v>
      </c>
      <c r="F25">
        <v>22.1</v>
      </c>
      <c r="G25" s="4">
        <v>24</v>
      </c>
      <c r="H25">
        <v>32</v>
      </c>
      <c r="I25">
        <v>20.7</v>
      </c>
    </row>
    <row r="26" spans="1:9" x14ac:dyDescent="0.35">
      <c r="A26">
        <v>2021</v>
      </c>
      <c r="B26">
        <v>22</v>
      </c>
      <c r="C26" t="s">
        <v>50</v>
      </c>
      <c r="D26" s="4">
        <v>4</v>
      </c>
      <c r="E26">
        <v>21</v>
      </c>
      <c r="F26">
        <v>19.5</v>
      </c>
      <c r="G26" s="4">
        <v>10</v>
      </c>
      <c r="H26">
        <v>79</v>
      </c>
      <c r="I26">
        <v>72.3</v>
      </c>
    </row>
    <row r="27" spans="1:9" x14ac:dyDescent="0.35">
      <c r="A27">
        <v>2021</v>
      </c>
      <c r="B27">
        <v>23</v>
      </c>
      <c r="C27" t="s">
        <v>51</v>
      </c>
      <c r="D27" s="4"/>
      <c r="E27">
        <v>37</v>
      </c>
      <c r="F27">
        <v>31.4</v>
      </c>
      <c r="G27" s="4"/>
    </row>
    <row r="28" spans="1:9" x14ac:dyDescent="0.35">
      <c r="A28">
        <v>2021</v>
      </c>
      <c r="B28">
        <v>24</v>
      </c>
      <c r="C28" t="s">
        <v>52</v>
      </c>
      <c r="D28" s="4"/>
      <c r="G28" s="4"/>
    </row>
    <row r="29" spans="1:9" x14ac:dyDescent="0.35">
      <c r="A29">
        <v>2021</v>
      </c>
      <c r="B29">
        <v>25</v>
      </c>
      <c r="C29" t="s">
        <v>53</v>
      </c>
      <c r="D29" s="4">
        <v>8</v>
      </c>
      <c r="E29">
        <v>22</v>
      </c>
      <c r="F29">
        <v>18.5</v>
      </c>
      <c r="G29" s="4">
        <v>4</v>
      </c>
      <c r="H29">
        <v>15</v>
      </c>
      <c r="I29">
        <v>13.6</v>
      </c>
    </row>
    <row r="30" spans="1:9" x14ac:dyDescent="0.35">
      <c r="A30">
        <v>2021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2020</v>
      </c>
      <c r="B6">
        <v>2</v>
      </c>
      <c r="C6" t="s">
        <v>30</v>
      </c>
      <c r="D6" s="4">
        <v>31</v>
      </c>
      <c r="E6">
        <v>75</v>
      </c>
      <c r="F6">
        <v>57.8</v>
      </c>
      <c r="G6" s="4">
        <v>39</v>
      </c>
      <c r="H6">
        <v>79</v>
      </c>
      <c r="I6">
        <v>53</v>
      </c>
    </row>
    <row r="7" spans="1:18" x14ac:dyDescent="0.35">
      <c r="A7">
        <v>2020</v>
      </c>
      <c r="B7">
        <v>3</v>
      </c>
      <c r="C7" t="s">
        <v>31</v>
      </c>
      <c r="D7" s="4">
        <v>46</v>
      </c>
      <c r="E7">
        <v>238</v>
      </c>
      <c r="F7">
        <v>191.3</v>
      </c>
      <c r="G7" s="4">
        <v>37</v>
      </c>
      <c r="H7">
        <v>74</v>
      </c>
      <c r="I7">
        <v>42.3</v>
      </c>
    </row>
    <row r="8" spans="1:18" x14ac:dyDescent="0.35">
      <c r="A8">
        <v>2020</v>
      </c>
      <c r="B8">
        <v>4</v>
      </c>
      <c r="C8" t="s">
        <v>32</v>
      </c>
      <c r="D8" s="4"/>
      <c r="G8" s="4"/>
    </row>
    <row r="9" spans="1:18" x14ac:dyDescent="0.35">
      <c r="A9">
        <v>2020</v>
      </c>
      <c r="B9">
        <v>5</v>
      </c>
      <c r="C9" t="s">
        <v>33</v>
      </c>
      <c r="D9" s="4">
        <v>77</v>
      </c>
      <c r="E9">
        <v>285</v>
      </c>
      <c r="F9">
        <v>229.8</v>
      </c>
      <c r="G9" s="4">
        <v>79</v>
      </c>
      <c r="H9">
        <v>202</v>
      </c>
      <c r="I9">
        <v>151.19999999999999</v>
      </c>
    </row>
    <row r="10" spans="1:18" x14ac:dyDescent="0.35">
      <c r="A10">
        <v>2020</v>
      </c>
      <c r="B10">
        <v>6</v>
      </c>
      <c r="C10" t="s">
        <v>34</v>
      </c>
      <c r="D10" s="4">
        <v>7</v>
      </c>
      <c r="E10">
        <v>18</v>
      </c>
      <c r="F10">
        <v>13.3</v>
      </c>
      <c r="G10" s="4">
        <v>7</v>
      </c>
      <c r="H10">
        <v>18</v>
      </c>
      <c r="I10">
        <v>10.6</v>
      </c>
    </row>
    <row r="11" spans="1:18" x14ac:dyDescent="0.35">
      <c r="A11">
        <v>2020</v>
      </c>
      <c r="B11">
        <v>7</v>
      </c>
      <c r="C11" t="s">
        <v>35</v>
      </c>
      <c r="D11" s="4">
        <v>4</v>
      </c>
      <c r="E11">
        <v>10</v>
      </c>
      <c r="F11">
        <v>6</v>
      </c>
      <c r="G11" s="4">
        <v>4</v>
      </c>
      <c r="H11">
        <v>8</v>
      </c>
      <c r="I11">
        <v>4.7</v>
      </c>
    </row>
    <row r="12" spans="1:18" x14ac:dyDescent="0.35">
      <c r="A12">
        <v>2020</v>
      </c>
      <c r="B12">
        <v>8</v>
      </c>
      <c r="C12" t="s">
        <v>36</v>
      </c>
      <c r="D12" s="4">
        <v>7</v>
      </c>
      <c r="E12">
        <v>10</v>
      </c>
      <c r="F12">
        <v>6.8</v>
      </c>
      <c r="G12" s="4">
        <v>7</v>
      </c>
      <c r="H12">
        <v>22</v>
      </c>
      <c r="I12">
        <v>17.899999999999999</v>
      </c>
    </row>
    <row r="13" spans="1:18" x14ac:dyDescent="0.35">
      <c r="A13">
        <v>2020</v>
      </c>
      <c r="B13">
        <v>9</v>
      </c>
      <c r="C13" t="s">
        <v>37</v>
      </c>
      <c r="D13" s="4">
        <v>99</v>
      </c>
      <c r="E13">
        <v>395</v>
      </c>
      <c r="F13">
        <v>326.7</v>
      </c>
      <c r="G13" s="4">
        <v>108</v>
      </c>
      <c r="H13">
        <v>368</v>
      </c>
      <c r="I13">
        <v>307.5</v>
      </c>
    </row>
    <row r="14" spans="1:18" x14ac:dyDescent="0.35">
      <c r="A14">
        <v>2020</v>
      </c>
      <c r="B14">
        <v>10</v>
      </c>
      <c r="C14" t="s">
        <v>38</v>
      </c>
      <c r="D14" s="4">
        <v>3</v>
      </c>
      <c r="E14">
        <v>15</v>
      </c>
      <c r="F14">
        <v>12.6</v>
      </c>
      <c r="G14" s="4">
        <v>3</v>
      </c>
      <c r="H14">
        <v>4</v>
      </c>
    </row>
    <row r="15" spans="1:18" x14ac:dyDescent="0.35">
      <c r="A15">
        <v>2020</v>
      </c>
      <c r="B15">
        <v>11</v>
      </c>
      <c r="C15" t="s">
        <v>39</v>
      </c>
      <c r="D15" s="4">
        <v>9</v>
      </c>
      <c r="E15">
        <v>67</v>
      </c>
      <c r="F15">
        <v>55.5</v>
      </c>
      <c r="G15" s="4">
        <v>19</v>
      </c>
      <c r="H15">
        <v>34</v>
      </c>
      <c r="I15">
        <v>23</v>
      </c>
    </row>
    <row r="16" spans="1:18" x14ac:dyDescent="0.35">
      <c r="A16">
        <v>2020</v>
      </c>
      <c r="B16">
        <v>12</v>
      </c>
      <c r="C16" t="s">
        <v>40</v>
      </c>
      <c r="D16" s="4">
        <v>24</v>
      </c>
      <c r="E16">
        <v>72</v>
      </c>
      <c r="F16">
        <v>56.6</v>
      </c>
      <c r="G16" s="4">
        <v>15</v>
      </c>
      <c r="H16">
        <v>23</v>
      </c>
      <c r="I16">
        <v>14.9</v>
      </c>
    </row>
    <row r="17" spans="1:9" x14ac:dyDescent="0.35">
      <c r="A17">
        <v>2020</v>
      </c>
      <c r="B17">
        <v>13</v>
      </c>
      <c r="C17" t="s">
        <v>41</v>
      </c>
      <c r="D17" s="4">
        <v>6</v>
      </c>
      <c r="E17">
        <v>31</v>
      </c>
      <c r="F17">
        <v>24.4</v>
      </c>
      <c r="G17" s="4">
        <v>16</v>
      </c>
      <c r="H17">
        <v>52</v>
      </c>
      <c r="I17">
        <v>36</v>
      </c>
    </row>
    <row r="18" spans="1:9" x14ac:dyDescent="0.35">
      <c r="A18">
        <v>2020</v>
      </c>
      <c r="B18">
        <v>14</v>
      </c>
      <c r="C18" t="s">
        <v>42</v>
      </c>
      <c r="D18" s="4">
        <v>27</v>
      </c>
      <c r="E18">
        <v>99</v>
      </c>
      <c r="F18">
        <v>76.599999999999994</v>
      </c>
      <c r="G18" s="4">
        <v>33</v>
      </c>
      <c r="H18">
        <v>100</v>
      </c>
      <c r="I18">
        <v>68.7</v>
      </c>
    </row>
    <row r="19" spans="1:9" x14ac:dyDescent="0.35">
      <c r="A19">
        <v>2020</v>
      </c>
      <c r="B19">
        <v>15</v>
      </c>
      <c r="C19" t="s">
        <v>43</v>
      </c>
      <c r="D19" s="4">
        <v>6</v>
      </c>
      <c r="E19">
        <v>12</v>
      </c>
      <c r="F19">
        <v>8.5</v>
      </c>
      <c r="G19" s="4">
        <v>7</v>
      </c>
      <c r="H19">
        <v>10</v>
      </c>
      <c r="I19">
        <v>5.7</v>
      </c>
    </row>
    <row r="20" spans="1:9" x14ac:dyDescent="0.35">
      <c r="A20">
        <v>2020</v>
      </c>
      <c r="B20">
        <v>16</v>
      </c>
      <c r="C20" t="s">
        <v>44</v>
      </c>
      <c r="D20" s="4"/>
      <c r="G20" s="4"/>
    </row>
    <row r="21" spans="1:9" x14ac:dyDescent="0.35">
      <c r="A21">
        <v>2020</v>
      </c>
      <c r="B21">
        <v>17</v>
      </c>
      <c r="C21" t="s">
        <v>45</v>
      </c>
      <c r="D21" s="4">
        <v>61</v>
      </c>
      <c r="E21">
        <v>208</v>
      </c>
      <c r="F21">
        <v>147.1</v>
      </c>
      <c r="G21" s="4">
        <v>74</v>
      </c>
      <c r="H21">
        <v>353</v>
      </c>
      <c r="I21">
        <v>294.5</v>
      </c>
    </row>
    <row r="22" spans="1:9" x14ac:dyDescent="0.35">
      <c r="A22">
        <v>2020</v>
      </c>
      <c r="B22">
        <v>18</v>
      </c>
      <c r="C22" t="s">
        <v>46</v>
      </c>
      <c r="D22" s="4">
        <v>17</v>
      </c>
      <c r="E22">
        <v>29</v>
      </c>
      <c r="F22">
        <v>22.1</v>
      </c>
      <c r="G22" s="4">
        <v>32</v>
      </c>
      <c r="H22">
        <v>81</v>
      </c>
      <c r="I22">
        <v>57.2</v>
      </c>
    </row>
    <row r="23" spans="1:9" x14ac:dyDescent="0.35">
      <c r="A23">
        <v>2020</v>
      </c>
      <c r="B23">
        <v>19</v>
      </c>
      <c r="C23" t="s">
        <v>47</v>
      </c>
      <c r="D23" s="4">
        <v>101</v>
      </c>
      <c r="E23">
        <v>270</v>
      </c>
      <c r="F23">
        <v>202.8</v>
      </c>
      <c r="G23" s="4">
        <v>133</v>
      </c>
      <c r="H23">
        <v>378</v>
      </c>
      <c r="I23">
        <v>208</v>
      </c>
    </row>
    <row r="24" spans="1:9" x14ac:dyDescent="0.35">
      <c r="A24">
        <v>2020</v>
      </c>
      <c r="B24">
        <v>20</v>
      </c>
      <c r="C24" t="s">
        <v>48</v>
      </c>
      <c r="D24" s="4">
        <v>38</v>
      </c>
      <c r="E24">
        <v>60</v>
      </c>
      <c r="F24">
        <v>44.4</v>
      </c>
      <c r="G24" s="4">
        <v>83</v>
      </c>
      <c r="H24">
        <v>223</v>
      </c>
      <c r="I24">
        <v>174.4</v>
      </c>
    </row>
    <row r="25" spans="1:9" x14ac:dyDescent="0.35">
      <c r="A25">
        <v>2020</v>
      </c>
      <c r="B25">
        <v>21</v>
      </c>
      <c r="C25" t="s">
        <v>49</v>
      </c>
      <c r="D25" s="4">
        <v>15</v>
      </c>
      <c r="E25">
        <v>36</v>
      </c>
      <c r="F25">
        <v>27.5</v>
      </c>
      <c r="G25" s="4">
        <v>12</v>
      </c>
      <c r="H25">
        <v>16</v>
      </c>
      <c r="I25">
        <v>13.2</v>
      </c>
    </row>
    <row r="26" spans="1:9" x14ac:dyDescent="0.35">
      <c r="A26">
        <v>2020</v>
      </c>
      <c r="B26">
        <v>22</v>
      </c>
      <c r="C26" t="s">
        <v>50</v>
      </c>
      <c r="D26" s="4">
        <v>4</v>
      </c>
      <c r="E26">
        <v>16</v>
      </c>
      <c r="F26">
        <v>4.2</v>
      </c>
      <c r="G26" s="4">
        <v>7</v>
      </c>
      <c r="H26">
        <v>41</v>
      </c>
      <c r="I26">
        <v>38.200000000000003</v>
      </c>
    </row>
    <row r="27" spans="1:9" x14ac:dyDescent="0.35">
      <c r="A27">
        <v>2020</v>
      </c>
      <c r="B27">
        <v>23</v>
      </c>
      <c r="C27" t="s">
        <v>51</v>
      </c>
      <c r="D27" s="4">
        <v>4</v>
      </c>
      <c r="E27">
        <v>7</v>
      </c>
      <c r="F27">
        <v>5.2</v>
      </c>
      <c r="G27" s="4">
        <v>5</v>
      </c>
      <c r="H27">
        <v>5</v>
      </c>
    </row>
    <row r="28" spans="1:9" x14ac:dyDescent="0.35">
      <c r="A28">
        <v>2020</v>
      </c>
      <c r="B28">
        <v>24</v>
      </c>
      <c r="C28" t="s">
        <v>52</v>
      </c>
      <c r="D28" s="4">
        <v>4</v>
      </c>
      <c r="E28">
        <v>6</v>
      </c>
      <c r="F28">
        <v>5.6</v>
      </c>
      <c r="G28" s="4"/>
      <c r="H28">
        <v>4</v>
      </c>
    </row>
    <row r="29" spans="1:9" x14ac:dyDescent="0.35">
      <c r="A29">
        <v>2020</v>
      </c>
      <c r="B29">
        <v>25</v>
      </c>
      <c r="C29" t="s">
        <v>53</v>
      </c>
      <c r="D29" s="4">
        <v>8</v>
      </c>
      <c r="E29">
        <v>132</v>
      </c>
      <c r="F29">
        <v>125.2</v>
      </c>
      <c r="G29" s="4">
        <v>4</v>
      </c>
      <c r="H29">
        <v>5</v>
      </c>
    </row>
    <row r="30" spans="1:9" x14ac:dyDescent="0.35">
      <c r="A30">
        <v>2020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0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2019</v>
      </c>
      <c r="B6">
        <v>2</v>
      </c>
      <c r="C6" t="s">
        <v>30</v>
      </c>
      <c r="D6" s="4">
        <v>33</v>
      </c>
      <c r="E6">
        <v>92</v>
      </c>
      <c r="F6">
        <v>69.099999999999994</v>
      </c>
      <c r="G6" s="4">
        <v>24</v>
      </c>
      <c r="H6">
        <v>78</v>
      </c>
      <c r="I6">
        <v>56.2</v>
      </c>
    </row>
    <row r="7" spans="1:18" x14ac:dyDescent="0.35">
      <c r="A7">
        <v>2019</v>
      </c>
      <c r="B7">
        <v>3</v>
      </c>
      <c r="C7" t="s">
        <v>31</v>
      </c>
      <c r="D7" s="4">
        <v>26</v>
      </c>
      <c r="E7">
        <v>182</v>
      </c>
      <c r="F7">
        <v>152.19999999999999</v>
      </c>
      <c r="G7" s="4">
        <v>34</v>
      </c>
      <c r="H7">
        <v>72</v>
      </c>
      <c r="I7">
        <v>49.4</v>
      </c>
    </row>
    <row r="8" spans="1:18" x14ac:dyDescent="0.35">
      <c r="A8">
        <v>2019</v>
      </c>
      <c r="B8">
        <v>4</v>
      </c>
      <c r="C8" t="s">
        <v>32</v>
      </c>
      <c r="D8" s="4"/>
      <c r="G8" s="4"/>
    </row>
    <row r="9" spans="1:18" x14ac:dyDescent="0.35">
      <c r="A9">
        <v>2019</v>
      </c>
      <c r="B9">
        <v>5</v>
      </c>
      <c r="C9" t="s">
        <v>33</v>
      </c>
      <c r="D9" s="4">
        <v>64</v>
      </c>
      <c r="E9">
        <v>267</v>
      </c>
      <c r="F9">
        <v>220.4</v>
      </c>
      <c r="G9" s="4">
        <v>75</v>
      </c>
      <c r="H9">
        <v>254</v>
      </c>
      <c r="I9">
        <v>201.9</v>
      </c>
    </row>
    <row r="10" spans="1:18" x14ac:dyDescent="0.35">
      <c r="A10">
        <v>2019</v>
      </c>
      <c r="B10">
        <v>6</v>
      </c>
      <c r="C10" t="s">
        <v>34</v>
      </c>
      <c r="D10" s="4">
        <v>3</v>
      </c>
      <c r="G10" s="4">
        <v>4</v>
      </c>
      <c r="H10">
        <v>13</v>
      </c>
      <c r="I10">
        <v>9.3000000000000007</v>
      </c>
    </row>
    <row r="11" spans="1:18" x14ac:dyDescent="0.35">
      <c r="A11">
        <v>2019</v>
      </c>
      <c r="B11">
        <v>7</v>
      </c>
      <c r="C11" t="s">
        <v>35</v>
      </c>
      <c r="D11" s="4"/>
      <c r="E11">
        <v>4</v>
      </c>
      <c r="G11" s="4">
        <v>6</v>
      </c>
      <c r="H11">
        <v>12</v>
      </c>
      <c r="I11">
        <v>7.3</v>
      </c>
    </row>
    <row r="12" spans="1:18" x14ac:dyDescent="0.35">
      <c r="A12">
        <v>2019</v>
      </c>
      <c r="B12">
        <v>8</v>
      </c>
      <c r="C12" t="s">
        <v>36</v>
      </c>
      <c r="D12" s="4">
        <v>4</v>
      </c>
      <c r="E12">
        <v>18</v>
      </c>
      <c r="F12">
        <v>15.7</v>
      </c>
      <c r="G12" s="4">
        <v>6</v>
      </c>
      <c r="H12">
        <v>7</v>
      </c>
      <c r="I12">
        <v>4.4000000000000004</v>
      </c>
    </row>
    <row r="13" spans="1:18" x14ac:dyDescent="0.35">
      <c r="A13">
        <v>2019</v>
      </c>
      <c r="B13">
        <v>9</v>
      </c>
      <c r="C13" t="s">
        <v>37</v>
      </c>
      <c r="D13" s="4">
        <v>68</v>
      </c>
      <c r="E13">
        <v>397</v>
      </c>
      <c r="F13">
        <v>335.1</v>
      </c>
      <c r="G13" s="4">
        <v>107</v>
      </c>
      <c r="H13">
        <v>458</v>
      </c>
      <c r="I13">
        <v>377.6</v>
      </c>
    </row>
    <row r="14" spans="1:18" x14ac:dyDescent="0.35">
      <c r="A14">
        <v>2019</v>
      </c>
      <c r="B14">
        <v>10</v>
      </c>
      <c r="C14" t="s">
        <v>38</v>
      </c>
      <c r="D14" s="4">
        <v>3</v>
      </c>
      <c r="E14">
        <v>49</v>
      </c>
      <c r="F14">
        <v>43.5</v>
      </c>
      <c r="G14" s="4"/>
    </row>
    <row r="15" spans="1:18" x14ac:dyDescent="0.35">
      <c r="A15">
        <v>2019</v>
      </c>
      <c r="B15">
        <v>11</v>
      </c>
      <c r="C15" t="s">
        <v>39</v>
      </c>
      <c r="D15" s="4">
        <v>4</v>
      </c>
      <c r="E15">
        <v>13</v>
      </c>
      <c r="F15">
        <v>10.1</v>
      </c>
      <c r="G15" s="4">
        <v>9</v>
      </c>
      <c r="H15">
        <v>11</v>
      </c>
      <c r="I15">
        <v>7.5</v>
      </c>
    </row>
    <row r="16" spans="1:18" x14ac:dyDescent="0.35">
      <c r="A16">
        <v>2019</v>
      </c>
      <c r="B16">
        <v>12</v>
      </c>
      <c r="C16" t="s">
        <v>40</v>
      </c>
      <c r="D16" s="4">
        <v>13</v>
      </c>
      <c r="E16">
        <v>61</v>
      </c>
      <c r="F16">
        <v>49.5</v>
      </c>
      <c r="G16" s="4">
        <v>12</v>
      </c>
      <c r="H16">
        <v>80</v>
      </c>
      <c r="I16">
        <v>56.4</v>
      </c>
    </row>
    <row r="17" spans="1:9" x14ac:dyDescent="0.35">
      <c r="A17">
        <v>2019</v>
      </c>
      <c r="B17">
        <v>13</v>
      </c>
      <c r="C17" t="s">
        <v>41</v>
      </c>
      <c r="D17" s="4">
        <v>9</v>
      </c>
      <c r="E17">
        <v>49</v>
      </c>
      <c r="F17">
        <v>37.5</v>
      </c>
      <c r="G17" s="4">
        <v>7</v>
      </c>
      <c r="H17">
        <v>11</v>
      </c>
      <c r="I17">
        <v>8.6</v>
      </c>
    </row>
    <row r="18" spans="1:9" x14ac:dyDescent="0.35">
      <c r="A18">
        <v>2019</v>
      </c>
      <c r="B18">
        <v>14</v>
      </c>
      <c r="C18" t="s">
        <v>42</v>
      </c>
      <c r="D18" s="4">
        <v>11</v>
      </c>
      <c r="E18">
        <v>29</v>
      </c>
      <c r="F18">
        <v>25.3</v>
      </c>
      <c r="G18" s="4">
        <v>22</v>
      </c>
      <c r="H18">
        <v>109</v>
      </c>
      <c r="I18">
        <v>93.3</v>
      </c>
    </row>
    <row r="19" spans="1:9" x14ac:dyDescent="0.35">
      <c r="A19">
        <v>2019</v>
      </c>
      <c r="B19">
        <v>15</v>
      </c>
      <c r="C19" t="s">
        <v>43</v>
      </c>
      <c r="D19" s="4">
        <v>6</v>
      </c>
      <c r="E19">
        <v>27</v>
      </c>
      <c r="F19">
        <v>16.100000000000001</v>
      </c>
      <c r="G19" s="4">
        <v>4</v>
      </c>
      <c r="H19">
        <v>16</v>
      </c>
      <c r="I19">
        <v>10.1</v>
      </c>
    </row>
    <row r="20" spans="1:9" x14ac:dyDescent="0.35">
      <c r="A20">
        <v>2019</v>
      </c>
      <c r="B20">
        <v>16</v>
      </c>
      <c r="C20" t="s">
        <v>44</v>
      </c>
      <c r="D20" s="4">
        <v>3</v>
      </c>
      <c r="E20">
        <v>5</v>
      </c>
      <c r="F20">
        <v>4</v>
      </c>
      <c r="G20" s="4">
        <v>3</v>
      </c>
      <c r="H20">
        <v>14</v>
      </c>
      <c r="I20">
        <v>8.4</v>
      </c>
    </row>
    <row r="21" spans="1:9" x14ac:dyDescent="0.35">
      <c r="A21">
        <v>2019</v>
      </c>
      <c r="B21">
        <v>17</v>
      </c>
      <c r="C21" t="s">
        <v>45</v>
      </c>
      <c r="D21" s="4">
        <v>64</v>
      </c>
      <c r="E21">
        <v>159</v>
      </c>
      <c r="F21">
        <v>117.5</v>
      </c>
      <c r="G21" s="4">
        <v>50</v>
      </c>
      <c r="H21">
        <v>93</v>
      </c>
      <c r="I21">
        <v>66.400000000000006</v>
      </c>
    </row>
    <row r="22" spans="1:9" x14ac:dyDescent="0.35">
      <c r="A22">
        <v>2019</v>
      </c>
      <c r="B22">
        <v>18</v>
      </c>
      <c r="C22" t="s">
        <v>46</v>
      </c>
      <c r="D22" s="4">
        <v>21</v>
      </c>
      <c r="E22">
        <v>56</v>
      </c>
      <c r="F22">
        <v>38.799999999999997</v>
      </c>
      <c r="G22" s="4">
        <v>26</v>
      </c>
      <c r="H22">
        <v>44</v>
      </c>
      <c r="I22">
        <v>27.2</v>
      </c>
    </row>
    <row r="23" spans="1:9" x14ac:dyDescent="0.35">
      <c r="A23">
        <v>2019</v>
      </c>
      <c r="B23">
        <v>19</v>
      </c>
      <c r="C23" t="s">
        <v>47</v>
      </c>
      <c r="D23" s="4">
        <v>70</v>
      </c>
      <c r="E23">
        <v>482</v>
      </c>
      <c r="F23">
        <v>395.9</v>
      </c>
      <c r="G23" s="4">
        <v>106</v>
      </c>
      <c r="H23">
        <v>396</v>
      </c>
      <c r="I23">
        <v>308</v>
      </c>
    </row>
    <row r="24" spans="1:9" x14ac:dyDescent="0.35">
      <c r="A24">
        <v>2019</v>
      </c>
      <c r="B24">
        <v>20</v>
      </c>
      <c r="C24" t="s">
        <v>48</v>
      </c>
      <c r="D24" s="4">
        <v>33</v>
      </c>
      <c r="E24">
        <v>74</v>
      </c>
      <c r="F24">
        <v>56</v>
      </c>
      <c r="G24" s="4">
        <v>60</v>
      </c>
      <c r="H24">
        <v>526</v>
      </c>
      <c r="I24">
        <v>247.1</v>
      </c>
    </row>
    <row r="25" spans="1:9" x14ac:dyDescent="0.35">
      <c r="A25">
        <v>2019</v>
      </c>
      <c r="B25">
        <v>21</v>
      </c>
      <c r="C25" t="s">
        <v>49</v>
      </c>
      <c r="D25" s="4">
        <v>13</v>
      </c>
      <c r="E25">
        <v>77</v>
      </c>
      <c r="F25">
        <v>63.4</v>
      </c>
      <c r="G25" s="4">
        <v>4</v>
      </c>
      <c r="H25">
        <v>4</v>
      </c>
    </row>
    <row r="26" spans="1:9" x14ac:dyDescent="0.35">
      <c r="A26">
        <v>2019</v>
      </c>
      <c r="B26">
        <v>22</v>
      </c>
      <c r="C26" t="s">
        <v>50</v>
      </c>
      <c r="D26" s="4"/>
      <c r="E26">
        <v>9</v>
      </c>
      <c r="F26">
        <v>6.7</v>
      </c>
      <c r="G26" s="4">
        <v>8</v>
      </c>
      <c r="H26">
        <v>19</v>
      </c>
      <c r="I26">
        <v>14.4</v>
      </c>
    </row>
    <row r="27" spans="1:9" x14ac:dyDescent="0.35">
      <c r="A27">
        <v>2019</v>
      </c>
      <c r="B27">
        <v>23</v>
      </c>
      <c r="C27" t="s">
        <v>51</v>
      </c>
      <c r="D27" s="4"/>
      <c r="G27" s="4">
        <v>6</v>
      </c>
      <c r="H27">
        <v>11</v>
      </c>
      <c r="I27">
        <v>7.6</v>
      </c>
    </row>
    <row r="28" spans="1:9" x14ac:dyDescent="0.35">
      <c r="A28">
        <v>2019</v>
      </c>
      <c r="B28">
        <v>24</v>
      </c>
      <c r="C28" t="s">
        <v>52</v>
      </c>
      <c r="D28" s="4"/>
      <c r="E28">
        <v>13</v>
      </c>
      <c r="F28">
        <v>11.3</v>
      </c>
      <c r="G28" s="4"/>
    </row>
    <row r="29" spans="1:9" x14ac:dyDescent="0.35">
      <c r="A29">
        <v>2019</v>
      </c>
      <c r="B29">
        <v>25</v>
      </c>
      <c r="C29" t="s">
        <v>53</v>
      </c>
      <c r="D29" s="4">
        <v>5</v>
      </c>
      <c r="E29">
        <v>24</v>
      </c>
      <c r="F29">
        <v>21.8</v>
      </c>
      <c r="G29" s="4">
        <v>5</v>
      </c>
      <c r="H29">
        <v>132</v>
      </c>
      <c r="I29">
        <v>123</v>
      </c>
    </row>
    <row r="30" spans="1:9" x14ac:dyDescent="0.35">
      <c r="A30">
        <v>2019</v>
      </c>
      <c r="B30">
        <v>26</v>
      </c>
      <c r="C30" t="s">
        <v>54</v>
      </c>
      <c r="D30" s="4"/>
      <c r="G30" s="4">
        <v>4</v>
      </c>
      <c r="H30">
        <v>20</v>
      </c>
      <c r="I30">
        <v>18.5</v>
      </c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2018</v>
      </c>
      <c r="B6">
        <v>2</v>
      </c>
      <c r="C6" t="s">
        <v>30</v>
      </c>
      <c r="D6" s="4">
        <v>38</v>
      </c>
      <c r="E6">
        <v>99</v>
      </c>
      <c r="F6">
        <v>76.599999999999994</v>
      </c>
      <c r="G6" s="4">
        <v>24</v>
      </c>
      <c r="H6">
        <v>93</v>
      </c>
      <c r="I6">
        <v>69.3</v>
      </c>
    </row>
    <row r="7" spans="1:18" x14ac:dyDescent="0.35">
      <c r="A7">
        <v>2018</v>
      </c>
      <c r="B7">
        <v>3</v>
      </c>
      <c r="C7" t="s">
        <v>31</v>
      </c>
      <c r="D7" s="4">
        <v>28</v>
      </c>
      <c r="E7">
        <v>152</v>
      </c>
      <c r="F7">
        <v>63.9</v>
      </c>
      <c r="G7" s="4">
        <v>34</v>
      </c>
      <c r="H7">
        <v>89</v>
      </c>
      <c r="I7">
        <v>68.400000000000006</v>
      </c>
    </row>
    <row r="8" spans="1:18" x14ac:dyDescent="0.35">
      <c r="A8">
        <v>2018</v>
      </c>
      <c r="B8">
        <v>4</v>
      </c>
      <c r="C8" t="s">
        <v>32</v>
      </c>
      <c r="D8" s="4">
        <v>3</v>
      </c>
      <c r="E8">
        <v>4</v>
      </c>
      <c r="G8" s="4"/>
    </row>
    <row r="9" spans="1:18" x14ac:dyDescent="0.35">
      <c r="A9">
        <v>2018</v>
      </c>
      <c r="B9">
        <v>5</v>
      </c>
      <c r="C9" t="s">
        <v>33</v>
      </c>
      <c r="D9" s="4">
        <v>52</v>
      </c>
      <c r="E9">
        <v>160</v>
      </c>
      <c r="F9">
        <v>126.1</v>
      </c>
      <c r="G9" s="4">
        <v>61</v>
      </c>
      <c r="H9">
        <v>164</v>
      </c>
      <c r="I9">
        <v>126.2</v>
      </c>
    </row>
    <row r="10" spans="1:18" x14ac:dyDescent="0.35">
      <c r="A10">
        <v>2018</v>
      </c>
      <c r="B10">
        <v>6</v>
      </c>
      <c r="C10" t="s">
        <v>34</v>
      </c>
      <c r="D10" s="4"/>
      <c r="E10">
        <v>5</v>
      </c>
      <c r="F10">
        <v>4.5999999999999996</v>
      </c>
      <c r="G10" s="4">
        <v>6</v>
      </c>
      <c r="H10">
        <v>13</v>
      </c>
      <c r="I10">
        <v>8.6</v>
      </c>
    </row>
    <row r="11" spans="1:18" x14ac:dyDescent="0.35">
      <c r="A11">
        <v>2018</v>
      </c>
      <c r="B11">
        <v>7</v>
      </c>
      <c r="C11" t="s">
        <v>35</v>
      </c>
      <c r="D11" s="4">
        <v>6</v>
      </c>
      <c r="E11">
        <v>10</v>
      </c>
      <c r="F11">
        <v>7</v>
      </c>
      <c r="G11" s="4">
        <v>3</v>
      </c>
      <c r="H11">
        <v>11</v>
      </c>
      <c r="I11">
        <v>7.3</v>
      </c>
    </row>
    <row r="12" spans="1:18" x14ac:dyDescent="0.35">
      <c r="A12">
        <v>2018</v>
      </c>
      <c r="B12">
        <v>8</v>
      </c>
      <c r="C12" t="s">
        <v>36</v>
      </c>
      <c r="D12" s="4">
        <v>5</v>
      </c>
      <c r="E12">
        <v>6</v>
      </c>
      <c r="F12">
        <v>4.3</v>
      </c>
      <c r="G12" s="4">
        <v>3</v>
      </c>
    </row>
    <row r="13" spans="1:18" x14ac:dyDescent="0.35">
      <c r="A13">
        <v>2018</v>
      </c>
      <c r="B13">
        <v>9</v>
      </c>
      <c r="C13" t="s">
        <v>37</v>
      </c>
      <c r="D13" s="4">
        <v>61</v>
      </c>
      <c r="E13">
        <v>341</v>
      </c>
      <c r="F13">
        <v>275.39999999999998</v>
      </c>
      <c r="G13" s="4">
        <v>85</v>
      </c>
      <c r="H13">
        <v>535</v>
      </c>
      <c r="I13">
        <v>394.7</v>
      </c>
    </row>
    <row r="14" spans="1:18" x14ac:dyDescent="0.35">
      <c r="A14">
        <v>2018</v>
      </c>
      <c r="B14">
        <v>10</v>
      </c>
      <c r="C14" t="s">
        <v>38</v>
      </c>
      <c r="D14" s="4"/>
      <c r="E14">
        <v>24</v>
      </c>
      <c r="F14">
        <v>23.1</v>
      </c>
      <c r="G14" s="4"/>
    </row>
    <row r="15" spans="1:18" x14ac:dyDescent="0.35">
      <c r="A15">
        <v>2018</v>
      </c>
      <c r="B15">
        <v>11</v>
      </c>
      <c r="C15" t="s">
        <v>39</v>
      </c>
      <c r="D15" s="4">
        <v>12</v>
      </c>
      <c r="E15">
        <v>27</v>
      </c>
      <c r="F15">
        <v>21.8</v>
      </c>
      <c r="G15" s="4">
        <v>6</v>
      </c>
      <c r="H15">
        <v>11</v>
      </c>
      <c r="I15">
        <v>7.8</v>
      </c>
    </row>
    <row r="16" spans="1:18" x14ac:dyDescent="0.35">
      <c r="A16">
        <v>2018</v>
      </c>
      <c r="B16">
        <v>12</v>
      </c>
      <c r="C16" t="s">
        <v>40</v>
      </c>
      <c r="D16" s="4">
        <v>18</v>
      </c>
      <c r="E16">
        <v>50</v>
      </c>
      <c r="F16">
        <v>39.9</v>
      </c>
      <c r="G16" s="4">
        <v>14</v>
      </c>
      <c r="H16">
        <v>26</v>
      </c>
      <c r="I16">
        <v>21.9</v>
      </c>
    </row>
    <row r="17" spans="1:9" x14ac:dyDescent="0.35">
      <c r="A17">
        <v>2018</v>
      </c>
      <c r="B17">
        <v>13</v>
      </c>
      <c r="C17" t="s">
        <v>41</v>
      </c>
      <c r="D17" s="4">
        <v>8</v>
      </c>
      <c r="E17">
        <v>13</v>
      </c>
      <c r="F17">
        <v>10.4</v>
      </c>
      <c r="G17" s="4">
        <v>11</v>
      </c>
      <c r="H17">
        <v>34</v>
      </c>
      <c r="I17">
        <v>27</v>
      </c>
    </row>
    <row r="18" spans="1:9" x14ac:dyDescent="0.35">
      <c r="A18">
        <v>2018</v>
      </c>
      <c r="B18">
        <v>14</v>
      </c>
      <c r="C18" t="s">
        <v>42</v>
      </c>
      <c r="D18" s="4">
        <v>18</v>
      </c>
      <c r="E18">
        <v>26</v>
      </c>
      <c r="F18">
        <v>19.2</v>
      </c>
      <c r="G18" s="4">
        <v>25</v>
      </c>
      <c r="H18">
        <v>55</v>
      </c>
      <c r="I18">
        <v>41.3</v>
      </c>
    </row>
    <row r="19" spans="1:9" x14ac:dyDescent="0.35">
      <c r="A19">
        <v>2018</v>
      </c>
      <c r="B19">
        <v>15</v>
      </c>
      <c r="C19" t="s">
        <v>43</v>
      </c>
      <c r="D19" s="4">
        <v>4</v>
      </c>
      <c r="E19">
        <v>11</v>
      </c>
      <c r="F19">
        <v>9.8000000000000007</v>
      </c>
      <c r="G19" s="4"/>
      <c r="H19">
        <v>13</v>
      </c>
      <c r="I19">
        <v>12.1</v>
      </c>
    </row>
    <row r="20" spans="1:9" x14ac:dyDescent="0.35">
      <c r="A20">
        <v>2018</v>
      </c>
      <c r="B20">
        <v>16</v>
      </c>
      <c r="C20" t="s">
        <v>44</v>
      </c>
      <c r="D20" s="4"/>
      <c r="G20" s="4"/>
    </row>
    <row r="21" spans="1:9" x14ac:dyDescent="0.35">
      <c r="A21">
        <v>2018</v>
      </c>
      <c r="B21">
        <v>17</v>
      </c>
      <c r="C21" t="s">
        <v>45</v>
      </c>
      <c r="D21" s="4">
        <v>55</v>
      </c>
      <c r="E21">
        <v>144</v>
      </c>
      <c r="F21">
        <v>99.8</v>
      </c>
      <c r="G21" s="4">
        <v>34</v>
      </c>
      <c r="H21">
        <v>58</v>
      </c>
      <c r="I21">
        <v>43.1</v>
      </c>
    </row>
    <row r="22" spans="1:9" x14ac:dyDescent="0.35">
      <c r="A22">
        <v>2018</v>
      </c>
      <c r="B22">
        <v>18</v>
      </c>
      <c r="C22" t="s">
        <v>46</v>
      </c>
      <c r="D22" s="4">
        <v>12</v>
      </c>
      <c r="E22">
        <v>20</v>
      </c>
      <c r="F22">
        <v>15.5</v>
      </c>
      <c r="G22" s="4">
        <v>29</v>
      </c>
      <c r="H22">
        <v>35</v>
      </c>
      <c r="I22">
        <v>20.399999999999999</v>
      </c>
    </row>
    <row r="23" spans="1:9" x14ac:dyDescent="0.35">
      <c r="A23">
        <v>2018</v>
      </c>
      <c r="B23">
        <v>19</v>
      </c>
      <c r="C23" t="s">
        <v>47</v>
      </c>
      <c r="D23" s="4">
        <v>97</v>
      </c>
      <c r="E23">
        <v>661</v>
      </c>
      <c r="F23">
        <v>530.5</v>
      </c>
      <c r="G23" s="4">
        <v>88</v>
      </c>
      <c r="H23">
        <v>428</v>
      </c>
      <c r="I23">
        <v>326.39999999999998</v>
      </c>
    </row>
    <row r="24" spans="1:9" x14ac:dyDescent="0.35">
      <c r="A24">
        <v>2018</v>
      </c>
      <c r="B24">
        <v>20</v>
      </c>
      <c r="C24" t="s">
        <v>48</v>
      </c>
      <c r="D24" s="4">
        <v>44</v>
      </c>
      <c r="E24">
        <v>95</v>
      </c>
      <c r="F24">
        <v>67.599999999999994</v>
      </c>
      <c r="G24" s="4">
        <v>48</v>
      </c>
      <c r="H24">
        <v>123</v>
      </c>
      <c r="I24">
        <v>88.9</v>
      </c>
    </row>
    <row r="25" spans="1:9" x14ac:dyDescent="0.35">
      <c r="A25">
        <v>2018</v>
      </c>
      <c r="B25">
        <v>21</v>
      </c>
      <c r="C25" t="s">
        <v>49</v>
      </c>
      <c r="D25" s="4">
        <v>9</v>
      </c>
      <c r="E25">
        <v>53</v>
      </c>
      <c r="F25">
        <v>42.4</v>
      </c>
      <c r="G25" s="4">
        <v>3</v>
      </c>
      <c r="H25">
        <v>4</v>
      </c>
    </row>
    <row r="26" spans="1:9" x14ac:dyDescent="0.35">
      <c r="A26">
        <v>2018</v>
      </c>
      <c r="B26">
        <v>22</v>
      </c>
      <c r="C26" t="s">
        <v>50</v>
      </c>
      <c r="D26" s="4">
        <v>5</v>
      </c>
      <c r="E26">
        <v>11</v>
      </c>
      <c r="F26">
        <v>10.199999999999999</v>
      </c>
      <c r="G26" s="4">
        <v>5</v>
      </c>
      <c r="H26">
        <v>7</v>
      </c>
      <c r="I26">
        <v>4.2</v>
      </c>
    </row>
    <row r="27" spans="1:9" x14ac:dyDescent="0.35">
      <c r="A27">
        <v>2018</v>
      </c>
      <c r="B27">
        <v>23</v>
      </c>
      <c r="C27" t="s">
        <v>51</v>
      </c>
      <c r="D27" s="4"/>
      <c r="G27" s="4"/>
    </row>
    <row r="28" spans="1:9" x14ac:dyDescent="0.35">
      <c r="A28">
        <v>2018</v>
      </c>
      <c r="B28">
        <v>24</v>
      </c>
      <c r="C28" t="s">
        <v>52</v>
      </c>
      <c r="D28" s="4"/>
      <c r="G28" s="4"/>
    </row>
    <row r="29" spans="1:9" x14ac:dyDescent="0.35">
      <c r="A29">
        <v>2018</v>
      </c>
      <c r="B29">
        <v>25</v>
      </c>
      <c r="C29" t="s">
        <v>53</v>
      </c>
      <c r="D29" s="4">
        <v>4</v>
      </c>
      <c r="E29">
        <v>4</v>
      </c>
      <c r="G29" s="4">
        <v>3</v>
      </c>
      <c r="H29">
        <v>8</v>
      </c>
      <c r="I29">
        <v>6.4</v>
      </c>
    </row>
    <row r="30" spans="1:9" x14ac:dyDescent="0.35">
      <c r="A30">
        <v>2018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2017</v>
      </c>
      <c r="B6">
        <v>2</v>
      </c>
      <c r="C6" t="s">
        <v>30</v>
      </c>
      <c r="D6" s="4">
        <v>28</v>
      </c>
      <c r="E6">
        <v>71</v>
      </c>
      <c r="F6">
        <v>55.7</v>
      </c>
      <c r="G6" s="4">
        <v>29</v>
      </c>
      <c r="H6">
        <v>127</v>
      </c>
      <c r="I6">
        <v>103.7</v>
      </c>
    </row>
    <row r="7" spans="1:18" x14ac:dyDescent="0.35">
      <c r="A7">
        <v>2017</v>
      </c>
      <c r="B7">
        <v>3</v>
      </c>
      <c r="C7" t="s">
        <v>31</v>
      </c>
      <c r="D7" s="4">
        <v>16</v>
      </c>
      <c r="E7">
        <v>95</v>
      </c>
      <c r="F7">
        <v>62.8</v>
      </c>
      <c r="G7" s="4">
        <v>26</v>
      </c>
      <c r="H7">
        <v>67</v>
      </c>
      <c r="I7">
        <v>51.5</v>
      </c>
    </row>
    <row r="8" spans="1:18" x14ac:dyDescent="0.35">
      <c r="A8">
        <v>2017</v>
      </c>
      <c r="B8">
        <v>4</v>
      </c>
      <c r="C8" t="s">
        <v>32</v>
      </c>
      <c r="D8" s="4"/>
      <c r="G8" s="4"/>
      <c r="H8">
        <v>4</v>
      </c>
    </row>
    <row r="9" spans="1:18" x14ac:dyDescent="0.35">
      <c r="A9">
        <v>2017</v>
      </c>
      <c r="B9">
        <v>5</v>
      </c>
      <c r="C9" t="s">
        <v>33</v>
      </c>
      <c r="D9" s="4">
        <v>67</v>
      </c>
      <c r="E9">
        <v>254</v>
      </c>
      <c r="F9">
        <v>207.8</v>
      </c>
      <c r="G9" s="4">
        <v>71</v>
      </c>
      <c r="H9">
        <v>388</v>
      </c>
      <c r="I9">
        <v>334.3</v>
      </c>
    </row>
    <row r="10" spans="1:18" x14ac:dyDescent="0.35">
      <c r="A10">
        <v>2017</v>
      </c>
      <c r="B10">
        <v>6</v>
      </c>
      <c r="C10" t="s">
        <v>34</v>
      </c>
      <c r="D10" s="4">
        <v>5</v>
      </c>
      <c r="E10">
        <v>8</v>
      </c>
      <c r="F10">
        <v>6.1</v>
      </c>
      <c r="G10" s="4"/>
    </row>
    <row r="11" spans="1:18" x14ac:dyDescent="0.35">
      <c r="A11">
        <v>2017</v>
      </c>
      <c r="B11">
        <v>7</v>
      </c>
      <c r="C11" t="s">
        <v>35</v>
      </c>
      <c r="D11" s="4">
        <v>6</v>
      </c>
      <c r="E11">
        <v>20</v>
      </c>
      <c r="F11">
        <v>16</v>
      </c>
      <c r="G11" s="4">
        <v>6</v>
      </c>
      <c r="H11">
        <v>6</v>
      </c>
    </row>
    <row r="12" spans="1:18" x14ac:dyDescent="0.35">
      <c r="A12">
        <v>2017</v>
      </c>
      <c r="B12">
        <v>8</v>
      </c>
      <c r="C12" t="s">
        <v>36</v>
      </c>
      <c r="D12" s="4"/>
      <c r="G12" s="4">
        <v>3</v>
      </c>
      <c r="H12">
        <v>5</v>
      </c>
    </row>
    <row r="13" spans="1:18" x14ac:dyDescent="0.35">
      <c r="A13">
        <v>2017</v>
      </c>
      <c r="B13">
        <v>9</v>
      </c>
      <c r="C13" t="s">
        <v>37</v>
      </c>
      <c r="D13" s="4">
        <v>85</v>
      </c>
      <c r="E13">
        <v>288</v>
      </c>
      <c r="F13">
        <v>217.9</v>
      </c>
      <c r="G13" s="4">
        <v>89</v>
      </c>
      <c r="H13">
        <v>373</v>
      </c>
      <c r="I13">
        <v>310</v>
      </c>
    </row>
    <row r="14" spans="1:18" x14ac:dyDescent="0.35">
      <c r="A14">
        <v>2017</v>
      </c>
      <c r="B14">
        <v>10</v>
      </c>
      <c r="C14" t="s">
        <v>38</v>
      </c>
      <c r="D14" s="4">
        <v>5</v>
      </c>
      <c r="E14">
        <v>9</v>
      </c>
      <c r="F14">
        <v>5.6</v>
      </c>
      <c r="G14" s="4">
        <v>4</v>
      </c>
      <c r="H14">
        <v>5</v>
      </c>
      <c r="I14">
        <v>4</v>
      </c>
    </row>
    <row r="15" spans="1:18" x14ac:dyDescent="0.35">
      <c r="A15">
        <v>2017</v>
      </c>
      <c r="B15">
        <v>11</v>
      </c>
      <c r="C15" t="s">
        <v>39</v>
      </c>
      <c r="D15" s="4">
        <v>9</v>
      </c>
      <c r="E15">
        <v>25</v>
      </c>
      <c r="F15">
        <v>18.600000000000001</v>
      </c>
      <c r="G15" s="4">
        <v>10</v>
      </c>
      <c r="H15">
        <v>48</v>
      </c>
      <c r="I15">
        <v>41.8</v>
      </c>
    </row>
    <row r="16" spans="1:18" x14ac:dyDescent="0.35">
      <c r="A16">
        <v>2017</v>
      </c>
      <c r="B16">
        <v>12</v>
      </c>
      <c r="C16" t="s">
        <v>40</v>
      </c>
      <c r="D16" s="4">
        <v>22</v>
      </c>
      <c r="E16">
        <v>75</v>
      </c>
      <c r="F16">
        <v>56.1</v>
      </c>
      <c r="G16" s="4">
        <v>13</v>
      </c>
      <c r="H16">
        <v>148</v>
      </c>
      <c r="I16">
        <v>116.4</v>
      </c>
    </row>
    <row r="17" spans="1:9" x14ac:dyDescent="0.35">
      <c r="A17">
        <v>2017</v>
      </c>
      <c r="B17">
        <v>13</v>
      </c>
      <c r="C17" t="s">
        <v>41</v>
      </c>
      <c r="D17" s="4"/>
      <c r="G17" s="4">
        <v>6</v>
      </c>
      <c r="H17">
        <v>132</v>
      </c>
      <c r="I17">
        <v>45.9</v>
      </c>
    </row>
    <row r="18" spans="1:9" x14ac:dyDescent="0.35">
      <c r="A18">
        <v>2017</v>
      </c>
      <c r="B18">
        <v>14</v>
      </c>
      <c r="C18" t="s">
        <v>42</v>
      </c>
      <c r="D18" s="4">
        <v>14</v>
      </c>
      <c r="E18">
        <v>34</v>
      </c>
      <c r="F18">
        <v>28.7</v>
      </c>
      <c r="G18" s="4">
        <v>20</v>
      </c>
      <c r="H18">
        <v>44</v>
      </c>
      <c r="I18">
        <v>31.4</v>
      </c>
    </row>
    <row r="19" spans="1:9" x14ac:dyDescent="0.35">
      <c r="A19">
        <v>2017</v>
      </c>
      <c r="B19">
        <v>15</v>
      </c>
      <c r="C19" t="s">
        <v>43</v>
      </c>
      <c r="D19" s="4">
        <v>3</v>
      </c>
      <c r="E19">
        <v>16</v>
      </c>
      <c r="F19">
        <v>12.8</v>
      </c>
      <c r="G19" s="4"/>
    </row>
    <row r="20" spans="1:9" x14ac:dyDescent="0.35">
      <c r="A20">
        <v>2017</v>
      </c>
      <c r="B20">
        <v>16</v>
      </c>
      <c r="C20" t="s">
        <v>44</v>
      </c>
      <c r="D20" s="4">
        <v>3</v>
      </c>
      <c r="E20">
        <v>8</v>
      </c>
      <c r="F20">
        <v>7.7</v>
      </c>
      <c r="G20" s="4">
        <v>3</v>
      </c>
    </row>
    <row r="21" spans="1:9" x14ac:dyDescent="0.35">
      <c r="A21">
        <v>2017</v>
      </c>
      <c r="B21">
        <v>17</v>
      </c>
      <c r="C21" t="s">
        <v>45</v>
      </c>
      <c r="D21" s="4">
        <v>45</v>
      </c>
      <c r="E21">
        <v>178</v>
      </c>
      <c r="F21">
        <v>144.6</v>
      </c>
      <c r="G21" s="4">
        <v>38</v>
      </c>
      <c r="H21">
        <v>106</v>
      </c>
      <c r="I21">
        <v>75.8</v>
      </c>
    </row>
    <row r="22" spans="1:9" x14ac:dyDescent="0.35">
      <c r="A22">
        <v>2017</v>
      </c>
      <c r="B22">
        <v>18</v>
      </c>
      <c r="C22" t="s">
        <v>46</v>
      </c>
      <c r="D22" s="4">
        <v>17</v>
      </c>
      <c r="E22">
        <v>42</v>
      </c>
      <c r="F22">
        <v>30.4</v>
      </c>
      <c r="G22" s="4">
        <v>15</v>
      </c>
      <c r="H22">
        <v>66</v>
      </c>
      <c r="I22">
        <v>55</v>
      </c>
    </row>
    <row r="23" spans="1:9" x14ac:dyDescent="0.35">
      <c r="A23">
        <v>2017</v>
      </c>
      <c r="B23">
        <v>19</v>
      </c>
      <c r="C23" t="s">
        <v>47</v>
      </c>
      <c r="D23" s="4">
        <v>71</v>
      </c>
      <c r="E23">
        <v>277</v>
      </c>
      <c r="F23">
        <v>215.1</v>
      </c>
      <c r="G23" s="4">
        <v>90</v>
      </c>
      <c r="H23">
        <v>668</v>
      </c>
      <c r="I23">
        <v>590.9</v>
      </c>
    </row>
    <row r="24" spans="1:9" x14ac:dyDescent="0.35">
      <c r="A24">
        <v>2017</v>
      </c>
      <c r="B24">
        <v>20</v>
      </c>
      <c r="C24" t="s">
        <v>48</v>
      </c>
      <c r="D24" s="4">
        <v>24</v>
      </c>
      <c r="E24">
        <v>42</v>
      </c>
      <c r="F24">
        <v>30.4</v>
      </c>
      <c r="G24" s="4">
        <v>44</v>
      </c>
      <c r="H24">
        <v>94</v>
      </c>
      <c r="I24">
        <v>70.2</v>
      </c>
    </row>
    <row r="25" spans="1:9" x14ac:dyDescent="0.35">
      <c r="A25">
        <v>2017</v>
      </c>
      <c r="B25">
        <v>21</v>
      </c>
      <c r="C25" t="s">
        <v>49</v>
      </c>
      <c r="D25" s="4">
        <v>4</v>
      </c>
      <c r="E25">
        <v>11</v>
      </c>
      <c r="F25">
        <v>7.7</v>
      </c>
      <c r="G25" s="4">
        <v>9</v>
      </c>
      <c r="H25">
        <v>12</v>
      </c>
      <c r="I25">
        <v>8.3000000000000007</v>
      </c>
    </row>
    <row r="26" spans="1:9" x14ac:dyDescent="0.35">
      <c r="A26">
        <v>2017</v>
      </c>
      <c r="B26">
        <v>22</v>
      </c>
      <c r="C26" t="s">
        <v>50</v>
      </c>
      <c r="D26" s="4">
        <v>3</v>
      </c>
      <c r="G26" s="4"/>
      <c r="H26">
        <v>12</v>
      </c>
      <c r="I26">
        <v>7.2</v>
      </c>
    </row>
    <row r="27" spans="1:9" x14ac:dyDescent="0.35">
      <c r="A27">
        <v>2017</v>
      </c>
      <c r="B27">
        <v>23</v>
      </c>
      <c r="C27" t="s">
        <v>51</v>
      </c>
      <c r="D27" s="4"/>
      <c r="E27">
        <v>23</v>
      </c>
      <c r="F27">
        <v>19.600000000000001</v>
      </c>
      <c r="G27" s="4">
        <v>5</v>
      </c>
      <c r="H27">
        <v>14</v>
      </c>
      <c r="I27">
        <v>10.4</v>
      </c>
    </row>
    <row r="28" spans="1:9" x14ac:dyDescent="0.35">
      <c r="A28">
        <v>2017</v>
      </c>
      <c r="B28">
        <v>24</v>
      </c>
      <c r="C28" t="s">
        <v>52</v>
      </c>
      <c r="D28" s="4"/>
      <c r="G28" s="4"/>
    </row>
    <row r="29" spans="1:9" x14ac:dyDescent="0.35">
      <c r="A29">
        <v>2017</v>
      </c>
      <c r="B29">
        <v>25</v>
      </c>
      <c r="C29" t="s">
        <v>53</v>
      </c>
      <c r="D29" s="4">
        <v>9</v>
      </c>
      <c r="E29">
        <v>103</v>
      </c>
      <c r="F29">
        <v>57.8</v>
      </c>
      <c r="G29" s="4"/>
      <c r="H29">
        <v>27</v>
      </c>
      <c r="I29">
        <v>24.8</v>
      </c>
    </row>
    <row r="30" spans="1:9" x14ac:dyDescent="0.35">
      <c r="A30">
        <v>2017</v>
      </c>
      <c r="B30">
        <v>26</v>
      </c>
      <c r="C30" t="s">
        <v>54</v>
      </c>
      <c r="D30" s="4"/>
      <c r="G30" s="4"/>
      <c r="H30">
        <v>22</v>
      </c>
      <c r="I30">
        <v>20.3</v>
      </c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2016</v>
      </c>
      <c r="B6">
        <v>2</v>
      </c>
      <c r="C6" t="s">
        <v>30</v>
      </c>
      <c r="D6" s="4">
        <v>46</v>
      </c>
      <c r="E6">
        <v>135</v>
      </c>
      <c r="F6">
        <v>109.6</v>
      </c>
      <c r="G6" s="4">
        <v>32</v>
      </c>
      <c r="H6">
        <v>207</v>
      </c>
      <c r="I6">
        <v>122.7</v>
      </c>
    </row>
    <row r="7" spans="1:18" x14ac:dyDescent="0.35">
      <c r="A7">
        <v>2016</v>
      </c>
      <c r="B7">
        <v>3</v>
      </c>
      <c r="C7" t="s">
        <v>31</v>
      </c>
      <c r="D7" s="4">
        <v>27</v>
      </c>
      <c r="E7">
        <v>99</v>
      </c>
      <c r="F7">
        <v>62.5</v>
      </c>
      <c r="G7" s="4">
        <v>35</v>
      </c>
      <c r="H7">
        <v>78</v>
      </c>
      <c r="I7">
        <v>58.1</v>
      </c>
    </row>
    <row r="8" spans="1:18" x14ac:dyDescent="0.35">
      <c r="A8">
        <v>2016</v>
      </c>
      <c r="B8">
        <v>4</v>
      </c>
      <c r="C8" t="s">
        <v>32</v>
      </c>
      <c r="D8" s="4">
        <v>5</v>
      </c>
      <c r="E8">
        <v>10</v>
      </c>
      <c r="F8">
        <v>7.7</v>
      </c>
      <c r="G8" s="4">
        <v>3</v>
      </c>
      <c r="H8">
        <v>5</v>
      </c>
    </row>
    <row r="9" spans="1:18" x14ac:dyDescent="0.35">
      <c r="A9">
        <v>2016</v>
      </c>
      <c r="B9">
        <v>5</v>
      </c>
      <c r="C9" t="s">
        <v>33</v>
      </c>
      <c r="D9" s="4">
        <v>61</v>
      </c>
      <c r="E9">
        <v>150</v>
      </c>
      <c r="F9">
        <v>116.6</v>
      </c>
      <c r="G9" s="4">
        <v>108</v>
      </c>
      <c r="H9">
        <v>434</v>
      </c>
      <c r="I9">
        <v>336.9</v>
      </c>
    </row>
    <row r="10" spans="1:18" x14ac:dyDescent="0.35">
      <c r="A10">
        <v>2016</v>
      </c>
      <c r="B10">
        <v>6</v>
      </c>
      <c r="C10" t="s">
        <v>34</v>
      </c>
      <c r="D10" s="4">
        <v>10</v>
      </c>
      <c r="E10">
        <v>55</v>
      </c>
      <c r="F10">
        <v>41.3</v>
      </c>
      <c r="G10" s="4">
        <v>9</v>
      </c>
      <c r="H10">
        <v>21</v>
      </c>
      <c r="I10">
        <v>13.1</v>
      </c>
    </row>
    <row r="11" spans="1:18" x14ac:dyDescent="0.35">
      <c r="A11">
        <v>2016</v>
      </c>
      <c r="B11">
        <v>7</v>
      </c>
      <c r="C11" t="s">
        <v>35</v>
      </c>
      <c r="D11" s="4">
        <v>5</v>
      </c>
      <c r="E11">
        <v>26</v>
      </c>
      <c r="F11">
        <v>21.5</v>
      </c>
      <c r="G11" s="4">
        <v>4</v>
      </c>
      <c r="H11">
        <v>15</v>
      </c>
      <c r="I11">
        <v>7.1</v>
      </c>
    </row>
    <row r="12" spans="1:18" x14ac:dyDescent="0.35">
      <c r="A12">
        <v>2016</v>
      </c>
      <c r="B12">
        <v>8</v>
      </c>
      <c r="C12" t="s">
        <v>36</v>
      </c>
      <c r="D12" s="4"/>
      <c r="E12">
        <v>10</v>
      </c>
      <c r="F12">
        <v>9.1</v>
      </c>
      <c r="G12" s="4">
        <v>7</v>
      </c>
      <c r="H12">
        <v>15</v>
      </c>
      <c r="I12">
        <v>13.6</v>
      </c>
    </row>
    <row r="13" spans="1:18" x14ac:dyDescent="0.35">
      <c r="A13">
        <v>2016</v>
      </c>
      <c r="B13">
        <v>9</v>
      </c>
      <c r="C13" t="s">
        <v>37</v>
      </c>
      <c r="D13" s="4">
        <v>81</v>
      </c>
      <c r="E13">
        <v>280</v>
      </c>
      <c r="F13">
        <v>218.4</v>
      </c>
      <c r="G13" s="4">
        <v>101</v>
      </c>
      <c r="H13">
        <v>530</v>
      </c>
      <c r="I13">
        <v>444.7</v>
      </c>
    </row>
    <row r="14" spans="1:18" x14ac:dyDescent="0.35">
      <c r="A14">
        <v>2016</v>
      </c>
      <c r="B14">
        <v>10</v>
      </c>
      <c r="C14" t="s">
        <v>38</v>
      </c>
      <c r="D14" s="4">
        <v>3</v>
      </c>
      <c r="E14">
        <v>11</v>
      </c>
      <c r="F14">
        <v>9.6</v>
      </c>
      <c r="G14" s="4">
        <v>3</v>
      </c>
      <c r="H14">
        <v>184</v>
      </c>
      <c r="I14">
        <v>155.80000000000001</v>
      </c>
    </row>
    <row r="15" spans="1:18" x14ac:dyDescent="0.35">
      <c r="A15">
        <v>2016</v>
      </c>
      <c r="B15">
        <v>11</v>
      </c>
      <c r="C15" t="s">
        <v>39</v>
      </c>
      <c r="D15" s="4">
        <v>13</v>
      </c>
      <c r="E15">
        <v>15</v>
      </c>
      <c r="F15">
        <v>10.6</v>
      </c>
      <c r="G15" s="4">
        <v>11</v>
      </c>
      <c r="H15">
        <v>43</v>
      </c>
      <c r="I15">
        <v>33.1</v>
      </c>
    </row>
    <row r="16" spans="1:18" x14ac:dyDescent="0.35">
      <c r="A16">
        <v>2016</v>
      </c>
      <c r="B16">
        <v>12</v>
      </c>
      <c r="C16" t="s">
        <v>40</v>
      </c>
      <c r="D16" s="4">
        <v>17</v>
      </c>
      <c r="E16">
        <v>85</v>
      </c>
      <c r="F16">
        <v>61.9</v>
      </c>
      <c r="G16" s="4">
        <v>21</v>
      </c>
      <c r="H16">
        <v>65</v>
      </c>
      <c r="I16">
        <v>44.1</v>
      </c>
    </row>
    <row r="17" spans="1:9" x14ac:dyDescent="0.35">
      <c r="A17">
        <v>2016</v>
      </c>
      <c r="B17">
        <v>13</v>
      </c>
      <c r="C17" t="s">
        <v>41</v>
      </c>
      <c r="D17" s="4">
        <v>11</v>
      </c>
      <c r="E17">
        <v>150</v>
      </c>
      <c r="F17">
        <v>70.900000000000006</v>
      </c>
      <c r="G17" s="4">
        <v>11</v>
      </c>
      <c r="H17">
        <v>14</v>
      </c>
      <c r="I17">
        <v>8.1999999999999993</v>
      </c>
    </row>
    <row r="18" spans="1:9" x14ac:dyDescent="0.35">
      <c r="A18">
        <v>2016</v>
      </c>
      <c r="B18">
        <v>14</v>
      </c>
      <c r="C18" t="s">
        <v>42</v>
      </c>
      <c r="D18" s="4">
        <v>13</v>
      </c>
      <c r="E18">
        <v>18</v>
      </c>
      <c r="F18">
        <v>12.1</v>
      </c>
      <c r="G18" s="4">
        <v>31</v>
      </c>
      <c r="H18">
        <v>91</v>
      </c>
      <c r="I18">
        <v>64</v>
      </c>
    </row>
    <row r="19" spans="1:9" x14ac:dyDescent="0.35">
      <c r="A19">
        <v>2016</v>
      </c>
      <c r="B19">
        <v>15</v>
      </c>
      <c r="C19" t="s">
        <v>43</v>
      </c>
      <c r="D19" s="4">
        <v>9</v>
      </c>
      <c r="E19">
        <v>92</v>
      </c>
      <c r="F19">
        <v>79.099999999999994</v>
      </c>
      <c r="G19" s="4">
        <v>17</v>
      </c>
      <c r="H19">
        <v>59</v>
      </c>
      <c r="I19">
        <v>33.6</v>
      </c>
    </row>
    <row r="20" spans="1:9" x14ac:dyDescent="0.35">
      <c r="A20">
        <v>2016</v>
      </c>
      <c r="B20">
        <v>16</v>
      </c>
      <c r="C20" t="s">
        <v>44</v>
      </c>
      <c r="D20" s="4"/>
      <c r="G20" s="4"/>
    </row>
    <row r="21" spans="1:9" x14ac:dyDescent="0.35">
      <c r="A21">
        <v>2016</v>
      </c>
      <c r="B21">
        <v>17</v>
      </c>
      <c r="C21" t="s">
        <v>45</v>
      </c>
      <c r="D21" s="4">
        <v>56</v>
      </c>
      <c r="E21">
        <v>245</v>
      </c>
      <c r="F21">
        <v>193.8</v>
      </c>
      <c r="G21" s="4">
        <v>56</v>
      </c>
      <c r="H21">
        <v>120</v>
      </c>
      <c r="I21">
        <v>82.9</v>
      </c>
    </row>
    <row r="22" spans="1:9" x14ac:dyDescent="0.35">
      <c r="A22">
        <v>2016</v>
      </c>
      <c r="B22">
        <v>18</v>
      </c>
      <c r="C22" t="s">
        <v>46</v>
      </c>
      <c r="D22" s="4">
        <v>12</v>
      </c>
      <c r="E22">
        <v>31</v>
      </c>
      <c r="F22">
        <v>26</v>
      </c>
      <c r="G22" s="4">
        <v>15</v>
      </c>
      <c r="H22">
        <v>33</v>
      </c>
      <c r="I22">
        <v>22.1</v>
      </c>
    </row>
    <row r="23" spans="1:9" x14ac:dyDescent="0.35">
      <c r="A23">
        <v>2016</v>
      </c>
      <c r="B23">
        <v>19</v>
      </c>
      <c r="C23" t="s">
        <v>47</v>
      </c>
      <c r="D23" s="4">
        <v>108</v>
      </c>
      <c r="E23">
        <v>450</v>
      </c>
      <c r="F23">
        <v>363.6</v>
      </c>
      <c r="G23" s="4">
        <v>142</v>
      </c>
      <c r="H23">
        <v>507</v>
      </c>
      <c r="I23">
        <v>407.6</v>
      </c>
    </row>
    <row r="24" spans="1:9" x14ac:dyDescent="0.35">
      <c r="A24">
        <v>2016</v>
      </c>
      <c r="B24">
        <v>20</v>
      </c>
      <c r="C24" t="s">
        <v>48</v>
      </c>
      <c r="D24" s="4">
        <v>40</v>
      </c>
      <c r="E24">
        <v>146</v>
      </c>
      <c r="F24">
        <v>125.5</v>
      </c>
      <c r="G24" s="4">
        <v>62</v>
      </c>
      <c r="H24">
        <v>217</v>
      </c>
      <c r="I24">
        <v>179.8</v>
      </c>
    </row>
    <row r="25" spans="1:9" x14ac:dyDescent="0.35">
      <c r="A25">
        <v>2016</v>
      </c>
      <c r="B25">
        <v>21</v>
      </c>
      <c r="C25" t="s">
        <v>49</v>
      </c>
      <c r="D25" s="4">
        <v>13</v>
      </c>
      <c r="E25">
        <v>27</v>
      </c>
      <c r="F25">
        <v>19</v>
      </c>
      <c r="G25" s="4">
        <v>19</v>
      </c>
      <c r="H25">
        <v>26</v>
      </c>
      <c r="I25">
        <v>18.3</v>
      </c>
    </row>
    <row r="26" spans="1:9" x14ac:dyDescent="0.35">
      <c r="A26">
        <v>2016</v>
      </c>
      <c r="B26">
        <v>22</v>
      </c>
      <c r="C26" t="s">
        <v>50</v>
      </c>
      <c r="D26" s="4">
        <v>6</v>
      </c>
      <c r="E26">
        <v>213</v>
      </c>
      <c r="F26">
        <v>196.1</v>
      </c>
      <c r="G26" s="4">
        <v>6</v>
      </c>
      <c r="H26">
        <v>38</v>
      </c>
      <c r="I26">
        <v>27.2</v>
      </c>
    </row>
    <row r="27" spans="1:9" x14ac:dyDescent="0.35">
      <c r="A27">
        <v>2016</v>
      </c>
      <c r="B27">
        <v>23</v>
      </c>
      <c r="C27" t="s">
        <v>51</v>
      </c>
      <c r="D27" s="4">
        <v>3</v>
      </c>
      <c r="G27" s="4">
        <v>5</v>
      </c>
      <c r="H27">
        <v>20</v>
      </c>
      <c r="I27">
        <v>15.7</v>
      </c>
    </row>
    <row r="28" spans="1:9" x14ac:dyDescent="0.35">
      <c r="A28">
        <v>2016</v>
      </c>
      <c r="B28">
        <v>24</v>
      </c>
      <c r="C28" t="s">
        <v>52</v>
      </c>
      <c r="D28" s="4">
        <v>3</v>
      </c>
      <c r="G28" s="4"/>
    </row>
    <row r="29" spans="1:9" x14ac:dyDescent="0.35">
      <c r="A29">
        <v>2016</v>
      </c>
      <c r="B29">
        <v>25</v>
      </c>
      <c r="C29" t="s">
        <v>53</v>
      </c>
      <c r="D29" s="4">
        <v>10</v>
      </c>
      <c r="E29">
        <v>149</v>
      </c>
      <c r="F29">
        <v>136.19999999999999</v>
      </c>
      <c r="G29" s="4">
        <v>4</v>
      </c>
      <c r="H29">
        <v>11</v>
      </c>
      <c r="I29">
        <v>8.4</v>
      </c>
    </row>
    <row r="30" spans="1:9" x14ac:dyDescent="0.35">
      <c r="A30">
        <v>2016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2015</v>
      </c>
      <c r="B6">
        <v>2</v>
      </c>
      <c r="C6" t="s">
        <v>30</v>
      </c>
      <c r="D6" s="4">
        <v>36</v>
      </c>
      <c r="E6">
        <v>174</v>
      </c>
      <c r="F6">
        <v>83.1</v>
      </c>
      <c r="G6" s="4">
        <v>43</v>
      </c>
      <c r="H6">
        <v>84</v>
      </c>
      <c r="I6">
        <v>52.8</v>
      </c>
    </row>
    <row r="7" spans="1:18" x14ac:dyDescent="0.35">
      <c r="A7">
        <v>2015</v>
      </c>
      <c r="B7">
        <v>3</v>
      </c>
      <c r="C7" t="s">
        <v>31</v>
      </c>
      <c r="D7" s="4">
        <v>23</v>
      </c>
      <c r="E7">
        <v>69</v>
      </c>
      <c r="F7">
        <v>43.9</v>
      </c>
      <c r="G7" s="4">
        <v>45</v>
      </c>
      <c r="H7">
        <v>192</v>
      </c>
      <c r="I7">
        <v>144.30000000000001</v>
      </c>
    </row>
    <row r="8" spans="1:18" x14ac:dyDescent="0.35">
      <c r="A8">
        <v>2015</v>
      </c>
      <c r="B8">
        <v>4</v>
      </c>
      <c r="C8" t="s">
        <v>32</v>
      </c>
      <c r="D8" s="4"/>
      <c r="G8" s="4"/>
    </row>
    <row r="9" spans="1:18" x14ac:dyDescent="0.35">
      <c r="A9">
        <v>2015</v>
      </c>
      <c r="B9">
        <v>5</v>
      </c>
      <c r="C9" t="s">
        <v>33</v>
      </c>
      <c r="D9" s="4">
        <v>54</v>
      </c>
      <c r="E9">
        <v>211</v>
      </c>
      <c r="F9">
        <v>177.3</v>
      </c>
      <c r="G9" s="4">
        <v>95</v>
      </c>
      <c r="H9">
        <v>432</v>
      </c>
      <c r="I9">
        <v>380</v>
      </c>
    </row>
    <row r="10" spans="1:18" x14ac:dyDescent="0.35">
      <c r="A10">
        <v>2015</v>
      </c>
      <c r="B10">
        <v>6</v>
      </c>
      <c r="C10" t="s">
        <v>34</v>
      </c>
      <c r="D10" s="4">
        <v>3</v>
      </c>
      <c r="E10">
        <v>16</v>
      </c>
      <c r="F10">
        <v>12.9</v>
      </c>
      <c r="G10" s="4"/>
      <c r="H10">
        <v>13</v>
      </c>
      <c r="I10">
        <v>8.1999999999999993</v>
      </c>
    </row>
    <row r="11" spans="1:18" x14ac:dyDescent="0.35">
      <c r="A11">
        <v>2015</v>
      </c>
      <c r="B11">
        <v>7</v>
      </c>
      <c r="C11" t="s">
        <v>35</v>
      </c>
      <c r="D11" s="4">
        <v>3</v>
      </c>
      <c r="E11">
        <v>4</v>
      </c>
      <c r="G11" s="4">
        <v>5</v>
      </c>
      <c r="H11">
        <v>21</v>
      </c>
      <c r="I11">
        <v>14.6</v>
      </c>
    </row>
    <row r="12" spans="1:18" x14ac:dyDescent="0.35">
      <c r="A12">
        <v>2015</v>
      </c>
      <c r="B12">
        <v>8</v>
      </c>
      <c r="C12" t="s">
        <v>36</v>
      </c>
      <c r="D12" s="4">
        <v>6</v>
      </c>
      <c r="E12">
        <v>11</v>
      </c>
      <c r="F12">
        <v>6.6</v>
      </c>
      <c r="G12" s="4">
        <v>9</v>
      </c>
      <c r="H12">
        <v>22</v>
      </c>
      <c r="I12">
        <v>19.2</v>
      </c>
    </row>
    <row r="13" spans="1:18" x14ac:dyDescent="0.35">
      <c r="A13">
        <v>2015</v>
      </c>
      <c r="B13">
        <v>9</v>
      </c>
      <c r="C13" t="s">
        <v>37</v>
      </c>
      <c r="D13" s="4">
        <v>80</v>
      </c>
      <c r="E13">
        <v>287</v>
      </c>
      <c r="F13">
        <v>227.8</v>
      </c>
      <c r="G13" s="4">
        <v>98</v>
      </c>
      <c r="H13">
        <v>433</v>
      </c>
      <c r="I13">
        <v>349.4</v>
      </c>
    </row>
    <row r="14" spans="1:18" x14ac:dyDescent="0.35">
      <c r="A14">
        <v>2015</v>
      </c>
      <c r="B14">
        <v>10</v>
      </c>
      <c r="C14" t="s">
        <v>38</v>
      </c>
      <c r="D14" s="4">
        <v>4</v>
      </c>
      <c r="E14">
        <v>9</v>
      </c>
      <c r="F14">
        <v>5.9</v>
      </c>
      <c r="G14" s="4">
        <v>5</v>
      </c>
      <c r="H14">
        <v>7</v>
      </c>
      <c r="I14">
        <v>4.8</v>
      </c>
    </row>
    <row r="15" spans="1:18" x14ac:dyDescent="0.35">
      <c r="A15">
        <v>2015</v>
      </c>
      <c r="B15">
        <v>11</v>
      </c>
      <c r="C15" t="s">
        <v>39</v>
      </c>
      <c r="D15" s="4">
        <v>9</v>
      </c>
      <c r="E15">
        <v>258</v>
      </c>
      <c r="F15">
        <v>80.8</v>
      </c>
      <c r="G15" s="4">
        <v>10</v>
      </c>
      <c r="H15">
        <v>19</v>
      </c>
      <c r="I15">
        <v>12.4</v>
      </c>
    </row>
    <row r="16" spans="1:18" x14ac:dyDescent="0.35">
      <c r="A16">
        <v>2015</v>
      </c>
      <c r="B16">
        <v>12</v>
      </c>
      <c r="C16" t="s">
        <v>40</v>
      </c>
      <c r="D16" s="4">
        <v>22</v>
      </c>
      <c r="E16">
        <v>105</v>
      </c>
      <c r="F16">
        <v>85.3</v>
      </c>
      <c r="G16" s="4">
        <v>13</v>
      </c>
      <c r="H16">
        <v>95</v>
      </c>
      <c r="I16">
        <v>72.2</v>
      </c>
    </row>
    <row r="17" spans="1:9" x14ac:dyDescent="0.35">
      <c r="A17">
        <v>2015</v>
      </c>
      <c r="B17">
        <v>13</v>
      </c>
      <c r="C17" t="s">
        <v>41</v>
      </c>
      <c r="D17" s="4">
        <v>7</v>
      </c>
      <c r="E17">
        <v>10</v>
      </c>
      <c r="F17">
        <v>7.3</v>
      </c>
      <c r="G17" s="4">
        <v>6</v>
      </c>
      <c r="H17">
        <v>27</v>
      </c>
      <c r="I17">
        <v>22.7</v>
      </c>
    </row>
    <row r="18" spans="1:9" x14ac:dyDescent="0.35">
      <c r="A18">
        <v>2015</v>
      </c>
      <c r="B18">
        <v>14</v>
      </c>
      <c r="C18" t="s">
        <v>42</v>
      </c>
      <c r="D18" s="4">
        <v>16</v>
      </c>
      <c r="E18">
        <v>67</v>
      </c>
      <c r="F18">
        <v>51.1</v>
      </c>
      <c r="G18" s="4">
        <v>26</v>
      </c>
      <c r="H18">
        <v>30</v>
      </c>
      <c r="I18">
        <v>19.899999999999999</v>
      </c>
    </row>
    <row r="19" spans="1:9" x14ac:dyDescent="0.35">
      <c r="A19">
        <v>2015</v>
      </c>
      <c r="B19">
        <v>15</v>
      </c>
      <c r="C19" t="s">
        <v>43</v>
      </c>
      <c r="D19" s="4">
        <v>8</v>
      </c>
      <c r="E19">
        <v>35</v>
      </c>
      <c r="F19">
        <v>28.9</v>
      </c>
      <c r="G19" s="4">
        <v>4</v>
      </c>
      <c r="H19">
        <v>5</v>
      </c>
    </row>
    <row r="20" spans="1:9" x14ac:dyDescent="0.35">
      <c r="A20">
        <v>2015</v>
      </c>
      <c r="B20">
        <v>16</v>
      </c>
      <c r="C20" t="s">
        <v>44</v>
      </c>
      <c r="D20" s="4">
        <v>3</v>
      </c>
      <c r="E20">
        <v>9</v>
      </c>
      <c r="F20">
        <v>7.5</v>
      </c>
      <c r="G20" s="4"/>
    </row>
    <row r="21" spans="1:9" x14ac:dyDescent="0.35">
      <c r="A21">
        <v>2015</v>
      </c>
      <c r="B21">
        <v>17</v>
      </c>
      <c r="C21" t="s">
        <v>45</v>
      </c>
      <c r="D21" s="4">
        <v>35</v>
      </c>
      <c r="E21">
        <v>121</v>
      </c>
      <c r="F21">
        <v>80.599999999999994</v>
      </c>
      <c r="G21" s="4">
        <v>62</v>
      </c>
      <c r="H21">
        <v>252</v>
      </c>
      <c r="I21">
        <v>204.7</v>
      </c>
    </row>
    <row r="22" spans="1:9" x14ac:dyDescent="0.35">
      <c r="A22">
        <v>2015</v>
      </c>
      <c r="B22">
        <v>18</v>
      </c>
      <c r="C22" t="s">
        <v>46</v>
      </c>
      <c r="D22" s="4">
        <v>14</v>
      </c>
      <c r="E22">
        <v>22</v>
      </c>
      <c r="F22">
        <v>13.8</v>
      </c>
      <c r="G22" s="4">
        <v>23</v>
      </c>
      <c r="H22">
        <v>46</v>
      </c>
      <c r="I22">
        <v>30.4</v>
      </c>
    </row>
    <row r="23" spans="1:9" x14ac:dyDescent="0.35">
      <c r="A23">
        <v>2015</v>
      </c>
      <c r="B23">
        <v>19</v>
      </c>
      <c r="C23" t="s">
        <v>47</v>
      </c>
      <c r="D23" s="4">
        <v>84</v>
      </c>
      <c r="E23">
        <v>236</v>
      </c>
      <c r="F23">
        <v>181.5</v>
      </c>
      <c r="G23" s="4">
        <v>90</v>
      </c>
      <c r="H23">
        <v>445</v>
      </c>
      <c r="I23">
        <v>379.3</v>
      </c>
    </row>
    <row r="24" spans="1:9" x14ac:dyDescent="0.35">
      <c r="A24">
        <v>2015</v>
      </c>
      <c r="B24">
        <v>20</v>
      </c>
      <c r="C24" t="s">
        <v>48</v>
      </c>
      <c r="D24" s="4">
        <v>39</v>
      </c>
      <c r="E24">
        <v>225</v>
      </c>
      <c r="F24">
        <v>180.4</v>
      </c>
      <c r="G24" s="4">
        <v>62</v>
      </c>
      <c r="H24">
        <v>186</v>
      </c>
      <c r="I24">
        <v>142.19999999999999</v>
      </c>
    </row>
    <row r="25" spans="1:9" x14ac:dyDescent="0.35">
      <c r="A25">
        <v>2015</v>
      </c>
      <c r="B25">
        <v>21</v>
      </c>
      <c r="C25" t="s">
        <v>49</v>
      </c>
      <c r="D25" s="4">
        <v>10</v>
      </c>
      <c r="E25">
        <v>42</v>
      </c>
      <c r="F25">
        <v>35.200000000000003</v>
      </c>
      <c r="G25" s="4">
        <v>11</v>
      </c>
      <c r="H25">
        <v>23</v>
      </c>
      <c r="I25">
        <v>17.8</v>
      </c>
    </row>
    <row r="26" spans="1:9" x14ac:dyDescent="0.35">
      <c r="A26">
        <v>2015</v>
      </c>
      <c r="B26">
        <v>22</v>
      </c>
      <c r="C26" t="s">
        <v>50</v>
      </c>
      <c r="D26" s="4">
        <v>10</v>
      </c>
      <c r="E26">
        <v>394</v>
      </c>
      <c r="F26">
        <v>362.6</v>
      </c>
      <c r="G26" s="4">
        <v>8</v>
      </c>
      <c r="H26">
        <v>26</v>
      </c>
      <c r="I26">
        <v>21.4</v>
      </c>
    </row>
    <row r="27" spans="1:9" x14ac:dyDescent="0.35">
      <c r="A27">
        <v>2015</v>
      </c>
      <c r="B27">
        <v>23</v>
      </c>
      <c r="C27" t="s">
        <v>51</v>
      </c>
      <c r="D27" s="4">
        <v>3</v>
      </c>
      <c r="E27">
        <v>18</v>
      </c>
      <c r="F27">
        <v>16.100000000000001</v>
      </c>
      <c r="G27" s="4"/>
    </row>
    <row r="28" spans="1:9" x14ac:dyDescent="0.35">
      <c r="A28">
        <v>2015</v>
      </c>
      <c r="B28">
        <v>24</v>
      </c>
      <c r="C28" t="s">
        <v>52</v>
      </c>
      <c r="D28" s="4"/>
      <c r="G28" s="4">
        <v>3</v>
      </c>
    </row>
    <row r="29" spans="1:9" x14ac:dyDescent="0.35">
      <c r="A29">
        <v>2015</v>
      </c>
      <c r="B29">
        <v>25</v>
      </c>
      <c r="C29" t="s">
        <v>53</v>
      </c>
      <c r="D29" s="4">
        <v>5</v>
      </c>
      <c r="E29">
        <v>197</v>
      </c>
      <c r="F29">
        <v>105.2</v>
      </c>
      <c r="G29" s="4">
        <v>7</v>
      </c>
      <c r="H29">
        <v>96</v>
      </c>
      <c r="I29">
        <v>50.2</v>
      </c>
    </row>
    <row r="30" spans="1:9" x14ac:dyDescent="0.35">
      <c r="A30">
        <v>2015</v>
      </c>
      <c r="B30">
        <v>26</v>
      </c>
      <c r="C30" t="s">
        <v>54</v>
      </c>
      <c r="D30" s="4"/>
      <c r="E30">
        <v>4</v>
      </c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2014</v>
      </c>
      <c r="B6">
        <v>2</v>
      </c>
      <c r="C6" t="s">
        <v>30</v>
      </c>
      <c r="D6" s="4">
        <v>25</v>
      </c>
      <c r="E6">
        <v>80</v>
      </c>
      <c r="F6">
        <v>61.5</v>
      </c>
      <c r="G6" s="4">
        <v>20</v>
      </c>
      <c r="H6">
        <v>94</v>
      </c>
      <c r="I6">
        <v>74.900000000000006</v>
      </c>
    </row>
    <row r="7" spans="1:18" x14ac:dyDescent="0.35">
      <c r="A7">
        <v>2014</v>
      </c>
      <c r="B7">
        <v>3</v>
      </c>
      <c r="C7" t="s">
        <v>31</v>
      </c>
      <c r="D7" s="4">
        <v>20</v>
      </c>
      <c r="E7">
        <v>70</v>
      </c>
      <c r="F7">
        <v>51.1</v>
      </c>
      <c r="G7" s="4">
        <v>28</v>
      </c>
      <c r="H7">
        <v>97</v>
      </c>
      <c r="I7">
        <v>63.7</v>
      </c>
    </row>
    <row r="8" spans="1:18" x14ac:dyDescent="0.35">
      <c r="A8">
        <v>2014</v>
      </c>
      <c r="B8">
        <v>4</v>
      </c>
      <c r="C8" t="s">
        <v>32</v>
      </c>
      <c r="D8" s="4"/>
      <c r="G8" s="4"/>
      <c r="H8">
        <v>7</v>
      </c>
      <c r="I8">
        <v>5.2</v>
      </c>
    </row>
    <row r="9" spans="1:18" x14ac:dyDescent="0.35">
      <c r="A9">
        <v>2014</v>
      </c>
      <c r="B9">
        <v>5</v>
      </c>
      <c r="C9" t="s">
        <v>33</v>
      </c>
      <c r="D9" s="4">
        <v>43</v>
      </c>
      <c r="E9">
        <v>200</v>
      </c>
      <c r="F9">
        <v>161.69999999999999</v>
      </c>
      <c r="G9" s="4">
        <v>75</v>
      </c>
      <c r="H9">
        <v>216</v>
      </c>
      <c r="I9">
        <v>163.19999999999999</v>
      </c>
    </row>
    <row r="10" spans="1:18" x14ac:dyDescent="0.35">
      <c r="A10">
        <v>2014</v>
      </c>
      <c r="B10">
        <v>6</v>
      </c>
      <c r="C10" t="s">
        <v>34</v>
      </c>
      <c r="D10" s="4">
        <v>3</v>
      </c>
      <c r="E10">
        <v>5</v>
      </c>
      <c r="F10">
        <v>4.4000000000000004</v>
      </c>
      <c r="G10" s="4">
        <v>7</v>
      </c>
      <c r="H10">
        <v>25</v>
      </c>
      <c r="I10">
        <v>18.7</v>
      </c>
    </row>
    <row r="11" spans="1:18" x14ac:dyDescent="0.35">
      <c r="A11">
        <v>2014</v>
      </c>
      <c r="B11">
        <v>7</v>
      </c>
      <c r="C11" t="s">
        <v>35</v>
      </c>
      <c r="D11" s="4"/>
      <c r="G11" s="4">
        <v>4</v>
      </c>
      <c r="H11">
        <v>9</v>
      </c>
      <c r="I11">
        <v>6.9</v>
      </c>
    </row>
    <row r="12" spans="1:18" x14ac:dyDescent="0.35">
      <c r="A12">
        <v>2014</v>
      </c>
      <c r="B12">
        <v>8</v>
      </c>
      <c r="C12" t="s">
        <v>36</v>
      </c>
      <c r="D12" s="4"/>
      <c r="E12">
        <v>5</v>
      </c>
      <c r="F12">
        <v>5</v>
      </c>
      <c r="G12" s="4">
        <v>10</v>
      </c>
      <c r="H12">
        <v>18</v>
      </c>
      <c r="I12">
        <v>13.6</v>
      </c>
    </row>
    <row r="13" spans="1:18" x14ac:dyDescent="0.35">
      <c r="A13">
        <v>2014</v>
      </c>
      <c r="B13">
        <v>9</v>
      </c>
      <c r="C13" t="s">
        <v>37</v>
      </c>
      <c r="D13" s="4">
        <v>60</v>
      </c>
      <c r="E13">
        <v>185</v>
      </c>
      <c r="F13">
        <v>142.5</v>
      </c>
      <c r="G13" s="4">
        <v>65</v>
      </c>
      <c r="H13">
        <v>328</v>
      </c>
      <c r="I13">
        <v>253.9</v>
      </c>
    </row>
    <row r="14" spans="1:18" x14ac:dyDescent="0.35">
      <c r="A14">
        <v>2014</v>
      </c>
      <c r="B14">
        <v>10</v>
      </c>
      <c r="C14" t="s">
        <v>38</v>
      </c>
      <c r="D14" s="4">
        <v>3</v>
      </c>
      <c r="E14">
        <v>42</v>
      </c>
      <c r="F14">
        <v>32.700000000000003</v>
      </c>
      <c r="G14" s="4">
        <v>3</v>
      </c>
    </row>
    <row r="15" spans="1:18" x14ac:dyDescent="0.35">
      <c r="A15">
        <v>2014</v>
      </c>
      <c r="B15">
        <v>11</v>
      </c>
      <c r="C15" t="s">
        <v>39</v>
      </c>
      <c r="D15" s="4">
        <v>8</v>
      </c>
      <c r="E15">
        <v>21</v>
      </c>
      <c r="F15">
        <v>16.100000000000001</v>
      </c>
      <c r="G15" s="4">
        <v>12</v>
      </c>
      <c r="H15">
        <v>52</v>
      </c>
      <c r="I15">
        <v>34.799999999999997</v>
      </c>
    </row>
    <row r="16" spans="1:18" x14ac:dyDescent="0.35">
      <c r="A16">
        <v>2014</v>
      </c>
      <c r="B16">
        <v>12</v>
      </c>
      <c r="C16" t="s">
        <v>40</v>
      </c>
      <c r="D16" s="4">
        <v>12</v>
      </c>
      <c r="E16">
        <v>15</v>
      </c>
      <c r="F16">
        <v>8.6999999999999993</v>
      </c>
      <c r="G16" s="4">
        <v>13</v>
      </c>
      <c r="H16">
        <v>64</v>
      </c>
      <c r="I16">
        <v>50.9</v>
      </c>
    </row>
    <row r="17" spans="1:9" x14ac:dyDescent="0.35">
      <c r="A17">
        <v>2014</v>
      </c>
      <c r="B17">
        <v>13</v>
      </c>
      <c r="C17" t="s">
        <v>41</v>
      </c>
      <c r="D17" s="4">
        <v>8</v>
      </c>
      <c r="E17">
        <v>30</v>
      </c>
      <c r="F17">
        <v>23</v>
      </c>
      <c r="G17" s="4">
        <v>4</v>
      </c>
      <c r="H17">
        <v>10</v>
      </c>
      <c r="I17">
        <v>6.8</v>
      </c>
    </row>
    <row r="18" spans="1:9" x14ac:dyDescent="0.35">
      <c r="A18">
        <v>2014</v>
      </c>
      <c r="B18">
        <v>14</v>
      </c>
      <c r="C18" t="s">
        <v>42</v>
      </c>
      <c r="D18" s="4">
        <v>17</v>
      </c>
      <c r="E18">
        <v>71</v>
      </c>
      <c r="F18">
        <v>52</v>
      </c>
      <c r="G18" s="4">
        <v>25</v>
      </c>
      <c r="H18">
        <v>64</v>
      </c>
      <c r="I18">
        <v>52.9</v>
      </c>
    </row>
    <row r="19" spans="1:9" x14ac:dyDescent="0.35">
      <c r="A19">
        <v>2014</v>
      </c>
      <c r="B19">
        <v>15</v>
      </c>
      <c r="C19" t="s">
        <v>43</v>
      </c>
      <c r="D19" s="4">
        <v>7</v>
      </c>
      <c r="E19">
        <v>20</v>
      </c>
      <c r="F19">
        <v>13.2</v>
      </c>
      <c r="G19" s="4">
        <v>4</v>
      </c>
      <c r="H19">
        <v>5</v>
      </c>
    </row>
    <row r="20" spans="1:9" x14ac:dyDescent="0.35">
      <c r="A20">
        <v>2014</v>
      </c>
      <c r="B20">
        <v>16</v>
      </c>
      <c r="C20" t="s">
        <v>44</v>
      </c>
      <c r="D20" s="4"/>
      <c r="E20">
        <v>4</v>
      </c>
      <c r="G20" s="4"/>
    </row>
    <row r="21" spans="1:9" x14ac:dyDescent="0.35">
      <c r="A21">
        <v>2014</v>
      </c>
      <c r="B21">
        <v>17</v>
      </c>
      <c r="C21" t="s">
        <v>45</v>
      </c>
      <c r="D21" s="4">
        <v>37</v>
      </c>
      <c r="E21">
        <v>78</v>
      </c>
      <c r="F21">
        <v>57.3</v>
      </c>
      <c r="G21" s="4">
        <v>45</v>
      </c>
      <c r="H21">
        <v>142</v>
      </c>
      <c r="I21">
        <v>110.6</v>
      </c>
    </row>
    <row r="22" spans="1:9" x14ac:dyDescent="0.35">
      <c r="A22">
        <v>2014</v>
      </c>
      <c r="B22">
        <v>18</v>
      </c>
      <c r="C22" t="s">
        <v>46</v>
      </c>
      <c r="D22" s="4">
        <v>8</v>
      </c>
      <c r="E22">
        <v>9</v>
      </c>
      <c r="F22">
        <v>5.8</v>
      </c>
      <c r="G22" s="4">
        <v>9</v>
      </c>
      <c r="H22">
        <v>37</v>
      </c>
      <c r="I22">
        <v>25.6</v>
      </c>
    </row>
    <row r="23" spans="1:9" x14ac:dyDescent="0.35">
      <c r="A23">
        <v>2014</v>
      </c>
      <c r="B23">
        <v>19</v>
      </c>
      <c r="C23" t="s">
        <v>47</v>
      </c>
      <c r="D23" s="4">
        <v>49</v>
      </c>
      <c r="E23">
        <v>125</v>
      </c>
      <c r="F23">
        <v>106.8</v>
      </c>
      <c r="G23" s="4">
        <v>99</v>
      </c>
      <c r="H23">
        <v>275</v>
      </c>
      <c r="I23">
        <v>207.1</v>
      </c>
    </row>
    <row r="24" spans="1:9" x14ac:dyDescent="0.35">
      <c r="A24">
        <v>2014</v>
      </c>
      <c r="B24">
        <v>20</v>
      </c>
      <c r="C24" t="s">
        <v>48</v>
      </c>
      <c r="D24" s="4">
        <v>23</v>
      </c>
      <c r="E24">
        <v>61</v>
      </c>
      <c r="F24">
        <v>46.5</v>
      </c>
      <c r="G24" s="4">
        <v>43</v>
      </c>
      <c r="H24">
        <v>101</v>
      </c>
      <c r="I24">
        <v>71.900000000000006</v>
      </c>
    </row>
    <row r="25" spans="1:9" x14ac:dyDescent="0.35">
      <c r="A25">
        <v>2014</v>
      </c>
      <c r="B25">
        <v>21</v>
      </c>
      <c r="C25" t="s">
        <v>49</v>
      </c>
      <c r="D25" s="4">
        <v>11</v>
      </c>
      <c r="E25">
        <v>14</v>
      </c>
      <c r="F25">
        <v>8.6999999999999993</v>
      </c>
      <c r="G25" s="4">
        <v>11</v>
      </c>
      <c r="H25">
        <v>11</v>
      </c>
      <c r="I25">
        <v>6.9</v>
      </c>
    </row>
    <row r="26" spans="1:9" x14ac:dyDescent="0.35">
      <c r="A26">
        <v>2014</v>
      </c>
      <c r="B26">
        <v>22</v>
      </c>
      <c r="C26" t="s">
        <v>50</v>
      </c>
      <c r="D26" s="4">
        <v>5</v>
      </c>
      <c r="E26">
        <v>11</v>
      </c>
      <c r="F26">
        <v>7.5</v>
      </c>
      <c r="G26" s="4">
        <v>4</v>
      </c>
      <c r="H26">
        <v>5</v>
      </c>
    </row>
    <row r="27" spans="1:9" x14ac:dyDescent="0.35">
      <c r="A27">
        <v>2014</v>
      </c>
      <c r="B27">
        <v>23</v>
      </c>
      <c r="C27" t="s">
        <v>51</v>
      </c>
      <c r="D27" s="4"/>
      <c r="G27" s="4">
        <v>6</v>
      </c>
      <c r="H27">
        <v>30</v>
      </c>
      <c r="I27">
        <v>25.4</v>
      </c>
    </row>
    <row r="28" spans="1:9" x14ac:dyDescent="0.35">
      <c r="A28">
        <v>2014</v>
      </c>
      <c r="B28">
        <v>24</v>
      </c>
      <c r="C28" t="s">
        <v>52</v>
      </c>
      <c r="D28" s="4"/>
      <c r="G28" s="4"/>
    </row>
    <row r="29" spans="1:9" x14ac:dyDescent="0.35">
      <c r="A29">
        <v>2014</v>
      </c>
      <c r="B29">
        <v>25</v>
      </c>
      <c r="C29" t="s">
        <v>53</v>
      </c>
      <c r="D29" s="4">
        <v>6</v>
      </c>
      <c r="E29">
        <v>25</v>
      </c>
      <c r="F29">
        <v>22.1</v>
      </c>
      <c r="G29" s="4"/>
    </row>
    <row r="30" spans="1:9" x14ac:dyDescent="0.35">
      <c r="A30">
        <v>2014</v>
      </c>
      <c r="B30">
        <v>26</v>
      </c>
      <c r="C30" t="s">
        <v>54</v>
      </c>
      <c r="D30" s="4"/>
      <c r="G30" s="4"/>
      <c r="H30">
        <v>5</v>
      </c>
      <c r="I30">
        <v>4.0999999999999996</v>
      </c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2013</v>
      </c>
      <c r="B6">
        <v>2</v>
      </c>
      <c r="C6" t="s">
        <v>30</v>
      </c>
      <c r="D6" s="4">
        <v>17</v>
      </c>
      <c r="E6">
        <v>52</v>
      </c>
      <c r="F6">
        <v>39.9</v>
      </c>
      <c r="G6" s="4">
        <v>17</v>
      </c>
      <c r="H6">
        <v>25</v>
      </c>
      <c r="I6">
        <v>20</v>
      </c>
    </row>
    <row r="7" spans="1:18" x14ac:dyDescent="0.35">
      <c r="A7">
        <v>2013</v>
      </c>
      <c r="B7">
        <v>3</v>
      </c>
      <c r="C7" t="s">
        <v>31</v>
      </c>
      <c r="D7" s="4">
        <v>16</v>
      </c>
      <c r="E7">
        <v>39</v>
      </c>
      <c r="F7">
        <v>23.4</v>
      </c>
      <c r="G7" s="4">
        <v>9</v>
      </c>
      <c r="H7">
        <v>21</v>
      </c>
      <c r="I7">
        <v>16.899999999999999</v>
      </c>
    </row>
    <row r="8" spans="1:18" x14ac:dyDescent="0.35">
      <c r="A8">
        <v>2013</v>
      </c>
      <c r="B8">
        <v>4</v>
      </c>
      <c r="C8" t="s">
        <v>32</v>
      </c>
      <c r="D8" s="4"/>
      <c r="G8" s="4"/>
      <c r="H8">
        <v>4</v>
      </c>
    </row>
    <row r="9" spans="1:18" x14ac:dyDescent="0.35">
      <c r="A9">
        <v>2013</v>
      </c>
      <c r="B9">
        <v>5</v>
      </c>
      <c r="C9" t="s">
        <v>33</v>
      </c>
      <c r="D9" s="4">
        <v>27</v>
      </c>
      <c r="E9">
        <v>86</v>
      </c>
      <c r="F9">
        <v>66.5</v>
      </c>
      <c r="G9" s="4">
        <v>33</v>
      </c>
      <c r="H9">
        <v>103</v>
      </c>
      <c r="I9">
        <v>76.8</v>
      </c>
    </row>
    <row r="10" spans="1:18" x14ac:dyDescent="0.35">
      <c r="A10">
        <v>2013</v>
      </c>
      <c r="B10">
        <v>6</v>
      </c>
      <c r="C10" t="s">
        <v>34</v>
      </c>
      <c r="D10" s="4"/>
      <c r="G10" s="4"/>
    </row>
    <row r="11" spans="1:18" x14ac:dyDescent="0.35">
      <c r="A11">
        <v>2013</v>
      </c>
      <c r="B11">
        <v>7</v>
      </c>
      <c r="C11" t="s">
        <v>35</v>
      </c>
      <c r="D11" s="4"/>
      <c r="E11">
        <v>16</v>
      </c>
      <c r="F11">
        <v>10.4</v>
      </c>
      <c r="G11" s="4"/>
    </row>
    <row r="12" spans="1:18" x14ac:dyDescent="0.35">
      <c r="A12">
        <v>2013</v>
      </c>
      <c r="B12">
        <v>8</v>
      </c>
      <c r="C12" t="s">
        <v>36</v>
      </c>
      <c r="D12" s="4"/>
      <c r="E12">
        <v>6</v>
      </c>
      <c r="F12">
        <v>5.0999999999999996</v>
      </c>
      <c r="G12" s="4">
        <v>6</v>
      </c>
      <c r="H12">
        <v>24</v>
      </c>
      <c r="I12">
        <v>18.3</v>
      </c>
    </row>
    <row r="13" spans="1:18" x14ac:dyDescent="0.35">
      <c r="A13">
        <v>2013</v>
      </c>
      <c r="B13">
        <v>9</v>
      </c>
      <c r="C13" t="s">
        <v>37</v>
      </c>
      <c r="D13" s="4">
        <v>47</v>
      </c>
      <c r="E13">
        <v>166</v>
      </c>
      <c r="F13">
        <v>122.4</v>
      </c>
      <c r="G13" s="4">
        <v>46</v>
      </c>
      <c r="H13">
        <v>136</v>
      </c>
      <c r="I13">
        <v>107.3</v>
      </c>
    </row>
    <row r="14" spans="1:18" x14ac:dyDescent="0.35">
      <c r="A14">
        <v>2013</v>
      </c>
      <c r="B14">
        <v>10</v>
      </c>
      <c r="C14" t="s">
        <v>38</v>
      </c>
      <c r="D14" s="4">
        <v>4</v>
      </c>
      <c r="E14">
        <v>51</v>
      </c>
      <c r="F14">
        <v>44</v>
      </c>
      <c r="G14" s="4"/>
      <c r="H14">
        <v>9</v>
      </c>
      <c r="I14">
        <v>5.0999999999999996</v>
      </c>
    </row>
    <row r="15" spans="1:18" x14ac:dyDescent="0.35">
      <c r="A15">
        <v>2013</v>
      </c>
      <c r="B15">
        <v>11</v>
      </c>
      <c r="C15" t="s">
        <v>39</v>
      </c>
      <c r="D15" s="4">
        <v>6</v>
      </c>
      <c r="E15">
        <v>6</v>
      </c>
      <c r="G15" s="4"/>
    </row>
    <row r="16" spans="1:18" x14ac:dyDescent="0.35">
      <c r="A16">
        <v>2013</v>
      </c>
      <c r="B16">
        <v>12</v>
      </c>
      <c r="C16" t="s">
        <v>40</v>
      </c>
      <c r="D16" s="4">
        <v>9</v>
      </c>
      <c r="E16">
        <v>59</v>
      </c>
      <c r="F16">
        <v>50.3</v>
      </c>
      <c r="G16" s="4">
        <v>4</v>
      </c>
      <c r="H16">
        <v>15</v>
      </c>
      <c r="I16">
        <v>12.8</v>
      </c>
    </row>
    <row r="17" spans="1:9" x14ac:dyDescent="0.35">
      <c r="A17">
        <v>2013</v>
      </c>
      <c r="B17">
        <v>13</v>
      </c>
      <c r="C17" t="s">
        <v>41</v>
      </c>
      <c r="D17" s="4">
        <v>5</v>
      </c>
      <c r="E17">
        <v>10</v>
      </c>
      <c r="F17">
        <v>6.1</v>
      </c>
      <c r="G17" s="4">
        <v>6</v>
      </c>
      <c r="H17">
        <v>7</v>
      </c>
      <c r="I17">
        <v>5.0999999999999996</v>
      </c>
    </row>
    <row r="18" spans="1:9" x14ac:dyDescent="0.35">
      <c r="A18">
        <v>2013</v>
      </c>
      <c r="B18">
        <v>14</v>
      </c>
      <c r="C18" t="s">
        <v>42</v>
      </c>
      <c r="D18" s="4">
        <v>10</v>
      </c>
      <c r="E18">
        <v>19</v>
      </c>
      <c r="F18">
        <v>15.2</v>
      </c>
      <c r="G18" s="4">
        <v>12</v>
      </c>
      <c r="H18">
        <v>142</v>
      </c>
      <c r="I18">
        <v>64</v>
      </c>
    </row>
    <row r="19" spans="1:9" x14ac:dyDescent="0.35">
      <c r="A19">
        <v>2013</v>
      </c>
      <c r="B19">
        <v>15</v>
      </c>
      <c r="C19" t="s">
        <v>43</v>
      </c>
      <c r="D19" s="4">
        <v>4</v>
      </c>
      <c r="E19">
        <v>9</v>
      </c>
      <c r="F19">
        <v>6.4</v>
      </c>
      <c r="G19" s="4">
        <v>6</v>
      </c>
      <c r="H19">
        <v>13</v>
      </c>
      <c r="I19">
        <v>9.5</v>
      </c>
    </row>
    <row r="20" spans="1:9" x14ac:dyDescent="0.35">
      <c r="A20">
        <v>2013</v>
      </c>
      <c r="B20">
        <v>16</v>
      </c>
      <c r="C20" t="s">
        <v>44</v>
      </c>
      <c r="D20" s="4"/>
      <c r="G20" s="4"/>
      <c r="H20">
        <v>6</v>
      </c>
      <c r="I20">
        <v>4.4000000000000004</v>
      </c>
    </row>
    <row r="21" spans="1:9" x14ac:dyDescent="0.35">
      <c r="A21">
        <v>2013</v>
      </c>
      <c r="B21">
        <v>17</v>
      </c>
      <c r="C21" t="s">
        <v>45</v>
      </c>
      <c r="D21" s="4">
        <v>21</v>
      </c>
      <c r="E21">
        <v>108</v>
      </c>
      <c r="F21">
        <v>88.5</v>
      </c>
      <c r="G21" s="4">
        <v>21</v>
      </c>
      <c r="H21">
        <v>122</v>
      </c>
      <c r="I21">
        <v>106.3</v>
      </c>
    </row>
    <row r="22" spans="1:9" x14ac:dyDescent="0.35">
      <c r="A22">
        <v>2013</v>
      </c>
      <c r="B22">
        <v>18</v>
      </c>
      <c r="C22" t="s">
        <v>46</v>
      </c>
      <c r="D22" s="4">
        <v>7</v>
      </c>
      <c r="E22">
        <v>23</v>
      </c>
      <c r="F22">
        <v>19.899999999999999</v>
      </c>
      <c r="G22" s="4">
        <v>7</v>
      </c>
      <c r="H22">
        <v>11</v>
      </c>
      <c r="I22">
        <v>6.3</v>
      </c>
    </row>
    <row r="23" spans="1:9" x14ac:dyDescent="0.35">
      <c r="A23">
        <v>2013</v>
      </c>
      <c r="B23">
        <v>19</v>
      </c>
      <c r="C23" t="s">
        <v>47</v>
      </c>
      <c r="D23" s="4">
        <v>35</v>
      </c>
      <c r="E23">
        <v>149</v>
      </c>
      <c r="F23">
        <v>117.6</v>
      </c>
      <c r="G23" s="4">
        <v>49</v>
      </c>
      <c r="H23">
        <v>248</v>
      </c>
      <c r="I23">
        <v>211.5</v>
      </c>
    </row>
    <row r="24" spans="1:9" x14ac:dyDescent="0.35">
      <c r="A24">
        <v>2013</v>
      </c>
      <c r="B24">
        <v>20</v>
      </c>
      <c r="C24" t="s">
        <v>48</v>
      </c>
      <c r="D24" s="4">
        <v>19</v>
      </c>
      <c r="E24">
        <v>93</v>
      </c>
      <c r="F24">
        <v>72.900000000000006</v>
      </c>
      <c r="G24" s="4">
        <v>20</v>
      </c>
      <c r="H24">
        <v>36</v>
      </c>
      <c r="I24">
        <v>29.1</v>
      </c>
    </row>
    <row r="25" spans="1:9" x14ac:dyDescent="0.35">
      <c r="A25">
        <v>2013</v>
      </c>
      <c r="B25">
        <v>21</v>
      </c>
      <c r="C25" t="s">
        <v>49</v>
      </c>
      <c r="D25" s="4">
        <v>3</v>
      </c>
      <c r="E25">
        <v>10</v>
      </c>
      <c r="F25">
        <v>7.4</v>
      </c>
      <c r="G25" s="4">
        <v>5</v>
      </c>
      <c r="H25">
        <v>11</v>
      </c>
      <c r="I25">
        <v>9</v>
      </c>
    </row>
    <row r="26" spans="1:9" x14ac:dyDescent="0.35">
      <c r="A26">
        <v>2013</v>
      </c>
      <c r="B26">
        <v>22</v>
      </c>
      <c r="C26" t="s">
        <v>50</v>
      </c>
      <c r="D26" s="4">
        <v>3</v>
      </c>
      <c r="E26">
        <v>35</v>
      </c>
      <c r="F26">
        <v>32.1</v>
      </c>
      <c r="G26" s="4">
        <v>3</v>
      </c>
      <c r="H26">
        <v>23</v>
      </c>
      <c r="I26">
        <v>19.2</v>
      </c>
    </row>
    <row r="27" spans="1:9" x14ac:dyDescent="0.35">
      <c r="A27">
        <v>2013</v>
      </c>
      <c r="B27">
        <v>23</v>
      </c>
      <c r="C27" t="s">
        <v>51</v>
      </c>
      <c r="D27" s="4">
        <v>5</v>
      </c>
      <c r="E27">
        <v>12</v>
      </c>
      <c r="F27">
        <v>10.5</v>
      </c>
      <c r="G27" s="4"/>
    </row>
    <row r="28" spans="1:9" x14ac:dyDescent="0.35">
      <c r="A28">
        <v>2013</v>
      </c>
      <c r="B28">
        <v>24</v>
      </c>
      <c r="C28" t="s">
        <v>52</v>
      </c>
      <c r="D28" s="4"/>
      <c r="G28" s="4"/>
    </row>
    <row r="29" spans="1:9" x14ac:dyDescent="0.35">
      <c r="A29">
        <v>2013</v>
      </c>
      <c r="B29">
        <v>25</v>
      </c>
      <c r="C29" t="s">
        <v>53</v>
      </c>
      <c r="D29" s="4"/>
      <c r="E29">
        <v>18</v>
      </c>
      <c r="F29">
        <v>16.399999999999999</v>
      </c>
      <c r="G29" s="4">
        <v>3</v>
      </c>
      <c r="H29">
        <v>9</v>
      </c>
      <c r="I29">
        <v>7.8</v>
      </c>
    </row>
    <row r="30" spans="1:9" x14ac:dyDescent="0.35">
      <c r="A30">
        <v>2013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0"/>
  <sheetViews>
    <sheetView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8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</cols>
  <sheetData>
    <row r="1" spans="1:18" ht="18" x14ac:dyDescent="0.4">
      <c r="A1" s="10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</row>
    <row r="5" spans="1:18" ht="15.5" x14ac:dyDescent="0.35">
      <c r="A5" s="3" t="s">
        <v>24</v>
      </c>
      <c r="B5" s="3" t="s">
        <v>25</v>
      </c>
      <c r="C5" s="3" t="s">
        <v>26</v>
      </c>
      <c r="D5" s="5" t="s">
        <v>27</v>
      </c>
      <c r="E5" s="3" t="s">
        <v>28</v>
      </c>
      <c r="F5" s="3" t="s">
        <v>29</v>
      </c>
      <c r="G5" s="5" t="s">
        <v>27</v>
      </c>
      <c r="H5" s="3" t="s">
        <v>28</v>
      </c>
      <c r="I5" s="3" t="s">
        <v>29</v>
      </c>
    </row>
    <row r="6" spans="1:18" x14ac:dyDescent="0.35">
      <c r="A6">
        <v>2012</v>
      </c>
      <c r="B6">
        <v>2</v>
      </c>
      <c r="C6" t="s">
        <v>30</v>
      </c>
      <c r="D6" s="4">
        <v>31</v>
      </c>
      <c r="E6">
        <v>178</v>
      </c>
      <c r="F6">
        <v>141.30000000000001</v>
      </c>
      <c r="G6" s="4">
        <v>33</v>
      </c>
      <c r="H6">
        <v>99</v>
      </c>
      <c r="I6">
        <v>70.400000000000006</v>
      </c>
    </row>
    <row r="7" spans="1:18" x14ac:dyDescent="0.35">
      <c r="A7">
        <v>2012</v>
      </c>
      <c r="B7">
        <v>3</v>
      </c>
      <c r="C7" t="s">
        <v>31</v>
      </c>
      <c r="D7" s="4">
        <v>19</v>
      </c>
      <c r="E7">
        <v>35</v>
      </c>
      <c r="F7">
        <v>27.5</v>
      </c>
      <c r="G7" s="4">
        <v>26</v>
      </c>
      <c r="H7">
        <v>72</v>
      </c>
      <c r="I7">
        <v>43.1</v>
      </c>
    </row>
    <row r="8" spans="1:18" x14ac:dyDescent="0.35">
      <c r="A8">
        <v>2012</v>
      </c>
      <c r="B8">
        <v>4</v>
      </c>
      <c r="C8" t="s">
        <v>32</v>
      </c>
      <c r="D8" s="4"/>
      <c r="G8" s="4"/>
    </row>
    <row r="9" spans="1:18" x14ac:dyDescent="0.35">
      <c r="A9">
        <v>2012</v>
      </c>
      <c r="B9">
        <v>5</v>
      </c>
      <c r="C9" t="s">
        <v>33</v>
      </c>
      <c r="D9" s="4">
        <v>55</v>
      </c>
      <c r="E9">
        <v>150</v>
      </c>
      <c r="F9">
        <v>120.5</v>
      </c>
      <c r="G9" s="4">
        <v>70</v>
      </c>
      <c r="H9">
        <v>278</v>
      </c>
      <c r="I9">
        <v>242.1</v>
      </c>
    </row>
    <row r="10" spans="1:18" x14ac:dyDescent="0.35">
      <c r="A10">
        <v>2012</v>
      </c>
      <c r="B10">
        <v>6</v>
      </c>
      <c r="C10" t="s">
        <v>34</v>
      </c>
      <c r="D10" s="4">
        <v>4</v>
      </c>
      <c r="E10">
        <v>12</v>
      </c>
      <c r="F10">
        <v>9.6999999999999993</v>
      </c>
      <c r="G10" s="4">
        <v>5</v>
      </c>
      <c r="H10">
        <v>9</v>
      </c>
      <c r="I10">
        <v>5</v>
      </c>
    </row>
    <row r="11" spans="1:18" x14ac:dyDescent="0.35">
      <c r="A11">
        <v>2012</v>
      </c>
      <c r="B11">
        <v>7</v>
      </c>
      <c r="C11" t="s">
        <v>35</v>
      </c>
      <c r="D11" s="4">
        <v>3</v>
      </c>
      <c r="E11">
        <v>4</v>
      </c>
      <c r="G11" s="4">
        <v>5</v>
      </c>
      <c r="H11">
        <v>11</v>
      </c>
      <c r="I11">
        <v>8.5</v>
      </c>
    </row>
    <row r="12" spans="1:18" x14ac:dyDescent="0.35">
      <c r="A12">
        <v>2012</v>
      </c>
      <c r="B12">
        <v>8</v>
      </c>
      <c r="C12" t="s">
        <v>36</v>
      </c>
      <c r="D12" s="4">
        <v>8</v>
      </c>
      <c r="E12">
        <v>10</v>
      </c>
      <c r="F12">
        <v>5.3</v>
      </c>
      <c r="G12" s="4">
        <v>9</v>
      </c>
      <c r="H12">
        <v>46</v>
      </c>
      <c r="I12">
        <v>37.200000000000003</v>
      </c>
    </row>
    <row r="13" spans="1:18" x14ac:dyDescent="0.35">
      <c r="A13">
        <v>2012</v>
      </c>
      <c r="B13">
        <v>9</v>
      </c>
      <c r="C13" t="s">
        <v>37</v>
      </c>
      <c r="D13" s="4">
        <v>73</v>
      </c>
      <c r="E13">
        <v>203</v>
      </c>
      <c r="F13">
        <v>155.9</v>
      </c>
      <c r="G13" s="4">
        <v>80</v>
      </c>
      <c r="H13">
        <v>255</v>
      </c>
      <c r="I13">
        <v>203.6</v>
      </c>
    </row>
    <row r="14" spans="1:18" x14ac:dyDescent="0.35">
      <c r="A14">
        <v>2012</v>
      </c>
      <c r="B14">
        <v>10</v>
      </c>
      <c r="C14" t="s">
        <v>38</v>
      </c>
      <c r="D14" s="4">
        <v>7</v>
      </c>
      <c r="E14">
        <v>12</v>
      </c>
      <c r="F14">
        <v>7.1</v>
      </c>
      <c r="G14" s="4"/>
    </row>
    <row r="15" spans="1:18" x14ac:dyDescent="0.35">
      <c r="A15">
        <v>2012</v>
      </c>
      <c r="B15">
        <v>11</v>
      </c>
      <c r="C15" t="s">
        <v>39</v>
      </c>
      <c r="D15" s="4">
        <v>8</v>
      </c>
      <c r="E15">
        <v>23</v>
      </c>
      <c r="F15">
        <v>15.4</v>
      </c>
      <c r="G15" s="4">
        <v>5</v>
      </c>
      <c r="H15">
        <v>13</v>
      </c>
      <c r="I15">
        <v>9.4</v>
      </c>
    </row>
    <row r="16" spans="1:18" x14ac:dyDescent="0.35">
      <c r="A16">
        <v>2012</v>
      </c>
      <c r="B16">
        <v>12</v>
      </c>
      <c r="C16" t="s">
        <v>40</v>
      </c>
      <c r="D16" s="4">
        <v>9</v>
      </c>
      <c r="E16">
        <v>37</v>
      </c>
      <c r="F16">
        <v>27.6</v>
      </c>
      <c r="G16" s="4">
        <v>17</v>
      </c>
      <c r="H16">
        <v>47</v>
      </c>
      <c r="I16">
        <v>38.1</v>
      </c>
    </row>
    <row r="17" spans="1:9" x14ac:dyDescent="0.35">
      <c r="A17">
        <v>2012</v>
      </c>
      <c r="B17">
        <v>13</v>
      </c>
      <c r="C17" t="s">
        <v>41</v>
      </c>
      <c r="D17" s="4">
        <v>6</v>
      </c>
      <c r="E17">
        <v>15</v>
      </c>
      <c r="F17">
        <v>11.8</v>
      </c>
      <c r="G17" s="4">
        <v>6</v>
      </c>
      <c r="H17">
        <v>8</v>
      </c>
      <c r="I17">
        <v>6.1</v>
      </c>
    </row>
    <row r="18" spans="1:9" x14ac:dyDescent="0.35">
      <c r="A18">
        <v>2012</v>
      </c>
      <c r="B18">
        <v>14</v>
      </c>
      <c r="C18" t="s">
        <v>42</v>
      </c>
      <c r="D18" s="4">
        <v>19</v>
      </c>
      <c r="E18">
        <v>45</v>
      </c>
      <c r="F18">
        <v>37.799999999999997</v>
      </c>
      <c r="G18" s="4">
        <v>18</v>
      </c>
      <c r="H18">
        <v>46</v>
      </c>
      <c r="I18">
        <v>32.200000000000003</v>
      </c>
    </row>
    <row r="19" spans="1:9" x14ac:dyDescent="0.35">
      <c r="A19">
        <v>2012</v>
      </c>
      <c r="B19">
        <v>15</v>
      </c>
      <c r="C19" t="s">
        <v>43</v>
      </c>
      <c r="D19" s="4">
        <v>7</v>
      </c>
      <c r="E19">
        <v>9</v>
      </c>
      <c r="F19">
        <v>5.7</v>
      </c>
      <c r="G19" s="4">
        <v>6</v>
      </c>
      <c r="H19">
        <v>32</v>
      </c>
      <c r="I19">
        <v>16.600000000000001</v>
      </c>
    </row>
    <row r="20" spans="1:9" x14ac:dyDescent="0.35">
      <c r="A20">
        <v>2012</v>
      </c>
      <c r="B20">
        <v>16</v>
      </c>
      <c r="C20" t="s">
        <v>44</v>
      </c>
      <c r="D20" s="4"/>
      <c r="G20" s="4"/>
    </row>
    <row r="21" spans="1:9" x14ac:dyDescent="0.35">
      <c r="A21">
        <v>2012</v>
      </c>
      <c r="B21">
        <v>17</v>
      </c>
      <c r="C21" t="s">
        <v>45</v>
      </c>
      <c r="D21" s="4">
        <v>42</v>
      </c>
      <c r="E21">
        <v>140</v>
      </c>
      <c r="F21">
        <v>103.9</v>
      </c>
      <c r="G21" s="4">
        <v>43</v>
      </c>
      <c r="H21">
        <v>104</v>
      </c>
      <c r="I21">
        <v>79.7</v>
      </c>
    </row>
    <row r="22" spans="1:9" x14ac:dyDescent="0.35">
      <c r="A22">
        <v>2012</v>
      </c>
      <c r="B22">
        <v>18</v>
      </c>
      <c r="C22" t="s">
        <v>46</v>
      </c>
      <c r="D22" s="4">
        <v>11</v>
      </c>
      <c r="E22">
        <v>20</v>
      </c>
      <c r="F22">
        <v>12.7</v>
      </c>
      <c r="G22" s="4">
        <v>10</v>
      </c>
      <c r="H22">
        <v>33</v>
      </c>
      <c r="I22">
        <v>25</v>
      </c>
    </row>
    <row r="23" spans="1:9" x14ac:dyDescent="0.35">
      <c r="A23">
        <v>2012</v>
      </c>
      <c r="B23">
        <v>19</v>
      </c>
      <c r="C23" t="s">
        <v>47</v>
      </c>
      <c r="D23" s="4">
        <v>77</v>
      </c>
      <c r="E23">
        <v>359</v>
      </c>
      <c r="F23">
        <v>299</v>
      </c>
      <c r="G23" s="4">
        <v>100</v>
      </c>
      <c r="H23">
        <v>304</v>
      </c>
      <c r="I23">
        <v>236.3</v>
      </c>
    </row>
    <row r="24" spans="1:9" x14ac:dyDescent="0.35">
      <c r="A24">
        <v>2012</v>
      </c>
      <c r="B24">
        <v>20</v>
      </c>
      <c r="C24" t="s">
        <v>48</v>
      </c>
      <c r="D24" s="4">
        <v>46</v>
      </c>
      <c r="E24">
        <v>101</v>
      </c>
      <c r="F24">
        <v>77.8</v>
      </c>
      <c r="G24" s="4">
        <v>46</v>
      </c>
      <c r="H24">
        <v>222</v>
      </c>
      <c r="I24">
        <v>190.1</v>
      </c>
    </row>
    <row r="25" spans="1:9" x14ac:dyDescent="0.35">
      <c r="A25">
        <v>2012</v>
      </c>
      <c r="B25">
        <v>21</v>
      </c>
      <c r="C25" t="s">
        <v>49</v>
      </c>
      <c r="D25" s="4">
        <v>6</v>
      </c>
      <c r="E25">
        <v>13</v>
      </c>
      <c r="F25">
        <v>9.9</v>
      </c>
      <c r="G25" s="4">
        <v>9</v>
      </c>
      <c r="H25">
        <v>13</v>
      </c>
      <c r="I25">
        <v>10.199999999999999</v>
      </c>
    </row>
    <row r="26" spans="1:9" x14ac:dyDescent="0.35">
      <c r="A26">
        <v>2012</v>
      </c>
      <c r="B26">
        <v>22</v>
      </c>
      <c r="C26" t="s">
        <v>50</v>
      </c>
      <c r="D26" s="4">
        <v>6</v>
      </c>
      <c r="E26">
        <v>131</v>
      </c>
      <c r="F26">
        <v>115.3</v>
      </c>
      <c r="G26" s="4">
        <v>3</v>
      </c>
    </row>
    <row r="27" spans="1:9" x14ac:dyDescent="0.35">
      <c r="A27">
        <v>2012</v>
      </c>
      <c r="B27">
        <v>23</v>
      </c>
      <c r="C27" t="s">
        <v>51</v>
      </c>
      <c r="D27" s="4"/>
      <c r="G27" s="4"/>
    </row>
    <row r="28" spans="1:9" x14ac:dyDescent="0.35">
      <c r="A28">
        <v>2012</v>
      </c>
      <c r="B28">
        <v>24</v>
      </c>
      <c r="C28" t="s">
        <v>52</v>
      </c>
      <c r="D28" s="4"/>
      <c r="G28" s="4"/>
    </row>
    <row r="29" spans="1:9" x14ac:dyDescent="0.35">
      <c r="A29">
        <v>2012</v>
      </c>
      <c r="B29">
        <v>25</v>
      </c>
      <c r="C29" t="s">
        <v>53</v>
      </c>
      <c r="D29" s="4">
        <v>8</v>
      </c>
      <c r="E29">
        <v>23</v>
      </c>
      <c r="F29">
        <v>19.3</v>
      </c>
      <c r="G29" s="4"/>
    </row>
    <row r="30" spans="1:9" x14ac:dyDescent="0.35">
      <c r="A30">
        <v>2012</v>
      </c>
      <c r="B30">
        <v>26</v>
      </c>
      <c r="C30" t="s">
        <v>54</v>
      </c>
      <c r="D30" s="4"/>
      <c r="G30" s="4"/>
    </row>
  </sheetData>
  <mergeCells count="4">
    <mergeCell ref="A1:R1"/>
    <mergeCell ref="A2:R2"/>
    <mergeCell ref="D4:F4"/>
    <mergeCell ref="G4:I4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Index</vt:lpstr>
      <vt:lpstr>Erläuterungen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b105aac@ji.ktzh.ch</dc:creator>
  <cp:lastModifiedBy>Andriu Cavelti</cp:lastModifiedBy>
  <dcterms:created xsi:type="dcterms:W3CDTF">2026-08-20T16:30:48Z</dcterms:created>
  <dcterms:modified xsi:type="dcterms:W3CDTF">2026-08-20T14:42:35Z</dcterms:modified>
</cp:coreProperties>
</file>