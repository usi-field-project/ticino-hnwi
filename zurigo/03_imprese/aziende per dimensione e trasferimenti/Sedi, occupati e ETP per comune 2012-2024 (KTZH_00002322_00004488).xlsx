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L:\STAT\01_Post\Cavelti\statent\"/>
    </mc:Choice>
  </mc:AlternateContent>
  <xr:revisionPtr revIDLastSave="0" documentId="11_240C0E2A27DF6C0DA9924F6B9086EDF742C8EE6E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Index" sheetId="1" r:id="rId1"/>
    <sheet name="Erläuterungen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7" sheetId="10" r:id="rId10"/>
    <sheet name="2016" sheetId="11" r:id="rId11"/>
    <sheet name="2015" sheetId="12" r:id="rId12"/>
    <sheet name="2014" sheetId="13" r:id="rId13"/>
    <sheet name="2013" sheetId="14" r:id="rId14"/>
    <sheet name="2012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1" l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</calcChain>
</file>

<file path=xl/sharedStrings.xml><?xml version="1.0" encoding="utf-8"?>
<sst xmlns="http://schemas.openxmlformats.org/spreadsheetml/2006/main" count="2336" uniqueCount="203">
  <si>
    <t>Amt für Statistik und Daten</t>
  </si>
  <si>
    <t>Datashop</t>
  </si>
  <si>
    <t>Tel. +41 43 259 75 00</t>
  </si>
  <si>
    <t>datashop@statistik.zh.ch</t>
  </si>
  <si>
    <t>http://www.statistik.zh.ch</t>
  </si>
  <si>
    <t>Aktualisiert am: 20.08.2026 durch: ac</t>
  </si>
  <si>
    <t>Bürozeiten</t>
  </si>
  <si>
    <t>Montag bis Freitag</t>
  </si>
  <si>
    <t>09:00 bis 12:00</t>
  </si>
  <si>
    <t>13:00 bis 16:00</t>
  </si>
  <si>
    <t>BFS, Statistik der Unternehmensstruktur (STATENT)</t>
  </si>
  <si>
    <t>Auswertung</t>
  </si>
  <si>
    <t>Erläuterungen</t>
  </si>
  <si>
    <t xml:space="preserve">Objekt  </t>
  </si>
  <si>
    <t xml:space="preserve">Erläuterung  </t>
  </si>
  <si>
    <t>Zugezogene Betriebe</t>
  </si>
  <si>
    <t>Betriebe, die in einem Jahr t in einem anderen Schweizer Kanton angesiedelt waren und ein Jahr später im Kanton Zürich.</t>
  </si>
  <si>
    <t>Weggezogene Betriebe</t>
  </si>
  <si>
    <t>Betriebe, die in einem Jahr t im Kanton Zürich angesiedelt waren und ein Jahr später in einem anderen Schweizer Kanton.</t>
  </si>
  <si>
    <t/>
  </si>
  <si>
    <t>Ein leeres Feld bedeutet, dass dieser Fall nicht existiert oder augrund der Datenschutzbestimmungen nicht ausgewiesen werden kann.</t>
  </si>
  <si>
    <t>Wanderung von Betrieben nach Gemeinden 2024</t>
  </si>
  <si>
    <t>Bestand</t>
  </si>
  <si>
    <t>Zuzug</t>
  </si>
  <si>
    <t>Wegzug</t>
  </si>
  <si>
    <t xml:space="preserve">Jahr  </t>
  </si>
  <si>
    <t xml:space="preserve">Gemeindecode  </t>
  </si>
  <si>
    <t xml:space="preserve">Gemeinde  </t>
  </si>
  <si>
    <t xml:space="preserve">Arbeitsstätten  </t>
  </si>
  <si>
    <t xml:space="preserve">Beschäftigte  </t>
  </si>
  <si>
    <t xml:space="preserve">Vollzeitäquivalente  </t>
  </si>
  <si>
    <t>Aeugst am Albis</t>
  </si>
  <si>
    <t>Affoltern am Albis</t>
  </si>
  <si>
    <t>Bonstetten</t>
  </si>
  <si>
    <t>Hausen am Albis</t>
  </si>
  <si>
    <t>Hedingen</t>
  </si>
  <si>
    <t>Kappel am Albis</t>
  </si>
  <si>
    <t>Knonau</t>
  </si>
  <si>
    <t>Maschwanden</t>
  </si>
  <si>
    <t>Mettmenstetten</t>
  </si>
  <si>
    <t>Obfelden</t>
  </si>
  <si>
    <t>Ottenbach</t>
  </si>
  <si>
    <t>Rifferswil</t>
  </si>
  <si>
    <t>Stallikon</t>
  </si>
  <si>
    <t>Wettswil am Albis</t>
  </si>
  <si>
    <t>Benken (ZH)</t>
  </si>
  <si>
    <t>Berg am Irchel</t>
  </si>
  <si>
    <t>Buch am Irchel</t>
  </si>
  <si>
    <t>Dachsen</t>
  </si>
  <si>
    <t>Dorf</t>
  </si>
  <si>
    <t>Feuerthalen</t>
  </si>
  <si>
    <t>Flaach</t>
  </si>
  <si>
    <t>Flurlingen</t>
  </si>
  <si>
    <t>Henggart</t>
  </si>
  <si>
    <t>Kleinandelfingen</t>
  </si>
  <si>
    <t>Laufen-Uhwiesen</t>
  </si>
  <si>
    <t>Marthalen</t>
  </si>
  <si>
    <t>Ossingen</t>
  </si>
  <si>
    <t>Rheinau</t>
  </si>
  <si>
    <t>Thalheim an der Thur</t>
  </si>
  <si>
    <t>Trüllikon</t>
  </si>
  <si>
    <t>Truttikon</t>
  </si>
  <si>
    <t>Volken</t>
  </si>
  <si>
    <t>Bachenbülach</t>
  </si>
  <si>
    <t>Bassersdorf</t>
  </si>
  <si>
    <t>Bülach</t>
  </si>
  <si>
    <t>Dietlikon</t>
  </si>
  <si>
    <t>Eglisau</t>
  </si>
  <si>
    <t>Embrach</t>
  </si>
  <si>
    <t>Freienstein-Teufen</t>
  </si>
  <si>
    <t>Glattfelden</t>
  </si>
  <si>
    <t>Hochfelden</t>
  </si>
  <si>
    <t>Höri</t>
  </si>
  <si>
    <t>Hüntwangen</t>
  </si>
  <si>
    <t>Kloten</t>
  </si>
  <si>
    <t>Lufingen</t>
  </si>
  <si>
    <t>Nürensdorf</t>
  </si>
  <si>
    <t>Oberembrach</t>
  </si>
  <si>
    <t>Opfikon</t>
  </si>
  <si>
    <t>Rafz</t>
  </si>
  <si>
    <t>Rorbas</t>
  </si>
  <si>
    <t>Wallisellen</t>
  </si>
  <si>
    <t>Wasterkingen</t>
  </si>
  <si>
    <t>Wil (ZH)</t>
  </si>
  <si>
    <t>Winkel</t>
  </si>
  <si>
    <t>Bachs</t>
  </si>
  <si>
    <t>Boppelsen</t>
  </si>
  <si>
    <t>Buchs (ZH)</t>
  </si>
  <si>
    <t>Dällikon</t>
  </si>
  <si>
    <t>Dänikon</t>
  </si>
  <si>
    <t>Dielsdorf</t>
  </si>
  <si>
    <t>Hüttikon</t>
  </si>
  <si>
    <t>Neerach</t>
  </si>
  <si>
    <t>Niederglatt</t>
  </si>
  <si>
    <t>Niederhasli</t>
  </si>
  <si>
    <t>Niederweningen</t>
  </si>
  <si>
    <t>Oberglatt</t>
  </si>
  <si>
    <t>Oberweningen</t>
  </si>
  <si>
    <t>Otelfingen</t>
  </si>
  <si>
    <t>Regensberg</t>
  </si>
  <si>
    <t>Regensdorf</t>
  </si>
  <si>
    <t>Rümlang</t>
  </si>
  <si>
    <t>Schleinikon</t>
  </si>
  <si>
    <t>Schöfflisdorf</t>
  </si>
  <si>
    <t>Stadel</t>
  </si>
  <si>
    <t>Steinmaur</t>
  </si>
  <si>
    <t>Weiach</t>
  </si>
  <si>
    <t>Bäretswil</t>
  </si>
  <si>
    <t>Bubikon</t>
  </si>
  <si>
    <t>Dürnten</t>
  </si>
  <si>
    <t>Fischenthal</t>
  </si>
  <si>
    <t>Gossau (ZH)</t>
  </si>
  <si>
    <t>Grüningen</t>
  </si>
  <si>
    <t>Hinwil</t>
  </si>
  <si>
    <t>Rüti (ZH)</t>
  </si>
  <si>
    <t>Seegräben</t>
  </si>
  <si>
    <t>Wald (ZH)</t>
  </si>
  <si>
    <t>Wetzikon (ZH)</t>
  </si>
  <si>
    <t>Adliswil</t>
  </si>
  <si>
    <t>Kilchberg (ZH)</t>
  </si>
  <si>
    <t>Langnau am Albis</t>
  </si>
  <si>
    <t>Oberrieden</t>
  </si>
  <si>
    <t>Richterswil</t>
  </si>
  <si>
    <t>Rüschlikon</t>
  </si>
  <si>
    <t>Thalwil</t>
  </si>
  <si>
    <t>Erlenbach (ZH)</t>
  </si>
  <si>
    <t>Herrliberg</t>
  </si>
  <si>
    <t>Hombrechtikon</t>
  </si>
  <si>
    <t>Küsnacht (ZH)</t>
  </si>
  <si>
    <t>Männedorf</t>
  </si>
  <si>
    <t>Meilen</t>
  </si>
  <si>
    <t>Oetwil am See</t>
  </si>
  <si>
    <t>Stäfa</t>
  </si>
  <si>
    <t>Uetikon</t>
  </si>
  <si>
    <t>Zumikon</t>
  </si>
  <si>
    <t>Zollikon</t>
  </si>
  <si>
    <t>Fehraltorf</t>
  </si>
  <si>
    <t>Hittnau</t>
  </si>
  <si>
    <t>Lindau</t>
  </si>
  <si>
    <t>Pfäffikon</t>
  </si>
  <si>
    <t>Russikon</t>
  </si>
  <si>
    <t>Weisslingen</t>
  </si>
  <si>
    <t>Wila</t>
  </si>
  <si>
    <t>Wildberg</t>
  </si>
  <si>
    <t>Dübendorf</t>
  </si>
  <si>
    <t>Egg</t>
  </si>
  <si>
    <t>Fällanden</t>
  </si>
  <si>
    <t>Greifensee</t>
  </si>
  <si>
    <t>Maur</t>
  </si>
  <si>
    <t>Mönchaltorf</t>
  </si>
  <si>
    <t>Schwerzenbach</t>
  </si>
  <si>
    <t>Uster</t>
  </si>
  <si>
    <t>Volketswil</t>
  </si>
  <si>
    <t>Wangen (ZH)</t>
  </si>
  <si>
    <t>Altikon</t>
  </si>
  <si>
    <t>Brütten</t>
  </si>
  <si>
    <t>Dägerlen</t>
  </si>
  <si>
    <t>Dättlikon</t>
  </si>
  <si>
    <t>Dinhard</t>
  </si>
  <si>
    <t>Ellikon an der Thur</t>
  </si>
  <si>
    <t>Elsau</t>
  </si>
  <si>
    <t>Hagenbuch</t>
  </si>
  <si>
    <t>Hettlingen</t>
  </si>
  <si>
    <t>Neftenbach</t>
  </si>
  <si>
    <t>Pfungen</t>
  </si>
  <si>
    <t>Rickenbach (ZH)</t>
  </si>
  <si>
    <t>Schlatt (ZH)</t>
  </si>
  <si>
    <t>Seuzach</t>
  </si>
  <si>
    <t>Turbenthal</t>
  </si>
  <si>
    <t>Winterthur</t>
  </si>
  <si>
    <t>Zell (ZH)</t>
  </si>
  <si>
    <t>Aesch (ZH)</t>
  </si>
  <si>
    <t>Birmensdorf (ZH)</t>
  </si>
  <si>
    <t>Dietikon</t>
  </si>
  <si>
    <t>Geroldswil</t>
  </si>
  <si>
    <t>Oberengstringen</t>
  </si>
  <si>
    <t>Oetwil an der Limmat</t>
  </si>
  <si>
    <t>Schlieren</t>
  </si>
  <si>
    <t>Uitikon</t>
  </si>
  <si>
    <t>Unterengstringen</t>
  </si>
  <si>
    <t>Urdorf</t>
  </si>
  <si>
    <t>Weiningen (ZH)</t>
  </si>
  <si>
    <t>Zürich</t>
  </si>
  <si>
    <t>Andelfingen</t>
  </si>
  <si>
    <t>Stammheim</t>
  </si>
  <si>
    <t>Wädenswil</t>
  </si>
  <si>
    <t>Elgg</t>
  </si>
  <si>
    <t>Horgen</t>
  </si>
  <si>
    <t>Illnau-Effretikon</t>
  </si>
  <si>
    <t>Bauma</t>
  </si>
  <si>
    <t>Wiesendangen</t>
  </si>
  <si>
    <t>Wanderung von Betrieben nach Gemeinden 2023</t>
  </si>
  <si>
    <t>Wanderung von Betrieben nach Gemeinden 2022</t>
  </si>
  <si>
    <t>Wanderung von Betrieben nach Gemeinden 2021</t>
  </si>
  <si>
    <t>Wanderung von Betrieben nach Gemeinden 2020</t>
  </si>
  <si>
    <t>Wanderung von Betrieben nach Gemeinden 2019</t>
  </si>
  <si>
    <t>Wanderung von Betrieben nach Gemeinden 2018</t>
  </si>
  <si>
    <t>Wanderung von Betrieben nach Gemeinden 2017</t>
  </si>
  <si>
    <t>Wanderung von Betrieben nach Gemeinden 2016</t>
  </si>
  <si>
    <t>Wanderung von Betrieben nach Gemeinden 2015</t>
  </si>
  <si>
    <t>Wanderung von Betrieben nach Gemeinden 2014</t>
  </si>
  <si>
    <t>Wanderung von Betrieben nach Gemeinden 2013</t>
  </si>
  <si>
    <t>Wanderung von Betrieben nach Gemeinden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</si>
</sst>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  <font>
      <b/>
      <sz val="20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14"/>
      <color rgb="FF000000"/>
      <name val="Arial"/>
    </font>
    <font>
      <b/>
      <sz val="12"/>
      <color rgb="FF000000"/>
      <name val="Arial"/>
    </font>
    <font>
      <b/>
      <sz val="11"/>
      <color rgb="FF000000"/>
      <name val="Calibri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rgb="FF009EE0"/>
      </bottom>
      <diagonal/>
    </border>
    <border>
      <left style="thin">
        <color rgb="FF009EE0"/>
      </left>
      <right/>
      <top/>
      <bottom/>
      <diagonal/>
    </border>
    <border>
      <left style="thin">
        <color rgb="FF009EE0"/>
      </left>
      <right/>
      <top/>
      <bottom style="medium">
        <color rgb="FF009EE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4" fillId="0" borderId="0" xfId="0" applyFont="1" applyAlignment="1">
      <alignment horizontal="left" vertical="top"/>
    </xf>
    <xf numFmtId="0" fontId="6" fillId="0" borderId="1" xfId="0" applyFont="1" applyBorder="1" applyAlignment="1">
      <alignment horizontal="left"/>
    </xf>
    <xf numFmtId="0" fontId="1" fillId="0" borderId="2" xfId="0" applyFont="1" applyBorder="1"/>
    <xf numFmtId="0" fontId="6" fillId="0" borderId="3" xfId="0" applyFont="1" applyBorder="1" applyAlignment="1">
      <alignment horizontal="left"/>
    </xf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top" wrapText="1"/>
    </xf>
    <xf numFmtId="0" fontId="8" fillId="0" borderId="0" xfId="0" applyFont="1"/>
    <xf numFmtId="0" fontId="5" fillId="0" borderId="0" xfId="0" applyFont="1"/>
    <xf numFmtId="0" fontId="7" fillId="0" borderId="2" xfId="0" applyFont="1" applyBorder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766060" cy="719176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V28"/>
  <sheetViews>
    <sheetView showGridLines="0" topLeftCell="A12" workbookViewId="0">
      <selection activeCell="C16" sqref="C16:F16"/>
    </sheetView>
  </sheetViews>
  <sheetFormatPr baseColWidth="10" defaultRowHeight="14.5" x14ac:dyDescent="0.35"/>
  <cols>
    <col min="1" max="1" width="1.7265625" customWidth="1"/>
  </cols>
  <sheetData>
    <row r="2" spans="1:22" x14ac:dyDescent="0.35">
      <c r="O2" s="6" t="s">
        <v>0</v>
      </c>
      <c r="P2" s="6"/>
      <c r="Q2" s="6"/>
      <c r="R2" s="6"/>
      <c r="S2" s="6"/>
      <c r="T2" s="6" t="s">
        <v>6</v>
      </c>
      <c r="U2" s="6"/>
      <c r="V2" s="6"/>
    </row>
    <row r="3" spans="1:22" x14ac:dyDescent="0.35">
      <c r="O3" s="6" t="s">
        <v>1</v>
      </c>
      <c r="P3" s="6"/>
      <c r="Q3" s="6"/>
      <c r="R3" s="6"/>
      <c r="S3" s="6"/>
      <c r="T3" s="6" t="s">
        <v>7</v>
      </c>
      <c r="U3" s="6"/>
      <c r="V3" s="6"/>
    </row>
    <row r="4" spans="1:22" x14ac:dyDescent="0.35">
      <c r="O4" s="6" t="s">
        <v>2</v>
      </c>
      <c r="P4" s="6"/>
      <c r="Q4" s="6"/>
      <c r="R4" s="6"/>
      <c r="S4" s="6"/>
      <c r="T4" s="6" t="s">
        <v>8</v>
      </c>
      <c r="U4" s="6"/>
      <c r="V4" s="6"/>
    </row>
    <row r="5" spans="1:22" x14ac:dyDescent="0.35">
      <c r="O5" s="6" t="s">
        <v>3</v>
      </c>
      <c r="P5" s="6"/>
      <c r="Q5" s="6"/>
      <c r="R5" s="6"/>
      <c r="S5" s="6"/>
      <c r="T5" s="6" t="s">
        <v>9</v>
      </c>
      <c r="U5" s="6"/>
      <c r="V5" s="6"/>
    </row>
    <row r="6" spans="1:22" x14ac:dyDescent="0.35">
      <c r="O6" s="6" t="s">
        <v>4</v>
      </c>
      <c r="P6" s="6"/>
      <c r="Q6" s="6"/>
      <c r="R6" s="6"/>
      <c r="S6" s="6"/>
    </row>
    <row r="7" spans="1:22" x14ac:dyDescent="0.35">
      <c r="O7" s="6" t="s">
        <v>5</v>
      </c>
      <c r="P7" s="6"/>
      <c r="Q7" s="6"/>
      <c r="R7" s="6"/>
      <c r="S7" s="6"/>
    </row>
    <row r="8" spans="1:22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10" spans="1:22" ht="25" x14ac:dyDescent="0.5">
      <c r="C10" s="7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</row>
    <row r="11" spans="1:22" x14ac:dyDescent="0.35">
      <c r="C11" s="8" t="s">
        <v>10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</row>
    <row r="14" spans="1:22" x14ac:dyDescent="0.35">
      <c r="C14" s="2" t="s">
        <v>11</v>
      </c>
    </row>
    <row r="15" spans="1:22" x14ac:dyDescent="0.35">
      <c r="C15" s="9" t="str">
        <f>HYPERLINK("#'Erläuterungen'!A1", "Erläuterungen")</f>
        <v>Erläuterungen</v>
      </c>
      <c r="D15" s="6"/>
      <c r="E15" s="6"/>
      <c r="F15" s="6"/>
      <c r="G15" s="6" t="s">
        <v>12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</row>
    <row r="16" spans="1:22" x14ac:dyDescent="0.35">
      <c r="C16" s="9" t="str">
        <f>HYPERLINK("#'2024'!A1", "2024")</f>
        <v>2024</v>
      </c>
      <c r="D16" s="6"/>
      <c r="E16" s="6"/>
      <c r="F16" s="6"/>
      <c r="G16" s="6" t="s">
        <v>21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</row>
    <row r="17" spans="3:20" x14ac:dyDescent="0.35">
      <c r="C17" s="9" t="str">
        <f>HYPERLINK("#'2023'!A1", "2023")</f>
        <v>2023</v>
      </c>
      <c r="D17" s="6"/>
      <c r="E17" s="6"/>
      <c r="F17" s="6"/>
      <c r="G17" s="6" t="s">
        <v>191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</row>
    <row r="18" spans="3:20" x14ac:dyDescent="0.35">
      <c r="C18" s="9" t="str">
        <f>HYPERLINK("#'2022'!A1", "2022")</f>
        <v>2022</v>
      </c>
      <c r="D18" s="6"/>
      <c r="E18" s="6"/>
      <c r="F18" s="6"/>
      <c r="G18" s="6" t="s">
        <v>192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 spans="3:20" x14ac:dyDescent="0.35">
      <c r="C19" s="9" t="str">
        <f>HYPERLINK("#'2021'!A1", "2021")</f>
        <v>2021</v>
      </c>
      <c r="D19" s="6"/>
      <c r="E19" s="6"/>
      <c r="F19" s="6"/>
      <c r="G19" s="6" t="s">
        <v>193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</row>
    <row r="20" spans="3:20" x14ac:dyDescent="0.35">
      <c r="C20" s="9" t="str">
        <f>HYPERLINK("#'2020'!A1", "2020")</f>
        <v>2020</v>
      </c>
      <c r="D20" s="6"/>
      <c r="E20" s="6"/>
      <c r="F20" s="6"/>
      <c r="G20" s="6" t="s">
        <v>194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</row>
    <row r="21" spans="3:20" x14ac:dyDescent="0.35">
      <c r="C21" s="9" t="str">
        <f>HYPERLINK("#'2019'!A1", "2019")</f>
        <v>2019</v>
      </c>
      <c r="D21" s="6"/>
      <c r="E21" s="6"/>
      <c r="F21" s="6"/>
      <c r="G21" s="6" t="s">
        <v>195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</row>
    <row r="22" spans="3:20" x14ac:dyDescent="0.35">
      <c r="C22" s="9" t="str">
        <f>HYPERLINK("#'2018'!A1", "2018")</f>
        <v>2018</v>
      </c>
      <c r="D22" s="6"/>
      <c r="E22" s="6"/>
      <c r="F22" s="6"/>
      <c r="G22" s="6" t="s">
        <v>196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</row>
    <row r="23" spans="3:20" x14ac:dyDescent="0.35">
      <c r="C23" s="9" t="str">
        <f>HYPERLINK("#'2017'!A1", "2017")</f>
        <v>2017</v>
      </c>
      <c r="D23" s="6"/>
      <c r="E23" s="6"/>
      <c r="F23" s="6"/>
      <c r="G23" s="6" t="s">
        <v>197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</row>
    <row r="24" spans="3:20" x14ac:dyDescent="0.35">
      <c r="C24" s="9" t="str">
        <f>HYPERLINK("#'2016'!A1", "2016")</f>
        <v>2016</v>
      </c>
      <c r="D24" s="6"/>
      <c r="E24" s="6"/>
      <c r="F24" s="6"/>
      <c r="G24" s="6" t="s">
        <v>198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</row>
    <row r="25" spans="3:20" x14ac:dyDescent="0.35">
      <c r="C25" s="9" t="str">
        <f>HYPERLINK("#'2015'!A1", "2015")</f>
        <v>2015</v>
      </c>
      <c r="D25" s="6"/>
      <c r="E25" s="6"/>
      <c r="F25" s="6"/>
      <c r="G25" s="6" t="s">
        <v>199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</row>
    <row r="26" spans="3:20" x14ac:dyDescent="0.35">
      <c r="C26" s="9" t="str">
        <f>HYPERLINK("#'2014'!A1", "2014")</f>
        <v>2014</v>
      </c>
      <c r="D26" s="6"/>
      <c r="E26" s="6"/>
      <c r="F26" s="6"/>
      <c r="G26" s="6" t="s">
        <v>200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</row>
    <row r="27" spans="3:20" x14ac:dyDescent="0.35">
      <c r="C27" s="9" t="str">
        <f>HYPERLINK("#'2013'!A1", "2013")</f>
        <v>2013</v>
      </c>
      <c r="D27" s="6"/>
      <c r="E27" s="6"/>
      <c r="F27" s="6"/>
      <c r="G27" s="6" t="s">
        <v>201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3:20" x14ac:dyDescent="0.35">
      <c r="C28" s="9" t="str">
        <f>HYPERLINK("#'2012'!A1", "2012")</f>
        <v>2012</v>
      </c>
      <c r="D28" s="6"/>
      <c r="E28" s="6"/>
      <c r="F28" s="6"/>
      <c r="G28" s="6" t="s">
        <v>202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</sheetData>
  <mergeCells count="40">
    <mergeCell ref="C28:F28"/>
    <mergeCell ref="G15:T15"/>
    <mergeCell ref="G16:T16"/>
    <mergeCell ref="G17:T17"/>
    <mergeCell ref="G18:T18"/>
    <mergeCell ref="G19:T19"/>
    <mergeCell ref="G20:T20"/>
    <mergeCell ref="G21:T21"/>
    <mergeCell ref="G22:T22"/>
    <mergeCell ref="G23:T23"/>
    <mergeCell ref="G24:T24"/>
    <mergeCell ref="G25:T25"/>
    <mergeCell ref="G26:T26"/>
    <mergeCell ref="G27:T27"/>
    <mergeCell ref="G28:T28"/>
    <mergeCell ref="C23:F23"/>
    <mergeCell ref="C24:F24"/>
    <mergeCell ref="C25:F25"/>
    <mergeCell ref="C26:F26"/>
    <mergeCell ref="C27:F27"/>
    <mergeCell ref="C18:F18"/>
    <mergeCell ref="C19:F19"/>
    <mergeCell ref="C20:F20"/>
    <mergeCell ref="C21:F21"/>
    <mergeCell ref="C22:F22"/>
    <mergeCell ref="C10:R10"/>
    <mergeCell ref="C11:R11"/>
    <mergeCell ref="C15:F15"/>
    <mergeCell ref="C16:F16"/>
    <mergeCell ref="C17:F17"/>
    <mergeCell ref="O7:S7"/>
    <mergeCell ref="T2:V2"/>
    <mergeCell ref="T3:V3"/>
    <mergeCell ref="T4:V4"/>
    <mergeCell ref="T5:V5"/>
    <mergeCell ref="O2:S2"/>
    <mergeCell ref="O3:S3"/>
    <mergeCell ref="O4:S4"/>
    <mergeCell ref="O5:S5"/>
    <mergeCell ref="O6:S6"/>
  </mergeCells>
  <pageMargins left="0.7" right="0.7" top="0.75" bottom="0.75" header="0.3" footer="0.3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"/>
  <sheetViews>
    <sheetView workbookViewId="0"/>
  </sheetViews>
  <sheetFormatPr baseColWidth="10" defaultRowHeight="14.5" x14ac:dyDescent="0.35"/>
  <cols>
    <col min="1" max="1" width="20.7265625" customWidth="1"/>
    <col min="2" max="2" width="130.7265625" customWidth="1"/>
  </cols>
  <sheetData>
    <row r="1" spans="1:18" ht="18" x14ac:dyDescent="0.4">
      <c r="A1" s="10" t="s">
        <v>12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x14ac:dyDescent="0.35">
      <c r="A2" s="8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4" spans="1:18" ht="15.5" x14ac:dyDescent="0.35">
      <c r="A4" s="3" t="s">
        <v>13</v>
      </c>
      <c r="B4" s="3" t="s">
        <v>14</v>
      </c>
    </row>
    <row r="5" spans="1:18" x14ac:dyDescent="0.35">
      <c r="A5" t="s">
        <v>15</v>
      </c>
      <c r="B5" t="s">
        <v>16</v>
      </c>
    </row>
    <row r="6" spans="1:18" x14ac:dyDescent="0.35">
      <c r="A6" t="s">
        <v>17</v>
      </c>
      <c r="B6" t="s">
        <v>18</v>
      </c>
    </row>
    <row r="7" spans="1:18" x14ac:dyDescent="0.35">
      <c r="A7" t="s">
        <v>19</v>
      </c>
      <c r="B7" t="s">
        <v>20</v>
      </c>
    </row>
  </sheetData>
  <mergeCells count="2">
    <mergeCell ref="A1:R1"/>
    <mergeCell ref="A2:R2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65"/>
  <sheetViews>
    <sheetView tabSelected="1" workbookViewId="0">
      <selection sqref="A1:R1"/>
    </sheetView>
  </sheetViews>
  <sheetFormatPr baseColWidth="10" defaultRowHeight="14.5" x14ac:dyDescent="0.35"/>
  <cols>
    <col min="1" max="1" width="6.7265625" customWidth="1"/>
    <col min="2" max="2" width="14.7265625" customWidth="1"/>
    <col min="3" max="3" width="20.7265625" customWidth="1"/>
    <col min="4" max="4" width="17.7265625" customWidth="1"/>
    <col min="5" max="5" width="15.7265625" customWidth="1"/>
    <col min="6" max="6" width="22.7265625" customWidth="1"/>
    <col min="7" max="7" width="17.7265625" customWidth="1"/>
    <col min="8" max="8" width="15.7265625" customWidth="1"/>
    <col min="9" max="9" width="22.7265625" customWidth="1"/>
    <col min="10" max="10" width="17.7265625" customWidth="1"/>
    <col min="11" max="11" width="15.7265625" customWidth="1"/>
    <col min="12" max="12" width="22.7265625" customWidth="1"/>
  </cols>
  <sheetData>
    <row r="1" spans="1:18" ht="18" x14ac:dyDescent="0.4">
      <c r="A1" s="10" t="s">
        <v>21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x14ac:dyDescent="0.35">
      <c r="A2" s="8" t="s">
        <v>10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4" spans="1:18" x14ac:dyDescent="0.35">
      <c r="D4" s="11" t="s">
        <v>22</v>
      </c>
      <c r="E4" s="12"/>
      <c r="F4" s="12"/>
      <c r="G4" s="11" t="s">
        <v>23</v>
      </c>
      <c r="H4" s="12"/>
      <c r="I4" s="12"/>
      <c r="J4" s="11" t="s">
        <v>24</v>
      </c>
      <c r="K4" s="12"/>
      <c r="L4" s="12"/>
    </row>
    <row r="5" spans="1:18" ht="15.5" x14ac:dyDescent="0.35">
      <c r="A5" s="3" t="s">
        <v>25</v>
      </c>
      <c r="B5" s="3" t="s">
        <v>26</v>
      </c>
      <c r="C5" s="3" t="s">
        <v>27</v>
      </c>
      <c r="D5" s="5" t="s">
        <v>28</v>
      </c>
      <c r="E5" s="3" t="s">
        <v>29</v>
      </c>
      <c r="F5" s="3" t="s">
        <v>30</v>
      </c>
      <c r="G5" s="5" t="s">
        <v>28</v>
      </c>
      <c r="H5" s="3" t="s">
        <v>29</v>
      </c>
      <c r="I5" s="3" t="s">
        <v>30</v>
      </c>
      <c r="J5" s="5" t="s">
        <v>28</v>
      </c>
      <c r="K5" s="3" t="s">
        <v>29</v>
      </c>
      <c r="L5" s="3" t="s">
        <v>30</v>
      </c>
    </row>
    <row r="6" spans="1:18" x14ac:dyDescent="0.35">
      <c r="A6">
        <v>2024</v>
      </c>
      <c r="B6">
        <v>1</v>
      </c>
      <c r="C6" t="s">
        <v>31</v>
      </c>
      <c r="D6" s="4">
        <v>134</v>
      </c>
      <c r="E6">
        <v>444</v>
      </c>
      <c r="F6">
        <v>285.10000000000002</v>
      </c>
      <c r="G6" s="4"/>
      <c r="J6" s="4"/>
    </row>
    <row r="7" spans="1:18" x14ac:dyDescent="0.35">
      <c r="A7">
        <v>2024</v>
      </c>
      <c r="B7">
        <v>2</v>
      </c>
      <c r="C7" t="s">
        <v>32</v>
      </c>
      <c r="D7" s="4">
        <v>1003</v>
      </c>
      <c r="E7">
        <v>7106</v>
      </c>
      <c r="F7">
        <v>5298.7</v>
      </c>
      <c r="G7" s="4">
        <v>7</v>
      </c>
      <c r="H7">
        <v>8</v>
      </c>
      <c r="I7">
        <v>4.5999999999999996</v>
      </c>
      <c r="J7" s="4">
        <v>14</v>
      </c>
      <c r="K7">
        <v>46</v>
      </c>
      <c r="L7">
        <v>36.5</v>
      </c>
    </row>
    <row r="8" spans="1:18" x14ac:dyDescent="0.35">
      <c r="A8">
        <v>2024</v>
      </c>
      <c r="B8">
        <v>3</v>
      </c>
      <c r="C8" t="s">
        <v>33</v>
      </c>
      <c r="D8" s="4">
        <v>278</v>
      </c>
      <c r="E8">
        <v>1133</v>
      </c>
      <c r="F8">
        <v>773</v>
      </c>
      <c r="G8" s="4"/>
      <c r="J8" s="4">
        <v>3</v>
      </c>
    </row>
    <row r="9" spans="1:18" x14ac:dyDescent="0.35">
      <c r="A9">
        <v>2024</v>
      </c>
      <c r="B9">
        <v>4</v>
      </c>
      <c r="C9" t="s">
        <v>34</v>
      </c>
      <c r="D9" s="4">
        <v>291</v>
      </c>
      <c r="E9">
        <v>1114</v>
      </c>
      <c r="F9">
        <v>781.5</v>
      </c>
      <c r="G9" s="4"/>
      <c r="J9" s="4">
        <v>3</v>
      </c>
    </row>
    <row r="10" spans="1:18" x14ac:dyDescent="0.35">
      <c r="A10">
        <v>2024</v>
      </c>
      <c r="B10">
        <v>5</v>
      </c>
      <c r="C10" t="s">
        <v>35</v>
      </c>
      <c r="D10" s="4">
        <v>197</v>
      </c>
      <c r="E10">
        <v>1304</v>
      </c>
      <c r="F10">
        <v>1078.5</v>
      </c>
      <c r="G10" s="4"/>
      <c r="J10" s="4"/>
    </row>
    <row r="11" spans="1:18" x14ac:dyDescent="0.35">
      <c r="A11">
        <v>2024</v>
      </c>
      <c r="B11">
        <v>6</v>
      </c>
      <c r="C11" t="s">
        <v>36</v>
      </c>
      <c r="D11" s="4">
        <v>110</v>
      </c>
      <c r="E11">
        <v>375</v>
      </c>
      <c r="F11">
        <v>250.1</v>
      </c>
      <c r="G11" s="4"/>
      <c r="J11" s="4"/>
    </row>
    <row r="12" spans="1:18" x14ac:dyDescent="0.35">
      <c r="A12">
        <v>2024</v>
      </c>
      <c r="B12">
        <v>7</v>
      </c>
      <c r="C12" t="s">
        <v>37</v>
      </c>
      <c r="D12" s="4">
        <v>140</v>
      </c>
      <c r="E12">
        <v>550</v>
      </c>
      <c r="F12">
        <v>368.1</v>
      </c>
      <c r="G12" s="4"/>
      <c r="J12" s="4"/>
    </row>
    <row r="13" spans="1:18" x14ac:dyDescent="0.35">
      <c r="A13">
        <v>2024</v>
      </c>
      <c r="B13">
        <v>8</v>
      </c>
      <c r="C13" t="s">
        <v>38</v>
      </c>
      <c r="D13" s="4">
        <v>56</v>
      </c>
      <c r="E13">
        <v>179</v>
      </c>
      <c r="F13">
        <v>113.2</v>
      </c>
      <c r="G13" s="4"/>
      <c r="J13" s="4"/>
    </row>
    <row r="14" spans="1:18" x14ac:dyDescent="0.35">
      <c r="A14">
        <v>2024</v>
      </c>
      <c r="B14">
        <v>9</v>
      </c>
      <c r="C14" t="s">
        <v>39</v>
      </c>
      <c r="D14" s="4">
        <v>351</v>
      </c>
      <c r="E14">
        <v>1766</v>
      </c>
      <c r="F14">
        <v>1241.5999999999999</v>
      </c>
      <c r="G14" s="4">
        <v>3</v>
      </c>
      <c r="H14">
        <v>4</v>
      </c>
      <c r="J14" s="4">
        <v>4</v>
      </c>
      <c r="K14">
        <v>12</v>
      </c>
      <c r="L14">
        <v>9.3000000000000007</v>
      </c>
    </row>
    <row r="15" spans="1:18" x14ac:dyDescent="0.35">
      <c r="A15">
        <v>2024</v>
      </c>
      <c r="B15">
        <v>10</v>
      </c>
      <c r="C15" t="s">
        <v>40</v>
      </c>
      <c r="D15" s="4">
        <v>319</v>
      </c>
      <c r="E15">
        <v>1607</v>
      </c>
      <c r="F15">
        <v>1150.3</v>
      </c>
      <c r="G15" s="4"/>
      <c r="H15">
        <v>7</v>
      </c>
      <c r="I15">
        <v>5.9</v>
      </c>
      <c r="J15" s="4">
        <v>6</v>
      </c>
      <c r="K15">
        <v>15</v>
      </c>
      <c r="L15">
        <v>11.8</v>
      </c>
    </row>
    <row r="16" spans="1:18" x14ac:dyDescent="0.35">
      <c r="A16">
        <v>2024</v>
      </c>
      <c r="B16">
        <v>11</v>
      </c>
      <c r="C16" t="s">
        <v>41</v>
      </c>
      <c r="D16" s="4">
        <v>200</v>
      </c>
      <c r="E16">
        <v>724</v>
      </c>
      <c r="F16">
        <v>538.5</v>
      </c>
      <c r="G16" s="4">
        <v>3</v>
      </c>
      <c r="H16">
        <v>5</v>
      </c>
      <c r="J16" s="4"/>
    </row>
    <row r="17" spans="1:12" x14ac:dyDescent="0.35">
      <c r="A17">
        <v>2024</v>
      </c>
      <c r="B17">
        <v>12</v>
      </c>
      <c r="C17" t="s">
        <v>42</v>
      </c>
      <c r="D17" s="4">
        <v>102</v>
      </c>
      <c r="E17">
        <v>305</v>
      </c>
      <c r="F17">
        <v>196.4</v>
      </c>
      <c r="G17" s="4"/>
      <c r="J17" s="4"/>
    </row>
    <row r="18" spans="1:12" x14ac:dyDescent="0.35">
      <c r="A18">
        <v>2024</v>
      </c>
      <c r="B18">
        <v>13</v>
      </c>
      <c r="C18" t="s">
        <v>43</v>
      </c>
      <c r="D18" s="4">
        <v>210</v>
      </c>
      <c r="E18">
        <v>844</v>
      </c>
      <c r="F18">
        <v>597.70000000000005</v>
      </c>
      <c r="G18" s="4"/>
      <c r="H18">
        <v>9</v>
      </c>
      <c r="I18">
        <v>8.8000000000000007</v>
      </c>
      <c r="J18" s="4"/>
      <c r="K18">
        <v>7</v>
      </c>
      <c r="L18">
        <v>5</v>
      </c>
    </row>
    <row r="19" spans="1:12" x14ac:dyDescent="0.35">
      <c r="A19">
        <v>2024</v>
      </c>
      <c r="B19">
        <v>14</v>
      </c>
      <c r="C19" t="s">
        <v>44</v>
      </c>
      <c r="D19" s="4">
        <v>275</v>
      </c>
      <c r="E19">
        <v>1281</v>
      </c>
      <c r="F19">
        <v>988.9</v>
      </c>
      <c r="G19" s="4"/>
      <c r="J19" s="4"/>
    </row>
    <row r="20" spans="1:12" x14ac:dyDescent="0.35">
      <c r="A20">
        <v>2024</v>
      </c>
      <c r="B20">
        <v>22</v>
      </c>
      <c r="C20" t="s">
        <v>45</v>
      </c>
      <c r="D20" s="4">
        <v>61</v>
      </c>
      <c r="E20">
        <v>347</v>
      </c>
      <c r="F20">
        <v>212.2</v>
      </c>
      <c r="G20" s="4"/>
      <c r="J20" s="4"/>
    </row>
    <row r="21" spans="1:12" x14ac:dyDescent="0.35">
      <c r="A21">
        <v>2024</v>
      </c>
      <c r="B21">
        <v>23</v>
      </c>
      <c r="C21" t="s">
        <v>46</v>
      </c>
      <c r="D21" s="4">
        <v>55</v>
      </c>
      <c r="E21">
        <v>182</v>
      </c>
      <c r="F21">
        <v>108.2</v>
      </c>
      <c r="G21" s="4"/>
      <c r="J21" s="4"/>
    </row>
    <row r="22" spans="1:12" x14ac:dyDescent="0.35">
      <c r="A22">
        <v>2024</v>
      </c>
      <c r="B22">
        <v>24</v>
      </c>
      <c r="C22" t="s">
        <v>47</v>
      </c>
      <c r="D22" s="4">
        <v>77</v>
      </c>
      <c r="E22">
        <v>206</v>
      </c>
      <c r="F22">
        <v>142.4</v>
      </c>
      <c r="G22" s="4"/>
      <c r="J22" s="4"/>
    </row>
    <row r="23" spans="1:12" x14ac:dyDescent="0.35">
      <c r="A23">
        <v>2024</v>
      </c>
      <c r="B23">
        <v>25</v>
      </c>
      <c r="C23" t="s">
        <v>48</v>
      </c>
      <c r="D23" s="4">
        <v>117</v>
      </c>
      <c r="E23">
        <v>441</v>
      </c>
      <c r="F23">
        <v>317.2</v>
      </c>
      <c r="G23" s="4"/>
      <c r="H23">
        <v>17</v>
      </c>
      <c r="I23">
        <v>15.3</v>
      </c>
      <c r="J23" s="4"/>
    </row>
    <row r="24" spans="1:12" x14ac:dyDescent="0.35">
      <c r="A24">
        <v>2024</v>
      </c>
      <c r="B24">
        <v>26</v>
      </c>
      <c r="C24" t="s">
        <v>49</v>
      </c>
      <c r="D24" s="4">
        <v>54</v>
      </c>
      <c r="E24">
        <v>167</v>
      </c>
      <c r="F24">
        <v>96.7</v>
      </c>
      <c r="G24" s="4"/>
      <c r="J24" s="4"/>
    </row>
    <row r="25" spans="1:12" x14ac:dyDescent="0.35">
      <c r="A25">
        <v>2024</v>
      </c>
      <c r="B25">
        <v>27</v>
      </c>
      <c r="C25" t="s">
        <v>50</v>
      </c>
      <c r="D25" s="4">
        <v>205</v>
      </c>
      <c r="E25">
        <v>1213</v>
      </c>
      <c r="F25">
        <v>874</v>
      </c>
      <c r="G25" s="4">
        <v>3</v>
      </c>
      <c r="J25" s="4"/>
    </row>
    <row r="26" spans="1:12" x14ac:dyDescent="0.35">
      <c r="A26">
        <v>2024</v>
      </c>
      <c r="B26">
        <v>28</v>
      </c>
      <c r="C26" t="s">
        <v>51</v>
      </c>
      <c r="D26" s="4">
        <v>137</v>
      </c>
      <c r="E26">
        <v>799</v>
      </c>
      <c r="F26">
        <v>525.1</v>
      </c>
      <c r="G26" s="4"/>
      <c r="J26" s="4"/>
    </row>
    <row r="27" spans="1:12" x14ac:dyDescent="0.35">
      <c r="A27">
        <v>2024</v>
      </c>
      <c r="B27">
        <v>29</v>
      </c>
      <c r="C27" t="s">
        <v>52</v>
      </c>
      <c r="D27" s="4">
        <v>112</v>
      </c>
      <c r="E27">
        <v>373</v>
      </c>
      <c r="F27">
        <v>266.10000000000002</v>
      </c>
      <c r="G27" s="4"/>
      <c r="J27" s="4"/>
      <c r="K27">
        <v>102</v>
      </c>
      <c r="L27">
        <v>90.7</v>
      </c>
    </row>
    <row r="28" spans="1:12" x14ac:dyDescent="0.35">
      <c r="A28">
        <v>2024</v>
      </c>
      <c r="B28">
        <v>31</v>
      </c>
      <c r="C28" t="s">
        <v>53</v>
      </c>
      <c r="D28" s="4">
        <v>121</v>
      </c>
      <c r="E28">
        <v>681</v>
      </c>
      <c r="F28">
        <v>502</v>
      </c>
      <c r="G28" s="4"/>
      <c r="J28" s="4"/>
    </row>
    <row r="29" spans="1:12" x14ac:dyDescent="0.35">
      <c r="A29">
        <v>2024</v>
      </c>
      <c r="B29">
        <v>33</v>
      </c>
      <c r="C29" t="s">
        <v>54</v>
      </c>
      <c r="D29" s="4">
        <v>188</v>
      </c>
      <c r="E29">
        <v>1311</v>
      </c>
      <c r="F29">
        <v>1067.5999999999999</v>
      </c>
      <c r="G29" s="4"/>
      <c r="J29" s="4"/>
      <c r="K29">
        <v>14</v>
      </c>
      <c r="L29">
        <v>4.3</v>
      </c>
    </row>
    <row r="30" spans="1:12" x14ac:dyDescent="0.35">
      <c r="A30">
        <v>2024</v>
      </c>
      <c r="B30">
        <v>34</v>
      </c>
      <c r="C30" t="s">
        <v>55</v>
      </c>
      <c r="D30" s="4">
        <v>115</v>
      </c>
      <c r="E30">
        <v>537</v>
      </c>
      <c r="F30">
        <v>365.4</v>
      </c>
      <c r="G30" s="4"/>
      <c r="J30" s="4"/>
    </row>
    <row r="31" spans="1:12" x14ac:dyDescent="0.35">
      <c r="A31">
        <v>2024</v>
      </c>
      <c r="B31">
        <v>35</v>
      </c>
      <c r="C31" t="s">
        <v>56</v>
      </c>
      <c r="D31" s="4">
        <v>218</v>
      </c>
      <c r="E31">
        <v>1266</v>
      </c>
      <c r="F31">
        <v>885.7</v>
      </c>
      <c r="G31" s="4">
        <v>3</v>
      </c>
      <c r="J31" s="4"/>
    </row>
    <row r="32" spans="1:12" x14ac:dyDescent="0.35">
      <c r="A32">
        <v>2024</v>
      </c>
      <c r="B32">
        <v>37</v>
      </c>
      <c r="C32" t="s">
        <v>57</v>
      </c>
      <c r="D32" s="4">
        <v>122</v>
      </c>
      <c r="E32">
        <v>506</v>
      </c>
      <c r="F32">
        <v>346.7</v>
      </c>
      <c r="G32" s="4"/>
      <c r="J32" s="4"/>
    </row>
    <row r="33" spans="1:12" x14ac:dyDescent="0.35">
      <c r="A33">
        <v>2024</v>
      </c>
      <c r="B33">
        <v>38</v>
      </c>
      <c r="C33" t="s">
        <v>58</v>
      </c>
      <c r="D33" s="4">
        <v>87</v>
      </c>
      <c r="E33">
        <v>777</v>
      </c>
      <c r="F33">
        <v>545</v>
      </c>
      <c r="G33" s="4"/>
      <c r="J33" s="4"/>
    </row>
    <row r="34" spans="1:12" x14ac:dyDescent="0.35">
      <c r="A34">
        <v>2024</v>
      </c>
      <c r="B34">
        <v>39</v>
      </c>
      <c r="C34" t="s">
        <v>59</v>
      </c>
      <c r="D34" s="4">
        <v>75</v>
      </c>
      <c r="E34">
        <v>319</v>
      </c>
      <c r="F34">
        <v>241.7</v>
      </c>
      <c r="G34" s="4"/>
      <c r="J34" s="4"/>
    </row>
    <row r="35" spans="1:12" x14ac:dyDescent="0.35">
      <c r="A35">
        <v>2024</v>
      </c>
      <c r="B35">
        <v>40</v>
      </c>
      <c r="C35" t="s">
        <v>60</v>
      </c>
      <c r="D35" s="4">
        <v>99</v>
      </c>
      <c r="E35">
        <v>324</v>
      </c>
      <c r="F35">
        <v>212.2</v>
      </c>
      <c r="G35" s="4"/>
      <c r="J35" s="4"/>
    </row>
    <row r="36" spans="1:12" x14ac:dyDescent="0.35">
      <c r="A36">
        <v>2024</v>
      </c>
      <c r="B36">
        <v>41</v>
      </c>
      <c r="C36" t="s">
        <v>61</v>
      </c>
      <c r="D36" s="4">
        <v>38</v>
      </c>
      <c r="E36">
        <v>133</v>
      </c>
      <c r="F36">
        <v>83.8</v>
      </c>
      <c r="G36" s="4"/>
      <c r="J36" s="4"/>
    </row>
    <row r="37" spans="1:12" x14ac:dyDescent="0.35">
      <c r="A37">
        <v>2024</v>
      </c>
      <c r="B37">
        <v>43</v>
      </c>
      <c r="C37" t="s">
        <v>62</v>
      </c>
      <c r="D37" s="4">
        <v>34</v>
      </c>
      <c r="E37">
        <v>92</v>
      </c>
      <c r="F37">
        <v>54.8</v>
      </c>
      <c r="G37" s="4"/>
      <c r="J37" s="4"/>
    </row>
    <row r="38" spans="1:12" x14ac:dyDescent="0.35">
      <c r="A38">
        <v>2024</v>
      </c>
      <c r="B38">
        <v>51</v>
      </c>
      <c r="C38" t="s">
        <v>63</v>
      </c>
      <c r="D38" s="4">
        <v>285</v>
      </c>
      <c r="E38">
        <v>1794</v>
      </c>
      <c r="F38">
        <v>1446</v>
      </c>
      <c r="G38" s="4">
        <v>5</v>
      </c>
      <c r="H38">
        <v>7</v>
      </c>
      <c r="I38">
        <v>4.9000000000000004</v>
      </c>
      <c r="J38" s="4"/>
    </row>
    <row r="39" spans="1:12" x14ac:dyDescent="0.35">
      <c r="A39">
        <v>2024</v>
      </c>
      <c r="B39">
        <v>52</v>
      </c>
      <c r="C39" t="s">
        <v>64</v>
      </c>
      <c r="D39" s="4">
        <v>650</v>
      </c>
      <c r="E39">
        <v>4577</v>
      </c>
      <c r="F39">
        <v>3677.5</v>
      </c>
      <c r="G39" s="4"/>
      <c r="J39" s="4">
        <v>3</v>
      </c>
      <c r="K39">
        <v>7</v>
      </c>
      <c r="L39">
        <v>4.9000000000000004</v>
      </c>
    </row>
    <row r="40" spans="1:12" x14ac:dyDescent="0.35">
      <c r="A40">
        <v>2024</v>
      </c>
      <c r="B40">
        <v>53</v>
      </c>
      <c r="C40" t="s">
        <v>65</v>
      </c>
      <c r="D40" s="4">
        <v>1416</v>
      </c>
      <c r="E40">
        <v>11625</v>
      </c>
      <c r="F40">
        <v>8706.1</v>
      </c>
      <c r="G40" s="4">
        <v>12</v>
      </c>
      <c r="H40">
        <v>13</v>
      </c>
      <c r="I40">
        <v>8.9</v>
      </c>
      <c r="J40" s="4">
        <v>7</v>
      </c>
      <c r="K40">
        <v>11</v>
      </c>
      <c r="L40">
        <v>6.2</v>
      </c>
    </row>
    <row r="41" spans="1:12" x14ac:dyDescent="0.35">
      <c r="A41">
        <v>2024</v>
      </c>
      <c r="B41">
        <v>54</v>
      </c>
      <c r="C41" t="s">
        <v>66</v>
      </c>
      <c r="D41" s="4">
        <v>602</v>
      </c>
      <c r="E41">
        <v>5746</v>
      </c>
      <c r="F41">
        <v>4647.8999999999996</v>
      </c>
      <c r="G41" s="4"/>
      <c r="J41" s="4">
        <v>6</v>
      </c>
      <c r="K41">
        <v>14</v>
      </c>
      <c r="L41">
        <v>10.9</v>
      </c>
    </row>
    <row r="42" spans="1:12" x14ac:dyDescent="0.35">
      <c r="A42">
        <v>2024</v>
      </c>
      <c r="B42">
        <v>55</v>
      </c>
      <c r="C42" t="s">
        <v>67</v>
      </c>
      <c r="D42" s="4">
        <v>318</v>
      </c>
      <c r="E42">
        <v>1369</v>
      </c>
      <c r="F42">
        <v>965.3</v>
      </c>
      <c r="G42" s="4"/>
      <c r="J42" s="4"/>
    </row>
    <row r="43" spans="1:12" x14ac:dyDescent="0.35">
      <c r="A43">
        <v>2024</v>
      </c>
      <c r="B43">
        <v>56</v>
      </c>
      <c r="C43" t="s">
        <v>68</v>
      </c>
      <c r="D43" s="4">
        <v>526</v>
      </c>
      <c r="E43">
        <v>4049</v>
      </c>
      <c r="F43">
        <v>3220.8</v>
      </c>
      <c r="G43" s="4"/>
      <c r="J43" s="4"/>
    </row>
    <row r="44" spans="1:12" x14ac:dyDescent="0.35">
      <c r="A44">
        <v>2024</v>
      </c>
      <c r="B44">
        <v>57</v>
      </c>
      <c r="C44" t="s">
        <v>69</v>
      </c>
      <c r="D44" s="4">
        <v>177</v>
      </c>
      <c r="E44">
        <v>701</v>
      </c>
      <c r="F44">
        <v>486.8</v>
      </c>
      <c r="G44" s="4"/>
      <c r="J44" s="4"/>
      <c r="K44">
        <v>10</v>
      </c>
      <c r="L44">
        <v>6.6</v>
      </c>
    </row>
    <row r="45" spans="1:12" x14ac:dyDescent="0.35">
      <c r="A45">
        <v>2024</v>
      </c>
      <c r="B45">
        <v>58</v>
      </c>
      <c r="C45" t="s">
        <v>70</v>
      </c>
      <c r="D45" s="4">
        <v>230</v>
      </c>
      <c r="E45">
        <v>1038</v>
      </c>
      <c r="F45">
        <v>739</v>
      </c>
      <c r="G45" s="4"/>
      <c r="J45" s="4"/>
    </row>
    <row r="46" spans="1:12" x14ac:dyDescent="0.35">
      <c r="A46">
        <v>2024</v>
      </c>
      <c r="B46">
        <v>59</v>
      </c>
      <c r="C46" t="s">
        <v>71</v>
      </c>
      <c r="D46" s="4">
        <v>73</v>
      </c>
      <c r="E46">
        <v>430</v>
      </c>
      <c r="F46">
        <v>338.8</v>
      </c>
      <c r="G46" s="4"/>
      <c r="J46" s="4"/>
      <c r="K46">
        <v>8</v>
      </c>
    </row>
    <row r="47" spans="1:12" x14ac:dyDescent="0.35">
      <c r="A47">
        <v>2024</v>
      </c>
      <c r="B47">
        <v>60</v>
      </c>
      <c r="C47" t="s">
        <v>72</v>
      </c>
      <c r="D47" s="4">
        <v>245</v>
      </c>
      <c r="E47">
        <v>1322</v>
      </c>
      <c r="F47">
        <v>1088.3</v>
      </c>
      <c r="G47" s="4"/>
      <c r="J47" s="4"/>
    </row>
    <row r="48" spans="1:12" x14ac:dyDescent="0.35">
      <c r="A48">
        <v>2024</v>
      </c>
      <c r="B48">
        <v>61</v>
      </c>
      <c r="C48" t="s">
        <v>73</v>
      </c>
      <c r="D48" s="4">
        <v>101</v>
      </c>
      <c r="E48">
        <v>376</v>
      </c>
      <c r="F48">
        <v>273.60000000000002</v>
      </c>
      <c r="G48" s="4"/>
      <c r="J48" s="4"/>
    </row>
    <row r="49" spans="1:12" x14ac:dyDescent="0.35">
      <c r="A49">
        <v>2024</v>
      </c>
      <c r="B49">
        <v>62</v>
      </c>
      <c r="C49" t="s">
        <v>74</v>
      </c>
      <c r="D49" s="4">
        <v>1652</v>
      </c>
      <c r="E49">
        <v>44424</v>
      </c>
      <c r="F49">
        <v>36669.300000000003</v>
      </c>
      <c r="G49" s="4">
        <v>11</v>
      </c>
      <c r="H49">
        <v>45</v>
      </c>
      <c r="I49">
        <v>35.9</v>
      </c>
      <c r="J49" s="4">
        <v>10</v>
      </c>
      <c r="K49">
        <v>54</v>
      </c>
      <c r="L49">
        <v>26.7</v>
      </c>
    </row>
    <row r="50" spans="1:12" x14ac:dyDescent="0.35">
      <c r="A50">
        <v>2024</v>
      </c>
      <c r="B50">
        <v>63</v>
      </c>
      <c r="C50" t="s">
        <v>75</v>
      </c>
      <c r="D50" s="4">
        <v>131</v>
      </c>
      <c r="E50">
        <v>425</v>
      </c>
      <c r="F50">
        <v>317.3</v>
      </c>
      <c r="G50" s="4"/>
      <c r="J50" s="4"/>
    </row>
    <row r="51" spans="1:12" x14ac:dyDescent="0.35">
      <c r="A51">
        <v>2024</v>
      </c>
      <c r="B51">
        <v>64</v>
      </c>
      <c r="C51" t="s">
        <v>76</v>
      </c>
      <c r="D51" s="4">
        <v>316</v>
      </c>
      <c r="E51">
        <v>1182</v>
      </c>
      <c r="F51">
        <v>812</v>
      </c>
      <c r="G51" s="4"/>
      <c r="J51" s="4"/>
    </row>
    <row r="52" spans="1:12" x14ac:dyDescent="0.35">
      <c r="A52">
        <v>2024</v>
      </c>
      <c r="B52">
        <v>65</v>
      </c>
      <c r="C52" t="s">
        <v>77</v>
      </c>
      <c r="D52" s="4">
        <v>88</v>
      </c>
      <c r="E52">
        <v>261</v>
      </c>
      <c r="F52">
        <v>161.30000000000001</v>
      </c>
      <c r="G52" s="4"/>
      <c r="J52" s="4"/>
    </row>
    <row r="53" spans="1:12" x14ac:dyDescent="0.35">
      <c r="A53">
        <v>2024</v>
      </c>
      <c r="B53">
        <v>66</v>
      </c>
      <c r="C53" t="s">
        <v>78</v>
      </c>
      <c r="D53" s="4">
        <v>1662</v>
      </c>
      <c r="E53">
        <v>26825</v>
      </c>
      <c r="F53">
        <v>22339</v>
      </c>
      <c r="G53" s="4">
        <v>4</v>
      </c>
      <c r="H53">
        <v>55</v>
      </c>
      <c r="I53">
        <v>52.8</v>
      </c>
      <c r="J53" s="4">
        <v>9</v>
      </c>
      <c r="K53">
        <v>96</v>
      </c>
      <c r="L53">
        <v>82.3</v>
      </c>
    </row>
    <row r="54" spans="1:12" x14ac:dyDescent="0.35">
      <c r="A54">
        <v>2024</v>
      </c>
      <c r="B54">
        <v>67</v>
      </c>
      <c r="C54" t="s">
        <v>79</v>
      </c>
      <c r="D54" s="4">
        <v>264</v>
      </c>
      <c r="E54">
        <v>1644</v>
      </c>
      <c r="F54">
        <v>1204.5999999999999</v>
      </c>
      <c r="G54" s="4"/>
      <c r="H54">
        <v>4</v>
      </c>
      <c r="J54" s="4"/>
    </row>
    <row r="55" spans="1:12" x14ac:dyDescent="0.35">
      <c r="A55">
        <v>2024</v>
      </c>
      <c r="B55">
        <v>68</v>
      </c>
      <c r="C55" t="s">
        <v>80</v>
      </c>
      <c r="D55" s="4">
        <v>189</v>
      </c>
      <c r="E55">
        <v>578</v>
      </c>
      <c r="F55">
        <v>380.3</v>
      </c>
      <c r="G55" s="4"/>
      <c r="J55" s="4"/>
    </row>
    <row r="56" spans="1:12" x14ac:dyDescent="0.35">
      <c r="A56">
        <v>2024</v>
      </c>
      <c r="B56">
        <v>69</v>
      </c>
      <c r="C56" t="s">
        <v>81</v>
      </c>
      <c r="D56" s="4">
        <v>1550</v>
      </c>
      <c r="E56">
        <v>21107</v>
      </c>
      <c r="F56">
        <v>17631.8</v>
      </c>
      <c r="G56" s="4">
        <v>6</v>
      </c>
      <c r="H56">
        <v>28</v>
      </c>
      <c r="I56">
        <v>23.6</v>
      </c>
      <c r="J56" s="4">
        <v>12</v>
      </c>
      <c r="K56">
        <v>140</v>
      </c>
      <c r="L56">
        <v>117.7</v>
      </c>
    </row>
    <row r="57" spans="1:12" x14ac:dyDescent="0.35">
      <c r="A57">
        <v>2024</v>
      </c>
      <c r="B57">
        <v>70</v>
      </c>
      <c r="C57" t="s">
        <v>82</v>
      </c>
      <c r="D57" s="4">
        <v>39</v>
      </c>
      <c r="E57">
        <v>93</v>
      </c>
      <c r="F57">
        <v>61.6</v>
      </c>
      <c r="G57" s="4"/>
      <c r="J57" s="4"/>
    </row>
    <row r="58" spans="1:12" x14ac:dyDescent="0.35">
      <c r="A58">
        <v>2024</v>
      </c>
      <c r="B58">
        <v>71</v>
      </c>
      <c r="C58" t="s">
        <v>83</v>
      </c>
      <c r="D58" s="4">
        <v>129</v>
      </c>
      <c r="E58">
        <v>479</v>
      </c>
      <c r="F58">
        <v>363.3</v>
      </c>
      <c r="G58" s="4"/>
      <c r="J58" s="4"/>
      <c r="K58">
        <v>8</v>
      </c>
      <c r="L58">
        <v>6.1</v>
      </c>
    </row>
    <row r="59" spans="1:12" x14ac:dyDescent="0.35">
      <c r="A59">
        <v>2024</v>
      </c>
      <c r="B59">
        <v>72</v>
      </c>
      <c r="C59" t="s">
        <v>84</v>
      </c>
      <c r="D59" s="4">
        <v>257</v>
      </c>
      <c r="E59">
        <v>1064</v>
      </c>
      <c r="F59">
        <v>767.1</v>
      </c>
      <c r="G59" s="4"/>
      <c r="J59" s="4"/>
    </row>
    <row r="60" spans="1:12" x14ac:dyDescent="0.35">
      <c r="A60">
        <v>2024</v>
      </c>
      <c r="B60">
        <v>81</v>
      </c>
      <c r="C60" t="s">
        <v>85</v>
      </c>
      <c r="D60" s="4">
        <v>55</v>
      </c>
      <c r="E60">
        <v>252</v>
      </c>
      <c r="F60">
        <v>174.1</v>
      </c>
      <c r="G60" s="4"/>
      <c r="J60" s="4"/>
    </row>
    <row r="61" spans="1:12" x14ac:dyDescent="0.35">
      <c r="A61">
        <v>2024</v>
      </c>
      <c r="B61">
        <v>82</v>
      </c>
      <c r="C61" t="s">
        <v>86</v>
      </c>
      <c r="D61" s="4">
        <v>82</v>
      </c>
      <c r="E61">
        <v>363</v>
      </c>
      <c r="F61">
        <v>284.89999999999998</v>
      </c>
      <c r="G61" s="4"/>
      <c r="J61" s="4"/>
    </row>
    <row r="62" spans="1:12" x14ac:dyDescent="0.35">
      <c r="A62">
        <v>2024</v>
      </c>
      <c r="B62">
        <v>83</v>
      </c>
      <c r="C62" t="s">
        <v>87</v>
      </c>
      <c r="D62" s="4">
        <v>322</v>
      </c>
      <c r="E62">
        <v>2781</v>
      </c>
      <c r="F62">
        <v>2335.1999999999998</v>
      </c>
      <c r="G62" s="4"/>
      <c r="H62">
        <v>4</v>
      </c>
      <c r="J62" s="4"/>
    </row>
    <row r="63" spans="1:12" x14ac:dyDescent="0.35">
      <c r="A63">
        <v>2024</v>
      </c>
      <c r="B63">
        <v>84</v>
      </c>
      <c r="C63" t="s">
        <v>88</v>
      </c>
      <c r="D63" s="4">
        <v>299</v>
      </c>
      <c r="E63">
        <v>2927</v>
      </c>
      <c r="F63">
        <v>2538.6999999999998</v>
      </c>
      <c r="G63" s="4"/>
      <c r="J63" s="4"/>
      <c r="K63">
        <v>8</v>
      </c>
      <c r="L63">
        <v>6.8</v>
      </c>
    </row>
    <row r="64" spans="1:12" x14ac:dyDescent="0.35">
      <c r="A64">
        <v>2024</v>
      </c>
      <c r="B64">
        <v>85</v>
      </c>
      <c r="C64" t="s">
        <v>89</v>
      </c>
      <c r="D64" s="4">
        <v>101</v>
      </c>
      <c r="E64">
        <v>422</v>
      </c>
      <c r="F64">
        <v>328.6</v>
      </c>
      <c r="G64" s="4"/>
      <c r="J64" s="4"/>
    </row>
    <row r="65" spans="1:12" x14ac:dyDescent="0.35">
      <c r="A65">
        <v>2024</v>
      </c>
      <c r="B65">
        <v>86</v>
      </c>
      <c r="C65" t="s">
        <v>90</v>
      </c>
      <c r="D65" s="4">
        <v>438</v>
      </c>
      <c r="E65">
        <v>4890</v>
      </c>
      <c r="F65">
        <v>3814.9</v>
      </c>
      <c r="G65" s="4"/>
      <c r="J65" s="4">
        <v>3</v>
      </c>
      <c r="K65">
        <v>32</v>
      </c>
      <c r="L65">
        <v>29.1</v>
      </c>
    </row>
    <row r="66" spans="1:12" x14ac:dyDescent="0.35">
      <c r="A66">
        <v>2024</v>
      </c>
      <c r="B66">
        <v>87</v>
      </c>
      <c r="C66" t="s">
        <v>91</v>
      </c>
      <c r="D66" s="4">
        <v>47</v>
      </c>
      <c r="E66">
        <v>103</v>
      </c>
      <c r="F66">
        <v>67.2</v>
      </c>
      <c r="G66" s="4"/>
      <c r="J66" s="4"/>
    </row>
    <row r="67" spans="1:12" x14ac:dyDescent="0.35">
      <c r="A67">
        <v>2024</v>
      </c>
      <c r="B67">
        <v>88</v>
      </c>
      <c r="C67" t="s">
        <v>92</v>
      </c>
      <c r="D67" s="4">
        <v>256</v>
      </c>
      <c r="E67">
        <v>673</v>
      </c>
      <c r="F67">
        <v>454.9</v>
      </c>
      <c r="G67" s="4"/>
      <c r="J67" s="4"/>
    </row>
    <row r="68" spans="1:12" x14ac:dyDescent="0.35">
      <c r="A68">
        <v>2024</v>
      </c>
      <c r="B68">
        <v>89</v>
      </c>
      <c r="C68" t="s">
        <v>93</v>
      </c>
      <c r="D68" s="4">
        <v>262</v>
      </c>
      <c r="E68">
        <v>1718</v>
      </c>
      <c r="F68">
        <v>1319</v>
      </c>
      <c r="G68" s="4"/>
      <c r="J68" s="4"/>
    </row>
    <row r="69" spans="1:12" x14ac:dyDescent="0.35">
      <c r="A69">
        <v>2024</v>
      </c>
      <c r="B69">
        <v>90</v>
      </c>
      <c r="C69" t="s">
        <v>94</v>
      </c>
      <c r="D69" s="4">
        <v>487</v>
      </c>
      <c r="E69">
        <v>2573</v>
      </c>
      <c r="F69">
        <v>2009.9</v>
      </c>
      <c r="G69" s="4"/>
      <c r="H69">
        <v>4</v>
      </c>
      <c r="J69" s="4"/>
    </row>
    <row r="70" spans="1:12" x14ac:dyDescent="0.35">
      <c r="A70">
        <v>2024</v>
      </c>
      <c r="B70">
        <v>91</v>
      </c>
      <c r="C70" t="s">
        <v>95</v>
      </c>
      <c r="D70" s="4">
        <v>161</v>
      </c>
      <c r="E70">
        <v>916</v>
      </c>
      <c r="F70">
        <v>706.3</v>
      </c>
      <c r="G70" s="4"/>
      <c r="J70" s="4"/>
    </row>
    <row r="71" spans="1:12" x14ac:dyDescent="0.35">
      <c r="A71">
        <v>2024</v>
      </c>
      <c r="B71">
        <v>92</v>
      </c>
      <c r="C71" t="s">
        <v>96</v>
      </c>
      <c r="D71" s="4">
        <v>336</v>
      </c>
      <c r="E71">
        <v>2254</v>
      </c>
      <c r="F71">
        <v>1781.3</v>
      </c>
      <c r="G71" s="4"/>
      <c r="J71" s="4">
        <v>3</v>
      </c>
      <c r="K71">
        <v>5</v>
      </c>
    </row>
    <row r="72" spans="1:12" x14ac:dyDescent="0.35">
      <c r="A72">
        <v>2024</v>
      </c>
      <c r="B72">
        <v>93</v>
      </c>
      <c r="C72" t="s">
        <v>97</v>
      </c>
      <c r="D72" s="4">
        <v>86</v>
      </c>
      <c r="E72">
        <v>243</v>
      </c>
      <c r="F72">
        <v>174.9</v>
      </c>
      <c r="G72" s="4"/>
      <c r="J72" s="4"/>
    </row>
    <row r="73" spans="1:12" x14ac:dyDescent="0.35">
      <c r="A73">
        <v>2024</v>
      </c>
      <c r="B73">
        <v>94</v>
      </c>
      <c r="C73" t="s">
        <v>98</v>
      </c>
      <c r="D73" s="4">
        <v>282</v>
      </c>
      <c r="E73">
        <v>2362</v>
      </c>
      <c r="F73">
        <v>1909.1</v>
      </c>
      <c r="G73" s="4"/>
      <c r="J73" s="4"/>
    </row>
    <row r="74" spans="1:12" x14ac:dyDescent="0.35">
      <c r="A74">
        <v>2024</v>
      </c>
      <c r="B74">
        <v>95</v>
      </c>
      <c r="C74" t="s">
        <v>99</v>
      </c>
      <c r="D74" s="4">
        <v>40</v>
      </c>
      <c r="E74">
        <v>262</v>
      </c>
      <c r="F74">
        <v>174.6</v>
      </c>
      <c r="G74" s="4"/>
      <c r="J74" s="4"/>
      <c r="K74">
        <v>84</v>
      </c>
      <c r="L74">
        <v>48</v>
      </c>
    </row>
    <row r="75" spans="1:12" x14ac:dyDescent="0.35">
      <c r="A75">
        <v>2024</v>
      </c>
      <c r="B75">
        <v>96</v>
      </c>
      <c r="C75" t="s">
        <v>100</v>
      </c>
      <c r="D75" s="4">
        <v>1354</v>
      </c>
      <c r="E75">
        <v>10638</v>
      </c>
      <c r="F75">
        <v>8455.7999999999993</v>
      </c>
      <c r="G75" s="4">
        <v>4</v>
      </c>
      <c r="H75">
        <v>8</v>
      </c>
      <c r="I75">
        <v>6.8</v>
      </c>
      <c r="J75" s="4">
        <v>11</v>
      </c>
      <c r="K75">
        <v>63</v>
      </c>
      <c r="L75">
        <v>53.8</v>
      </c>
    </row>
    <row r="76" spans="1:12" x14ac:dyDescent="0.35">
      <c r="A76">
        <v>2024</v>
      </c>
      <c r="B76">
        <v>97</v>
      </c>
      <c r="C76" t="s">
        <v>101</v>
      </c>
      <c r="D76" s="4">
        <v>787</v>
      </c>
      <c r="E76">
        <v>7107</v>
      </c>
      <c r="F76">
        <v>5916</v>
      </c>
      <c r="G76" s="4"/>
      <c r="J76" s="4">
        <v>7</v>
      </c>
      <c r="K76">
        <v>12</v>
      </c>
      <c r="L76">
        <v>10.199999999999999</v>
      </c>
    </row>
    <row r="77" spans="1:12" x14ac:dyDescent="0.35">
      <c r="A77">
        <v>2024</v>
      </c>
      <c r="B77">
        <v>98</v>
      </c>
      <c r="C77" t="s">
        <v>102</v>
      </c>
      <c r="D77" s="4">
        <v>60</v>
      </c>
      <c r="E77">
        <v>130</v>
      </c>
      <c r="F77">
        <v>87.3</v>
      </c>
      <c r="G77" s="4"/>
      <c r="J77" s="4"/>
    </row>
    <row r="78" spans="1:12" x14ac:dyDescent="0.35">
      <c r="A78">
        <v>2024</v>
      </c>
      <c r="B78">
        <v>99</v>
      </c>
      <c r="C78" t="s">
        <v>103</v>
      </c>
      <c r="D78" s="4">
        <v>104</v>
      </c>
      <c r="E78">
        <v>359</v>
      </c>
      <c r="F78">
        <v>231.7</v>
      </c>
      <c r="G78" s="4"/>
      <c r="J78" s="4">
        <v>3</v>
      </c>
    </row>
    <row r="79" spans="1:12" x14ac:dyDescent="0.35">
      <c r="A79">
        <v>2024</v>
      </c>
      <c r="B79">
        <v>100</v>
      </c>
      <c r="C79" t="s">
        <v>104</v>
      </c>
      <c r="D79" s="4">
        <v>152</v>
      </c>
      <c r="E79">
        <v>615</v>
      </c>
      <c r="F79">
        <v>413.7</v>
      </c>
      <c r="G79" s="4"/>
      <c r="J79" s="4"/>
    </row>
    <row r="80" spans="1:12" x14ac:dyDescent="0.35">
      <c r="A80">
        <v>2024</v>
      </c>
      <c r="B80">
        <v>101</v>
      </c>
      <c r="C80" t="s">
        <v>105</v>
      </c>
      <c r="D80" s="4">
        <v>230</v>
      </c>
      <c r="E80">
        <v>850</v>
      </c>
      <c r="F80">
        <v>610.4</v>
      </c>
      <c r="G80" s="4"/>
      <c r="J80" s="4">
        <v>3</v>
      </c>
      <c r="K80">
        <v>5</v>
      </c>
      <c r="L80">
        <v>4</v>
      </c>
    </row>
    <row r="81" spans="1:12" x14ac:dyDescent="0.35">
      <c r="A81">
        <v>2024</v>
      </c>
      <c r="B81">
        <v>102</v>
      </c>
      <c r="C81" t="s">
        <v>106</v>
      </c>
      <c r="D81" s="4">
        <v>107</v>
      </c>
      <c r="E81">
        <v>328</v>
      </c>
      <c r="F81">
        <v>230.5</v>
      </c>
      <c r="G81" s="4"/>
      <c r="J81" s="4"/>
    </row>
    <row r="82" spans="1:12" x14ac:dyDescent="0.35">
      <c r="A82">
        <v>2024</v>
      </c>
      <c r="B82">
        <v>111</v>
      </c>
      <c r="C82" t="s">
        <v>107</v>
      </c>
      <c r="D82" s="4">
        <v>370</v>
      </c>
      <c r="E82">
        <v>1723</v>
      </c>
      <c r="F82">
        <v>1193.4000000000001</v>
      </c>
      <c r="G82" s="4"/>
      <c r="H82">
        <v>11</v>
      </c>
      <c r="I82">
        <v>10.4</v>
      </c>
      <c r="J82" s="4">
        <v>5</v>
      </c>
      <c r="K82">
        <v>7</v>
      </c>
    </row>
    <row r="83" spans="1:12" x14ac:dyDescent="0.35">
      <c r="A83">
        <v>2024</v>
      </c>
      <c r="B83">
        <v>112</v>
      </c>
      <c r="C83" t="s">
        <v>108</v>
      </c>
      <c r="D83" s="4">
        <v>614</v>
      </c>
      <c r="E83">
        <v>4079</v>
      </c>
      <c r="F83">
        <v>3207.2</v>
      </c>
      <c r="G83" s="4">
        <v>3</v>
      </c>
      <c r="J83" s="4">
        <v>5</v>
      </c>
      <c r="K83">
        <v>12</v>
      </c>
      <c r="L83">
        <v>8.1</v>
      </c>
    </row>
    <row r="84" spans="1:12" x14ac:dyDescent="0.35">
      <c r="A84">
        <v>2024</v>
      </c>
      <c r="B84">
        <v>113</v>
      </c>
      <c r="C84" t="s">
        <v>109</v>
      </c>
      <c r="D84" s="4">
        <v>450</v>
      </c>
      <c r="E84">
        <v>1971</v>
      </c>
      <c r="F84">
        <v>1374.5</v>
      </c>
      <c r="G84" s="4"/>
      <c r="J84" s="4">
        <v>6</v>
      </c>
      <c r="K84">
        <v>7</v>
      </c>
      <c r="L84">
        <v>4.5</v>
      </c>
    </row>
    <row r="85" spans="1:12" x14ac:dyDescent="0.35">
      <c r="A85">
        <v>2024</v>
      </c>
      <c r="B85">
        <v>114</v>
      </c>
      <c r="C85" t="s">
        <v>110</v>
      </c>
      <c r="D85" s="4">
        <v>222</v>
      </c>
      <c r="E85">
        <v>771</v>
      </c>
      <c r="F85">
        <v>555.4</v>
      </c>
      <c r="G85" s="4"/>
      <c r="J85" s="4"/>
      <c r="K85">
        <v>4</v>
      </c>
    </row>
    <row r="86" spans="1:12" x14ac:dyDescent="0.35">
      <c r="A86">
        <v>2024</v>
      </c>
      <c r="B86">
        <v>115</v>
      </c>
      <c r="C86" t="s">
        <v>111</v>
      </c>
      <c r="D86" s="4">
        <v>620</v>
      </c>
      <c r="E86">
        <v>2515</v>
      </c>
      <c r="F86">
        <v>1797.7</v>
      </c>
      <c r="G86" s="4">
        <v>3</v>
      </c>
      <c r="H86">
        <v>5</v>
      </c>
      <c r="J86" s="4"/>
    </row>
    <row r="87" spans="1:12" x14ac:dyDescent="0.35">
      <c r="A87">
        <v>2024</v>
      </c>
      <c r="B87">
        <v>116</v>
      </c>
      <c r="C87" t="s">
        <v>112</v>
      </c>
      <c r="D87" s="4">
        <v>277</v>
      </c>
      <c r="E87">
        <v>1807</v>
      </c>
      <c r="F87">
        <v>1412.7</v>
      </c>
      <c r="G87" s="4"/>
      <c r="J87" s="4"/>
    </row>
    <row r="88" spans="1:12" x14ac:dyDescent="0.35">
      <c r="A88">
        <v>2024</v>
      </c>
      <c r="B88">
        <v>117</v>
      </c>
      <c r="C88" t="s">
        <v>113</v>
      </c>
      <c r="D88" s="4">
        <v>886</v>
      </c>
      <c r="E88">
        <v>7763</v>
      </c>
      <c r="F88">
        <v>6350.5</v>
      </c>
      <c r="G88" s="4">
        <v>5</v>
      </c>
      <c r="H88">
        <v>6</v>
      </c>
      <c r="I88">
        <v>4.8</v>
      </c>
      <c r="J88" s="4">
        <v>7</v>
      </c>
      <c r="K88">
        <v>9</v>
      </c>
      <c r="L88">
        <v>6.9</v>
      </c>
    </row>
    <row r="89" spans="1:12" x14ac:dyDescent="0.35">
      <c r="A89">
        <v>2024</v>
      </c>
      <c r="B89">
        <v>118</v>
      </c>
      <c r="C89" t="s">
        <v>114</v>
      </c>
      <c r="D89" s="4">
        <v>886</v>
      </c>
      <c r="E89">
        <v>5277</v>
      </c>
      <c r="F89">
        <v>3878.7</v>
      </c>
      <c r="G89" s="4"/>
      <c r="H89">
        <v>6</v>
      </c>
      <c r="I89">
        <v>4.5</v>
      </c>
      <c r="J89" s="4">
        <v>11</v>
      </c>
      <c r="K89">
        <v>29</v>
      </c>
      <c r="L89">
        <v>25.3</v>
      </c>
    </row>
    <row r="90" spans="1:12" x14ac:dyDescent="0.35">
      <c r="A90">
        <v>2024</v>
      </c>
      <c r="B90">
        <v>119</v>
      </c>
      <c r="C90" t="s">
        <v>115</v>
      </c>
      <c r="D90" s="4">
        <v>126</v>
      </c>
      <c r="E90">
        <v>588</v>
      </c>
      <c r="F90">
        <v>382.4</v>
      </c>
      <c r="G90" s="4"/>
      <c r="J90" s="4"/>
    </row>
    <row r="91" spans="1:12" x14ac:dyDescent="0.35">
      <c r="A91">
        <v>2024</v>
      </c>
      <c r="B91">
        <v>120</v>
      </c>
      <c r="C91" t="s">
        <v>116</v>
      </c>
      <c r="D91" s="4">
        <v>728</v>
      </c>
      <c r="E91">
        <v>3504</v>
      </c>
      <c r="F91">
        <v>2539.1</v>
      </c>
      <c r="G91" s="4"/>
      <c r="J91" s="4">
        <v>5</v>
      </c>
      <c r="K91">
        <v>7</v>
      </c>
    </row>
    <row r="92" spans="1:12" x14ac:dyDescent="0.35">
      <c r="A92">
        <v>2024</v>
      </c>
      <c r="B92">
        <v>121</v>
      </c>
      <c r="C92" t="s">
        <v>117</v>
      </c>
      <c r="D92" s="4">
        <v>1903</v>
      </c>
      <c r="E92">
        <v>14949</v>
      </c>
      <c r="F92">
        <v>11138.3</v>
      </c>
      <c r="G92" s="4">
        <v>4</v>
      </c>
      <c r="H92">
        <v>10</v>
      </c>
      <c r="I92">
        <v>6.8</v>
      </c>
      <c r="J92" s="4">
        <v>6</v>
      </c>
      <c r="K92">
        <v>21</v>
      </c>
      <c r="L92">
        <v>16.399999999999999</v>
      </c>
    </row>
    <row r="93" spans="1:12" x14ac:dyDescent="0.35">
      <c r="A93">
        <v>2024</v>
      </c>
      <c r="B93">
        <v>131</v>
      </c>
      <c r="C93" t="s">
        <v>118</v>
      </c>
      <c r="D93" s="4">
        <v>1088</v>
      </c>
      <c r="E93">
        <v>8302</v>
      </c>
      <c r="F93">
        <v>6555.4</v>
      </c>
      <c r="G93" s="4">
        <v>6</v>
      </c>
      <c r="H93">
        <v>18</v>
      </c>
      <c r="I93">
        <v>15.6</v>
      </c>
      <c r="J93" s="4">
        <v>11</v>
      </c>
      <c r="K93">
        <v>32</v>
      </c>
      <c r="L93">
        <v>25.9</v>
      </c>
    </row>
    <row r="94" spans="1:12" x14ac:dyDescent="0.35">
      <c r="A94">
        <v>2024</v>
      </c>
      <c r="B94">
        <v>135</v>
      </c>
      <c r="C94" t="s">
        <v>119</v>
      </c>
      <c r="D94" s="4">
        <v>653</v>
      </c>
      <c r="E94">
        <v>4078</v>
      </c>
      <c r="F94">
        <v>3086.4</v>
      </c>
      <c r="G94" s="4">
        <v>5</v>
      </c>
      <c r="H94">
        <v>9</v>
      </c>
      <c r="I94">
        <v>8</v>
      </c>
      <c r="J94" s="4">
        <v>3</v>
      </c>
      <c r="K94">
        <v>6</v>
      </c>
      <c r="L94">
        <v>4.4000000000000004</v>
      </c>
    </row>
    <row r="95" spans="1:12" x14ac:dyDescent="0.35">
      <c r="A95">
        <v>2024</v>
      </c>
      <c r="B95">
        <v>136</v>
      </c>
      <c r="C95" t="s">
        <v>120</v>
      </c>
      <c r="D95" s="4">
        <v>385</v>
      </c>
      <c r="E95">
        <v>1565</v>
      </c>
      <c r="F95">
        <v>1093.5999999999999</v>
      </c>
      <c r="G95" s="4"/>
      <c r="J95" s="4">
        <v>3</v>
      </c>
      <c r="K95">
        <v>6</v>
      </c>
    </row>
    <row r="96" spans="1:12" x14ac:dyDescent="0.35">
      <c r="A96">
        <v>2024</v>
      </c>
      <c r="B96">
        <v>137</v>
      </c>
      <c r="C96" t="s">
        <v>121</v>
      </c>
      <c r="D96" s="4">
        <v>318</v>
      </c>
      <c r="E96">
        <v>1098</v>
      </c>
      <c r="F96">
        <v>746.6</v>
      </c>
      <c r="G96" s="4"/>
      <c r="J96" s="4"/>
    </row>
    <row r="97" spans="1:12" x14ac:dyDescent="0.35">
      <c r="A97">
        <v>2024</v>
      </c>
      <c r="B97">
        <v>138</v>
      </c>
      <c r="C97" t="s">
        <v>122</v>
      </c>
      <c r="D97" s="4">
        <v>834</v>
      </c>
      <c r="E97">
        <v>4654</v>
      </c>
      <c r="F97">
        <v>3599.3</v>
      </c>
      <c r="G97" s="4"/>
      <c r="J97" s="4">
        <v>11</v>
      </c>
      <c r="K97">
        <v>15</v>
      </c>
      <c r="L97">
        <v>9.6999999999999993</v>
      </c>
    </row>
    <row r="98" spans="1:12" x14ac:dyDescent="0.35">
      <c r="A98">
        <v>2024</v>
      </c>
      <c r="B98">
        <v>139</v>
      </c>
      <c r="C98" t="s">
        <v>123</v>
      </c>
      <c r="D98" s="4">
        <v>413</v>
      </c>
      <c r="E98">
        <v>2651</v>
      </c>
      <c r="F98">
        <v>2043.1</v>
      </c>
      <c r="G98" s="4"/>
      <c r="J98" s="4"/>
    </row>
    <row r="99" spans="1:12" x14ac:dyDescent="0.35">
      <c r="A99">
        <v>2024</v>
      </c>
      <c r="B99">
        <v>141</v>
      </c>
      <c r="C99" t="s">
        <v>124</v>
      </c>
      <c r="D99" s="4">
        <v>1355</v>
      </c>
      <c r="E99">
        <v>7030</v>
      </c>
      <c r="F99">
        <v>5055.3999999999996</v>
      </c>
      <c r="G99" s="4">
        <v>4</v>
      </c>
      <c r="H99">
        <v>4</v>
      </c>
      <c r="J99" s="4">
        <v>12</v>
      </c>
      <c r="K99">
        <v>45</v>
      </c>
      <c r="L99">
        <v>37.700000000000003</v>
      </c>
    </row>
    <row r="100" spans="1:12" x14ac:dyDescent="0.35">
      <c r="A100">
        <v>2024</v>
      </c>
      <c r="B100">
        <v>151</v>
      </c>
      <c r="C100" t="s">
        <v>125</v>
      </c>
      <c r="D100" s="4">
        <v>514</v>
      </c>
      <c r="E100">
        <v>1866</v>
      </c>
      <c r="F100">
        <v>1317.3</v>
      </c>
      <c r="G100" s="4"/>
      <c r="J100" s="4"/>
      <c r="K100">
        <v>80</v>
      </c>
      <c r="L100">
        <v>49.6</v>
      </c>
    </row>
    <row r="101" spans="1:12" x14ac:dyDescent="0.35">
      <c r="A101">
        <v>2024</v>
      </c>
      <c r="B101">
        <v>152</v>
      </c>
      <c r="C101" t="s">
        <v>126</v>
      </c>
      <c r="D101" s="4">
        <v>468</v>
      </c>
      <c r="E101">
        <v>1611</v>
      </c>
      <c r="F101">
        <v>1146.5</v>
      </c>
      <c r="G101" s="4">
        <v>7</v>
      </c>
      <c r="H101">
        <v>14</v>
      </c>
      <c r="I101">
        <v>10.3</v>
      </c>
      <c r="J101" s="4">
        <v>7</v>
      </c>
      <c r="K101">
        <v>9</v>
      </c>
      <c r="L101">
        <v>6.8</v>
      </c>
    </row>
    <row r="102" spans="1:12" x14ac:dyDescent="0.35">
      <c r="A102">
        <v>2024</v>
      </c>
      <c r="B102">
        <v>153</v>
      </c>
      <c r="C102" t="s">
        <v>127</v>
      </c>
      <c r="D102" s="4">
        <v>631</v>
      </c>
      <c r="E102">
        <v>2888</v>
      </c>
      <c r="F102">
        <v>2077.8000000000002</v>
      </c>
      <c r="G102" s="4">
        <v>6</v>
      </c>
      <c r="H102">
        <v>7</v>
      </c>
      <c r="I102">
        <v>5</v>
      </c>
      <c r="J102" s="4">
        <v>8</v>
      </c>
      <c r="K102">
        <v>45</v>
      </c>
      <c r="L102">
        <v>39.5</v>
      </c>
    </row>
    <row r="103" spans="1:12" x14ac:dyDescent="0.35">
      <c r="A103">
        <v>2024</v>
      </c>
      <c r="B103">
        <v>154</v>
      </c>
      <c r="C103" t="s">
        <v>128</v>
      </c>
      <c r="D103" s="4">
        <v>1316</v>
      </c>
      <c r="E103">
        <v>6826</v>
      </c>
      <c r="F103">
        <v>5095.5</v>
      </c>
      <c r="G103" s="4">
        <v>9</v>
      </c>
      <c r="H103">
        <v>47</v>
      </c>
      <c r="I103">
        <v>43.5</v>
      </c>
      <c r="J103" s="4">
        <v>6</v>
      </c>
      <c r="K103">
        <v>8</v>
      </c>
      <c r="L103">
        <v>5.3</v>
      </c>
    </row>
    <row r="104" spans="1:12" x14ac:dyDescent="0.35">
      <c r="A104">
        <v>2024</v>
      </c>
      <c r="B104">
        <v>155</v>
      </c>
      <c r="C104" t="s">
        <v>129</v>
      </c>
      <c r="D104" s="4">
        <v>785</v>
      </c>
      <c r="E104">
        <v>5268</v>
      </c>
      <c r="F104">
        <v>4033.5</v>
      </c>
      <c r="G104" s="4"/>
      <c r="J104" s="4">
        <v>8</v>
      </c>
      <c r="K104">
        <v>12</v>
      </c>
      <c r="L104">
        <v>9.4</v>
      </c>
    </row>
    <row r="105" spans="1:12" x14ac:dyDescent="0.35">
      <c r="A105">
        <v>2024</v>
      </c>
      <c r="B105">
        <v>156</v>
      </c>
      <c r="C105" t="s">
        <v>130</v>
      </c>
      <c r="D105" s="4">
        <v>1240</v>
      </c>
      <c r="E105">
        <v>6128</v>
      </c>
      <c r="F105">
        <v>4587.3</v>
      </c>
      <c r="G105" s="4">
        <v>6</v>
      </c>
      <c r="H105">
        <v>8</v>
      </c>
      <c r="I105">
        <v>6.3</v>
      </c>
      <c r="J105" s="4">
        <v>5</v>
      </c>
      <c r="K105">
        <v>5</v>
      </c>
    </row>
    <row r="106" spans="1:12" x14ac:dyDescent="0.35">
      <c r="A106">
        <v>2024</v>
      </c>
      <c r="B106">
        <v>157</v>
      </c>
      <c r="C106" t="s">
        <v>131</v>
      </c>
      <c r="D106" s="4">
        <v>292</v>
      </c>
      <c r="E106">
        <v>2254</v>
      </c>
      <c r="F106">
        <v>1706</v>
      </c>
      <c r="G106" s="4"/>
      <c r="J106" s="4"/>
    </row>
    <row r="107" spans="1:12" x14ac:dyDescent="0.35">
      <c r="A107">
        <v>2024</v>
      </c>
      <c r="B107">
        <v>158</v>
      </c>
      <c r="C107" t="s">
        <v>132</v>
      </c>
      <c r="D107" s="4">
        <v>1081</v>
      </c>
      <c r="E107">
        <v>6748</v>
      </c>
      <c r="F107">
        <v>5327.1</v>
      </c>
      <c r="G107" s="4">
        <v>4</v>
      </c>
      <c r="H107">
        <v>9</v>
      </c>
      <c r="I107">
        <v>4.8</v>
      </c>
      <c r="J107" s="4">
        <v>6</v>
      </c>
      <c r="K107">
        <v>17</v>
      </c>
      <c r="L107">
        <v>13.8</v>
      </c>
    </row>
    <row r="108" spans="1:12" x14ac:dyDescent="0.35">
      <c r="A108">
        <v>2024</v>
      </c>
      <c r="B108">
        <v>159</v>
      </c>
      <c r="C108" t="s">
        <v>133</v>
      </c>
      <c r="D108" s="4">
        <v>429</v>
      </c>
      <c r="E108">
        <v>1664</v>
      </c>
      <c r="F108">
        <v>1189.3</v>
      </c>
      <c r="G108" s="4"/>
      <c r="J108" s="4">
        <v>5</v>
      </c>
      <c r="K108">
        <v>6</v>
      </c>
    </row>
    <row r="109" spans="1:12" x14ac:dyDescent="0.35">
      <c r="A109">
        <v>2024</v>
      </c>
      <c r="B109">
        <v>160</v>
      </c>
      <c r="C109" t="s">
        <v>134</v>
      </c>
      <c r="D109" s="4">
        <v>389</v>
      </c>
      <c r="E109">
        <v>1873</v>
      </c>
      <c r="F109">
        <v>1336.3</v>
      </c>
      <c r="G109" s="4"/>
      <c r="J109" s="4">
        <v>3</v>
      </c>
    </row>
    <row r="110" spans="1:12" x14ac:dyDescent="0.35">
      <c r="A110">
        <v>2024</v>
      </c>
      <c r="B110">
        <v>161</v>
      </c>
      <c r="C110" t="s">
        <v>135</v>
      </c>
      <c r="D110" s="4">
        <v>1163</v>
      </c>
      <c r="E110">
        <v>6744</v>
      </c>
      <c r="F110">
        <v>4802.7</v>
      </c>
      <c r="G110" s="4">
        <v>9</v>
      </c>
      <c r="H110">
        <v>11</v>
      </c>
      <c r="I110">
        <v>6.8</v>
      </c>
      <c r="J110" s="4"/>
    </row>
    <row r="111" spans="1:12" x14ac:dyDescent="0.35">
      <c r="A111">
        <v>2024</v>
      </c>
      <c r="B111">
        <v>172</v>
      </c>
      <c r="C111" t="s">
        <v>136</v>
      </c>
      <c r="D111" s="4">
        <v>451</v>
      </c>
      <c r="E111">
        <v>5073</v>
      </c>
      <c r="F111">
        <v>3906.4</v>
      </c>
      <c r="G111" s="4"/>
      <c r="J111" s="4"/>
    </row>
    <row r="112" spans="1:12" x14ac:dyDescent="0.35">
      <c r="A112">
        <v>2024</v>
      </c>
      <c r="B112">
        <v>173</v>
      </c>
      <c r="C112" t="s">
        <v>137</v>
      </c>
      <c r="D112" s="4">
        <v>252</v>
      </c>
      <c r="E112">
        <v>913</v>
      </c>
      <c r="F112">
        <v>643.79999999999995</v>
      </c>
      <c r="G112" s="4"/>
      <c r="J112" s="4"/>
    </row>
    <row r="113" spans="1:12" x14ac:dyDescent="0.35">
      <c r="A113">
        <v>2024</v>
      </c>
      <c r="B113">
        <v>176</v>
      </c>
      <c r="C113" t="s">
        <v>138</v>
      </c>
      <c r="D113" s="4">
        <v>449</v>
      </c>
      <c r="E113">
        <v>3542</v>
      </c>
      <c r="F113">
        <v>2857.2</v>
      </c>
      <c r="G113" s="4">
        <v>3</v>
      </c>
      <c r="H113">
        <v>6</v>
      </c>
      <c r="I113">
        <v>4.7</v>
      </c>
      <c r="J113" s="4"/>
      <c r="K113">
        <v>9</v>
      </c>
      <c r="L113">
        <v>6.3</v>
      </c>
    </row>
    <row r="114" spans="1:12" x14ac:dyDescent="0.35">
      <c r="A114">
        <v>2024</v>
      </c>
      <c r="B114">
        <v>177</v>
      </c>
      <c r="C114" t="s">
        <v>139</v>
      </c>
      <c r="D114" s="4">
        <v>877</v>
      </c>
      <c r="E114">
        <v>5767</v>
      </c>
      <c r="F114">
        <v>4221.7</v>
      </c>
      <c r="G114" s="4"/>
      <c r="H114">
        <v>13</v>
      </c>
      <c r="I114">
        <v>11.9</v>
      </c>
      <c r="J114" s="4">
        <v>3</v>
      </c>
    </row>
    <row r="115" spans="1:12" x14ac:dyDescent="0.35">
      <c r="A115">
        <v>2024</v>
      </c>
      <c r="B115">
        <v>178</v>
      </c>
      <c r="C115" t="s">
        <v>140</v>
      </c>
      <c r="D115" s="4">
        <v>304</v>
      </c>
      <c r="E115">
        <v>1183</v>
      </c>
      <c r="F115">
        <v>855</v>
      </c>
      <c r="G115" s="4"/>
      <c r="J115" s="4"/>
      <c r="K115">
        <v>7</v>
      </c>
      <c r="L115">
        <v>4.4000000000000004</v>
      </c>
    </row>
    <row r="116" spans="1:12" x14ac:dyDescent="0.35">
      <c r="A116">
        <v>2024</v>
      </c>
      <c r="B116">
        <v>180</v>
      </c>
      <c r="C116" t="s">
        <v>141</v>
      </c>
      <c r="D116" s="4">
        <v>220</v>
      </c>
      <c r="E116">
        <v>813</v>
      </c>
      <c r="F116">
        <v>595.9</v>
      </c>
      <c r="G116" s="4"/>
      <c r="J116" s="4"/>
    </row>
    <row r="117" spans="1:12" x14ac:dyDescent="0.35">
      <c r="A117">
        <v>2024</v>
      </c>
      <c r="B117">
        <v>181</v>
      </c>
      <c r="C117" t="s">
        <v>142</v>
      </c>
      <c r="D117" s="4">
        <v>182</v>
      </c>
      <c r="E117">
        <v>634</v>
      </c>
      <c r="F117">
        <v>466.2</v>
      </c>
      <c r="G117" s="4"/>
      <c r="J117" s="4"/>
    </row>
    <row r="118" spans="1:12" x14ac:dyDescent="0.35">
      <c r="A118">
        <v>2024</v>
      </c>
      <c r="B118">
        <v>182</v>
      </c>
      <c r="C118" t="s">
        <v>143</v>
      </c>
      <c r="D118" s="4">
        <v>80</v>
      </c>
      <c r="E118">
        <v>245</v>
      </c>
      <c r="F118">
        <v>169.9</v>
      </c>
      <c r="G118" s="4"/>
      <c r="J118" s="4"/>
    </row>
    <row r="119" spans="1:12" x14ac:dyDescent="0.35">
      <c r="A119">
        <v>2024</v>
      </c>
      <c r="B119">
        <v>191</v>
      </c>
      <c r="C119" t="s">
        <v>144</v>
      </c>
      <c r="D119" s="4">
        <v>2054</v>
      </c>
      <c r="E119">
        <v>20398</v>
      </c>
      <c r="F119">
        <v>16182.4</v>
      </c>
      <c r="G119" s="4">
        <v>8</v>
      </c>
      <c r="H119">
        <v>57</v>
      </c>
      <c r="I119">
        <v>33.799999999999997</v>
      </c>
      <c r="J119" s="4">
        <v>12</v>
      </c>
      <c r="K119">
        <v>21</v>
      </c>
      <c r="L119">
        <v>15</v>
      </c>
    </row>
    <row r="120" spans="1:12" x14ac:dyDescent="0.35">
      <c r="A120">
        <v>2024</v>
      </c>
      <c r="B120">
        <v>192</v>
      </c>
      <c r="C120" t="s">
        <v>145</v>
      </c>
      <c r="D120" s="4">
        <v>632</v>
      </c>
      <c r="E120">
        <v>2700</v>
      </c>
      <c r="F120">
        <v>1964.3</v>
      </c>
      <c r="G120" s="4"/>
      <c r="H120">
        <v>16</v>
      </c>
      <c r="I120">
        <v>15.1</v>
      </c>
      <c r="J120" s="4">
        <v>5</v>
      </c>
      <c r="K120">
        <v>10</v>
      </c>
      <c r="L120">
        <v>9.1</v>
      </c>
    </row>
    <row r="121" spans="1:12" x14ac:dyDescent="0.35">
      <c r="A121">
        <v>2024</v>
      </c>
      <c r="B121">
        <v>193</v>
      </c>
      <c r="C121" t="s">
        <v>146</v>
      </c>
      <c r="D121" s="4">
        <v>515</v>
      </c>
      <c r="E121">
        <v>3150</v>
      </c>
      <c r="F121">
        <v>2525.4</v>
      </c>
      <c r="G121" s="4"/>
      <c r="J121" s="4"/>
    </row>
    <row r="122" spans="1:12" x14ac:dyDescent="0.35">
      <c r="A122">
        <v>2024</v>
      </c>
      <c r="B122">
        <v>194</v>
      </c>
      <c r="C122" t="s">
        <v>147</v>
      </c>
      <c r="D122" s="4">
        <v>242</v>
      </c>
      <c r="E122">
        <v>1559</v>
      </c>
      <c r="F122">
        <v>1193</v>
      </c>
      <c r="G122" s="4"/>
      <c r="J122" s="4"/>
    </row>
    <row r="123" spans="1:12" x14ac:dyDescent="0.35">
      <c r="A123">
        <v>2024</v>
      </c>
      <c r="B123">
        <v>195</v>
      </c>
      <c r="C123" t="s">
        <v>148</v>
      </c>
      <c r="D123" s="4">
        <v>669</v>
      </c>
      <c r="E123">
        <v>2374</v>
      </c>
      <c r="F123">
        <v>1723.9</v>
      </c>
      <c r="G123" s="4"/>
      <c r="J123" s="4">
        <v>5</v>
      </c>
      <c r="K123">
        <v>6</v>
      </c>
      <c r="L123">
        <v>4.3</v>
      </c>
    </row>
    <row r="124" spans="1:12" x14ac:dyDescent="0.35">
      <c r="A124">
        <v>2024</v>
      </c>
      <c r="B124">
        <v>196</v>
      </c>
      <c r="C124" t="s">
        <v>149</v>
      </c>
      <c r="D124" s="4">
        <v>268</v>
      </c>
      <c r="E124">
        <v>1328</v>
      </c>
      <c r="F124">
        <v>1047.0999999999999</v>
      </c>
      <c r="G124" s="4"/>
      <c r="J124" s="4"/>
      <c r="K124">
        <v>9</v>
      </c>
      <c r="L124">
        <v>5.5</v>
      </c>
    </row>
    <row r="125" spans="1:12" x14ac:dyDescent="0.35">
      <c r="A125">
        <v>2024</v>
      </c>
      <c r="B125">
        <v>197</v>
      </c>
      <c r="C125" t="s">
        <v>150</v>
      </c>
      <c r="D125" s="4">
        <v>338</v>
      </c>
      <c r="E125">
        <v>2612</v>
      </c>
      <c r="F125">
        <v>2099.8000000000002</v>
      </c>
      <c r="G125" s="4"/>
      <c r="J125" s="4">
        <v>3</v>
      </c>
      <c r="K125">
        <v>11</v>
      </c>
      <c r="L125">
        <v>4.4000000000000004</v>
      </c>
    </row>
    <row r="126" spans="1:12" x14ac:dyDescent="0.35">
      <c r="A126">
        <v>2024</v>
      </c>
      <c r="B126">
        <v>198</v>
      </c>
      <c r="C126" t="s">
        <v>151</v>
      </c>
      <c r="D126" s="4">
        <v>2576</v>
      </c>
      <c r="E126">
        <v>18516</v>
      </c>
      <c r="F126">
        <v>14003.5</v>
      </c>
      <c r="G126" s="4"/>
      <c r="J126" s="4">
        <v>13</v>
      </c>
      <c r="K126">
        <v>19</v>
      </c>
      <c r="L126">
        <v>15.1</v>
      </c>
    </row>
    <row r="127" spans="1:12" x14ac:dyDescent="0.35">
      <c r="A127">
        <v>2024</v>
      </c>
      <c r="B127">
        <v>199</v>
      </c>
      <c r="C127" t="s">
        <v>152</v>
      </c>
      <c r="D127" s="4">
        <v>1331</v>
      </c>
      <c r="E127">
        <v>12165</v>
      </c>
      <c r="F127">
        <v>9568.4</v>
      </c>
      <c r="G127" s="4">
        <v>6</v>
      </c>
      <c r="H127">
        <v>13</v>
      </c>
      <c r="I127">
        <v>9.8000000000000007</v>
      </c>
      <c r="J127" s="4">
        <v>7</v>
      </c>
      <c r="K127">
        <v>12</v>
      </c>
      <c r="L127">
        <v>8</v>
      </c>
    </row>
    <row r="128" spans="1:12" x14ac:dyDescent="0.35">
      <c r="A128">
        <v>2024</v>
      </c>
      <c r="B128">
        <v>200</v>
      </c>
      <c r="C128" t="s">
        <v>153</v>
      </c>
      <c r="D128" s="4">
        <v>577</v>
      </c>
      <c r="E128">
        <v>5441</v>
      </c>
      <c r="F128">
        <v>4246.3999999999996</v>
      </c>
      <c r="G128" s="4"/>
      <c r="J128" s="4">
        <v>3</v>
      </c>
      <c r="K128">
        <v>11</v>
      </c>
      <c r="L128">
        <v>6.5</v>
      </c>
    </row>
    <row r="129" spans="1:12" x14ac:dyDescent="0.35">
      <c r="A129">
        <v>2024</v>
      </c>
      <c r="B129">
        <v>211</v>
      </c>
      <c r="C129" t="s">
        <v>154</v>
      </c>
      <c r="D129" s="4">
        <v>70</v>
      </c>
      <c r="E129">
        <v>167</v>
      </c>
      <c r="F129">
        <v>100.4</v>
      </c>
      <c r="G129" s="4"/>
      <c r="J129" s="4"/>
    </row>
    <row r="130" spans="1:12" x14ac:dyDescent="0.35">
      <c r="A130">
        <v>2024</v>
      </c>
      <c r="B130">
        <v>213</v>
      </c>
      <c r="C130" t="s">
        <v>155</v>
      </c>
      <c r="D130" s="4">
        <v>140</v>
      </c>
      <c r="E130">
        <v>419</v>
      </c>
      <c r="F130">
        <v>276.10000000000002</v>
      </c>
      <c r="G130" s="4"/>
      <c r="J130" s="4"/>
    </row>
    <row r="131" spans="1:12" x14ac:dyDescent="0.35">
      <c r="A131">
        <v>2024</v>
      </c>
      <c r="B131">
        <v>214</v>
      </c>
      <c r="C131" t="s">
        <v>156</v>
      </c>
      <c r="D131" s="4">
        <v>85</v>
      </c>
      <c r="E131">
        <v>284</v>
      </c>
      <c r="F131">
        <v>186.1</v>
      </c>
      <c r="G131" s="4"/>
      <c r="J131" s="4"/>
    </row>
    <row r="132" spans="1:12" x14ac:dyDescent="0.35">
      <c r="A132">
        <v>2024</v>
      </c>
      <c r="B132">
        <v>215</v>
      </c>
      <c r="C132" t="s">
        <v>157</v>
      </c>
      <c r="D132" s="4">
        <v>48</v>
      </c>
      <c r="E132">
        <v>155</v>
      </c>
      <c r="F132">
        <v>96.6</v>
      </c>
      <c r="G132" s="4"/>
      <c r="J132" s="4"/>
    </row>
    <row r="133" spans="1:12" x14ac:dyDescent="0.35">
      <c r="A133">
        <v>2024</v>
      </c>
      <c r="B133">
        <v>216</v>
      </c>
      <c r="C133" t="s">
        <v>158</v>
      </c>
      <c r="D133" s="4">
        <v>122</v>
      </c>
      <c r="E133">
        <v>423</v>
      </c>
      <c r="F133">
        <v>292.39999999999998</v>
      </c>
      <c r="G133" s="4"/>
      <c r="J133" s="4"/>
    </row>
    <row r="134" spans="1:12" x14ac:dyDescent="0.35">
      <c r="A134">
        <v>2024</v>
      </c>
      <c r="B134">
        <v>218</v>
      </c>
      <c r="C134" t="s">
        <v>159</v>
      </c>
      <c r="D134" s="4">
        <v>73</v>
      </c>
      <c r="E134">
        <v>638</v>
      </c>
      <c r="F134">
        <v>502</v>
      </c>
      <c r="G134" s="4"/>
      <c r="J134" s="4"/>
    </row>
    <row r="135" spans="1:12" x14ac:dyDescent="0.35">
      <c r="A135">
        <v>2024</v>
      </c>
      <c r="B135">
        <v>219</v>
      </c>
      <c r="C135" t="s">
        <v>160</v>
      </c>
      <c r="D135" s="4">
        <v>232</v>
      </c>
      <c r="E135">
        <v>1283</v>
      </c>
      <c r="F135">
        <v>967.3</v>
      </c>
      <c r="G135" s="4"/>
      <c r="J135" s="4"/>
    </row>
    <row r="136" spans="1:12" x14ac:dyDescent="0.35">
      <c r="A136">
        <v>2024</v>
      </c>
      <c r="B136">
        <v>220</v>
      </c>
      <c r="C136" t="s">
        <v>161</v>
      </c>
      <c r="D136" s="4">
        <v>74</v>
      </c>
      <c r="E136">
        <v>199</v>
      </c>
      <c r="F136">
        <v>133.80000000000001</v>
      </c>
      <c r="G136" s="4"/>
      <c r="J136" s="4"/>
    </row>
    <row r="137" spans="1:12" x14ac:dyDescent="0.35">
      <c r="A137">
        <v>2024</v>
      </c>
      <c r="B137">
        <v>221</v>
      </c>
      <c r="C137" t="s">
        <v>162</v>
      </c>
      <c r="D137" s="4">
        <v>171</v>
      </c>
      <c r="E137">
        <v>772</v>
      </c>
      <c r="F137">
        <v>573</v>
      </c>
      <c r="G137" s="4"/>
      <c r="J137" s="4"/>
    </row>
    <row r="138" spans="1:12" x14ac:dyDescent="0.35">
      <c r="A138">
        <v>2024</v>
      </c>
      <c r="B138">
        <v>223</v>
      </c>
      <c r="C138" t="s">
        <v>163</v>
      </c>
      <c r="D138" s="4">
        <v>373</v>
      </c>
      <c r="E138">
        <v>1729</v>
      </c>
      <c r="F138">
        <v>1308.5</v>
      </c>
      <c r="G138" s="4"/>
      <c r="J138" s="4">
        <v>3</v>
      </c>
      <c r="K138">
        <v>30</v>
      </c>
      <c r="L138">
        <v>27.1</v>
      </c>
    </row>
    <row r="139" spans="1:12" x14ac:dyDescent="0.35">
      <c r="A139">
        <v>2024</v>
      </c>
      <c r="B139">
        <v>224</v>
      </c>
      <c r="C139" t="s">
        <v>164</v>
      </c>
      <c r="D139" s="4">
        <v>240</v>
      </c>
      <c r="E139">
        <v>1573</v>
      </c>
      <c r="F139">
        <v>1246.7</v>
      </c>
      <c r="G139" s="4"/>
      <c r="J139" s="4">
        <v>3</v>
      </c>
    </row>
    <row r="140" spans="1:12" x14ac:dyDescent="0.35">
      <c r="A140">
        <v>2024</v>
      </c>
      <c r="B140">
        <v>225</v>
      </c>
      <c r="C140" t="s">
        <v>165</v>
      </c>
      <c r="D140" s="4">
        <v>152</v>
      </c>
      <c r="E140">
        <v>576</v>
      </c>
      <c r="F140">
        <v>378.3</v>
      </c>
      <c r="G140" s="4"/>
      <c r="J140" s="4">
        <v>3</v>
      </c>
    </row>
    <row r="141" spans="1:12" x14ac:dyDescent="0.35">
      <c r="A141">
        <v>2024</v>
      </c>
      <c r="B141">
        <v>226</v>
      </c>
      <c r="C141" t="s">
        <v>166</v>
      </c>
      <c r="D141" s="4">
        <v>60</v>
      </c>
      <c r="E141">
        <v>168</v>
      </c>
      <c r="F141">
        <v>115.9</v>
      </c>
      <c r="G141" s="4"/>
      <c r="J141" s="4"/>
    </row>
    <row r="142" spans="1:12" x14ac:dyDescent="0.35">
      <c r="A142">
        <v>2024</v>
      </c>
      <c r="B142">
        <v>227</v>
      </c>
      <c r="C142" t="s">
        <v>167</v>
      </c>
      <c r="D142" s="4">
        <v>433</v>
      </c>
      <c r="E142">
        <v>3055</v>
      </c>
      <c r="F142">
        <v>2354.1999999999998</v>
      </c>
      <c r="G142" s="4"/>
      <c r="J142" s="4">
        <v>5</v>
      </c>
      <c r="K142">
        <v>13</v>
      </c>
      <c r="L142">
        <v>8.1999999999999993</v>
      </c>
    </row>
    <row r="143" spans="1:12" x14ac:dyDescent="0.35">
      <c r="A143">
        <v>2024</v>
      </c>
      <c r="B143">
        <v>228</v>
      </c>
      <c r="C143" t="s">
        <v>168</v>
      </c>
      <c r="D143" s="4">
        <v>322</v>
      </c>
      <c r="E143">
        <v>1701</v>
      </c>
      <c r="F143">
        <v>1191.7</v>
      </c>
      <c r="G143" s="4"/>
      <c r="J143" s="4"/>
    </row>
    <row r="144" spans="1:12" x14ac:dyDescent="0.35">
      <c r="A144">
        <v>2024</v>
      </c>
      <c r="B144">
        <v>230</v>
      </c>
      <c r="C144" t="s">
        <v>169</v>
      </c>
      <c r="D144" s="4">
        <v>8557</v>
      </c>
      <c r="E144">
        <v>79797</v>
      </c>
      <c r="F144">
        <v>60836.6</v>
      </c>
      <c r="G144" s="4">
        <v>41</v>
      </c>
      <c r="H144">
        <v>172</v>
      </c>
      <c r="I144">
        <v>133.9</v>
      </c>
      <c r="J144" s="4">
        <v>64</v>
      </c>
      <c r="K144">
        <v>179</v>
      </c>
      <c r="L144">
        <v>135.69999999999999</v>
      </c>
    </row>
    <row r="145" spans="1:12" x14ac:dyDescent="0.35">
      <c r="A145">
        <v>2024</v>
      </c>
      <c r="B145">
        <v>231</v>
      </c>
      <c r="C145" t="s">
        <v>170</v>
      </c>
      <c r="D145" s="4">
        <v>356</v>
      </c>
      <c r="E145">
        <v>1652</v>
      </c>
      <c r="F145">
        <v>1190.2</v>
      </c>
      <c r="G145" s="4"/>
      <c r="J145" s="4">
        <v>4</v>
      </c>
      <c r="K145">
        <v>14</v>
      </c>
      <c r="L145">
        <v>11.6</v>
      </c>
    </row>
    <row r="146" spans="1:12" x14ac:dyDescent="0.35">
      <c r="A146">
        <v>2024</v>
      </c>
      <c r="B146">
        <v>241</v>
      </c>
      <c r="C146" t="s">
        <v>171</v>
      </c>
      <c r="D146" s="4">
        <v>116</v>
      </c>
      <c r="E146">
        <v>424</v>
      </c>
      <c r="F146">
        <v>293.7</v>
      </c>
      <c r="G146" s="4"/>
      <c r="J146" s="4"/>
    </row>
    <row r="147" spans="1:12" x14ac:dyDescent="0.35">
      <c r="A147">
        <v>2024</v>
      </c>
      <c r="B147">
        <v>242</v>
      </c>
      <c r="C147" t="s">
        <v>172</v>
      </c>
      <c r="D147" s="4">
        <v>429</v>
      </c>
      <c r="E147">
        <v>2693</v>
      </c>
      <c r="F147">
        <v>2031.4</v>
      </c>
      <c r="G147" s="4"/>
      <c r="J147" s="4">
        <v>4</v>
      </c>
      <c r="K147">
        <v>6</v>
      </c>
    </row>
    <row r="148" spans="1:12" x14ac:dyDescent="0.35">
      <c r="A148">
        <v>2024</v>
      </c>
      <c r="B148">
        <v>243</v>
      </c>
      <c r="C148" t="s">
        <v>173</v>
      </c>
      <c r="D148" s="4">
        <v>1828</v>
      </c>
      <c r="E148">
        <v>21081</v>
      </c>
      <c r="F148">
        <v>16030.8</v>
      </c>
      <c r="G148" s="4">
        <v>10</v>
      </c>
      <c r="H148">
        <v>36</v>
      </c>
      <c r="I148">
        <v>30.5</v>
      </c>
      <c r="J148" s="4">
        <v>29</v>
      </c>
      <c r="K148">
        <v>257</v>
      </c>
      <c r="L148">
        <v>223</v>
      </c>
    </row>
    <row r="149" spans="1:12" x14ac:dyDescent="0.35">
      <c r="A149">
        <v>2024</v>
      </c>
      <c r="B149">
        <v>244</v>
      </c>
      <c r="C149" t="s">
        <v>174</v>
      </c>
      <c r="D149" s="4">
        <v>301</v>
      </c>
      <c r="E149">
        <v>2338</v>
      </c>
      <c r="F149">
        <v>1765</v>
      </c>
      <c r="G149" s="4"/>
      <c r="J149" s="4">
        <v>4</v>
      </c>
      <c r="K149">
        <v>10</v>
      </c>
      <c r="L149">
        <v>8.9</v>
      </c>
    </row>
    <row r="150" spans="1:12" x14ac:dyDescent="0.35">
      <c r="A150">
        <v>2024</v>
      </c>
      <c r="B150">
        <v>245</v>
      </c>
      <c r="C150" t="s">
        <v>175</v>
      </c>
      <c r="D150" s="4">
        <v>320</v>
      </c>
      <c r="E150">
        <v>1295</v>
      </c>
      <c r="F150">
        <v>908</v>
      </c>
      <c r="G150" s="4"/>
      <c r="J150" s="4"/>
    </row>
    <row r="151" spans="1:12" x14ac:dyDescent="0.35">
      <c r="A151">
        <v>2024</v>
      </c>
      <c r="B151">
        <v>246</v>
      </c>
      <c r="C151" t="s">
        <v>176</v>
      </c>
      <c r="D151" s="4">
        <v>118</v>
      </c>
      <c r="E151">
        <v>230</v>
      </c>
      <c r="F151">
        <v>154.4</v>
      </c>
      <c r="G151" s="4"/>
      <c r="J151" s="4"/>
    </row>
    <row r="152" spans="1:12" x14ac:dyDescent="0.35">
      <c r="A152">
        <v>2024</v>
      </c>
      <c r="B152">
        <v>247</v>
      </c>
      <c r="C152" t="s">
        <v>177</v>
      </c>
      <c r="D152" s="4">
        <v>1551</v>
      </c>
      <c r="E152">
        <v>23280</v>
      </c>
      <c r="F152">
        <v>18507.900000000001</v>
      </c>
      <c r="G152" s="4">
        <v>4</v>
      </c>
      <c r="H152">
        <v>8</v>
      </c>
      <c r="I152">
        <v>7.6</v>
      </c>
      <c r="J152" s="4">
        <v>12</v>
      </c>
      <c r="K152">
        <v>94</v>
      </c>
      <c r="L152">
        <v>70.599999999999994</v>
      </c>
    </row>
    <row r="153" spans="1:12" x14ac:dyDescent="0.35">
      <c r="A153">
        <v>2024</v>
      </c>
      <c r="B153">
        <v>248</v>
      </c>
      <c r="C153" t="s">
        <v>178</v>
      </c>
      <c r="D153" s="4">
        <v>327</v>
      </c>
      <c r="E153">
        <v>1270</v>
      </c>
      <c r="F153">
        <v>888.3</v>
      </c>
      <c r="G153" s="4"/>
      <c r="J153" s="4"/>
    </row>
    <row r="154" spans="1:12" x14ac:dyDescent="0.35">
      <c r="A154">
        <v>2024</v>
      </c>
      <c r="B154">
        <v>249</v>
      </c>
      <c r="C154" t="s">
        <v>179</v>
      </c>
      <c r="D154" s="4">
        <v>235</v>
      </c>
      <c r="E154">
        <v>1003</v>
      </c>
      <c r="F154">
        <v>790.1</v>
      </c>
      <c r="G154" s="4"/>
      <c r="J154" s="4"/>
    </row>
    <row r="155" spans="1:12" x14ac:dyDescent="0.35">
      <c r="A155">
        <v>2024</v>
      </c>
      <c r="B155">
        <v>250</v>
      </c>
      <c r="C155" t="s">
        <v>180</v>
      </c>
      <c r="D155" s="4">
        <v>667</v>
      </c>
      <c r="E155">
        <v>7926</v>
      </c>
      <c r="F155">
        <v>6063.5</v>
      </c>
      <c r="G155" s="4">
        <v>4</v>
      </c>
      <c r="H155">
        <v>23</v>
      </c>
      <c r="I155">
        <v>16.100000000000001</v>
      </c>
      <c r="J155" s="4">
        <v>6</v>
      </c>
      <c r="K155">
        <v>41</v>
      </c>
      <c r="L155">
        <v>38.700000000000003</v>
      </c>
    </row>
    <row r="156" spans="1:12" x14ac:dyDescent="0.35">
      <c r="A156">
        <v>2024</v>
      </c>
      <c r="B156">
        <v>251</v>
      </c>
      <c r="C156" t="s">
        <v>181</v>
      </c>
      <c r="D156" s="4">
        <v>271</v>
      </c>
      <c r="E156">
        <v>2281</v>
      </c>
      <c r="F156">
        <v>1569.4</v>
      </c>
      <c r="G156" s="4"/>
      <c r="J156" s="4"/>
    </row>
    <row r="157" spans="1:12" x14ac:dyDescent="0.35">
      <c r="A157">
        <v>2024</v>
      </c>
      <c r="B157">
        <v>261</v>
      </c>
      <c r="C157" t="s">
        <v>182</v>
      </c>
      <c r="D157" s="4">
        <v>47829</v>
      </c>
      <c r="E157">
        <v>545295</v>
      </c>
      <c r="F157">
        <v>420208.2</v>
      </c>
      <c r="G157" s="4">
        <v>263</v>
      </c>
      <c r="H157">
        <v>1019</v>
      </c>
      <c r="I157">
        <v>854.1</v>
      </c>
      <c r="J157" s="4">
        <v>335</v>
      </c>
      <c r="K157">
        <v>954</v>
      </c>
      <c r="L157">
        <v>723.4</v>
      </c>
    </row>
    <row r="158" spans="1:12" x14ac:dyDescent="0.35">
      <c r="A158">
        <v>2024</v>
      </c>
      <c r="B158">
        <v>291</v>
      </c>
      <c r="C158" t="s">
        <v>183</v>
      </c>
      <c r="D158" s="4">
        <v>326</v>
      </c>
      <c r="E158">
        <v>2052</v>
      </c>
      <c r="F158">
        <v>1563.6</v>
      </c>
      <c r="G158" s="4"/>
      <c r="J158" s="4"/>
    </row>
    <row r="159" spans="1:12" x14ac:dyDescent="0.35">
      <c r="A159">
        <v>2024</v>
      </c>
      <c r="B159">
        <v>292</v>
      </c>
      <c r="C159" t="s">
        <v>184</v>
      </c>
      <c r="D159" s="4">
        <v>279</v>
      </c>
      <c r="E159">
        <v>1506</v>
      </c>
      <c r="F159">
        <v>1115.7</v>
      </c>
      <c r="G159" s="4"/>
      <c r="J159" s="4"/>
    </row>
    <row r="160" spans="1:12" x14ac:dyDescent="0.35">
      <c r="A160">
        <v>2024</v>
      </c>
      <c r="B160">
        <v>293</v>
      </c>
      <c r="C160" t="s">
        <v>185</v>
      </c>
      <c r="D160" s="4">
        <v>1881</v>
      </c>
      <c r="E160">
        <v>10270</v>
      </c>
      <c r="F160">
        <v>7692.5</v>
      </c>
      <c r="G160" s="4">
        <v>15</v>
      </c>
      <c r="H160">
        <v>28</v>
      </c>
      <c r="I160">
        <v>21.1</v>
      </c>
      <c r="J160" s="4">
        <v>29</v>
      </c>
      <c r="K160">
        <v>177</v>
      </c>
      <c r="L160">
        <v>108.1</v>
      </c>
    </row>
    <row r="161" spans="1:12" x14ac:dyDescent="0.35">
      <c r="A161">
        <v>2024</v>
      </c>
      <c r="B161">
        <v>294</v>
      </c>
      <c r="C161" t="s">
        <v>186</v>
      </c>
      <c r="D161" s="4">
        <v>343</v>
      </c>
      <c r="E161">
        <v>1859</v>
      </c>
      <c r="F161">
        <v>1390.1</v>
      </c>
      <c r="G161" s="4">
        <v>3</v>
      </c>
      <c r="H161">
        <v>6</v>
      </c>
      <c r="J161" s="4">
        <v>3</v>
      </c>
      <c r="K161">
        <v>5</v>
      </c>
      <c r="L161">
        <v>4</v>
      </c>
    </row>
    <row r="162" spans="1:12" x14ac:dyDescent="0.35">
      <c r="A162">
        <v>2024</v>
      </c>
      <c r="B162">
        <v>295</v>
      </c>
      <c r="C162" t="s">
        <v>187</v>
      </c>
      <c r="D162" s="4">
        <v>1555</v>
      </c>
      <c r="E162">
        <v>10946</v>
      </c>
      <c r="F162">
        <v>8369.2000000000007</v>
      </c>
      <c r="G162" s="4">
        <v>9</v>
      </c>
      <c r="H162">
        <v>26</v>
      </c>
      <c r="I162">
        <v>12.2</v>
      </c>
      <c r="J162" s="4">
        <v>20</v>
      </c>
      <c r="K162">
        <v>76</v>
      </c>
      <c r="L162">
        <v>52.3</v>
      </c>
    </row>
    <row r="163" spans="1:12" x14ac:dyDescent="0.35">
      <c r="A163">
        <v>2024</v>
      </c>
      <c r="B163">
        <v>296</v>
      </c>
      <c r="C163" t="s">
        <v>188</v>
      </c>
      <c r="D163" s="4">
        <v>1091</v>
      </c>
      <c r="E163">
        <v>7032</v>
      </c>
      <c r="F163">
        <v>5426.2</v>
      </c>
      <c r="G163" s="4">
        <v>4</v>
      </c>
      <c r="H163">
        <v>14</v>
      </c>
      <c r="I163">
        <v>11.7</v>
      </c>
      <c r="J163" s="4">
        <v>7</v>
      </c>
      <c r="K163">
        <v>11</v>
      </c>
      <c r="L163">
        <v>4.2</v>
      </c>
    </row>
    <row r="164" spans="1:12" x14ac:dyDescent="0.35">
      <c r="A164">
        <v>2024</v>
      </c>
      <c r="B164">
        <v>297</v>
      </c>
      <c r="C164" t="s">
        <v>189</v>
      </c>
      <c r="D164" s="4">
        <v>411</v>
      </c>
      <c r="E164">
        <v>1997</v>
      </c>
      <c r="F164">
        <v>1433.2</v>
      </c>
      <c r="G164" s="4">
        <v>3</v>
      </c>
      <c r="J164" s="4"/>
    </row>
    <row r="165" spans="1:12" x14ac:dyDescent="0.35">
      <c r="A165">
        <v>2024</v>
      </c>
      <c r="B165">
        <v>298</v>
      </c>
      <c r="C165" t="s">
        <v>190</v>
      </c>
      <c r="D165" s="4">
        <v>416</v>
      </c>
      <c r="E165">
        <v>1608</v>
      </c>
      <c r="F165">
        <v>1128.0999999999999</v>
      </c>
      <c r="G165" s="4">
        <v>3</v>
      </c>
      <c r="J165" s="4">
        <v>3</v>
      </c>
      <c r="K165">
        <v>4</v>
      </c>
    </row>
  </sheetData>
  <mergeCells count="5">
    <mergeCell ref="A1:R1"/>
    <mergeCell ref="A2:R2"/>
    <mergeCell ref="D4:F4"/>
    <mergeCell ref="G4:I4"/>
    <mergeCell ref="J4:L4"/>
  </mergeCell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65"/>
  <sheetViews>
    <sheetView workbookViewId="0"/>
  </sheetViews>
  <sheetFormatPr baseColWidth="10" defaultRowHeight="14.5" x14ac:dyDescent="0.35"/>
  <cols>
    <col min="1" max="1" width="6.7265625" customWidth="1"/>
    <col min="2" max="2" width="14.7265625" customWidth="1"/>
    <col min="3" max="3" width="20.7265625" customWidth="1"/>
    <col min="4" max="4" width="17.7265625" customWidth="1"/>
    <col min="5" max="5" width="15.7265625" customWidth="1"/>
    <col min="6" max="6" width="22.7265625" customWidth="1"/>
    <col min="7" max="7" width="17.7265625" customWidth="1"/>
    <col min="8" max="8" width="15.7265625" customWidth="1"/>
    <col min="9" max="9" width="22.7265625" customWidth="1"/>
    <col min="10" max="10" width="17.7265625" customWidth="1"/>
    <col min="11" max="11" width="15.7265625" customWidth="1"/>
    <col min="12" max="12" width="22.7265625" customWidth="1"/>
  </cols>
  <sheetData>
    <row r="1" spans="1:18" ht="18" x14ac:dyDescent="0.4">
      <c r="A1" s="10" t="s">
        <v>191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x14ac:dyDescent="0.35">
      <c r="A2" s="8" t="s">
        <v>10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4" spans="1:18" x14ac:dyDescent="0.35">
      <c r="D4" s="11" t="s">
        <v>22</v>
      </c>
      <c r="E4" s="12"/>
      <c r="F4" s="12"/>
      <c r="G4" s="11" t="s">
        <v>23</v>
      </c>
      <c r="H4" s="12"/>
      <c r="I4" s="12"/>
      <c r="J4" s="11" t="s">
        <v>24</v>
      </c>
      <c r="K4" s="12"/>
      <c r="L4" s="12"/>
    </row>
    <row r="5" spans="1:18" ht="15.5" x14ac:dyDescent="0.35">
      <c r="A5" s="3" t="s">
        <v>25</v>
      </c>
      <c r="B5" s="3" t="s">
        <v>26</v>
      </c>
      <c r="C5" s="3" t="s">
        <v>27</v>
      </c>
      <c r="D5" s="5" t="s">
        <v>28</v>
      </c>
      <c r="E5" s="3" t="s">
        <v>29</v>
      </c>
      <c r="F5" s="3" t="s">
        <v>30</v>
      </c>
      <c r="G5" s="5" t="s">
        <v>28</v>
      </c>
      <c r="H5" s="3" t="s">
        <v>29</v>
      </c>
      <c r="I5" s="3" t="s">
        <v>30</v>
      </c>
      <c r="J5" s="5" t="s">
        <v>28</v>
      </c>
      <c r="K5" s="3" t="s">
        <v>29</v>
      </c>
      <c r="L5" s="3" t="s">
        <v>30</v>
      </c>
    </row>
    <row r="6" spans="1:18" x14ac:dyDescent="0.35">
      <c r="A6">
        <v>2023</v>
      </c>
      <c r="B6">
        <v>1</v>
      </c>
      <c r="C6" t="s">
        <v>31</v>
      </c>
      <c r="D6" s="4">
        <v>135</v>
      </c>
      <c r="E6">
        <v>436</v>
      </c>
      <c r="F6">
        <v>273.8</v>
      </c>
      <c r="G6" s="4"/>
      <c r="J6" s="4"/>
    </row>
    <row r="7" spans="1:18" x14ac:dyDescent="0.35">
      <c r="A7">
        <v>2023</v>
      </c>
      <c r="B7">
        <v>2</v>
      </c>
      <c r="C7" t="s">
        <v>32</v>
      </c>
      <c r="D7" s="4">
        <v>1024</v>
      </c>
      <c r="E7">
        <v>7036</v>
      </c>
      <c r="F7">
        <v>5218.7</v>
      </c>
      <c r="G7" s="4">
        <v>7</v>
      </c>
      <c r="H7">
        <v>55</v>
      </c>
      <c r="I7">
        <v>47.9</v>
      </c>
      <c r="J7" s="4">
        <v>8</v>
      </c>
      <c r="K7">
        <v>16</v>
      </c>
      <c r="L7">
        <v>11.3</v>
      </c>
    </row>
    <row r="8" spans="1:18" x14ac:dyDescent="0.35">
      <c r="A8">
        <v>2023</v>
      </c>
      <c r="B8">
        <v>3</v>
      </c>
      <c r="C8" t="s">
        <v>33</v>
      </c>
      <c r="D8" s="4">
        <v>276</v>
      </c>
      <c r="E8">
        <v>1069</v>
      </c>
      <c r="F8">
        <v>725.8</v>
      </c>
      <c r="G8" s="4"/>
      <c r="J8" s="4">
        <v>4</v>
      </c>
      <c r="K8">
        <v>4</v>
      </c>
    </row>
    <row r="9" spans="1:18" x14ac:dyDescent="0.35">
      <c r="A9">
        <v>2023</v>
      </c>
      <c r="B9">
        <v>4</v>
      </c>
      <c r="C9" t="s">
        <v>34</v>
      </c>
      <c r="D9" s="4">
        <v>288</v>
      </c>
      <c r="E9">
        <v>1099</v>
      </c>
      <c r="F9">
        <v>759.8</v>
      </c>
      <c r="G9" s="4"/>
      <c r="J9" s="4"/>
    </row>
    <row r="10" spans="1:18" x14ac:dyDescent="0.35">
      <c r="A10">
        <v>2023</v>
      </c>
      <c r="B10">
        <v>5</v>
      </c>
      <c r="C10" t="s">
        <v>35</v>
      </c>
      <c r="D10" s="4">
        <v>199</v>
      </c>
      <c r="E10">
        <v>1369</v>
      </c>
      <c r="F10">
        <v>1129.5</v>
      </c>
      <c r="G10" s="4"/>
      <c r="J10" s="4"/>
    </row>
    <row r="11" spans="1:18" x14ac:dyDescent="0.35">
      <c r="A11">
        <v>2023</v>
      </c>
      <c r="B11">
        <v>6</v>
      </c>
      <c r="C11" t="s">
        <v>36</v>
      </c>
      <c r="D11" s="4">
        <v>111</v>
      </c>
      <c r="E11">
        <v>393</v>
      </c>
      <c r="F11">
        <v>253.6</v>
      </c>
      <c r="G11" s="4"/>
      <c r="J11" s="4"/>
    </row>
    <row r="12" spans="1:18" x14ac:dyDescent="0.35">
      <c r="A12">
        <v>2023</v>
      </c>
      <c r="B12">
        <v>7</v>
      </c>
      <c r="C12" t="s">
        <v>37</v>
      </c>
      <c r="D12" s="4">
        <v>143</v>
      </c>
      <c r="E12">
        <v>572</v>
      </c>
      <c r="F12">
        <v>383.8</v>
      </c>
      <c r="G12" s="4"/>
      <c r="J12" s="4"/>
    </row>
    <row r="13" spans="1:18" x14ac:dyDescent="0.35">
      <c r="A13">
        <v>2023</v>
      </c>
      <c r="B13">
        <v>8</v>
      </c>
      <c r="C13" t="s">
        <v>38</v>
      </c>
      <c r="D13" s="4">
        <v>55</v>
      </c>
      <c r="E13">
        <v>188</v>
      </c>
      <c r="F13">
        <v>118.4</v>
      </c>
      <c r="G13" s="4"/>
      <c r="J13" s="4"/>
    </row>
    <row r="14" spans="1:18" x14ac:dyDescent="0.35">
      <c r="A14">
        <v>2023</v>
      </c>
      <c r="B14">
        <v>9</v>
      </c>
      <c r="C14" t="s">
        <v>39</v>
      </c>
      <c r="D14" s="4">
        <v>353</v>
      </c>
      <c r="E14">
        <v>1755</v>
      </c>
      <c r="F14">
        <v>1217.9000000000001</v>
      </c>
      <c r="G14" s="4">
        <v>3</v>
      </c>
      <c r="J14" s="4"/>
      <c r="K14">
        <v>19</v>
      </c>
      <c r="L14">
        <v>17.8</v>
      </c>
    </row>
    <row r="15" spans="1:18" x14ac:dyDescent="0.35">
      <c r="A15">
        <v>2023</v>
      </c>
      <c r="B15">
        <v>10</v>
      </c>
      <c r="C15" t="s">
        <v>40</v>
      </c>
      <c r="D15" s="4">
        <v>319</v>
      </c>
      <c r="E15">
        <v>1546</v>
      </c>
      <c r="F15">
        <v>1077.9000000000001</v>
      </c>
      <c r="G15" s="4"/>
      <c r="H15">
        <v>46</v>
      </c>
      <c r="I15">
        <v>41</v>
      </c>
      <c r="J15" s="4"/>
      <c r="K15">
        <v>6</v>
      </c>
      <c r="L15">
        <v>5</v>
      </c>
    </row>
    <row r="16" spans="1:18" x14ac:dyDescent="0.35">
      <c r="A16">
        <v>2023</v>
      </c>
      <c r="B16">
        <v>11</v>
      </c>
      <c r="C16" t="s">
        <v>41</v>
      </c>
      <c r="D16" s="4">
        <v>191</v>
      </c>
      <c r="E16">
        <v>762</v>
      </c>
      <c r="F16">
        <v>556.5</v>
      </c>
      <c r="G16" s="4"/>
      <c r="J16" s="4"/>
    </row>
    <row r="17" spans="1:12" x14ac:dyDescent="0.35">
      <c r="A17">
        <v>2023</v>
      </c>
      <c r="B17">
        <v>12</v>
      </c>
      <c r="C17" t="s">
        <v>42</v>
      </c>
      <c r="D17" s="4">
        <v>98</v>
      </c>
      <c r="E17">
        <v>308</v>
      </c>
      <c r="F17">
        <v>192.7</v>
      </c>
      <c r="G17" s="4"/>
      <c r="J17" s="4"/>
    </row>
    <row r="18" spans="1:12" x14ac:dyDescent="0.35">
      <c r="A18">
        <v>2023</v>
      </c>
      <c r="B18">
        <v>13</v>
      </c>
      <c r="C18" t="s">
        <v>43</v>
      </c>
      <c r="D18" s="4">
        <v>195</v>
      </c>
      <c r="E18">
        <v>801</v>
      </c>
      <c r="F18">
        <v>575.4</v>
      </c>
      <c r="G18" s="4"/>
      <c r="J18" s="4"/>
    </row>
    <row r="19" spans="1:12" x14ac:dyDescent="0.35">
      <c r="A19">
        <v>2023</v>
      </c>
      <c r="B19">
        <v>14</v>
      </c>
      <c r="C19" t="s">
        <v>44</v>
      </c>
      <c r="D19" s="4">
        <v>272</v>
      </c>
      <c r="E19">
        <v>1427</v>
      </c>
      <c r="F19">
        <v>1108.5</v>
      </c>
      <c r="G19" s="4"/>
      <c r="J19" s="4"/>
    </row>
    <row r="20" spans="1:12" x14ac:dyDescent="0.35">
      <c r="A20">
        <v>2023</v>
      </c>
      <c r="B20">
        <v>22</v>
      </c>
      <c r="C20" t="s">
        <v>45</v>
      </c>
      <c r="D20" s="4">
        <v>61</v>
      </c>
      <c r="E20">
        <v>357</v>
      </c>
      <c r="F20">
        <v>220.6</v>
      </c>
      <c r="G20" s="4"/>
      <c r="J20" s="4"/>
    </row>
    <row r="21" spans="1:12" x14ac:dyDescent="0.35">
      <c r="A21">
        <v>2023</v>
      </c>
      <c r="B21">
        <v>23</v>
      </c>
      <c r="C21" t="s">
        <v>46</v>
      </c>
      <c r="D21" s="4">
        <v>52</v>
      </c>
      <c r="E21">
        <v>164</v>
      </c>
      <c r="F21">
        <v>105.3</v>
      </c>
      <c r="G21" s="4"/>
      <c r="J21" s="4"/>
    </row>
    <row r="22" spans="1:12" x14ac:dyDescent="0.35">
      <c r="A22">
        <v>2023</v>
      </c>
      <c r="B22">
        <v>24</v>
      </c>
      <c r="C22" t="s">
        <v>47</v>
      </c>
      <c r="D22" s="4">
        <v>78</v>
      </c>
      <c r="E22">
        <v>202</v>
      </c>
      <c r="F22">
        <v>136.1</v>
      </c>
      <c r="G22" s="4"/>
      <c r="J22" s="4"/>
    </row>
    <row r="23" spans="1:12" x14ac:dyDescent="0.35">
      <c r="A23">
        <v>2023</v>
      </c>
      <c r="B23">
        <v>25</v>
      </c>
      <c r="C23" t="s">
        <v>48</v>
      </c>
      <c r="D23" s="4">
        <v>106</v>
      </c>
      <c r="E23">
        <v>420</v>
      </c>
      <c r="F23">
        <v>300.2</v>
      </c>
      <c r="G23" s="4"/>
      <c r="J23" s="4"/>
    </row>
    <row r="24" spans="1:12" x14ac:dyDescent="0.35">
      <c r="A24">
        <v>2023</v>
      </c>
      <c r="B24">
        <v>26</v>
      </c>
      <c r="C24" t="s">
        <v>49</v>
      </c>
      <c r="D24" s="4">
        <v>54</v>
      </c>
      <c r="E24">
        <v>168</v>
      </c>
      <c r="F24">
        <v>99.9</v>
      </c>
      <c r="G24" s="4"/>
      <c r="J24" s="4"/>
    </row>
    <row r="25" spans="1:12" x14ac:dyDescent="0.35">
      <c r="A25">
        <v>2023</v>
      </c>
      <c r="B25">
        <v>27</v>
      </c>
      <c r="C25" t="s">
        <v>50</v>
      </c>
      <c r="D25" s="4">
        <v>207</v>
      </c>
      <c r="E25">
        <v>1247</v>
      </c>
      <c r="F25">
        <v>872.6</v>
      </c>
      <c r="G25" s="4"/>
      <c r="J25" s="4">
        <v>4</v>
      </c>
      <c r="K25">
        <v>17</v>
      </c>
      <c r="L25">
        <v>13.7</v>
      </c>
    </row>
    <row r="26" spans="1:12" x14ac:dyDescent="0.35">
      <c r="A26">
        <v>2023</v>
      </c>
      <c r="B26">
        <v>28</v>
      </c>
      <c r="C26" t="s">
        <v>51</v>
      </c>
      <c r="D26" s="4">
        <v>128</v>
      </c>
      <c r="E26">
        <v>801</v>
      </c>
      <c r="F26">
        <v>521.9</v>
      </c>
      <c r="G26" s="4"/>
      <c r="J26" s="4"/>
    </row>
    <row r="27" spans="1:12" x14ac:dyDescent="0.35">
      <c r="A27">
        <v>2023</v>
      </c>
      <c r="B27">
        <v>29</v>
      </c>
      <c r="C27" t="s">
        <v>52</v>
      </c>
      <c r="D27" s="4">
        <v>117</v>
      </c>
      <c r="E27">
        <v>481</v>
      </c>
      <c r="F27">
        <v>351.2</v>
      </c>
      <c r="G27" s="4"/>
      <c r="J27" s="4">
        <v>3</v>
      </c>
    </row>
    <row r="28" spans="1:12" x14ac:dyDescent="0.35">
      <c r="A28">
        <v>2023</v>
      </c>
      <c r="B28">
        <v>31</v>
      </c>
      <c r="C28" t="s">
        <v>53</v>
      </c>
      <c r="D28" s="4">
        <v>124</v>
      </c>
      <c r="E28">
        <v>695</v>
      </c>
      <c r="F28">
        <v>515.4</v>
      </c>
      <c r="G28" s="4"/>
      <c r="J28" s="4"/>
    </row>
    <row r="29" spans="1:12" x14ac:dyDescent="0.35">
      <c r="A29">
        <v>2023</v>
      </c>
      <c r="B29">
        <v>33</v>
      </c>
      <c r="C29" t="s">
        <v>54</v>
      </c>
      <c r="D29" s="4">
        <v>184</v>
      </c>
      <c r="E29">
        <v>1206</v>
      </c>
      <c r="F29">
        <v>958.4</v>
      </c>
      <c r="G29" s="4"/>
      <c r="J29" s="4"/>
    </row>
    <row r="30" spans="1:12" x14ac:dyDescent="0.35">
      <c r="A30">
        <v>2023</v>
      </c>
      <c r="B30">
        <v>34</v>
      </c>
      <c r="C30" t="s">
        <v>55</v>
      </c>
      <c r="D30" s="4">
        <v>110</v>
      </c>
      <c r="E30">
        <v>506</v>
      </c>
      <c r="F30">
        <v>330.5</v>
      </c>
      <c r="G30" s="4"/>
      <c r="J30" s="4">
        <v>3</v>
      </c>
    </row>
    <row r="31" spans="1:12" x14ac:dyDescent="0.35">
      <c r="A31">
        <v>2023</v>
      </c>
      <c r="B31">
        <v>35</v>
      </c>
      <c r="C31" t="s">
        <v>56</v>
      </c>
      <c r="D31" s="4">
        <v>214</v>
      </c>
      <c r="E31">
        <v>1272</v>
      </c>
      <c r="F31">
        <v>884</v>
      </c>
      <c r="G31" s="4"/>
      <c r="J31" s="4"/>
    </row>
    <row r="32" spans="1:12" x14ac:dyDescent="0.35">
      <c r="A32">
        <v>2023</v>
      </c>
      <c r="B32">
        <v>37</v>
      </c>
      <c r="C32" t="s">
        <v>57</v>
      </c>
      <c r="D32" s="4">
        <v>118</v>
      </c>
      <c r="E32">
        <v>449</v>
      </c>
      <c r="F32">
        <v>309.8</v>
      </c>
      <c r="G32" s="4">
        <v>3</v>
      </c>
      <c r="J32" s="4"/>
    </row>
    <row r="33" spans="1:12" x14ac:dyDescent="0.35">
      <c r="A33">
        <v>2023</v>
      </c>
      <c r="B33">
        <v>38</v>
      </c>
      <c r="C33" t="s">
        <v>58</v>
      </c>
      <c r="D33" s="4">
        <v>84</v>
      </c>
      <c r="E33">
        <v>771</v>
      </c>
      <c r="F33">
        <v>542.5</v>
      </c>
      <c r="G33" s="4"/>
      <c r="J33" s="4"/>
    </row>
    <row r="34" spans="1:12" x14ac:dyDescent="0.35">
      <c r="A34">
        <v>2023</v>
      </c>
      <c r="B34">
        <v>39</v>
      </c>
      <c r="C34" t="s">
        <v>59</v>
      </c>
      <c r="D34" s="4">
        <v>77</v>
      </c>
      <c r="E34">
        <v>344</v>
      </c>
      <c r="F34">
        <v>250.8</v>
      </c>
      <c r="G34" s="4"/>
      <c r="J34" s="4"/>
    </row>
    <row r="35" spans="1:12" x14ac:dyDescent="0.35">
      <c r="A35">
        <v>2023</v>
      </c>
      <c r="B35">
        <v>40</v>
      </c>
      <c r="C35" t="s">
        <v>60</v>
      </c>
      <c r="D35" s="4">
        <v>91</v>
      </c>
      <c r="E35">
        <v>317</v>
      </c>
      <c r="F35">
        <v>209.7</v>
      </c>
      <c r="G35" s="4"/>
      <c r="J35" s="4"/>
    </row>
    <row r="36" spans="1:12" x14ac:dyDescent="0.35">
      <c r="A36">
        <v>2023</v>
      </c>
      <c r="B36">
        <v>41</v>
      </c>
      <c r="C36" t="s">
        <v>61</v>
      </c>
      <c r="D36" s="4">
        <v>39</v>
      </c>
      <c r="E36">
        <v>133</v>
      </c>
      <c r="F36">
        <v>85.9</v>
      </c>
      <c r="G36" s="4"/>
      <c r="J36" s="4"/>
    </row>
    <row r="37" spans="1:12" x14ac:dyDescent="0.35">
      <c r="A37">
        <v>2023</v>
      </c>
      <c r="B37">
        <v>43</v>
      </c>
      <c r="C37" t="s">
        <v>62</v>
      </c>
      <c r="D37" s="4">
        <v>31</v>
      </c>
      <c r="E37">
        <v>84</v>
      </c>
      <c r="F37">
        <v>47</v>
      </c>
      <c r="G37" s="4"/>
      <c r="J37" s="4"/>
    </row>
    <row r="38" spans="1:12" x14ac:dyDescent="0.35">
      <c r="A38">
        <v>2023</v>
      </c>
      <c r="B38">
        <v>51</v>
      </c>
      <c r="C38" t="s">
        <v>63</v>
      </c>
      <c r="D38" s="4">
        <v>264</v>
      </c>
      <c r="E38">
        <v>1616</v>
      </c>
      <c r="F38">
        <v>1310.5999999999999</v>
      </c>
      <c r="G38" s="4"/>
      <c r="J38" s="4"/>
    </row>
    <row r="39" spans="1:12" x14ac:dyDescent="0.35">
      <c r="A39">
        <v>2023</v>
      </c>
      <c r="B39">
        <v>52</v>
      </c>
      <c r="C39" t="s">
        <v>64</v>
      </c>
      <c r="D39" s="4">
        <v>656</v>
      </c>
      <c r="E39">
        <v>4716</v>
      </c>
      <c r="F39">
        <v>3755.6</v>
      </c>
      <c r="G39" s="4"/>
      <c r="J39" s="4">
        <v>3</v>
      </c>
      <c r="K39">
        <v>5</v>
      </c>
    </row>
    <row r="40" spans="1:12" x14ac:dyDescent="0.35">
      <c r="A40">
        <v>2023</v>
      </c>
      <c r="B40">
        <v>53</v>
      </c>
      <c r="C40" t="s">
        <v>65</v>
      </c>
      <c r="D40" s="4">
        <v>1400</v>
      </c>
      <c r="E40">
        <v>11445</v>
      </c>
      <c r="F40">
        <v>8509.2999999999993</v>
      </c>
      <c r="G40" s="4">
        <v>6</v>
      </c>
      <c r="H40">
        <v>17</v>
      </c>
      <c r="I40">
        <v>9.1999999999999993</v>
      </c>
      <c r="J40" s="4">
        <v>10</v>
      </c>
      <c r="K40">
        <v>30</v>
      </c>
      <c r="L40">
        <v>18.2</v>
      </c>
    </row>
    <row r="41" spans="1:12" x14ac:dyDescent="0.35">
      <c r="A41">
        <v>2023</v>
      </c>
      <c r="B41">
        <v>54</v>
      </c>
      <c r="C41" t="s">
        <v>66</v>
      </c>
      <c r="D41" s="4">
        <v>596</v>
      </c>
      <c r="E41">
        <v>5697</v>
      </c>
      <c r="F41">
        <v>4593.2</v>
      </c>
      <c r="G41" s="4"/>
      <c r="J41" s="4">
        <v>4</v>
      </c>
      <c r="K41">
        <v>9</v>
      </c>
      <c r="L41">
        <v>4.8</v>
      </c>
    </row>
    <row r="42" spans="1:12" x14ac:dyDescent="0.35">
      <c r="A42">
        <v>2023</v>
      </c>
      <c r="B42">
        <v>55</v>
      </c>
      <c r="C42" t="s">
        <v>67</v>
      </c>
      <c r="D42" s="4">
        <v>303</v>
      </c>
      <c r="E42">
        <v>1408</v>
      </c>
      <c r="F42">
        <v>968.7</v>
      </c>
      <c r="G42" s="4"/>
      <c r="J42" s="4"/>
    </row>
    <row r="43" spans="1:12" x14ac:dyDescent="0.35">
      <c r="A43">
        <v>2023</v>
      </c>
      <c r="B43">
        <v>56</v>
      </c>
      <c r="C43" t="s">
        <v>68</v>
      </c>
      <c r="D43" s="4">
        <v>521</v>
      </c>
      <c r="E43">
        <v>4085</v>
      </c>
      <c r="F43">
        <v>3233.4</v>
      </c>
      <c r="G43" s="4"/>
      <c r="H43">
        <v>9</v>
      </c>
      <c r="I43">
        <v>8.1</v>
      </c>
      <c r="J43" s="4">
        <v>4</v>
      </c>
      <c r="K43">
        <v>8</v>
      </c>
      <c r="L43">
        <v>4.7</v>
      </c>
    </row>
    <row r="44" spans="1:12" x14ac:dyDescent="0.35">
      <c r="A44">
        <v>2023</v>
      </c>
      <c r="B44">
        <v>57</v>
      </c>
      <c r="C44" t="s">
        <v>69</v>
      </c>
      <c r="D44" s="4">
        <v>172</v>
      </c>
      <c r="E44">
        <v>695</v>
      </c>
      <c r="F44">
        <v>475.2</v>
      </c>
      <c r="G44" s="4"/>
      <c r="J44" s="4"/>
    </row>
    <row r="45" spans="1:12" x14ac:dyDescent="0.35">
      <c r="A45">
        <v>2023</v>
      </c>
      <c r="B45">
        <v>58</v>
      </c>
      <c r="C45" t="s">
        <v>70</v>
      </c>
      <c r="D45" s="4">
        <v>241</v>
      </c>
      <c r="E45">
        <v>1062</v>
      </c>
      <c r="F45">
        <v>757.1</v>
      </c>
      <c r="G45" s="4"/>
      <c r="J45" s="4">
        <v>3</v>
      </c>
      <c r="K45">
        <v>76</v>
      </c>
      <c r="L45">
        <v>73.900000000000006</v>
      </c>
    </row>
    <row r="46" spans="1:12" x14ac:dyDescent="0.35">
      <c r="A46">
        <v>2023</v>
      </c>
      <c r="B46">
        <v>59</v>
      </c>
      <c r="C46" t="s">
        <v>71</v>
      </c>
      <c r="D46" s="4">
        <v>81</v>
      </c>
      <c r="E46">
        <v>441</v>
      </c>
      <c r="F46">
        <v>358.1</v>
      </c>
      <c r="G46" s="4"/>
      <c r="J46" s="4"/>
    </row>
    <row r="47" spans="1:12" x14ac:dyDescent="0.35">
      <c r="A47">
        <v>2023</v>
      </c>
      <c r="B47">
        <v>60</v>
      </c>
      <c r="C47" t="s">
        <v>72</v>
      </c>
      <c r="D47" s="4">
        <v>245</v>
      </c>
      <c r="E47">
        <v>1358</v>
      </c>
      <c r="F47">
        <v>1115.4000000000001</v>
      </c>
      <c r="G47" s="4"/>
      <c r="J47" s="4"/>
    </row>
    <row r="48" spans="1:12" x14ac:dyDescent="0.35">
      <c r="A48">
        <v>2023</v>
      </c>
      <c r="B48">
        <v>61</v>
      </c>
      <c r="C48" t="s">
        <v>73</v>
      </c>
      <c r="D48" s="4">
        <v>96</v>
      </c>
      <c r="E48">
        <v>363</v>
      </c>
      <c r="F48">
        <v>266.89999999999998</v>
      </c>
      <c r="G48" s="4"/>
      <c r="J48" s="4"/>
    </row>
    <row r="49" spans="1:12" x14ac:dyDescent="0.35">
      <c r="A49">
        <v>2023</v>
      </c>
      <c r="B49">
        <v>62</v>
      </c>
      <c r="C49" t="s">
        <v>74</v>
      </c>
      <c r="D49" s="4">
        <v>1632</v>
      </c>
      <c r="E49">
        <v>41693</v>
      </c>
      <c r="F49">
        <v>34642.300000000003</v>
      </c>
      <c r="G49" s="4">
        <v>5</v>
      </c>
      <c r="H49">
        <v>75</v>
      </c>
      <c r="I49">
        <v>41.8</v>
      </c>
      <c r="J49" s="4">
        <v>9</v>
      </c>
      <c r="K49">
        <v>359</v>
      </c>
      <c r="L49">
        <v>295.10000000000002</v>
      </c>
    </row>
    <row r="50" spans="1:12" x14ac:dyDescent="0.35">
      <c r="A50">
        <v>2023</v>
      </c>
      <c r="B50">
        <v>63</v>
      </c>
      <c r="C50" t="s">
        <v>75</v>
      </c>
      <c r="D50" s="4">
        <v>134</v>
      </c>
      <c r="E50">
        <v>445</v>
      </c>
      <c r="F50">
        <v>302.5</v>
      </c>
      <c r="G50" s="4"/>
      <c r="J50" s="4"/>
    </row>
    <row r="51" spans="1:12" x14ac:dyDescent="0.35">
      <c r="A51">
        <v>2023</v>
      </c>
      <c r="B51">
        <v>64</v>
      </c>
      <c r="C51" t="s">
        <v>76</v>
      </c>
      <c r="D51" s="4">
        <v>318</v>
      </c>
      <c r="E51">
        <v>1175</v>
      </c>
      <c r="F51">
        <v>816.9</v>
      </c>
      <c r="G51" s="4"/>
      <c r="J51" s="4"/>
    </row>
    <row r="52" spans="1:12" x14ac:dyDescent="0.35">
      <c r="A52">
        <v>2023</v>
      </c>
      <c r="B52">
        <v>65</v>
      </c>
      <c r="C52" t="s">
        <v>77</v>
      </c>
      <c r="D52" s="4">
        <v>89</v>
      </c>
      <c r="E52">
        <v>251</v>
      </c>
      <c r="F52">
        <v>157.4</v>
      </c>
      <c r="G52" s="4"/>
      <c r="J52" s="4"/>
    </row>
    <row r="53" spans="1:12" x14ac:dyDescent="0.35">
      <c r="A53">
        <v>2023</v>
      </c>
      <c r="B53">
        <v>66</v>
      </c>
      <c r="C53" t="s">
        <v>78</v>
      </c>
      <c r="D53" s="4">
        <v>1609</v>
      </c>
      <c r="E53">
        <v>25315</v>
      </c>
      <c r="F53">
        <v>20975.5</v>
      </c>
      <c r="G53" s="4">
        <v>4</v>
      </c>
      <c r="H53">
        <v>13</v>
      </c>
      <c r="I53">
        <v>10.4</v>
      </c>
      <c r="J53" s="4">
        <v>13</v>
      </c>
      <c r="K53">
        <v>100</v>
      </c>
      <c r="L53">
        <v>85.2</v>
      </c>
    </row>
    <row r="54" spans="1:12" x14ac:dyDescent="0.35">
      <c r="A54">
        <v>2023</v>
      </c>
      <c r="B54">
        <v>67</v>
      </c>
      <c r="C54" t="s">
        <v>79</v>
      </c>
      <c r="D54" s="4">
        <v>256</v>
      </c>
      <c r="E54">
        <v>1680</v>
      </c>
      <c r="F54">
        <v>1239.2</v>
      </c>
      <c r="G54" s="4"/>
      <c r="J54" s="4"/>
    </row>
    <row r="55" spans="1:12" x14ac:dyDescent="0.35">
      <c r="A55">
        <v>2023</v>
      </c>
      <c r="B55">
        <v>68</v>
      </c>
      <c r="C55" t="s">
        <v>80</v>
      </c>
      <c r="D55" s="4">
        <v>180</v>
      </c>
      <c r="E55">
        <v>540</v>
      </c>
      <c r="F55">
        <v>372.5</v>
      </c>
      <c r="G55" s="4"/>
      <c r="J55" s="4"/>
      <c r="K55">
        <v>5</v>
      </c>
    </row>
    <row r="56" spans="1:12" x14ac:dyDescent="0.35">
      <c r="A56">
        <v>2023</v>
      </c>
      <c r="B56">
        <v>69</v>
      </c>
      <c r="C56" t="s">
        <v>81</v>
      </c>
      <c r="D56" s="4">
        <v>1495</v>
      </c>
      <c r="E56">
        <v>20951</v>
      </c>
      <c r="F56">
        <v>17531.400000000001</v>
      </c>
      <c r="G56" s="4">
        <v>7</v>
      </c>
      <c r="H56">
        <v>21</v>
      </c>
      <c r="I56">
        <v>14.1</v>
      </c>
      <c r="J56" s="4">
        <v>13</v>
      </c>
      <c r="K56">
        <v>47</v>
      </c>
      <c r="L56">
        <v>35.200000000000003</v>
      </c>
    </row>
    <row r="57" spans="1:12" x14ac:dyDescent="0.35">
      <c r="A57">
        <v>2023</v>
      </c>
      <c r="B57">
        <v>70</v>
      </c>
      <c r="C57" t="s">
        <v>82</v>
      </c>
      <c r="D57" s="4">
        <v>35</v>
      </c>
      <c r="E57">
        <v>78</v>
      </c>
      <c r="F57">
        <v>49.3</v>
      </c>
      <c r="G57" s="4"/>
      <c r="J57" s="4"/>
    </row>
    <row r="58" spans="1:12" x14ac:dyDescent="0.35">
      <c r="A58">
        <v>2023</v>
      </c>
      <c r="B58">
        <v>71</v>
      </c>
      <c r="C58" t="s">
        <v>83</v>
      </c>
      <c r="D58" s="4">
        <v>128</v>
      </c>
      <c r="E58">
        <v>472</v>
      </c>
      <c r="F58">
        <v>368.7</v>
      </c>
      <c r="G58" s="4"/>
      <c r="J58" s="4"/>
    </row>
    <row r="59" spans="1:12" x14ac:dyDescent="0.35">
      <c r="A59">
        <v>2023</v>
      </c>
      <c r="B59">
        <v>72</v>
      </c>
      <c r="C59" t="s">
        <v>84</v>
      </c>
      <c r="D59" s="4">
        <v>265</v>
      </c>
      <c r="E59">
        <v>1026</v>
      </c>
      <c r="F59">
        <v>737</v>
      </c>
      <c r="G59" s="4"/>
      <c r="J59" s="4"/>
      <c r="K59">
        <v>4</v>
      </c>
    </row>
    <row r="60" spans="1:12" x14ac:dyDescent="0.35">
      <c r="A60">
        <v>2023</v>
      </c>
      <c r="B60">
        <v>81</v>
      </c>
      <c r="C60" t="s">
        <v>85</v>
      </c>
      <c r="D60" s="4">
        <v>56</v>
      </c>
      <c r="E60">
        <v>241</v>
      </c>
      <c r="F60">
        <v>165.6</v>
      </c>
      <c r="G60" s="4"/>
      <c r="J60" s="4"/>
    </row>
    <row r="61" spans="1:12" x14ac:dyDescent="0.35">
      <c r="A61">
        <v>2023</v>
      </c>
      <c r="B61">
        <v>82</v>
      </c>
      <c r="C61" t="s">
        <v>86</v>
      </c>
      <c r="D61" s="4">
        <v>87</v>
      </c>
      <c r="E61">
        <v>334</v>
      </c>
      <c r="F61">
        <v>251.7</v>
      </c>
      <c r="G61" s="4"/>
      <c r="J61" s="4"/>
    </row>
    <row r="62" spans="1:12" x14ac:dyDescent="0.35">
      <c r="A62">
        <v>2023</v>
      </c>
      <c r="B62">
        <v>83</v>
      </c>
      <c r="C62" t="s">
        <v>87</v>
      </c>
      <c r="D62" s="4">
        <v>321</v>
      </c>
      <c r="E62">
        <v>2785</v>
      </c>
      <c r="F62">
        <v>2318.6</v>
      </c>
      <c r="G62" s="4"/>
      <c r="J62" s="4"/>
    </row>
    <row r="63" spans="1:12" x14ac:dyDescent="0.35">
      <c r="A63">
        <v>2023</v>
      </c>
      <c r="B63">
        <v>84</v>
      </c>
      <c r="C63" t="s">
        <v>88</v>
      </c>
      <c r="D63" s="4">
        <v>295</v>
      </c>
      <c r="E63">
        <v>2760</v>
      </c>
      <c r="F63">
        <v>2399</v>
      </c>
      <c r="G63" s="4"/>
      <c r="J63" s="4">
        <v>3</v>
      </c>
    </row>
    <row r="64" spans="1:12" x14ac:dyDescent="0.35">
      <c r="A64">
        <v>2023</v>
      </c>
      <c r="B64">
        <v>85</v>
      </c>
      <c r="C64" t="s">
        <v>89</v>
      </c>
      <c r="D64" s="4">
        <v>100</v>
      </c>
      <c r="E64">
        <v>466</v>
      </c>
      <c r="F64">
        <v>361.6</v>
      </c>
      <c r="G64" s="4"/>
      <c r="J64" s="4"/>
    </row>
    <row r="65" spans="1:12" x14ac:dyDescent="0.35">
      <c r="A65">
        <v>2023</v>
      </c>
      <c r="B65">
        <v>86</v>
      </c>
      <c r="C65" t="s">
        <v>90</v>
      </c>
      <c r="D65" s="4">
        <v>444</v>
      </c>
      <c r="E65">
        <v>4827</v>
      </c>
      <c r="F65">
        <v>3759.2</v>
      </c>
      <c r="G65" s="4">
        <v>5</v>
      </c>
      <c r="H65">
        <v>17</v>
      </c>
      <c r="I65">
        <v>15.4</v>
      </c>
      <c r="J65" s="4"/>
      <c r="K65">
        <v>6</v>
      </c>
    </row>
    <row r="66" spans="1:12" x14ac:dyDescent="0.35">
      <c r="A66">
        <v>2023</v>
      </c>
      <c r="B66">
        <v>87</v>
      </c>
      <c r="C66" t="s">
        <v>91</v>
      </c>
      <c r="D66" s="4">
        <v>48</v>
      </c>
      <c r="E66">
        <v>110</v>
      </c>
      <c r="F66">
        <v>71</v>
      </c>
      <c r="G66" s="4"/>
      <c r="J66" s="4"/>
    </row>
    <row r="67" spans="1:12" x14ac:dyDescent="0.35">
      <c r="A67">
        <v>2023</v>
      </c>
      <c r="B67">
        <v>88</v>
      </c>
      <c r="C67" t="s">
        <v>92</v>
      </c>
      <c r="D67" s="4">
        <v>254</v>
      </c>
      <c r="E67">
        <v>678</v>
      </c>
      <c r="F67">
        <v>459.2</v>
      </c>
      <c r="G67" s="4"/>
      <c r="J67" s="4"/>
    </row>
    <row r="68" spans="1:12" x14ac:dyDescent="0.35">
      <c r="A68">
        <v>2023</v>
      </c>
      <c r="B68">
        <v>89</v>
      </c>
      <c r="C68" t="s">
        <v>93</v>
      </c>
      <c r="D68" s="4">
        <v>256</v>
      </c>
      <c r="E68">
        <v>1667</v>
      </c>
      <c r="F68">
        <v>1326.8</v>
      </c>
      <c r="G68" s="4"/>
      <c r="J68" s="4"/>
    </row>
    <row r="69" spans="1:12" x14ac:dyDescent="0.35">
      <c r="A69">
        <v>2023</v>
      </c>
      <c r="B69">
        <v>90</v>
      </c>
      <c r="C69" t="s">
        <v>94</v>
      </c>
      <c r="D69" s="4">
        <v>477</v>
      </c>
      <c r="E69">
        <v>2545</v>
      </c>
      <c r="F69">
        <v>1961.5</v>
      </c>
      <c r="G69" s="4"/>
      <c r="J69" s="4">
        <v>3</v>
      </c>
      <c r="K69">
        <v>8</v>
      </c>
      <c r="L69">
        <v>7.2</v>
      </c>
    </row>
    <row r="70" spans="1:12" x14ac:dyDescent="0.35">
      <c r="A70">
        <v>2023</v>
      </c>
      <c r="B70">
        <v>91</v>
      </c>
      <c r="C70" t="s">
        <v>95</v>
      </c>
      <c r="D70" s="4">
        <v>163</v>
      </c>
      <c r="E70">
        <v>877</v>
      </c>
      <c r="F70">
        <v>688.6</v>
      </c>
      <c r="G70" s="4"/>
      <c r="J70" s="4"/>
      <c r="K70">
        <v>14</v>
      </c>
      <c r="L70">
        <v>5.2</v>
      </c>
    </row>
    <row r="71" spans="1:12" x14ac:dyDescent="0.35">
      <c r="A71">
        <v>2023</v>
      </c>
      <c r="B71">
        <v>92</v>
      </c>
      <c r="C71" t="s">
        <v>96</v>
      </c>
      <c r="D71" s="4">
        <v>337</v>
      </c>
      <c r="E71">
        <v>2149</v>
      </c>
      <c r="F71">
        <v>1696.5</v>
      </c>
      <c r="G71" s="4"/>
      <c r="J71" s="4"/>
    </row>
    <row r="72" spans="1:12" x14ac:dyDescent="0.35">
      <c r="A72">
        <v>2023</v>
      </c>
      <c r="B72">
        <v>93</v>
      </c>
      <c r="C72" t="s">
        <v>97</v>
      </c>
      <c r="D72" s="4">
        <v>89</v>
      </c>
      <c r="E72">
        <v>243</v>
      </c>
      <c r="F72">
        <v>177.1</v>
      </c>
      <c r="G72" s="4"/>
      <c r="J72" s="4"/>
    </row>
    <row r="73" spans="1:12" x14ac:dyDescent="0.35">
      <c r="A73">
        <v>2023</v>
      </c>
      <c r="B73">
        <v>94</v>
      </c>
      <c r="C73" t="s">
        <v>98</v>
      </c>
      <c r="D73" s="4">
        <v>273</v>
      </c>
      <c r="E73">
        <v>2331</v>
      </c>
      <c r="F73">
        <v>1896.4</v>
      </c>
      <c r="G73" s="4"/>
      <c r="J73" s="4"/>
      <c r="K73">
        <v>6</v>
      </c>
      <c r="L73">
        <v>5</v>
      </c>
    </row>
    <row r="74" spans="1:12" x14ac:dyDescent="0.35">
      <c r="A74">
        <v>2023</v>
      </c>
      <c r="B74">
        <v>95</v>
      </c>
      <c r="C74" t="s">
        <v>99</v>
      </c>
      <c r="D74" s="4">
        <v>42</v>
      </c>
      <c r="E74">
        <v>335</v>
      </c>
      <c r="F74">
        <v>218.1</v>
      </c>
      <c r="G74" s="4"/>
      <c r="J74" s="4"/>
    </row>
    <row r="75" spans="1:12" x14ac:dyDescent="0.35">
      <c r="A75">
        <v>2023</v>
      </c>
      <c r="B75">
        <v>96</v>
      </c>
      <c r="C75" t="s">
        <v>100</v>
      </c>
      <c r="D75" s="4">
        <v>1308</v>
      </c>
      <c r="E75">
        <v>10396</v>
      </c>
      <c r="F75">
        <v>8241.2999999999993</v>
      </c>
      <c r="G75" s="4">
        <v>3</v>
      </c>
      <c r="H75">
        <v>14</v>
      </c>
      <c r="I75">
        <v>12.5</v>
      </c>
      <c r="J75" s="4">
        <v>9</v>
      </c>
      <c r="K75">
        <v>70</v>
      </c>
      <c r="L75">
        <v>52.8</v>
      </c>
    </row>
    <row r="76" spans="1:12" x14ac:dyDescent="0.35">
      <c r="A76">
        <v>2023</v>
      </c>
      <c r="B76">
        <v>97</v>
      </c>
      <c r="C76" t="s">
        <v>101</v>
      </c>
      <c r="D76" s="4">
        <v>778</v>
      </c>
      <c r="E76">
        <v>7033</v>
      </c>
      <c r="F76">
        <v>5813</v>
      </c>
      <c r="G76" s="4"/>
      <c r="H76">
        <v>6</v>
      </c>
      <c r="I76">
        <v>5.3</v>
      </c>
      <c r="J76" s="4">
        <v>6</v>
      </c>
      <c r="K76">
        <v>9</v>
      </c>
      <c r="L76">
        <v>7.2</v>
      </c>
    </row>
    <row r="77" spans="1:12" x14ac:dyDescent="0.35">
      <c r="A77">
        <v>2023</v>
      </c>
      <c r="B77">
        <v>98</v>
      </c>
      <c r="C77" t="s">
        <v>102</v>
      </c>
      <c r="D77" s="4">
        <v>59</v>
      </c>
      <c r="E77">
        <v>126</v>
      </c>
      <c r="F77">
        <v>82.6</v>
      </c>
      <c r="G77" s="4"/>
      <c r="J77" s="4"/>
    </row>
    <row r="78" spans="1:12" x14ac:dyDescent="0.35">
      <c r="A78">
        <v>2023</v>
      </c>
      <c r="B78">
        <v>99</v>
      </c>
      <c r="C78" t="s">
        <v>103</v>
      </c>
      <c r="D78" s="4">
        <v>107</v>
      </c>
      <c r="E78">
        <v>359</v>
      </c>
      <c r="F78">
        <v>226.4</v>
      </c>
      <c r="G78" s="4"/>
      <c r="J78" s="4"/>
    </row>
    <row r="79" spans="1:12" x14ac:dyDescent="0.35">
      <c r="A79">
        <v>2023</v>
      </c>
      <c r="B79">
        <v>100</v>
      </c>
      <c r="C79" t="s">
        <v>104</v>
      </c>
      <c r="D79" s="4">
        <v>139</v>
      </c>
      <c r="E79">
        <v>558</v>
      </c>
      <c r="F79">
        <v>391.5</v>
      </c>
      <c r="G79" s="4"/>
      <c r="J79" s="4"/>
    </row>
    <row r="80" spans="1:12" x14ac:dyDescent="0.35">
      <c r="A80">
        <v>2023</v>
      </c>
      <c r="B80">
        <v>101</v>
      </c>
      <c r="C80" t="s">
        <v>105</v>
      </c>
      <c r="D80" s="4">
        <v>238</v>
      </c>
      <c r="E80">
        <v>871</v>
      </c>
      <c r="F80">
        <v>612.70000000000005</v>
      </c>
      <c r="G80" s="4"/>
      <c r="J80" s="4"/>
      <c r="K80">
        <v>8</v>
      </c>
      <c r="L80">
        <v>7.1</v>
      </c>
    </row>
    <row r="81" spans="1:12" x14ac:dyDescent="0.35">
      <c r="A81">
        <v>2023</v>
      </c>
      <c r="B81">
        <v>102</v>
      </c>
      <c r="C81" t="s">
        <v>106</v>
      </c>
      <c r="D81" s="4">
        <v>104</v>
      </c>
      <c r="E81">
        <v>355</v>
      </c>
      <c r="F81">
        <v>245.1</v>
      </c>
      <c r="G81" s="4"/>
      <c r="J81" s="4"/>
    </row>
    <row r="82" spans="1:12" x14ac:dyDescent="0.35">
      <c r="A82">
        <v>2023</v>
      </c>
      <c r="B82">
        <v>111</v>
      </c>
      <c r="C82" t="s">
        <v>107</v>
      </c>
      <c r="D82" s="4">
        <v>377</v>
      </c>
      <c r="E82">
        <v>1723</v>
      </c>
      <c r="F82">
        <v>1176.8</v>
      </c>
      <c r="G82" s="4"/>
      <c r="J82" s="4">
        <v>3</v>
      </c>
    </row>
    <row r="83" spans="1:12" x14ac:dyDescent="0.35">
      <c r="A83">
        <v>2023</v>
      </c>
      <c r="B83">
        <v>112</v>
      </c>
      <c r="C83" t="s">
        <v>108</v>
      </c>
      <c r="D83" s="4">
        <v>591</v>
      </c>
      <c r="E83">
        <v>3921</v>
      </c>
      <c r="F83">
        <v>3033.9</v>
      </c>
      <c r="G83" s="4">
        <v>3</v>
      </c>
      <c r="H83">
        <v>4</v>
      </c>
      <c r="J83" s="4">
        <v>7</v>
      </c>
      <c r="K83">
        <v>19</v>
      </c>
      <c r="L83">
        <v>15.5</v>
      </c>
    </row>
    <row r="84" spans="1:12" x14ac:dyDescent="0.35">
      <c r="A84">
        <v>2023</v>
      </c>
      <c r="B84">
        <v>113</v>
      </c>
      <c r="C84" t="s">
        <v>109</v>
      </c>
      <c r="D84" s="4">
        <v>452</v>
      </c>
      <c r="E84">
        <v>1946</v>
      </c>
      <c r="F84">
        <v>1360</v>
      </c>
      <c r="G84" s="4"/>
      <c r="J84" s="4"/>
    </row>
    <row r="85" spans="1:12" x14ac:dyDescent="0.35">
      <c r="A85">
        <v>2023</v>
      </c>
      <c r="B85">
        <v>114</v>
      </c>
      <c r="C85" t="s">
        <v>110</v>
      </c>
      <c r="D85" s="4">
        <v>218</v>
      </c>
      <c r="E85">
        <v>711</v>
      </c>
      <c r="F85">
        <v>485.3</v>
      </c>
      <c r="G85" s="4"/>
      <c r="J85" s="4"/>
    </row>
    <row r="86" spans="1:12" x14ac:dyDescent="0.35">
      <c r="A86">
        <v>2023</v>
      </c>
      <c r="B86">
        <v>115</v>
      </c>
      <c r="C86" t="s">
        <v>111</v>
      </c>
      <c r="D86" s="4">
        <v>613</v>
      </c>
      <c r="E86">
        <v>2559</v>
      </c>
      <c r="F86">
        <v>1858.5</v>
      </c>
      <c r="G86" s="4"/>
      <c r="J86" s="4">
        <v>5</v>
      </c>
      <c r="K86">
        <v>16</v>
      </c>
      <c r="L86">
        <v>10.8</v>
      </c>
    </row>
    <row r="87" spans="1:12" x14ac:dyDescent="0.35">
      <c r="A87">
        <v>2023</v>
      </c>
      <c r="B87">
        <v>116</v>
      </c>
      <c r="C87" t="s">
        <v>112</v>
      </c>
      <c r="D87" s="4">
        <v>274</v>
      </c>
      <c r="E87">
        <v>1803</v>
      </c>
      <c r="F87">
        <v>1377.5</v>
      </c>
      <c r="G87" s="4"/>
      <c r="J87" s="4"/>
      <c r="K87">
        <v>18</v>
      </c>
      <c r="L87">
        <v>15.3</v>
      </c>
    </row>
    <row r="88" spans="1:12" x14ac:dyDescent="0.35">
      <c r="A88">
        <v>2023</v>
      </c>
      <c r="B88">
        <v>117</v>
      </c>
      <c r="C88" t="s">
        <v>113</v>
      </c>
      <c r="D88" s="4">
        <v>884</v>
      </c>
      <c r="E88">
        <v>7571</v>
      </c>
      <c r="F88">
        <v>6227</v>
      </c>
      <c r="G88" s="4">
        <v>4</v>
      </c>
      <c r="H88">
        <v>13</v>
      </c>
      <c r="I88">
        <v>10.1</v>
      </c>
      <c r="J88" s="4">
        <v>4</v>
      </c>
      <c r="K88">
        <v>4</v>
      </c>
    </row>
    <row r="89" spans="1:12" x14ac:dyDescent="0.35">
      <c r="A89">
        <v>2023</v>
      </c>
      <c r="B89">
        <v>118</v>
      </c>
      <c r="C89" t="s">
        <v>114</v>
      </c>
      <c r="D89" s="4">
        <v>874</v>
      </c>
      <c r="E89">
        <v>5314</v>
      </c>
      <c r="F89">
        <v>3871.5</v>
      </c>
      <c r="G89" s="4">
        <v>8</v>
      </c>
      <c r="H89">
        <v>35</v>
      </c>
      <c r="I89">
        <v>23.7</v>
      </c>
      <c r="J89" s="4">
        <v>5</v>
      </c>
      <c r="K89">
        <v>15</v>
      </c>
      <c r="L89">
        <v>9.8000000000000007</v>
      </c>
    </row>
    <row r="90" spans="1:12" x14ac:dyDescent="0.35">
      <c r="A90">
        <v>2023</v>
      </c>
      <c r="B90">
        <v>119</v>
      </c>
      <c r="C90" t="s">
        <v>115</v>
      </c>
      <c r="D90" s="4">
        <v>129</v>
      </c>
      <c r="E90">
        <v>609</v>
      </c>
      <c r="F90">
        <v>415.7</v>
      </c>
      <c r="G90" s="4"/>
      <c r="J90" s="4"/>
    </row>
    <row r="91" spans="1:12" x14ac:dyDescent="0.35">
      <c r="A91">
        <v>2023</v>
      </c>
      <c r="B91">
        <v>120</v>
      </c>
      <c r="C91" t="s">
        <v>116</v>
      </c>
      <c r="D91" s="4">
        <v>719</v>
      </c>
      <c r="E91">
        <v>3460</v>
      </c>
      <c r="F91">
        <v>2473.6999999999998</v>
      </c>
      <c r="G91" s="4"/>
      <c r="J91" s="4">
        <v>4</v>
      </c>
      <c r="K91">
        <v>9</v>
      </c>
      <c r="L91">
        <v>5.7</v>
      </c>
    </row>
    <row r="92" spans="1:12" x14ac:dyDescent="0.35">
      <c r="A92">
        <v>2023</v>
      </c>
      <c r="B92">
        <v>121</v>
      </c>
      <c r="C92" t="s">
        <v>117</v>
      </c>
      <c r="D92" s="4">
        <v>1917</v>
      </c>
      <c r="E92">
        <v>14990</v>
      </c>
      <c r="F92">
        <v>10924.2</v>
      </c>
      <c r="G92" s="4">
        <v>4</v>
      </c>
      <c r="H92">
        <v>9</v>
      </c>
      <c r="I92">
        <v>7.2</v>
      </c>
      <c r="J92" s="4">
        <v>5</v>
      </c>
      <c r="K92">
        <v>10</v>
      </c>
      <c r="L92">
        <v>7.4</v>
      </c>
    </row>
    <row r="93" spans="1:12" x14ac:dyDescent="0.35">
      <c r="A93">
        <v>2023</v>
      </c>
      <c r="B93">
        <v>131</v>
      </c>
      <c r="C93" t="s">
        <v>118</v>
      </c>
      <c r="D93" s="4">
        <v>1066</v>
      </c>
      <c r="E93">
        <v>8023</v>
      </c>
      <c r="F93">
        <v>6268.8</v>
      </c>
      <c r="G93" s="4">
        <v>3</v>
      </c>
      <c r="H93">
        <v>5</v>
      </c>
      <c r="J93" s="4">
        <v>6</v>
      </c>
      <c r="K93">
        <v>23</v>
      </c>
      <c r="L93">
        <v>14.4</v>
      </c>
    </row>
    <row r="94" spans="1:12" x14ac:dyDescent="0.35">
      <c r="A94">
        <v>2023</v>
      </c>
      <c r="B94">
        <v>135</v>
      </c>
      <c r="C94" t="s">
        <v>119</v>
      </c>
      <c r="D94" s="4">
        <v>644</v>
      </c>
      <c r="E94">
        <v>4147</v>
      </c>
      <c r="F94">
        <v>3105.5</v>
      </c>
      <c r="G94" s="4">
        <v>4</v>
      </c>
      <c r="H94">
        <v>12</v>
      </c>
      <c r="I94">
        <v>7.7</v>
      </c>
      <c r="J94" s="4">
        <v>5</v>
      </c>
      <c r="K94">
        <v>8</v>
      </c>
      <c r="L94">
        <v>5.2</v>
      </c>
    </row>
    <row r="95" spans="1:12" x14ac:dyDescent="0.35">
      <c r="A95">
        <v>2023</v>
      </c>
      <c r="B95">
        <v>136</v>
      </c>
      <c r="C95" t="s">
        <v>120</v>
      </c>
      <c r="D95" s="4">
        <v>390</v>
      </c>
      <c r="E95">
        <v>1566</v>
      </c>
      <c r="F95">
        <v>1089.7</v>
      </c>
      <c r="G95" s="4"/>
      <c r="J95" s="4"/>
    </row>
    <row r="96" spans="1:12" x14ac:dyDescent="0.35">
      <c r="A96">
        <v>2023</v>
      </c>
      <c r="B96">
        <v>137</v>
      </c>
      <c r="C96" t="s">
        <v>121</v>
      </c>
      <c r="D96" s="4">
        <v>307</v>
      </c>
      <c r="E96">
        <v>1094</v>
      </c>
      <c r="F96">
        <v>731.3</v>
      </c>
      <c r="G96" s="4"/>
      <c r="J96" s="4"/>
      <c r="K96">
        <v>8</v>
      </c>
    </row>
    <row r="97" spans="1:12" x14ac:dyDescent="0.35">
      <c r="A97">
        <v>2023</v>
      </c>
      <c r="B97">
        <v>138</v>
      </c>
      <c r="C97" t="s">
        <v>122</v>
      </c>
      <c r="D97" s="4">
        <v>829</v>
      </c>
      <c r="E97">
        <v>4511</v>
      </c>
      <c r="F97">
        <v>3494</v>
      </c>
      <c r="G97" s="4">
        <v>3</v>
      </c>
      <c r="J97" s="4">
        <v>6</v>
      </c>
      <c r="K97">
        <v>11</v>
      </c>
      <c r="L97">
        <v>9</v>
      </c>
    </row>
    <row r="98" spans="1:12" x14ac:dyDescent="0.35">
      <c r="A98">
        <v>2023</v>
      </c>
      <c r="B98">
        <v>139</v>
      </c>
      <c r="C98" t="s">
        <v>123</v>
      </c>
      <c r="D98" s="4">
        <v>415</v>
      </c>
      <c r="E98">
        <v>2692</v>
      </c>
      <c r="F98">
        <v>2114.1999999999998</v>
      </c>
      <c r="G98" s="4">
        <v>4</v>
      </c>
      <c r="H98">
        <v>7</v>
      </c>
      <c r="I98">
        <v>5.3</v>
      </c>
      <c r="J98" s="4"/>
    </row>
    <row r="99" spans="1:12" x14ac:dyDescent="0.35">
      <c r="A99">
        <v>2023</v>
      </c>
      <c r="B99">
        <v>141</v>
      </c>
      <c r="C99" t="s">
        <v>124</v>
      </c>
      <c r="D99" s="4">
        <v>1361</v>
      </c>
      <c r="E99">
        <v>7113</v>
      </c>
      <c r="F99">
        <v>5041.7</v>
      </c>
      <c r="G99" s="4">
        <v>6</v>
      </c>
      <c r="H99">
        <v>27</v>
      </c>
      <c r="I99">
        <v>19.2</v>
      </c>
      <c r="J99" s="4">
        <v>10</v>
      </c>
      <c r="K99">
        <v>20</v>
      </c>
      <c r="L99">
        <v>12.5</v>
      </c>
    </row>
    <row r="100" spans="1:12" x14ac:dyDescent="0.35">
      <c r="A100">
        <v>2023</v>
      </c>
      <c r="B100">
        <v>151</v>
      </c>
      <c r="C100" t="s">
        <v>125</v>
      </c>
      <c r="D100" s="4">
        <v>506</v>
      </c>
      <c r="E100">
        <v>2000</v>
      </c>
      <c r="F100">
        <v>1407.9</v>
      </c>
      <c r="G100" s="4">
        <v>5</v>
      </c>
      <c r="H100">
        <v>7</v>
      </c>
      <c r="I100">
        <v>4.5</v>
      </c>
      <c r="J100" s="4"/>
    </row>
    <row r="101" spans="1:12" x14ac:dyDescent="0.35">
      <c r="A101">
        <v>2023</v>
      </c>
      <c r="B101">
        <v>152</v>
      </c>
      <c r="C101" t="s">
        <v>126</v>
      </c>
      <c r="D101" s="4">
        <v>477</v>
      </c>
      <c r="E101">
        <v>1558</v>
      </c>
      <c r="F101">
        <v>1096.9000000000001</v>
      </c>
      <c r="G101" s="4"/>
      <c r="J101" s="4"/>
      <c r="K101">
        <v>5</v>
      </c>
    </row>
    <row r="102" spans="1:12" x14ac:dyDescent="0.35">
      <c r="A102">
        <v>2023</v>
      </c>
      <c r="B102">
        <v>153</v>
      </c>
      <c r="C102" t="s">
        <v>127</v>
      </c>
      <c r="D102" s="4">
        <v>623</v>
      </c>
      <c r="E102">
        <v>2912</v>
      </c>
      <c r="F102">
        <v>2068.1</v>
      </c>
      <c r="G102" s="4"/>
      <c r="J102" s="4"/>
    </row>
    <row r="103" spans="1:12" x14ac:dyDescent="0.35">
      <c r="A103">
        <v>2023</v>
      </c>
      <c r="B103">
        <v>154</v>
      </c>
      <c r="C103" t="s">
        <v>128</v>
      </c>
      <c r="D103" s="4">
        <v>1259</v>
      </c>
      <c r="E103">
        <v>6511</v>
      </c>
      <c r="F103">
        <v>4858.3</v>
      </c>
      <c r="G103" s="4">
        <v>4</v>
      </c>
      <c r="H103">
        <v>4</v>
      </c>
      <c r="J103" s="4">
        <v>7</v>
      </c>
      <c r="K103">
        <v>7</v>
      </c>
      <c r="L103">
        <v>5.5</v>
      </c>
    </row>
    <row r="104" spans="1:12" x14ac:dyDescent="0.35">
      <c r="A104">
        <v>2023</v>
      </c>
      <c r="B104">
        <v>155</v>
      </c>
      <c r="C104" t="s">
        <v>129</v>
      </c>
      <c r="D104" s="4">
        <v>767</v>
      </c>
      <c r="E104">
        <v>5297</v>
      </c>
      <c r="F104">
        <v>3995.5</v>
      </c>
      <c r="G104" s="4"/>
      <c r="J104" s="4">
        <v>6</v>
      </c>
      <c r="K104">
        <v>8</v>
      </c>
      <c r="L104">
        <v>5</v>
      </c>
    </row>
    <row r="105" spans="1:12" x14ac:dyDescent="0.35">
      <c r="A105">
        <v>2023</v>
      </c>
      <c r="B105">
        <v>156</v>
      </c>
      <c r="C105" t="s">
        <v>130</v>
      </c>
      <c r="D105" s="4">
        <v>1241</v>
      </c>
      <c r="E105">
        <v>6249</v>
      </c>
      <c r="F105">
        <v>4630.2</v>
      </c>
      <c r="G105" s="4">
        <v>4</v>
      </c>
      <c r="H105">
        <v>28</v>
      </c>
      <c r="I105">
        <v>12.5</v>
      </c>
      <c r="J105" s="4">
        <v>7</v>
      </c>
      <c r="K105">
        <v>9</v>
      </c>
      <c r="L105">
        <v>6.5</v>
      </c>
    </row>
    <row r="106" spans="1:12" x14ac:dyDescent="0.35">
      <c r="A106">
        <v>2023</v>
      </c>
      <c r="B106">
        <v>157</v>
      </c>
      <c r="C106" t="s">
        <v>131</v>
      </c>
      <c r="D106" s="4">
        <v>285</v>
      </c>
      <c r="E106">
        <v>2165</v>
      </c>
      <c r="F106">
        <v>1718.6</v>
      </c>
      <c r="G106" s="4"/>
      <c r="J106" s="4"/>
    </row>
    <row r="107" spans="1:12" x14ac:dyDescent="0.35">
      <c r="A107">
        <v>2023</v>
      </c>
      <c r="B107">
        <v>158</v>
      </c>
      <c r="C107" t="s">
        <v>132</v>
      </c>
      <c r="D107" s="4">
        <v>1045</v>
      </c>
      <c r="E107">
        <v>6743</v>
      </c>
      <c r="F107">
        <v>5312.9</v>
      </c>
      <c r="G107" s="4">
        <v>3</v>
      </c>
      <c r="H107">
        <v>5</v>
      </c>
      <c r="J107" s="4">
        <v>7</v>
      </c>
      <c r="K107">
        <v>37</v>
      </c>
      <c r="L107">
        <v>28.6</v>
      </c>
    </row>
    <row r="108" spans="1:12" x14ac:dyDescent="0.35">
      <c r="A108">
        <v>2023</v>
      </c>
      <c r="B108">
        <v>159</v>
      </c>
      <c r="C108" t="s">
        <v>133</v>
      </c>
      <c r="D108" s="4">
        <v>414</v>
      </c>
      <c r="E108">
        <v>1702</v>
      </c>
      <c r="F108">
        <v>1205.4000000000001</v>
      </c>
      <c r="G108" s="4"/>
      <c r="J108" s="4"/>
    </row>
    <row r="109" spans="1:12" x14ac:dyDescent="0.35">
      <c r="A109">
        <v>2023</v>
      </c>
      <c r="B109">
        <v>160</v>
      </c>
      <c r="C109" t="s">
        <v>134</v>
      </c>
      <c r="D109" s="4">
        <v>382</v>
      </c>
      <c r="E109">
        <v>1852</v>
      </c>
      <c r="F109">
        <v>1326.6</v>
      </c>
      <c r="G109" s="4"/>
      <c r="J109" s="4"/>
      <c r="K109">
        <v>4</v>
      </c>
    </row>
    <row r="110" spans="1:12" x14ac:dyDescent="0.35">
      <c r="A110">
        <v>2023</v>
      </c>
      <c r="B110">
        <v>161</v>
      </c>
      <c r="C110" t="s">
        <v>135</v>
      </c>
      <c r="D110" s="4">
        <v>1156</v>
      </c>
      <c r="E110">
        <v>6727</v>
      </c>
      <c r="F110">
        <v>4759.3</v>
      </c>
      <c r="G110" s="4">
        <v>5</v>
      </c>
      <c r="H110">
        <v>8</v>
      </c>
      <c r="J110" s="4">
        <v>14</v>
      </c>
      <c r="K110">
        <v>45</v>
      </c>
      <c r="L110">
        <v>41.9</v>
      </c>
    </row>
    <row r="111" spans="1:12" x14ac:dyDescent="0.35">
      <c r="A111">
        <v>2023</v>
      </c>
      <c r="B111">
        <v>172</v>
      </c>
      <c r="C111" t="s">
        <v>136</v>
      </c>
      <c r="D111" s="4">
        <v>440</v>
      </c>
      <c r="E111">
        <v>4968</v>
      </c>
      <c r="F111">
        <v>3812.9</v>
      </c>
      <c r="G111" s="4"/>
      <c r="J111" s="4">
        <v>5</v>
      </c>
      <c r="K111">
        <v>45</v>
      </c>
      <c r="L111">
        <v>39.200000000000003</v>
      </c>
    </row>
    <row r="112" spans="1:12" x14ac:dyDescent="0.35">
      <c r="A112">
        <v>2023</v>
      </c>
      <c r="B112">
        <v>173</v>
      </c>
      <c r="C112" t="s">
        <v>137</v>
      </c>
      <c r="D112" s="4">
        <v>250</v>
      </c>
      <c r="E112">
        <v>887</v>
      </c>
      <c r="F112">
        <v>627.1</v>
      </c>
      <c r="G112" s="4"/>
      <c r="J112" s="4"/>
    </row>
    <row r="113" spans="1:12" x14ac:dyDescent="0.35">
      <c r="A113">
        <v>2023</v>
      </c>
      <c r="B113">
        <v>176</v>
      </c>
      <c r="C113" t="s">
        <v>138</v>
      </c>
      <c r="D113" s="4">
        <v>440</v>
      </c>
      <c r="E113">
        <v>3513</v>
      </c>
      <c r="F113">
        <v>2821.3</v>
      </c>
      <c r="G113" s="4">
        <v>4</v>
      </c>
      <c r="H113">
        <v>18</v>
      </c>
      <c r="I113">
        <v>13.6</v>
      </c>
      <c r="J113" s="4"/>
    </row>
    <row r="114" spans="1:12" x14ac:dyDescent="0.35">
      <c r="A114">
        <v>2023</v>
      </c>
      <c r="B114">
        <v>177</v>
      </c>
      <c r="C114" t="s">
        <v>139</v>
      </c>
      <c r="D114" s="4">
        <v>873</v>
      </c>
      <c r="E114">
        <v>5755</v>
      </c>
      <c r="F114">
        <v>4160</v>
      </c>
      <c r="G114" s="4">
        <v>5</v>
      </c>
      <c r="H114">
        <v>6</v>
      </c>
      <c r="J114" s="4">
        <v>6</v>
      </c>
      <c r="K114">
        <v>12</v>
      </c>
      <c r="L114">
        <v>7.9</v>
      </c>
    </row>
    <row r="115" spans="1:12" x14ac:dyDescent="0.35">
      <c r="A115">
        <v>2023</v>
      </c>
      <c r="B115">
        <v>178</v>
      </c>
      <c r="C115" t="s">
        <v>140</v>
      </c>
      <c r="D115" s="4">
        <v>297</v>
      </c>
      <c r="E115">
        <v>1219</v>
      </c>
      <c r="F115">
        <v>884.3</v>
      </c>
      <c r="G115" s="4"/>
      <c r="J115" s="4"/>
    </row>
    <row r="116" spans="1:12" x14ac:dyDescent="0.35">
      <c r="A116">
        <v>2023</v>
      </c>
      <c r="B116">
        <v>180</v>
      </c>
      <c r="C116" t="s">
        <v>141</v>
      </c>
      <c r="D116" s="4">
        <v>225</v>
      </c>
      <c r="E116">
        <v>830</v>
      </c>
      <c r="F116">
        <v>607.4</v>
      </c>
      <c r="G116" s="4"/>
      <c r="J116" s="4"/>
    </row>
    <row r="117" spans="1:12" x14ac:dyDescent="0.35">
      <c r="A117">
        <v>2023</v>
      </c>
      <c r="B117">
        <v>181</v>
      </c>
      <c r="C117" t="s">
        <v>142</v>
      </c>
      <c r="D117" s="4">
        <v>168</v>
      </c>
      <c r="E117">
        <v>633</v>
      </c>
      <c r="F117">
        <v>463.1</v>
      </c>
      <c r="G117" s="4"/>
      <c r="J117" s="4"/>
    </row>
    <row r="118" spans="1:12" x14ac:dyDescent="0.35">
      <c r="A118">
        <v>2023</v>
      </c>
      <c r="B118">
        <v>182</v>
      </c>
      <c r="C118" t="s">
        <v>143</v>
      </c>
      <c r="D118" s="4">
        <v>77</v>
      </c>
      <c r="E118">
        <v>247</v>
      </c>
      <c r="F118">
        <v>170</v>
      </c>
      <c r="G118" s="4"/>
      <c r="J118" s="4"/>
    </row>
    <row r="119" spans="1:12" x14ac:dyDescent="0.35">
      <c r="A119">
        <v>2023</v>
      </c>
      <c r="B119">
        <v>191</v>
      </c>
      <c r="C119" t="s">
        <v>144</v>
      </c>
      <c r="D119" s="4">
        <v>1980</v>
      </c>
      <c r="E119">
        <v>20911</v>
      </c>
      <c r="F119">
        <v>16222.8</v>
      </c>
      <c r="G119" s="4">
        <v>5</v>
      </c>
      <c r="H119">
        <v>20</v>
      </c>
      <c r="I119">
        <v>15.1</v>
      </c>
      <c r="J119" s="4">
        <v>9</v>
      </c>
      <c r="K119">
        <v>19</v>
      </c>
      <c r="L119">
        <v>13.6</v>
      </c>
    </row>
    <row r="120" spans="1:12" x14ac:dyDescent="0.35">
      <c r="A120">
        <v>2023</v>
      </c>
      <c r="B120">
        <v>192</v>
      </c>
      <c r="C120" t="s">
        <v>145</v>
      </c>
      <c r="D120" s="4">
        <v>625</v>
      </c>
      <c r="E120">
        <v>2789</v>
      </c>
      <c r="F120">
        <v>1971.5</v>
      </c>
      <c r="G120" s="4"/>
      <c r="J120" s="4">
        <v>4</v>
      </c>
      <c r="K120">
        <v>5</v>
      </c>
    </row>
    <row r="121" spans="1:12" x14ac:dyDescent="0.35">
      <c r="A121">
        <v>2023</v>
      </c>
      <c r="B121">
        <v>193</v>
      </c>
      <c r="C121" t="s">
        <v>146</v>
      </c>
      <c r="D121" s="4">
        <v>498</v>
      </c>
      <c r="E121">
        <v>3106</v>
      </c>
      <c r="F121">
        <v>2437.8000000000002</v>
      </c>
      <c r="G121" s="4"/>
      <c r="J121" s="4">
        <v>3</v>
      </c>
      <c r="K121">
        <v>5</v>
      </c>
    </row>
    <row r="122" spans="1:12" x14ac:dyDescent="0.35">
      <c r="A122">
        <v>2023</v>
      </c>
      <c r="B122">
        <v>194</v>
      </c>
      <c r="C122" t="s">
        <v>147</v>
      </c>
      <c r="D122" s="4">
        <v>240</v>
      </c>
      <c r="E122">
        <v>1565</v>
      </c>
      <c r="F122">
        <v>1200.0999999999999</v>
      </c>
      <c r="G122" s="4"/>
      <c r="J122" s="4"/>
    </row>
    <row r="123" spans="1:12" x14ac:dyDescent="0.35">
      <c r="A123">
        <v>2023</v>
      </c>
      <c r="B123">
        <v>195</v>
      </c>
      <c r="C123" t="s">
        <v>148</v>
      </c>
      <c r="D123" s="4">
        <v>672</v>
      </c>
      <c r="E123">
        <v>2356</v>
      </c>
      <c r="F123">
        <v>1682.2</v>
      </c>
      <c r="G123" s="4">
        <v>4</v>
      </c>
      <c r="H123">
        <v>11</v>
      </c>
      <c r="I123">
        <v>9.3000000000000007</v>
      </c>
      <c r="J123" s="4"/>
    </row>
    <row r="124" spans="1:12" x14ac:dyDescent="0.35">
      <c r="A124">
        <v>2023</v>
      </c>
      <c r="B124">
        <v>196</v>
      </c>
      <c r="C124" t="s">
        <v>149</v>
      </c>
      <c r="D124" s="4">
        <v>257</v>
      </c>
      <c r="E124">
        <v>1271</v>
      </c>
      <c r="F124">
        <v>985.5</v>
      </c>
      <c r="G124" s="4"/>
      <c r="J124" s="4"/>
    </row>
    <row r="125" spans="1:12" x14ac:dyDescent="0.35">
      <c r="A125">
        <v>2023</v>
      </c>
      <c r="B125">
        <v>197</v>
      </c>
      <c r="C125" t="s">
        <v>150</v>
      </c>
      <c r="D125" s="4">
        <v>339</v>
      </c>
      <c r="E125">
        <v>2694</v>
      </c>
      <c r="F125">
        <v>2137</v>
      </c>
      <c r="G125" s="4"/>
      <c r="H125">
        <v>11</v>
      </c>
      <c r="I125">
        <v>9.1999999999999993</v>
      </c>
      <c r="J125" s="4"/>
    </row>
    <row r="126" spans="1:12" x14ac:dyDescent="0.35">
      <c r="A126">
        <v>2023</v>
      </c>
      <c r="B126">
        <v>198</v>
      </c>
      <c r="C126" t="s">
        <v>151</v>
      </c>
      <c r="D126" s="4">
        <v>2568</v>
      </c>
      <c r="E126">
        <v>18297</v>
      </c>
      <c r="F126">
        <v>13717.7</v>
      </c>
      <c r="G126" s="4">
        <v>8</v>
      </c>
      <c r="H126">
        <v>12</v>
      </c>
      <c r="I126">
        <v>8.9</v>
      </c>
      <c r="J126" s="4">
        <v>7</v>
      </c>
      <c r="K126">
        <v>27</v>
      </c>
      <c r="L126">
        <v>23.8</v>
      </c>
    </row>
    <row r="127" spans="1:12" x14ac:dyDescent="0.35">
      <c r="A127">
        <v>2023</v>
      </c>
      <c r="B127">
        <v>199</v>
      </c>
      <c r="C127" t="s">
        <v>152</v>
      </c>
      <c r="D127" s="4">
        <v>1313</v>
      </c>
      <c r="E127">
        <v>12140</v>
      </c>
      <c r="F127">
        <v>9582.9</v>
      </c>
      <c r="G127" s="4">
        <v>5</v>
      </c>
      <c r="H127">
        <v>7</v>
      </c>
      <c r="I127">
        <v>5.4</v>
      </c>
      <c r="J127" s="4">
        <v>9</v>
      </c>
      <c r="K127">
        <v>20</v>
      </c>
      <c r="L127">
        <v>15.2</v>
      </c>
    </row>
    <row r="128" spans="1:12" x14ac:dyDescent="0.35">
      <c r="A128">
        <v>2023</v>
      </c>
      <c r="B128">
        <v>200</v>
      </c>
      <c r="C128" t="s">
        <v>153</v>
      </c>
      <c r="D128" s="4">
        <v>546</v>
      </c>
      <c r="E128">
        <v>5196</v>
      </c>
      <c r="F128">
        <v>4076.2</v>
      </c>
      <c r="G128" s="4"/>
      <c r="J128" s="4"/>
    </row>
    <row r="129" spans="1:12" x14ac:dyDescent="0.35">
      <c r="A129">
        <v>2023</v>
      </c>
      <c r="B129">
        <v>211</v>
      </c>
      <c r="C129" t="s">
        <v>154</v>
      </c>
      <c r="D129" s="4">
        <v>71</v>
      </c>
      <c r="E129">
        <v>170</v>
      </c>
      <c r="F129">
        <v>104.6</v>
      </c>
      <c r="G129" s="4"/>
      <c r="J129" s="4"/>
    </row>
    <row r="130" spans="1:12" x14ac:dyDescent="0.35">
      <c r="A130">
        <v>2023</v>
      </c>
      <c r="B130">
        <v>213</v>
      </c>
      <c r="C130" t="s">
        <v>155</v>
      </c>
      <c r="D130" s="4">
        <v>132</v>
      </c>
      <c r="E130">
        <v>410</v>
      </c>
      <c r="F130">
        <v>272.89999999999998</v>
      </c>
      <c r="G130" s="4"/>
      <c r="J130" s="4"/>
    </row>
    <row r="131" spans="1:12" x14ac:dyDescent="0.35">
      <c r="A131">
        <v>2023</v>
      </c>
      <c r="B131">
        <v>214</v>
      </c>
      <c r="C131" t="s">
        <v>156</v>
      </c>
      <c r="D131" s="4">
        <v>88</v>
      </c>
      <c r="E131">
        <v>290</v>
      </c>
      <c r="F131">
        <v>184</v>
      </c>
      <c r="G131" s="4"/>
      <c r="J131" s="4"/>
    </row>
    <row r="132" spans="1:12" x14ac:dyDescent="0.35">
      <c r="A132">
        <v>2023</v>
      </c>
      <c r="B132">
        <v>215</v>
      </c>
      <c r="C132" t="s">
        <v>157</v>
      </c>
      <c r="D132" s="4">
        <v>57</v>
      </c>
      <c r="E132">
        <v>164</v>
      </c>
      <c r="F132">
        <v>101.8</v>
      </c>
      <c r="G132" s="4"/>
      <c r="J132" s="4"/>
    </row>
    <row r="133" spans="1:12" x14ac:dyDescent="0.35">
      <c r="A133">
        <v>2023</v>
      </c>
      <c r="B133">
        <v>216</v>
      </c>
      <c r="C133" t="s">
        <v>158</v>
      </c>
      <c r="D133" s="4">
        <v>120</v>
      </c>
      <c r="E133">
        <v>422</v>
      </c>
      <c r="F133">
        <v>285.7</v>
      </c>
      <c r="G133" s="4"/>
      <c r="J133" s="4"/>
    </row>
    <row r="134" spans="1:12" x14ac:dyDescent="0.35">
      <c r="A134">
        <v>2023</v>
      </c>
      <c r="B134">
        <v>218</v>
      </c>
      <c r="C134" t="s">
        <v>159</v>
      </c>
      <c r="D134" s="4">
        <v>75</v>
      </c>
      <c r="E134">
        <v>656</v>
      </c>
      <c r="F134">
        <v>517.29999999999995</v>
      </c>
      <c r="G134" s="4"/>
      <c r="J134" s="4"/>
      <c r="K134">
        <v>12</v>
      </c>
      <c r="L134">
        <v>10.8</v>
      </c>
    </row>
    <row r="135" spans="1:12" x14ac:dyDescent="0.35">
      <c r="A135">
        <v>2023</v>
      </c>
      <c r="B135">
        <v>219</v>
      </c>
      <c r="C135" t="s">
        <v>160</v>
      </c>
      <c r="D135" s="4">
        <v>236</v>
      </c>
      <c r="E135">
        <v>1237</v>
      </c>
      <c r="F135">
        <v>937.3</v>
      </c>
      <c r="G135" s="4"/>
      <c r="J135" s="4">
        <v>5</v>
      </c>
      <c r="K135">
        <v>8</v>
      </c>
      <c r="L135">
        <v>6.2</v>
      </c>
    </row>
    <row r="136" spans="1:12" x14ac:dyDescent="0.35">
      <c r="A136">
        <v>2023</v>
      </c>
      <c r="B136">
        <v>220</v>
      </c>
      <c r="C136" t="s">
        <v>161</v>
      </c>
      <c r="D136" s="4">
        <v>74</v>
      </c>
      <c r="E136">
        <v>201</v>
      </c>
      <c r="F136">
        <v>135.4</v>
      </c>
      <c r="G136" s="4"/>
      <c r="J136" s="4"/>
    </row>
    <row r="137" spans="1:12" x14ac:dyDescent="0.35">
      <c r="A137">
        <v>2023</v>
      </c>
      <c r="B137">
        <v>221</v>
      </c>
      <c r="C137" t="s">
        <v>162</v>
      </c>
      <c r="D137" s="4">
        <v>175</v>
      </c>
      <c r="E137">
        <v>797</v>
      </c>
      <c r="F137">
        <v>590.79999999999995</v>
      </c>
      <c r="G137" s="4"/>
      <c r="J137" s="4"/>
    </row>
    <row r="138" spans="1:12" x14ac:dyDescent="0.35">
      <c r="A138">
        <v>2023</v>
      </c>
      <c r="B138">
        <v>223</v>
      </c>
      <c r="C138" t="s">
        <v>163</v>
      </c>
      <c r="D138" s="4">
        <v>370</v>
      </c>
      <c r="E138">
        <v>1764</v>
      </c>
      <c r="F138">
        <v>1337</v>
      </c>
      <c r="G138" s="4"/>
      <c r="J138" s="4">
        <v>4</v>
      </c>
      <c r="K138">
        <v>57</v>
      </c>
      <c r="L138">
        <v>17.399999999999999</v>
      </c>
    </row>
    <row r="139" spans="1:12" x14ac:dyDescent="0.35">
      <c r="A139">
        <v>2023</v>
      </c>
      <c r="B139">
        <v>224</v>
      </c>
      <c r="C139" t="s">
        <v>164</v>
      </c>
      <c r="D139" s="4">
        <v>236</v>
      </c>
      <c r="E139">
        <v>1596</v>
      </c>
      <c r="F139">
        <v>1271.2</v>
      </c>
      <c r="G139" s="4"/>
      <c r="J139" s="4"/>
    </row>
    <row r="140" spans="1:12" x14ac:dyDescent="0.35">
      <c r="A140">
        <v>2023</v>
      </c>
      <c r="B140">
        <v>225</v>
      </c>
      <c r="C140" t="s">
        <v>165</v>
      </c>
      <c r="D140" s="4">
        <v>155</v>
      </c>
      <c r="E140">
        <v>577</v>
      </c>
      <c r="F140">
        <v>388.1</v>
      </c>
      <c r="G140" s="4"/>
      <c r="H140">
        <v>5</v>
      </c>
      <c r="I140">
        <v>4.5999999999999996</v>
      </c>
      <c r="J140" s="4"/>
    </row>
    <row r="141" spans="1:12" x14ac:dyDescent="0.35">
      <c r="A141">
        <v>2023</v>
      </c>
      <c r="B141">
        <v>226</v>
      </c>
      <c r="C141" t="s">
        <v>166</v>
      </c>
      <c r="D141" s="4">
        <v>58</v>
      </c>
      <c r="E141">
        <v>163</v>
      </c>
      <c r="F141">
        <v>107.2</v>
      </c>
      <c r="G141" s="4"/>
      <c r="J141" s="4"/>
    </row>
    <row r="142" spans="1:12" x14ac:dyDescent="0.35">
      <c r="A142">
        <v>2023</v>
      </c>
      <c r="B142">
        <v>227</v>
      </c>
      <c r="C142" t="s">
        <v>167</v>
      </c>
      <c r="D142" s="4">
        <v>422</v>
      </c>
      <c r="E142">
        <v>2799</v>
      </c>
      <c r="F142">
        <v>2130.5</v>
      </c>
      <c r="G142" s="4"/>
      <c r="J142" s="4"/>
    </row>
    <row r="143" spans="1:12" x14ac:dyDescent="0.35">
      <c r="A143">
        <v>2023</v>
      </c>
      <c r="B143">
        <v>228</v>
      </c>
      <c r="C143" t="s">
        <v>168</v>
      </c>
      <c r="D143" s="4">
        <v>332</v>
      </c>
      <c r="E143">
        <v>1685</v>
      </c>
      <c r="F143">
        <v>1195.5999999999999</v>
      </c>
      <c r="G143" s="4"/>
      <c r="J143" s="4"/>
      <c r="K143">
        <v>8</v>
      </c>
      <c r="L143">
        <v>5.8</v>
      </c>
    </row>
    <row r="144" spans="1:12" x14ac:dyDescent="0.35">
      <c r="A144">
        <v>2023</v>
      </c>
      <c r="B144">
        <v>230</v>
      </c>
      <c r="C144" t="s">
        <v>169</v>
      </c>
      <c r="D144" s="4">
        <v>8522</v>
      </c>
      <c r="E144">
        <v>79024</v>
      </c>
      <c r="F144">
        <v>59983.4</v>
      </c>
      <c r="G144" s="4">
        <v>46</v>
      </c>
      <c r="H144">
        <v>186</v>
      </c>
      <c r="I144">
        <v>139.69999999999999</v>
      </c>
      <c r="J144" s="4">
        <v>49</v>
      </c>
      <c r="K144">
        <v>109</v>
      </c>
      <c r="L144">
        <v>70.3</v>
      </c>
    </row>
    <row r="145" spans="1:12" x14ac:dyDescent="0.35">
      <c r="A145">
        <v>2023</v>
      </c>
      <c r="B145">
        <v>231</v>
      </c>
      <c r="C145" t="s">
        <v>170</v>
      </c>
      <c r="D145" s="4">
        <v>353</v>
      </c>
      <c r="E145">
        <v>1640</v>
      </c>
      <c r="F145">
        <v>1196.5</v>
      </c>
      <c r="G145" s="4"/>
      <c r="J145" s="4">
        <v>5</v>
      </c>
      <c r="K145">
        <v>14</v>
      </c>
      <c r="L145">
        <v>11.4</v>
      </c>
    </row>
    <row r="146" spans="1:12" x14ac:dyDescent="0.35">
      <c r="A146">
        <v>2023</v>
      </c>
      <c r="B146">
        <v>241</v>
      </c>
      <c r="C146" t="s">
        <v>171</v>
      </c>
      <c r="D146" s="4">
        <v>122</v>
      </c>
      <c r="E146">
        <v>433</v>
      </c>
      <c r="F146">
        <v>296.5</v>
      </c>
      <c r="G146" s="4"/>
      <c r="J146" s="4"/>
    </row>
    <row r="147" spans="1:12" x14ac:dyDescent="0.35">
      <c r="A147">
        <v>2023</v>
      </c>
      <c r="B147">
        <v>242</v>
      </c>
      <c r="C147" t="s">
        <v>172</v>
      </c>
      <c r="D147" s="4">
        <v>434</v>
      </c>
      <c r="E147">
        <v>2695</v>
      </c>
      <c r="F147">
        <v>2031.8</v>
      </c>
      <c r="G147" s="4"/>
      <c r="J147" s="4"/>
      <c r="K147">
        <v>7</v>
      </c>
      <c r="L147">
        <v>4.0999999999999996</v>
      </c>
    </row>
    <row r="148" spans="1:12" x14ac:dyDescent="0.35">
      <c r="A148">
        <v>2023</v>
      </c>
      <c r="B148">
        <v>243</v>
      </c>
      <c r="C148" t="s">
        <v>173</v>
      </c>
      <c r="D148" s="4">
        <v>1831</v>
      </c>
      <c r="E148">
        <v>19541</v>
      </c>
      <c r="F148">
        <v>15522.5</v>
      </c>
      <c r="G148" s="4">
        <v>12</v>
      </c>
      <c r="H148">
        <v>20</v>
      </c>
      <c r="I148">
        <v>17.899999999999999</v>
      </c>
      <c r="J148" s="4">
        <v>17</v>
      </c>
      <c r="K148">
        <v>36</v>
      </c>
      <c r="L148">
        <v>27.8</v>
      </c>
    </row>
    <row r="149" spans="1:12" x14ac:dyDescent="0.35">
      <c r="A149">
        <v>2023</v>
      </c>
      <c r="B149">
        <v>244</v>
      </c>
      <c r="C149" t="s">
        <v>174</v>
      </c>
      <c r="D149" s="4">
        <v>298</v>
      </c>
      <c r="E149">
        <v>2322</v>
      </c>
      <c r="F149">
        <v>1760.2</v>
      </c>
      <c r="G149" s="4"/>
      <c r="J149" s="4"/>
    </row>
    <row r="150" spans="1:12" x14ac:dyDescent="0.35">
      <c r="A150">
        <v>2023</v>
      </c>
      <c r="B150">
        <v>245</v>
      </c>
      <c r="C150" t="s">
        <v>175</v>
      </c>
      <c r="D150" s="4">
        <v>325</v>
      </c>
      <c r="E150">
        <v>1363</v>
      </c>
      <c r="F150">
        <v>955.3</v>
      </c>
      <c r="G150" s="4"/>
      <c r="J150" s="4"/>
    </row>
    <row r="151" spans="1:12" x14ac:dyDescent="0.35">
      <c r="A151">
        <v>2023</v>
      </c>
      <c r="B151">
        <v>246</v>
      </c>
      <c r="C151" t="s">
        <v>176</v>
      </c>
      <c r="D151" s="4">
        <v>118</v>
      </c>
      <c r="E151">
        <v>228</v>
      </c>
      <c r="F151">
        <v>145.1</v>
      </c>
      <c r="G151" s="4"/>
      <c r="J151" s="4"/>
    </row>
    <row r="152" spans="1:12" x14ac:dyDescent="0.35">
      <c r="A152">
        <v>2023</v>
      </c>
      <c r="B152">
        <v>247</v>
      </c>
      <c r="C152" t="s">
        <v>177</v>
      </c>
      <c r="D152" s="4">
        <v>1539</v>
      </c>
      <c r="E152">
        <v>22901</v>
      </c>
      <c r="F152">
        <v>18146.7</v>
      </c>
      <c r="G152" s="4">
        <v>13</v>
      </c>
      <c r="H152">
        <v>154</v>
      </c>
      <c r="I152">
        <v>97.5</v>
      </c>
      <c r="J152" s="4">
        <v>8</v>
      </c>
      <c r="K152">
        <v>37</v>
      </c>
      <c r="L152">
        <v>32.6</v>
      </c>
    </row>
    <row r="153" spans="1:12" x14ac:dyDescent="0.35">
      <c r="A153">
        <v>2023</v>
      </c>
      <c r="B153">
        <v>248</v>
      </c>
      <c r="C153" t="s">
        <v>178</v>
      </c>
      <c r="D153" s="4">
        <v>320</v>
      </c>
      <c r="E153">
        <v>1252</v>
      </c>
      <c r="F153">
        <v>855.2</v>
      </c>
      <c r="G153" s="4"/>
      <c r="H153">
        <v>4</v>
      </c>
      <c r="J153" s="4"/>
    </row>
    <row r="154" spans="1:12" x14ac:dyDescent="0.35">
      <c r="A154">
        <v>2023</v>
      </c>
      <c r="B154">
        <v>249</v>
      </c>
      <c r="C154" t="s">
        <v>179</v>
      </c>
      <c r="D154" s="4">
        <v>253</v>
      </c>
      <c r="E154">
        <v>1048</v>
      </c>
      <c r="F154">
        <v>801.9</v>
      </c>
      <c r="G154" s="4">
        <v>3</v>
      </c>
      <c r="H154">
        <v>11</v>
      </c>
      <c r="I154">
        <v>7</v>
      </c>
      <c r="J154" s="4"/>
    </row>
    <row r="155" spans="1:12" x14ac:dyDescent="0.35">
      <c r="A155">
        <v>2023</v>
      </c>
      <c r="B155">
        <v>250</v>
      </c>
      <c r="C155" t="s">
        <v>180</v>
      </c>
      <c r="D155" s="4">
        <v>661</v>
      </c>
      <c r="E155">
        <v>8556</v>
      </c>
      <c r="F155">
        <v>6116.6</v>
      </c>
      <c r="G155" s="4">
        <v>5</v>
      </c>
      <c r="H155">
        <v>15</v>
      </c>
      <c r="I155">
        <v>10</v>
      </c>
      <c r="J155" s="4">
        <v>5</v>
      </c>
      <c r="K155">
        <v>30</v>
      </c>
      <c r="L155">
        <v>28.6</v>
      </c>
    </row>
    <row r="156" spans="1:12" x14ac:dyDescent="0.35">
      <c r="A156">
        <v>2023</v>
      </c>
      <c r="B156">
        <v>251</v>
      </c>
      <c r="C156" t="s">
        <v>181</v>
      </c>
      <c r="D156" s="4">
        <v>257</v>
      </c>
      <c r="E156">
        <v>2219</v>
      </c>
      <c r="F156">
        <v>1527.1</v>
      </c>
      <c r="G156" s="4"/>
      <c r="J156" s="4">
        <v>3</v>
      </c>
      <c r="K156">
        <v>5</v>
      </c>
      <c r="L156">
        <v>4.2</v>
      </c>
    </row>
    <row r="157" spans="1:12" x14ac:dyDescent="0.35">
      <c r="A157">
        <v>2023</v>
      </c>
      <c r="B157">
        <v>261</v>
      </c>
      <c r="C157" t="s">
        <v>182</v>
      </c>
      <c r="D157" s="4">
        <v>47382</v>
      </c>
      <c r="E157">
        <v>545938</v>
      </c>
      <c r="F157">
        <v>418086.7</v>
      </c>
      <c r="G157" s="4">
        <v>241</v>
      </c>
      <c r="H157">
        <v>1022</v>
      </c>
      <c r="I157">
        <v>810.1</v>
      </c>
      <c r="J157" s="4">
        <v>309</v>
      </c>
      <c r="K157">
        <v>1361</v>
      </c>
      <c r="L157">
        <v>1049.3</v>
      </c>
    </row>
    <row r="158" spans="1:12" x14ac:dyDescent="0.35">
      <c r="A158">
        <v>2023</v>
      </c>
      <c r="B158">
        <v>291</v>
      </c>
      <c r="C158" t="s">
        <v>183</v>
      </c>
      <c r="D158" s="4">
        <v>319</v>
      </c>
      <c r="E158">
        <v>2073</v>
      </c>
      <c r="F158">
        <v>1595</v>
      </c>
      <c r="G158" s="4">
        <v>3</v>
      </c>
      <c r="H158">
        <v>10</v>
      </c>
      <c r="I158">
        <v>9</v>
      </c>
      <c r="J158" s="4"/>
      <c r="K158">
        <v>4</v>
      </c>
    </row>
    <row r="159" spans="1:12" x14ac:dyDescent="0.35">
      <c r="A159">
        <v>2023</v>
      </c>
      <c r="B159">
        <v>292</v>
      </c>
      <c r="C159" t="s">
        <v>184</v>
      </c>
      <c r="D159" s="4">
        <v>275</v>
      </c>
      <c r="E159">
        <v>1389</v>
      </c>
      <c r="F159">
        <v>999.5</v>
      </c>
      <c r="G159" s="4">
        <v>3</v>
      </c>
      <c r="J159" s="4">
        <v>3</v>
      </c>
      <c r="K159">
        <v>4</v>
      </c>
    </row>
    <row r="160" spans="1:12" x14ac:dyDescent="0.35">
      <c r="A160">
        <v>2023</v>
      </c>
      <c r="B160">
        <v>293</v>
      </c>
      <c r="C160" t="s">
        <v>185</v>
      </c>
      <c r="D160" s="4">
        <v>1907</v>
      </c>
      <c r="E160">
        <v>10377</v>
      </c>
      <c r="F160">
        <v>7722.3</v>
      </c>
      <c r="G160" s="4">
        <v>13</v>
      </c>
      <c r="H160">
        <v>13</v>
      </c>
      <c r="I160">
        <v>7.4</v>
      </c>
      <c r="J160" s="4">
        <v>9</v>
      </c>
      <c r="K160">
        <v>17</v>
      </c>
      <c r="L160">
        <v>12.4</v>
      </c>
    </row>
    <row r="161" spans="1:12" x14ac:dyDescent="0.35">
      <c r="A161">
        <v>2023</v>
      </c>
      <c r="B161">
        <v>294</v>
      </c>
      <c r="C161" t="s">
        <v>186</v>
      </c>
      <c r="D161" s="4">
        <v>348</v>
      </c>
      <c r="E161">
        <v>1820</v>
      </c>
      <c r="F161">
        <v>1352.7</v>
      </c>
      <c r="G161" s="4"/>
      <c r="H161">
        <v>7</v>
      </c>
      <c r="I161">
        <v>5.9</v>
      </c>
      <c r="J161" s="4">
        <v>3</v>
      </c>
    </row>
    <row r="162" spans="1:12" x14ac:dyDescent="0.35">
      <c r="A162">
        <v>2023</v>
      </c>
      <c r="B162">
        <v>295</v>
      </c>
      <c r="C162" t="s">
        <v>187</v>
      </c>
      <c r="D162" s="4">
        <v>1515</v>
      </c>
      <c r="E162">
        <v>10955</v>
      </c>
      <c r="F162">
        <v>8263.7000000000007</v>
      </c>
      <c r="G162" s="4">
        <v>5</v>
      </c>
      <c r="H162">
        <v>11</v>
      </c>
      <c r="I162">
        <v>7.5</v>
      </c>
      <c r="J162" s="4">
        <v>19</v>
      </c>
      <c r="K162">
        <v>38</v>
      </c>
      <c r="L162">
        <v>30.9</v>
      </c>
    </row>
    <row r="163" spans="1:12" x14ac:dyDescent="0.35">
      <c r="A163">
        <v>2023</v>
      </c>
      <c r="B163">
        <v>296</v>
      </c>
      <c r="C163" t="s">
        <v>188</v>
      </c>
      <c r="D163" s="4">
        <v>1064</v>
      </c>
      <c r="E163">
        <v>6852</v>
      </c>
      <c r="F163">
        <v>5205.3</v>
      </c>
      <c r="G163" s="4"/>
      <c r="J163" s="4">
        <v>5</v>
      </c>
      <c r="K163">
        <v>9</v>
      </c>
      <c r="L163">
        <v>5.5</v>
      </c>
    </row>
    <row r="164" spans="1:12" x14ac:dyDescent="0.35">
      <c r="A164">
        <v>2023</v>
      </c>
      <c r="B164">
        <v>297</v>
      </c>
      <c r="C164" t="s">
        <v>189</v>
      </c>
      <c r="D164" s="4">
        <v>396</v>
      </c>
      <c r="E164">
        <v>1964</v>
      </c>
      <c r="F164">
        <v>1404.4</v>
      </c>
      <c r="G164" s="4"/>
      <c r="J164" s="4"/>
    </row>
    <row r="165" spans="1:12" x14ac:dyDescent="0.35">
      <c r="A165">
        <v>2023</v>
      </c>
      <c r="B165">
        <v>298</v>
      </c>
      <c r="C165" t="s">
        <v>190</v>
      </c>
      <c r="D165" s="4">
        <v>405</v>
      </c>
      <c r="E165">
        <v>1600</v>
      </c>
      <c r="F165">
        <v>1114.8</v>
      </c>
      <c r="G165" s="4"/>
      <c r="J165" s="4">
        <v>4</v>
      </c>
      <c r="K165">
        <v>8</v>
      </c>
      <c r="L165">
        <v>6.7</v>
      </c>
    </row>
  </sheetData>
  <mergeCells count="5">
    <mergeCell ref="A1:R1"/>
    <mergeCell ref="A2:R2"/>
    <mergeCell ref="D4:F4"/>
    <mergeCell ref="G4:I4"/>
    <mergeCell ref="J4:L4"/>
  </mergeCells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65"/>
  <sheetViews>
    <sheetView workbookViewId="0"/>
  </sheetViews>
  <sheetFormatPr baseColWidth="10" defaultRowHeight="14.5" x14ac:dyDescent="0.35"/>
  <cols>
    <col min="1" max="1" width="6.7265625" customWidth="1"/>
    <col min="2" max="2" width="14.7265625" customWidth="1"/>
    <col min="3" max="3" width="20.7265625" customWidth="1"/>
    <col min="4" max="4" width="17.7265625" customWidth="1"/>
    <col min="5" max="5" width="15.7265625" customWidth="1"/>
    <col min="6" max="6" width="22.7265625" customWidth="1"/>
    <col min="7" max="7" width="17.7265625" customWidth="1"/>
    <col min="8" max="8" width="15.7265625" customWidth="1"/>
    <col min="9" max="9" width="22.7265625" customWidth="1"/>
    <col min="10" max="10" width="17.7265625" customWidth="1"/>
    <col min="11" max="11" width="15.7265625" customWidth="1"/>
    <col min="12" max="12" width="22.7265625" customWidth="1"/>
  </cols>
  <sheetData>
    <row r="1" spans="1:18" ht="18" x14ac:dyDescent="0.4">
      <c r="A1" s="10" t="s">
        <v>192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x14ac:dyDescent="0.35">
      <c r="A2" s="8" t="s">
        <v>10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4" spans="1:18" x14ac:dyDescent="0.35">
      <c r="D4" s="11" t="s">
        <v>22</v>
      </c>
      <c r="E4" s="12"/>
      <c r="F4" s="12"/>
      <c r="G4" s="11" t="s">
        <v>23</v>
      </c>
      <c r="H4" s="12"/>
      <c r="I4" s="12"/>
      <c r="J4" s="11" t="s">
        <v>24</v>
      </c>
      <c r="K4" s="12"/>
      <c r="L4" s="12"/>
    </row>
    <row r="5" spans="1:18" ht="15.5" x14ac:dyDescent="0.35">
      <c r="A5" s="3" t="s">
        <v>25</v>
      </c>
      <c r="B5" s="3" t="s">
        <v>26</v>
      </c>
      <c r="C5" s="3" t="s">
        <v>27</v>
      </c>
      <c r="D5" s="5" t="s">
        <v>28</v>
      </c>
      <c r="E5" s="3" t="s">
        <v>29</v>
      </c>
      <c r="F5" s="3" t="s">
        <v>30</v>
      </c>
      <c r="G5" s="5" t="s">
        <v>28</v>
      </c>
      <c r="H5" s="3" t="s">
        <v>29</v>
      </c>
      <c r="I5" s="3" t="s">
        <v>30</v>
      </c>
      <c r="J5" s="5" t="s">
        <v>28</v>
      </c>
      <c r="K5" s="3" t="s">
        <v>29</v>
      </c>
      <c r="L5" s="3" t="s">
        <v>30</v>
      </c>
    </row>
    <row r="6" spans="1:18" x14ac:dyDescent="0.35">
      <c r="A6">
        <v>2022</v>
      </c>
      <c r="B6">
        <v>1</v>
      </c>
      <c r="C6" t="s">
        <v>31</v>
      </c>
      <c r="D6" s="4">
        <v>147</v>
      </c>
      <c r="E6">
        <v>470</v>
      </c>
      <c r="F6">
        <v>296.8</v>
      </c>
      <c r="G6" s="4"/>
      <c r="J6" s="4">
        <v>3</v>
      </c>
      <c r="K6">
        <v>8</v>
      </c>
      <c r="L6">
        <v>7</v>
      </c>
    </row>
    <row r="7" spans="1:18" x14ac:dyDescent="0.35">
      <c r="A7">
        <v>2022</v>
      </c>
      <c r="B7">
        <v>2</v>
      </c>
      <c r="C7" t="s">
        <v>32</v>
      </c>
      <c r="D7" s="4">
        <v>1000</v>
      </c>
      <c r="E7">
        <v>6912</v>
      </c>
      <c r="F7">
        <v>5128.8</v>
      </c>
      <c r="G7" s="4">
        <v>8</v>
      </c>
      <c r="H7">
        <v>15</v>
      </c>
      <c r="I7">
        <v>9.5</v>
      </c>
      <c r="J7" s="4">
        <v>14</v>
      </c>
      <c r="K7">
        <v>36</v>
      </c>
      <c r="L7">
        <v>28.2</v>
      </c>
    </row>
    <row r="8" spans="1:18" x14ac:dyDescent="0.35">
      <c r="A8">
        <v>2022</v>
      </c>
      <c r="B8">
        <v>3</v>
      </c>
      <c r="C8" t="s">
        <v>33</v>
      </c>
      <c r="D8" s="4">
        <v>281</v>
      </c>
      <c r="E8">
        <v>1038</v>
      </c>
      <c r="F8">
        <v>703.3</v>
      </c>
      <c r="G8" s="4"/>
      <c r="J8" s="4">
        <v>6</v>
      </c>
      <c r="K8">
        <v>10</v>
      </c>
      <c r="L8">
        <v>5.6</v>
      </c>
    </row>
    <row r="9" spans="1:18" x14ac:dyDescent="0.35">
      <c r="A9">
        <v>2022</v>
      </c>
      <c r="B9">
        <v>4</v>
      </c>
      <c r="C9" t="s">
        <v>34</v>
      </c>
      <c r="D9" s="4">
        <v>283</v>
      </c>
      <c r="E9">
        <v>1109</v>
      </c>
      <c r="F9">
        <v>772.7</v>
      </c>
      <c r="G9" s="4"/>
      <c r="J9" s="4">
        <v>3</v>
      </c>
      <c r="K9">
        <v>12</v>
      </c>
      <c r="L9">
        <v>9.1</v>
      </c>
    </row>
    <row r="10" spans="1:18" x14ac:dyDescent="0.35">
      <c r="A10">
        <v>2022</v>
      </c>
      <c r="B10">
        <v>5</v>
      </c>
      <c r="C10" t="s">
        <v>35</v>
      </c>
      <c r="D10" s="4">
        <v>207</v>
      </c>
      <c r="E10">
        <v>1419</v>
      </c>
      <c r="F10">
        <v>1156.5</v>
      </c>
      <c r="G10" s="4"/>
      <c r="J10" s="4"/>
    </row>
    <row r="11" spans="1:18" x14ac:dyDescent="0.35">
      <c r="A11">
        <v>2022</v>
      </c>
      <c r="B11">
        <v>6</v>
      </c>
      <c r="C11" t="s">
        <v>36</v>
      </c>
      <c r="D11" s="4">
        <v>104</v>
      </c>
      <c r="E11">
        <v>358</v>
      </c>
      <c r="F11">
        <v>244.8</v>
      </c>
      <c r="G11" s="4"/>
      <c r="J11" s="4"/>
    </row>
    <row r="12" spans="1:18" x14ac:dyDescent="0.35">
      <c r="A12">
        <v>2022</v>
      </c>
      <c r="B12">
        <v>7</v>
      </c>
      <c r="C12" t="s">
        <v>37</v>
      </c>
      <c r="D12" s="4">
        <v>142</v>
      </c>
      <c r="E12">
        <v>545</v>
      </c>
      <c r="F12">
        <v>364.9</v>
      </c>
      <c r="G12" s="4">
        <v>4</v>
      </c>
      <c r="H12">
        <v>5</v>
      </c>
      <c r="J12" s="4"/>
    </row>
    <row r="13" spans="1:18" x14ac:dyDescent="0.35">
      <c r="A13">
        <v>2022</v>
      </c>
      <c r="B13">
        <v>8</v>
      </c>
      <c r="C13" t="s">
        <v>38</v>
      </c>
      <c r="D13" s="4">
        <v>59</v>
      </c>
      <c r="E13">
        <v>181</v>
      </c>
      <c r="F13">
        <v>117.4</v>
      </c>
      <c r="G13" s="4"/>
      <c r="J13" s="4"/>
    </row>
    <row r="14" spans="1:18" x14ac:dyDescent="0.35">
      <c r="A14">
        <v>2022</v>
      </c>
      <c r="B14">
        <v>9</v>
      </c>
      <c r="C14" t="s">
        <v>39</v>
      </c>
      <c r="D14" s="4">
        <v>341</v>
      </c>
      <c r="E14">
        <v>1759</v>
      </c>
      <c r="F14">
        <v>1263.2</v>
      </c>
      <c r="G14" s="4">
        <v>3</v>
      </c>
      <c r="J14" s="4"/>
    </row>
    <row r="15" spans="1:18" x14ac:dyDescent="0.35">
      <c r="A15">
        <v>2022</v>
      </c>
      <c r="B15">
        <v>10</v>
      </c>
      <c r="C15" t="s">
        <v>40</v>
      </c>
      <c r="D15" s="4">
        <v>331</v>
      </c>
      <c r="E15">
        <v>1466</v>
      </c>
      <c r="F15">
        <v>1009.1</v>
      </c>
      <c r="G15" s="4"/>
      <c r="H15">
        <v>40</v>
      </c>
      <c r="I15">
        <v>36.5</v>
      </c>
      <c r="J15" s="4">
        <v>7</v>
      </c>
      <c r="K15">
        <v>19</v>
      </c>
      <c r="L15">
        <v>14.6</v>
      </c>
    </row>
    <row r="16" spans="1:18" x14ac:dyDescent="0.35">
      <c r="A16">
        <v>2022</v>
      </c>
      <c r="B16">
        <v>11</v>
      </c>
      <c r="C16" t="s">
        <v>41</v>
      </c>
      <c r="D16" s="4">
        <v>181</v>
      </c>
      <c r="E16">
        <v>691</v>
      </c>
      <c r="F16">
        <v>508.3</v>
      </c>
      <c r="G16" s="4"/>
      <c r="H16">
        <v>7</v>
      </c>
      <c r="I16">
        <v>4.3</v>
      </c>
      <c r="J16" s="4"/>
      <c r="K16">
        <v>4</v>
      </c>
    </row>
    <row r="17" spans="1:11" x14ac:dyDescent="0.35">
      <c r="A17">
        <v>2022</v>
      </c>
      <c r="B17">
        <v>12</v>
      </c>
      <c r="C17" t="s">
        <v>42</v>
      </c>
      <c r="D17" s="4">
        <v>99</v>
      </c>
      <c r="E17">
        <v>295</v>
      </c>
      <c r="F17">
        <v>189.9</v>
      </c>
      <c r="G17" s="4"/>
      <c r="J17" s="4"/>
    </row>
    <row r="18" spans="1:11" x14ac:dyDescent="0.35">
      <c r="A18">
        <v>2022</v>
      </c>
      <c r="B18">
        <v>13</v>
      </c>
      <c r="C18" t="s">
        <v>43</v>
      </c>
      <c r="D18" s="4">
        <v>185</v>
      </c>
      <c r="E18">
        <v>833</v>
      </c>
      <c r="F18">
        <v>588.1</v>
      </c>
      <c r="G18" s="4">
        <v>4</v>
      </c>
      <c r="H18">
        <v>5</v>
      </c>
      <c r="I18">
        <v>4.5999999999999996</v>
      </c>
      <c r="J18" s="4"/>
    </row>
    <row r="19" spans="1:11" x14ac:dyDescent="0.35">
      <c r="A19">
        <v>2022</v>
      </c>
      <c r="B19">
        <v>14</v>
      </c>
      <c r="C19" t="s">
        <v>44</v>
      </c>
      <c r="D19" s="4">
        <v>275</v>
      </c>
      <c r="E19">
        <v>1401</v>
      </c>
      <c r="F19">
        <v>1084.8</v>
      </c>
      <c r="G19" s="4"/>
      <c r="J19" s="4">
        <v>3</v>
      </c>
    </row>
    <row r="20" spans="1:11" x14ac:dyDescent="0.35">
      <c r="A20">
        <v>2022</v>
      </c>
      <c r="B20">
        <v>22</v>
      </c>
      <c r="C20" t="s">
        <v>45</v>
      </c>
      <c r="D20" s="4">
        <v>63</v>
      </c>
      <c r="E20">
        <v>357</v>
      </c>
      <c r="F20">
        <v>224.5</v>
      </c>
      <c r="G20" s="4"/>
      <c r="J20" s="4"/>
    </row>
    <row r="21" spans="1:11" x14ac:dyDescent="0.35">
      <c r="A21">
        <v>2022</v>
      </c>
      <c r="B21">
        <v>23</v>
      </c>
      <c r="C21" t="s">
        <v>46</v>
      </c>
      <c r="D21" s="4">
        <v>53</v>
      </c>
      <c r="E21">
        <v>160</v>
      </c>
      <c r="F21">
        <v>99.7</v>
      </c>
      <c r="G21" s="4"/>
      <c r="J21" s="4"/>
    </row>
    <row r="22" spans="1:11" x14ac:dyDescent="0.35">
      <c r="A22">
        <v>2022</v>
      </c>
      <c r="B22">
        <v>24</v>
      </c>
      <c r="C22" t="s">
        <v>47</v>
      </c>
      <c r="D22" s="4">
        <v>78</v>
      </c>
      <c r="E22">
        <v>202</v>
      </c>
      <c r="F22">
        <v>141.69999999999999</v>
      </c>
      <c r="G22" s="4"/>
      <c r="J22" s="4"/>
    </row>
    <row r="23" spans="1:11" x14ac:dyDescent="0.35">
      <c r="A23">
        <v>2022</v>
      </c>
      <c r="B23">
        <v>25</v>
      </c>
      <c r="C23" t="s">
        <v>48</v>
      </c>
      <c r="D23" s="4">
        <v>106</v>
      </c>
      <c r="E23">
        <v>403</v>
      </c>
      <c r="F23">
        <v>291.5</v>
      </c>
      <c r="G23" s="4"/>
      <c r="J23" s="4"/>
      <c r="K23">
        <v>4</v>
      </c>
    </row>
    <row r="24" spans="1:11" x14ac:dyDescent="0.35">
      <c r="A24">
        <v>2022</v>
      </c>
      <c r="B24">
        <v>26</v>
      </c>
      <c r="C24" t="s">
        <v>49</v>
      </c>
      <c r="D24" s="4">
        <v>56</v>
      </c>
      <c r="E24">
        <v>176</v>
      </c>
      <c r="F24">
        <v>109.4</v>
      </c>
      <c r="G24" s="4"/>
      <c r="J24" s="4"/>
    </row>
    <row r="25" spans="1:11" x14ac:dyDescent="0.35">
      <c r="A25">
        <v>2022</v>
      </c>
      <c r="B25">
        <v>27</v>
      </c>
      <c r="C25" t="s">
        <v>50</v>
      </c>
      <c r="D25" s="4">
        <v>205</v>
      </c>
      <c r="E25">
        <v>1316</v>
      </c>
      <c r="F25">
        <v>962.7</v>
      </c>
      <c r="G25" s="4">
        <v>4</v>
      </c>
      <c r="H25">
        <v>4</v>
      </c>
      <c r="J25" s="4"/>
    </row>
    <row r="26" spans="1:11" x14ac:dyDescent="0.35">
      <c r="A26">
        <v>2022</v>
      </c>
      <c r="B26">
        <v>28</v>
      </c>
      <c r="C26" t="s">
        <v>51</v>
      </c>
      <c r="D26" s="4">
        <v>135</v>
      </c>
      <c r="E26">
        <v>771</v>
      </c>
      <c r="F26">
        <v>503.1</v>
      </c>
      <c r="G26" s="4"/>
      <c r="J26" s="4"/>
    </row>
    <row r="27" spans="1:11" x14ac:dyDescent="0.35">
      <c r="A27">
        <v>2022</v>
      </c>
      <c r="B27">
        <v>29</v>
      </c>
      <c r="C27" t="s">
        <v>52</v>
      </c>
      <c r="D27" s="4">
        <v>116</v>
      </c>
      <c r="E27">
        <v>473</v>
      </c>
      <c r="F27">
        <v>330.3</v>
      </c>
      <c r="G27" s="4">
        <v>3</v>
      </c>
      <c r="H27">
        <v>5</v>
      </c>
      <c r="I27">
        <v>4</v>
      </c>
      <c r="J27" s="4"/>
    </row>
    <row r="28" spans="1:11" x14ac:dyDescent="0.35">
      <c r="A28">
        <v>2022</v>
      </c>
      <c r="B28">
        <v>31</v>
      </c>
      <c r="C28" t="s">
        <v>53</v>
      </c>
      <c r="D28" s="4">
        <v>112</v>
      </c>
      <c r="E28">
        <v>726</v>
      </c>
      <c r="F28">
        <v>547.29999999999995</v>
      </c>
      <c r="G28" s="4"/>
      <c r="J28" s="4"/>
    </row>
    <row r="29" spans="1:11" x14ac:dyDescent="0.35">
      <c r="A29">
        <v>2022</v>
      </c>
      <c r="B29">
        <v>33</v>
      </c>
      <c r="C29" t="s">
        <v>54</v>
      </c>
      <c r="D29" s="4">
        <v>188</v>
      </c>
      <c r="E29">
        <v>1152</v>
      </c>
      <c r="F29">
        <v>929.1</v>
      </c>
      <c r="G29" s="4"/>
      <c r="J29" s="4"/>
    </row>
    <row r="30" spans="1:11" x14ac:dyDescent="0.35">
      <c r="A30">
        <v>2022</v>
      </c>
      <c r="B30">
        <v>34</v>
      </c>
      <c r="C30" t="s">
        <v>55</v>
      </c>
      <c r="D30" s="4">
        <v>112</v>
      </c>
      <c r="E30">
        <v>462</v>
      </c>
      <c r="F30">
        <v>297.8</v>
      </c>
      <c r="G30" s="4"/>
      <c r="J30" s="4"/>
    </row>
    <row r="31" spans="1:11" x14ac:dyDescent="0.35">
      <c r="A31">
        <v>2022</v>
      </c>
      <c r="B31">
        <v>35</v>
      </c>
      <c r="C31" t="s">
        <v>56</v>
      </c>
      <c r="D31" s="4">
        <v>211</v>
      </c>
      <c r="E31">
        <v>1241</v>
      </c>
      <c r="F31">
        <v>870.2</v>
      </c>
      <c r="G31" s="4"/>
      <c r="J31" s="4"/>
    </row>
    <row r="32" spans="1:11" x14ac:dyDescent="0.35">
      <c r="A32">
        <v>2022</v>
      </c>
      <c r="B32">
        <v>37</v>
      </c>
      <c r="C32" t="s">
        <v>57</v>
      </c>
      <c r="D32" s="4">
        <v>119</v>
      </c>
      <c r="E32">
        <v>470</v>
      </c>
      <c r="F32">
        <v>318.2</v>
      </c>
      <c r="G32" s="4"/>
      <c r="J32" s="4"/>
    </row>
    <row r="33" spans="1:12" x14ac:dyDescent="0.35">
      <c r="A33">
        <v>2022</v>
      </c>
      <c r="B33">
        <v>38</v>
      </c>
      <c r="C33" t="s">
        <v>58</v>
      </c>
      <c r="D33" s="4">
        <v>92</v>
      </c>
      <c r="E33">
        <v>805</v>
      </c>
      <c r="F33">
        <v>566.4</v>
      </c>
      <c r="G33" s="4"/>
      <c r="J33" s="4"/>
    </row>
    <row r="34" spans="1:12" x14ac:dyDescent="0.35">
      <c r="A34">
        <v>2022</v>
      </c>
      <c r="B34">
        <v>39</v>
      </c>
      <c r="C34" t="s">
        <v>59</v>
      </c>
      <c r="D34" s="4">
        <v>71</v>
      </c>
      <c r="E34">
        <v>324</v>
      </c>
      <c r="F34">
        <v>227</v>
      </c>
      <c r="G34" s="4"/>
      <c r="J34" s="4"/>
    </row>
    <row r="35" spans="1:12" x14ac:dyDescent="0.35">
      <c r="A35">
        <v>2022</v>
      </c>
      <c r="B35">
        <v>40</v>
      </c>
      <c r="C35" t="s">
        <v>60</v>
      </c>
      <c r="D35" s="4">
        <v>86</v>
      </c>
      <c r="E35">
        <v>328</v>
      </c>
      <c r="F35">
        <v>206.9</v>
      </c>
      <c r="G35" s="4"/>
      <c r="J35" s="4"/>
    </row>
    <row r="36" spans="1:12" x14ac:dyDescent="0.35">
      <c r="A36">
        <v>2022</v>
      </c>
      <c r="B36">
        <v>41</v>
      </c>
      <c r="C36" t="s">
        <v>61</v>
      </c>
      <c r="D36" s="4">
        <v>39</v>
      </c>
      <c r="E36">
        <v>131</v>
      </c>
      <c r="F36">
        <v>88.2</v>
      </c>
      <c r="G36" s="4"/>
      <c r="J36" s="4"/>
    </row>
    <row r="37" spans="1:12" x14ac:dyDescent="0.35">
      <c r="A37">
        <v>2022</v>
      </c>
      <c r="B37">
        <v>43</v>
      </c>
      <c r="C37" t="s">
        <v>62</v>
      </c>
      <c r="D37" s="4">
        <v>32</v>
      </c>
      <c r="E37">
        <v>89</v>
      </c>
      <c r="F37">
        <v>53.4</v>
      </c>
      <c r="G37" s="4"/>
      <c r="J37" s="4"/>
    </row>
    <row r="38" spans="1:12" x14ac:dyDescent="0.35">
      <c r="A38">
        <v>2022</v>
      </c>
      <c r="B38">
        <v>51</v>
      </c>
      <c r="C38" t="s">
        <v>63</v>
      </c>
      <c r="D38" s="4">
        <v>268</v>
      </c>
      <c r="E38">
        <v>1625</v>
      </c>
      <c r="F38">
        <v>1325.4</v>
      </c>
      <c r="G38" s="4"/>
      <c r="J38" s="4"/>
      <c r="K38">
        <v>4</v>
      </c>
    </row>
    <row r="39" spans="1:12" x14ac:dyDescent="0.35">
      <c r="A39">
        <v>2022</v>
      </c>
      <c r="B39">
        <v>52</v>
      </c>
      <c r="C39" t="s">
        <v>64</v>
      </c>
      <c r="D39" s="4">
        <v>648</v>
      </c>
      <c r="E39">
        <v>4681</v>
      </c>
      <c r="F39">
        <v>3728.2</v>
      </c>
      <c r="G39" s="4"/>
      <c r="H39">
        <v>26</v>
      </c>
      <c r="I39">
        <v>23</v>
      </c>
      <c r="J39" s="4">
        <v>5</v>
      </c>
      <c r="K39">
        <v>11</v>
      </c>
      <c r="L39">
        <v>8.9</v>
      </c>
    </row>
    <row r="40" spans="1:12" x14ac:dyDescent="0.35">
      <c r="A40">
        <v>2022</v>
      </c>
      <c r="B40">
        <v>53</v>
      </c>
      <c r="C40" t="s">
        <v>65</v>
      </c>
      <c r="D40" s="4">
        <v>1357</v>
      </c>
      <c r="E40">
        <v>11203</v>
      </c>
      <c r="F40">
        <v>8393.2000000000007</v>
      </c>
      <c r="G40" s="4">
        <v>3</v>
      </c>
      <c r="H40">
        <v>4</v>
      </c>
      <c r="J40" s="4">
        <v>3</v>
      </c>
      <c r="K40">
        <v>4</v>
      </c>
    </row>
    <row r="41" spans="1:12" x14ac:dyDescent="0.35">
      <c r="A41">
        <v>2022</v>
      </c>
      <c r="B41">
        <v>54</v>
      </c>
      <c r="C41" t="s">
        <v>66</v>
      </c>
      <c r="D41" s="4">
        <v>590</v>
      </c>
      <c r="E41">
        <v>5412</v>
      </c>
      <c r="F41">
        <v>4390.6000000000004</v>
      </c>
      <c r="G41" s="4">
        <v>3</v>
      </c>
      <c r="H41">
        <v>20</v>
      </c>
      <c r="I41">
        <v>18.8</v>
      </c>
      <c r="J41" s="4">
        <v>3</v>
      </c>
      <c r="K41">
        <v>95</v>
      </c>
      <c r="L41">
        <v>89.6</v>
      </c>
    </row>
    <row r="42" spans="1:12" x14ac:dyDescent="0.35">
      <c r="A42">
        <v>2022</v>
      </c>
      <c r="B42">
        <v>55</v>
      </c>
      <c r="C42" t="s">
        <v>67</v>
      </c>
      <c r="D42" s="4">
        <v>303</v>
      </c>
      <c r="E42">
        <v>1360</v>
      </c>
      <c r="F42">
        <v>946</v>
      </c>
      <c r="G42" s="4"/>
      <c r="J42" s="4"/>
    </row>
    <row r="43" spans="1:12" x14ac:dyDescent="0.35">
      <c r="A43">
        <v>2022</v>
      </c>
      <c r="B43">
        <v>56</v>
      </c>
      <c r="C43" t="s">
        <v>68</v>
      </c>
      <c r="D43" s="4">
        <v>512</v>
      </c>
      <c r="E43">
        <v>4055</v>
      </c>
      <c r="F43">
        <v>3196.9</v>
      </c>
      <c r="G43" s="4"/>
      <c r="J43" s="4">
        <v>5</v>
      </c>
      <c r="K43">
        <v>8</v>
      </c>
      <c r="L43">
        <v>6.4</v>
      </c>
    </row>
    <row r="44" spans="1:12" x14ac:dyDescent="0.35">
      <c r="A44">
        <v>2022</v>
      </c>
      <c r="B44">
        <v>57</v>
      </c>
      <c r="C44" t="s">
        <v>69</v>
      </c>
      <c r="D44" s="4">
        <v>172</v>
      </c>
      <c r="E44">
        <v>694</v>
      </c>
      <c r="F44">
        <v>489.8</v>
      </c>
      <c r="G44" s="4"/>
      <c r="J44" s="4"/>
    </row>
    <row r="45" spans="1:12" x14ac:dyDescent="0.35">
      <c r="A45">
        <v>2022</v>
      </c>
      <c r="B45">
        <v>58</v>
      </c>
      <c r="C45" t="s">
        <v>70</v>
      </c>
      <c r="D45" s="4">
        <v>239</v>
      </c>
      <c r="E45">
        <v>1110</v>
      </c>
      <c r="F45">
        <v>810.3</v>
      </c>
      <c r="G45" s="4"/>
      <c r="J45" s="4"/>
    </row>
    <row r="46" spans="1:12" x14ac:dyDescent="0.35">
      <c r="A46">
        <v>2022</v>
      </c>
      <c r="B46">
        <v>59</v>
      </c>
      <c r="C46" t="s">
        <v>71</v>
      </c>
      <c r="D46" s="4">
        <v>85</v>
      </c>
      <c r="E46">
        <v>402</v>
      </c>
      <c r="F46">
        <v>319.39999999999998</v>
      </c>
      <c r="G46" s="4"/>
      <c r="J46" s="4"/>
    </row>
    <row r="47" spans="1:12" x14ac:dyDescent="0.35">
      <c r="A47">
        <v>2022</v>
      </c>
      <c r="B47">
        <v>60</v>
      </c>
      <c r="C47" t="s">
        <v>72</v>
      </c>
      <c r="D47" s="4">
        <v>233</v>
      </c>
      <c r="E47">
        <v>1316</v>
      </c>
      <c r="F47">
        <v>1087.7</v>
      </c>
      <c r="G47" s="4"/>
      <c r="J47" s="4"/>
    </row>
    <row r="48" spans="1:12" x14ac:dyDescent="0.35">
      <c r="A48">
        <v>2022</v>
      </c>
      <c r="B48">
        <v>61</v>
      </c>
      <c r="C48" t="s">
        <v>73</v>
      </c>
      <c r="D48" s="4">
        <v>90</v>
      </c>
      <c r="E48">
        <v>345</v>
      </c>
      <c r="F48">
        <v>251.8</v>
      </c>
      <c r="G48" s="4"/>
      <c r="J48" s="4"/>
    </row>
    <row r="49" spans="1:12" x14ac:dyDescent="0.35">
      <c r="A49">
        <v>2022</v>
      </c>
      <c r="B49">
        <v>62</v>
      </c>
      <c r="C49" t="s">
        <v>74</v>
      </c>
      <c r="D49" s="4">
        <v>1598</v>
      </c>
      <c r="E49">
        <v>38338</v>
      </c>
      <c r="F49">
        <v>31834.6</v>
      </c>
      <c r="G49" s="4">
        <v>4</v>
      </c>
      <c r="H49">
        <v>271</v>
      </c>
      <c r="I49">
        <v>265.8</v>
      </c>
      <c r="J49" s="4">
        <v>7</v>
      </c>
      <c r="K49">
        <v>13</v>
      </c>
      <c r="L49">
        <v>10.9</v>
      </c>
    </row>
    <row r="50" spans="1:12" x14ac:dyDescent="0.35">
      <c r="A50">
        <v>2022</v>
      </c>
      <c r="B50">
        <v>63</v>
      </c>
      <c r="C50" t="s">
        <v>75</v>
      </c>
      <c r="D50" s="4">
        <v>127</v>
      </c>
      <c r="E50">
        <v>465</v>
      </c>
      <c r="F50">
        <v>309.3</v>
      </c>
      <c r="G50" s="4"/>
      <c r="J50" s="4"/>
    </row>
    <row r="51" spans="1:12" x14ac:dyDescent="0.35">
      <c r="A51">
        <v>2022</v>
      </c>
      <c r="B51">
        <v>64</v>
      </c>
      <c r="C51" t="s">
        <v>76</v>
      </c>
      <c r="D51" s="4">
        <v>312</v>
      </c>
      <c r="E51">
        <v>1194</v>
      </c>
      <c r="F51">
        <v>826.7</v>
      </c>
      <c r="G51" s="4"/>
      <c r="J51" s="4"/>
    </row>
    <row r="52" spans="1:12" x14ac:dyDescent="0.35">
      <c r="A52">
        <v>2022</v>
      </c>
      <c r="B52">
        <v>65</v>
      </c>
      <c r="C52" t="s">
        <v>77</v>
      </c>
      <c r="D52" s="4">
        <v>96</v>
      </c>
      <c r="E52">
        <v>265</v>
      </c>
      <c r="F52">
        <v>165.9</v>
      </c>
      <c r="G52" s="4"/>
      <c r="J52" s="4"/>
    </row>
    <row r="53" spans="1:12" x14ac:dyDescent="0.35">
      <c r="A53">
        <v>2022</v>
      </c>
      <c r="B53">
        <v>66</v>
      </c>
      <c r="C53" t="s">
        <v>78</v>
      </c>
      <c r="D53" s="4">
        <v>1593</v>
      </c>
      <c r="E53">
        <v>24998</v>
      </c>
      <c r="F53">
        <v>20751.099999999999</v>
      </c>
      <c r="G53" s="4">
        <v>9</v>
      </c>
      <c r="H53">
        <v>79</v>
      </c>
      <c r="I53">
        <v>46.7</v>
      </c>
      <c r="J53" s="4">
        <v>6</v>
      </c>
      <c r="K53">
        <v>10</v>
      </c>
      <c r="L53">
        <v>7.4</v>
      </c>
    </row>
    <row r="54" spans="1:12" x14ac:dyDescent="0.35">
      <c r="A54">
        <v>2022</v>
      </c>
      <c r="B54">
        <v>67</v>
      </c>
      <c r="C54" t="s">
        <v>79</v>
      </c>
      <c r="D54" s="4">
        <v>257</v>
      </c>
      <c r="E54">
        <v>1605</v>
      </c>
      <c r="F54">
        <v>1189.8</v>
      </c>
      <c r="G54" s="4"/>
      <c r="J54" s="4"/>
      <c r="K54">
        <v>4</v>
      </c>
    </row>
    <row r="55" spans="1:12" x14ac:dyDescent="0.35">
      <c r="A55">
        <v>2022</v>
      </c>
      <c r="B55">
        <v>68</v>
      </c>
      <c r="C55" t="s">
        <v>80</v>
      </c>
      <c r="D55" s="4">
        <v>177</v>
      </c>
      <c r="E55">
        <v>532</v>
      </c>
      <c r="F55">
        <v>361.8</v>
      </c>
      <c r="G55" s="4"/>
      <c r="J55" s="4"/>
    </row>
    <row r="56" spans="1:12" x14ac:dyDescent="0.35">
      <c r="A56">
        <v>2022</v>
      </c>
      <c r="B56">
        <v>69</v>
      </c>
      <c r="C56" t="s">
        <v>81</v>
      </c>
      <c r="D56" s="4">
        <v>1482</v>
      </c>
      <c r="E56">
        <v>20647</v>
      </c>
      <c r="F56">
        <v>17282.599999999999</v>
      </c>
      <c r="G56" s="4">
        <v>4</v>
      </c>
      <c r="H56">
        <v>7</v>
      </c>
      <c r="J56" s="4">
        <v>9</v>
      </c>
      <c r="K56">
        <v>20</v>
      </c>
      <c r="L56">
        <v>17.3</v>
      </c>
    </row>
    <row r="57" spans="1:12" x14ac:dyDescent="0.35">
      <c r="A57">
        <v>2022</v>
      </c>
      <c r="B57">
        <v>70</v>
      </c>
      <c r="C57" t="s">
        <v>82</v>
      </c>
      <c r="D57" s="4">
        <v>31</v>
      </c>
      <c r="E57">
        <v>69</v>
      </c>
      <c r="F57">
        <v>42</v>
      </c>
      <c r="G57" s="4"/>
      <c r="J57" s="4"/>
    </row>
    <row r="58" spans="1:12" x14ac:dyDescent="0.35">
      <c r="A58">
        <v>2022</v>
      </c>
      <c r="B58">
        <v>71</v>
      </c>
      <c r="C58" t="s">
        <v>83</v>
      </c>
      <c r="D58" s="4">
        <v>123</v>
      </c>
      <c r="E58">
        <v>511</v>
      </c>
      <c r="F58">
        <v>395.9</v>
      </c>
      <c r="G58" s="4"/>
      <c r="J58" s="4"/>
    </row>
    <row r="59" spans="1:12" x14ac:dyDescent="0.35">
      <c r="A59">
        <v>2022</v>
      </c>
      <c r="B59">
        <v>72</v>
      </c>
      <c r="C59" t="s">
        <v>84</v>
      </c>
      <c r="D59" s="4">
        <v>256</v>
      </c>
      <c r="E59">
        <v>968</v>
      </c>
      <c r="F59">
        <v>699.4</v>
      </c>
      <c r="G59" s="4"/>
      <c r="J59" s="4"/>
    </row>
    <row r="60" spans="1:12" x14ac:dyDescent="0.35">
      <c r="A60">
        <v>2022</v>
      </c>
      <c r="B60">
        <v>81</v>
      </c>
      <c r="C60" t="s">
        <v>85</v>
      </c>
      <c r="D60" s="4">
        <v>57</v>
      </c>
      <c r="E60">
        <v>239</v>
      </c>
      <c r="F60">
        <v>166.4</v>
      </c>
      <c r="G60" s="4"/>
      <c r="J60" s="4"/>
    </row>
    <row r="61" spans="1:12" x14ac:dyDescent="0.35">
      <c r="A61">
        <v>2022</v>
      </c>
      <c r="B61">
        <v>82</v>
      </c>
      <c r="C61" t="s">
        <v>86</v>
      </c>
      <c r="D61" s="4">
        <v>76</v>
      </c>
      <c r="E61">
        <v>323</v>
      </c>
      <c r="F61">
        <v>251.2</v>
      </c>
      <c r="G61" s="4"/>
      <c r="J61" s="4"/>
    </row>
    <row r="62" spans="1:12" x14ac:dyDescent="0.35">
      <c r="A62">
        <v>2022</v>
      </c>
      <c r="B62">
        <v>83</v>
      </c>
      <c r="C62" t="s">
        <v>87</v>
      </c>
      <c r="D62" s="4">
        <v>318</v>
      </c>
      <c r="E62">
        <v>2697</v>
      </c>
      <c r="F62">
        <v>2270</v>
      </c>
      <c r="G62" s="4"/>
      <c r="J62" s="4"/>
    </row>
    <row r="63" spans="1:12" x14ac:dyDescent="0.35">
      <c r="A63">
        <v>2022</v>
      </c>
      <c r="B63">
        <v>84</v>
      </c>
      <c r="C63" t="s">
        <v>88</v>
      </c>
      <c r="D63" s="4">
        <v>286</v>
      </c>
      <c r="E63">
        <v>2867</v>
      </c>
      <c r="F63">
        <v>2460.4</v>
      </c>
      <c r="G63" s="4"/>
      <c r="H63">
        <v>11</v>
      </c>
      <c r="I63">
        <v>10.3</v>
      </c>
      <c r="J63" s="4">
        <v>3</v>
      </c>
      <c r="K63">
        <v>45</v>
      </c>
      <c r="L63">
        <v>40.9</v>
      </c>
    </row>
    <row r="64" spans="1:12" x14ac:dyDescent="0.35">
      <c r="A64">
        <v>2022</v>
      </c>
      <c r="B64">
        <v>85</v>
      </c>
      <c r="C64" t="s">
        <v>89</v>
      </c>
      <c r="D64" s="4">
        <v>97</v>
      </c>
      <c r="E64">
        <v>414</v>
      </c>
      <c r="F64">
        <v>317.89999999999998</v>
      </c>
      <c r="G64" s="4"/>
      <c r="J64" s="4"/>
    </row>
    <row r="65" spans="1:12" x14ac:dyDescent="0.35">
      <c r="A65">
        <v>2022</v>
      </c>
      <c r="B65">
        <v>86</v>
      </c>
      <c r="C65" t="s">
        <v>90</v>
      </c>
      <c r="D65" s="4">
        <v>441</v>
      </c>
      <c r="E65">
        <v>4641</v>
      </c>
      <c r="F65">
        <v>3610.5</v>
      </c>
      <c r="G65" s="4"/>
      <c r="J65" s="4"/>
      <c r="K65">
        <v>4</v>
      </c>
    </row>
    <row r="66" spans="1:12" x14ac:dyDescent="0.35">
      <c r="A66">
        <v>2022</v>
      </c>
      <c r="B66">
        <v>87</v>
      </c>
      <c r="C66" t="s">
        <v>91</v>
      </c>
      <c r="D66" s="4">
        <v>46</v>
      </c>
      <c r="E66">
        <v>108</v>
      </c>
      <c r="F66">
        <v>70</v>
      </c>
      <c r="G66" s="4"/>
      <c r="J66" s="4"/>
    </row>
    <row r="67" spans="1:12" x14ac:dyDescent="0.35">
      <c r="A67">
        <v>2022</v>
      </c>
      <c r="B67">
        <v>88</v>
      </c>
      <c r="C67" t="s">
        <v>92</v>
      </c>
      <c r="D67" s="4">
        <v>247</v>
      </c>
      <c r="E67">
        <v>665</v>
      </c>
      <c r="F67">
        <v>452.3</v>
      </c>
      <c r="G67" s="4"/>
      <c r="J67" s="4"/>
    </row>
    <row r="68" spans="1:12" x14ac:dyDescent="0.35">
      <c r="A68">
        <v>2022</v>
      </c>
      <c r="B68">
        <v>89</v>
      </c>
      <c r="C68" t="s">
        <v>93</v>
      </c>
      <c r="D68" s="4">
        <v>253</v>
      </c>
      <c r="E68">
        <v>1775</v>
      </c>
      <c r="F68">
        <v>1420.9</v>
      </c>
      <c r="G68" s="4"/>
      <c r="J68" s="4"/>
    </row>
    <row r="69" spans="1:12" x14ac:dyDescent="0.35">
      <c r="A69">
        <v>2022</v>
      </c>
      <c r="B69">
        <v>90</v>
      </c>
      <c r="C69" t="s">
        <v>94</v>
      </c>
      <c r="D69" s="4">
        <v>461</v>
      </c>
      <c r="E69">
        <v>2480</v>
      </c>
      <c r="F69">
        <v>1924.1</v>
      </c>
      <c r="G69" s="4"/>
      <c r="J69" s="4"/>
    </row>
    <row r="70" spans="1:12" x14ac:dyDescent="0.35">
      <c r="A70">
        <v>2022</v>
      </c>
      <c r="B70">
        <v>91</v>
      </c>
      <c r="C70" t="s">
        <v>95</v>
      </c>
      <c r="D70" s="4">
        <v>169</v>
      </c>
      <c r="E70">
        <v>901</v>
      </c>
      <c r="F70">
        <v>702.3</v>
      </c>
      <c r="G70" s="4">
        <v>4</v>
      </c>
      <c r="H70">
        <v>5</v>
      </c>
      <c r="J70" s="4"/>
    </row>
    <row r="71" spans="1:12" x14ac:dyDescent="0.35">
      <c r="A71">
        <v>2022</v>
      </c>
      <c r="B71">
        <v>92</v>
      </c>
      <c r="C71" t="s">
        <v>96</v>
      </c>
      <c r="D71" s="4">
        <v>341</v>
      </c>
      <c r="E71">
        <v>2034</v>
      </c>
      <c r="F71">
        <v>1602.3</v>
      </c>
      <c r="G71" s="4"/>
      <c r="J71" s="4"/>
    </row>
    <row r="72" spans="1:12" x14ac:dyDescent="0.35">
      <c r="A72">
        <v>2022</v>
      </c>
      <c r="B72">
        <v>93</v>
      </c>
      <c r="C72" t="s">
        <v>97</v>
      </c>
      <c r="D72" s="4">
        <v>94</v>
      </c>
      <c r="E72">
        <v>258</v>
      </c>
      <c r="F72">
        <v>184</v>
      </c>
      <c r="G72" s="4"/>
      <c r="J72" s="4"/>
    </row>
    <row r="73" spans="1:12" x14ac:dyDescent="0.35">
      <c r="A73">
        <v>2022</v>
      </c>
      <c r="B73">
        <v>94</v>
      </c>
      <c r="C73" t="s">
        <v>98</v>
      </c>
      <c r="D73" s="4">
        <v>264</v>
      </c>
      <c r="E73">
        <v>2413</v>
      </c>
      <c r="F73">
        <v>1938.3</v>
      </c>
      <c r="G73" s="4"/>
      <c r="H73">
        <v>5</v>
      </c>
      <c r="J73" s="4"/>
    </row>
    <row r="74" spans="1:12" x14ac:dyDescent="0.35">
      <c r="A74">
        <v>2022</v>
      </c>
      <c r="B74">
        <v>95</v>
      </c>
      <c r="C74" t="s">
        <v>99</v>
      </c>
      <c r="D74" s="4">
        <v>43</v>
      </c>
      <c r="E74">
        <v>312</v>
      </c>
      <c r="F74">
        <v>198.6</v>
      </c>
      <c r="G74" s="4"/>
      <c r="J74" s="4"/>
      <c r="K74">
        <v>7</v>
      </c>
      <c r="L74">
        <v>4.8</v>
      </c>
    </row>
    <row r="75" spans="1:12" x14ac:dyDescent="0.35">
      <c r="A75">
        <v>2022</v>
      </c>
      <c r="B75">
        <v>96</v>
      </c>
      <c r="C75" t="s">
        <v>100</v>
      </c>
      <c r="D75" s="4">
        <v>1306</v>
      </c>
      <c r="E75">
        <v>10188</v>
      </c>
      <c r="F75">
        <v>8102.2</v>
      </c>
      <c r="G75" s="4">
        <v>7</v>
      </c>
      <c r="H75">
        <v>16</v>
      </c>
      <c r="I75">
        <v>11.4</v>
      </c>
      <c r="J75" s="4">
        <v>10</v>
      </c>
      <c r="K75">
        <v>364</v>
      </c>
      <c r="L75">
        <v>334.3</v>
      </c>
    </row>
    <row r="76" spans="1:12" x14ac:dyDescent="0.35">
      <c r="A76">
        <v>2022</v>
      </c>
      <c r="B76">
        <v>97</v>
      </c>
      <c r="C76" t="s">
        <v>101</v>
      </c>
      <c r="D76" s="4">
        <v>795</v>
      </c>
      <c r="E76">
        <v>6705</v>
      </c>
      <c r="F76">
        <v>5500.3</v>
      </c>
      <c r="G76" s="4">
        <v>4</v>
      </c>
      <c r="H76">
        <v>15</v>
      </c>
      <c r="I76">
        <v>11.5</v>
      </c>
      <c r="J76" s="4">
        <v>4</v>
      </c>
      <c r="K76">
        <v>15</v>
      </c>
      <c r="L76">
        <v>13.2</v>
      </c>
    </row>
    <row r="77" spans="1:12" x14ac:dyDescent="0.35">
      <c r="A77">
        <v>2022</v>
      </c>
      <c r="B77">
        <v>98</v>
      </c>
      <c r="C77" t="s">
        <v>102</v>
      </c>
      <c r="D77" s="4">
        <v>58</v>
      </c>
      <c r="E77">
        <v>136</v>
      </c>
      <c r="F77">
        <v>95.4</v>
      </c>
      <c r="G77" s="4"/>
      <c r="J77" s="4"/>
    </row>
    <row r="78" spans="1:12" x14ac:dyDescent="0.35">
      <c r="A78">
        <v>2022</v>
      </c>
      <c r="B78">
        <v>99</v>
      </c>
      <c r="C78" t="s">
        <v>103</v>
      </c>
      <c r="D78" s="4">
        <v>93</v>
      </c>
      <c r="E78">
        <v>332</v>
      </c>
      <c r="F78">
        <v>213.2</v>
      </c>
      <c r="G78" s="4"/>
      <c r="J78" s="4"/>
      <c r="K78">
        <v>17</v>
      </c>
      <c r="L78">
        <v>7.7</v>
      </c>
    </row>
    <row r="79" spans="1:12" x14ac:dyDescent="0.35">
      <c r="A79">
        <v>2022</v>
      </c>
      <c r="B79">
        <v>100</v>
      </c>
      <c r="C79" t="s">
        <v>104</v>
      </c>
      <c r="D79" s="4">
        <v>146</v>
      </c>
      <c r="E79">
        <v>559</v>
      </c>
      <c r="F79">
        <v>385</v>
      </c>
      <c r="G79" s="4"/>
      <c r="J79" s="4"/>
    </row>
    <row r="80" spans="1:12" x14ac:dyDescent="0.35">
      <c r="A80">
        <v>2022</v>
      </c>
      <c r="B80">
        <v>101</v>
      </c>
      <c r="C80" t="s">
        <v>105</v>
      </c>
      <c r="D80" s="4">
        <v>237</v>
      </c>
      <c r="E80">
        <v>876</v>
      </c>
      <c r="F80">
        <v>623.70000000000005</v>
      </c>
      <c r="G80" s="4"/>
      <c r="H80">
        <v>8</v>
      </c>
      <c r="I80">
        <v>7.1</v>
      </c>
      <c r="J80" s="4"/>
    </row>
    <row r="81" spans="1:12" x14ac:dyDescent="0.35">
      <c r="A81">
        <v>2022</v>
      </c>
      <c r="B81">
        <v>102</v>
      </c>
      <c r="C81" t="s">
        <v>106</v>
      </c>
      <c r="D81" s="4">
        <v>101</v>
      </c>
      <c r="E81">
        <v>316</v>
      </c>
      <c r="F81">
        <v>228.5</v>
      </c>
      <c r="G81" s="4"/>
      <c r="J81" s="4"/>
    </row>
    <row r="82" spans="1:12" x14ac:dyDescent="0.35">
      <c r="A82">
        <v>2022</v>
      </c>
      <c r="B82">
        <v>111</v>
      </c>
      <c r="C82" t="s">
        <v>107</v>
      </c>
      <c r="D82" s="4">
        <v>371</v>
      </c>
      <c r="E82">
        <v>1722</v>
      </c>
      <c r="F82">
        <v>1188.3</v>
      </c>
      <c r="G82" s="4"/>
      <c r="J82" s="4">
        <v>3</v>
      </c>
      <c r="K82">
        <v>5</v>
      </c>
      <c r="L82">
        <v>4.2</v>
      </c>
    </row>
    <row r="83" spans="1:12" x14ac:dyDescent="0.35">
      <c r="A83">
        <v>2022</v>
      </c>
      <c r="B83">
        <v>112</v>
      </c>
      <c r="C83" t="s">
        <v>108</v>
      </c>
      <c r="D83" s="4">
        <v>587</v>
      </c>
      <c r="E83">
        <v>3969</v>
      </c>
      <c r="F83">
        <v>3066.2</v>
      </c>
      <c r="G83" s="4">
        <v>5</v>
      </c>
      <c r="H83">
        <v>6</v>
      </c>
      <c r="J83" s="4">
        <v>5</v>
      </c>
      <c r="K83">
        <v>45</v>
      </c>
      <c r="L83">
        <v>42.4</v>
      </c>
    </row>
    <row r="84" spans="1:12" x14ac:dyDescent="0.35">
      <c r="A84">
        <v>2022</v>
      </c>
      <c r="B84">
        <v>113</v>
      </c>
      <c r="C84" t="s">
        <v>109</v>
      </c>
      <c r="D84" s="4">
        <v>454</v>
      </c>
      <c r="E84">
        <v>1911</v>
      </c>
      <c r="F84">
        <v>1327.1</v>
      </c>
      <c r="G84" s="4">
        <v>4</v>
      </c>
      <c r="H84">
        <v>4</v>
      </c>
      <c r="J84" s="4">
        <v>3</v>
      </c>
    </row>
    <row r="85" spans="1:12" x14ac:dyDescent="0.35">
      <c r="A85">
        <v>2022</v>
      </c>
      <c r="B85">
        <v>114</v>
      </c>
      <c r="C85" t="s">
        <v>110</v>
      </c>
      <c r="D85" s="4">
        <v>216</v>
      </c>
      <c r="E85">
        <v>671</v>
      </c>
      <c r="F85">
        <v>457.9</v>
      </c>
      <c r="G85" s="4"/>
      <c r="J85" s="4"/>
    </row>
    <row r="86" spans="1:12" x14ac:dyDescent="0.35">
      <c r="A86">
        <v>2022</v>
      </c>
      <c r="B86">
        <v>115</v>
      </c>
      <c r="C86" t="s">
        <v>111</v>
      </c>
      <c r="D86" s="4">
        <v>635</v>
      </c>
      <c r="E86">
        <v>2625</v>
      </c>
      <c r="F86">
        <v>1887.8</v>
      </c>
      <c r="G86" s="4">
        <v>3</v>
      </c>
      <c r="H86">
        <v>10</v>
      </c>
      <c r="I86">
        <v>7.7</v>
      </c>
      <c r="J86" s="4">
        <v>3</v>
      </c>
      <c r="K86">
        <v>5</v>
      </c>
    </row>
    <row r="87" spans="1:12" x14ac:dyDescent="0.35">
      <c r="A87">
        <v>2022</v>
      </c>
      <c r="B87">
        <v>116</v>
      </c>
      <c r="C87" t="s">
        <v>112</v>
      </c>
      <c r="D87" s="4">
        <v>279</v>
      </c>
      <c r="E87">
        <v>1837</v>
      </c>
      <c r="F87">
        <v>1429.6</v>
      </c>
      <c r="G87" s="4"/>
      <c r="J87" s="4"/>
    </row>
    <row r="88" spans="1:12" x14ac:dyDescent="0.35">
      <c r="A88">
        <v>2022</v>
      </c>
      <c r="B88">
        <v>117</v>
      </c>
      <c r="C88" t="s">
        <v>113</v>
      </c>
      <c r="D88" s="4">
        <v>877</v>
      </c>
      <c r="E88">
        <v>7501</v>
      </c>
      <c r="F88">
        <v>6148.4</v>
      </c>
      <c r="G88" s="4"/>
      <c r="J88" s="4">
        <v>7</v>
      </c>
      <c r="K88">
        <v>10</v>
      </c>
      <c r="L88">
        <v>6.7</v>
      </c>
    </row>
    <row r="89" spans="1:12" x14ac:dyDescent="0.35">
      <c r="A89">
        <v>2022</v>
      </c>
      <c r="B89">
        <v>118</v>
      </c>
      <c r="C89" t="s">
        <v>114</v>
      </c>
      <c r="D89" s="4">
        <v>854</v>
      </c>
      <c r="E89">
        <v>5196</v>
      </c>
      <c r="F89">
        <v>3783.4</v>
      </c>
      <c r="G89" s="4">
        <v>3</v>
      </c>
      <c r="J89" s="4">
        <v>5</v>
      </c>
      <c r="K89">
        <v>6</v>
      </c>
      <c r="L89">
        <v>4.9000000000000004</v>
      </c>
    </row>
    <row r="90" spans="1:12" x14ac:dyDescent="0.35">
      <c r="A90">
        <v>2022</v>
      </c>
      <c r="B90">
        <v>119</v>
      </c>
      <c r="C90" t="s">
        <v>115</v>
      </c>
      <c r="D90" s="4">
        <v>131</v>
      </c>
      <c r="E90">
        <v>582</v>
      </c>
      <c r="F90">
        <v>387</v>
      </c>
      <c r="G90" s="4"/>
      <c r="J90" s="4"/>
    </row>
    <row r="91" spans="1:12" x14ac:dyDescent="0.35">
      <c r="A91">
        <v>2022</v>
      </c>
      <c r="B91">
        <v>120</v>
      </c>
      <c r="C91" t="s">
        <v>116</v>
      </c>
      <c r="D91" s="4">
        <v>710</v>
      </c>
      <c r="E91">
        <v>3491</v>
      </c>
      <c r="F91">
        <v>2529.5</v>
      </c>
      <c r="G91" s="4">
        <v>3</v>
      </c>
      <c r="H91">
        <v>12</v>
      </c>
      <c r="I91">
        <v>9.1999999999999993</v>
      </c>
      <c r="J91" s="4">
        <v>3</v>
      </c>
    </row>
    <row r="92" spans="1:12" x14ac:dyDescent="0.35">
      <c r="A92">
        <v>2022</v>
      </c>
      <c r="B92">
        <v>121</v>
      </c>
      <c r="C92" t="s">
        <v>117</v>
      </c>
      <c r="D92" s="4">
        <v>1874</v>
      </c>
      <c r="E92">
        <v>14931</v>
      </c>
      <c r="F92">
        <v>10765.1</v>
      </c>
      <c r="G92" s="4">
        <v>10</v>
      </c>
      <c r="H92">
        <v>37</v>
      </c>
      <c r="I92">
        <v>26.7</v>
      </c>
      <c r="J92" s="4">
        <v>8</v>
      </c>
      <c r="K92">
        <v>12</v>
      </c>
      <c r="L92">
        <v>8.4</v>
      </c>
    </row>
    <row r="93" spans="1:12" x14ac:dyDescent="0.35">
      <c r="A93">
        <v>2022</v>
      </c>
      <c r="B93">
        <v>131</v>
      </c>
      <c r="C93" t="s">
        <v>118</v>
      </c>
      <c r="D93" s="4">
        <v>1032</v>
      </c>
      <c r="E93">
        <v>7779</v>
      </c>
      <c r="F93">
        <v>6095.2</v>
      </c>
      <c r="G93" s="4">
        <v>5</v>
      </c>
      <c r="H93">
        <v>13</v>
      </c>
      <c r="I93">
        <v>11.5</v>
      </c>
      <c r="J93" s="4">
        <v>6</v>
      </c>
      <c r="K93">
        <v>7</v>
      </c>
      <c r="L93">
        <v>4.5999999999999996</v>
      </c>
    </row>
    <row r="94" spans="1:12" x14ac:dyDescent="0.35">
      <c r="A94">
        <v>2022</v>
      </c>
      <c r="B94">
        <v>135</v>
      </c>
      <c r="C94" t="s">
        <v>119</v>
      </c>
      <c r="D94" s="4">
        <v>631</v>
      </c>
      <c r="E94">
        <v>4294</v>
      </c>
      <c r="F94">
        <v>3268.3</v>
      </c>
      <c r="G94" s="4">
        <v>9</v>
      </c>
      <c r="H94">
        <v>9</v>
      </c>
      <c r="I94">
        <v>5.4</v>
      </c>
      <c r="J94" s="4">
        <v>4</v>
      </c>
      <c r="K94">
        <v>7</v>
      </c>
      <c r="L94">
        <v>5.4</v>
      </c>
    </row>
    <row r="95" spans="1:12" x14ac:dyDescent="0.35">
      <c r="A95">
        <v>2022</v>
      </c>
      <c r="B95">
        <v>136</v>
      </c>
      <c r="C95" t="s">
        <v>120</v>
      </c>
      <c r="D95" s="4">
        <v>382</v>
      </c>
      <c r="E95">
        <v>1558</v>
      </c>
      <c r="F95">
        <v>1094.5</v>
      </c>
      <c r="G95" s="4"/>
      <c r="J95" s="4">
        <v>3</v>
      </c>
      <c r="K95">
        <v>28</v>
      </c>
      <c r="L95">
        <v>21.5</v>
      </c>
    </row>
    <row r="96" spans="1:12" x14ac:dyDescent="0.35">
      <c r="A96">
        <v>2022</v>
      </c>
      <c r="B96">
        <v>137</v>
      </c>
      <c r="C96" t="s">
        <v>121</v>
      </c>
      <c r="D96" s="4">
        <v>300</v>
      </c>
      <c r="E96">
        <v>1076</v>
      </c>
      <c r="F96">
        <v>721.5</v>
      </c>
      <c r="G96" s="4">
        <v>4</v>
      </c>
      <c r="H96">
        <v>4</v>
      </c>
      <c r="J96" s="4"/>
    </row>
    <row r="97" spans="1:12" x14ac:dyDescent="0.35">
      <c r="A97">
        <v>2022</v>
      </c>
      <c r="B97">
        <v>138</v>
      </c>
      <c r="C97" t="s">
        <v>122</v>
      </c>
      <c r="D97" s="4">
        <v>822</v>
      </c>
      <c r="E97">
        <v>4377</v>
      </c>
      <c r="F97">
        <v>3349.8</v>
      </c>
      <c r="G97" s="4">
        <v>9</v>
      </c>
      <c r="H97">
        <v>15</v>
      </c>
      <c r="I97">
        <v>11.4</v>
      </c>
      <c r="J97" s="4">
        <v>11</v>
      </c>
      <c r="K97">
        <v>18</v>
      </c>
      <c r="L97">
        <v>14.3</v>
      </c>
    </row>
    <row r="98" spans="1:12" x14ac:dyDescent="0.35">
      <c r="A98">
        <v>2022</v>
      </c>
      <c r="B98">
        <v>139</v>
      </c>
      <c r="C98" t="s">
        <v>123</v>
      </c>
      <c r="D98" s="4">
        <v>414</v>
      </c>
      <c r="E98">
        <v>2923</v>
      </c>
      <c r="F98">
        <v>2341.9</v>
      </c>
      <c r="G98" s="4"/>
      <c r="H98">
        <v>5</v>
      </c>
      <c r="I98">
        <v>4.7</v>
      </c>
      <c r="J98" s="4"/>
      <c r="K98">
        <v>4</v>
      </c>
    </row>
    <row r="99" spans="1:12" x14ac:dyDescent="0.35">
      <c r="A99">
        <v>2022</v>
      </c>
      <c r="B99">
        <v>141</v>
      </c>
      <c r="C99" t="s">
        <v>124</v>
      </c>
      <c r="D99" s="4">
        <v>1342</v>
      </c>
      <c r="E99">
        <v>6957</v>
      </c>
      <c r="F99">
        <v>4941.5</v>
      </c>
      <c r="G99" s="4"/>
      <c r="J99" s="4">
        <v>12</v>
      </c>
      <c r="K99">
        <v>50</v>
      </c>
      <c r="L99">
        <v>31.5</v>
      </c>
    </row>
    <row r="100" spans="1:12" x14ac:dyDescent="0.35">
      <c r="A100">
        <v>2022</v>
      </c>
      <c r="B100">
        <v>151</v>
      </c>
      <c r="C100" t="s">
        <v>125</v>
      </c>
      <c r="D100" s="4">
        <v>502</v>
      </c>
      <c r="E100">
        <v>1989</v>
      </c>
      <c r="F100">
        <v>1409.8</v>
      </c>
      <c r="G100" s="4"/>
      <c r="H100">
        <v>7</v>
      </c>
      <c r="I100">
        <v>5.2</v>
      </c>
      <c r="J100" s="4">
        <v>6</v>
      </c>
      <c r="K100">
        <v>7</v>
      </c>
      <c r="L100">
        <v>5.2</v>
      </c>
    </row>
    <row r="101" spans="1:12" x14ac:dyDescent="0.35">
      <c r="A101">
        <v>2022</v>
      </c>
      <c r="B101">
        <v>152</v>
      </c>
      <c r="C101" t="s">
        <v>126</v>
      </c>
      <c r="D101" s="4">
        <v>488</v>
      </c>
      <c r="E101">
        <v>1548</v>
      </c>
      <c r="F101">
        <v>1116.9000000000001</v>
      </c>
      <c r="G101" s="4"/>
      <c r="J101" s="4">
        <v>3</v>
      </c>
      <c r="K101">
        <v>7</v>
      </c>
      <c r="L101">
        <v>6.3</v>
      </c>
    </row>
    <row r="102" spans="1:12" x14ac:dyDescent="0.35">
      <c r="A102">
        <v>2022</v>
      </c>
      <c r="B102">
        <v>153</v>
      </c>
      <c r="C102" t="s">
        <v>127</v>
      </c>
      <c r="D102" s="4">
        <v>616</v>
      </c>
      <c r="E102">
        <v>2846</v>
      </c>
      <c r="F102">
        <v>2016.2</v>
      </c>
      <c r="G102" s="4">
        <v>3</v>
      </c>
      <c r="H102">
        <v>6</v>
      </c>
      <c r="I102">
        <v>4.7</v>
      </c>
      <c r="J102" s="4">
        <v>3</v>
      </c>
      <c r="K102">
        <v>21</v>
      </c>
      <c r="L102">
        <v>19.100000000000001</v>
      </c>
    </row>
    <row r="103" spans="1:12" x14ac:dyDescent="0.35">
      <c r="A103">
        <v>2022</v>
      </c>
      <c r="B103">
        <v>154</v>
      </c>
      <c r="C103" t="s">
        <v>128</v>
      </c>
      <c r="D103" s="4">
        <v>1268</v>
      </c>
      <c r="E103">
        <v>6476</v>
      </c>
      <c r="F103">
        <v>4843.1000000000004</v>
      </c>
      <c r="G103" s="4">
        <v>6</v>
      </c>
      <c r="H103">
        <v>7</v>
      </c>
      <c r="I103">
        <v>4.8</v>
      </c>
      <c r="J103" s="4">
        <v>10</v>
      </c>
      <c r="K103">
        <v>61</v>
      </c>
      <c r="L103">
        <v>52.7</v>
      </c>
    </row>
    <row r="104" spans="1:12" x14ac:dyDescent="0.35">
      <c r="A104">
        <v>2022</v>
      </c>
      <c r="B104">
        <v>155</v>
      </c>
      <c r="C104" t="s">
        <v>129</v>
      </c>
      <c r="D104" s="4">
        <v>768</v>
      </c>
      <c r="E104">
        <v>5360</v>
      </c>
      <c r="F104">
        <v>4063.4</v>
      </c>
      <c r="G104" s="4">
        <v>5</v>
      </c>
      <c r="H104">
        <v>13</v>
      </c>
      <c r="I104">
        <v>8.1</v>
      </c>
      <c r="J104" s="4"/>
    </row>
    <row r="105" spans="1:12" x14ac:dyDescent="0.35">
      <c r="A105">
        <v>2022</v>
      </c>
      <c r="B105">
        <v>156</v>
      </c>
      <c r="C105" t="s">
        <v>130</v>
      </c>
      <c r="D105" s="4">
        <v>1219</v>
      </c>
      <c r="E105">
        <v>6129</v>
      </c>
      <c r="F105">
        <v>4533.2</v>
      </c>
      <c r="G105" s="4">
        <v>7</v>
      </c>
      <c r="H105">
        <v>8</v>
      </c>
      <c r="I105">
        <v>6.4</v>
      </c>
      <c r="J105" s="4">
        <v>7</v>
      </c>
      <c r="K105">
        <v>25</v>
      </c>
      <c r="L105">
        <v>12.9</v>
      </c>
    </row>
    <row r="106" spans="1:12" x14ac:dyDescent="0.35">
      <c r="A106">
        <v>2022</v>
      </c>
      <c r="B106">
        <v>157</v>
      </c>
      <c r="C106" t="s">
        <v>131</v>
      </c>
      <c r="D106" s="4">
        <v>290</v>
      </c>
      <c r="E106">
        <v>2167</v>
      </c>
      <c r="F106">
        <v>1730.4</v>
      </c>
      <c r="G106" s="4"/>
      <c r="H106">
        <v>4</v>
      </c>
      <c r="J106" s="4"/>
    </row>
    <row r="107" spans="1:12" x14ac:dyDescent="0.35">
      <c r="A107">
        <v>2022</v>
      </c>
      <c r="B107">
        <v>158</v>
      </c>
      <c r="C107" t="s">
        <v>132</v>
      </c>
      <c r="D107" s="4">
        <v>1052</v>
      </c>
      <c r="E107">
        <v>6674</v>
      </c>
      <c r="F107">
        <v>5239.7</v>
      </c>
      <c r="G107" s="4">
        <v>4</v>
      </c>
      <c r="H107">
        <v>5</v>
      </c>
      <c r="I107">
        <v>4.3</v>
      </c>
      <c r="J107" s="4">
        <v>6</v>
      </c>
      <c r="K107">
        <v>54</v>
      </c>
      <c r="L107">
        <v>51.3</v>
      </c>
    </row>
    <row r="108" spans="1:12" x14ac:dyDescent="0.35">
      <c r="A108">
        <v>2022</v>
      </c>
      <c r="B108">
        <v>159</v>
      </c>
      <c r="C108" t="s">
        <v>133</v>
      </c>
      <c r="D108" s="4">
        <v>418</v>
      </c>
      <c r="E108">
        <v>1654</v>
      </c>
      <c r="F108">
        <v>1182.4000000000001</v>
      </c>
      <c r="G108" s="4">
        <v>5</v>
      </c>
      <c r="H108">
        <v>6</v>
      </c>
      <c r="I108">
        <v>4.8</v>
      </c>
      <c r="J108" s="4"/>
    </row>
    <row r="109" spans="1:12" x14ac:dyDescent="0.35">
      <c r="A109">
        <v>2022</v>
      </c>
      <c r="B109">
        <v>160</v>
      </c>
      <c r="C109" t="s">
        <v>134</v>
      </c>
      <c r="D109" s="4">
        <v>378</v>
      </c>
      <c r="E109">
        <v>1924</v>
      </c>
      <c r="F109">
        <v>1363.5</v>
      </c>
      <c r="G109" s="4"/>
      <c r="H109">
        <v>7</v>
      </c>
      <c r="I109">
        <v>6.1</v>
      </c>
      <c r="J109" s="4"/>
    </row>
    <row r="110" spans="1:12" x14ac:dyDescent="0.35">
      <c r="A110">
        <v>2022</v>
      </c>
      <c r="B110">
        <v>161</v>
      </c>
      <c r="C110" t="s">
        <v>135</v>
      </c>
      <c r="D110" s="4">
        <v>1163</v>
      </c>
      <c r="E110">
        <v>6765</v>
      </c>
      <c r="F110">
        <v>4772.7</v>
      </c>
      <c r="G110" s="4">
        <v>11</v>
      </c>
      <c r="H110">
        <v>16</v>
      </c>
      <c r="I110">
        <v>9.9</v>
      </c>
      <c r="J110" s="4">
        <v>4</v>
      </c>
      <c r="K110">
        <v>9</v>
      </c>
      <c r="L110">
        <v>7.6</v>
      </c>
    </row>
    <row r="111" spans="1:12" x14ac:dyDescent="0.35">
      <c r="A111">
        <v>2022</v>
      </c>
      <c r="B111">
        <v>172</v>
      </c>
      <c r="C111" t="s">
        <v>136</v>
      </c>
      <c r="D111" s="4">
        <v>430</v>
      </c>
      <c r="E111">
        <v>4833</v>
      </c>
      <c r="F111">
        <v>3740.4</v>
      </c>
      <c r="G111" s="4"/>
      <c r="J111" s="4"/>
    </row>
    <row r="112" spans="1:12" x14ac:dyDescent="0.35">
      <c r="A112">
        <v>2022</v>
      </c>
      <c r="B112">
        <v>173</v>
      </c>
      <c r="C112" t="s">
        <v>137</v>
      </c>
      <c r="D112" s="4">
        <v>258</v>
      </c>
      <c r="E112">
        <v>842</v>
      </c>
      <c r="F112">
        <v>592.6</v>
      </c>
      <c r="G112" s="4"/>
      <c r="J112" s="4"/>
    </row>
    <row r="113" spans="1:12" x14ac:dyDescent="0.35">
      <c r="A113">
        <v>2022</v>
      </c>
      <c r="B113">
        <v>176</v>
      </c>
      <c r="C113" t="s">
        <v>138</v>
      </c>
      <c r="D113" s="4">
        <v>413</v>
      </c>
      <c r="E113">
        <v>3424</v>
      </c>
      <c r="F113">
        <v>2760.6</v>
      </c>
      <c r="G113" s="4"/>
      <c r="J113" s="4"/>
    </row>
    <row r="114" spans="1:12" x14ac:dyDescent="0.35">
      <c r="A114">
        <v>2022</v>
      </c>
      <c r="B114">
        <v>177</v>
      </c>
      <c r="C114" t="s">
        <v>139</v>
      </c>
      <c r="D114" s="4">
        <v>854</v>
      </c>
      <c r="E114">
        <v>6100</v>
      </c>
      <c r="F114">
        <v>4398</v>
      </c>
      <c r="G114" s="4"/>
      <c r="H114">
        <v>13</v>
      </c>
      <c r="I114">
        <v>8.3000000000000007</v>
      </c>
      <c r="J114" s="4">
        <v>4</v>
      </c>
      <c r="K114">
        <v>4</v>
      </c>
    </row>
    <row r="115" spans="1:12" x14ac:dyDescent="0.35">
      <c r="A115">
        <v>2022</v>
      </c>
      <c r="B115">
        <v>178</v>
      </c>
      <c r="C115" t="s">
        <v>140</v>
      </c>
      <c r="D115" s="4">
        <v>311</v>
      </c>
      <c r="E115">
        <v>1259</v>
      </c>
      <c r="F115">
        <v>906.8</v>
      </c>
      <c r="G115" s="4"/>
      <c r="J115" s="4"/>
    </row>
    <row r="116" spans="1:12" x14ac:dyDescent="0.35">
      <c r="A116">
        <v>2022</v>
      </c>
      <c r="B116">
        <v>180</v>
      </c>
      <c r="C116" t="s">
        <v>141</v>
      </c>
      <c r="D116" s="4">
        <v>228</v>
      </c>
      <c r="E116">
        <v>860</v>
      </c>
      <c r="F116">
        <v>611</v>
      </c>
      <c r="G116" s="4"/>
      <c r="J116" s="4"/>
    </row>
    <row r="117" spans="1:12" x14ac:dyDescent="0.35">
      <c r="A117">
        <v>2022</v>
      </c>
      <c r="B117">
        <v>181</v>
      </c>
      <c r="C117" t="s">
        <v>142</v>
      </c>
      <c r="D117" s="4">
        <v>165</v>
      </c>
      <c r="E117">
        <v>633</v>
      </c>
      <c r="F117">
        <v>473.8</v>
      </c>
      <c r="G117" s="4"/>
      <c r="J117" s="4"/>
    </row>
    <row r="118" spans="1:12" x14ac:dyDescent="0.35">
      <c r="A118">
        <v>2022</v>
      </c>
      <c r="B118">
        <v>182</v>
      </c>
      <c r="C118" t="s">
        <v>143</v>
      </c>
      <c r="D118" s="4">
        <v>75</v>
      </c>
      <c r="E118">
        <v>269</v>
      </c>
      <c r="F118">
        <v>184.4</v>
      </c>
      <c r="G118" s="4"/>
      <c r="J118" s="4"/>
    </row>
    <row r="119" spans="1:12" x14ac:dyDescent="0.35">
      <c r="A119">
        <v>2022</v>
      </c>
      <c r="B119">
        <v>191</v>
      </c>
      <c r="C119" t="s">
        <v>144</v>
      </c>
      <c r="D119" s="4">
        <v>1974</v>
      </c>
      <c r="E119">
        <v>20605</v>
      </c>
      <c r="F119">
        <v>16066.1</v>
      </c>
      <c r="G119" s="4">
        <v>10</v>
      </c>
      <c r="H119">
        <v>22</v>
      </c>
      <c r="I119">
        <v>18.3</v>
      </c>
      <c r="J119" s="4">
        <v>17</v>
      </c>
      <c r="K119">
        <v>88</v>
      </c>
      <c r="L119">
        <v>73.8</v>
      </c>
    </row>
    <row r="120" spans="1:12" x14ac:dyDescent="0.35">
      <c r="A120">
        <v>2022</v>
      </c>
      <c r="B120">
        <v>192</v>
      </c>
      <c r="C120" t="s">
        <v>145</v>
      </c>
      <c r="D120" s="4">
        <v>611</v>
      </c>
      <c r="E120">
        <v>2697</v>
      </c>
      <c r="F120">
        <v>1968.3</v>
      </c>
      <c r="G120" s="4"/>
      <c r="H120">
        <v>5</v>
      </c>
      <c r="J120" s="4">
        <v>6</v>
      </c>
      <c r="K120">
        <v>68</v>
      </c>
      <c r="L120">
        <v>54.5</v>
      </c>
    </row>
    <row r="121" spans="1:12" x14ac:dyDescent="0.35">
      <c r="A121">
        <v>2022</v>
      </c>
      <c r="B121">
        <v>193</v>
      </c>
      <c r="C121" t="s">
        <v>146</v>
      </c>
      <c r="D121" s="4">
        <v>497</v>
      </c>
      <c r="E121">
        <v>3033</v>
      </c>
      <c r="F121">
        <v>2359.6999999999998</v>
      </c>
      <c r="G121" s="4">
        <v>4</v>
      </c>
      <c r="H121">
        <v>6</v>
      </c>
      <c r="I121">
        <v>4.0999999999999996</v>
      </c>
      <c r="J121" s="4"/>
    </row>
    <row r="122" spans="1:12" x14ac:dyDescent="0.35">
      <c r="A122">
        <v>2022</v>
      </c>
      <c r="B122">
        <v>194</v>
      </c>
      <c r="C122" t="s">
        <v>147</v>
      </c>
      <c r="D122" s="4">
        <v>237</v>
      </c>
      <c r="E122">
        <v>1743</v>
      </c>
      <c r="F122">
        <v>1344.8</v>
      </c>
      <c r="G122" s="4"/>
      <c r="J122" s="4"/>
      <c r="K122">
        <v>4</v>
      </c>
    </row>
    <row r="123" spans="1:12" x14ac:dyDescent="0.35">
      <c r="A123">
        <v>2022</v>
      </c>
      <c r="B123">
        <v>195</v>
      </c>
      <c r="C123" t="s">
        <v>148</v>
      </c>
      <c r="D123" s="4">
        <v>683</v>
      </c>
      <c r="E123">
        <v>2369</v>
      </c>
      <c r="F123">
        <v>1706.9</v>
      </c>
      <c r="G123" s="4"/>
      <c r="J123" s="4">
        <v>6</v>
      </c>
      <c r="K123">
        <v>7</v>
      </c>
      <c r="L123">
        <v>4.8</v>
      </c>
    </row>
    <row r="124" spans="1:12" x14ac:dyDescent="0.35">
      <c r="A124">
        <v>2022</v>
      </c>
      <c r="B124">
        <v>196</v>
      </c>
      <c r="C124" t="s">
        <v>149</v>
      </c>
      <c r="D124" s="4">
        <v>257</v>
      </c>
      <c r="E124">
        <v>1390</v>
      </c>
      <c r="F124">
        <v>1089.5</v>
      </c>
      <c r="G124" s="4"/>
      <c r="J124" s="4">
        <v>3</v>
      </c>
      <c r="K124">
        <v>12</v>
      </c>
      <c r="L124">
        <v>8</v>
      </c>
    </row>
    <row r="125" spans="1:12" x14ac:dyDescent="0.35">
      <c r="A125">
        <v>2022</v>
      </c>
      <c r="B125">
        <v>197</v>
      </c>
      <c r="C125" t="s">
        <v>150</v>
      </c>
      <c r="D125" s="4">
        <v>327</v>
      </c>
      <c r="E125">
        <v>2738</v>
      </c>
      <c r="F125">
        <v>2195.6</v>
      </c>
      <c r="G125" s="4">
        <v>3</v>
      </c>
      <c r="H125">
        <v>6</v>
      </c>
      <c r="I125">
        <v>5.3</v>
      </c>
      <c r="J125" s="4">
        <v>4</v>
      </c>
      <c r="K125">
        <v>7</v>
      </c>
      <c r="L125">
        <v>4.4000000000000004</v>
      </c>
    </row>
    <row r="126" spans="1:12" x14ac:dyDescent="0.35">
      <c r="A126">
        <v>2022</v>
      </c>
      <c r="B126">
        <v>198</v>
      </c>
      <c r="C126" t="s">
        <v>151</v>
      </c>
      <c r="D126" s="4">
        <v>2554</v>
      </c>
      <c r="E126">
        <v>18314</v>
      </c>
      <c r="F126">
        <v>13811.2</v>
      </c>
      <c r="G126" s="4">
        <v>3</v>
      </c>
      <c r="H126">
        <v>11</v>
      </c>
      <c r="I126">
        <v>6.8</v>
      </c>
      <c r="J126" s="4">
        <v>9</v>
      </c>
      <c r="K126">
        <v>9</v>
      </c>
      <c r="L126">
        <v>5.4</v>
      </c>
    </row>
    <row r="127" spans="1:12" x14ac:dyDescent="0.35">
      <c r="A127">
        <v>2022</v>
      </c>
      <c r="B127">
        <v>199</v>
      </c>
      <c r="C127" t="s">
        <v>152</v>
      </c>
      <c r="D127" s="4">
        <v>1301</v>
      </c>
      <c r="E127">
        <v>11618</v>
      </c>
      <c r="F127">
        <v>9178.1</v>
      </c>
      <c r="G127" s="4"/>
      <c r="J127" s="4">
        <v>6</v>
      </c>
      <c r="K127">
        <v>26</v>
      </c>
      <c r="L127">
        <v>24.4</v>
      </c>
    </row>
    <row r="128" spans="1:12" x14ac:dyDescent="0.35">
      <c r="A128">
        <v>2022</v>
      </c>
      <c r="B128">
        <v>200</v>
      </c>
      <c r="C128" t="s">
        <v>153</v>
      </c>
      <c r="D128" s="4">
        <v>546</v>
      </c>
      <c r="E128">
        <v>5399</v>
      </c>
      <c r="F128">
        <v>4310.8</v>
      </c>
      <c r="G128" s="4"/>
      <c r="J128" s="4">
        <v>8</v>
      </c>
      <c r="K128">
        <v>31</v>
      </c>
      <c r="L128">
        <v>26.5</v>
      </c>
    </row>
    <row r="129" spans="1:12" x14ac:dyDescent="0.35">
      <c r="A129">
        <v>2022</v>
      </c>
      <c r="B129">
        <v>211</v>
      </c>
      <c r="C129" t="s">
        <v>154</v>
      </c>
      <c r="D129" s="4">
        <v>64</v>
      </c>
      <c r="E129">
        <v>159</v>
      </c>
      <c r="F129">
        <v>95.6</v>
      </c>
      <c r="G129" s="4"/>
      <c r="J129" s="4"/>
    </row>
    <row r="130" spans="1:12" x14ac:dyDescent="0.35">
      <c r="A130">
        <v>2022</v>
      </c>
      <c r="B130">
        <v>213</v>
      </c>
      <c r="C130" t="s">
        <v>155</v>
      </c>
      <c r="D130" s="4">
        <v>136</v>
      </c>
      <c r="E130">
        <v>428</v>
      </c>
      <c r="F130">
        <v>288</v>
      </c>
      <c r="G130" s="4"/>
      <c r="J130" s="4"/>
    </row>
    <row r="131" spans="1:12" x14ac:dyDescent="0.35">
      <c r="A131">
        <v>2022</v>
      </c>
      <c r="B131">
        <v>214</v>
      </c>
      <c r="C131" t="s">
        <v>156</v>
      </c>
      <c r="D131" s="4">
        <v>88</v>
      </c>
      <c r="E131">
        <v>289</v>
      </c>
      <c r="F131">
        <v>179.2</v>
      </c>
      <c r="G131" s="4"/>
      <c r="H131">
        <v>5</v>
      </c>
      <c r="I131">
        <v>4.2</v>
      </c>
      <c r="J131" s="4"/>
    </row>
    <row r="132" spans="1:12" x14ac:dyDescent="0.35">
      <c r="A132">
        <v>2022</v>
      </c>
      <c r="B132">
        <v>215</v>
      </c>
      <c r="C132" t="s">
        <v>157</v>
      </c>
      <c r="D132" s="4">
        <v>54</v>
      </c>
      <c r="E132">
        <v>164</v>
      </c>
      <c r="F132">
        <v>98.3</v>
      </c>
      <c r="G132" s="4"/>
      <c r="J132" s="4"/>
    </row>
    <row r="133" spans="1:12" x14ac:dyDescent="0.35">
      <c r="A133">
        <v>2022</v>
      </c>
      <c r="B133">
        <v>216</v>
      </c>
      <c r="C133" t="s">
        <v>158</v>
      </c>
      <c r="D133" s="4">
        <v>116</v>
      </c>
      <c r="E133">
        <v>417</v>
      </c>
      <c r="F133">
        <v>279.39999999999998</v>
      </c>
      <c r="G133" s="4"/>
      <c r="J133" s="4"/>
    </row>
    <row r="134" spans="1:12" x14ac:dyDescent="0.35">
      <c r="A134">
        <v>2022</v>
      </c>
      <c r="B134">
        <v>218</v>
      </c>
      <c r="C134" t="s">
        <v>159</v>
      </c>
      <c r="D134" s="4">
        <v>78</v>
      </c>
      <c r="E134">
        <v>694</v>
      </c>
      <c r="F134">
        <v>545.5</v>
      </c>
      <c r="G134" s="4"/>
      <c r="J134" s="4"/>
    </row>
    <row r="135" spans="1:12" x14ac:dyDescent="0.35">
      <c r="A135">
        <v>2022</v>
      </c>
      <c r="B135">
        <v>219</v>
      </c>
      <c r="C135" t="s">
        <v>160</v>
      </c>
      <c r="D135" s="4">
        <v>234</v>
      </c>
      <c r="E135">
        <v>1214</v>
      </c>
      <c r="F135">
        <v>914.7</v>
      </c>
      <c r="G135" s="4"/>
      <c r="H135">
        <v>8</v>
      </c>
      <c r="I135">
        <v>6.7</v>
      </c>
      <c r="J135" s="4"/>
    </row>
    <row r="136" spans="1:12" x14ac:dyDescent="0.35">
      <c r="A136">
        <v>2022</v>
      </c>
      <c r="B136">
        <v>220</v>
      </c>
      <c r="C136" t="s">
        <v>161</v>
      </c>
      <c r="D136" s="4">
        <v>80</v>
      </c>
      <c r="E136">
        <v>193</v>
      </c>
      <c r="F136">
        <v>128.69999999999999</v>
      </c>
      <c r="G136" s="4"/>
      <c r="J136" s="4"/>
    </row>
    <row r="137" spans="1:12" x14ac:dyDescent="0.35">
      <c r="A137">
        <v>2022</v>
      </c>
      <c r="B137">
        <v>221</v>
      </c>
      <c r="C137" t="s">
        <v>162</v>
      </c>
      <c r="D137" s="4">
        <v>174</v>
      </c>
      <c r="E137">
        <v>830</v>
      </c>
      <c r="F137">
        <v>636.5</v>
      </c>
      <c r="G137" s="4"/>
      <c r="J137" s="4"/>
    </row>
    <row r="138" spans="1:12" x14ac:dyDescent="0.35">
      <c r="A138">
        <v>2022</v>
      </c>
      <c r="B138">
        <v>223</v>
      </c>
      <c r="C138" t="s">
        <v>163</v>
      </c>
      <c r="D138" s="4">
        <v>367</v>
      </c>
      <c r="E138">
        <v>1797</v>
      </c>
      <c r="F138">
        <v>1330</v>
      </c>
      <c r="G138" s="4"/>
      <c r="J138" s="4"/>
    </row>
    <row r="139" spans="1:12" x14ac:dyDescent="0.35">
      <c r="A139">
        <v>2022</v>
      </c>
      <c r="B139">
        <v>224</v>
      </c>
      <c r="C139" t="s">
        <v>164</v>
      </c>
      <c r="D139" s="4">
        <v>226</v>
      </c>
      <c r="E139">
        <v>1540</v>
      </c>
      <c r="F139">
        <v>1238</v>
      </c>
      <c r="G139" s="4"/>
      <c r="J139" s="4"/>
    </row>
    <row r="140" spans="1:12" x14ac:dyDescent="0.35">
      <c r="A140">
        <v>2022</v>
      </c>
      <c r="B140">
        <v>225</v>
      </c>
      <c r="C140" t="s">
        <v>165</v>
      </c>
      <c r="D140" s="4">
        <v>167</v>
      </c>
      <c r="E140">
        <v>534</v>
      </c>
      <c r="F140">
        <v>357.1</v>
      </c>
      <c r="G140" s="4"/>
      <c r="J140" s="4"/>
    </row>
    <row r="141" spans="1:12" x14ac:dyDescent="0.35">
      <c r="A141">
        <v>2022</v>
      </c>
      <c r="B141">
        <v>226</v>
      </c>
      <c r="C141" t="s">
        <v>166</v>
      </c>
      <c r="D141" s="4">
        <v>53</v>
      </c>
      <c r="E141">
        <v>148</v>
      </c>
      <c r="F141">
        <v>107.8</v>
      </c>
      <c r="G141" s="4"/>
      <c r="J141" s="4"/>
    </row>
    <row r="142" spans="1:12" x14ac:dyDescent="0.35">
      <c r="A142">
        <v>2022</v>
      </c>
      <c r="B142">
        <v>227</v>
      </c>
      <c r="C142" t="s">
        <v>167</v>
      </c>
      <c r="D142" s="4">
        <v>417</v>
      </c>
      <c r="E142">
        <v>2672</v>
      </c>
      <c r="F142">
        <v>2031</v>
      </c>
      <c r="G142" s="4"/>
      <c r="J142" s="4"/>
      <c r="K142">
        <v>14</v>
      </c>
      <c r="L142">
        <v>11.8</v>
      </c>
    </row>
    <row r="143" spans="1:12" x14ac:dyDescent="0.35">
      <c r="A143">
        <v>2022</v>
      </c>
      <c r="B143">
        <v>228</v>
      </c>
      <c r="C143" t="s">
        <v>168</v>
      </c>
      <c r="D143" s="4">
        <v>331</v>
      </c>
      <c r="E143">
        <v>1679</v>
      </c>
      <c r="F143">
        <v>1197</v>
      </c>
      <c r="G143" s="4"/>
      <c r="H143">
        <v>8</v>
      </c>
      <c r="I143">
        <v>5.6</v>
      </c>
      <c r="J143" s="4">
        <v>4</v>
      </c>
      <c r="K143">
        <v>11</v>
      </c>
      <c r="L143">
        <v>7.3</v>
      </c>
    </row>
    <row r="144" spans="1:12" x14ac:dyDescent="0.35">
      <c r="A144">
        <v>2022</v>
      </c>
      <c r="B144">
        <v>230</v>
      </c>
      <c r="C144" t="s">
        <v>169</v>
      </c>
      <c r="D144" s="4">
        <v>8369</v>
      </c>
      <c r="E144">
        <v>77189</v>
      </c>
      <c r="F144">
        <v>58598.9</v>
      </c>
      <c r="G144" s="4">
        <v>32</v>
      </c>
      <c r="H144">
        <v>66</v>
      </c>
      <c r="I144">
        <v>47.9</v>
      </c>
      <c r="J144" s="4">
        <v>48</v>
      </c>
      <c r="K144">
        <v>122</v>
      </c>
      <c r="L144">
        <v>88.9</v>
      </c>
    </row>
    <row r="145" spans="1:12" x14ac:dyDescent="0.35">
      <c r="A145">
        <v>2022</v>
      </c>
      <c r="B145">
        <v>231</v>
      </c>
      <c r="C145" t="s">
        <v>170</v>
      </c>
      <c r="D145" s="4">
        <v>361</v>
      </c>
      <c r="E145">
        <v>1583</v>
      </c>
      <c r="F145">
        <v>1142.3</v>
      </c>
      <c r="G145" s="4"/>
      <c r="J145" s="4"/>
    </row>
    <row r="146" spans="1:12" x14ac:dyDescent="0.35">
      <c r="A146">
        <v>2022</v>
      </c>
      <c r="B146">
        <v>241</v>
      </c>
      <c r="C146" t="s">
        <v>171</v>
      </c>
      <c r="D146" s="4">
        <v>112</v>
      </c>
      <c r="E146">
        <v>378</v>
      </c>
      <c r="F146">
        <v>256.8</v>
      </c>
      <c r="G146" s="4"/>
      <c r="J146" s="4"/>
    </row>
    <row r="147" spans="1:12" x14ac:dyDescent="0.35">
      <c r="A147">
        <v>2022</v>
      </c>
      <c r="B147">
        <v>242</v>
      </c>
      <c r="C147" t="s">
        <v>172</v>
      </c>
      <c r="D147" s="4">
        <v>432</v>
      </c>
      <c r="E147">
        <v>2683</v>
      </c>
      <c r="F147">
        <v>2026.7</v>
      </c>
      <c r="G147" s="4"/>
      <c r="J147" s="4">
        <v>7</v>
      </c>
      <c r="K147">
        <v>12</v>
      </c>
      <c r="L147">
        <v>8.1</v>
      </c>
    </row>
    <row r="148" spans="1:12" x14ac:dyDescent="0.35">
      <c r="A148">
        <v>2022</v>
      </c>
      <c r="B148">
        <v>243</v>
      </c>
      <c r="C148" t="s">
        <v>173</v>
      </c>
      <c r="D148" s="4">
        <v>1807</v>
      </c>
      <c r="E148">
        <v>19256</v>
      </c>
      <c r="F148">
        <v>15272</v>
      </c>
      <c r="G148" s="4">
        <v>10</v>
      </c>
      <c r="H148">
        <v>46</v>
      </c>
      <c r="I148">
        <v>37.700000000000003</v>
      </c>
      <c r="J148" s="4">
        <v>19</v>
      </c>
      <c r="K148">
        <v>62</v>
      </c>
      <c r="L148">
        <v>49.1</v>
      </c>
    </row>
    <row r="149" spans="1:12" x14ac:dyDescent="0.35">
      <c r="A149">
        <v>2022</v>
      </c>
      <c r="B149">
        <v>244</v>
      </c>
      <c r="C149" t="s">
        <v>174</v>
      </c>
      <c r="D149" s="4">
        <v>308</v>
      </c>
      <c r="E149">
        <v>2278</v>
      </c>
      <c r="F149">
        <v>1737.3</v>
      </c>
      <c r="G149" s="4"/>
      <c r="J149" s="4">
        <v>3</v>
      </c>
    </row>
    <row r="150" spans="1:12" x14ac:dyDescent="0.35">
      <c r="A150">
        <v>2022</v>
      </c>
      <c r="B150">
        <v>245</v>
      </c>
      <c r="C150" t="s">
        <v>175</v>
      </c>
      <c r="D150" s="4">
        <v>317</v>
      </c>
      <c r="E150">
        <v>1268</v>
      </c>
      <c r="F150">
        <v>910.3</v>
      </c>
      <c r="G150" s="4"/>
      <c r="H150">
        <v>11</v>
      </c>
      <c r="I150">
        <v>8.3000000000000007</v>
      </c>
      <c r="J150" s="4">
        <v>4</v>
      </c>
      <c r="K150">
        <v>8</v>
      </c>
      <c r="L150">
        <v>6.3</v>
      </c>
    </row>
    <row r="151" spans="1:12" x14ac:dyDescent="0.35">
      <c r="A151">
        <v>2022</v>
      </c>
      <c r="B151">
        <v>246</v>
      </c>
      <c r="C151" t="s">
        <v>176</v>
      </c>
      <c r="D151" s="4">
        <v>124</v>
      </c>
      <c r="E151">
        <v>257</v>
      </c>
      <c r="F151">
        <v>173</v>
      </c>
      <c r="G151" s="4"/>
      <c r="J151" s="4">
        <v>3</v>
      </c>
    </row>
    <row r="152" spans="1:12" x14ac:dyDescent="0.35">
      <c r="A152">
        <v>2022</v>
      </c>
      <c r="B152">
        <v>247</v>
      </c>
      <c r="C152" t="s">
        <v>177</v>
      </c>
      <c r="D152" s="4">
        <v>1502</v>
      </c>
      <c r="E152">
        <v>20898</v>
      </c>
      <c r="F152">
        <v>16681.5</v>
      </c>
      <c r="G152" s="4">
        <v>10</v>
      </c>
      <c r="H152">
        <v>70</v>
      </c>
      <c r="I152">
        <v>62.2</v>
      </c>
      <c r="J152" s="4">
        <v>15</v>
      </c>
      <c r="K152">
        <v>41</v>
      </c>
      <c r="L152">
        <v>33.299999999999997</v>
      </c>
    </row>
    <row r="153" spans="1:12" x14ac:dyDescent="0.35">
      <c r="A153">
        <v>2022</v>
      </c>
      <c r="B153">
        <v>248</v>
      </c>
      <c r="C153" t="s">
        <v>178</v>
      </c>
      <c r="D153" s="4">
        <v>292</v>
      </c>
      <c r="E153">
        <v>1155</v>
      </c>
      <c r="F153">
        <v>787.8</v>
      </c>
      <c r="G153" s="4"/>
      <c r="J153" s="4"/>
    </row>
    <row r="154" spans="1:12" x14ac:dyDescent="0.35">
      <c r="A154">
        <v>2022</v>
      </c>
      <c r="B154">
        <v>249</v>
      </c>
      <c r="C154" t="s">
        <v>179</v>
      </c>
      <c r="D154" s="4">
        <v>254</v>
      </c>
      <c r="E154">
        <v>971</v>
      </c>
      <c r="F154">
        <v>739.8</v>
      </c>
      <c r="G154" s="4"/>
      <c r="J154" s="4"/>
      <c r="K154">
        <v>4</v>
      </c>
    </row>
    <row r="155" spans="1:12" x14ac:dyDescent="0.35">
      <c r="A155">
        <v>2022</v>
      </c>
      <c r="B155">
        <v>250</v>
      </c>
      <c r="C155" t="s">
        <v>180</v>
      </c>
      <c r="D155" s="4">
        <v>654</v>
      </c>
      <c r="E155">
        <v>8695</v>
      </c>
      <c r="F155">
        <v>6105.8</v>
      </c>
      <c r="G155" s="4"/>
      <c r="H155">
        <v>12</v>
      </c>
      <c r="I155">
        <v>9.6</v>
      </c>
      <c r="J155" s="4">
        <v>6</v>
      </c>
      <c r="K155">
        <v>14</v>
      </c>
      <c r="L155">
        <v>11.4</v>
      </c>
    </row>
    <row r="156" spans="1:12" x14ac:dyDescent="0.35">
      <c r="A156">
        <v>2022</v>
      </c>
      <c r="B156">
        <v>251</v>
      </c>
      <c r="C156" t="s">
        <v>181</v>
      </c>
      <c r="D156" s="4">
        <v>262</v>
      </c>
      <c r="E156">
        <v>2249</v>
      </c>
      <c r="F156">
        <v>1554</v>
      </c>
      <c r="G156" s="4">
        <v>3</v>
      </c>
      <c r="H156">
        <v>4</v>
      </c>
      <c r="J156" s="4"/>
    </row>
    <row r="157" spans="1:12" x14ac:dyDescent="0.35">
      <c r="A157">
        <v>2022</v>
      </c>
      <c r="B157">
        <v>261</v>
      </c>
      <c r="C157" t="s">
        <v>182</v>
      </c>
      <c r="D157" s="4">
        <v>46671</v>
      </c>
      <c r="E157">
        <v>536980</v>
      </c>
      <c r="F157">
        <v>411368.9</v>
      </c>
      <c r="G157" s="4">
        <v>223</v>
      </c>
      <c r="H157">
        <v>1054</v>
      </c>
      <c r="I157">
        <v>880.6</v>
      </c>
      <c r="J157" s="4">
        <v>309</v>
      </c>
      <c r="K157">
        <v>778</v>
      </c>
      <c r="L157">
        <v>590</v>
      </c>
    </row>
    <row r="158" spans="1:12" x14ac:dyDescent="0.35">
      <c r="A158">
        <v>2022</v>
      </c>
      <c r="B158">
        <v>291</v>
      </c>
      <c r="C158" t="s">
        <v>183</v>
      </c>
      <c r="D158" s="4">
        <v>314</v>
      </c>
      <c r="E158">
        <v>2078</v>
      </c>
      <c r="F158">
        <v>1570.7</v>
      </c>
      <c r="G158" s="4"/>
      <c r="J158" s="4"/>
      <c r="K158">
        <v>4</v>
      </c>
    </row>
    <row r="159" spans="1:12" x14ac:dyDescent="0.35">
      <c r="A159">
        <v>2022</v>
      </c>
      <c r="B159">
        <v>292</v>
      </c>
      <c r="C159" t="s">
        <v>184</v>
      </c>
      <c r="D159" s="4">
        <v>272</v>
      </c>
      <c r="E159">
        <v>1410</v>
      </c>
      <c r="F159">
        <v>1018.5</v>
      </c>
      <c r="G159" s="4"/>
      <c r="J159" s="4"/>
    </row>
    <row r="160" spans="1:12" x14ac:dyDescent="0.35">
      <c r="A160">
        <v>2022</v>
      </c>
      <c r="B160">
        <v>293</v>
      </c>
      <c r="C160" t="s">
        <v>185</v>
      </c>
      <c r="D160" s="4">
        <v>1884</v>
      </c>
      <c r="E160">
        <v>10385</v>
      </c>
      <c r="F160">
        <v>7766.6</v>
      </c>
      <c r="G160" s="4">
        <v>11</v>
      </c>
      <c r="H160">
        <v>12</v>
      </c>
      <c r="I160">
        <v>7.3</v>
      </c>
      <c r="J160" s="4">
        <v>17</v>
      </c>
      <c r="K160">
        <v>47</v>
      </c>
      <c r="L160">
        <v>35.799999999999997</v>
      </c>
    </row>
    <row r="161" spans="1:12" x14ac:dyDescent="0.35">
      <c r="A161">
        <v>2022</v>
      </c>
      <c r="B161">
        <v>294</v>
      </c>
      <c r="C161" t="s">
        <v>186</v>
      </c>
      <c r="D161" s="4">
        <v>344</v>
      </c>
      <c r="E161">
        <v>1712</v>
      </c>
      <c r="F161">
        <v>1258.5</v>
      </c>
      <c r="G161" s="4">
        <v>3</v>
      </c>
      <c r="J161" s="4"/>
    </row>
    <row r="162" spans="1:12" x14ac:dyDescent="0.35">
      <c r="A162">
        <v>2022</v>
      </c>
      <c r="B162">
        <v>295</v>
      </c>
      <c r="C162" t="s">
        <v>187</v>
      </c>
      <c r="D162" s="4">
        <v>1470</v>
      </c>
      <c r="E162">
        <v>10479</v>
      </c>
      <c r="F162">
        <v>7954.6</v>
      </c>
      <c r="G162" s="4">
        <v>12</v>
      </c>
      <c r="H162">
        <v>19</v>
      </c>
      <c r="I162">
        <v>13.7</v>
      </c>
      <c r="J162" s="4">
        <v>15</v>
      </c>
      <c r="K162">
        <v>105</v>
      </c>
      <c r="L162">
        <v>97</v>
      </c>
    </row>
    <row r="163" spans="1:12" x14ac:dyDescent="0.35">
      <c r="A163">
        <v>2022</v>
      </c>
      <c r="B163">
        <v>296</v>
      </c>
      <c r="C163" t="s">
        <v>188</v>
      </c>
      <c r="D163" s="4">
        <v>1084</v>
      </c>
      <c r="E163">
        <v>6840</v>
      </c>
      <c r="F163">
        <v>5206.3</v>
      </c>
      <c r="G163" s="4">
        <v>3</v>
      </c>
      <c r="H163">
        <v>5</v>
      </c>
      <c r="J163" s="4">
        <v>3</v>
      </c>
      <c r="K163">
        <v>48</v>
      </c>
      <c r="L163">
        <v>26.1</v>
      </c>
    </row>
    <row r="164" spans="1:12" x14ac:dyDescent="0.35">
      <c r="A164">
        <v>2022</v>
      </c>
      <c r="B164">
        <v>297</v>
      </c>
      <c r="C164" t="s">
        <v>189</v>
      </c>
      <c r="D164" s="4">
        <v>394</v>
      </c>
      <c r="E164">
        <v>1936</v>
      </c>
      <c r="F164">
        <v>1394.8</v>
      </c>
      <c r="G164" s="4"/>
      <c r="J164" s="4"/>
    </row>
    <row r="165" spans="1:12" x14ac:dyDescent="0.35">
      <c r="A165">
        <v>2022</v>
      </c>
      <c r="B165">
        <v>298</v>
      </c>
      <c r="C165" t="s">
        <v>190</v>
      </c>
      <c r="D165" s="4">
        <v>396</v>
      </c>
      <c r="E165">
        <v>1611</v>
      </c>
      <c r="F165">
        <v>1127.5999999999999</v>
      </c>
      <c r="G165" s="4"/>
      <c r="J165" s="4">
        <v>4</v>
      </c>
      <c r="K165">
        <v>6</v>
      </c>
    </row>
  </sheetData>
  <mergeCells count="5">
    <mergeCell ref="A1:R1"/>
    <mergeCell ref="A2:R2"/>
    <mergeCell ref="D4:F4"/>
    <mergeCell ref="G4:I4"/>
    <mergeCell ref="J4:L4"/>
  </mergeCells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65"/>
  <sheetViews>
    <sheetView workbookViewId="0"/>
  </sheetViews>
  <sheetFormatPr baseColWidth="10" defaultRowHeight="14.5" x14ac:dyDescent="0.35"/>
  <cols>
    <col min="1" max="1" width="6.7265625" customWidth="1"/>
    <col min="2" max="2" width="14.7265625" customWidth="1"/>
    <col min="3" max="3" width="20.7265625" customWidth="1"/>
    <col min="4" max="4" width="17.7265625" customWidth="1"/>
    <col min="5" max="5" width="15.7265625" customWidth="1"/>
    <col min="6" max="6" width="22.7265625" customWidth="1"/>
    <col min="7" max="7" width="17.7265625" customWidth="1"/>
    <col min="8" max="8" width="15.7265625" customWidth="1"/>
    <col min="9" max="9" width="22.7265625" customWidth="1"/>
    <col min="10" max="10" width="17.7265625" customWidth="1"/>
    <col min="11" max="11" width="15.7265625" customWidth="1"/>
    <col min="12" max="12" width="22.7265625" customWidth="1"/>
  </cols>
  <sheetData>
    <row r="1" spans="1:18" ht="18" x14ac:dyDescent="0.4">
      <c r="A1" s="10" t="s">
        <v>193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x14ac:dyDescent="0.35">
      <c r="A2" s="8" t="s">
        <v>10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4" spans="1:18" x14ac:dyDescent="0.35">
      <c r="D4" s="11" t="s">
        <v>22</v>
      </c>
      <c r="E4" s="12"/>
      <c r="F4" s="12"/>
      <c r="G4" s="11" t="s">
        <v>23</v>
      </c>
      <c r="H4" s="12"/>
      <c r="I4" s="12"/>
      <c r="J4" s="11" t="s">
        <v>24</v>
      </c>
      <c r="K4" s="12"/>
      <c r="L4" s="12"/>
    </row>
    <row r="5" spans="1:18" ht="15.5" x14ac:dyDescent="0.35">
      <c r="A5" s="3" t="s">
        <v>25</v>
      </c>
      <c r="B5" s="3" t="s">
        <v>26</v>
      </c>
      <c r="C5" s="3" t="s">
        <v>27</v>
      </c>
      <c r="D5" s="5" t="s">
        <v>28</v>
      </c>
      <c r="E5" s="3" t="s">
        <v>29</v>
      </c>
      <c r="F5" s="3" t="s">
        <v>30</v>
      </c>
      <c r="G5" s="5" t="s">
        <v>28</v>
      </c>
      <c r="H5" s="3" t="s">
        <v>29</v>
      </c>
      <c r="I5" s="3" t="s">
        <v>30</v>
      </c>
      <c r="J5" s="5" t="s">
        <v>28</v>
      </c>
      <c r="K5" s="3" t="s">
        <v>29</v>
      </c>
      <c r="L5" s="3" t="s">
        <v>30</v>
      </c>
    </row>
    <row r="6" spans="1:18" x14ac:dyDescent="0.35">
      <c r="A6">
        <v>2021</v>
      </c>
      <c r="B6">
        <v>1</v>
      </c>
      <c r="C6" t="s">
        <v>31</v>
      </c>
      <c r="D6" s="4">
        <v>143</v>
      </c>
      <c r="E6">
        <v>470</v>
      </c>
      <c r="F6">
        <v>297.39999999999998</v>
      </c>
      <c r="G6" s="4"/>
      <c r="J6" s="4"/>
    </row>
    <row r="7" spans="1:18" x14ac:dyDescent="0.35">
      <c r="A7">
        <v>2021</v>
      </c>
      <c r="B7">
        <v>2</v>
      </c>
      <c r="C7" t="s">
        <v>32</v>
      </c>
      <c r="D7" s="4">
        <v>982</v>
      </c>
      <c r="E7">
        <v>6931</v>
      </c>
      <c r="F7">
        <v>5171.7</v>
      </c>
      <c r="G7" s="4"/>
      <c r="J7" s="4">
        <v>9</v>
      </c>
      <c r="K7">
        <v>33</v>
      </c>
      <c r="L7">
        <v>24.8</v>
      </c>
    </row>
    <row r="8" spans="1:18" x14ac:dyDescent="0.35">
      <c r="A8">
        <v>2021</v>
      </c>
      <c r="B8">
        <v>3</v>
      </c>
      <c r="C8" t="s">
        <v>33</v>
      </c>
      <c r="D8" s="4">
        <v>278</v>
      </c>
      <c r="E8">
        <v>1047</v>
      </c>
      <c r="F8">
        <v>724.9</v>
      </c>
      <c r="G8" s="4"/>
      <c r="J8" s="4">
        <v>3</v>
      </c>
    </row>
    <row r="9" spans="1:18" x14ac:dyDescent="0.35">
      <c r="A9">
        <v>2021</v>
      </c>
      <c r="B9">
        <v>4</v>
      </c>
      <c r="C9" t="s">
        <v>34</v>
      </c>
      <c r="D9" s="4">
        <v>275</v>
      </c>
      <c r="E9">
        <v>1113</v>
      </c>
      <c r="F9">
        <v>779.9</v>
      </c>
      <c r="G9" s="4"/>
      <c r="J9" s="4">
        <v>3</v>
      </c>
    </row>
    <row r="10" spans="1:18" x14ac:dyDescent="0.35">
      <c r="A10">
        <v>2021</v>
      </c>
      <c r="B10">
        <v>5</v>
      </c>
      <c r="C10" t="s">
        <v>35</v>
      </c>
      <c r="D10" s="4">
        <v>196</v>
      </c>
      <c r="E10">
        <v>1409</v>
      </c>
      <c r="F10">
        <v>1146.3</v>
      </c>
      <c r="G10" s="4"/>
      <c r="J10" s="4"/>
      <c r="K10">
        <v>12</v>
      </c>
      <c r="L10">
        <v>6.5</v>
      </c>
    </row>
    <row r="11" spans="1:18" x14ac:dyDescent="0.35">
      <c r="A11">
        <v>2021</v>
      </c>
      <c r="B11">
        <v>6</v>
      </c>
      <c r="C11" t="s">
        <v>36</v>
      </c>
      <c r="D11" s="4">
        <v>105</v>
      </c>
      <c r="E11">
        <v>355</v>
      </c>
      <c r="F11">
        <v>245.1</v>
      </c>
      <c r="G11" s="4"/>
      <c r="J11" s="4"/>
    </row>
    <row r="12" spans="1:18" x14ac:dyDescent="0.35">
      <c r="A12">
        <v>2021</v>
      </c>
      <c r="B12">
        <v>7</v>
      </c>
      <c r="C12" t="s">
        <v>37</v>
      </c>
      <c r="D12" s="4">
        <v>137</v>
      </c>
      <c r="E12">
        <v>516</v>
      </c>
      <c r="F12">
        <v>351.2</v>
      </c>
      <c r="G12" s="4">
        <v>7</v>
      </c>
      <c r="H12">
        <v>12</v>
      </c>
      <c r="I12">
        <v>8.5</v>
      </c>
      <c r="J12" s="4">
        <v>3</v>
      </c>
    </row>
    <row r="13" spans="1:18" x14ac:dyDescent="0.35">
      <c r="A13">
        <v>2021</v>
      </c>
      <c r="B13">
        <v>8</v>
      </c>
      <c r="C13" t="s">
        <v>38</v>
      </c>
      <c r="D13" s="4">
        <v>60</v>
      </c>
      <c r="E13">
        <v>178</v>
      </c>
      <c r="F13">
        <v>117.1</v>
      </c>
      <c r="G13" s="4"/>
      <c r="J13" s="4"/>
    </row>
    <row r="14" spans="1:18" x14ac:dyDescent="0.35">
      <c r="A14">
        <v>2021</v>
      </c>
      <c r="B14">
        <v>9</v>
      </c>
      <c r="C14" t="s">
        <v>39</v>
      </c>
      <c r="D14" s="4">
        <v>326</v>
      </c>
      <c r="E14">
        <v>1769</v>
      </c>
      <c r="F14">
        <v>1281.4000000000001</v>
      </c>
      <c r="G14" s="4">
        <v>7</v>
      </c>
      <c r="H14">
        <v>15</v>
      </c>
      <c r="I14">
        <v>11.3</v>
      </c>
      <c r="J14" s="4"/>
    </row>
    <row r="15" spans="1:18" x14ac:dyDescent="0.35">
      <c r="A15">
        <v>2021</v>
      </c>
      <c r="B15">
        <v>10</v>
      </c>
      <c r="C15" t="s">
        <v>40</v>
      </c>
      <c r="D15" s="4">
        <v>330</v>
      </c>
      <c r="E15">
        <v>1464</v>
      </c>
      <c r="F15">
        <v>1023.2</v>
      </c>
      <c r="G15" s="4"/>
      <c r="J15" s="4">
        <v>3</v>
      </c>
      <c r="K15">
        <v>41</v>
      </c>
      <c r="L15">
        <v>32.299999999999997</v>
      </c>
    </row>
    <row r="16" spans="1:18" x14ac:dyDescent="0.35">
      <c r="A16">
        <v>2021</v>
      </c>
      <c r="B16">
        <v>11</v>
      </c>
      <c r="C16" t="s">
        <v>41</v>
      </c>
      <c r="D16" s="4">
        <v>180</v>
      </c>
      <c r="E16">
        <v>717</v>
      </c>
      <c r="F16">
        <v>510</v>
      </c>
      <c r="G16" s="4"/>
      <c r="J16" s="4"/>
      <c r="K16">
        <v>5</v>
      </c>
    </row>
    <row r="17" spans="1:12" x14ac:dyDescent="0.35">
      <c r="A17">
        <v>2021</v>
      </c>
      <c r="B17">
        <v>12</v>
      </c>
      <c r="C17" t="s">
        <v>42</v>
      </c>
      <c r="D17" s="4">
        <v>96</v>
      </c>
      <c r="E17">
        <v>277</v>
      </c>
      <c r="F17">
        <v>188.2</v>
      </c>
      <c r="G17" s="4"/>
      <c r="J17" s="4">
        <v>3</v>
      </c>
    </row>
    <row r="18" spans="1:12" x14ac:dyDescent="0.35">
      <c r="A18">
        <v>2021</v>
      </c>
      <c r="B18">
        <v>13</v>
      </c>
      <c r="C18" t="s">
        <v>43</v>
      </c>
      <c r="D18" s="4">
        <v>193</v>
      </c>
      <c r="E18">
        <v>777</v>
      </c>
      <c r="F18">
        <v>545</v>
      </c>
      <c r="G18" s="4"/>
      <c r="J18" s="4">
        <v>5</v>
      </c>
      <c r="K18">
        <v>8</v>
      </c>
    </row>
    <row r="19" spans="1:12" x14ac:dyDescent="0.35">
      <c r="A19">
        <v>2021</v>
      </c>
      <c r="B19">
        <v>14</v>
      </c>
      <c r="C19" t="s">
        <v>44</v>
      </c>
      <c r="D19" s="4">
        <v>274</v>
      </c>
      <c r="E19">
        <v>1367</v>
      </c>
      <c r="F19">
        <v>1050.5</v>
      </c>
      <c r="G19" s="4"/>
      <c r="J19" s="4">
        <v>3</v>
      </c>
      <c r="K19">
        <v>4</v>
      </c>
    </row>
    <row r="20" spans="1:12" x14ac:dyDescent="0.35">
      <c r="A20">
        <v>2021</v>
      </c>
      <c r="B20">
        <v>22</v>
      </c>
      <c r="C20" t="s">
        <v>45</v>
      </c>
      <c r="D20" s="4">
        <v>68</v>
      </c>
      <c r="E20">
        <v>357</v>
      </c>
      <c r="F20">
        <v>221.2</v>
      </c>
      <c r="G20" s="4"/>
      <c r="J20" s="4"/>
    </row>
    <row r="21" spans="1:12" x14ac:dyDescent="0.35">
      <c r="A21">
        <v>2021</v>
      </c>
      <c r="B21">
        <v>23</v>
      </c>
      <c r="C21" t="s">
        <v>46</v>
      </c>
      <c r="D21" s="4">
        <v>49</v>
      </c>
      <c r="E21">
        <v>142</v>
      </c>
      <c r="F21">
        <v>92.7</v>
      </c>
      <c r="G21" s="4"/>
      <c r="J21" s="4"/>
    </row>
    <row r="22" spans="1:12" x14ac:dyDescent="0.35">
      <c r="A22">
        <v>2021</v>
      </c>
      <c r="B22">
        <v>24</v>
      </c>
      <c r="C22" t="s">
        <v>47</v>
      </c>
      <c r="D22" s="4">
        <v>76</v>
      </c>
      <c r="E22">
        <v>197</v>
      </c>
      <c r="F22">
        <v>136.19999999999999</v>
      </c>
      <c r="G22" s="4"/>
      <c r="J22" s="4"/>
    </row>
    <row r="23" spans="1:12" x14ac:dyDescent="0.35">
      <c r="A23">
        <v>2021</v>
      </c>
      <c r="B23">
        <v>25</v>
      </c>
      <c r="C23" t="s">
        <v>48</v>
      </c>
      <c r="D23" s="4">
        <v>107</v>
      </c>
      <c r="E23">
        <v>421</v>
      </c>
      <c r="F23">
        <v>300.39999999999998</v>
      </c>
      <c r="G23" s="4"/>
      <c r="J23" s="4"/>
    </row>
    <row r="24" spans="1:12" x14ac:dyDescent="0.35">
      <c r="A24">
        <v>2021</v>
      </c>
      <c r="B24">
        <v>26</v>
      </c>
      <c r="C24" t="s">
        <v>49</v>
      </c>
      <c r="D24" s="4">
        <v>54</v>
      </c>
      <c r="E24">
        <v>164</v>
      </c>
      <c r="F24">
        <v>102.7</v>
      </c>
      <c r="G24" s="4"/>
      <c r="J24" s="4"/>
    </row>
    <row r="25" spans="1:12" x14ac:dyDescent="0.35">
      <c r="A25">
        <v>2021</v>
      </c>
      <c r="B25">
        <v>27</v>
      </c>
      <c r="C25" t="s">
        <v>50</v>
      </c>
      <c r="D25" s="4">
        <v>192</v>
      </c>
      <c r="E25">
        <v>1270</v>
      </c>
      <c r="F25">
        <v>918.5</v>
      </c>
      <c r="G25" s="4"/>
      <c r="J25" s="4">
        <v>4</v>
      </c>
      <c r="K25">
        <v>4</v>
      </c>
    </row>
    <row r="26" spans="1:12" x14ac:dyDescent="0.35">
      <c r="A26">
        <v>2021</v>
      </c>
      <c r="B26">
        <v>28</v>
      </c>
      <c r="C26" t="s">
        <v>51</v>
      </c>
      <c r="D26" s="4">
        <v>134</v>
      </c>
      <c r="E26">
        <v>754</v>
      </c>
      <c r="F26">
        <v>498</v>
      </c>
      <c r="G26" s="4"/>
      <c r="J26" s="4"/>
    </row>
    <row r="27" spans="1:12" x14ac:dyDescent="0.35">
      <c r="A27">
        <v>2021</v>
      </c>
      <c r="B27">
        <v>29</v>
      </c>
      <c r="C27" t="s">
        <v>52</v>
      </c>
      <c r="D27" s="4">
        <v>115</v>
      </c>
      <c r="E27">
        <v>448</v>
      </c>
      <c r="F27">
        <v>328.1</v>
      </c>
      <c r="G27" s="4"/>
      <c r="H27">
        <v>6</v>
      </c>
      <c r="I27">
        <v>5.7</v>
      </c>
      <c r="J27" s="4">
        <v>4</v>
      </c>
      <c r="K27">
        <v>7</v>
      </c>
      <c r="L27">
        <v>5.8</v>
      </c>
    </row>
    <row r="28" spans="1:12" x14ac:dyDescent="0.35">
      <c r="A28">
        <v>2021</v>
      </c>
      <c r="B28">
        <v>31</v>
      </c>
      <c r="C28" t="s">
        <v>53</v>
      </c>
      <c r="D28" s="4">
        <v>114</v>
      </c>
      <c r="E28">
        <v>727</v>
      </c>
      <c r="F28">
        <v>530.5</v>
      </c>
      <c r="G28" s="4"/>
      <c r="J28" s="4"/>
      <c r="K28">
        <v>4</v>
      </c>
    </row>
    <row r="29" spans="1:12" x14ac:dyDescent="0.35">
      <c r="A29">
        <v>2021</v>
      </c>
      <c r="B29">
        <v>33</v>
      </c>
      <c r="C29" t="s">
        <v>54</v>
      </c>
      <c r="D29" s="4">
        <v>182</v>
      </c>
      <c r="E29">
        <v>1118</v>
      </c>
      <c r="F29">
        <v>901.4</v>
      </c>
      <c r="G29" s="4"/>
      <c r="J29" s="4"/>
    </row>
    <row r="30" spans="1:12" x14ac:dyDescent="0.35">
      <c r="A30">
        <v>2021</v>
      </c>
      <c r="B30">
        <v>34</v>
      </c>
      <c r="C30" t="s">
        <v>55</v>
      </c>
      <c r="D30" s="4">
        <v>114</v>
      </c>
      <c r="E30">
        <v>435</v>
      </c>
      <c r="F30">
        <v>282</v>
      </c>
      <c r="G30" s="4">
        <v>5</v>
      </c>
      <c r="H30">
        <v>5</v>
      </c>
      <c r="J30" s="4"/>
      <c r="K30">
        <v>142</v>
      </c>
      <c r="L30">
        <v>133.30000000000001</v>
      </c>
    </row>
    <row r="31" spans="1:12" x14ac:dyDescent="0.35">
      <c r="A31">
        <v>2021</v>
      </c>
      <c r="B31">
        <v>35</v>
      </c>
      <c r="C31" t="s">
        <v>56</v>
      </c>
      <c r="D31" s="4">
        <v>213</v>
      </c>
      <c r="E31">
        <v>1237</v>
      </c>
      <c r="F31">
        <v>867.7</v>
      </c>
      <c r="G31" s="4"/>
      <c r="J31" s="4"/>
      <c r="K31">
        <v>5</v>
      </c>
      <c r="L31">
        <v>4</v>
      </c>
    </row>
    <row r="32" spans="1:12" x14ac:dyDescent="0.35">
      <c r="A32">
        <v>2021</v>
      </c>
      <c r="B32">
        <v>37</v>
      </c>
      <c r="C32" t="s">
        <v>57</v>
      </c>
      <c r="D32" s="4">
        <v>114</v>
      </c>
      <c r="E32">
        <v>456</v>
      </c>
      <c r="F32">
        <v>307</v>
      </c>
      <c r="G32" s="4"/>
      <c r="J32" s="4"/>
    </row>
    <row r="33" spans="1:12" x14ac:dyDescent="0.35">
      <c r="A33">
        <v>2021</v>
      </c>
      <c r="B33">
        <v>38</v>
      </c>
      <c r="C33" t="s">
        <v>58</v>
      </c>
      <c r="D33" s="4">
        <v>87</v>
      </c>
      <c r="E33">
        <v>785</v>
      </c>
      <c r="F33">
        <v>566.4</v>
      </c>
      <c r="G33" s="4"/>
      <c r="J33" s="4"/>
    </row>
    <row r="34" spans="1:12" x14ac:dyDescent="0.35">
      <c r="A34">
        <v>2021</v>
      </c>
      <c r="B34">
        <v>39</v>
      </c>
      <c r="C34" t="s">
        <v>59</v>
      </c>
      <c r="D34" s="4">
        <v>74</v>
      </c>
      <c r="E34">
        <v>294</v>
      </c>
      <c r="F34">
        <v>190.1</v>
      </c>
      <c r="G34" s="4"/>
      <c r="J34" s="4"/>
    </row>
    <row r="35" spans="1:12" x14ac:dyDescent="0.35">
      <c r="A35">
        <v>2021</v>
      </c>
      <c r="B35">
        <v>40</v>
      </c>
      <c r="C35" t="s">
        <v>60</v>
      </c>
      <c r="D35" s="4">
        <v>95</v>
      </c>
      <c r="E35">
        <v>337</v>
      </c>
      <c r="F35">
        <v>217.9</v>
      </c>
      <c r="G35" s="4"/>
      <c r="J35" s="4"/>
    </row>
    <row r="36" spans="1:12" x14ac:dyDescent="0.35">
      <c r="A36">
        <v>2021</v>
      </c>
      <c r="B36">
        <v>41</v>
      </c>
      <c r="C36" t="s">
        <v>61</v>
      </c>
      <c r="D36" s="4">
        <v>34</v>
      </c>
      <c r="E36">
        <v>123</v>
      </c>
      <c r="F36">
        <v>80.2</v>
      </c>
      <c r="G36" s="4"/>
      <c r="J36" s="4"/>
    </row>
    <row r="37" spans="1:12" x14ac:dyDescent="0.35">
      <c r="A37">
        <v>2021</v>
      </c>
      <c r="B37">
        <v>43</v>
      </c>
      <c r="C37" t="s">
        <v>62</v>
      </c>
      <c r="D37" s="4">
        <v>28</v>
      </c>
      <c r="E37">
        <v>86</v>
      </c>
      <c r="F37">
        <v>52.7</v>
      </c>
      <c r="G37" s="4"/>
      <c r="J37" s="4"/>
    </row>
    <row r="38" spans="1:12" x14ac:dyDescent="0.35">
      <c r="A38">
        <v>2021</v>
      </c>
      <c r="B38">
        <v>51</v>
      </c>
      <c r="C38" t="s">
        <v>63</v>
      </c>
      <c r="D38" s="4">
        <v>270</v>
      </c>
      <c r="E38">
        <v>1730</v>
      </c>
      <c r="F38">
        <v>1413.8</v>
      </c>
      <c r="G38" s="4"/>
      <c r="J38" s="4"/>
      <c r="K38">
        <v>6</v>
      </c>
    </row>
    <row r="39" spans="1:12" x14ac:dyDescent="0.35">
      <c r="A39">
        <v>2021</v>
      </c>
      <c r="B39">
        <v>52</v>
      </c>
      <c r="C39" t="s">
        <v>64</v>
      </c>
      <c r="D39" s="4">
        <v>650</v>
      </c>
      <c r="E39">
        <v>4507</v>
      </c>
      <c r="F39">
        <v>3588.4</v>
      </c>
      <c r="G39" s="4">
        <v>4</v>
      </c>
      <c r="H39">
        <v>6</v>
      </c>
      <c r="J39" s="4">
        <v>3</v>
      </c>
      <c r="K39">
        <v>4</v>
      </c>
    </row>
    <row r="40" spans="1:12" x14ac:dyDescent="0.35">
      <c r="A40">
        <v>2021</v>
      </c>
      <c r="B40">
        <v>53</v>
      </c>
      <c r="C40" t="s">
        <v>65</v>
      </c>
      <c r="D40" s="4">
        <v>1332</v>
      </c>
      <c r="E40">
        <v>10845</v>
      </c>
      <c r="F40">
        <v>8165.1</v>
      </c>
      <c r="G40" s="4">
        <v>3</v>
      </c>
      <c r="J40" s="4">
        <v>7</v>
      </c>
      <c r="K40">
        <v>10</v>
      </c>
      <c r="L40">
        <v>8.1999999999999993</v>
      </c>
    </row>
    <row r="41" spans="1:12" x14ac:dyDescent="0.35">
      <c r="A41">
        <v>2021</v>
      </c>
      <c r="B41">
        <v>54</v>
      </c>
      <c r="C41" t="s">
        <v>66</v>
      </c>
      <c r="D41" s="4">
        <v>580</v>
      </c>
      <c r="E41">
        <v>5751</v>
      </c>
      <c r="F41">
        <v>4691.6000000000004</v>
      </c>
      <c r="G41" s="4"/>
      <c r="H41">
        <v>7</v>
      </c>
      <c r="I41">
        <v>5.6</v>
      </c>
      <c r="J41" s="4">
        <v>4</v>
      </c>
      <c r="K41">
        <v>17</v>
      </c>
      <c r="L41">
        <v>13.8</v>
      </c>
    </row>
    <row r="42" spans="1:12" x14ac:dyDescent="0.35">
      <c r="A42">
        <v>2021</v>
      </c>
      <c r="B42">
        <v>55</v>
      </c>
      <c r="C42" t="s">
        <v>67</v>
      </c>
      <c r="D42" s="4">
        <v>302</v>
      </c>
      <c r="E42">
        <v>1325</v>
      </c>
      <c r="F42">
        <v>950.4</v>
      </c>
      <c r="G42" s="4"/>
      <c r="J42" s="4"/>
    </row>
    <row r="43" spans="1:12" x14ac:dyDescent="0.35">
      <c r="A43">
        <v>2021</v>
      </c>
      <c r="B43">
        <v>56</v>
      </c>
      <c r="C43" t="s">
        <v>68</v>
      </c>
      <c r="D43" s="4">
        <v>498</v>
      </c>
      <c r="E43">
        <v>3748</v>
      </c>
      <c r="F43">
        <v>2964.2</v>
      </c>
      <c r="G43" s="4"/>
      <c r="J43" s="4">
        <v>4</v>
      </c>
      <c r="K43">
        <v>4</v>
      </c>
    </row>
    <row r="44" spans="1:12" x14ac:dyDescent="0.35">
      <c r="A44">
        <v>2021</v>
      </c>
      <c r="B44">
        <v>57</v>
      </c>
      <c r="C44" t="s">
        <v>69</v>
      </c>
      <c r="D44" s="4">
        <v>165</v>
      </c>
      <c r="E44">
        <v>762</v>
      </c>
      <c r="F44">
        <v>543.70000000000005</v>
      </c>
      <c r="G44" s="4"/>
      <c r="J44" s="4">
        <v>3</v>
      </c>
      <c r="K44">
        <v>4</v>
      </c>
    </row>
    <row r="45" spans="1:12" x14ac:dyDescent="0.35">
      <c r="A45">
        <v>2021</v>
      </c>
      <c r="B45">
        <v>58</v>
      </c>
      <c r="C45" t="s">
        <v>70</v>
      </c>
      <c r="D45" s="4">
        <v>241</v>
      </c>
      <c r="E45">
        <v>1066</v>
      </c>
      <c r="F45">
        <v>795.6</v>
      </c>
      <c r="G45" s="4"/>
      <c r="J45" s="4"/>
    </row>
    <row r="46" spans="1:12" x14ac:dyDescent="0.35">
      <c r="A46">
        <v>2021</v>
      </c>
      <c r="B46">
        <v>59</v>
      </c>
      <c r="C46" t="s">
        <v>71</v>
      </c>
      <c r="D46" s="4">
        <v>79</v>
      </c>
      <c r="E46">
        <v>403</v>
      </c>
      <c r="F46">
        <v>329.3</v>
      </c>
      <c r="G46" s="4"/>
      <c r="J46" s="4"/>
    </row>
    <row r="47" spans="1:12" x14ac:dyDescent="0.35">
      <c r="A47">
        <v>2021</v>
      </c>
      <c r="B47">
        <v>60</v>
      </c>
      <c r="C47" t="s">
        <v>72</v>
      </c>
      <c r="D47" s="4">
        <v>237</v>
      </c>
      <c r="E47">
        <v>1248</v>
      </c>
      <c r="F47">
        <v>1037.3</v>
      </c>
      <c r="G47" s="4"/>
      <c r="J47" s="4"/>
    </row>
    <row r="48" spans="1:12" x14ac:dyDescent="0.35">
      <c r="A48">
        <v>2021</v>
      </c>
      <c r="B48">
        <v>61</v>
      </c>
      <c r="C48" t="s">
        <v>73</v>
      </c>
      <c r="D48" s="4">
        <v>94</v>
      </c>
      <c r="E48">
        <v>362</v>
      </c>
      <c r="F48">
        <v>267.5</v>
      </c>
      <c r="G48" s="4"/>
      <c r="J48" s="4"/>
    </row>
    <row r="49" spans="1:12" x14ac:dyDescent="0.35">
      <c r="A49">
        <v>2021</v>
      </c>
      <c r="B49">
        <v>62</v>
      </c>
      <c r="C49" t="s">
        <v>74</v>
      </c>
      <c r="D49" s="4">
        <v>1546</v>
      </c>
      <c r="E49">
        <v>35226</v>
      </c>
      <c r="F49">
        <v>29260.5</v>
      </c>
      <c r="G49" s="4">
        <v>4</v>
      </c>
      <c r="H49">
        <v>20</v>
      </c>
      <c r="I49">
        <v>19.2</v>
      </c>
      <c r="J49" s="4">
        <v>10</v>
      </c>
      <c r="K49">
        <v>67</v>
      </c>
      <c r="L49">
        <v>58.4</v>
      </c>
    </row>
    <row r="50" spans="1:12" x14ac:dyDescent="0.35">
      <c r="A50">
        <v>2021</v>
      </c>
      <c r="B50">
        <v>63</v>
      </c>
      <c r="C50" t="s">
        <v>75</v>
      </c>
      <c r="D50" s="4">
        <v>126</v>
      </c>
      <c r="E50">
        <v>498</v>
      </c>
      <c r="F50">
        <v>370</v>
      </c>
      <c r="G50" s="4"/>
      <c r="J50" s="4"/>
    </row>
    <row r="51" spans="1:12" x14ac:dyDescent="0.35">
      <c r="A51">
        <v>2021</v>
      </c>
      <c r="B51">
        <v>64</v>
      </c>
      <c r="C51" t="s">
        <v>76</v>
      </c>
      <c r="D51" s="4">
        <v>303</v>
      </c>
      <c r="E51">
        <v>1147</v>
      </c>
      <c r="F51">
        <v>783</v>
      </c>
      <c r="G51" s="4"/>
      <c r="J51" s="4"/>
    </row>
    <row r="52" spans="1:12" x14ac:dyDescent="0.35">
      <c r="A52">
        <v>2021</v>
      </c>
      <c r="B52">
        <v>65</v>
      </c>
      <c r="C52" t="s">
        <v>77</v>
      </c>
      <c r="D52" s="4">
        <v>91</v>
      </c>
      <c r="E52">
        <v>254</v>
      </c>
      <c r="F52">
        <v>161.9</v>
      </c>
      <c r="G52" s="4"/>
      <c r="J52" s="4"/>
    </row>
    <row r="53" spans="1:12" x14ac:dyDescent="0.35">
      <c r="A53">
        <v>2021</v>
      </c>
      <c r="B53">
        <v>66</v>
      </c>
      <c r="C53" t="s">
        <v>78</v>
      </c>
      <c r="D53" s="4">
        <v>1534</v>
      </c>
      <c r="E53">
        <v>24028</v>
      </c>
      <c r="F53">
        <v>19943.900000000001</v>
      </c>
      <c r="G53" s="4">
        <v>12</v>
      </c>
      <c r="H53">
        <v>174</v>
      </c>
      <c r="I53">
        <v>148.5</v>
      </c>
      <c r="J53" s="4">
        <v>11</v>
      </c>
      <c r="K53">
        <v>29</v>
      </c>
      <c r="L53">
        <v>22.1</v>
      </c>
    </row>
    <row r="54" spans="1:12" x14ac:dyDescent="0.35">
      <c r="A54">
        <v>2021</v>
      </c>
      <c r="B54">
        <v>67</v>
      </c>
      <c r="C54" t="s">
        <v>79</v>
      </c>
      <c r="D54" s="4">
        <v>252</v>
      </c>
      <c r="E54">
        <v>1618</v>
      </c>
      <c r="F54">
        <v>1227.4000000000001</v>
      </c>
      <c r="G54" s="4"/>
      <c r="J54" s="4"/>
    </row>
    <row r="55" spans="1:12" x14ac:dyDescent="0.35">
      <c r="A55">
        <v>2021</v>
      </c>
      <c r="B55">
        <v>68</v>
      </c>
      <c r="C55" t="s">
        <v>80</v>
      </c>
      <c r="D55" s="4">
        <v>169</v>
      </c>
      <c r="E55">
        <v>513</v>
      </c>
      <c r="F55">
        <v>341.5</v>
      </c>
      <c r="G55" s="4"/>
      <c r="J55" s="4"/>
    </row>
    <row r="56" spans="1:12" x14ac:dyDescent="0.35">
      <c r="A56">
        <v>2021</v>
      </c>
      <c r="B56">
        <v>69</v>
      </c>
      <c r="C56" t="s">
        <v>81</v>
      </c>
      <c r="D56" s="4">
        <v>1493</v>
      </c>
      <c r="E56">
        <v>21225</v>
      </c>
      <c r="F56">
        <v>17906.8</v>
      </c>
      <c r="G56" s="4">
        <v>5</v>
      </c>
      <c r="H56">
        <v>29</v>
      </c>
      <c r="I56">
        <v>23.1</v>
      </c>
      <c r="J56" s="4">
        <v>4</v>
      </c>
      <c r="K56">
        <v>12</v>
      </c>
      <c r="L56">
        <v>7.9</v>
      </c>
    </row>
    <row r="57" spans="1:12" x14ac:dyDescent="0.35">
      <c r="A57">
        <v>2021</v>
      </c>
      <c r="B57">
        <v>70</v>
      </c>
      <c r="C57" t="s">
        <v>82</v>
      </c>
      <c r="D57" s="4">
        <v>37</v>
      </c>
      <c r="E57">
        <v>75</v>
      </c>
      <c r="F57">
        <v>47</v>
      </c>
      <c r="G57" s="4"/>
      <c r="J57" s="4"/>
    </row>
    <row r="58" spans="1:12" x14ac:dyDescent="0.35">
      <c r="A58">
        <v>2021</v>
      </c>
      <c r="B58">
        <v>71</v>
      </c>
      <c r="C58" t="s">
        <v>83</v>
      </c>
      <c r="D58" s="4">
        <v>124</v>
      </c>
      <c r="E58">
        <v>503</v>
      </c>
      <c r="F58">
        <v>393.2</v>
      </c>
      <c r="G58" s="4"/>
      <c r="J58" s="4"/>
    </row>
    <row r="59" spans="1:12" x14ac:dyDescent="0.35">
      <c r="A59">
        <v>2021</v>
      </c>
      <c r="B59">
        <v>72</v>
      </c>
      <c r="C59" t="s">
        <v>84</v>
      </c>
      <c r="D59" s="4">
        <v>276</v>
      </c>
      <c r="E59">
        <v>1033</v>
      </c>
      <c r="F59">
        <v>726.4</v>
      </c>
      <c r="G59" s="4">
        <v>3</v>
      </c>
      <c r="J59" s="4"/>
    </row>
    <row r="60" spans="1:12" x14ac:dyDescent="0.35">
      <c r="A60">
        <v>2021</v>
      </c>
      <c r="B60">
        <v>81</v>
      </c>
      <c r="C60" t="s">
        <v>85</v>
      </c>
      <c r="D60" s="4">
        <v>55</v>
      </c>
      <c r="E60">
        <v>238</v>
      </c>
      <c r="F60">
        <v>167.6</v>
      </c>
      <c r="G60" s="4"/>
      <c r="J60" s="4"/>
    </row>
    <row r="61" spans="1:12" x14ac:dyDescent="0.35">
      <c r="A61">
        <v>2021</v>
      </c>
      <c r="B61">
        <v>82</v>
      </c>
      <c r="C61" t="s">
        <v>86</v>
      </c>
      <c r="D61" s="4">
        <v>78</v>
      </c>
      <c r="E61">
        <v>329</v>
      </c>
      <c r="F61">
        <v>255.3</v>
      </c>
      <c r="G61" s="4"/>
      <c r="J61" s="4"/>
    </row>
    <row r="62" spans="1:12" x14ac:dyDescent="0.35">
      <c r="A62">
        <v>2021</v>
      </c>
      <c r="B62">
        <v>83</v>
      </c>
      <c r="C62" t="s">
        <v>87</v>
      </c>
      <c r="D62" s="4">
        <v>302</v>
      </c>
      <c r="E62">
        <v>2452</v>
      </c>
      <c r="F62">
        <v>2023.8</v>
      </c>
      <c r="G62" s="4"/>
      <c r="J62" s="4">
        <v>3</v>
      </c>
    </row>
    <row r="63" spans="1:12" x14ac:dyDescent="0.35">
      <c r="A63">
        <v>2021</v>
      </c>
      <c r="B63">
        <v>84</v>
      </c>
      <c r="C63" t="s">
        <v>88</v>
      </c>
      <c r="D63" s="4">
        <v>285</v>
      </c>
      <c r="E63">
        <v>2934</v>
      </c>
      <c r="F63">
        <v>2549.4</v>
      </c>
      <c r="G63" s="4"/>
      <c r="J63" s="4"/>
    </row>
    <row r="64" spans="1:12" x14ac:dyDescent="0.35">
      <c r="A64">
        <v>2021</v>
      </c>
      <c r="B64">
        <v>85</v>
      </c>
      <c r="C64" t="s">
        <v>89</v>
      </c>
      <c r="D64" s="4">
        <v>97</v>
      </c>
      <c r="E64">
        <v>409</v>
      </c>
      <c r="F64">
        <v>311.89999999999998</v>
      </c>
      <c r="G64" s="4"/>
      <c r="J64" s="4"/>
      <c r="K64">
        <v>7</v>
      </c>
      <c r="L64">
        <v>4.8</v>
      </c>
    </row>
    <row r="65" spans="1:12" x14ac:dyDescent="0.35">
      <c r="A65">
        <v>2021</v>
      </c>
      <c r="B65">
        <v>86</v>
      </c>
      <c r="C65" t="s">
        <v>90</v>
      </c>
      <c r="D65" s="4">
        <v>436</v>
      </c>
      <c r="E65">
        <v>4535</v>
      </c>
      <c r="F65">
        <v>3537.4</v>
      </c>
      <c r="G65" s="4"/>
      <c r="J65" s="4">
        <v>3</v>
      </c>
    </row>
    <row r="66" spans="1:12" x14ac:dyDescent="0.35">
      <c r="A66">
        <v>2021</v>
      </c>
      <c r="B66">
        <v>87</v>
      </c>
      <c r="C66" t="s">
        <v>91</v>
      </c>
      <c r="D66" s="4">
        <v>44</v>
      </c>
      <c r="E66">
        <v>104</v>
      </c>
      <c r="F66">
        <v>67.2</v>
      </c>
      <c r="G66" s="4"/>
      <c r="J66" s="4"/>
    </row>
    <row r="67" spans="1:12" x14ac:dyDescent="0.35">
      <c r="A67">
        <v>2021</v>
      </c>
      <c r="B67">
        <v>88</v>
      </c>
      <c r="C67" t="s">
        <v>92</v>
      </c>
      <c r="D67" s="4">
        <v>241</v>
      </c>
      <c r="E67">
        <v>680</v>
      </c>
      <c r="F67">
        <v>456.9</v>
      </c>
      <c r="G67" s="4"/>
      <c r="J67" s="4"/>
    </row>
    <row r="68" spans="1:12" x14ac:dyDescent="0.35">
      <c r="A68">
        <v>2021</v>
      </c>
      <c r="B68">
        <v>89</v>
      </c>
      <c r="C68" t="s">
        <v>93</v>
      </c>
      <c r="D68" s="4">
        <v>251</v>
      </c>
      <c r="E68">
        <v>1700</v>
      </c>
      <c r="F68">
        <v>1363.1</v>
      </c>
      <c r="G68" s="4"/>
      <c r="J68" s="4"/>
    </row>
    <row r="69" spans="1:12" x14ac:dyDescent="0.35">
      <c r="A69">
        <v>2021</v>
      </c>
      <c r="B69">
        <v>90</v>
      </c>
      <c r="C69" t="s">
        <v>94</v>
      </c>
      <c r="D69" s="4">
        <v>486</v>
      </c>
      <c r="E69">
        <v>2580</v>
      </c>
      <c r="F69">
        <v>2058.4</v>
      </c>
      <c r="G69" s="4"/>
      <c r="H69">
        <v>4</v>
      </c>
      <c r="J69" s="4">
        <v>7</v>
      </c>
      <c r="K69">
        <v>8</v>
      </c>
      <c r="L69">
        <v>5.5</v>
      </c>
    </row>
    <row r="70" spans="1:12" x14ac:dyDescent="0.35">
      <c r="A70">
        <v>2021</v>
      </c>
      <c r="B70">
        <v>91</v>
      </c>
      <c r="C70" t="s">
        <v>95</v>
      </c>
      <c r="D70" s="4">
        <v>165</v>
      </c>
      <c r="E70">
        <v>878</v>
      </c>
      <c r="F70">
        <v>696</v>
      </c>
      <c r="G70" s="4"/>
      <c r="J70" s="4"/>
    </row>
    <row r="71" spans="1:12" x14ac:dyDescent="0.35">
      <c r="A71">
        <v>2021</v>
      </c>
      <c r="B71">
        <v>92</v>
      </c>
      <c r="C71" t="s">
        <v>96</v>
      </c>
      <c r="D71" s="4">
        <v>329</v>
      </c>
      <c r="E71">
        <v>1927</v>
      </c>
      <c r="F71">
        <v>1570.6</v>
      </c>
      <c r="G71" s="4"/>
      <c r="J71" s="4"/>
    </row>
    <row r="72" spans="1:12" x14ac:dyDescent="0.35">
      <c r="A72">
        <v>2021</v>
      </c>
      <c r="B72">
        <v>93</v>
      </c>
      <c r="C72" t="s">
        <v>97</v>
      </c>
      <c r="D72" s="4">
        <v>92</v>
      </c>
      <c r="E72">
        <v>241</v>
      </c>
      <c r="F72">
        <v>173.8</v>
      </c>
      <c r="G72" s="4"/>
      <c r="J72" s="4"/>
    </row>
    <row r="73" spans="1:12" x14ac:dyDescent="0.35">
      <c r="A73">
        <v>2021</v>
      </c>
      <c r="B73">
        <v>94</v>
      </c>
      <c r="C73" t="s">
        <v>98</v>
      </c>
      <c r="D73" s="4">
        <v>268</v>
      </c>
      <c r="E73">
        <v>2441</v>
      </c>
      <c r="F73">
        <v>1965.1</v>
      </c>
      <c r="G73" s="4"/>
      <c r="J73" s="4">
        <v>4</v>
      </c>
      <c r="K73">
        <v>10</v>
      </c>
      <c r="L73">
        <v>8.8000000000000007</v>
      </c>
    </row>
    <row r="74" spans="1:12" x14ac:dyDescent="0.35">
      <c r="A74">
        <v>2021</v>
      </c>
      <c r="B74">
        <v>95</v>
      </c>
      <c r="C74" t="s">
        <v>99</v>
      </c>
      <c r="D74" s="4">
        <v>45</v>
      </c>
      <c r="E74">
        <v>299</v>
      </c>
      <c r="F74">
        <v>186.6</v>
      </c>
      <c r="G74" s="4"/>
      <c r="J74" s="4"/>
    </row>
    <row r="75" spans="1:12" x14ac:dyDescent="0.35">
      <c r="A75">
        <v>2021</v>
      </c>
      <c r="B75">
        <v>96</v>
      </c>
      <c r="C75" t="s">
        <v>100</v>
      </c>
      <c r="D75" s="4">
        <v>1282</v>
      </c>
      <c r="E75">
        <v>10239</v>
      </c>
      <c r="F75">
        <v>8220.4</v>
      </c>
      <c r="G75" s="4">
        <v>6</v>
      </c>
      <c r="H75">
        <v>31</v>
      </c>
      <c r="I75">
        <v>26.5</v>
      </c>
      <c r="J75" s="4">
        <v>5</v>
      </c>
      <c r="K75">
        <v>13</v>
      </c>
      <c r="L75">
        <v>11.4</v>
      </c>
    </row>
    <row r="76" spans="1:12" x14ac:dyDescent="0.35">
      <c r="A76">
        <v>2021</v>
      </c>
      <c r="B76">
        <v>97</v>
      </c>
      <c r="C76" t="s">
        <v>101</v>
      </c>
      <c r="D76" s="4">
        <v>776</v>
      </c>
      <c r="E76">
        <v>6596</v>
      </c>
      <c r="F76">
        <v>5461.5</v>
      </c>
      <c r="G76" s="4">
        <v>4</v>
      </c>
      <c r="H76">
        <v>41</v>
      </c>
      <c r="I76">
        <v>37.6</v>
      </c>
      <c r="J76" s="4">
        <v>6</v>
      </c>
      <c r="K76">
        <v>21</v>
      </c>
      <c r="L76">
        <v>17.5</v>
      </c>
    </row>
    <row r="77" spans="1:12" x14ac:dyDescent="0.35">
      <c r="A77">
        <v>2021</v>
      </c>
      <c r="B77">
        <v>98</v>
      </c>
      <c r="C77" t="s">
        <v>102</v>
      </c>
      <c r="D77" s="4">
        <v>61</v>
      </c>
      <c r="E77">
        <v>156</v>
      </c>
      <c r="F77">
        <v>102.8</v>
      </c>
      <c r="G77" s="4"/>
      <c r="J77" s="4"/>
    </row>
    <row r="78" spans="1:12" x14ac:dyDescent="0.35">
      <c r="A78">
        <v>2021</v>
      </c>
      <c r="B78">
        <v>99</v>
      </c>
      <c r="C78" t="s">
        <v>103</v>
      </c>
      <c r="D78" s="4">
        <v>92</v>
      </c>
      <c r="E78">
        <v>328</v>
      </c>
      <c r="F78">
        <v>203</v>
      </c>
      <c r="G78" s="4"/>
      <c r="J78" s="4"/>
    </row>
    <row r="79" spans="1:12" x14ac:dyDescent="0.35">
      <c r="A79">
        <v>2021</v>
      </c>
      <c r="B79">
        <v>100</v>
      </c>
      <c r="C79" t="s">
        <v>104</v>
      </c>
      <c r="D79" s="4">
        <v>145</v>
      </c>
      <c r="E79">
        <v>518</v>
      </c>
      <c r="F79">
        <v>356.2</v>
      </c>
      <c r="G79" s="4"/>
      <c r="J79" s="4"/>
    </row>
    <row r="80" spans="1:12" x14ac:dyDescent="0.35">
      <c r="A80">
        <v>2021</v>
      </c>
      <c r="B80">
        <v>101</v>
      </c>
      <c r="C80" t="s">
        <v>105</v>
      </c>
      <c r="D80" s="4">
        <v>226</v>
      </c>
      <c r="E80">
        <v>840</v>
      </c>
      <c r="F80">
        <v>604.4</v>
      </c>
      <c r="G80" s="4"/>
      <c r="J80" s="4"/>
    </row>
    <row r="81" spans="1:12" x14ac:dyDescent="0.35">
      <c r="A81">
        <v>2021</v>
      </c>
      <c r="B81">
        <v>102</v>
      </c>
      <c r="C81" t="s">
        <v>106</v>
      </c>
      <c r="D81" s="4">
        <v>106</v>
      </c>
      <c r="E81">
        <v>304</v>
      </c>
      <c r="F81">
        <v>217.3</v>
      </c>
      <c r="G81" s="4"/>
      <c r="J81" s="4"/>
    </row>
    <row r="82" spans="1:12" x14ac:dyDescent="0.35">
      <c r="A82">
        <v>2021</v>
      </c>
      <c r="B82">
        <v>111</v>
      </c>
      <c r="C82" t="s">
        <v>107</v>
      </c>
      <c r="D82" s="4">
        <v>369</v>
      </c>
      <c r="E82">
        <v>1668</v>
      </c>
      <c r="F82">
        <v>1154.7</v>
      </c>
      <c r="G82" s="4"/>
      <c r="J82" s="4">
        <v>3</v>
      </c>
      <c r="K82">
        <v>5</v>
      </c>
    </row>
    <row r="83" spans="1:12" x14ac:dyDescent="0.35">
      <c r="A83">
        <v>2021</v>
      </c>
      <c r="B83">
        <v>112</v>
      </c>
      <c r="C83" t="s">
        <v>108</v>
      </c>
      <c r="D83" s="4">
        <v>581</v>
      </c>
      <c r="E83">
        <v>3791</v>
      </c>
      <c r="F83">
        <v>2975.5</v>
      </c>
      <c r="G83" s="4">
        <v>3</v>
      </c>
      <c r="H83">
        <v>15</v>
      </c>
      <c r="I83">
        <v>14.4</v>
      </c>
      <c r="J83" s="4">
        <v>3</v>
      </c>
    </row>
    <row r="84" spans="1:12" x14ac:dyDescent="0.35">
      <c r="A84">
        <v>2021</v>
      </c>
      <c r="B84">
        <v>113</v>
      </c>
      <c r="C84" t="s">
        <v>109</v>
      </c>
      <c r="D84" s="4">
        <v>454</v>
      </c>
      <c r="E84">
        <v>1903</v>
      </c>
      <c r="F84">
        <v>1327.6</v>
      </c>
      <c r="G84" s="4">
        <v>3</v>
      </c>
      <c r="H84">
        <v>4</v>
      </c>
      <c r="J84" s="4"/>
    </row>
    <row r="85" spans="1:12" x14ac:dyDescent="0.35">
      <c r="A85">
        <v>2021</v>
      </c>
      <c r="B85">
        <v>114</v>
      </c>
      <c r="C85" t="s">
        <v>110</v>
      </c>
      <c r="D85" s="4">
        <v>213</v>
      </c>
      <c r="E85">
        <v>674</v>
      </c>
      <c r="F85">
        <v>478</v>
      </c>
      <c r="G85" s="4"/>
      <c r="J85" s="4"/>
    </row>
    <row r="86" spans="1:12" x14ac:dyDescent="0.35">
      <c r="A86">
        <v>2021</v>
      </c>
      <c r="B86">
        <v>115</v>
      </c>
      <c r="C86" t="s">
        <v>111</v>
      </c>
      <c r="D86" s="4">
        <v>623</v>
      </c>
      <c r="E86">
        <v>2548</v>
      </c>
      <c r="F86">
        <v>1863</v>
      </c>
      <c r="G86" s="4"/>
      <c r="J86" s="4"/>
    </row>
    <row r="87" spans="1:12" x14ac:dyDescent="0.35">
      <c r="A87">
        <v>2021</v>
      </c>
      <c r="B87">
        <v>116</v>
      </c>
      <c r="C87" t="s">
        <v>112</v>
      </c>
      <c r="D87" s="4">
        <v>277</v>
      </c>
      <c r="E87">
        <v>1864</v>
      </c>
      <c r="F87">
        <v>1468.4</v>
      </c>
      <c r="G87" s="4"/>
      <c r="H87">
        <v>6</v>
      </c>
      <c r="I87">
        <v>5.0999999999999996</v>
      </c>
      <c r="J87" s="4"/>
    </row>
    <row r="88" spans="1:12" x14ac:dyDescent="0.35">
      <c r="A88">
        <v>2021</v>
      </c>
      <c r="B88">
        <v>117</v>
      </c>
      <c r="C88" t="s">
        <v>113</v>
      </c>
      <c r="D88" s="4">
        <v>893</v>
      </c>
      <c r="E88">
        <v>7324</v>
      </c>
      <c r="F88">
        <v>6004.9</v>
      </c>
      <c r="G88" s="4">
        <v>6</v>
      </c>
      <c r="H88">
        <v>16</v>
      </c>
      <c r="I88">
        <v>13.4</v>
      </c>
      <c r="J88" s="4">
        <v>4</v>
      </c>
      <c r="K88">
        <v>9</v>
      </c>
      <c r="L88">
        <v>6.5</v>
      </c>
    </row>
    <row r="89" spans="1:12" x14ac:dyDescent="0.35">
      <c r="A89">
        <v>2021</v>
      </c>
      <c r="B89">
        <v>118</v>
      </c>
      <c r="C89" t="s">
        <v>114</v>
      </c>
      <c r="D89" s="4">
        <v>855</v>
      </c>
      <c r="E89">
        <v>5215</v>
      </c>
      <c r="F89">
        <v>3844.7</v>
      </c>
      <c r="G89" s="4">
        <v>5</v>
      </c>
      <c r="H89">
        <v>16</v>
      </c>
      <c r="I89">
        <v>13.9</v>
      </c>
      <c r="J89" s="4">
        <v>5</v>
      </c>
      <c r="K89">
        <v>44</v>
      </c>
      <c r="L89">
        <v>40.799999999999997</v>
      </c>
    </row>
    <row r="90" spans="1:12" x14ac:dyDescent="0.35">
      <c r="A90">
        <v>2021</v>
      </c>
      <c r="B90">
        <v>119</v>
      </c>
      <c r="C90" t="s">
        <v>115</v>
      </c>
      <c r="D90" s="4">
        <v>127</v>
      </c>
      <c r="E90">
        <v>556</v>
      </c>
      <c r="F90">
        <v>366.3</v>
      </c>
      <c r="G90" s="4"/>
      <c r="J90" s="4"/>
    </row>
    <row r="91" spans="1:12" x14ac:dyDescent="0.35">
      <c r="A91">
        <v>2021</v>
      </c>
      <c r="B91">
        <v>120</v>
      </c>
      <c r="C91" t="s">
        <v>116</v>
      </c>
      <c r="D91" s="4">
        <v>696</v>
      </c>
      <c r="E91">
        <v>3486</v>
      </c>
      <c r="F91">
        <v>2499.5</v>
      </c>
      <c r="G91" s="4">
        <v>5</v>
      </c>
      <c r="H91">
        <v>5</v>
      </c>
      <c r="J91" s="4">
        <v>3</v>
      </c>
    </row>
    <row r="92" spans="1:12" x14ac:dyDescent="0.35">
      <c r="A92">
        <v>2021</v>
      </c>
      <c r="B92">
        <v>121</v>
      </c>
      <c r="C92" t="s">
        <v>117</v>
      </c>
      <c r="D92" s="4">
        <v>1824</v>
      </c>
      <c r="E92">
        <v>14354</v>
      </c>
      <c r="F92">
        <v>10532</v>
      </c>
      <c r="G92" s="4">
        <v>6</v>
      </c>
      <c r="H92">
        <v>11</v>
      </c>
      <c r="I92">
        <v>6.3</v>
      </c>
      <c r="J92" s="4">
        <v>9</v>
      </c>
      <c r="K92">
        <v>60</v>
      </c>
      <c r="L92">
        <v>45.6</v>
      </c>
    </row>
    <row r="93" spans="1:12" x14ac:dyDescent="0.35">
      <c r="A93">
        <v>2021</v>
      </c>
      <c r="B93">
        <v>131</v>
      </c>
      <c r="C93" t="s">
        <v>118</v>
      </c>
      <c r="D93" s="4">
        <v>1013</v>
      </c>
      <c r="E93">
        <v>7464</v>
      </c>
      <c r="F93">
        <v>5848.3</v>
      </c>
      <c r="G93" s="4">
        <v>4</v>
      </c>
      <c r="H93">
        <v>11</v>
      </c>
      <c r="I93">
        <v>10</v>
      </c>
      <c r="J93" s="4">
        <v>3</v>
      </c>
    </row>
    <row r="94" spans="1:12" x14ac:dyDescent="0.35">
      <c r="A94">
        <v>2021</v>
      </c>
      <c r="B94">
        <v>135</v>
      </c>
      <c r="C94" t="s">
        <v>119</v>
      </c>
      <c r="D94" s="4">
        <v>638</v>
      </c>
      <c r="E94">
        <v>4312</v>
      </c>
      <c r="F94">
        <v>3220.7</v>
      </c>
      <c r="G94" s="4">
        <v>6</v>
      </c>
      <c r="H94">
        <v>9</v>
      </c>
      <c r="I94">
        <v>6.4</v>
      </c>
      <c r="J94" s="4">
        <v>5</v>
      </c>
      <c r="K94">
        <v>6</v>
      </c>
    </row>
    <row r="95" spans="1:12" x14ac:dyDescent="0.35">
      <c r="A95">
        <v>2021</v>
      </c>
      <c r="B95">
        <v>136</v>
      </c>
      <c r="C95" t="s">
        <v>120</v>
      </c>
      <c r="D95" s="4">
        <v>374</v>
      </c>
      <c r="E95">
        <v>1589</v>
      </c>
      <c r="F95">
        <v>1122.5</v>
      </c>
      <c r="G95" s="4"/>
      <c r="J95" s="4"/>
    </row>
    <row r="96" spans="1:12" x14ac:dyDescent="0.35">
      <c r="A96">
        <v>2021</v>
      </c>
      <c r="B96">
        <v>137</v>
      </c>
      <c r="C96" t="s">
        <v>121</v>
      </c>
      <c r="D96" s="4">
        <v>291</v>
      </c>
      <c r="E96">
        <v>1026</v>
      </c>
      <c r="F96">
        <v>700.5</v>
      </c>
      <c r="G96" s="4"/>
      <c r="J96" s="4"/>
    </row>
    <row r="97" spans="1:12" x14ac:dyDescent="0.35">
      <c r="A97">
        <v>2021</v>
      </c>
      <c r="B97">
        <v>138</v>
      </c>
      <c r="C97" t="s">
        <v>122</v>
      </c>
      <c r="D97" s="4">
        <v>813</v>
      </c>
      <c r="E97">
        <v>4238</v>
      </c>
      <c r="F97">
        <v>3274.1</v>
      </c>
      <c r="G97" s="4">
        <v>7</v>
      </c>
      <c r="H97">
        <v>20</v>
      </c>
      <c r="I97">
        <v>15.2</v>
      </c>
      <c r="J97" s="4">
        <v>10</v>
      </c>
      <c r="K97">
        <v>34</v>
      </c>
      <c r="L97">
        <v>28.1</v>
      </c>
    </row>
    <row r="98" spans="1:12" x14ac:dyDescent="0.35">
      <c r="A98">
        <v>2021</v>
      </c>
      <c r="B98">
        <v>139</v>
      </c>
      <c r="C98" t="s">
        <v>123</v>
      </c>
      <c r="D98" s="4">
        <v>428</v>
      </c>
      <c r="E98">
        <v>2950</v>
      </c>
      <c r="F98">
        <v>2384</v>
      </c>
      <c r="G98" s="4"/>
      <c r="J98" s="4">
        <v>3</v>
      </c>
      <c r="K98">
        <v>4</v>
      </c>
    </row>
    <row r="99" spans="1:12" x14ac:dyDescent="0.35">
      <c r="A99">
        <v>2021</v>
      </c>
      <c r="B99">
        <v>141</v>
      </c>
      <c r="C99" t="s">
        <v>124</v>
      </c>
      <c r="D99" s="4">
        <v>1334</v>
      </c>
      <c r="E99">
        <v>6728</v>
      </c>
      <c r="F99">
        <v>4894.2</v>
      </c>
      <c r="G99" s="4">
        <v>5</v>
      </c>
      <c r="H99">
        <v>9</v>
      </c>
      <c r="I99">
        <v>7.7</v>
      </c>
      <c r="J99" s="4">
        <v>11</v>
      </c>
      <c r="K99">
        <v>33</v>
      </c>
      <c r="L99">
        <v>25.4</v>
      </c>
    </row>
    <row r="100" spans="1:12" x14ac:dyDescent="0.35">
      <c r="A100">
        <v>2021</v>
      </c>
      <c r="B100">
        <v>151</v>
      </c>
      <c r="C100" t="s">
        <v>125</v>
      </c>
      <c r="D100" s="4">
        <v>480</v>
      </c>
      <c r="E100">
        <v>1887</v>
      </c>
      <c r="F100">
        <v>1340.3</v>
      </c>
      <c r="G100" s="4">
        <v>5</v>
      </c>
      <c r="H100">
        <v>11</v>
      </c>
      <c r="I100">
        <v>6.7</v>
      </c>
      <c r="J100" s="4">
        <v>6</v>
      </c>
      <c r="K100">
        <v>13</v>
      </c>
      <c r="L100">
        <v>10.3</v>
      </c>
    </row>
    <row r="101" spans="1:12" x14ac:dyDescent="0.35">
      <c r="A101">
        <v>2021</v>
      </c>
      <c r="B101">
        <v>152</v>
      </c>
      <c r="C101" t="s">
        <v>126</v>
      </c>
      <c r="D101" s="4">
        <v>483</v>
      </c>
      <c r="E101">
        <v>1538</v>
      </c>
      <c r="F101">
        <v>1126.5</v>
      </c>
      <c r="G101" s="4"/>
      <c r="J101" s="4">
        <v>4</v>
      </c>
      <c r="K101">
        <v>5</v>
      </c>
      <c r="L101">
        <v>4.3</v>
      </c>
    </row>
    <row r="102" spans="1:12" x14ac:dyDescent="0.35">
      <c r="A102">
        <v>2021</v>
      </c>
      <c r="B102">
        <v>153</v>
      </c>
      <c r="C102" t="s">
        <v>127</v>
      </c>
      <c r="D102" s="4">
        <v>616</v>
      </c>
      <c r="E102">
        <v>2899</v>
      </c>
      <c r="F102">
        <v>2040</v>
      </c>
      <c r="G102" s="4"/>
      <c r="J102" s="4"/>
    </row>
    <row r="103" spans="1:12" x14ac:dyDescent="0.35">
      <c r="A103">
        <v>2021</v>
      </c>
      <c r="B103">
        <v>154</v>
      </c>
      <c r="C103" t="s">
        <v>128</v>
      </c>
      <c r="D103" s="4">
        <v>1268</v>
      </c>
      <c r="E103">
        <v>6293</v>
      </c>
      <c r="F103">
        <v>4784.3</v>
      </c>
      <c r="G103" s="4">
        <v>9</v>
      </c>
      <c r="H103">
        <v>14</v>
      </c>
      <c r="I103">
        <v>8.6999999999999993</v>
      </c>
      <c r="J103" s="4">
        <v>9</v>
      </c>
      <c r="K103">
        <v>31</v>
      </c>
      <c r="L103">
        <v>24.8</v>
      </c>
    </row>
    <row r="104" spans="1:12" x14ac:dyDescent="0.35">
      <c r="A104">
        <v>2021</v>
      </c>
      <c r="B104">
        <v>155</v>
      </c>
      <c r="C104" t="s">
        <v>129</v>
      </c>
      <c r="D104" s="4">
        <v>770</v>
      </c>
      <c r="E104">
        <v>5354</v>
      </c>
      <c r="F104">
        <v>4071.4</v>
      </c>
      <c r="G104" s="4">
        <v>6</v>
      </c>
      <c r="H104">
        <v>13</v>
      </c>
      <c r="I104">
        <v>6.3</v>
      </c>
      <c r="J104" s="4">
        <v>8</v>
      </c>
      <c r="K104">
        <v>9</v>
      </c>
      <c r="L104">
        <v>6.8</v>
      </c>
    </row>
    <row r="105" spans="1:12" x14ac:dyDescent="0.35">
      <c r="A105">
        <v>2021</v>
      </c>
      <c r="B105">
        <v>156</v>
      </c>
      <c r="C105" t="s">
        <v>130</v>
      </c>
      <c r="D105" s="4">
        <v>1196</v>
      </c>
      <c r="E105">
        <v>6111</v>
      </c>
      <c r="F105">
        <v>4590.1000000000004</v>
      </c>
      <c r="G105" s="4">
        <v>5</v>
      </c>
      <c r="H105">
        <v>18</v>
      </c>
      <c r="I105">
        <v>7.5</v>
      </c>
      <c r="J105" s="4">
        <v>11</v>
      </c>
      <c r="K105">
        <v>30</v>
      </c>
      <c r="L105">
        <v>22.4</v>
      </c>
    </row>
    <row r="106" spans="1:12" x14ac:dyDescent="0.35">
      <c r="A106">
        <v>2021</v>
      </c>
      <c r="B106">
        <v>157</v>
      </c>
      <c r="C106" t="s">
        <v>131</v>
      </c>
      <c r="D106" s="4">
        <v>288</v>
      </c>
      <c r="E106">
        <v>2178</v>
      </c>
      <c r="F106">
        <v>1730.5</v>
      </c>
      <c r="G106" s="4"/>
      <c r="J106" s="4"/>
    </row>
    <row r="107" spans="1:12" x14ac:dyDescent="0.35">
      <c r="A107">
        <v>2021</v>
      </c>
      <c r="B107">
        <v>158</v>
      </c>
      <c r="C107" t="s">
        <v>132</v>
      </c>
      <c r="D107" s="4">
        <v>1031</v>
      </c>
      <c r="E107">
        <v>6426</v>
      </c>
      <c r="F107">
        <v>5064.7</v>
      </c>
      <c r="G107" s="4"/>
      <c r="J107" s="4">
        <v>6</v>
      </c>
      <c r="K107">
        <v>8</v>
      </c>
      <c r="L107">
        <v>4.5999999999999996</v>
      </c>
    </row>
    <row r="108" spans="1:12" x14ac:dyDescent="0.35">
      <c r="A108">
        <v>2021</v>
      </c>
      <c r="B108">
        <v>159</v>
      </c>
      <c r="C108" t="s">
        <v>133</v>
      </c>
      <c r="D108" s="4">
        <v>397</v>
      </c>
      <c r="E108">
        <v>1650</v>
      </c>
      <c r="F108">
        <v>1202.9000000000001</v>
      </c>
      <c r="G108" s="4"/>
      <c r="J108" s="4"/>
    </row>
    <row r="109" spans="1:12" x14ac:dyDescent="0.35">
      <c r="A109">
        <v>2021</v>
      </c>
      <c r="B109">
        <v>160</v>
      </c>
      <c r="C109" t="s">
        <v>134</v>
      </c>
      <c r="D109" s="4">
        <v>383</v>
      </c>
      <c r="E109">
        <v>1874</v>
      </c>
      <c r="F109">
        <v>1348.5</v>
      </c>
      <c r="G109" s="4"/>
      <c r="J109" s="4"/>
      <c r="K109">
        <v>22</v>
      </c>
      <c r="L109">
        <v>6.8</v>
      </c>
    </row>
    <row r="110" spans="1:12" x14ac:dyDescent="0.35">
      <c r="A110">
        <v>2021</v>
      </c>
      <c r="B110">
        <v>161</v>
      </c>
      <c r="C110" t="s">
        <v>135</v>
      </c>
      <c r="D110" s="4">
        <v>1140</v>
      </c>
      <c r="E110">
        <v>6411</v>
      </c>
      <c r="F110">
        <v>4570.3</v>
      </c>
      <c r="G110" s="4">
        <v>4</v>
      </c>
      <c r="H110">
        <v>7</v>
      </c>
      <c r="I110">
        <v>5.3</v>
      </c>
      <c r="J110" s="4">
        <v>7</v>
      </c>
      <c r="K110">
        <v>9</v>
      </c>
      <c r="L110">
        <v>5.6</v>
      </c>
    </row>
    <row r="111" spans="1:12" x14ac:dyDescent="0.35">
      <c r="A111">
        <v>2021</v>
      </c>
      <c r="B111">
        <v>172</v>
      </c>
      <c r="C111" t="s">
        <v>136</v>
      </c>
      <c r="D111" s="4">
        <v>436</v>
      </c>
      <c r="E111">
        <v>4747</v>
      </c>
      <c r="F111">
        <v>3664.2</v>
      </c>
      <c r="G111" s="4">
        <v>3</v>
      </c>
      <c r="H111">
        <v>22</v>
      </c>
      <c r="I111">
        <v>18.3</v>
      </c>
      <c r="J111" s="4"/>
    </row>
    <row r="112" spans="1:12" x14ac:dyDescent="0.35">
      <c r="A112">
        <v>2021</v>
      </c>
      <c r="B112">
        <v>173</v>
      </c>
      <c r="C112" t="s">
        <v>137</v>
      </c>
      <c r="D112" s="4">
        <v>258</v>
      </c>
      <c r="E112">
        <v>832</v>
      </c>
      <c r="F112">
        <v>598</v>
      </c>
      <c r="G112" s="4"/>
      <c r="J112" s="4"/>
    </row>
    <row r="113" spans="1:12" x14ac:dyDescent="0.35">
      <c r="A113">
        <v>2021</v>
      </c>
      <c r="B113">
        <v>176</v>
      </c>
      <c r="C113" t="s">
        <v>138</v>
      </c>
      <c r="D113" s="4">
        <v>393</v>
      </c>
      <c r="E113">
        <v>3244</v>
      </c>
      <c r="F113">
        <v>2644.7</v>
      </c>
      <c r="G113" s="4"/>
      <c r="J113" s="4"/>
    </row>
    <row r="114" spans="1:12" x14ac:dyDescent="0.35">
      <c r="A114">
        <v>2021</v>
      </c>
      <c r="B114">
        <v>177</v>
      </c>
      <c r="C114" t="s">
        <v>139</v>
      </c>
      <c r="D114" s="4">
        <v>851</v>
      </c>
      <c r="E114">
        <v>6086</v>
      </c>
      <c r="F114">
        <v>4462.3</v>
      </c>
      <c r="G114" s="4"/>
      <c r="H114">
        <v>7</v>
      </c>
      <c r="J114" s="4">
        <v>4</v>
      </c>
      <c r="K114">
        <v>5</v>
      </c>
    </row>
    <row r="115" spans="1:12" x14ac:dyDescent="0.35">
      <c r="A115">
        <v>2021</v>
      </c>
      <c r="B115">
        <v>178</v>
      </c>
      <c r="C115" t="s">
        <v>140</v>
      </c>
      <c r="D115" s="4">
        <v>300</v>
      </c>
      <c r="E115">
        <v>1173</v>
      </c>
      <c r="F115">
        <v>876</v>
      </c>
      <c r="G115" s="4"/>
      <c r="J115" s="4">
        <v>3</v>
      </c>
      <c r="K115">
        <v>5</v>
      </c>
    </row>
    <row r="116" spans="1:12" x14ac:dyDescent="0.35">
      <c r="A116">
        <v>2021</v>
      </c>
      <c r="B116">
        <v>180</v>
      </c>
      <c r="C116" t="s">
        <v>141</v>
      </c>
      <c r="D116" s="4">
        <v>219</v>
      </c>
      <c r="E116">
        <v>876</v>
      </c>
      <c r="F116">
        <v>635.79999999999995</v>
      </c>
      <c r="G116" s="4"/>
      <c r="J116" s="4"/>
    </row>
    <row r="117" spans="1:12" x14ac:dyDescent="0.35">
      <c r="A117">
        <v>2021</v>
      </c>
      <c r="B117">
        <v>181</v>
      </c>
      <c r="C117" t="s">
        <v>142</v>
      </c>
      <c r="D117" s="4">
        <v>160</v>
      </c>
      <c r="E117">
        <v>608</v>
      </c>
      <c r="F117">
        <v>448.3</v>
      </c>
      <c r="G117" s="4"/>
      <c r="J117" s="4"/>
    </row>
    <row r="118" spans="1:12" x14ac:dyDescent="0.35">
      <c r="A118">
        <v>2021</v>
      </c>
      <c r="B118">
        <v>182</v>
      </c>
      <c r="C118" t="s">
        <v>143</v>
      </c>
      <c r="D118" s="4">
        <v>78</v>
      </c>
      <c r="E118">
        <v>264</v>
      </c>
      <c r="F118">
        <v>181.2</v>
      </c>
      <c r="G118" s="4"/>
      <c r="J118" s="4"/>
    </row>
    <row r="119" spans="1:12" x14ac:dyDescent="0.35">
      <c r="A119">
        <v>2021</v>
      </c>
      <c r="B119">
        <v>191</v>
      </c>
      <c r="C119" t="s">
        <v>144</v>
      </c>
      <c r="D119" s="4">
        <v>1971</v>
      </c>
      <c r="E119">
        <v>20149</v>
      </c>
      <c r="F119">
        <v>15857.9</v>
      </c>
      <c r="G119" s="4">
        <v>7</v>
      </c>
      <c r="H119">
        <v>53</v>
      </c>
      <c r="I119">
        <v>44.6</v>
      </c>
      <c r="J119" s="4">
        <v>9</v>
      </c>
      <c r="K119">
        <v>26</v>
      </c>
      <c r="L119">
        <v>16.899999999999999</v>
      </c>
    </row>
    <row r="120" spans="1:12" x14ac:dyDescent="0.35">
      <c r="A120">
        <v>2021</v>
      </c>
      <c r="B120">
        <v>192</v>
      </c>
      <c r="C120" t="s">
        <v>145</v>
      </c>
      <c r="D120" s="4">
        <v>605</v>
      </c>
      <c r="E120">
        <v>2735</v>
      </c>
      <c r="F120">
        <v>2011.9</v>
      </c>
      <c r="G120" s="4">
        <v>3</v>
      </c>
      <c r="J120" s="4">
        <v>3</v>
      </c>
      <c r="K120">
        <v>14</v>
      </c>
      <c r="L120">
        <v>10.1</v>
      </c>
    </row>
    <row r="121" spans="1:12" x14ac:dyDescent="0.35">
      <c r="A121">
        <v>2021</v>
      </c>
      <c r="B121">
        <v>193</v>
      </c>
      <c r="C121" t="s">
        <v>146</v>
      </c>
      <c r="D121" s="4">
        <v>493</v>
      </c>
      <c r="E121">
        <v>2945</v>
      </c>
      <c r="F121">
        <v>2295.1</v>
      </c>
      <c r="G121" s="4">
        <v>3</v>
      </c>
      <c r="H121">
        <v>12</v>
      </c>
      <c r="I121">
        <v>7.5</v>
      </c>
      <c r="J121" s="4"/>
    </row>
    <row r="122" spans="1:12" x14ac:dyDescent="0.35">
      <c r="A122">
        <v>2021</v>
      </c>
      <c r="B122">
        <v>194</v>
      </c>
      <c r="C122" t="s">
        <v>147</v>
      </c>
      <c r="D122" s="4">
        <v>227</v>
      </c>
      <c r="E122">
        <v>1750</v>
      </c>
      <c r="F122">
        <v>1331.1</v>
      </c>
      <c r="G122" s="4"/>
      <c r="J122" s="4"/>
      <c r="K122">
        <v>4</v>
      </c>
    </row>
    <row r="123" spans="1:12" x14ac:dyDescent="0.35">
      <c r="A123">
        <v>2021</v>
      </c>
      <c r="B123">
        <v>195</v>
      </c>
      <c r="C123" t="s">
        <v>148</v>
      </c>
      <c r="D123" s="4">
        <v>700</v>
      </c>
      <c r="E123">
        <v>2359</v>
      </c>
      <c r="F123">
        <v>1709.8</v>
      </c>
      <c r="G123" s="4"/>
      <c r="H123">
        <v>4</v>
      </c>
      <c r="J123" s="4"/>
    </row>
    <row r="124" spans="1:12" x14ac:dyDescent="0.35">
      <c r="A124">
        <v>2021</v>
      </c>
      <c r="B124">
        <v>196</v>
      </c>
      <c r="C124" t="s">
        <v>149</v>
      </c>
      <c r="D124" s="4">
        <v>270</v>
      </c>
      <c r="E124">
        <v>1420</v>
      </c>
      <c r="F124">
        <v>1124.7</v>
      </c>
      <c r="G124" s="4"/>
      <c r="J124" s="4"/>
    </row>
    <row r="125" spans="1:12" x14ac:dyDescent="0.35">
      <c r="A125">
        <v>2021</v>
      </c>
      <c r="B125">
        <v>197</v>
      </c>
      <c r="C125" t="s">
        <v>150</v>
      </c>
      <c r="D125" s="4">
        <v>306</v>
      </c>
      <c r="E125">
        <v>2688</v>
      </c>
      <c r="F125">
        <v>2152.1</v>
      </c>
      <c r="G125" s="4"/>
      <c r="J125" s="4"/>
    </row>
    <row r="126" spans="1:12" x14ac:dyDescent="0.35">
      <c r="A126">
        <v>2021</v>
      </c>
      <c r="B126">
        <v>198</v>
      </c>
      <c r="C126" t="s">
        <v>151</v>
      </c>
      <c r="D126" s="4">
        <v>2520</v>
      </c>
      <c r="E126">
        <v>17583</v>
      </c>
      <c r="F126">
        <v>13373.7</v>
      </c>
      <c r="G126" s="4">
        <v>9</v>
      </c>
      <c r="H126">
        <v>13</v>
      </c>
      <c r="I126">
        <v>9.8000000000000007</v>
      </c>
      <c r="J126" s="4">
        <v>8</v>
      </c>
      <c r="K126">
        <v>16</v>
      </c>
      <c r="L126">
        <v>12.7</v>
      </c>
    </row>
    <row r="127" spans="1:12" x14ac:dyDescent="0.35">
      <c r="A127">
        <v>2021</v>
      </c>
      <c r="B127">
        <v>199</v>
      </c>
      <c r="C127" t="s">
        <v>152</v>
      </c>
      <c r="D127" s="4">
        <v>1289</v>
      </c>
      <c r="E127">
        <v>11534</v>
      </c>
      <c r="F127">
        <v>9231</v>
      </c>
      <c r="G127" s="4">
        <v>3</v>
      </c>
      <c r="H127">
        <v>5</v>
      </c>
      <c r="J127" s="4">
        <v>7</v>
      </c>
      <c r="K127">
        <v>95</v>
      </c>
      <c r="L127">
        <v>84.1</v>
      </c>
    </row>
    <row r="128" spans="1:12" x14ac:dyDescent="0.35">
      <c r="A128">
        <v>2021</v>
      </c>
      <c r="B128">
        <v>200</v>
      </c>
      <c r="C128" t="s">
        <v>153</v>
      </c>
      <c r="D128" s="4">
        <v>537</v>
      </c>
      <c r="E128">
        <v>5286</v>
      </c>
      <c r="F128">
        <v>4274</v>
      </c>
      <c r="G128" s="4"/>
      <c r="J128" s="4">
        <v>5</v>
      </c>
      <c r="K128">
        <v>6</v>
      </c>
      <c r="L128">
        <v>4.3</v>
      </c>
    </row>
    <row r="129" spans="1:12" x14ac:dyDescent="0.35">
      <c r="A129">
        <v>2021</v>
      </c>
      <c r="B129">
        <v>211</v>
      </c>
      <c r="C129" t="s">
        <v>154</v>
      </c>
      <c r="D129" s="4">
        <v>67</v>
      </c>
      <c r="E129">
        <v>166</v>
      </c>
      <c r="F129">
        <v>100.8</v>
      </c>
      <c r="G129" s="4"/>
      <c r="J129" s="4"/>
    </row>
    <row r="130" spans="1:12" x14ac:dyDescent="0.35">
      <c r="A130">
        <v>2021</v>
      </c>
      <c r="B130">
        <v>213</v>
      </c>
      <c r="C130" t="s">
        <v>155</v>
      </c>
      <c r="D130" s="4">
        <v>133</v>
      </c>
      <c r="E130">
        <v>395</v>
      </c>
      <c r="F130">
        <v>272.60000000000002</v>
      </c>
      <c r="G130" s="4"/>
      <c r="J130" s="4"/>
    </row>
    <row r="131" spans="1:12" x14ac:dyDescent="0.35">
      <c r="A131">
        <v>2021</v>
      </c>
      <c r="B131">
        <v>214</v>
      </c>
      <c r="C131" t="s">
        <v>156</v>
      </c>
      <c r="D131" s="4">
        <v>89</v>
      </c>
      <c r="E131">
        <v>292</v>
      </c>
      <c r="F131">
        <v>178.3</v>
      </c>
      <c r="G131" s="4"/>
      <c r="J131" s="4"/>
    </row>
    <row r="132" spans="1:12" x14ac:dyDescent="0.35">
      <c r="A132">
        <v>2021</v>
      </c>
      <c r="B132">
        <v>215</v>
      </c>
      <c r="C132" t="s">
        <v>157</v>
      </c>
      <c r="D132" s="4">
        <v>56</v>
      </c>
      <c r="E132">
        <v>189</v>
      </c>
      <c r="F132">
        <v>102.3</v>
      </c>
      <c r="G132" s="4"/>
      <c r="J132" s="4"/>
    </row>
    <row r="133" spans="1:12" x14ac:dyDescent="0.35">
      <c r="A133">
        <v>2021</v>
      </c>
      <c r="B133">
        <v>216</v>
      </c>
      <c r="C133" t="s">
        <v>158</v>
      </c>
      <c r="D133" s="4">
        <v>110</v>
      </c>
      <c r="E133">
        <v>437</v>
      </c>
      <c r="F133">
        <v>312</v>
      </c>
      <c r="G133" s="4"/>
      <c r="J133" s="4"/>
    </row>
    <row r="134" spans="1:12" x14ac:dyDescent="0.35">
      <c r="A134">
        <v>2021</v>
      </c>
      <c r="B134">
        <v>218</v>
      </c>
      <c r="C134" t="s">
        <v>159</v>
      </c>
      <c r="D134" s="4">
        <v>69</v>
      </c>
      <c r="E134">
        <v>650</v>
      </c>
      <c r="F134">
        <v>518.70000000000005</v>
      </c>
      <c r="G134" s="4"/>
      <c r="J134" s="4"/>
    </row>
    <row r="135" spans="1:12" x14ac:dyDescent="0.35">
      <c r="A135">
        <v>2021</v>
      </c>
      <c r="B135">
        <v>219</v>
      </c>
      <c r="C135" t="s">
        <v>160</v>
      </c>
      <c r="D135" s="4">
        <v>234</v>
      </c>
      <c r="E135">
        <v>1140</v>
      </c>
      <c r="F135">
        <v>858.9</v>
      </c>
      <c r="G135" s="4"/>
      <c r="J135" s="4"/>
    </row>
    <row r="136" spans="1:12" x14ac:dyDescent="0.35">
      <c r="A136">
        <v>2021</v>
      </c>
      <c r="B136">
        <v>220</v>
      </c>
      <c r="C136" t="s">
        <v>161</v>
      </c>
      <c r="D136" s="4">
        <v>76</v>
      </c>
      <c r="E136">
        <v>198</v>
      </c>
      <c r="F136">
        <v>141</v>
      </c>
      <c r="G136" s="4"/>
      <c r="J136" s="4"/>
    </row>
    <row r="137" spans="1:12" x14ac:dyDescent="0.35">
      <c r="A137">
        <v>2021</v>
      </c>
      <c r="B137">
        <v>221</v>
      </c>
      <c r="C137" t="s">
        <v>162</v>
      </c>
      <c r="D137" s="4">
        <v>177</v>
      </c>
      <c r="E137">
        <v>846</v>
      </c>
      <c r="F137">
        <v>632.5</v>
      </c>
      <c r="G137" s="4"/>
      <c r="J137" s="4"/>
    </row>
    <row r="138" spans="1:12" x14ac:dyDescent="0.35">
      <c r="A138">
        <v>2021</v>
      </c>
      <c r="B138">
        <v>223</v>
      </c>
      <c r="C138" t="s">
        <v>163</v>
      </c>
      <c r="D138" s="4">
        <v>363</v>
      </c>
      <c r="E138">
        <v>1715</v>
      </c>
      <c r="F138">
        <v>1288.3</v>
      </c>
      <c r="G138" s="4"/>
      <c r="J138" s="4">
        <v>6</v>
      </c>
      <c r="K138">
        <v>20</v>
      </c>
      <c r="L138">
        <v>12.5</v>
      </c>
    </row>
    <row r="139" spans="1:12" x14ac:dyDescent="0.35">
      <c r="A139">
        <v>2021</v>
      </c>
      <c r="B139">
        <v>224</v>
      </c>
      <c r="C139" t="s">
        <v>164</v>
      </c>
      <c r="D139" s="4">
        <v>224</v>
      </c>
      <c r="E139">
        <v>1458</v>
      </c>
      <c r="F139">
        <v>1165.9000000000001</v>
      </c>
      <c r="G139" s="4"/>
      <c r="J139" s="4">
        <v>3</v>
      </c>
      <c r="K139">
        <v>9</v>
      </c>
      <c r="L139">
        <v>6.2</v>
      </c>
    </row>
    <row r="140" spans="1:12" x14ac:dyDescent="0.35">
      <c r="A140">
        <v>2021</v>
      </c>
      <c r="B140">
        <v>225</v>
      </c>
      <c r="C140" t="s">
        <v>165</v>
      </c>
      <c r="D140" s="4">
        <v>167</v>
      </c>
      <c r="E140">
        <v>547</v>
      </c>
      <c r="F140">
        <v>365.1</v>
      </c>
      <c r="G140" s="4"/>
      <c r="J140" s="4"/>
    </row>
    <row r="141" spans="1:12" x14ac:dyDescent="0.35">
      <c r="A141">
        <v>2021</v>
      </c>
      <c r="B141">
        <v>226</v>
      </c>
      <c r="C141" t="s">
        <v>166</v>
      </c>
      <c r="D141" s="4">
        <v>48</v>
      </c>
      <c r="E141">
        <v>140</v>
      </c>
      <c r="F141">
        <v>105</v>
      </c>
      <c r="G141" s="4"/>
      <c r="J141" s="4"/>
    </row>
    <row r="142" spans="1:12" x14ac:dyDescent="0.35">
      <c r="A142">
        <v>2021</v>
      </c>
      <c r="B142">
        <v>227</v>
      </c>
      <c r="C142" t="s">
        <v>167</v>
      </c>
      <c r="D142" s="4">
        <v>418</v>
      </c>
      <c r="E142">
        <v>2667</v>
      </c>
      <c r="F142">
        <v>2057</v>
      </c>
      <c r="G142" s="4"/>
      <c r="J142" s="4">
        <v>3</v>
      </c>
    </row>
    <row r="143" spans="1:12" x14ac:dyDescent="0.35">
      <c r="A143">
        <v>2021</v>
      </c>
      <c r="B143">
        <v>228</v>
      </c>
      <c r="C143" t="s">
        <v>168</v>
      </c>
      <c r="D143" s="4">
        <v>333</v>
      </c>
      <c r="E143">
        <v>1586</v>
      </c>
      <c r="F143">
        <v>1114.0999999999999</v>
      </c>
      <c r="G143" s="4"/>
      <c r="J143" s="4"/>
    </row>
    <row r="144" spans="1:12" x14ac:dyDescent="0.35">
      <c r="A144">
        <v>2021</v>
      </c>
      <c r="B144">
        <v>230</v>
      </c>
      <c r="C144" t="s">
        <v>169</v>
      </c>
      <c r="D144" s="4">
        <v>8258</v>
      </c>
      <c r="E144">
        <v>75220</v>
      </c>
      <c r="F144">
        <v>57292.2</v>
      </c>
      <c r="G144" s="4">
        <v>38</v>
      </c>
      <c r="H144">
        <v>104</v>
      </c>
      <c r="I144">
        <v>75.900000000000006</v>
      </c>
      <c r="J144" s="4">
        <v>56</v>
      </c>
      <c r="K144">
        <v>378</v>
      </c>
      <c r="L144">
        <v>333.7</v>
      </c>
    </row>
    <row r="145" spans="1:12" x14ac:dyDescent="0.35">
      <c r="A145">
        <v>2021</v>
      </c>
      <c r="B145">
        <v>231</v>
      </c>
      <c r="C145" t="s">
        <v>170</v>
      </c>
      <c r="D145" s="4">
        <v>343</v>
      </c>
      <c r="E145">
        <v>1532</v>
      </c>
      <c r="F145">
        <v>1094.7</v>
      </c>
      <c r="G145" s="4"/>
      <c r="J145" s="4"/>
    </row>
    <row r="146" spans="1:12" x14ac:dyDescent="0.35">
      <c r="A146">
        <v>2021</v>
      </c>
      <c r="B146">
        <v>241</v>
      </c>
      <c r="C146" t="s">
        <v>171</v>
      </c>
      <c r="D146" s="4">
        <v>106</v>
      </c>
      <c r="E146">
        <v>364</v>
      </c>
      <c r="F146">
        <v>255.3</v>
      </c>
      <c r="G146" s="4">
        <v>3</v>
      </c>
      <c r="H146">
        <v>4</v>
      </c>
      <c r="J146" s="4"/>
    </row>
    <row r="147" spans="1:12" x14ac:dyDescent="0.35">
      <c r="A147">
        <v>2021</v>
      </c>
      <c r="B147">
        <v>242</v>
      </c>
      <c r="C147" t="s">
        <v>172</v>
      </c>
      <c r="D147" s="4">
        <v>423</v>
      </c>
      <c r="E147">
        <v>2641</v>
      </c>
      <c r="F147">
        <v>2053.1999999999998</v>
      </c>
      <c r="G147" s="4"/>
      <c r="J147" s="4"/>
    </row>
    <row r="148" spans="1:12" x14ac:dyDescent="0.35">
      <c r="A148">
        <v>2021</v>
      </c>
      <c r="B148">
        <v>243</v>
      </c>
      <c r="C148" t="s">
        <v>173</v>
      </c>
      <c r="D148" s="4">
        <v>1808</v>
      </c>
      <c r="E148">
        <v>19198</v>
      </c>
      <c r="F148">
        <v>15203.1</v>
      </c>
      <c r="G148" s="4">
        <v>9</v>
      </c>
      <c r="H148">
        <v>41</v>
      </c>
      <c r="I148">
        <v>36.4</v>
      </c>
      <c r="J148" s="4">
        <v>27</v>
      </c>
      <c r="K148">
        <v>100</v>
      </c>
      <c r="L148">
        <v>85.6</v>
      </c>
    </row>
    <row r="149" spans="1:12" x14ac:dyDescent="0.35">
      <c r="A149">
        <v>2021</v>
      </c>
      <c r="B149">
        <v>244</v>
      </c>
      <c r="C149" t="s">
        <v>174</v>
      </c>
      <c r="D149" s="4">
        <v>316</v>
      </c>
      <c r="E149">
        <v>2256</v>
      </c>
      <c r="F149">
        <v>1744.3</v>
      </c>
      <c r="G149" s="4"/>
      <c r="J149" s="4"/>
    </row>
    <row r="150" spans="1:12" x14ac:dyDescent="0.35">
      <c r="A150">
        <v>2021</v>
      </c>
      <c r="B150">
        <v>245</v>
      </c>
      <c r="C150" t="s">
        <v>175</v>
      </c>
      <c r="D150" s="4">
        <v>328</v>
      </c>
      <c r="E150">
        <v>1333</v>
      </c>
      <c r="F150">
        <v>957.6</v>
      </c>
      <c r="G150" s="4">
        <v>3</v>
      </c>
      <c r="H150">
        <v>4</v>
      </c>
      <c r="J150" s="4">
        <v>4</v>
      </c>
      <c r="K150">
        <v>8</v>
      </c>
      <c r="L150">
        <v>5.6</v>
      </c>
    </row>
    <row r="151" spans="1:12" x14ac:dyDescent="0.35">
      <c r="A151">
        <v>2021</v>
      </c>
      <c r="B151">
        <v>246</v>
      </c>
      <c r="C151" t="s">
        <v>176</v>
      </c>
      <c r="D151" s="4">
        <v>120</v>
      </c>
      <c r="E151">
        <v>260</v>
      </c>
      <c r="F151">
        <v>177.5</v>
      </c>
      <c r="G151" s="4"/>
      <c r="J151" s="4"/>
    </row>
    <row r="152" spans="1:12" x14ac:dyDescent="0.35">
      <c r="A152">
        <v>2021</v>
      </c>
      <c r="B152">
        <v>247</v>
      </c>
      <c r="C152" t="s">
        <v>177</v>
      </c>
      <c r="D152" s="4">
        <v>1472</v>
      </c>
      <c r="E152">
        <v>19963</v>
      </c>
      <c r="F152">
        <v>15959.9</v>
      </c>
      <c r="G152" s="4">
        <v>4</v>
      </c>
      <c r="H152">
        <v>8</v>
      </c>
      <c r="I152">
        <v>6.3</v>
      </c>
      <c r="J152" s="4">
        <v>12</v>
      </c>
      <c r="K152">
        <v>18</v>
      </c>
      <c r="L152">
        <v>15.2</v>
      </c>
    </row>
    <row r="153" spans="1:12" x14ac:dyDescent="0.35">
      <c r="A153">
        <v>2021</v>
      </c>
      <c r="B153">
        <v>248</v>
      </c>
      <c r="C153" t="s">
        <v>178</v>
      </c>
      <c r="D153" s="4">
        <v>307</v>
      </c>
      <c r="E153">
        <v>1105</v>
      </c>
      <c r="F153">
        <v>757.5</v>
      </c>
      <c r="G153" s="4"/>
      <c r="J153" s="4"/>
      <c r="K153">
        <v>5</v>
      </c>
      <c r="L153">
        <v>4</v>
      </c>
    </row>
    <row r="154" spans="1:12" x14ac:dyDescent="0.35">
      <c r="A154">
        <v>2021</v>
      </c>
      <c r="B154">
        <v>249</v>
      </c>
      <c r="C154" t="s">
        <v>179</v>
      </c>
      <c r="D154" s="4">
        <v>259</v>
      </c>
      <c r="E154">
        <v>953</v>
      </c>
      <c r="F154">
        <v>741.5</v>
      </c>
      <c r="G154" s="4"/>
      <c r="H154">
        <v>5</v>
      </c>
      <c r="I154">
        <v>4.2</v>
      </c>
      <c r="J154" s="4"/>
      <c r="K154">
        <v>4</v>
      </c>
    </row>
    <row r="155" spans="1:12" x14ac:dyDescent="0.35">
      <c r="A155">
        <v>2021</v>
      </c>
      <c r="B155">
        <v>250</v>
      </c>
      <c r="C155" t="s">
        <v>180</v>
      </c>
      <c r="D155" s="4">
        <v>661</v>
      </c>
      <c r="E155">
        <v>8663</v>
      </c>
      <c r="F155">
        <v>6066</v>
      </c>
      <c r="G155" s="4"/>
      <c r="J155" s="4">
        <v>6</v>
      </c>
      <c r="K155">
        <v>9</v>
      </c>
      <c r="L155">
        <v>5.7</v>
      </c>
    </row>
    <row r="156" spans="1:12" x14ac:dyDescent="0.35">
      <c r="A156">
        <v>2021</v>
      </c>
      <c r="B156">
        <v>251</v>
      </c>
      <c r="C156" t="s">
        <v>181</v>
      </c>
      <c r="D156" s="4">
        <v>261</v>
      </c>
      <c r="E156">
        <v>2164</v>
      </c>
      <c r="F156">
        <v>1481.6</v>
      </c>
      <c r="G156" s="4"/>
      <c r="J156" s="4">
        <v>5</v>
      </c>
      <c r="K156">
        <v>6</v>
      </c>
      <c r="L156">
        <v>4.5</v>
      </c>
    </row>
    <row r="157" spans="1:12" x14ac:dyDescent="0.35">
      <c r="A157">
        <v>2021</v>
      </c>
      <c r="B157">
        <v>261</v>
      </c>
      <c r="C157" t="s">
        <v>182</v>
      </c>
      <c r="D157" s="4">
        <v>46132</v>
      </c>
      <c r="E157">
        <v>514995</v>
      </c>
      <c r="F157">
        <v>396783.8</v>
      </c>
      <c r="G157" s="4">
        <v>175</v>
      </c>
      <c r="H157">
        <v>774</v>
      </c>
      <c r="I157">
        <v>579.5</v>
      </c>
      <c r="J157" s="4">
        <v>337</v>
      </c>
      <c r="K157">
        <v>985</v>
      </c>
      <c r="L157">
        <v>740.6</v>
      </c>
    </row>
    <row r="158" spans="1:12" x14ac:dyDescent="0.35">
      <c r="A158">
        <v>2021</v>
      </c>
      <c r="B158">
        <v>291</v>
      </c>
      <c r="C158" t="s">
        <v>183</v>
      </c>
      <c r="D158" s="4">
        <v>312</v>
      </c>
      <c r="E158">
        <v>2024</v>
      </c>
      <c r="F158">
        <v>1523.6</v>
      </c>
      <c r="G158" s="4"/>
      <c r="J158" s="4"/>
    </row>
    <row r="159" spans="1:12" x14ac:dyDescent="0.35">
      <c r="A159">
        <v>2021</v>
      </c>
      <c r="B159">
        <v>292</v>
      </c>
      <c r="C159" t="s">
        <v>184</v>
      </c>
      <c r="D159" s="4">
        <v>270</v>
      </c>
      <c r="E159">
        <v>1319</v>
      </c>
      <c r="F159">
        <v>963.9</v>
      </c>
      <c r="G159" s="4"/>
      <c r="J159" s="4"/>
    </row>
    <row r="160" spans="1:12" x14ac:dyDescent="0.35">
      <c r="A160">
        <v>2021</v>
      </c>
      <c r="B160">
        <v>293</v>
      </c>
      <c r="C160" t="s">
        <v>185</v>
      </c>
      <c r="D160" s="4">
        <v>1867</v>
      </c>
      <c r="E160">
        <v>10179</v>
      </c>
      <c r="F160">
        <v>7611.9</v>
      </c>
      <c r="G160" s="4">
        <v>8</v>
      </c>
      <c r="H160">
        <v>20</v>
      </c>
      <c r="I160">
        <v>16.399999999999999</v>
      </c>
      <c r="J160" s="4">
        <v>17</v>
      </c>
      <c r="K160">
        <v>54</v>
      </c>
      <c r="L160">
        <v>42.9</v>
      </c>
    </row>
    <row r="161" spans="1:12" x14ac:dyDescent="0.35">
      <c r="A161">
        <v>2021</v>
      </c>
      <c r="B161">
        <v>294</v>
      </c>
      <c r="C161" t="s">
        <v>186</v>
      </c>
      <c r="D161" s="4">
        <v>341</v>
      </c>
      <c r="E161">
        <v>1705</v>
      </c>
      <c r="F161">
        <v>1262.4000000000001</v>
      </c>
      <c r="G161" s="4"/>
      <c r="H161">
        <v>25</v>
      </c>
      <c r="I161">
        <v>23.8</v>
      </c>
      <c r="J161" s="4">
        <v>3</v>
      </c>
    </row>
    <row r="162" spans="1:12" x14ac:dyDescent="0.35">
      <c r="A162">
        <v>2021</v>
      </c>
      <c r="B162">
        <v>295</v>
      </c>
      <c r="C162" t="s">
        <v>187</v>
      </c>
      <c r="D162" s="4">
        <v>1459</v>
      </c>
      <c r="E162">
        <v>10583</v>
      </c>
      <c r="F162">
        <v>8010.7</v>
      </c>
      <c r="G162" s="4">
        <v>11</v>
      </c>
      <c r="H162">
        <v>16</v>
      </c>
      <c r="I162">
        <v>12.3</v>
      </c>
      <c r="J162" s="4">
        <v>11</v>
      </c>
      <c r="K162">
        <v>29</v>
      </c>
      <c r="L162">
        <v>20.8</v>
      </c>
    </row>
    <row r="163" spans="1:12" x14ac:dyDescent="0.35">
      <c r="A163">
        <v>2021</v>
      </c>
      <c r="B163">
        <v>296</v>
      </c>
      <c r="C163" t="s">
        <v>188</v>
      </c>
      <c r="D163" s="4">
        <v>1054</v>
      </c>
      <c r="E163">
        <v>6766</v>
      </c>
      <c r="F163">
        <v>5107.7</v>
      </c>
      <c r="G163" s="4">
        <v>3</v>
      </c>
      <c r="H163">
        <v>23</v>
      </c>
      <c r="I163">
        <v>20.2</v>
      </c>
      <c r="J163" s="4">
        <v>6</v>
      </c>
      <c r="K163">
        <v>12</v>
      </c>
      <c r="L163">
        <v>10.5</v>
      </c>
    </row>
    <row r="164" spans="1:12" x14ac:dyDescent="0.35">
      <c r="A164">
        <v>2021</v>
      </c>
      <c r="B164">
        <v>297</v>
      </c>
      <c r="C164" t="s">
        <v>189</v>
      </c>
      <c r="D164" s="4">
        <v>398</v>
      </c>
      <c r="E164">
        <v>1830</v>
      </c>
      <c r="F164">
        <v>1318.6</v>
      </c>
      <c r="G164" s="4"/>
      <c r="J164" s="4">
        <v>4</v>
      </c>
      <c r="K164">
        <v>4</v>
      </c>
    </row>
    <row r="165" spans="1:12" x14ac:dyDescent="0.35">
      <c r="A165">
        <v>2021</v>
      </c>
      <c r="B165">
        <v>298</v>
      </c>
      <c r="C165" t="s">
        <v>190</v>
      </c>
      <c r="D165" s="4">
        <v>398</v>
      </c>
      <c r="E165">
        <v>1611</v>
      </c>
      <c r="F165">
        <v>1106.5999999999999</v>
      </c>
      <c r="G165" s="4"/>
      <c r="J165" s="4">
        <v>3</v>
      </c>
      <c r="K165">
        <v>5</v>
      </c>
    </row>
  </sheetData>
  <mergeCells count="5">
    <mergeCell ref="A1:R1"/>
    <mergeCell ref="A2:R2"/>
    <mergeCell ref="D4:F4"/>
    <mergeCell ref="G4:I4"/>
    <mergeCell ref="J4:L4"/>
  </mergeCells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65"/>
  <sheetViews>
    <sheetView workbookViewId="0"/>
  </sheetViews>
  <sheetFormatPr baseColWidth="10" defaultRowHeight="14.5" x14ac:dyDescent="0.35"/>
  <cols>
    <col min="1" max="1" width="6.7265625" customWidth="1"/>
    <col min="2" max="2" width="14.7265625" customWidth="1"/>
    <col min="3" max="3" width="20.7265625" customWidth="1"/>
    <col min="4" max="4" width="17.7265625" customWidth="1"/>
    <col min="5" max="5" width="15.7265625" customWidth="1"/>
    <col min="6" max="6" width="22.7265625" customWidth="1"/>
    <col min="7" max="7" width="17.7265625" customWidth="1"/>
    <col min="8" max="8" width="15.7265625" customWidth="1"/>
    <col min="9" max="9" width="22.7265625" customWidth="1"/>
    <col min="10" max="10" width="17.7265625" customWidth="1"/>
    <col min="11" max="11" width="15.7265625" customWidth="1"/>
    <col min="12" max="12" width="22.7265625" customWidth="1"/>
  </cols>
  <sheetData>
    <row r="1" spans="1:18" ht="18" x14ac:dyDescent="0.4">
      <c r="A1" s="10" t="s">
        <v>194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x14ac:dyDescent="0.35">
      <c r="A2" s="8" t="s">
        <v>10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4" spans="1:18" x14ac:dyDescent="0.35">
      <c r="D4" s="11" t="s">
        <v>22</v>
      </c>
      <c r="E4" s="12"/>
      <c r="F4" s="12"/>
      <c r="G4" s="11" t="s">
        <v>23</v>
      </c>
      <c r="H4" s="12"/>
      <c r="I4" s="12"/>
      <c r="J4" s="11" t="s">
        <v>24</v>
      </c>
      <c r="K4" s="12"/>
      <c r="L4" s="12"/>
    </row>
    <row r="5" spans="1:18" ht="15.5" x14ac:dyDescent="0.35">
      <c r="A5" s="3" t="s">
        <v>25</v>
      </c>
      <c r="B5" s="3" t="s">
        <v>26</v>
      </c>
      <c r="C5" s="3" t="s">
        <v>27</v>
      </c>
      <c r="D5" s="5" t="s">
        <v>28</v>
      </c>
      <c r="E5" s="3" t="s">
        <v>29</v>
      </c>
      <c r="F5" s="3" t="s">
        <v>30</v>
      </c>
      <c r="G5" s="5" t="s">
        <v>28</v>
      </c>
      <c r="H5" s="3" t="s">
        <v>29</v>
      </c>
      <c r="I5" s="3" t="s">
        <v>30</v>
      </c>
      <c r="J5" s="5" t="s">
        <v>28</v>
      </c>
      <c r="K5" s="3" t="s">
        <v>29</v>
      </c>
      <c r="L5" s="3" t="s">
        <v>30</v>
      </c>
    </row>
    <row r="6" spans="1:18" x14ac:dyDescent="0.35">
      <c r="A6">
        <v>2020</v>
      </c>
      <c r="B6">
        <v>1</v>
      </c>
      <c r="C6" t="s">
        <v>31</v>
      </c>
      <c r="D6" s="4">
        <v>139</v>
      </c>
      <c r="E6">
        <v>457</v>
      </c>
      <c r="F6">
        <v>300.2</v>
      </c>
      <c r="G6" s="4"/>
      <c r="J6" s="4">
        <v>3</v>
      </c>
    </row>
    <row r="7" spans="1:18" x14ac:dyDescent="0.35">
      <c r="A7">
        <v>2020</v>
      </c>
      <c r="B7">
        <v>2</v>
      </c>
      <c r="C7" t="s">
        <v>32</v>
      </c>
      <c r="D7" s="4">
        <v>1013</v>
      </c>
      <c r="E7">
        <v>6969</v>
      </c>
      <c r="F7">
        <v>5136.3999999999996</v>
      </c>
      <c r="G7" s="4">
        <v>4</v>
      </c>
      <c r="H7">
        <v>14</v>
      </c>
      <c r="I7">
        <v>10.7</v>
      </c>
      <c r="J7" s="4">
        <v>9</v>
      </c>
      <c r="K7">
        <v>17</v>
      </c>
      <c r="L7">
        <v>11.7</v>
      </c>
    </row>
    <row r="8" spans="1:18" x14ac:dyDescent="0.35">
      <c r="A8">
        <v>2020</v>
      </c>
      <c r="B8">
        <v>3</v>
      </c>
      <c r="C8" t="s">
        <v>33</v>
      </c>
      <c r="D8" s="4">
        <v>280</v>
      </c>
      <c r="E8">
        <v>1036</v>
      </c>
      <c r="F8">
        <v>735.7</v>
      </c>
      <c r="G8" s="4"/>
      <c r="J8" s="4"/>
    </row>
    <row r="9" spans="1:18" x14ac:dyDescent="0.35">
      <c r="A9">
        <v>2020</v>
      </c>
      <c r="B9">
        <v>4</v>
      </c>
      <c r="C9" t="s">
        <v>34</v>
      </c>
      <c r="D9" s="4">
        <v>276</v>
      </c>
      <c r="E9">
        <v>1051</v>
      </c>
      <c r="F9">
        <v>757.9</v>
      </c>
      <c r="G9" s="4">
        <v>3</v>
      </c>
      <c r="H9">
        <v>8</v>
      </c>
      <c r="I9">
        <v>7.3</v>
      </c>
      <c r="J9" s="4">
        <v>4</v>
      </c>
      <c r="K9">
        <v>4</v>
      </c>
    </row>
    <row r="10" spans="1:18" x14ac:dyDescent="0.35">
      <c r="A10">
        <v>2020</v>
      </c>
      <c r="B10">
        <v>5</v>
      </c>
      <c r="C10" t="s">
        <v>35</v>
      </c>
      <c r="D10" s="4">
        <v>197</v>
      </c>
      <c r="E10">
        <v>1440</v>
      </c>
      <c r="F10">
        <v>1155.0999999999999</v>
      </c>
      <c r="G10" s="4"/>
      <c r="J10" s="4">
        <v>3</v>
      </c>
      <c r="K10">
        <v>4</v>
      </c>
    </row>
    <row r="11" spans="1:18" x14ac:dyDescent="0.35">
      <c r="A11">
        <v>2020</v>
      </c>
      <c r="B11">
        <v>6</v>
      </c>
      <c r="C11" t="s">
        <v>36</v>
      </c>
      <c r="D11" s="4">
        <v>102</v>
      </c>
      <c r="E11">
        <v>327</v>
      </c>
      <c r="F11">
        <v>224.9</v>
      </c>
      <c r="G11" s="4"/>
      <c r="J11" s="4"/>
    </row>
    <row r="12" spans="1:18" x14ac:dyDescent="0.35">
      <c r="A12">
        <v>2020</v>
      </c>
      <c r="B12">
        <v>7</v>
      </c>
      <c r="C12" t="s">
        <v>37</v>
      </c>
      <c r="D12" s="4">
        <v>136</v>
      </c>
      <c r="E12">
        <v>552</v>
      </c>
      <c r="F12">
        <v>373.2</v>
      </c>
      <c r="G12" s="4"/>
      <c r="H12">
        <v>9</v>
      </c>
      <c r="I12">
        <v>7.4</v>
      </c>
      <c r="J12" s="4">
        <v>3</v>
      </c>
      <c r="K12">
        <v>9</v>
      </c>
      <c r="L12">
        <v>6.8</v>
      </c>
    </row>
    <row r="13" spans="1:18" x14ac:dyDescent="0.35">
      <c r="A13">
        <v>2020</v>
      </c>
      <c r="B13">
        <v>8</v>
      </c>
      <c r="C13" t="s">
        <v>38</v>
      </c>
      <c r="D13" s="4">
        <v>58</v>
      </c>
      <c r="E13">
        <v>170</v>
      </c>
      <c r="F13">
        <v>113.5</v>
      </c>
      <c r="G13" s="4"/>
      <c r="J13" s="4"/>
    </row>
    <row r="14" spans="1:18" x14ac:dyDescent="0.35">
      <c r="A14">
        <v>2020</v>
      </c>
      <c r="B14">
        <v>9</v>
      </c>
      <c r="C14" t="s">
        <v>39</v>
      </c>
      <c r="D14" s="4">
        <v>320</v>
      </c>
      <c r="E14">
        <v>1704</v>
      </c>
      <c r="F14">
        <v>1235.8</v>
      </c>
      <c r="G14" s="4"/>
      <c r="H14">
        <v>15</v>
      </c>
      <c r="I14">
        <v>11.6</v>
      </c>
      <c r="J14" s="4">
        <v>3</v>
      </c>
      <c r="K14">
        <v>8</v>
      </c>
      <c r="L14">
        <v>4.5999999999999996</v>
      </c>
    </row>
    <row r="15" spans="1:18" x14ac:dyDescent="0.35">
      <c r="A15">
        <v>2020</v>
      </c>
      <c r="B15">
        <v>10</v>
      </c>
      <c r="C15" t="s">
        <v>40</v>
      </c>
      <c r="D15" s="4">
        <v>325</v>
      </c>
      <c r="E15">
        <v>1326</v>
      </c>
      <c r="F15">
        <v>938.1</v>
      </c>
      <c r="G15" s="4">
        <v>3</v>
      </c>
      <c r="H15">
        <v>5</v>
      </c>
      <c r="J15" s="4">
        <v>5</v>
      </c>
      <c r="K15">
        <v>13</v>
      </c>
      <c r="L15">
        <v>10.9</v>
      </c>
    </row>
    <row r="16" spans="1:18" x14ac:dyDescent="0.35">
      <c r="A16">
        <v>2020</v>
      </c>
      <c r="B16">
        <v>11</v>
      </c>
      <c r="C16" t="s">
        <v>41</v>
      </c>
      <c r="D16" s="4">
        <v>168</v>
      </c>
      <c r="E16">
        <v>662</v>
      </c>
      <c r="F16">
        <v>477.5</v>
      </c>
      <c r="G16" s="4"/>
      <c r="J16" s="4"/>
    </row>
    <row r="17" spans="1:12" x14ac:dyDescent="0.35">
      <c r="A17">
        <v>2020</v>
      </c>
      <c r="B17">
        <v>12</v>
      </c>
      <c r="C17" t="s">
        <v>42</v>
      </c>
      <c r="D17" s="4">
        <v>95</v>
      </c>
      <c r="E17">
        <v>260</v>
      </c>
      <c r="F17">
        <v>183</v>
      </c>
      <c r="G17" s="4"/>
      <c r="J17" s="4"/>
    </row>
    <row r="18" spans="1:12" x14ac:dyDescent="0.35">
      <c r="A18">
        <v>2020</v>
      </c>
      <c r="B18">
        <v>13</v>
      </c>
      <c r="C18" t="s">
        <v>43</v>
      </c>
      <c r="D18" s="4">
        <v>188</v>
      </c>
      <c r="E18">
        <v>770</v>
      </c>
      <c r="F18">
        <v>523.4</v>
      </c>
      <c r="G18" s="4"/>
      <c r="J18" s="4">
        <v>4</v>
      </c>
      <c r="K18">
        <v>10</v>
      </c>
      <c r="L18">
        <v>5.8</v>
      </c>
    </row>
    <row r="19" spans="1:12" x14ac:dyDescent="0.35">
      <c r="A19">
        <v>2020</v>
      </c>
      <c r="B19">
        <v>14</v>
      </c>
      <c r="C19" t="s">
        <v>44</v>
      </c>
      <c r="D19" s="4">
        <v>273</v>
      </c>
      <c r="E19">
        <v>1289</v>
      </c>
      <c r="F19">
        <v>994.6</v>
      </c>
      <c r="G19" s="4"/>
      <c r="J19" s="4"/>
    </row>
    <row r="20" spans="1:12" x14ac:dyDescent="0.35">
      <c r="A20">
        <v>2020</v>
      </c>
      <c r="B20">
        <v>22</v>
      </c>
      <c r="C20" t="s">
        <v>45</v>
      </c>
      <c r="D20" s="4">
        <v>70</v>
      </c>
      <c r="E20">
        <v>343</v>
      </c>
      <c r="F20">
        <v>215.9</v>
      </c>
      <c r="G20" s="4"/>
      <c r="J20" s="4"/>
    </row>
    <row r="21" spans="1:12" x14ac:dyDescent="0.35">
      <c r="A21">
        <v>2020</v>
      </c>
      <c r="B21">
        <v>23</v>
      </c>
      <c r="C21" t="s">
        <v>46</v>
      </c>
      <c r="D21" s="4">
        <v>48</v>
      </c>
      <c r="E21">
        <v>136</v>
      </c>
      <c r="F21">
        <v>93.4</v>
      </c>
      <c r="G21" s="4"/>
      <c r="J21" s="4"/>
    </row>
    <row r="22" spans="1:12" x14ac:dyDescent="0.35">
      <c r="A22">
        <v>2020</v>
      </c>
      <c r="B22">
        <v>24</v>
      </c>
      <c r="C22" t="s">
        <v>47</v>
      </c>
      <c r="D22" s="4">
        <v>76</v>
      </c>
      <c r="E22">
        <v>199</v>
      </c>
      <c r="F22">
        <v>141.69999999999999</v>
      </c>
      <c r="G22" s="4"/>
      <c r="J22" s="4"/>
    </row>
    <row r="23" spans="1:12" x14ac:dyDescent="0.35">
      <c r="A23">
        <v>2020</v>
      </c>
      <c r="B23">
        <v>25</v>
      </c>
      <c r="C23" t="s">
        <v>48</v>
      </c>
      <c r="D23" s="4">
        <v>107</v>
      </c>
      <c r="E23">
        <v>407</v>
      </c>
      <c r="F23">
        <v>288.2</v>
      </c>
      <c r="G23" s="4"/>
      <c r="J23" s="4"/>
    </row>
    <row r="24" spans="1:12" x14ac:dyDescent="0.35">
      <c r="A24">
        <v>2020</v>
      </c>
      <c r="B24">
        <v>26</v>
      </c>
      <c r="C24" t="s">
        <v>49</v>
      </c>
      <c r="D24" s="4">
        <v>54</v>
      </c>
      <c r="E24">
        <v>154</v>
      </c>
      <c r="F24">
        <v>92</v>
      </c>
      <c r="G24" s="4"/>
      <c r="J24" s="4"/>
    </row>
    <row r="25" spans="1:12" x14ac:dyDescent="0.35">
      <c r="A25">
        <v>2020</v>
      </c>
      <c r="B25">
        <v>27</v>
      </c>
      <c r="C25" t="s">
        <v>50</v>
      </c>
      <c r="D25" s="4">
        <v>188</v>
      </c>
      <c r="E25">
        <v>1232</v>
      </c>
      <c r="F25">
        <v>906.4</v>
      </c>
      <c r="G25" s="4"/>
      <c r="J25" s="4">
        <v>4</v>
      </c>
      <c r="K25">
        <v>5</v>
      </c>
    </row>
    <row r="26" spans="1:12" x14ac:dyDescent="0.35">
      <c r="A26">
        <v>2020</v>
      </c>
      <c r="B26">
        <v>28</v>
      </c>
      <c r="C26" t="s">
        <v>51</v>
      </c>
      <c r="D26" s="4">
        <v>139</v>
      </c>
      <c r="E26">
        <v>725</v>
      </c>
      <c r="F26">
        <v>486.2</v>
      </c>
      <c r="G26" s="4"/>
      <c r="J26" s="4"/>
    </row>
    <row r="27" spans="1:12" x14ac:dyDescent="0.35">
      <c r="A27">
        <v>2020</v>
      </c>
      <c r="B27">
        <v>29</v>
      </c>
      <c r="C27" t="s">
        <v>52</v>
      </c>
      <c r="D27" s="4">
        <v>115</v>
      </c>
      <c r="E27">
        <v>455</v>
      </c>
      <c r="F27">
        <v>315.60000000000002</v>
      </c>
      <c r="G27" s="4">
        <v>4</v>
      </c>
      <c r="H27">
        <v>4</v>
      </c>
      <c r="J27" s="4">
        <v>3</v>
      </c>
      <c r="K27">
        <v>5</v>
      </c>
    </row>
    <row r="28" spans="1:12" x14ac:dyDescent="0.35">
      <c r="A28">
        <v>2020</v>
      </c>
      <c r="B28">
        <v>31</v>
      </c>
      <c r="C28" t="s">
        <v>53</v>
      </c>
      <c r="D28" s="4">
        <v>119</v>
      </c>
      <c r="E28">
        <v>737</v>
      </c>
      <c r="F28">
        <v>539.79999999999995</v>
      </c>
      <c r="G28" s="4"/>
      <c r="J28" s="4"/>
    </row>
    <row r="29" spans="1:12" x14ac:dyDescent="0.35">
      <c r="A29">
        <v>2020</v>
      </c>
      <c r="B29">
        <v>33</v>
      </c>
      <c r="C29" t="s">
        <v>54</v>
      </c>
      <c r="D29" s="4">
        <v>185</v>
      </c>
      <c r="E29">
        <v>1112</v>
      </c>
      <c r="F29">
        <v>902.6</v>
      </c>
      <c r="G29" s="4"/>
      <c r="J29" s="4"/>
    </row>
    <row r="30" spans="1:12" x14ac:dyDescent="0.35">
      <c r="A30">
        <v>2020</v>
      </c>
      <c r="B30">
        <v>34</v>
      </c>
      <c r="C30" t="s">
        <v>55</v>
      </c>
      <c r="D30" s="4">
        <v>109</v>
      </c>
      <c r="E30">
        <v>558</v>
      </c>
      <c r="F30">
        <v>403.5</v>
      </c>
      <c r="G30" s="4"/>
      <c r="J30" s="4"/>
    </row>
    <row r="31" spans="1:12" x14ac:dyDescent="0.35">
      <c r="A31">
        <v>2020</v>
      </c>
      <c r="B31">
        <v>35</v>
      </c>
      <c r="C31" t="s">
        <v>56</v>
      </c>
      <c r="D31" s="4">
        <v>220</v>
      </c>
      <c r="E31">
        <v>1169</v>
      </c>
      <c r="F31">
        <v>828.3</v>
      </c>
      <c r="G31" s="4"/>
      <c r="J31" s="4"/>
    </row>
    <row r="32" spans="1:12" x14ac:dyDescent="0.35">
      <c r="A32">
        <v>2020</v>
      </c>
      <c r="B32">
        <v>37</v>
      </c>
      <c r="C32" t="s">
        <v>57</v>
      </c>
      <c r="D32" s="4">
        <v>116</v>
      </c>
      <c r="E32">
        <v>445</v>
      </c>
      <c r="F32">
        <v>323.8</v>
      </c>
      <c r="G32" s="4"/>
      <c r="H32">
        <v>7</v>
      </c>
      <c r="I32">
        <v>4.9000000000000004</v>
      </c>
      <c r="J32" s="4"/>
    </row>
    <row r="33" spans="1:12" x14ac:dyDescent="0.35">
      <c r="A33">
        <v>2020</v>
      </c>
      <c r="B33">
        <v>38</v>
      </c>
      <c r="C33" t="s">
        <v>58</v>
      </c>
      <c r="D33" s="4">
        <v>84</v>
      </c>
      <c r="E33">
        <v>713</v>
      </c>
      <c r="F33">
        <v>538.9</v>
      </c>
      <c r="G33" s="4"/>
      <c r="J33" s="4"/>
    </row>
    <row r="34" spans="1:12" x14ac:dyDescent="0.35">
      <c r="A34">
        <v>2020</v>
      </c>
      <c r="B34">
        <v>39</v>
      </c>
      <c r="C34" t="s">
        <v>59</v>
      </c>
      <c r="D34" s="4">
        <v>76</v>
      </c>
      <c r="E34">
        <v>289</v>
      </c>
      <c r="F34">
        <v>198</v>
      </c>
      <c r="G34" s="4"/>
      <c r="J34" s="4"/>
    </row>
    <row r="35" spans="1:12" x14ac:dyDescent="0.35">
      <c r="A35">
        <v>2020</v>
      </c>
      <c r="B35">
        <v>40</v>
      </c>
      <c r="C35" t="s">
        <v>60</v>
      </c>
      <c r="D35" s="4">
        <v>96</v>
      </c>
      <c r="E35">
        <v>329</v>
      </c>
      <c r="F35">
        <v>216.7</v>
      </c>
      <c r="G35" s="4"/>
      <c r="J35" s="4"/>
    </row>
    <row r="36" spans="1:12" x14ac:dyDescent="0.35">
      <c r="A36">
        <v>2020</v>
      </c>
      <c r="B36">
        <v>41</v>
      </c>
      <c r="C36" t="s">
        <v>61</v>
      </c>
      <c r="D36" s="4">
        <v>33</v>
      </c>
      <c r="E36">
        <v>104</v>
      </c>
      <c r="F36">
        <v>71.400000000000006</v>
      </c>
      <c r="G36" s="4"/>
      <c r="J36" s="4"/>
    </row>
    <row r="37" spans="1:12" x14ac:dyDescent="0.35">
      <c r="A37">
        <v>2020</v>
      </c>
      <c r="B37">
        <v>43</v>
      </c>
      <c r="C37" t="s">
        <v>62</v>
      </c>
      <c r="D37" s="4">
        <v>29</v>
      </c>
      <c r="E37">
        <v>110</v>
      </c>
      <c r="F37">
        <v>50.4</v>
      </c>
      <c r="G37" s="4"/>
      <c r="J37" s="4"/>
    </row>
    <row r="38" spans="1:12" x14ac:dyDescent="0.35">
      <c r="A38">
        <v>2020</v>
      </c>
      <c r="B38">
        <v>51</v>
      </c>
      <c r="C38" t="s">
        <v>63</v>
      </c>
      <c r="D38" s="4">
        <v>257</v>
      </c>
      <c r="E38">
        <v>1725</v>
      </c>
      <c r="F38">
        <v>1407</v>
      </c>
      <c r="G38" s="4"/>
      <c r="J38" s="4"/>
    </row>
    <row r="39" spans="1:12" x14ac:dyDescent="0.35">
      <c r="A39">
        <v>2020</v>
      </c>
      <c r="B39">
        <v>52</v>
      </c>
      <c r="C39" t="s">
        <v>64</v>
      </c>
      <c r="D39" s="4">
        <v>647</v>
      </c>
      <c r="E39">
        <v>4348</v>
      </c>
      <c r="F39">
        <v>3522.7</v>
      </c>
      <c r="G39" s="4"/>
      <c r="J39" s="4">
        <v>6</v>
      </c>
      <c r="K39">
        <v>21</v>
      </c>
      <c r="L39">
        <v>14.7</v>
      </c>
    </row>
    <row r="40" spans="1:12" x14ac:dyDescent="0.35">
      <c r="A40">
        <v>2020</v>
      </c>
      <c r="B40">
        <v>53</v>
      </c>
      <c r="C40" t="s">
        <v>65</v>
      </c>
      <c r="D40" s="4">
        <v>1312</v>
      </c>
      <c r="E40">
        <v>10822</v>
      </c>
      <c r="F40">
        <v>8090</v>
      </c>
      <c r="G40" s="4">
        <v>4</v>
      </c>
      <c r="H40">
        <v>8</v>
      </c>
      <c r="I40">
        <v>5.4</v>
      </c>
      <c r="J40" s="4">
        <v>7</v>
      </c>
      <c r="K40">
        <v>10</v>
      </c>
      <c r="L40">
        <v>7.1</v>
      </c>
    </row>
    <row r="41" spans="1:12" x14ac:dyDescent="0.35">
      <c r="A41">
        <v>2020</v>
      </c>
      <c r="B41">
        <v>54</v>
      </c>
      <c r="C41" t="s">
        <v>66</v>
      </c>
      <c r="D41" s="4">
        <v>591</v>
      </c>
      <c r="E41">
        <v>6095</v>
      </c>
      <c r="F41">
        <v>5013.1000000000004</v>
      </c>
      <c r="G41" s="4">
        <v>3</v>
      </c>
      <c r="H41">
        <v>12</v>
      </c>
      <c r="I41">
        <v>5.4</v>
      </c>
      <c r="J41" s="4">
        <v>3</v>
      </c>
      <c r="K41">
        <v>9</v>
      </c>
      <c r="L41">
        <v>4.9000000000000004</v>
      </c>
    </row>
    <row r="42" spans="1:12" x14ac:dyDescent="0.35">
      <c r="A42">
        <v>2020</v>
      </c>
      <c r="B42">
        <v>55</v>
      </c>
      <c r="C42" t="s">
        <v>67</v>
      </c>
      <c r="D42" s="4">
        <v>307</v>
      </c>
      <c r="E42">
        <v>1384</v>
      </c>
      <c r="F42">
        <v>1008.8</v>
      </c>
      <c r="G42" s="4"/>
      <c r="J42" s="4"/>
    </row>
    <row r="43" spans="1:12" x14ac:dyDescent="0.35">
      <c r="A43">
        <v>2020</v>
      </c>
      <c r="B43">
        <v>56</v>
      </c>
      <c r="C43" t="s">
        <v>68</v>
      </c>
      <c r="D43" s="4">
        <v>509</v>
      </c>
      <c r="E43">
        <v>3677</v>
      </c>
      <c r="F43">
        <v>2888.4</v>
      </c>
      <c r="G43" s="4"/>
      <c r="J43" s="4"/>
      <c r="K43">
        <v>130</v>
      </c>
      <c r="L43">
        <v>108</v>
      </c>
    </row>
    <row r="44" spans="1:12" x14ac:dyDescent="0.35">
      <c r="A44">
        <v>2020</v>
      </c>
      <c r="B44">
        <v>57</v>
      </c>
      <c r="C44" t="s">
        <v>69</v>
      </c>
      <c r="D44" s="4">
        <v>160</v>
      </c>
      <c r="E44">
        <v>730</v>
      </c>
      <c r="F44">
        <v>529.1</v>
      </c>
      <c r="G44" s="4"/>
      <c r="J44" s="4"/>
    </row>
    <row r="45" spans="1:12" x14ac:dyDescent="0.35">
      <c r="A45">
        <v>2020</v>
      </c>
      <c r="B45">
        <v>58</v>
      </c>
      <c r="C45" t="s">
        <v>70</v>
      </c>
      <c r="D45" s="4">
        <v>235</v>
      </c>
      <c r="E45">
        <v>1148</v>
      </c>
      <c r="F45">
        <v>857.1</v>
      </c>
      <c r="G45" s="4"/>
      <c r="J45" s="4"/>
    </row>
    <row r="46" spans="1:12" x14ac:dyDescent="0.35">
      <c r="A46">
        <v>2020</v>
      </c>
      <c r="B46">
        <v>59</v>
      </c>
      <c r="C46" t="s">
        <v>71</v>
      </c>
      <c r="D46" s="4">
        <v>78</v>
      </c>
      <c r="E46">
        <v>405</v>
      </c>
      <c r="F46">
        <v>326</v>
      </c>
      <c r="G46" s="4"/>
      <c r="J46" s="4"/>
    </row>
    <row r="47" spans="1:12" x14ac:dyDescent="0.35">
      <c r="A47">
        <v>2020</v>
      </c>
      <c r="B47">
        <v>60</v>
      </c>
      <c r="C47" t="s">
        <v>72</v>
      </c>
      <c r="D47" s="4">
        <v>238</v>
      </c>
      <c r="E47">
        <v>1293</v>
      </c>
      <c r="F47">
        <v>1068.0999999999999</v>
      </c>
      <c r="G47" s="4"/>
      <c r="J47" s="4"/>
    </row>
    <row r="48" spans="1:12" x14ac:dyDescent="0.35">
      <c r="A48">
        <v>2020</v>
      </c>
      <c r="B48">
        <v>61</v>
      </c>
      <c r="C48" t="s">
        <v>73</v>
      </c>
      <c r="D48" s="4">
        <v>98</v>
      </c>
      <c r="E48">
        <v>357</v>
      </c>
      <c r="F48">
        <v>256.7</v>
      </c>
      <c r="G48" s="4"/>
      <c r="J48" s="4"/>
    </row>
    <row r="49" spans="1:12" x14ac:dyDescent="0.35">
      <c r="A49">
        <v>2020</v>
      </c>
      <c r="B49">
        <v>62</v>
      </c>
      <c r="C49" t="s">
        <v>74</v>
      </c>
      <c r="D49" s="4">
        <v>1535</v>
      </c>
      <c r="E49">
        <v>35334</v>
      </c>
      <c r="F49">
        <v>29288.3</v>
      </c>
      <c r="G49" s="4">
        <v>3</v>
      </c>
      <c r="H49">
        <v>5</v>
      </c>
      <c r="J49" s="4">
        <v>7</v>
      </c>
      <c r="K49">
        <v>31</v>
      </c>
      <c r="L49">
        <v>26.9</v>
      </c>
    </row>
    <row r="50" spans="1:12" x14ac:dyDescent="0.35">
      <c r="A50">
        <v>2020</v>
      </c>
      <c r="B50">
        <v>63</v>
      </c>
      <c r="C50" t="s">
        <v>75</v>
      </c>
      <c r="D50" s="4">
        <v>118</v>
      </c>
      <c r="E50">
        <v>470</v>
      </c>
      <c r="F50">
        <v>340</v>
      </c>
      <c r="G50" s="4"/>
      <c r="J50" s="4"/>
    </row>
    <row r="51" spans="1:12" x14ac:dyDescent="0.35">
      <c r="A51">
        <v>2020</v>
      </c>
      <c r="B51">
        <v>64</v>
      </c>
      <c r="C51" t="s">
        <v>76</v>
      </c>
      <c r="D51" s="4">
        <v>302</v>
      </c>
      <c r="E51">
        <v>1106</v>
      </c>
      <c r="F51">
        <v>729.7</v>
      </c>
      <c r="G51" s="4"/>
      <c r="J51" s="4"/>
      <c r="K51">
        <v>7</v>
      </c>
      <c r="L51">
        <v>6.8</v>
      </c>
    </row>
    <row r="52" spans="1:12" x14ac:dyDescent="0.35">
      <c r="A52">
        <v>2020</v>
      </c>
      <c r="B52">
        <v>65</v>
      </c>
      <c r="C52" t="s">
        <v>77</v>
      </c>
      <c r="D52" s="4">
        <v>89</v>
      </c>
      <c r="E52">
        <v>238</v>
      </c>
      <c r="F52">
        <v>151.5</v>
      </c>
      <c r="G52" s="4"/>
      <c r="J52" s="4"/>
    </row>
    <row r="53" spans="1:12" x14ac:dyDescent="0.35">
      <c r="A53">
        <v>2020</v>
      </c>
      <c r="B53">
        <v>66</v>
      </c>
      <c r="C53" t="s">
        <v>78</v>
      </c>
      <c r="D53" s="4">
        <v>1485</v>
      </c>
      <c r="E53">
        <v>21550</v>
      </c>
      <c r="F53">
        <v>17850.2</v>
      </c>
      <c r="G53" s="4">
        <v>10</v>
      </c>
      <c r="H53">
        <v>179</v>
      </c>
      <c r="I53">
        <v>159.69999999999999</v>
      </c>
      <c r="J53" s="4">
        <v>10</v>
      </c>
      <c r="K53">
        <v>21</v>
      </c>
      <c r="L53">
        <v>13.2</v>
      </c>
    </row>
    <row r="54" spans="1:12" x14ac:dyDescent="0.35">
      <c r="A54">
        <v>2020</v>
      </c>
      <c r="B54">
        <v>67</v>
      </c>
      <c r="C54" t="s">
        <v>79</v>
      </c>
      <c r="D54" s="4">
        <v>244</v>
      </c>
      <c r="E54">
        <v>1539</v>
      </c>
      <c r="F54">
        <v>1161.5</v>
      </c>
      <c r="G54" s="4"/>
      <c r="J54" s="4"/>
    </row>
    <row r="55" spans="1:12" x14ac:dyDescent="0.35">
      <c r="A55">
        <v>2020</v>
      </c>
      <c r="B55">
        <v>68</v>
      </c>
      <c r="C55" t="s">
        <v>80</v>
      </c>
      <c r="D55" s="4">
        <v>165</v>
      </c>
      <c r="E55">
        <v>484</v>
      </c>
      <c r="F55">
        <v>328</v>
      </c>
      <c r="G55" s="4"/>
      <c r="J55" s="4"/>
    </row>
    <row r="56" spans="1:12" x14ac:dyDescent="0.35">
      <c r="A56">
        <v>2020</v>
      </c>
      <c r="B56">
        <v>69</v>
      </c>
      <c r="C56" t="s">
        <v>81</v>
      </c>
      <c r="D56" s="4">
        <v>1452</v>
      </c>
      <c r="E56">
        <v>21581</v>
      </c>
      <c r="F56">
        <v>18265.7</v>
      </c>
      <c r="G56" s="4">
        <v>6</v>
      </c>
      <c r="H56">
        <v>18</v>
      </c>
      <c r="I56">
        <v>13.1</v>
      </c>
      <c r="J56" s="4">
        <v>8</v>
      </c>
      <c r="K56">
        <v>26</v>
      </c>
      <c r="L56">
        <v>20.100000000000001</v>
      </c>
    </row>
    <row r="57" spans="1:12" x14ac:dyDescent="0.35">
      <c r="A57">
        <v>2020</v>
      </c>
      <c r="B57">
        <v>70</v>
      </c>
      <c r="C57" t="s">
        <v>82</v>
      </c>
      <c r="D57" s="4">
        <v>34</v>
      </c>
      <c r="E57">
        <v>72</v>
      </c>
      <c r="F57">
        <v>45</v>
      </c>
      <c r="G57" s="4"/>
      <c r="J57" s="4"/>
      <c r="K57">
        <v>10</v>
      </c>
    </row>
    <row r="58" spans="1:12" x14ac:dyDescent="0.35">
      <c r="A58">
        <v>2020</v>
      </c>
      <c r="B58">
        <v>71</v>
      </c>
      <c r="C58" t="s">
        <v>83</v>
      </c>
      <c r="D58" s="4">
        <v>126</v>
      </c>
      <c r="E58">
        <v>487</v>
      </c>
      <c r="F58">
        <v>376.7</v>
      </c>
      <c r="G58" s="4"/>
      <c r="J58" s="4"/>
    </row>
    <row r="59" spans="1:12" x14ac:dyDescent="0.35">
      <c r="A59">
        <v>2020</v>
      </c>
      <c r="B59">
        <v>72</v>
      </c>
      <c r="C59" t="s">
        <v>84</v>
      </c>
      <c r="D59" s="4">
        <v>266</v>
      </c>
      <c r="E59">
        <v>977</v>
      </c>
      <c r="F59">
        <v>732.1</v>
      </c>
      <c r="G59" s="4"/>
      <c r="J59" s="4"/>
      <c r="K59">
        <v>19</v>
      </c>
      <c r="L59">
        <v>17</v>
      </c>
    </row>
    <row r="60" spans="1:12" x14ac:dyDescent="0.35">
      <c r="A60">
        <v>2020</v>
      </c>
      <c r="B60">
        <v>81</v>
      </c>
      <c r="C60" t="s">
        <v>85</v>
      </c>
      <c r="D60" s="4">
        <v>61</v>
      </c>
      <c r="E60">
        <v>249</v>
      </c>
      <c r="F60">
        <v>177.5</v>
      </c>
      <c r="G60" s="4"/>
      <c r="J60" s="4"/>
    </row>
    <row r="61" spans="1:12" x14ac:dyDescent="0.35">
      <c r="A61">
        <v>2020</v>
      </c>
      <c r="B61">
        <v>82</v>
      </c>
      <c r="C61" t="s">
        <v>86</v>
      </c>
      <c r="D61" s="4">
        <v>79</v>
      </c>
      <c r="E61">
        <v>323</v>
      </c>
      <c r="F61">
        <v>253.4</v>
      </c>
      <c r="G61" s="4"/>
      <c r="J61" s="4"/>
    </row>
    <row r="62" spans="1:12" x14ac:dyDescent="0.35">
      <c r="A62">
        <v>2020</v>
      </c>
      <c r="B62">
        <v>83</v>
      </c>
      <c r="C62" t="s">
        <v>87</v>
      </c>
      <c r="D62" s="4">
        <v>308</v>
      </c>
      <c r="E62">
        <v>2428</v>
      </c>
      <c r="F62">
        <v>1946.5</v>
      </c>
      <c r="G62" s="4"/>
      <c r="J62" s="4"/>
    </row>
    <row r="63" spans="1:12" x14ac:dyDescent="0.35">
      <c r="A63">
        <v>2020</v>
      </c>
      <c r="B63">
        <v>84</v>
      </c>
      <c r="C63" t="s">
        <v>88</v>
      </c>
      <c r="D63" s="4">
        <v>291</v>
      </c>
      <c r="E63">
        <v>3009</v>
      </c>
      <c r="F63">
        <v>2616.1999999999998</v>
      </c>
      <c r="G63" s="4"/>
      <c r="H63">
        <v>13</v>
      </c>
      <c r="I63">
        <v>7.2</v>
      </c>
      <c r="J63" s="4">
        <v>3</v>
      </c>
      <c r="K63">
        <v>15</v>
      </c>
      <c r="L63">
        <v>13</v>
      </c>
    </row>
    <row r="64" spans="1:12" x14ac:dyDescent="0.35">
      <c r="A64">
        <v>2020</v>
      </c>
      <c r="B64">
        <v>85</v>
      </c>
      <c r="C64" t="s">
        <v>89</v>
      </c>
      <c r="D64" s="4">
        <v>99</v>
      </c>
      <c r="E64">
        <v>406</v>
      </c>
      <c r="F64">
        <v>307.7</v>
      </c>
      <c r="G64" s="4"/>
      <c r="J64" s="4"/>
    </row>
    <row r="65" spans="1:12" x14ac:dyDescent="0.35">
      <c r="A65">
        <v>2020</v>
      </c>
      <c r="B65">
        <v>86</v>
      </c>
      <c r="C65" t="s">
        <v>90</v>
      </c>
      <c r="D65" s="4">
        <v>434</v>
      </c>
      <c r="E65">
        <v>4510</v>
      </c>
      <c r="F65">
        <v>3494.3</v>
      </c>
      <c r="G65" s="4"/>
      <c r="H65">
        <v>5</v>
      </c>
      <c r="I65">
        <v>4.4000000000000004</v>
      </c>
      <c r="J65" s="4">
        <v>3</v>
      </c>
      <c r="K65">
        <v>6</v>
      </c>
    </row>
    <row r="66" spans="1:12" x14ac:dyDescent="0.35">
      <c r="A66">
        <v>2020</v>
      </c>
      <c r="B66">
        <v>87</v>
      </c>
      <c r="C66" t="s">
        <v>91</v>
      </c>
      <c r="D66" s="4">
        <v>44</v>
      </c>
      <c r="E66">
        <v>101</v>
      </c>
      <c r="F66">
        <v>66.599999999999994</v>
      </c>
      <c r="G66" s="4"/>
      <c r="J66" s="4"/>
    </row>
    <row r="67" spans="1:12" x14ac:dyDescent="0.35">
      <c r="A67">
        <v>2020</v>
      </c>
      <c r="B67">
        <v>88</v>
      </c>
      <c r="C67" t="s">
        <v>92</v>
      </c>
      <c r="D67" s="4">
        <v>240</v>
      </c>
      <c r="E67">
        <v>648</v>
      </c>
      <c r="F67">
        <v>441.5</v>
      </c>
      <c r="G67" s="4"/>
      <c r="J67" s="4"/>
      <c r="K67">
        <v>5</v>
      </c>
      <c r="L67">
        <v>4.4000000000000004</v>
      </c>
    </row>
    <row r="68" spans="1:12" x14ac:dyDescent="0.35">
      <c r="A68">
        <v>2020</v>
      </c>
      <c r="B68">
        <v>89</v>
      </c>
      <c r="C68" t="s">
        <v>93</v>
      </c>
      <c r="D68" s="4">
        <v>243</v>
      </c>
      <c r="E68">
        <v>1440</v>
      </c>
      <c r="F68">
        <v>1122.3</v>
      </c>
      <c r="G68" s="4"/>
      <c r="J68" s="4"/>
    </row>
    <row r="69" spans="1:12" x14ac:dyDescent="0.35">
      <c r="A69">
        <v>2020</v>
      </c>
      <c r="B69">
        <v>90</v>
      </c>
      <c r="C69" t="s">
        <v>94</v>
      </c>
      <c r="D69" s="4">
        <v>487</v>
      </c>
      <c r="E69">
        <v>2562</v>
      </c>
      <c r="F69">
        <v>2030.9</v>
      </c>
      <c r="G69" s="4"/>
      <c r="J69" s="4">
        <v>4</v>
      </c>
      <c r="K69">
        <v>5</v>
      </c>
    </row>
    <row r="70" spans="1:12" x14ac:dyDescent="0.35">
      <c r="A70">
        <v>2020</v>
      </c>
      <c r="B70">
        <v>91</v>
      </c>
      <c r="C70" t="s">
        <v>95</v>
      </c>
      <c r="D70" s="4">
        <v>164</v>
      </c>
      <c r="E70">
        <v>892</v>
      </c>
      <c r="F70">
        <v>686.9</v>
      </c>
      <c r="G70" s="4"/>
      <c r="H70">
        <v>4</v>
      </c>
      <c r="J70" s="4"/>
    </row>
    <row r="71" spans="1:12" x14ac:dyDescent="0.35">
      <c r="A71">
        <v>2020</v>
      </c>
      <c r="B71">
        <v>92</v>
      </c>
      <c r="C71" t="s">
        <v>96</v>
      </c>
      <c r="D71" s="4">
        <v>330</v>
      </c>
      <c r="E71">
        <v>1859</v>
      </c>
      <c r="F71">
        <v>1483.9</v>
      </c>
      <c r="G71" s="4"/>
      <c r="J71" s="4"/>
    </row>
    <row r="72" spans="1:12" x14ac:dyDescent="0.35">
      <c r="A72">
        <v>2020</v>
      </c>
      <c r="B72">
        <v>93</v>
      </c>
      <c r="C72" t="s">
        <v>97</v>
      </c>
      <c r="D72" s="4">
        <v>90</v>
      </c>
      <c r="E72">
        <v>253</v>
      </c>
      <c r="F72">
        <v>185.5</v>
      </c>
      <c r="G72" s="4"/>
      <c r="J72" s="4"/>
    </row>
    <row r="73" spans="1:12" x14ac:dyDescent="0.35">
      <c r="A73">
        <v>2020</v>
      </c>
      <c r="B73">
        <v>94</v>
      </c>
      <c r="C73" t="s">
        <v>98</v>
      </c>
      <c r="D73" s="4">
        <v>272</v>
      </c>
      <c r="E73">
        <v>2513</v>
      </c>
      <c r="F73">
        <v>2035.6</v>
      </c>
      <c r="G73" s="4">
        <v>3</v>
      </c>
      <c r="H73">
        <v>7</v>
      </c>
      <c r="I73">
        <v>5.2</v>
      </c>
      <c r="J73" s="4"/>
    </row>
    <row r="74" spans="1:12" x14ac:dyDescent="0.35">
      <c r="A74">
        <v>2020</v>
      </c>
      <c r="B74">
        <v>95</v>
      </c>
      <c r="C74" t="s">
        <v>99</v>
      </c>
      <c r="D74" s="4">
        <v>43</v>
      </c>
      <c r="E74">
        <v>205</v>
      </c>
      <c r="F74">
        <v>141.9</v>
      </c>
      <c r="G74" s="4"/>
      <c r="J74" s="4"/>
    </row>
    <row r="75" spans="1:12" x14ac:dyDescent="0.35">
      <c r="A75">
        <v>2020</v>
      </c>
      <c r="B75">
        <v>96</v>
      </c>
      <c r="C75" t="s">
        <v>100</v>
      </c>
      <c r="D75" s="4">
        <v>1278</v>
      </c>
      <c r="E75">
        <v>11283</v>
      </c>
      <c r="F75">
        <v>9186.7000000000007</v>
      </c>
      <c r="G75" s="4">
        <v>6</v>
      </c>
      <c r="H75">
        <v>12</v>
      </c>
      <c r="I75">
        <v>9.6999999999999993</v>
      </c>
      <c r="J75" s="4">
        <v>7</v>
      </c>
      <c r="K75">
        <v>17</v>
      </c>
      <c r="L75">
        <v>14.3</v>
      </c>
    </row>
    <row r="76" spans="1:12" x14ac:dyDescent="0.35">
      <c r="A76">
        <v>2020</v>
      </c>
      <c r="B76">
        <v>97</v>
      </c>
      <c r="C76" t="s">
        <v>101</v>
      </c>
      <c r="D76" s="4">
        <v>753</v>
      </c>
      <c r="E76">
        <v>6230</v>
      </c>
      <c r="F76">
        <v>5186</v>
      </c>
      <c r="G76" s="4">
        <v>3</v>
      </c>
      <c r="H76">
        <v>14</v>
      </c>
      <c r="I76">
        <v>13.1</v>
      </c>
      <c r="J76" s="4">
        <v>3</v>
      </c>
      <c r="K76">
        <v>4</v>
      </c>
    </row>
    <row r="77" spans="1:12" x14ac:dyDescent="0.35">
      <c r="A77">
        <v>2020</v>
      </c>
      <c r="B77">
        <v>98</v>
      </c>
      <c r="C77" t="s">
        <v>102</v>
      </c>
      <c r="D77" s="4">
        <v>58</v>
      </c>
      <c r="E77">
        <v>145</v>
      </c>
      <c r="F77">
        <v>95.8</v>
      </c>
      <c r="G77" s="4"/>
      <c r="J77" s="4"/>
    </row>
    <row r="78" spans="1:12" x14ac:dyDescent="0.35">
      <c r="A78">
        <v>2020</v>
      </c>
      <c r="B78">
        <v>99</v>
      </c>
      <c r="C78" t="s">
        <v>103</v>
      </c>
      <c r="D78" s="4">
        <v>95</v>
      </c>
      <c r="E78">
        <v>321</v>
      </c>
      <c r="F78">
        <v>204.2</v>
      </c>
      <c r="G78" s="4"/>
      <c r="J78" s="4"/>
    </row>
    <row r="79" spans="1:12" x14ac:dyDescent="0.35">
      <c r="A79">
        <v>2020</v>
      </c>
      <c r="B79">
        <v>100</v>
      </c>
      <c r="C79" t="s">
        <v>104</v>
      </c>
      <c r="D79" s="4">
        <v>149</v>
      </c>
      <c r="E79">
        <v>557</v>
      </c>
      <c r="F79">
        <v>365.9</v>
      </c>
      <c r="G79" s="4"/>
      <c r="J79" s="4"/>
    </row>
    <row r="80" spans="1:12" x14ac:dyDescent="0.35">
      <c r="A80">
        <v>2020</v>
      </c>
      <c r="B80">
        <v>101</v>
      </c>
      <c r="C80" t="s">
        <v>105</v>
      </c>
      <c r="D80" s="4">
        <v>213</v>
      </c>
      <c r="E80">
        <v>919</v>
      </c>
      <c r="F80">
        <v>685.9</v>
      </c>
      <c r="G80" s="4"/>
      <c r="H80">
        <v>5</v>
      </c>
      <c r="J80" s="4"/>
    </row>
    <row r="81" spans="1:12" x14ac:dyDescent="0.35">
      <c r="A81">
        <v>2020</v>
      </c>
      <c r="B81">
        <v>102</v>
      </c>
      <c r="C81" t="s">
        <v>106</v>
      </c>
      <c r="D81" s="4">
        <v>109</v>
      </c>
      <c r="E81">
        <v>305</v>
      </c>
      <c r="F81">
        <v>225.8</v>
      </c>
      <c r="G81" s="4"/>
      <c r="J81" s="4"/>
      <c r="K81">
        <v>4</v>
      </c>
    </row>
    <row r="82" spans="1:12" x14ac:dyDescent="0.35">
      <c r="A82">
        <v>2020</v>
      </c>
      <c r="B82">
        <v>111</v>
      </c>
      <c r="C82" t="s">
        <v>107</v>
      </c>
      <c r="D82" s="4">
        <v>381</v>
      </c>
      <c r="E82">
        <v>1582</v>
      </c>
      <c r="F82">
        <v>1128.4000000000001</v>
      </c>
      <c r="G82" s="4"/>
      <c r="H82">
        <v>4</v>
      </c>
      <c r="J82" s="4"/>
    </row>
    <row r="83" spans="1:12" x14ac:dyDescent="0.35">
      <c r="A83">
        <v>2020</v>
      </c>
      <c r="B83">
        <v>112</v>
      </c>
      <c r="C83" t="s">
        <v>108</v>
      </c>
      <c r="D83" s="4">
        <v>573</v>
      </c>
      <c r="E83">
        <v>3731</v>
      </c>
      <c r="F83">
        <v>2921.8</v>
      </c>
      <c r="G83" s="4">
        <v>5</v>
      </c>
      <c r="H83">
        <v>7</v>
      </c>
      <c r="J83" s="4">
        <v>3</v>
      </c>
      <c r="K83">
        <v>18</v>
      </c>
      <c r="L83">
        <v>12.7</v>
      </c>
    </row>
    <row r="84" spans="1:12" x14ac:dyDescent="0.35">
      <c r="A84">
        <v>2020</v>
      </c>
      <c r="B84">
        <v>113</v>
      </c>
      <c r="C84" t="s">
        <v>109</v>
      </c>
      <c r="D84" s="4">
        <v>439</v>
      </c>
      <c r="E84">
        <v>1882</v>
      </c>
      <c r="F84">
        <v>1320.8</v>
      </c>
      <c r="G84" s="4"/>
      <c r="J84" s="4"/>
    </row>
    <row r="85" spans="1:12" x14ac:dyDescent="0.35">
      <c r="A85">
        <v>2020</v>
      </c>
      <c r="B85">
        <v>114</v>
      </c>
      <c r="C85" t="s">
        <v>110</v>
      </c>
      <c r="D85" s="4">
        <v>206</v>
      </c>
      <c r="E85">
        <v>670</v>
      </c>
      <c r="F85">
        <v>470.2</v>
      </c>
      <c r="G85" s="4"/>
      <c r="J85" s="4"/>
    </row>
    <row r="86" spans="1:12" x14ac:dyDescent="0.35">
      <c r="A86">
        <v>2020</v>
      </c>
      <c r="B86">
        <v>115</v>
      </c>
      <c r="C86" t="s">
        <v>111</v>
      </c>
      <c r="D86" s="4">
        <v>631</v>
      </c>
      <c r="E86">
        <v>2515</v>
      </c>
      <c r="F86">
        <v>1850.6</v>
      </c>
      <c r="G86" s="4"/>
      <c r="J86" s="4">
        <v>3</v>
      </c>
      <c r="K86">
        <v>6</v>
      </c>
      <c r="L86">
        <v>4</v>
      </c>
    </row>
    <row r="87" spans="1:12" x14ac:dyDescent="0.35">
      <c r="A87">
        <v>2020</v>
      </c>
      <c r="B87">
        <v>116</v>
      </c>
      <c r="C87" t="s">
        <v>112</v>
      </c>
      <c r="D87" s="4">
        <v>268</v>
      </c>
      <c r="E87">
        <v>1828</v>
      </c>
      <c r="F87">
        <v>1413.7</v>
      </c>
      <c r="G87" s="4"/>
      <c r="J87" s="4"/>
    </row>
    <row r="88" spans="1:12" x14ac:dyDescent="0.35">
      <c r="A88">
        <v>2020</v>
      </c>
      <c r="B88">
        <v>117</v>
      </c>
      <c r="C88" t="s">
        <v>113</v>
      </c>
      <c r="D88" s="4">
        <v>897</v>
      </c>
      <c r="E88">
        <v>7150</v>
      </c>
      <c r="F88">
        <v>5861.8</v>
      </c>
      <c r="G88" s="4"/>
      <c r="H88">
        <v>7</v>
      </c>
      <c r="I88">
        <v>5.5</v>
      </c>
      <c r="J88" s="4">
        <v>3</v>
      </c>
      <c r="K88">
        <v>6</v>
      </c>
    </row>
    <row r="89" spans="1:12" x14ac:dyDescent="0.35">
      <c r="A89">
        <v>2020</v>
      </c>
      <c r="B89">
        <v>118</v>
      </c>
      <c r="C89" t="s">
        <v>114</v>
      </c>
      <c r="D89" s="4">
        <v>835</v>
      </c>
      <c r="E89">
        <v>5075</v>
      </c>
      <c r="F89">
        <v>3758.1</v>
      </c>
      <c r="G89" s="4">
        <v>4</v>
      </c>
      <c r="H89">
        <v>7</v>
      </c>
      <c r="I89">
        <v>6</v>
      </c>
      <c r="J89" s="4">
        <v>9</v>
      </c>
      <c r="K89">
        <v>17</v>
      </c>
      <c r="L89">
        <v>13.5</v>
      </c>
    </row>
    <row r="90" spans="1:12" x14ac:dyDescent="0.35">
      <c r="A90">
        <v>2020</v>
      </c>
      <c r="B90">
        <v>119</v>
      </c>
      <c r="C90" t="s">
        <v>115</v>
      </c>
      <c r="D90" s="4">
        <v>127</v>
      </c>
      <c r="E90">
        <v>593</v>
      </c>
      <c r="F90">
        <v>390.1</v>
      </c>
      <c r="G90" s="4"/>
      <c r="J90" s="4"/>
    </row>
    <row r="91" spans="1:12" x14ac:dyDescent="0.35">
      <c r="A91">
        <v>2020</v>
      </c>
      <c r="B91">
        <v>120</v>
      </c>
      <c r="C91" t="s">
        <v>116</v>
      </c>
      <c r="D91" s="4">
        <v>654</v>
      </c>
      <c r="E91">
        <v>3362</v>
      </c>
      <c r="F91">
        <v>2454.1</v>
      </c>
      <c r="G91" s="4">
        <v>4</v>
      </c>
      <c r="H91">
        <v>4</v>
      </c>
      <c r="J91" s="4">
        <v>5</v>
      </c>
      <c r="K91">
        <v>6</v>
      </c>
      <c r="L91">
        <v>4.4000000000000004</v>
      </c>
    </row>
    <row r="92" spans="1:12" x14ac:dyDescent="0.35">
      <c r="A92">
        <v>2020</v>
      </c>
      <c r="B92">
        <v>121</v>
      </c>
      <c r="C92" t="s">
        <v>117</v>
      </c>
      <c r="D92" s="4">
        <v>1823</v>
      </c>
      <c r="E92">
        <v>14088</v>
      </c>
      <c r="F92">
        <v>10427.5</v>
      </c>
      <c r="G92" s="4">
        <v>5</v>
      </c>
      <c r="H92">
        <v>29</v>
      </c>
      <c r="I92">
        <v>20.2</v>
      </c>
      <c r="J92" s="4">
        <v>8</v>
      </c>
      <c r="K92">
        <v>28</v>
      </c>
      <c r="L92">
        <v>21.2</v>
      </c>
    </row>
    <row r="93" spans="1:12" x14ac:dyDescent="0.35">
      <c r="A93">
        <v>2020</v>
      </c>
      <c r="B93">
        <v>131</v>
      </c>
      <c r="C93" t="s">
        <v>118</v>
      </c>
      <c r="D93" s="4">
        <v>1006</v>
      </c>
      <c r="E93">
        <v>7712</v>
      </c>
      <c r="F93">
        <v>6092.8</v>
      </c>
      <c r="G93" s="4">
        <v>7</v>
      </c>
      <c r="H93">
        <v>14</v>
      </c>
      <c r="I93">
        <v>12</v>
      </c>
      <c r="J93" s="4">
        <v>6</v>
      </c>
      <c r="K93">
        <v>20</v>
      </c>
      <c r="L93">
        <v>16.100000000000001</v>
      </c>
    </row>
    <row r="94" spans="1:12" x14ac:dyDescent="0.35">
      <c r="A94">
        <v>2020</v>
      </c>
      <c r="B94">
        <v>135</v>
      </c>
      <c r="C94" t="s">
        <v>119</v>
      </c>
      <c r="D94" s="4">
        <v>595</v>
      </c>
      <c r="E94">
        <v>4260</v>
      </c>
      <c r="F94">
        <v>3202.3</v>
      </c>
      <c r="G94" s="4">
        <v>6</v>
      </c>
      <c r="H94">
        <v>7</v>
      </c>
      <c r="I94">
        <v>5.0999999999999996</v>
      </c>
      <c r="J94" s="4">
        <v>4</v>
      </c>
      <c r="K94">
        <v>9</v>
      </c>
    </row>
    <row r="95" spans="1:12" x14ac:dyDescent="0.35">
      <c r="A95">
        <v>2020</v>
      </c>
      <c r="B95">
        <v>136</v>
      </c>
      <c r="C95" t="s">
        <v>120</v>
      </c>
      <c r="D95" s="4">
        <v>379</v>
      </c>
      <c r="E95">
        <v>1575</v>
      </c>
      <c r="F95">
        <v>1126.3</v>
      </c>
      <c r="G95" s="4"/>
      <c r="H95">
        <v>4</v>
      </c>
      <c r="J95" s="4">
        <v>3</v>
      </c>
      <c r="K95">
        <v>6</v>
      </c>
      <c r="L95">
        <v>5.7</v>
      </c>
    </row>
    <row r="96" spans="1:12" x14ac:dyDescent="0.35">
      <c r="A96">
        <v>2020</v>
      </c>
      <c r="B96">
        <v>137</v>
      </c>
      <c r="C96" t="s">
        <v>121</v>
      </c>
      <c r="D96" s="4">
        <v>296</v>
      </c>
      <c r="E96">
        <v>1016</v>
      </c>
      <c r="F96">
        <v>697.2</v>
      </c>
      <c r="G96" s="4"/>
      <c r="J96" s="4">
        <v>4</v>
      </c>
      <c r="K96">
        <v>15</v>
      </c>
      <c r="L96">
        <v>12</v>
      </c>
    </row>
    <row r="97" spans="1:12" x14ac:dyDescent="0.35">
      <c r="A97">
        <v>2020</v>
      </c>
      <c r="B97">
        <v>138</v>
      </c>
      <c r="C97" t="s">
        <v>122</v>
      </c>
      <c r="D97" s="4">
        <v>792</v>
      </c>
      <c r="E97">
        <v>4157</v>
      </c>
      <c r="F97">
        <v>3314.9</v>
      </c>
      <c r="G97" s="4">
        <v>3</v>
      </c>
      <c r="H97">
        <v>12</v>
      </c>
      <c r="I97">
        <v>9</v>
      </c>
      <c r="J97" s="4">
        <v>12</v>
      </c>
      <c r="K97">
        <v>25</v>
      </c>
      <c r="L97">
        <v>18</v>
      </c>
    </row>
    <row r="98" spans="1:12" x14ac:dyDescent="0.35">
      <c r="A98">
        <v>2020</v>
      </c>
      <c r="B98">
        <v>139</v>
      </c>
      <c r="C98" t="s">
        <v>123</v>
      </c>
      <c r="D98" s="4">
        <v>413</v>
      </c>
      <c r="E98">
        <v>3027</v>
      </c>
      <c r="F98">
        <v>2440.1999999999998</v>
      </c>
      <c r="G98" s="4">
        <v>3</v>
      </c>
      <c r="H98">
        <v>10</v>
      </c>
      <c r="I98">
        <v>9.3000000000000007</v>
      </c>
      <c r="J98" s="4">
        <v>3</v>
      </c>
      <c r="K98">
        <v>4</v>
      </c>
    </row>
    <row r="99" spans="1:12" x14ac:dyDescent="0.35">
      <c r="A99">
        <v>2020</v>
      </c>
      <c r="B99">
        <v>141</v>
      </c>
      <c r="C99" t="s">
        <v>124</v>
      </c>
      <c r="D99" s="4">
        <v>1309</v>
      </c>
      <c r="E99">
        <v>6610</v>
      </c>
      <c r="F99">
        <v>4885.1000000000004</v>
      </c>
      <c r="G99" s="4">
        <v>7</v>
      </c>
      <c r="H99">
        <v>28</v>
      </c>
      <c r="I99">
        <v>22</v>
      </c>
      <c r="J99" s="4">
        <v>6</v>
      </c>
      <c r="K99">
        <v>7</v>
      </c>
      <c r="L99">
        <v>5.3</v>
      </c>
    </row>
    <row r="100" spans="1:12" x14ac:dyDescent="0.35">
      <c r="A100">
        <v>2020</v>
      </c>
      <c r="B100">
        <v>151</v>
      </c>
      <c r="C100" t="s">
        <v>125</v>
      </c>
      <c r="D100" s="4">
        <v>479</v>
      </c>
      <c r="E100">
        <v>1898</v>
      </c>
      <c r="F100">
        <v>1359</v>
      </c>
      <c r="G100" s="4"/>
      <c r="J100" s="4">
        <v>4</v>
      </c>
      <c r="K100">
        <v>5</v>
      </c>
    </row>
    <row r="101" spans="1:12" x14ac:dyDescent="0.35">
      <c r="A101">
        <v>2020</v>
      </c>
      <c r="B101">
        <v>152</v>
      </c>
      <c r="C101" t="s">
        <v>126</v>
      </c>
      <c r="D101" s="4">
        <v>469</v>
      </c>
      <c r="E101">
        <v>1414</v>
      </c>
      <c r="F101">
        <v>1003.2</v>
      </c>
      <c r="G101" s="4">
        <v>7</v>
      </c>
      <c r="H101">
        <v>9</v>
      </c>
      <c r="I101">
        <v>7.2</v>
      </c>
      <c r="J101" s="4"/>
    </row>
    <row r="102" spans="1:12" x14ac:dyDescent="0.35">
      <c r="A102">
        <v>2020</v>
      </c>
      <c r="B102">
        <v>153</v>
      </c>
      <c r="C102" t="s">
        <v>127</v>
      </c>
      <c r="D102" s="4">
        <v>617</v>
      </c>
      <c r="E102">
        <v>2932</v>
      </c>
      <c r="F102">
        <v>2094.8000000000002</v>
      </c>
      <c r="G102" s="4"/>
      <c r="J102" s="4"/>
    </row>
    <row r="103" spans="1:12" x14ac:dyDescent="0.35">
      <c r="A103">
        <v>2020</v>
      </c>
      <c r="B103">
        <v>154</v>
      </c>
      <c r="C103" t="s">
        <v>128</v>
      </c>
      <c r="D103" s="4">
        <v>1279</v>
      </c>
      <c r="E103">
        <v>6473</v>
      </c>
      <c r="F103">
        <v>4854</v>
      </c>
      <c r="G103" s="4">
        <v>5</v>
      </c>
      <c r="H103">
        <v>14</v>
      </c>
      <c r="I103">
        <v>10.5</v>
      </c>
      <c r="J103" s="4">
        <v>11</v>
      </c>
      <c r="K103">
        <v>17</v>
      </c>
      <c r="L103">
        <v>12.1</v>
      </c>
    </row>
    <row r="104" spans="1:12" x14ac:dyDescent="0.35">
      <c r="A104">
        <v>2020</v>
      </c>
      <c r="B104">
        <v>155</v>
      </c>
      <c r="C104" t="s">
        <v>129</v>
      </c>
      <c r="D104" s="4">
        <v>754</v>
      </c>
      <c r="E104">
        <v>5324</v>
      </c>
      <c r="F104">
        <v>4058.6</v>
      </c>
      <c r="G104" s="4">
        <v>4</v>
      </c>
      <c r="H104">
        <v>8</v>
      </c>
      <c r="I104">
        <v>4.5</v>
      </c>
      <c r="J104" s="4">
        <v>5</v>
      </c>
      <c r="K104">
        <v>9</v>
      </c>
      <c r="L104">
        <v>5.0999999999999996</v>
      </c>
    </row>
    <row r="105" spans="1:12" x14ac:dyDescent="0.35">
      <c r="A105">
        <v>2020</v>
      </c>
      <c r="B105">
        <v>156</v>
      </c>
      <c r="C105" t="s">
        <v>130</v>
      </c>
      <c r="D105" s="4">
        <v>1150</v>
      </c>
      <c r="E105">
        <v>5849</v>
      </c>
      <c r="F105">
        <v>4447.8999999999996</v>
      </c>
      <c r="G105" s="4">
        <v>8</v>
      </c>
      <c r="H105">
        <v>16</v>
      </c>
      <c r="I105">
        <v>13.4</v>
      </c>
      <c r="J105" s="4">
        <v>8</v>
      </c>
      <c r="K105">
        <v>39</v>
      </c>
      <c r="L105">
        <v>31.7</v>
      </c>
    </row>
    <row r="106" spans="1:12" x14ac:dyDescent="0.35">
      <c r="A106">
        <v>2020</v>
      </c>
      <c r="B106">
        <v>157</v>
      </c>
      <c r="C106" t="s">
        <v>131</v>
      </c>
      <c r="D106" s="4">
        <v>285</v>
      </c>
      <c r="E106">
        <v>2211</v>
      </c>
      <c r="F106">
        <v>1704</v>
      </c>
      <c r="G106" s="4"/>
      <c r="J106" s="4"/>
    </row>
    <row r="107" spans="1:12" x14ac:dyDescent="0.35">
      <c r="A107">
        <v>2020</v>
      </c>
      <c r="B107">
        <v>158</v>
      </c>
      <c r="C107" t="s">
        <v>132</v>
      </c>
      <c r="D107" s="4">
        <v>1042</v>
      </c>
      <c r="E107">
        <v>6287</v>
      </c>
      <c r="F107">
        <v>4888.3</v>
      </c>
      <c r="G107" s="4">
        <v>3</v>
      </c>
      <c r="J107" s="4">
        <v>11</v>
      </c>
      <c r="K107">
        <v>81</v>
      </c>
      <c r="L107">
        <v>76.5</v>
      </c>
    </row>
    <row r="108" spans="1:12" x14ac:dyDescent="0.35">
      <c r="A108">
        <v>2020</v>
      </c>
      <c r="B108">
        <v>159</v>
      </c>
      <c r="C108" t="s">
        <v>133</v>
      </c>
      <c r="D108" s="4">
        <v>390</v>
      </c>
      <c r="E108">
        <v>1537</v>
      </c>
      <c r="F108">
        <v>1102.9000000000001</v>
      </c>
      <c r="G108" s="4"/>
      <c r="H108">
        <v>4</v>
      </c>
      <c r="J108" s="4"/>
    </row>
    <row r="109" spans="1:12" x14ac:dyDescent="0.35">
      <c r="A109">
        <v>2020</v>
      </c>
      <c r="B109">
        <v>160</v>
      </c>
      <c r="C109" t="s">
        <v>134</v>
      </c>
      <c r="D109" s="4">
        <v>372</v>
      </c>
      <c r="E109">
        <v>1851</v>
      </c>
      <c r="F109">
        <v>1343.6</v>
      </c>
      <c r="G109" s="4"/>
      <c r="J109" s="4"/>
      <c r="K109">
        <v>7</v>
      </c>
    </row>
    <row r="110" spans="1:12" x14ac:dyDescent="0.35">
      <c r="A110">
        <v>2020</v>
      </c>
      <c r="B110">
        <v>161</v>
      </c>
      <c r="C110" t="s">
        <v>135</v>
      </c>
      <c r="D110" s="4">
        <v>1136</v>
      </c>
      <c r="E110">
        <v>6071</v>
      </c>
      <c r="F110">
        <v>4368.3999999999996</v>
      </c>
      <c r="G110" s="4">
        <v>7</v>
      </c>
      <c r="H110">
        <v>15</v>
      </c>
      <c r="I110">
        <v>10.199999999999999</v>
      </c>
      <c r="J110" s="4">
        <v>10</v>
      </c>
      <c r="K110">
        <v>30</v>
      </c>
      <c r="L110">
        <v>24.3</v>
      </c>
    </row>
    <row r="111" spans="1:12" x14ac:dyDescent="0.35">
      <c r="A111">
        <v>2020</v>
      </c>
      <c r="B111">
        <v>172</v>
      </c>
      <c r="C111" t="s">
        <v>136</v>
      </c>
      <c r="D111" s="4">
        <v>434</v>
      </c>
      <c r="E111">
        <v>4258</v>
      </c>
      <c r="F111">
        <v>3416.3</v>
      </c>
      <c r="G111" s="4"/>
      <c r="J111" s="4"/>
    </row>
    <row r="112" spans="1:12" x14ac:dyDescent="0.35">
      <c r="A112">
        <v>2020</v>
      </c>
      <c r="B112">
        <v>173</v>
      </c>
      <c r="C112" t="s">
        <v>137</v>
      </c>
      <c r="D112" s="4">
        <v>256</v>
      </c>
      <c r="E112">
        <v>823</v>
      </c>
      <c r="F112">
        <v>604.29999999999995</v>
      </c>
      <c r="G112" s="4"/>
      <c r="J112" s="4"/>
      <c r="K112">
        <v>7</v>
      </c>
      <c r="L112">
        <v>5</v>
      </c>
    </row>
    <row r="113" spans="1:12" x14ac:dyDescent="0.35">
      <c r="A113">
        <v>2020</v>
      </c>
      <c r="B113">
        <v>176</v>
      </c>
      <c r="C113" t="s">
        <v>138</v>
      </c>
      <c r="D113" s="4">
        <v>380</v>
      </c>
      <c r="E113">
        <v>3058</v>
      </c>
      <c r="F113">
        <v>2512.9</v>
      </c>
      <c r="G113" s="4"/>
      <c r="J113" s="4"/>
    </row>
    <row r="114" spans="1:12" x14ac:dyDescent="0.35">
      <c r="A114">
        <v>2020</v>
      </c>
      <c r="B114">
        <v>177</v>
      </c>
      <c r="C114" t="s">
        <v>139</v>
      </c>
      <c r="D114" s="4">
        <v>846</v>
      </c>
      <c r="E114">
        <v>6098</v>
      </c>
      <c r="F114">
        <v>4440.8</v>
      </c>
      <c r="G114" s="4">
        <v>3</v>
      </c>
      <c r="H114">
        <v>7</v>
      </c>
      <c r="I114">
        <v>4.9000000000000004</v>
      </c>
      <c r="J114" s="4">
        <v>4</v>
      </c>
      <c r="K114">
        <v>14</v>
      </c>
      <c r="L114">
        <v>7.9</v>
      </c>
    </row>
    <row r="115" spans="1:12" x14ac:dyDescent="0.35">
      <c r="A115">
        <v>2020</v>
      </c>
      <c r="B115">
        <v>178</v>
      </c>
      <c r="C115" t="s">
        <v>140</v>
      </c>
      <c r="D115" s="4">
        <v>295</v>
      </c>
      <c r="E115">
        <v>1184</v>
      </c>
      <c r="F115">
        <v>890.1</v>
      </c>
      <c r="G115" s="4"/>
      <c r="J115" s="4"/>
    </row>
    <row r="116" spans="1:12" x14ac:dyDescent="0.35">
      <c r="A116">
        <v>2020</v>
      </c>
      <c r="B116">
        <v>180</v>
      </c>
      <c r="C116" t="s">
        <v>141</v>
      </c>
      <c r="D116" s="4">
        <v>223</v>
      </c>
      <c r="E116">
        <v>862</v>
      </c>
      <c r="F116">
        <v>628.70000000000005</v>
      </c>
      <c r="G116" s="4"/>
      <c r="J116" s="4"/>
    </row>
    <row r="117" spans="1:12" x14ac:dyDescent="0.35">
      <c r="A117">
        <v>2020</v>
      </c>
      <c r="B117">
        <v>181</v>
      </c>
      <c r="C117" t="s">
        <v>142</v>
      </c>
      <c r="D117" s="4">
        <v>151</v>
      </c>
      <c r="E117">
        <v>591</v>
      </c>
      <c r="F117">
        <v>439.9</v>
      </c>
      <c r="G117" s="4"/>
      <c r="J117" s="4"/>
      <c r="K117">
        <v>4</v>
      </c>
    </row>
    <row r="118" spans="1:12" x14ac:dyDescent="0.35">
      <c r="A118">
        <v>2020</v>
      </c>
      <c r="B118">
        <v>182</v>
      </c>
      <c r="C118" t="s">
        <v>143</v>
      </c>
      <c r="D118" s="4">
        <v>79</v>
      </c>
      <c r="E118">
        <v>246</v>
      </c>
      <c r="F118">
        <v>164.8</v>
      </c>
      <c r="G118" s="4"/>
      <c r="J118" s="4"/>
    </row>
    <row r="119" spans="1:12" x14ac:dyDescent="0.35">
      <c r="A119">
        <v>2020</v>
      </c>
      <c r="B119">
        <v>191</v>
      </c>
      <c r="C119" t="s">
        <v>144</v>
      </c>
      <c r="D119" s="4">
        <v>1959</v>
      </c>
      <c r="E119">
        <v>19362</v>
      </c>
      <c r="F119">
        <v>15325.1</v>
      </c>
      <c r="G119" s="4">
        <v>14</v>
      </c>
      <c r="H119">
        <v>52</v>
      </c>
      <c r="I119">
        <v>43.1</v>
      </c>
      <c r="J119" s="4">
        <v>7</v>
      </c>
      <c r="K119">
        <v>22</v>
      </c>
      <c r="L119">
        <v>18.8</v>
      </c>
    </row>
    <row r="120" spans="1:12" x14ac:dyDescent="0.35">
      <c r="A120">
        <v>2020</v>
      </c>
      <c r="B120">
        <v>192</v>
      </c>
      <c r="C120" t="s">
        <v>145</v>
      </c>
      <c r="D120" s="4">
        <v>599</v>
      </c>
      <c r="E120">
        <v>2578</v>
      </c>
      <c r="F120">
        <v>1931.3</v>
      </c>
      <c r="G120" s="4"/>
      <c r="J120" s="4"/>
      <c r="K120">
        <v>4</v>
      </c>
    </row>
    <row r="121" spans="1:12" x14ac:dyDescent="0.35">
      <c r="A121">
        <v>2020</v>
      </c>
      <c r="B121">
        <v>193</v>
      </c>
      <c r="C121" t="s">
        <v>146</v>
      </c>
      <c r="D121" s="4">
        <v>497</v>
      </c>
      <c r="E121">
        <v>3013</v>
      </c>
      <c r="F121">
        <v>2371.1999999999998</v>
      </c>
      <c r="G121" s="4"/>
      <c r="J121" s="4"/>
    </row>
    <row r="122" spans="1:12" x14ac:dyDescent="0.35">
      <c r="A122">
        <v>2020</v>
      </c>
      <c r="B122">
        <v>194</v>
      </c>
      <c r="C122" t="s">
        <v>147</v>
      </c>
      <c r="D122" s="4">
        <v>231</v>
      </c>
      <c r="E122">
        <v>1735</v>
      </c>
      <c r="F122">
        <v>1300.9000000000001</v>
      </c>
      <c r="G122" s="4"/>
      <c r="J122" s="4"/>
    </row>
    <row r="123" spans="1:12" x14ac:dyDescent="0.35">
      <c r="A123">
        <v>2020</v>
      </c>
      <c r="B123">
        <v>195</v>
      </c>
      <c r="C123" t="s">
        <v>148</v>
      </c>
      <c r="D123" s="4">
        <v>667</v>
      </c>
      <c r="E123">
        <v>2311</v>
      </c>
      <c r="F123">
        <v>1690.4</v>
      </c>
      <c r="G123" s="4">
        <v>5</v>
      </c>
      <c r="H123">
        <v>5</v>
      </c>
      <c r="J123" s="4"/>
    </row>
    <row r="124" spans="1:12" x14ac:dyDescent="0.35">
      <c r="A124">
        <v>2020</v>
      </c>
      <c r="B124">
        <v>196</v>
      </c>
      <c r="C124" t="s">
        <v>149</v>
      </c>
      <c r="D124" s="4">
        <v>266</v>
      </c>
      <c r="E124">
        <v>1397</v>
      </c>
      <c r="F124">
        <v>1103.7</v>
      </c>
      <c r="G124" s="4"/>
      <c r="J124" s="4"/>
    </row>
    <row r="125" spans="1:12" x14ac:dyDescent="0.35">
      <c r="A125">
        <v>2020</v>
      </c>
      <c r="B125">
        <v>197</v>
      </c>
      <c r="C125" t="s">
        <v>150</v>
      </c>
      <c r="D125" s="4">
        <v>295</v>
      </c>
      <c r="E125">
        <v>2577</v>
      </c>
      <c r="F125">
        <v>2029.1</v>
      </c>
      <c r="G125" s="4"/>
      <c r="H125">
        <v>7</v>
      </c>
      <c r="I125">
        <v>5.7</v>
      </c>
      <c r="J125" s="4"/>
    </row>
    <row r="126" spans="1:12" x14ac:dyDescent="0.35">
      <c r="A126">
        <v>2020</v>
      </c>
      <c r="B126">
        <v>198</v>
      </c>
      <c r="C126" t="s">
        <v>151</v>
      </c>
      <c r="D126" s="4">
        <v>2488</v>
      </c>
      <c r="E126">
        <v>17370</v>
      </c>
      <c r="F126">
        <v>13147.6</v>
      </c>
      <c r="G126" s="4">
        <v>5</v>
      </c>
      <c r="H126">
        <v>6</v>
      </c>
      <c r="I126">
        <v>4.3</v>
      </c>
      <c r="J126" s="4">
        <v>10</v>
      </c>
      <c r="K126">
        <v>33</v>
      </c>
      <c r="L126">
        <v>27.7</v>
      </c>
    </row>
    <row r="127" spans="1:12" x14ac:dyDescent="0.35">
      <c r="A127">
        <v>2020</v>
      </c>
      <c r="B127">
        <v>199</v>
      </c>
      <c r="C127" t="s">
        <v>152</v>
      </c>
      <c r="D127" s="4">
        <v>1281</v>
      </c>
      <c r="E127">
        <v>11592</v>
      </c>
      <c r="F127">
        <v>9254</v>
      </c>
      <c r="G127" s="4"/>
      <c r="H127">
        <v>20</v>
      </c>
      <c r="I127">
        <v>16.8</v>
      </c>
      <c r="J127" s="4">
        <v>4</v>
      </c>
      <c r="K127">
        <v>8</v>
      </c>
      <c r="L127">
        <v>7.4</v>
      </c>
    </row>
    <row r="128" spans="1:12" x14ac:dyDescent="0.35">
      <c r="A128">
        <v>2020</v>
      </c>
      <c r="B128">
        <v>200</v>
      </c>
      <c r="C128" t="s">
        <v>153</v>
      </c>
      <c r="D128" s="4">
        <v>552</v>
      </c>
      <c r="E128">
        <v>5415</v>
      </c>
      <c r="F128">
        <v>4409.8999999999996</v>
      </c>
      <c r="G128" s="4"/>
      <c r="J128" s="4">
        <v>5</v>
      </c>
      <c r="K128">
        <v>8</v>
      </c>
      <c r="L128">
        <v>6.5</v>
      </c>
    </row>
    <row r="129" spans="1:12" x14ac:dyDescent="0.35">
      <c r="A129">
        <v>2020</v>
      </c>
      <c r="B129">
        <v>211</v>
      </c>
      <c r="C129" t="s">
        <v>154</v>
      </c>
      <c r="D129" s="4">
        <v>62</v>
      </c>
      <c r="E129">
        <v>146</v>
      </c>
      <c r="F129">
        <v>89</v>
      </c>
      <c r="G129" s="4"/>
      <c r="J129" s="4"/>
    </row>
    <row r="130" spans="1:12" x14ac:dyDescent="0.35">
      <c r="A130">
        <v>2020</v>
      </c>
      <c r="B130">
        <v>213</v>
      </c>
      <c r="C130" t="s">
        <v>155</v>
      </c>
      <c r="D130" s="4">
        <v>133</v>
      </c>
      <c r="E130">
        <v>381</v>
      </c>
      <c r="F130">
        <v>271.60000000000002</v>
      </c>
      <c r="G130" s="4"/>
      <c r="J130" s="4"/>
    </row>
    <row r="131" spans="1:12" x14ac:dyDescent="0.35">
      <c r="A131">
        <v>2020</v>
      </c>
      <c r="B131">
        <v>214</v>
      </c>
      <c r="C131" t="s">
        <v>156</v>
      </c>
      <c r="D131" s="4">
        <v>91</v>
      </c>
      <c r="E131">
        <v>285</v>
      </c>
      <c r="F131">
        <v>176.6</v>
      </c>
      <c r="G131" s="4"/>
      <c r="J131" s="4"/>
    </row>
    <row r="132" spans="1:12" x14ac:dyDescent="0.35">
      <c r="A132">
        <v>2020</v>
      </c>
      <c r="B132">
        <v>215</v>
      </c>
      <c r="C132" t="s">
        <v>157</v>
      </c>
      <c r="D132" s="4">
        <v>57</v>
      </c>
      <c r="E132">
        <v>170</v>
      </c>
      <c r="F132">
        <v>99.6</v>
      </c>
      <c r="G132" s="4"/>
      <c r="J132" s="4"/>
    </row>
    <row r="133" spans="1:12" x14ac:dyDescent="0.35">
      <c r="A133">
        <v>2020</v>
      </c>
      <c r="B133">
        <v>216</v>
      </c>
      <c r="C133" t="s">
        <v>158</v>
      </c>
      <c r="D133" s="4">
        <v>111</v>
      </c>
      <c r="E133">
        <v>432</v>
      </c>
      <c r="F133">
        <v>309.8</v>
      </c>
      <c r="G133" s="4"/>
      <c r="J133" s="4"/>
    </row>
    <row r="134" spans="1:12" x14ac:dyDescent="0.35">
      <c r="A134">
        <v>2020</v>
      </c>
      <c r="B134">
        <v>218</v>
      </c>
      <c r="C134" t="s">
        <v>159</v>
      </c>
      <c r="D134" s="4">
        <v>71</v>
      </c>
      <c r="E134">
        <v>630</v>
      </c>
      <c r="F134">
        <v>491.2</v>
      </c>
      <c r="G134" s="4"/>
      <c r="J134" s="4"/>
    </row>
    <row r="135" spans="1:12" x14ac:dyDescent="0.35">
      <c r="A135">
        <v>2020</v>
      </c>
      <c r="B135">
        <v>219</v>
      </c>
      <c r="C135" t="s">
        <v>160</v>
      </c>
      <c r="D135" s="4">
        <v>236</v>
      </c>
      <c r="E135">
        <v>1105</v>
      </c>
      <c r="F135">
        <v>832.6</v>
      </c>
      <c r="G135" s="4"/>
      <c r="J135" s="4"/>
    </row>
    <row r="136" spans="1:12" x14ac:dyDescent="0.35">
      <c r="A136">
        <v>2020</v>
      </c>
      <c r="B136">
        <v>220</v>
      </c>
      <c r="C136" t="s">
        <v>161</v>
      </c>
      <c r="D136" s="4">
        <v>73</v>
      </c>
      <c r="E136">
        <v>174</v>
      </c>
      <c r="F136">
        <v>129.69999999999999</v>
      </c>
      <c r="G136" s="4"/>
      <c r="J136" s="4"/>
    </row>
    <row r="137" spans="1:12" x14ac:dyDescent="0.35">
      <c r="A137">
        <v>2020</v>
      </c>
      <c r="B137">
        <v>221</v>
      </c>
      <c r="C137" t="s">
        <v>162</v>
      </c>
      <c r="D137" s="4">
        <v>180</v>
      </c>
      <c r="E137">
        <v>844</v>
      </c>
      <c r="F137">
        <v>637.6</v>
      </c>
      <c r="G137" s="4">
        <v>3</v>
      </c>
      <c r="H137">
        <v>6</v>
      </c>
      <c r="I137">
        <v>4.5999999999999996</v>
      </c>
      <c r="J137" s="4"/>
    </row>
    <row r="138" spans="1:12" x14ac:dyDescent="0.35">
      <c r="A138">
        <v>2020</v>
      </c>
      <c r="B138">
        <v>223</v>
      </c>
      <c r="C138" t="s">
        <v>163</v>
      </c>
      <c r="D138" s="4">
        <v>361</v>
      </c>
      <c r="E138">
        <v>1658</v>
      </c>
      <c r="F138">
        <v>1255.5</v>
      </c>
      <c r="G138" s="4"/>
      <c r="J138" s="4"/>
      <c r="K138">
        <v>25</v>
      </c>
      <c r="L138">
        <v>17.899999999999999</v>
      </c>
    </row>
    <row r="139" spans="1:12" x14ac:dyDescent="0.35">
      <c r="A139">
        <v>2020</v>
      </c>
      <c r="B139">
        <v>224</v>
      </c>
      <c r="C139" t="s">
        <v>164</v>
      </c>
      <c r="D139" s="4">
        <v>212</v>
      </c>
      <c r="E139">
        <v>1435</v>
      </c>
      <c r="F139">
        <v>1159.3</v>
      </c>
      <c r="G139" s="4"/>
      <c r="J139" s="4"/>
      <c r="K139">
        <v>5</v>
      </c>
    </row>
    <row r="140" spans="1:12" x14ac:dyDescent="0.35">
      <c r="A140">
        <v>2020</v>
      </c>
      <c r="B140">
        <v>225</v>
      </c>
      <c r="C140" t="s">
        <v>165</v>
      </c>
      <c r="D140" s="4">
        <v>169</v>
      </c>
      <c r="E140">
        <v>551</v>
      </c>
      <c r="F140">
        <v>361.6</v>
      </c>
      <c r="G140" s="4"/>
      <c r="J140" s="4"/>
    </row>
    <row r="141" spans="1:12" x14ac:dyDescent="0.35">
      <c r="A141">
        <v>2020</v>
      </c>
      <c r="B141">
        <v>226</v>
      </c>
      <c r="C141" t="s">
        <v>166</v>
      </c>
      <c r="D141" s="4">
        <v>54</v>
      </c>
      <c r="E141">
        <v>143</v>
      </c>
      <c r="F141">
        <v>104.8</v>
      </c>
      <c r="G141" s="4"/>
      <c r="J141" s="4"/>
    </row>
    <row r="142" spans="1:12" x14ac:dyDescent="0.35">
      <c r="A142">
        <v>2020</v>
      </c>
      <c r="B142">
        <v>227</v>
      </c>
      <c r="C142" t="s">
        <v>167</v>
      </c>
      <c r="D142" s="4">
        <v>421</v>
      </c>
      <c r="E142">
        <v>2681</v>
      </c>
      <c r="F142">
        <v>2084.1</v>
      </c>
      <c r="G142" s="4">
        <v>3</v>
      </c>
      <c r="J142" s="4"/>
    </row>
    <row r="143" spans="1:12" x14ac:dyDescent="0.35">
      <c r="A143">
        <v>2020</v>
      </c>
      <c r="B143">
        <v>228</v>
      </c>
      <c r="C143" t="s">
        <v>168</v>
      </c>
      <c r="D143" s="4">
        <v>335</v>
      </c>
      <c r="E143">
        <v>1626</v>
      </c>
      <c r="F143">
        <v>1138.5999999999999</v>
      </c>
      <c r="G143" s="4"/>
      <c r="J143" s="4"/>
    </row>
    <row r="144" spans="1:12" x14ac:dyDescent="0.35">
      <c r="A144">
        <v>2020</v>
      </c>
      <c r="B144">
        <v>230</v>
      </c>
      <c r="C144" t="s">
        <v>169</v>
      </c>
      <c r="D144" s="4">
        <v>8260</v>
      </c>
      <c r="E144">
        <v>74618</v>
      </c>
      <c r="F144">
        <v>56826</v>
      </c>
      <c r="G144" s="4">
        <v>37</v>
      </c>
      <c r="H144">
        <v>139</v>
      </c>
      <c r="I144">
        <v>103</v>
      </c>
      <c r="J144" s="4">
        <v>41</v>
      </c>
      <c r="K144">
        <v>136</v>
      </c>
      <c r="L144">
        <v>107.7</v>
      </c>
    </row>
    <row r="145" spans="1:12" x14ac:dyDescent="0.35">
      <c r="A145">
        <v>2020</v>
      </c>
      <c r="B145">
        <v>231</v>
      </c>
      <c r="C145" t="s">
        <v>170</v>
      </c>
      <c r="D145" s="4">
        <v>339</v>
      </c>
      <c r="E145">
        <v>1448</v>
      </c>
      <c r="F145">
        <v>1059.5</v>
      </c>
      <c r="G145" s="4"/>
      <c r="J145" s="4"/>
      <c r="K145">
        <v>5</v>
      </c>
      <c r="L145">
        <v>4.2</v>
      </c>
    </row>
    <row r="146" spans="1:12" x14ac:dyDescent="0.35">
      <c r="A146">
        <v>2020</v>
      </c>
      <c r="B146">
        <v>241</v>
      </c>
      <c r="C146" t="s">
        <v>171</v>
      </c>
      <c r="D146" s="4">
        <v>101</v>
      </c>
      <c r="E146">
        <v>365</v>
      </c>
      <c r="F146">
        <v>262.7</v>
      </c>
      <c r="G146" s="4"/>
      <c r="J146" s="4"/>
    </row>
    <row r="147" spans="1:12" x14ac:dyDescent="0.35">
      <c r="A147">
        <v>2020</v>
      </c>
      <c r="B147">
        <v>242</v>
      </c>
      <c r="C147" t="s">
        <v>172</v>
      </c>
      <c r="D147" s="4">
        <v>429</v>
      </c>
      <c r="E147">
        <v>2747</v>
      </c>
      <c r="F147">
        <v>2149.1999999999998</v>
      </c>
      <c r="G147" s="4"/>
      <c r="J147" s="4">
        <v>10</v>
      </c>
      <c r="K147">
        <v>19</v>
      </c>
      <c r="L147">
        <v>11.9</v>
      </c>
    </row>
    <row r="148" spans="1:12" x14ac:dyDescent="0.35">
      <c r="A148">
        <v>2020</v>
      </c>
      <c r="B148">
        <v>243</v>
      </c>
      <c r="C148" t="s">
        <v>173</v>
      </c>
      <c r="D148" s="4">
        <v>1788</v>
      </c>
      <c r="E148">
        <v>19238</v>
      </c>
      <c r="F148">
        <v>15426.2</v>
      </c>
      <c r="G148" s="4">
        <v>12</v>
      </c>
      <c r="H148">
        <v>46</v>
      </c>
      <c r="I148">
        <v>34.1</v>
      </c>
      <c r="J148" s="4">
        <v>20</v>
      </c>
      <c r="K148">
        <v>52</v>
      </c>
      <c r="L148">
        <v>40.4</v>
      </c>
    </row>
    <row r="149" spans="1:12" x14ac:dyDescent="0.35">
      <c r="A149">
        <v>2020</v>
      </c>
      <c r="B149">
        <v>244</v>
      </c>
      <c r="C149" t="s">
        <v>174</v>
      </c>
      <c r="D149" s="4">
        <v>325</v>
      </c>
      <c r="E149">
        <v>2238</v>
      </c>
      <c r="F149">
        <v>1734.3</v>
      </c>
      <c r="G149" s="4">
        <v>3</v>
      </c>
      <c r="H149">
        <v>5</v>
      </c>
      <c r="J149" s="4"/>
    </row>
    <row r="150" spans="1:12" x14ac:dyDescent="0.35">
      <c r="A150">
        <v>2020</v>
      </c>
      <c r="B150">
        <v>245</v>
      </c>
      <c r="C150" t="s">
        <v>175</v>
      </c>
      <c r="D150" s="4">
        <v>321</v>
      </c>
      <c r="E150">
        <v>1300</v>
      </c>
      <c r="F150">
        <v>958.7</v>
      </c>
      <c r="G150" s="4"/>
      <c r="J150" s="4"/>
    </row>
    <row r="151" spans="1:12" x14ac:dyDescent="0.35">
      <c r="A151">
        <v>2020</v>
      </c>
      <c r="B151">
        <v>246</v>
      </c>
      <c r="C151" t="s">
        <v>176</v>
      </c>
      <c r="D151" s="4">
        <v>114</v>
      </c>
      <c r="E151">
        <v>256</v>
      </c>
      <c r="F151">
        <v>170.1</v>
      </c>
      <c r="G151" s="4"/>
      <c r="J151" s="4"/>
    </row>
    <row r="152" spans="1:12" x14ac:dyDescent="0.35">
      <c r="A152">
        <v>2020</v>
      </c>
      <c r="B152">
        <v>247</v>
      </c>
      <c r="C152" t="s">
        <v>177</v>
      </c>
      <c r="D152" s="4">
        <v>1433</v>
      </c>
      <c r="E152">
        <v>19745</v>
      </c>
      <c r="F152">
        <v>15844.8</v>
      </c>
      <c r="G152" s="4">
        <v>18</v>
      </c>
      <c r="H152">
        <v>179</v>
      </c>
      <c r="I152">
        <v>153.19999999999999</v>
      </c>
      <c r="J152" s="4">
        <v>15</v>
      </c>
      <c r="K152">
        <v>35</v>
      </c>
      <c r="L152">
        <v>29.3</v>
      </c>
    </row>
    <row r="153" spans="1:12" x14ac:dyDescent="0.35">
      <c r="A153">
        <v>2020</v>
      </c>
      <c r="B153">
        <v>248</v>
      </c>
      <c r="C153" t="s">
        <v>178</v>
      </c>
      <c r="D153" s="4">
        <v>289</v>
      </c>
      <c r="E153">
        <v>1082</v>
      </c>
      <c r="F153">
        <v>780.8</v>
      </c>
      <c r="G153" s="4"/>
      <c r="J153" s="4"/>
    </row>
    <row r="154" spans="1:12" x14ac:dyDescent="0.35">
      <c r="A154">
        <v>2020</v>
      </c>
      <c r="B154">
        <v>249</v>
      </c>
      <c r="C154" t="s">
        <v>179</v>
      </c>
      <c r="D154" s="4">
        <v>268</v>
      </c>
      <c r="E154">
        <v>1025</v>
      </c>
      <c r="F154">
        <v>772.3</v>
      </c>
      <c r="G154" s="4"/>
      <c r="H154">
        <v>4</v>
      </c>
      <c r="J154" s="4">
        <v>4</v>
      </c>
      <c r="K154">
        <v>17</v>
      </c>
      <c r="L154">
        <v>10.1</v>
      </c>
    </row>
    <row r="155" spans="1:12" x14ac:dyDescent="0.35">
      <c r="A155">
        <v>2020</v>
      </c>
      <c r="B155">
        <v>250</v>
      </c>
      <c r="C155" t="s">
        <v>180</v>
      </c>
      <c r="D155" s="4">
        <v>671</v>
      </c>
      <c r="E155">
        <v>8755</v>
      </c>
      <c r="F155">
        <v>5913.4</v>
      </c>
      <c r="G155" s="4"/>
      <c r="J155" s="4">
        <v>3</v>
      </c>
      <c r="K155">
        <v>4</v>
      </c>
    </row>
    <row r="156" spans="1:12" x14ac:dyDescent="0.35">
      <c r="A156">
        <v>2020</v>
      </c>
      <c r="B156">
        <v>251</v>
      </c>
      <c r="C156" t="s">
        <v>181</v>
      </c>
      <c r="D156" s="4">
        <v>261</v>
      </c>
      <c r="E156">
        <v>2152</v>
      </c>
      <c r="F156">
        <v>1489.8</v>
      </c>
      <c r="G156" s="4"/>
      <c r="J156" s="4">
        <v>5</v>
      </c>
      <c r="K156">
        <v>6</v>
      </c>
      <c r="L156">
        <v>5.4</v>
      </c>
    </row>
    <row r="157" spans="1:12" x14ac:dyDescent="0.35">
      <c r="A157">
        <v>2020</v>
      </c>
      <c r="B157">
        <v>261</v>
      </c>
      <c r="C157" t="s">
        <v>182</v>
      </c>
      <c r="D157" s="4">
        <v>45753</v>
      </c>
      <c r="E157">
        <v>495223</v>
      </c>
      <c r="F157">
        <v>384090.9</v>
      </c>
      <c r="G157" s="4">
        <v>252</v>
      </c>
      <c r="H157">
        <v>917</v>
      </c>
      <c r="I157">
        <v>728.9</v>
      </c>
      <c r="J157" s="4">
        <v>262</v>
      </c>
      <c r="K157">
        <v>747</v>
      </c>
      <c r="L157">
        <v>497.9</v>
      </c>
    </row>
    <row r="158" spans="1:12" x14ac:dyDescent="0.35">
      <c r="A158">
        <v>2020</v>
      </c>
      <c r="B158">
        <v>291</v>
      </c>
      <c r="C158" t="s">
        <v>183</v>
      </c>
      <c r="D158" s="4">
        <v>302</v>
      </c>
      <c r="E158">
        <v>1951</v>
      </c>
      <c r="F158">
        <v>1477.4</v>
      </c>
      <c r="G158" s="4"/>
      <c r="J158" s="4"/>
    </row>
    <row r="159" spans="1:12" x14ac:dyDescent="0.35">
      <c r="A159">
        <v>2020</v>
      </c>
      <c r="B159">
        <v>292</v>
      </c>
      <c r="C159" t="s">
        <v>184</v>
      </c>
      <c r="D159" s="4">
        <v>263</v>
      </c>
      <c r="E159">
        <v>1256</v>
      </c>
      <c r="F159">
        <v>948.2</v>
      </c>
      <c r="G159" s="4"/>
      <c r="J159" s="4"/>
      <c r="K159">
        <v>4</v>
      </c>
    </row>
    <row r="160" spans="1:12" x14ac:dyDescent="0.35">
      <c r="A160">
        <v>2020</v>
      </c>
      <c r="B160">
        <v>293</v>
      </c>
      <c r="C160" t="s">
        <v>185</v>
      </c>
      <c r="D160" s="4">
        <v>1868</v>
      </c>
      <c r="E160">
        <v>9938</v>
      </c>
      <c r="F160">
        <v>7439.8</v>
      </c>
      <c r="G160" s="4">
        <v>15</v>
      </c>
      <c r="H160">
        <v>40</v>
      </c>
      <c r="I160">
        <v>32.200000000000003</v>
      </c>
      <c r="J160" s="4">
        <v>18</v>
      </c>
      <c r="K160">
        <v>46</v>
      </c>
      <c r="L160">
        <v>34.4</v>
      </c>
    </row>
    <row r="161" spans="1:12" x14ac:dyDescent="0.35">
      <c r="A161">
        <v>2020</v>
      </c>
      <c r="B161">
        <v>294</v>
      </c>
      <c r="C161" t="s">
        <v>186</v>
      </c>
      <c r="D161" s="4">
        <v>339</v>
      </c>
      <c r="E161">
        <v>1657</v>
      </c>
      <c r="F161">
        <v>1200.7</v>
      </c>
      <c r="G161" s="4"/>
      <c r="J161" s="4">
        <v>5</v>
      </c>
      <c r="K161">
        <v>5</v>
      </c>
    </row>
    <row r="162" spans="1:12" x14ac:dyDescent="0.35">
      <c r="A162">
        <v>2020</v>
      </c>
      <c r="B162">
        <v>295</v>
      </c>
      <c r="C162" t="s">
        <v>187</v>
      </c>
      <c r="D162" s="4">
        <v>1439</v>
      </c>
      <c r="E162">
        <v>10468</v>
      </c>
      <c r="F162">
        <v>8061.7</v>
      </c>
      <c r="G162" s="4">
        <v>13</v>
      </c>
      <c r="H162">
        <v>28</v>
      </c>
      <c r="I162">
        <v>20.7</v>
      </c>
      <c r="J162" s="4">
        <v>11</v>
      </c>
      <c r="K162">
        <v>20</v>
      </c>
      <c r="L162">
        <v>11.1</v>
      </c>
    </row>
    <row r="163" spans="1:12" x14ac:dyDescent="0.35">
      <c r="A163">
        <v>2020</v>
      </c>
      <c r="B163">
        <v>296</v>
      </c>
      <c r="C163" t="s">
        <v>188</v>
      </c>
      <c r="D163" s="4">
        <v>1070</v>
      </c>
      <c r="E163">
        <v>6941</v>
      </c>
      <c r="F163">
        <v>5130.3</v>
      </c>
      <c r="G163" s="4"/>
      <c r="J163" s="4">
        <v>4</v>
      </c>
      <c r="K163">
        <v>34</v>
      </c>
      <c r="L163">
        <v>28.7</v>
      </c>
    </row>
    <row r="164" spans="1:12" x14ac:dyDescent="0.35">
      <c r="A164">
        <v>2020</v>
      </c>
      <c r="B164">
        <v>297</v>
      </c>
      <c r="C164" t="s">
        <v>189</v>
      </c>
      <c r="D164" s="4">
        <v>385</v>
      </c>
      <c r="E164">
        <v>1985</v>
      </c>
      <c r="F164">
        <v>1448.6</v>
      </c>
      <c r="G164" s="4"/>
      <c r="J164" s="4"/>
    </row>
    <row r="165" spans="1:12" x14ac:dyDescent="0.35">
      <c r="A165">
        <v>2020</v>
      </c>
      <c r="B165">
        <v>298</v>
      </c>
      <c r="C165" t="s">
        <v>190</v>
      </c>
      <c r="D165" s="4">
        <v>387</v>
      </c>
      <c r="E165">
        <v>1610</v>
      </c>
      <c r="F165">
        <v>1124.5999999999999</v>
      </c>
      <c r="G165" s="4"/>
      <c r="H165">
        <v>8</v>
      </c>
      <c r="I165">
        <v>6.3</v>
      </c>
      <c r="J165" s="4"/>
    </row>
  </sheetData>
  <mergeCells count="5">
    <mergeCell ref="A1:R1"/>
    <mergeCell ref="A2:R2"/>
    <mergeCell ref="D4:F4"/>
    <mergeCell ref="G4:I4"/>
    <mergeCell ref="J4:L4"/>
  </mergeCells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165"/>
  <sheetViews>
    <sheetView workbookViewId="0"/>
  </sheetViews>
  <sheetFormatPr baseColWidth="10" defaultRowHeight="14.5" x14ac:dyDescent="0.35"/>
  <cols>
    <col min="1" max="1" width="6.7265625" customWidth="1"/>
    <col min="2" max="2" width="14.7265625" customWidth="1"/>
    <col min="3" max="3" width="20.7265625" customWidth="1"/>
    <col min="4" max="4" width="17.7265625" customWidth="1"/>
    <col min="5" max="5" width="15.7265625" customWidth="1"/>
    <col min="6" max="6" width="22.7265625" customWidth="1"/>
    <col min="7" max="7" width="17.7265625" customWidth="1"/>
    <col min="8" max="8" width="15.7265625" customWidth="1"/>
    <col min="9" max="9" width="22.7265625" customWidth="1"/>
    <col min="10" max="10" width="17.7265625" customWidth="1"/>
    <col min="11" max="11" width="15.7265625" customWidth="1"/>
    <col min="12" max="12" width="22.7265625" customWidth="1"/>
  </cols>
  <sheetData>
    <row r="1" spans="1:18" ht="18" x14ac:dyDescent="0.4">
      <c r="A1" s="10" t="s">
        <v>195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x14ac:dyDescent="0.35">
      <c r="A2" s="8" t="s">
        <v>10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4" spans="1:18" x14ac:dyDescent="0.35">
      <c r="D4" s="11" t="s">
        <v>22</v>
      </c>
      <c r="E4" s="12"/>
      <c r="F4" s="12"/>
      <c r="G4" s="11" t="s">
        <v>23</v>
      </c>
      <c r="H4" s="12"/>
      <c r="I4" s="12"/>
      <c r="J4" s="11" t="s">
        <v>24</v>
      </c>
      <c r="K4" s="12"/>
      <c r="L4" s="12"/>
    </row>
    <row r="5" spans="1:18" ht="15.5" x14ac:dyDescent="0.35">
      <c r="A5" s="3" t="s">
        <v>25</v>
      </c>
      <c r="B5" s="3" t="s">
        <v>26</v>
      </c>
      <c r="C5" s="3" t="s">
        <v>27</v>
      </c>
      <c r="D5" s="5" t="s">
        <v>28</v>
      </c>
      <c r="E5" s="3" t="s">
        <v>29</v>
      </c>
      <c r="F5" s="3" t="s">
        <v>30</v>
      </c>
      <c r="G5" s="5" t="s">
        <v>28</v>
      </c>
      <c r="H5" s="3" t="s">
        <v>29</v>
      </c>
      <c r="I5" s="3" t="s">
        <v>30</v>
      </c>
      <c r="J5" s="5" t="s">
        <v>28</v>
      </c>
      <c r="K5" s="3" t="s">
        <v>29</v>
      </c>
      <c r="L5" s="3" t="s">
        <v>30</v>
      </c>
    </row>
    <row r="6" spans="1:18" x14ac:dyDescent="0.35">
      <c r="A6">
        <v>2019</v>
      </c>
      <c r="B6">
        <v>1</v>
      </c>
      <c r="C6" t="s">
        <v>31</v>
      </c>
      <c r="D6" s="4">
        <v>142</v>
      </c>
      <c r="E6">
        <v>484</v>
      </c>
      <c r="F6">
        <v>310</v>
      </c>
      <c r="G6" s="4"/>
      <c r="J6" s="4"/>
    </row>
    <row r="7" spans="1:18" x14ac:dyDescent="0.35">
      <c r="A7">
        <v>2019</v>
      </c>
      <c r="B7">
        <v>2</v>
      </c>
      <c r="C7" t="s">
        <v>32</v>
      </c>
      <c r="D7" s="4">
        <v>1021</v>
      </c>
      <c r="E7">
        <v>6994</v>
      </c>
      <c r="F7">
        <v>5224.3</v>
      </c>
      <c r="G7" s="4">
        <v>5</v>
      </c>
      <c r="H7">
        <v>12</v>
      </c>
      <c r="I7">
        <v>9.8000000000000007</v>
      </c>
      <c r="J7" s="4">
        <v>7</v>
      </c>
      <c r="K7">
        <v>14</v>
      </c>
      <c r="L7">
        <v>11.3</v>
      </c>
    </row>
    <row r="8" spans="1:18" x14ac:dyDescent="0.35">
      <c r="A8">
        <v>2019</v>
      </c>
      <c r="B8">
        <v>3</v>
      </c>
      <c r="C8" t="s">
        <v>33</v>
      </c>
      <c r="D8" s="4">
        <v>276</v>
      </c>
      <c r="E8">
        <v>1028</v>
      </c>
      <c r="F8">
        <v>693.5</v>
      </c>
      <c r="G8" s="4"/>
      <c r="J8" s="4"/>
    </row>
    <row r="9" spans="1:18" x14ac:dyDescent="0.35">
      <c r="A9">
        <v>2019</v>
      </c>
      <c r="B9">
        <v>4</v>
      </c>
      <c r="C9" t="s">
        <v>34</v>
      </c>
      <c r="D9" s="4">
        <v>275</v>
      </c>
      <c r="E9">
        <v>1034</v>
      </c>
      <c r="F9">
        <v>733.5</v>
      </c>
      <c r="G9" s="4"/>
      <c r="J9" s="4">
        <v>4</v>
      </c>
      <c r="K9">
        <v>5</v>
      </c>
    </row>
    <row r="10" spans="1:18" x14ac:dyDescent="0.35">
      <c r="A10">
        <v>2019</v>
      </c>
      <c r="B10">
        <v>5</v>
      </c>
      <c r="C10" t="s">
        <v>35</v>
      </c>
      <c r="D10" s="4">
        <v>206</v>
      </c>
      <c r="E10">
        <v>1478</v>
      </c>
      <c r="F10">
        <v>1188.8</v>
      </c>
      <c r="G10" s="4"/>
      <c r="J10" s="4"/>
    </row>
    <row r="11" spans="1:18" x14ac:dyDescent="0.35">
      <c r="A11">
        <v>2019</v>
      </c>
      <c r="B11">
        <v>6</v>
      </c>
      <c r="C11" t="s">
        <v>36</v>
      </c>
      <c r="D11" s="4">
        <v>104</v>
      </c>
      <c r="E11">
        <v>323</v>
      </c>
      <c r="F11">
        <v>223.5</v>
      </c>
      <c r="G11" s="4"/>
      <c r="J11" s="4"/>
    </row>
    <row r="12" spans="1:18" x14ac:dyDescent="0.35">
      <c r="A12">
        <v>2019</v>
      </c>
      <c r="B12">
        <v>7</v>
      </c>
      <c r="C12" t="s">
        <v>37</v>
      </c>
      <c r="D12" s="4">
        <v>129</v>
      </c>
      <c r="E12">
        <v>545</v>
      </c>
      <c r="F12">
        <v>381.7</v>
      </c>
      <c r="G12" s="4"/>
      <c r="J12" s="4"/>
    </row>
    <row r="13" spans="1:18" x14ac:dyDescent="0.35">
      <c r="A13">
        <v>2019</v>
      </c>
      <c r="B13">
        <v>8</v>
      </c>
      <c r="C13" t="s">
        <v>38</v>
      </c>
      <c r="D13" s="4">
        <v>65</v>
      </c>
      <c r="E13">
        <v>181</v>
      </c>
      <c r="F13">
        <v>114.4</v>
      </c>
      <c r="G13" s="4"/>
      <c r="J13" s="4"/>
      <c r="K13">
        <v>4</v>
      </c>
    </row>
    <row r="14" spans="1:18" x14ac:dyDescent="0.35">
      <c r="A14">
        <v>2019</v>
      </c>
      <c r="B14">
        <v>9</v>
      </c>
      <c r="C14" t="s">
        <v>39</v>
      </c>
      <c r="D14" s="4">
        <v>327</v>
      </c>
      <c r="E14">
        <v>1673</v>
      </c>
      <c r="F14">
        <v>1221.2</v>
      </c>
      <c r="G14" s="4"/>
      <c r="H14">
        <v>4</v>
      </c>
      <c r="J14" s="4">
        <v>3</v>
      </c>
    </row>
    <row r="15" spans="1:18" x14ac:dyDescent="0.35">
      <c r="A15">
        <v>2019</v>
      </c>
      <c r="B15">
        <v>10</v>
      </c>
      <c r="C15" t="s">
        <v>40</v>
      </c>
      <c r="D15" s="4">
        <v>320</v>
      </c>
      <c r="E15">
        <v>1334</v>
      </c>
      <c r="F15">
        <v>926</v>
      </c>
      <c r="G15" s="4"/>
      <c r="H15">
        <v>4</v>
      </c>
      <c r="J15" s="4"/>
      <c r="K15">
        <v>13</v>
      </c>
      <c r="L15">
        <v>12.8</v>
      </c>
    </row>
    <row r="16" spans="1:18" x14ac:dyDescent="0.35">
      <c r="A16">
        <v>2019</v>
      </c>
      <c r="B16">
        <v>11</v>
      </c>
      <c r="C16" t="s">
        <v>41</v>
      </c>
      <c r="D16" s="4">
        <v>180</v>
      </c>
      <c r="E16">
        <v>687</v>
      </c>
      <c r="F16">
        <v>476.5</v>
      </c>
      <c r="G16" s="4"/>
      <c r="J16" s="4"/>
    </row>
    <row r="17" spans="1:12" x14ac:dyDescent="0.35">
      <c r="A17">
        <v>2019</v>
      </c>
      <c r="B17">
        <v>12</v>
      </c>
      <c r="C17" t="s">
        <v>42</v>
      </c>
      <c r="D17" s="4">
        <v>89</v>
      </c>
      <c r="E17">
        <v>258</v>
      </c>
      <c r="F17">
        <v>178.5</v>
      </c>
      <c r="G17" s="4">
        <v>3</v>
      </c>
      <c r="J17" s="4"/>
    </row>
    <row r="18" spans="1:12" x14ac:dyDescent="0.35">
      <c r="A18">
        <v>2019</v>
      </c>
      <c r="B18">
        <v>13</v>
      </c>
      <c r="C18" t="s">
        <v>43</v>
      </c>
      <c r="D18" s="4">
        <v>198</v>
      </c>
      <c r="E18">
        <v>826</v>
      </c>
      <c r="F18">
        <v>573.9</v>
      </c>
      <c r="G18" s="4"/>
      <c r="J18" s="4"/>
      <c r="K18">
        <v>8</v>
      </c>
      <c r="L18">
        <v>6.4</v>
      </c>
    </row>
    <row r="19" spans="1:12" x14ac:dyDescent="0.35">
      <c r="A19">
        <v>2019</v>
      </c>
      <c r="B19">
        <v>14</v>
      </c>
      <c r="C19" t="s">
        <v>44</v>
      </c>
      <c r="D19" s="4">
        <v>289</v>
      </c>
      <c r="E19">
        <v>1322</v>
      </c>
      <c r="F19">
        <v>1019.9</v>
      </c>
      <c r="G19" s="4"/>
      <c r="J19" s="4"/>
      <c r="K19">
        <v>7</v>
      </c>
      <c r="L19">
        <v>5.2</v>
      </c>
    </row>
    <row r="20" spans="1:12" x14ac:dyDescent="0.35">
      <c r="A20">
        <v>2019</v>
      </c>
      <c r="B20">
        <v>22</v>
      </c>
      <c r="C20" t="s">
        <v>45</v>
      </c>
      <c r="D20" s="4">
        <v>66</v>
      </c>
      <c r="E20">
        <v>243</v>
      </c>
      <c r="F20">
        <v>170.5</v>
      </c>
      <c r="G20" s="4"/>
      <c r="J20" s="4"/>
    </row>
    <row r="21" spans="1:12" x14ac:dyDescent="0.35">
      <c r="A21">
        <v>2019</v>
      </c>
      <c r="B21">
        <v>23</v>
      </c>
      <c r="C21" t="s">
        <v>46</v>
      </c>
      <c r="D21" s="4">
        <v>49</v>
      </c>
      <c r="E21">
        <v>142</v>
      </c>
      <c r="F21">
        <v>93.1</v>
      </c>
      <c r="G21" s="4"/>
      <c r="J21" s="4"/>
    </row>
    <row r="22" spans="1:12" x14ac:dyDescent="0.35">
      <c r="A22">
        <v>2019</v>
      </c>
      <c r="B22">
        <v>24</v>
      </c>
      <c r="C22" t="s">
        <v>47</v>
      </c>
      <c r="D22" s="4">
        <v>79</v>
      </c>
      <c r="E22">
        <v>209</v>
      </c>
      <c r="F22">
        <v>141</v>
      </c>
      <c r="G22" s="4"/>
      <c r="J22" s="4"/>
    </row>
    <row r="23" spans="1:12" x14ac:dyDescent="0.35">
      <c r="A23">
        <v>2019</v>
      </c>
      <c r="B23">
        <v>25</v>
      </c>
      <c r="C23" t="s">
        <v>48</v>
      </c>
      <c r="D23" s="4">
        <v>105</v>
      </c>
      <c r="E23">
        <v>372</v>
      </c>
      <c r="F23">
        <v>253.4</v>
      </c>
      <c r="G23" s="4"/>
      <c r="J23" s="4"/>
    </row>
    <row r="24" spans="1:12" x14ac:dyDescent="0.35">
      <c r="A24">
        <v>2019</v>
      </c>
      <c r="B24">
        <v>26</v>
      </c>
      <c r="C24" t="s">
        <v>49</v>
      </c>
      <c r="D24" s="4">
        <v>50</v>
      </c>
      <c r="E24">
        <v>145</v>
      </c>
      <c r="F24">
        <v>84.7</v>
      </c>
      <c r="G24" s="4"/>
      <c r="J24" s="4"/>
    </row>
    <row r="25" spans="1:12" x14ac:dyDescent="0.35">
      <c r="A25">
        <v>2019</v>
      </c>
      <c r="B25">
        <v>27</v>
      </c>
      <c r="C25" t="s">
        <v>50</v>
      </c>
      <c r="D25" s="4">
        <v>193</v>
      </c>
      <c r="E25">
        <v>1208</v>
      </c>
      <c r="F25">
        <v>881.6</v>
      </c>
      <c r="G25" s="4"/>
      <c r="J25" s="4">
        <v>4</v>
      </c>
      <c r="K25">
        <v>32</v>
      </c>
      <c r="L25">
        <v>27.6</v>
      </c>
    </row>
    <row r="26" spans="1:12" x14ac:dyDescent="0.35">
      <c r="A26">
        <v>2019</v>
      </c>
      <c r="B26">
        <v>28</v>
      </c>
      <c r="C26" t="s">
        <v>51</v>
      </c>
      <c r="D26" s="4">
        <v>139</v>
      </c>
      <c r="E26">
        <v>771</v>
      </c>
      <c r="F26">
        <v>508.7</v>
      </c>
      <c r="G26" s="4"/>
      <c r="J26" s="4"/>
    </row>
    <row r="27" spans="1:12" x14ac:dyDescent="0.35">
      <c r="A27">
        <v>2019</v>
      </c>
      <c r="B27">
        <v>29</v>
      </c>
      <c r="C27" t="s">
        <v>52</v>
      </c>
      <c r="D27" s="4">
        <v>109</v>
      </c>
      <c r="E27">
        <v>450</v>
      </c>
      <c r="F27">
        <v>311.39999999999998</v>
      </c>
      <c r="G27" s="4"/>
      <c r="J27" s="4"/>
    </row>
    <row r="28" spans="1:12" x14ac:dyDescent="0.35">
      <c r="A28">
        <v>2019</v>
      </c>
      <c r="B28">
        <v>31</v>
      </c>
      <c r="C28" t="s">
        <v>53</v>
      </c>
      <c r="D28" s="4">
        <v>121</v>
      </c>
      <c r="E28">
        <v>719</v>
      </c>
      <c r="F28">
        <v>532.6</v>
      </c>
      <c r="G28" s="4"/>
      <c r="J28" s="4"/>
    </row>
    <row r="29" spans="1:12" x14ac:dyDescent="0.35">
      <c r="A29">
        <v>2019</v>
      </c>
      <c r="B29">
        <v>33</v>
      </c>
      <c r="C29" t="s">
        <v>54</v>
      </c>
      <c r="D29" s="4">
        <v>188</v>
      </c>
      <c r="E29">
        <v>1138</v>
      </c>
      <c r="F29">
        <v>897.4</v>
      </c>
      <c r="G29" s="4"/>
      <c r="J29" s="4"/>
    </row>
    <row r="30" spans="1:12" x14ac:dyDescent="0.35">
      <c r="A30">
        <v>2019</v>
      </c>
      <c r="B30">
        <v>34</v>
      </c>
      <c r="C30" t="s">
        <v>55</v>
      </c>
      <c r="D30" s="4">
        <v>106</v>
      </c>
      <c r="E30">
        <v>569</v>
      </c>
      <c r="F30">
        <v>406.1</v>
      </c>
      <c r="G30" s="4"/>
      <c r="J30" s="4"/>
    </row>
    <row r="31" spans="1:12" x14ac:dyDescent="0.35">
      <c r="A31">
        <v>2019</v>
      </c>
      <c r="B31">
        <v>35</v>
      </c>
      <c r="C31" t="s">
        <v>56</v>
      </c>
      <c r="D31" s="4">
        <v>212</v>
      </c>
      <c r="E31">
        <v>1148</v>
      </c>
      <c r="F31">
        <v>789.5</v>
      </c>
      <c r="G31" s="4"/>
      <c r="J31" s="4">
        <v>3</v>
      </c>
      <c r="K31">
        <v>8</v>
      </c>
      <c r="L31">
        <v>7.3</v>
      </c>
    </row>
    <row r="32" spans="1:12" x14ac:dyDescent="0.35">
      <c r="A32">
        <v>2019</v>
      </c>
      <c r="B32">
        <v>37</v>
      </c>
      <c r="C32" t="s">
        <v>57</v>
      </c>
      <c r="D32" s="4">
        <v>109</v>
      </c>
      <c r="E32">
        <v>420</v>
      </c>
      <c r="F32">
        <v>305.89999999999998</v>
      </c>
      <c r="G32" s="4"/>
      <c r="J32" s="4"/>
    </row>
    <row r="33" spans="1:12" x14ac:dyDescent="0.35">
      <c r="A33">
        <v>2019</v>
      </c>
      <c r="B33">
        <v>38</v>
      </c>
      <c r="C33" t="s">
        <v>58</v>
      </c>
      <c r="D33" s="4">
        <v>93</v>
      </c>
      <c r="E33">
        <v>721</v>
      </c>
      <c r="F33">
        <v>538.1</v>
      </c>
      <c r="G33" s="4"/>
      <c r="J33" s="4"/>
    </row>
    <row r="34" spans="1:12" x14ac:dyDescent="0.35">
      <c r="A34">
        <v>2019</v>
      </c>
      <c r="B34">
        <v>39</v>
      </c>
      <c r="C34" t="s">
        <v>59</v>
      </c>
      <c r="D34" s="4">
        <v>72</v>
      </c>
      <c r="E34">
        <v>256</v>
      </c>
      <c r="F34">
        <v>183.5</v>
      </c>
      <c r="G34" s="4"/>
      <c r="J34" s="4"/>
    </row>
    <row r="35" spans="1:12" x14ac:dyDescent="0.35">
      <c r="A35">
        <v>2019</v>
      </c>
      <c r="B35">
        <v>40</v>
      </c>
      <c r="C35" t="s">
        <v>60</v>
      </c>
      <c r="D35" s="4">
        <v>96</v>
      </c>
      <c r="E35">
        <v>340</v>
      </c>
      <c r="F35">
        <v>213.4</v>
      </c>
      <c r="G35" s="4"/>
      <c r="J35" s="4"/>
    </row>
    <row r="36" spans="1:12" x14ac:dyDescent="0.35">
      <c r="A36">
        <v>2019</v>
      </c>
      <c r="B36">
        <v>41</v>
      </c>
      <c r="C36" t="s">
        <v>61</v>
      </c>
      <c r="D36" s="4">
        <v>38</v>
      </c>
      <c r="E36">
        <v>116</v>
      </c>
      <c r="F36">
        <v>74</v>
      </c>
      <c r="G36" s="4"/>
      <c r="J36" s="4"/>
    </row>
    <row r="37" spans="1:12" x14ac:dyDescent="0.35">
      <c r="A37">
        <v>2019</v>
      </c>
      <c r="B37">
        <v>43</v>
      </c>
      <c r="C37" t="s">
        <v>62</v>
      </c>
      <c r="D37" s="4">
        <v>31</v>
      </c>
      <c r="E37">
        <v>100</v>
      </c>
      <c r="F37">
        <v>53.6</v>
      </c>
      <c r="G37" s="4"/>
      <c r="J37" s="4"/>
    </row>
    <row r="38" spans="1:12" x14ac:dyDescent="0.35">
      <c r="A38">
        <v>2019</v>
      </c>
      <c r="B38">
        <v>51</v>
      </c>
      <c r="C38" t="s">
        <v>63</v>
      </c>
      <c r="D38" s="4">
        <v>263</v>
      </c>
      <c r="E38">
        <v>1846</v>
      </c>
      <c r="F38">
        <v>1494.7</v>
      </c>
      <c r="G38" s="4"/>
      <c r="J38" s="4"/>
      <c r="K38">
        <v>6</v>
      </c>
    </row>
    <row r="39" spans="1:12" x14ac:dyDescent="0.35">
      <c r="A39">
        <v>2019</v>
      </c>
      <c r="B39">
        <v>52</v>
      </c>
      <c r="C39" t="s">
        <v>64</v>
      </c>
      <c r="D39" s="4">
        <v>656</v>
      </c>
      <c r="E39">
        <v>4626</v>
      </c>
      <c r="F39">
        <v>3696.3</v>
      </c>
      <c r="G39" s="4"/>
      <c r="J39" s="4">
        <v>3</v>
      </c>
      <c r="K39">
        <v>12</v>
      </c>
      <c r="L39">
        <v>9.5</v>
      </c>
    </row>
    <row r="40" spans="1:12" x14ac:dyDescent="0.35">
      <c r="A40">
        <v>2019</v>
      </c>
      <c r="B40">
        <v>53</v>
      </c>
      <c r="C40" t="s">
        <v>65</v>
      </c>
      <c r="D40" s="4">
        <v>1292</v>
      </c>
      <c r="E40">
        <v>10938</v>
      </c>
      <c r="F40">
        <v>8101.2</v>
      </c>
      <c r="G40" s="4"/>
      <c r="J40" s="4">
        <v>3</v>
      </c>
    </row>
    <row r="41" spans="1:12" x14ac:dyDescent="0.35">
      <c r="A41">
        <v>2019</v>
      </c>
      <c r="B41">
        <v>54</v>
      </c>
      <c r="C41" t="s">
        <v>66</v>
      </c>
      <c r="D41" s="4">
        <v>580</v>
      </c>
      <c r="E41">
        <v>6027</v>
      </c>
      <c r="F41">
        <v>4887.5</v>
      </c>
      <c r="G41" s="4"/>
      <c r="J41" s="4">
        <v>4</v>
      </c>
      <c r="K41">
        <v>28</v>
      </c>
      <c r="L41">
        <v>23.3</v>
      </c>
    </row>
    <row r="42" spans="1:12" x14ac:dyDescent="0.35">
      <c r="A42">
        <v>2019</v>
      </c>
      <c r="B42">
        <v>55</v>
      </c>
      <c r="C42" t="s">
        <v>67</v>
      </c>
      <c r="D42" s="4">
        <v>324</v>
      </c>
      <c r="E42">
        <v>1432</v>
      </c>
      <c r="F42">
        <v>1024.4000000000001</v>
      </c>
      <c r="G42" s="4"/>
      <c r="J42" s="4"/>
    </row>
    <row r="43" spans="1:12" x14ac:dyDescent="0.35">
      <c r="A43">
        <v>2019</v>
      </c>
      <c r="B43">
        <v>56</v>
      </c>
      <c r="C43" t="s">
        <v>68</v>
      </c>
      <c r="D43" s="4">
        <v>516</v>
      </c>
      <c r="E43">
        <v>3737</v>
      </c>
      <c r="F43">
        <v>2940.2</v>
      </c>
      <c r="G43" s="4"/>
      <c r="H43">
        <v>4</v>
      </c>
      <c r="J43" s="4"/>
    </row>
    <row r="44" spans="1:12" x14ac:dyDescent="0.35">
      <c r="A44">
        <v>2019</v>
      </c>
      <c r="B44">
        <v>57</v>
      </c>
      <c r="C44" t="s">
        <v>69</v>
      </c>
      <c r="D44" s="4">
        <v>168</v>
      </c>
      <c r="E44">
        <v>744</v>
      </c>
      <c r="F44">
        <v>534.9</v>
      </c>
      <c r="G44" s="4"/>
      <c r="J44" s="4"/>
    </row>
    <row r="45" spans="1:12" x14ac:dyDescent="0.35">
      <c r="A45">
        <v>2019</v>
      </c>
      <c r="B45">
        <v>58</v>
      </c>
      <c r="C45" t="s">
        <v>70</v>
      </c>
      <c r="D45" s="4">
        <v>236</v>
      </c>
      <c r="E45">
        <v>1104</v>
      </c>
      <c r="F45">
        <v>816.3</v>
      </c>
      <c r="G45" s="4"/>
      <c r="J45" s="4"/>
    </row>
    <row r="46" spans="1:12" x14ac:dyDescent="0.35">
      <c r="A46">
        <v>2019</v>
      </c>
      <c r="B46">
        <v>59</v>
      </c>
      <c r="C46" t="s">
        <v>71</v>
      </c>
      <c r="D46" s="4">
        <v>83</v>
      </c>
      <c r="E46">
        <v>414</v>
      </c>
      <c r="F46">
        <v>341.9</v>
      </c>
      <c r="G46" s="4"/>
      <c r="J46" s="4"/>
    </row>
    <row r="47" spans="1:12" x14ac:dyDescent="0.35">
      <c r="A47">
        <v>2019</v>
      </c>
      <c r="B47">
        <v>60</v>
      </c>
      <c r="C47" t="s">
        <v>72</v>
      </c>
      <c r="D47" s="4">
        <v>227</v>
      </c>
      <c r="E47">
        <v>1291</v>
      </c>
      <c r="F47">
        <v>1060.5999999999999</v>
      </c>
      <c r="G47" s="4"/>
      <c r="J47" s="4"/>
    </row>
    <row r="48" spans="1:12" x14ac:dyDescent="0.35">
      <c r="A48">
        <v>2019</v>
      </c>
      <c r="B48">
        <v>61</v>
      </c>
      <c r="C48" t="s">
        <v>73</v>
      </c>
      <c r="D48" s="4">
        <v>91</v>
      </c>
      <c r="E48">
        <v>342</v>
      </c>
      <c r="F48">
        <v>247.2</v>
      </c>
      <c r="G48" s="4"/>
      <c r="J48" s="4"/>
    </row>
    <row r="49" spans="1:12" x14ac:dyDescent="0.35">
      <c r="A49">
        <v>2019</v>
      </c>
      <c r="B49">
        <v>62</v>
      </c>
      <c r="C49" t="s">
        <v>74</v>
      </c>
      <c r="D49" s="4">
        <v>1515</v>
      </c>
      <c r="E49">
        <v>38396</v>
      </c>
      <c r="F49">
        <v>31250.7</v>
      </c>
      <c r="G49" s="4">
        <v>5</v>
      </c>
      <c r="H49">
        <v>21</v>
      </c>
      <c r="I49">
        <v>17.100000000000001</v>
      </c>
      <c r="J49" s="4">
        <v>8</v>
      </c>
      <c r="K49">
        <v>139</v>
      </c>
      <c r="L49">
        <v>129</v>
      </c>
    </row>
    <row r="50" spans="1:12" x14ac:dyDescent="0.35">
      <c r="A50">
        <v>2019</v>
      </c>
      <c r="B50">
        <v>63</v>
      </c>
      <c r="C50" t="s">
        <v>75</v>
      </c>
      <c r="D50" s="4">
        <v>121</v>
      </c>
      <c r="E50">
        <v>433</v>
      </c>
      <c r="F50">
        <v>304.89999999999998</v>
      </c>
      <c r="G50" s="4"/>
      <c r="J50" s="4"/>
    </row>
    <row r="51" spans="1:12" x14ac:dyDescent="0.35">
      <c r="A51">
        <v>2019</v>
      </c>
      <c r="B51">
        <v>64</v>
      </c>
      <c r="C51" t="s">
        <v>76</v>
      </c>
      <c r="D51" s="4">
        <v>308</v>
      </c>
      <c r="E51">
        <v>1038</v>
      </c>
      <c r="F51">
        <v>760.2</v>
      </c>
      <c r="G51" s="4"/>
      <c r="J51" s="4"/>
    </row>
    <row r="52" spans="1:12" x14ac:dyDescent="0.35">
      <c r="A52">
        <v>2019</v>
      </c>
      <c r="B52">
        <v>65</v>
      </c>
      <c r="C52" t="s">
        <v>77</v>
      </c>
      <c r="D52" s="4">
        <v>88</v>
      </c>
      <c r="E52">
        <v>239</v>
      </c>
      <c r="F52">
        <v>140.4</v>
      </c>
      <c r="G52" s="4"/>
      <c r="J52" s="4"/>
    </row>
    <row r="53" spans="1:12" x14ac:dyDescent="0.35">
      <c r="A53">
        <v>2019</v>
      </c>
      <c r="B53">
        <v>66</v>
      </c>
      <c r="C53" t="s">
        <v>78</v>
      </c>
      <c r="D53" s="4">
        <v>1470</v>
      </c>
      <c r="E53">
        <v>21106</v>
      </c>
      <c r="F53">
        <v>17048</v>
      </c>
      <c r="G53" s="4">
        <v>9</v>
      </c>
      <c r="H53">
        <v>94</v>
      </c>
      <c r="I53">
        <v>80.7</v>
      </c>
      <c r="J53" s="4">
        <v>10</v>
      </c>
      <c r="K53">
        <v>63</v>
      </c>
      <c r="L53">
        <v>46.6</v>
      </c>
    </row>
    <row r="54" spans="1:12" x14ac:dyDescent="0.35">
      <c r="A54">
        <v>2019</v>
      </c>
      <c r="B54">
        <v>67</v>
      </c>
      <c r="C54" t="s">
        <v>79</v>
      </c>
      <c r="D54" s="4">
        <v>246</v>
      </c>
      <c r="E54">
        <v>1482</v>
      </c>
      <c r="F54">
        <v>1119.7</v>
      </c>
      <c r="G54" s="4"/>
      <c r="J54" s="4"/>
    </row>
    <row r="55" spans="1:12" x14ac:dyDescent="0.35">
      <c r="A55">
        <v>2019</v>
      </c>
      <c r="B55">
        <v>68</v>
      </c>
      <c r="C55" t="s">
        <v>80</v>
      </c>
      <c r="D55" s="4">
        <v>164</v>
      </c>
      <c r="E55">
        <v>474</v>
      </c>
      <c r="F55">
        <v>313.8</v>
      </c>
      <c r="G55" s="4"/>
      <c r="J55" s="4"/>
    </row>
    <row r="56" spans="1:12" x14ac:dyDescent="0.35">
      <c r="A56">
        <v>2019</v>
      </c>
      <c r="B56">
        <v>69</v>
      </c>
      <c r="C56" t="s">
        <v>81</v>
      </c>
      <c r="D56" s="4">
        <v>1450</v>
      </c>
      <c r="E56">
        <v>20838</v>
      </c>
      <c r="F56">
        <v>17548.2</v>
      </c>
      <c r="G56" s="4">
        <v>13</v>
      </c>
      <c r="H56">
        <v>182</v>
      </c>
      <c r="I56">
        <v>157.19999999999999</v>
      </c>
      <c r="J56" s="4"/>
      <c r="K56">
        <v>5</v>
      </c>
    </row>
    <row r="57" spans="1:12" x14ac:dyDescent="0.35">
      <c r="A57">
        <v>2019</v>
      </c>
      <c r="B57">
        <v>70</v>
      </c>
      <c r="C57" t="s">
        <v>82</v>
      </c>
      <c r="D57" s="4">
        <v>34</v>
      </c>
      <c r="E57">
        <v>85</v>
      </c>
      <c r="F57">
        <v>50.2</v>
      </c>
      <c r="G57" s="4"/>
      <c r="J57" s="4"/>
    </row>
    <row r="58" spans="1:12" x14ac:dyDescent="0.35">
      <c r="A58">
        <v>2019</v>
      </c>
      <c r="B58">
        <v>71</v>
      </c>
      <c r="C58" t="s">
        <v>83</v>
      </c>
      <c r="D58" s="4">
        <v>128</v>
      </c>
      <c r="E58">
        <v>527</v>
      </c>
      <c r="F58">
        <v>400.6</v>
      </c>
      <c r="G58" s="4"/>
      <c r="J58" s="4"/>
    </row>
    <row r="59" spans="1:12" x14ac:dyDescent="0.35">
      <c r="A59">
        <v>2019</v>
      </c>
      <c r="B59">
        <v>72</v>
      </c>
      <c r="C59" t="s">
        <v>84</v>
      </c>
      <c r="D59" s="4">
        <v>266</v>
      </c>
      <c r="E59">
        <v>1018</v>
      </c>
      <c r="F59">
        <v>749.3</v>
      </c>
      <c r="G59" s="4"/>
      <c r="J59" s="4"/>
    </row>
    <row r="60" spans="1:12" x14ac:dyDescent="0.35">
      <c r="A60">
        <v>2019</v>
      </c>
      <c r="B60">
        <v>81</v>
      </c>
      <c r="C60" t="s">
        <v>85</v>
      </c>
      <c r="D60" s="4">
        <v>56</v>
      </c>
      <c r="E60">
        <v>257</v>
      </c>
      <c r="F60">
        <v>167.7</v>
      </c>
      <c r="G60" s="4"/>
      <c r="J60" s="4"/>
    </row>
    <row r="61" spans="1:12" x14ac:dyDescent="0.35">
      <c r="A61">
        <v>2019</v>
      </c>
      <c r="B61">
        <v>82</v>
      </c>
      <c r="C61" t="s">
        <v>86</v>
      </c>
      <c r="D61" s="4">
        <v>80</v>
      </c>
      <c r="E61">
        <v>318</v>
      </c>
      <c r="F61">
        <v>244.8</v>
      </c>
      <c r="G61" s="4"/>
      <c r="J61" s="4"/>
    </row>
    <row r="62" spans="1:12" x14ac:dyDescent="0.35">
      <c r="A62">
        <v>2019</v>
      </c>
      <c r="B62">
        <v>83</v>
      </c>
      <c r="C62" t="s">
        <v>87</v>
      </c>
      <c r="D62" s="4">
        <v>297</v>
      </c>
      <c r="E62">
        <v>2293</v>
      </c>
      <c r="F62">
        <v>1869.8</v>
      </c>
      <c r="G62" s="4"/>
      <c r="J62" s="4"/>
    </row>
    <row r="63" spans="1:12" x14ac:dyDescent="0.35">
      <c r="A63">
        <v>2019</v>
      </c>
      <c r="B63">
        <v>84</v>
      </c>
      <c r="C63" t="s">
        <v>88</v>
      </c>
      <c r="D63" s="4">
        <v>287</v>
      </c>
      <c r="E63">
        <v>2890</v>
      </c>
      <c r="F63">
        <v>2521.5</v>
      </c>
      <c r="G63" s="4"/>
      <c r="J63" s="4"/>
    </row>
    <row r="64" spans="1:12" x14ac:dyDescent="0.35">
      <c r="A64">
        <v>2019</v>
      </c>
      <c r="B64">
        <v>85</v>
      </c>
      <c r="C64" t="s">
        <v>89</v>
      </c>
      <c r="D64" s="4">
        <v>96</v>
      </c>
      <c r="E64">
        <v>410</v>
      </c>
      <c r="F64">
        <v>315.10000000000002</v>
      </c>
      <c r="G64" s="4"/>
      <c r="J64" s="4"/>
    </row>
    <row r="65" spans="1:12" x14ac:dyDescent="0.35">
      <c r="A65">
        <v>2019</v>
      </c>
      <c r="B65">
        <v>86</v>
      </c>
      <c r="C65" t="s">
        <v>90</v>
      </c>
      <c r="D65" s="4">
        <v>436</v>
      </c>
      <c r="E65">
        <v>4449</v>
      </c>
      <c r="F65">
        <v>3465.6</v>
      </c>
      <c r="G65" s="4"/>
      <c r="H65">
        <v>5</v>
      </c>
      <c r="J65" s="4">
        <v>5</v>
      </c>
      <c r="K65">
        <v>17</v>
      </c>
      <c r="L65">
        <v>15.1</v>
      </c>
    </row>
    <row r="66" spans="1:12" x14ac:dyDescent="0.35">
      <c r="A66">
        <v>2019</v>
      </c>
      <c r="B66">
        <v>87</v>
      </c>
      <c r="C66" t="s">
        <v>91</v>
      </c>
      <c r="D66" s="4">
        <v>46</v>
      </c>
      <c r="E66">
        <v>109</v>
      </c>
      <c r="F66">
        <v>71.599999999999994</v>
      </c>
      <c r="G66" s="4"/>
      <c r="J66" s="4"/>
    </row>
    <row r="67" spans="1:12" x14ac:dyDescent="0.35">
      <c r="A67">
        <v>2019</v>
      </c>
      <c r="B67">
        <v>88</v>
      </c>
      <c r="C67" t="s">
        <v>92</v>
      </c>
      <c r="D67" s="4">
        <v>237</v>
      </c>
      <c r="E67">
        <v>649</v>
      </c>
      <c r="F67">
        <v>434.1</v>
      </c>
      <c r="G67" s="4"/>
      <c r="J67" s="4"/>
    </row>
    <row r="68" spans="1:12" x14ac:dyDescent="0.35">
      <c r="A68">
        <v>2019</v>
      </c>
      <c r="B68">
        <v>89</v>
      </c>
      <c r="C68" t="s">
        <v>93</v>
      </c>
      <c r="D68" s="4">
        <v>234</v>
      </c>
      <c r="E68">
        <v>1444</v>
      </c>
      <c r="F68">
        <v>1100.4000000000001</v>
      </c>
      <c r="G68" s="4"/>
      <c r="J68" s="4"/>
    </row>
    <row r="69" spans="1:12" x14ac:dyDescent="0.35">
      <c r="A69">
        <v>2019</v>
      </c>
      <c r="B69">
        <v>90</v>
      </c>
      <c r="C69" t="s">
        <v>94</v>
      </c>
      <c r="D69" s="4">
        <v>488</v>
      </c>
      <c r="E69">
        <v>2504</v>
      </c>
      <c r="F69">
        <v>1978</v>
      </c>
      <c r="G69" s="4"/>
      <c r="J69" s="4"/>
    </row>
    <row r="70" spans="1:12" x14ac:dyDescent="0.35">
      <c r="A70">
        <v>2019</v>
      </c>
      <c r="B70">
        <v>91</v>
      </c>
      <c r="C70" t="s">
        <v>95</v>
      </c>
      <c r="D70" s="4">
        <v>161</v>
      </c>
      <c r="E70">
        <v>952</v>
      </c>
      <c r="F70">
        <v>712</v>
      </c>
      <c r="G70" s="4"/>
      <c r="J70" s="4"/>
    </row>
    <row r="71" spans="1:12" x14ac:dyDescent="0.35">
      <c r="A71">
        <v>2019</v>
      </c>
      <c r="B71">
        <v>92</v>
      </c>
      <c r="C71" t="s">
        <v>96</v>
      </c>
      <c r="D71" s="4">
        <v>322</v>
      </c>
      <c r="E71">
        <v>1795</v>
      </c>
      <c r="F71">
        <v>1456.3</v>
      </c>
      <c r="G71" s="4"/>
      <c r="H71">
        <v>7</v>
      </c>
      <c r="I71">
        <v>6.2</v>
      </c>
      <c r="J71" s="4"/>
    </row>
    <row r="72" spans="1:12" x14ac:dyDescent="0.35">
      <c r="A72">
        <v>2019</v>
      </c>
      <c r="B72">
        <v>93</v>
      </c>
      <c r="C72" t="s">
        <v>97</v>
      </c>
      <c r="D72" s="4">
        <v>85</v>
      </c>
      <c r="E72">
        <v>229</v>
      </c>
      <c r="F72">
        <v>169.2</v>
      </c>
      <c r="G72" s="4"/>
      <c r="J72" s="4"/>
    </row>
    <row r="73" spans="1:12" x14ac:dyDescent="0.35">
      <c r="A73">
        <v>2019</v>
      </c>
      <c r="B73">
        <v>94</v>
      </c>
      <c r="C73" t="s">
        <v>98</v>
      </c>
      <c r="D73" s="4">
        <v>277</v>
      </c>
      <c r="E73">
        <v>2555</v>
      </c>
      <c r="F73">
        <v>2074.1</v>
      </c>
      <c r="G73" s="4"/>
      <c r="H73">
        <v>7</v>
      </c>
      <c r="I73">
        <v>6.6</v>
      </c>
      <c r="J73" s="4">
        <v>5</v>
      </c>
      <c r="K73">
        <v>8</v>
      </c>
      <c r="L73">
        <v>5.6</v>
      </c>
    </row>
    <row r="74" spans="1:12" x14ac:dyDescent="0.35">
      <c r="A74">
        <v>2019</v>
      </c>
      <c r="B74">
        <v>95</v>
      </c>
      <c r="C74" t="s">
        <v>99</v>
      </c>
      <c r="D74" s="4">
        <v>43</v>
      </c>
      <c r="E74">
        <v>248</v>
      </c>
      <c r="F74">
        <v>175.8</v>
      </c>
      <c r="G74" s="4"/>
      <c r="J74" s="4"/>
    </row>
    <row r="75" spans="1:12" x14ac:dyDescent="0.35">
      <c r="A75">
        <v>2019</v>
      </c>
      <c r="B75">
        <v>96</v>
      </c>
      <c r="C75" t="s">
        <v>100</v>
      </c>
      <c r="D75" s="4">
        <v>1305</v>
      </c>
      <c r="E75">
        <v>11313</v>
      </c>
      <c r="F75">
        <v>9151.2000000000007</v>
      </c>
      <c r="G75" s="4">
        <v>7</v>
      </c>
      <c r="H75">
        <v>116</v>
      </c>
      <c r="I75">
        <v>109.4</v>
      </c>
      <c r="J75" s="4">
        <v>10</v>
      </c>
      <c r="K75">
        <v>103</v>
      </c>
      <c r="L75">
        <v>90</v>
      </c>
    </row>
    <row r="76" spans="1:12" x14ac:dyDescent="0.35">
      <c r="A76">
        <v>2019</v>
      </c>
      <c r="B76">
        <v>97</v>
      </c>
      <c r="C76" t="s">
        <v>101</v>
      </c>
      <c r="D76" s="4">
        <v>766</v>
      </c>
      <c r="E76">
        <v>6321</v>
      </c>
      <c r="F76">
        <v>5231.5</v>
      </c>
      <c r="G76" s="4"/>
      <c r="J76" s="4"/>
      <c r="K76">
        <v>8</v>
      </c>
      <c r="L76">
        <v>6.4</v>
      </c>
    </row>
    <row r="77" spans="1:12" x14ac:dyDescent="0.35">
      <c r="A77">
        <v>2019</v>
      </c>
      <c r="B77">
        <v>98</v>
      </c>
      <c r="C77" t="s">
        <v>102</v>
      </c>
      <c r="D77" s="4">
        <v>55</v>
      </c>
      <c r="E77">
        <v>141</v>
      </c>
      <c r="F77">
        <v>86.1</v>
      </c>
      <c r="G77" s="4"/>
      <c r="J77" s="4"/>
    </row>
    <row r="78" spans="1:12" x14ac:dyDescent="0.35">
      <c r="A78">
        <v>2019</v>
      </c>
      <c r="B78">
        <v>99</v>
      </c>
      <c r="C78" t="s">
        <v>103</v>
      </c>
      <c r="D78" s="4">
        <v>97</v>
      </c>
      <c r="E78">
        <v>340</v>
      </c>
      <c r="F78">
        <v>214.7</v>
      </c>
      <c r="G78" s="4"/>
      <c r="J78" s="4"/>
    </row>
    <row r="79" spans="1:12" x14ac:dyDescent="0.35">
      <c r="A79">
        <v>2019</v>
      </c>
      <c r="B79">
        <v>100</v>
      </c>
      <c r="C79" t="s">
        <v>104</v>
      </c>
      <c r="D79" s="4">
        <v>152</v>
      </c>
      <c r="E79">
        <v>528</v>
      </c>
      <c r="F79">
        <v>363</v>
      </c>
      <c r="G79" s="4"/>
      <c r="J79" s="4"/>
    </row>
    <row r="80" spans="1:12" x14ac:dyDescent="0.35">
      <c r="A80">
        <v>2019</v>
      </c>
      <c r="B80">
        <v>101</v>
      </c>
      <c r="C80" t="s">
        <v>105</v>
      </c>
      <c r="D80" s="4">
        <v>215</v>
      </c>
      <c r="E80">
        <v>893</v>
      </c>
      <c r="F80">
        <v>610.79999999999995</v>
      </c>
      <c r="G80" s="4"/>
      <c r="J80" s="4"/>
    </row>
    <row r="81" spans="1:12" x14ac:dyDescent="0.35">
      <c r="A81">
        <v>2019</v>
      </c>
      <c r="B81">
        <v>102</v>
      </c>
      <c r="C81" t="s">
        <v>106</v>
      </c>
      <c r="D81" s="4">
        <v>105</v>
      </c>
      <c r="E81">
        <v>305</v>
      </c>
      <c r="F81">
        <v>217.6</v>
      </c>
      <c r="G81" s="4"/>
      <c r="J81" s="4"/>
    </row>
    <row r="82" spans="1:12" x14ac:dyDescent="0.35">
      <c r="A82">
        <v>2019</v>
      </c>
      <c r="B82">
        <v>111</v>
      </c>
      <c r="C82" t="s">
        <v>107</v>
      </c>
      <c r="D82" s="4">
        <v>400</v>
      </c>
      <c r="E82">
        <v>1655</v>
      </c>
      <c r="F82">
        <v>1155</v>
      </c>
      <c r="G82" s="4"/>
      <c r="J82" s="4"/>
    </row>
    <row r="83" spans="1:12" x14ac:dyDescent="0.35">
      <c r="A83">
        <v>2019</v>
      </c>
      <c r="B83">
        <v>112</v>
      </c>
      <c r="C83" t="s">
        <v>108</v>
      </c>
      <c r="D83" s="4">
        <v>572</v>
      </c>
      <c r="E83">
        <v>3681</v>
      </c>
      <c r="F83">
        <v>2877</v>
      </c>
      <c r="G83" s="4">
        <v>3</v>
      </c>
      <c r="H83">
        <v>8</v>
      </c>
      <c r="I83">
        <v>4.2</v>
      </c>
      <c r="J83" s="4">
        <v>3</v>
      </c>
      <c r="K83">
        <v>8</v>
      </c>
      <c r="L83">
        <v>6.5</v>
      </c>
    </row>
    <row r="84" spans="1:12" x14ac:dyDescent="0.35">
      <c r="A84">
        <v>2019</v>
      </c>
      <c r="B84">
        <v>113</v>
      </c>
      <c r="C84" t="s">
        <v>109</v>
      </c>
      <c r="D84" s="4">
        <v>435</v>
      </c>
      <c r="E84">
        <v>1843</v>
      </c>
      <c r="F84">
        <v>1269.8</v>
      </c>
      <c r="G84" s="4"/>
      <c r="J84" s="4"/>
    </row>
    <row r="85" spans="1:12" x14ac:dyDescent="0.35">
      <c r="A85">
        <v>2019</v>
      </c>
      <c r="B85">
        <v>114</v>
      </c>
      <c r="C85" t="s">
        <v>110</v>
      </c>
      <c r="D85" s="4">
        <v>204</v>
      </c>
      <c r="E85">
        <v>695</v>
      </c>
      <c r="F85">
        <v>476.7</v>
      </c>
      <c r="G85" s="4"/>
      <c r="J85" s="4"/>
    </row>
    <row r="86" spans="1:12" x14ac:dyDescent="0.35">
      <c r="A86">
        <v>2019</v>
      </c>
      <c r="B86">
        <v>115</v>
      </c>
      <c r="C86" t="s">
        <v>111</v>
      </c>
      <c r="D86" s="4">
        <v>625</v>
      </c>
      <c r="E86">
        <v>2625</v>
      </c>
      <c r="F86">
        <v>1921.5</v>
      </c>
      <c r="G86" s="4"/>
      <c r="J86" s="4">
        <v>3</v>
      </c>
      <c r="K86">
        <v>5</v>
      </c>
      <c r="L86">
        <v>4.4000000000000004</v>
      </c>
    </row>
    <row r="87" spans="1:12" x14ac:dyDescent="0.35">
      <c r="A87">
        <v>2019</v>
      </c>
      <c r="B87">
        <v>116</v>
      </c>
      <c r="C87" t="s">
        <v>112</v>
      </c>
      <c r="D87" s="4">
        <v>271</v>
      </c>
      <c r="E87">
        <v>1825</v>
      </c>
      <c r="F87">
        <v>1418.5</v>
      </c>
      <c r="G87" s="4"/>
      <c r="H87">
        <v>14</v>
      </c>
      <c r="I87">
        <v>12.9</v>
      </c>
      <c r="J87" s="4"/>
    </row>
    <row r="88" spans="1:12" x14ac:dyDescent="0.35">
      <c r="A88">
        <v>2019</v>
      </c>
      <c r="B88">
        <v>117</v>
      </c>
      <c r="C88" t="s">
        <v>113</v>
      </c>
      <c r="D88" s="4">
        <v>912</v>
      </c>
      <c r="E88">
        <v>7122</v>
      </c>
      <c r="F88">
        <v>5818.4</v>
      </c>
      <c r="G88" s="4"/>
      <c r="J88" s="4">
        <v>4</v>
      </c>
      <c r="K88">
        <v>17</v>
      </c>
      <c r="L88">
        <v>15.2</v>
      </c>
    </row>
    <row r="89" spans="1:12" x14ac:dyDescent="0.35">
      <c r="A89">
        <v>2019</v>
      </c>
      <c r="B89">
        <v>118</v>
      </c>
      <c r="C89" t="s">
        <v>114</v>
      </c>
      <c r="D89" s="4">
        <v>851</v>
      </c>
      <c r="E89">
        <v>5063</v>
      </c>
      <c r="F89">
        <v>3729.2</v>
      </c>
      <c r="G89" s="4">
        <v>10</v>
      </c>
      <c r="H89">
        <v>20</v>
      </c>
      <c r="I89">
        <v>14.3</v>
      </c>
      <c r="J89" s="4"/>
    </row>
    <row r="90" spans="1:12" x14ac:dyDescent="0.35">
      <c r="A90">
        <v>2019</v>
      </c>
      <c r="B90">
        <v>119</v>
      </c>
      <c r="C90" t="s">
        <v>115</v>
      </c>
      <c r="D90" s="4">
        <v>121</v>
      </c>
      <c r="E90">
        <v>561</v>
      </c>
      <c r="F90">
        <v>358.3</v>
      </c>
      <c r="G90" s="4"/>
      <c r="J90" s="4">
        <v>4</v>
      </c>
      <c r="K90">
        <v>8</v>
      </c>
      <c r="L90">
        <v>6.5</v>
      </c>
    </row>
    <row r="91" spans="1:12" x14ac:dyDescent="0.35">
      <c r="A91">
        <v>2019</v>
      </c>
      <c r="B91">
        <v>120</v>
      </c>
      <c r="C91" t="s">
        <v>116</v>
      </c>
      <c r="D91" s="4">
        <v>665</v>
      </c>
      <c r="E91">
        <v>3499</v>
      </c>
      <c r="F91">
        <v>2557.6999999999998</v>
      </c>
      <c r="G91" s="4">
        <v>6</v>
      </c>
      <c r="H91">
        <v>7</v>
      </c>
      <c r="I91">
        <v>5.0999999999999996</v>
      </c>
      <c r="J91" s="4">
        <v>5</v>
      </c>
      <c r="K91">
        <v>6</v>
      </c>
    </row>
    <row r="92" spans="1:12" x14ac:dyDescent="0.35">
      <c r="A92">
        <v>2019</v>
      </c>
      <c r="B92">
        <v>121</v>
      </c>
      <c r="C92" t="s">
        <v>117</v>
      </c>
      <c r="D92" s="4">
        <v>1848</v>
      </c>
      <c r="E92">
        <v>14172</v>
      </c>
      <c r="F92">
        <v>10499.4</v>
      </c>
      <c r="G92" s="4">
        <v>6</v>
      </c>
      <c r="H92">
        <v>28</v>
      </c>
      <c r="I92">
        <v>21.3</v>
      </c>
      <c r="J92" s="4">
        <v>6</v>
      </c>
      <c r="K92">
        <v>15</v>
      </c>
      <c r="L92">
        <v>11.3</v>
      </c>
    </row>
    <row r="93" spans="1:12" x14ac:dyDescent="0.35">
      <c r="A93">
        <v>2019</v>
      </c>
      <c r="B93">
        <v>131</v>
      </c>
      <c r="C93" t="s">
        <v>118</v>
      </c>
      <c r="D93" s="4">
        <v>1017</v>
      </c>
      <c r="E93">
        <v>7667</v>
      </c>
      <c r="F93">
        <v>6011.6</v>
      </c>
      <c r="G93" s="4">
        <v>3</v>
      </c>
      <c r="H93">
        <v>22</v>
      </c>
      <c r="I93">
        <v>18.399999999999999</v>
      </c>
      <c r="J93" s="4">
        <v>5</v>
      </c>
      <c r="K93">
        <v>16</v>
      </c>
      <c r="L93">
        <v>5</v>
      </c>
    </row>
    <row r="94" spans="1:12" x14ac:dyDescent="0.35">
      <c r="A94">
        <v>2019</v>
      </c>
      <c r="B94">
        <v>135</v>
      </c>
      <c r="C94" t="s">
        <v>119</v>
      </c>
      <c r="D94" s="4">
        <v>587</v>
      </c>
      <c r="E94">
        <v>4278</v>
      </c>
      <c r="F94">
        <v>3202.4</v>
      </c>
      <c r="G94" s="4">
        <v>4</v>
      </c>
      <c r="H94">
        <v>7</v>
      </c>
      <c r="I94">
        <v>5</v>
      </c>
      <c r="J94" s="4">
        <v>3</v>
      </c>
      <c r="K94">
        <v>7</v>
      </c>
      <c r="L94">
        <v>5.3</v>
      </c>
    </row>
    <row r="95" spans="1:12" x14ac:dyDescent="0.35">
      <c r="A95">
        <v>2019</v>
      </c>
      <c r="B95">
        <v>136</v>
      </c>
      <c r="C95" t="s">
        <v>120</v>
      </c>
      <c r="D95" s="4">
        <v>381</v>
      </c>
      <c r="E95">
        <v>1574</v>
      </c>
      <c r="F95">
        <v>1091.2</v>
      </c>
      <c r="G95" s="4"/>
      <c r="J95" s="4"/>
    </row>
    <row r="96" spans="1:12" x14ac:dyDescent="0.35">
      <c r="A96">
        <v>2019</v>
      </c>
      <c r="B96">
        <v>137</v>
      </c>
      <c r="C96" t="s">
        <v>121</v>
      </c>
      <c r="D96" s="4">
        <v>303</v>
      </c>
      <c r="E96">
        <v>1023</v>
      </c>
      <c r="F96">
        <v>687</v>
      </c>
      <c r="G96" s="4"/>
      <c r="J96" s="4">
        <v>3</v>
      </c>
    </row>
    <row r="97" spans="1:12" x14ac:dyDescent="0.35">
      <c r="A97">
        <v>2019</v>
      </c>
      <c r="B97">
        <v>138</v>
      </c>
      <c r="C97" t="s">
        <v>122</v>
      </c>
      <c r="D97" s="4">
        <v>807</v>
      </c>
      <c r="E97">
        <v>4228</v>
      </c>
      <c r="F97">
        <v>3329</v>
      </c>
      <c r="G97" s="4">
        <v>4</v>
      </c>
      <c r="H97">
        <v>7</v>
      </c>
      <c r="I97">
        <v>5.2</v>
      </c>
      <c r="J97" s="4">
        <v>7</v>
      </c>
      <c r="K97">
        <v>8</v>
      </c>
      <c r="L97">
        <v>6.2</v>
      </c>
    </row>
    <row r="98" spans="1:12" x14ac:dyDescent="0.35">
      <c r="A98">
        <v>2019</v>
      </c>
      <c r="B98">
        <v>139</v>
      </c>
      <c r="C98" t="s">
        <v>123</v>
      </c>
      <c r="D98" s="4">
        <v>422</v>
      </c>
      <c r="E98">
        <v>3060</v>
      </c>
      <c r="F98">
        <v>2385.3000000000002</v>
      </c>
      <c r="G98" s="4"/>
      <c r="H98">
        <v>5</v>
      </c>
      <c r="J98" s="4">
        <v>4</v>
      </c>
      <c r="K98">
        <v>5</v>
      </c>
      <c r="L98">
        <v>4</v>
      </c>
    </row>
    <row r="99" spans="1:12" x14ac:dyDescent="0.35">
      <c r="A99">
        <v>2019</v>
      </c>
      <c r="B99">
        <v>141</v>
      </c>
      <c r="C99" t="s">
        <v>124</v>
      </c>
      <c r="D99" s="4">
        <v>1338</v>
      </c>
      <c r="E99">
        <v>6895</v>
      </c>
      <c r="F99">
        <v>4943.3999999999996</v>
      </c>
      <c r="G99" s="4">
        <v>4</v>
      </c>
      <c r="H99">
        <v>8</v>
      </c>
      <c r="I99">
        <v>7</v>
      </c>
      <c r="J99" s="4">
        <v>3</v>
      </c>
    </row>
    <row r="100" spans="1:12" x14ac:dyDescent="0.35">
      <c r="A100">
        <v>2019</v>
      </c>
      <c r="B100">
        <v>151</v>
      </c>
      <c r="C100" t="s">
        <v>125</v>
      </c>
      <c r="D100" s="4">
        <v>482</v>
      </c>
      <c r="E100">
        <v>1981</v>
      </c>
      <c r="F100">
        <v>1411.2</v>
      </c>
      <c r="G100" s="4"/>
      <c r="J100" s="4">
        <v>5</v>
      </c>
      <c r="K100">
        <v>34</v>
      </c>
      <c r="L100">
        <v>16.600000000000001</v>
      </c>
    </row>
    <row r="101" spans="1:12" x14ac:dyDescent="0.35">
      <c r="A101">
        <v>2019</v>
      </c>
      <c r="B101">
        <v>152</v>
      </c>
      <c r="C101" t="s">
        <v>126</v>
      </c>
      <c r="D101" s="4">
        <v>454</v>
      </c>
      <c r="E101">
        <v>1467</v>
      </c>
      <c r="F101">
        <v>1042.7</v>
      </c>
      <c r="G101" s="4"/>
      <c r="J101" s="4">
        <v>3</v>
      </c>
    </row>
    <row r="102" spans="1:12" x14ac:dyDescent="0.35">
      <c r="A102">
        <v>2019</v>
      </c>
      <c r="B102">
        <v>153</v>
      </c>
      <c r="C102" t="s">
        <v>127</v>
      </c>
      <c r="D102" s="4">
        <v>616</v>
      </c>
      <c r="E102">
        <v>2876</v>
      </c>
      <c r="F102">
        <v>2087.3000000000002</v>
      </c>
      <c r="G102" s="4">
        <v>4</v>
      </c>
      <c r="H102">
        <v>8</v>
      </c>
      <c r="I102">
        <v>7</v>
      </c>
      <c r="J102" s="4">
        <v>5</v>
      </c>
      <c r="K102">
        <v>6</v>
      </c>
    </row>
    <row r="103" spans="1:12" x14ac:dyDescent="0.35">
      <c r="A103">
        <v>2019</v>
      </c>
      <c r="B103">
        <v>154</v>
      </c>
      <c r="C103" t="s">
        <v>128</v>
      </c>
      <c r="D103" s="4">
        <v>1289</v>
      </c>
      <c r="E103">
        <v>6460</v>
      </c>
      <c r="F103">
        <v>4820</v>
      </c>
      <c r="G103" s="4">
        <v>6</v>
      </c>
      <c r="H103">
        <v>7</v>
      </c>
      <c r="I103">
        <v>4.2</v>
      </c>
      <c r="J103" s="4">
        <v>6</v>
      </c>
      <c r="K103">
        <v>8</v>
      </c>
      <c r="L103">
        <v>6.5</v>
      </c>
    </row>
    <row r="104" spans="1:12" x14ac:dyDescent="0.35">
      <c r="A104">
        <v>2019</v>
      </c>
      <c r="B104">
        <v>155</v>
      </c>
      <c r="C104" t="s">
        <v>129</v>
      </c>
      <c r="D104" s="4">
        <v>768</v>
      </c>
      <c r="E104">
        <v>5264</v>
      </c>
      <c r="F104">
        <v>4006.3</v>
      </c>
      <c r="G104" s="4"/>
      <c r="J104" s="4">
        <v>8</v>
      </c>
      <c r="K104">
        <v>10</v>
      </c>
      <c r="L104">
        <v>7.2</v>
      </c>
    </row>
    <row r="105" spans="1:12" x14ac:dyDescent="0.35">
      <c r="A105">
        <v>2019</v>
      </c>
      <c r="B105">
        <v>156</v>
      </c>
      <c r="C105" t="s">
        <v>130</v>
      </c>
      <c r="D105" s="4">
        <v>1131</v>
      </c>
      <c r="E105">
        <v>5767</v>
      </c>
      <c r="F105">
        <v>4360.3999999999996</v>
      </c>
      <c r="G105" s="4"/>
      <c r="J105" s="4">
        <v>4</v>
      </c>
      <c r="K105">
        <v>44</v>
      </c>
      <c r="L105">
        <v>40.6</v>
      </c>
    </row>
    <row r="106" spans="1:12" x14ac:dyDescent="0.35">
      <c r="A106">
        <v>2019</v>
      </c>
      <c r="B106">
        <v>157</v>
      </c>
      <c r="C106" t="s">
        <v>131</v>
      </c>
      <c r="D106" s="4">
        <v>286</v>
      </c>
      <c r="E106">
        <v>2285</v>
      </c>
      <c r="F106">
        <v>1685.9</v>
      </c>
      <c r="G106" s="4">
        <v>3</v>
      </c>
      <c r="H106">
        <v>12</v>
      </c>
      <c r="I106">
        <v>7.9</v>
      </c>
      <c r="J106" s="4"/>
      <c r="K106">
        <v>4</v>
      </c>
    </row>
    <row r="107" spans="1:12" x14ac:dyDescent="0.35">
      <c r="A107">
        <v>2019</v>
      </c>
      <c r="B107">
        <v>158</v>
      </c>
      <c r="C107" t="s">
        <v>132</v>
      </c>
      <c r="D107" s="4">
        <v>1069</v>
      </c>
      <c r="E107">
        <v>6203</v>
      </c>
      <c r="F107">
        <v>4884.2</v>
      </c>
      <c r="G107" s="4">
        <v>6</v>
      </c>
      <c r="H107">
        <v>9</v>
      </c>
      <c r="I107">
        <v>7.9</v>
      </c>
      <c r="J107" s="4">
        <v>5</v>
      </c>
      <c r="K107">
        <v>17</v>
      </c>
      <c r="L107">
        <v>11.8</v>
      </c>
    </row>
    <row r="108" spans="1:12" x14ac:dyDescent="0.35">
      <c r="A108">
        <v>2019</v>
      </c>
      <c r="B108">
        <v>159</v>
      </c>
      <c r="C108" t="s">
        <v>133</v>
      </c>
      <c r="D108" s="4">
        <v>365</v>
      </c>
      <c r="E108">
        <v>1464</v>
      </c>
      <c r="F108">
        <v>1055.7</v>
      </c>
      <c r="G108" s="4"/>
      <c r="J108" s="4"/>
    </row>
    <row r="109" spans="1:12" x14ac:dyDescent="0.35">
      <c r="A109">
        <v>2019</v>
      </c>
      <c r="B109">
        <v>160</v>
      </c>
      <c r="C109" t="s">
        <v>134</v>
      </c>
      <c r="D109" s="4">
        <v>383</v>
      </c>
      <c r="E109">
        <v>1887</v>
      </c>
      <c r="F109">
        <v>1350.8</v>
      </c>
      <c r="G109" s="4"/>
      <c r="J109" s="4"/>
      <c r="K109">
        <v>4</v>
      </c>
    </row>
    <row r="110" spans="1:12" x14ac:dyDescent="0.35">
      <c r="A110">
        <v>2019</v>
      </c>
      <c r="B110">
        <v>161</v>
      </c>
      <c r="C110" t="s">
        <v>135</v>
      </c>
      <c r="D110" s="4">
        <v>1141</v>
      </c>
      <c r="E110">
        <v>5902</v>
      </c>
      <c r="F110">
        <v>4264</v>
      </c>
      <c r="G110" s="4">
        <v>5</v>
      </c>
      <c r="H110">
        <v>7</v>
      </c>
      <c r="I110">
        <v>5</v>
      </c>
      <c r="J110" s="4">
        <v>8</v>
      </c>
      <c r="K110">
        <v>8</v>
      </c>
      <c r="L110">
        <v>6.1</v>
      </c>
    </row>
    <row r="111" spans="1:12" x14ac:dyDescent="0.35">
      <c r="A111">
        <v>2019</v>
      </c>
      <c r="B111">
        <v>172</v>
      </c>
      <c r="C111" t="s">
        <v>136</v>
      </c>
      <c r="D111" s="4">
        <v>452</v>
      </c>
      <c r="E111">
        <v>4642</v>
      </c>
      <c r="F111">
        <v>3610.8</v>
      </c>
      <c r="G111" s="4"/>
      <c r="J111" s="4"/>
    </row>
    <row r="112" spans="1:12" x14ac:dyDescent="0.35">
      <c r="A112">
        <v>2019</v>
      </c>
      <c r="B112">
        <v>173</v>
      </c>
      <c r="C112" t="s">
        <v>137</v>
      </c>
      <c r="D112" s="4">
        <v>247</v>
      </c>
      <c r="E112">
        <v>813</v>
      </c>
      <c r="F112">
        <v>599.9</v>
      </c>
      <c r="G112" s="4"/>
      <c r="J112" s="4"/>
    </row>
    <row r="113" spans="1:12" x14ac:dyDescent="0.35">
      <c r="A113">
        <v>2019</v>
      </c>
      <c r="B113">
        <v>176</v>
      </c>
      <c r="C113" t="s">
        <v>138</v>
      </c>
      <c r="D113" s="4">
        <v>360</v>
      </c>
      <c r="E113">
        <v>2913</v>
      </c>
      <c r="F113">
        <v>2365.6999999999998</v>
      </c>
      <c r="G113" s="4">
        <v>3</v>
      </c>
      <c r="H113">
        <v>31</v>
      </c>
      <c r="I113">
        <v>27.3</v>
      </c>
      <c r="J113" s="4"/>
    </row>
    <row r="114" spans="1:12" x14ac:dyDescent="0.35">
      <c r="A114">
        <v>2019</v>
      </c>
      <c r="B114">
        <v>177</v>
      </c>
      <c r="C114" t="s">
        <v>139</v>
      </c>
      <c r="D114" s="4">
        <v>847</v>
      </c>
      <c r="E114">
        <v>5797</v>
      </c>
      <c r="F114">
        <v>4189.3999999999996</v>
      </c>
      <c r="G114" s="4">
        <v>4</v>
      </c>
      <c r="H114">
        <v>14</v>
      </c>
      <c r="I114">
        <v>6.5</v>
      </c>
      <c r="J114" s="4">
        <v>3</v>
      </c>
      <c r="K114">
        <v>7</v>
      </c>
    </row>
    <row r="115" spans="1:12" x14ac:dyDescent="0.35">
      <c r="A115">
        <v>2019</v>
      </c>
      <c r="B115">
        <v>178</v>
      </c>
      <c r="C115" t="s">
        <v>140</v>
      </c>
      <c r="D115" s="4">
        <v>294</v>
      </c>
      <c r="E115">
        <v>1243</v>
      </c>
      <c r="F115">
        <v>946.4</v>
      </c>
      <c r="G115" s="4"/>
      <c r="J115" s="4"/>
      <c r="K115">
        <v>7</v>
      </c>
      <c r="L115">
        <v>4.8</v>
      </c>
    </row>
    <row r="116" spans="1:12" x14ac:dyDescent="0.35">
      <c r="A116">
        <v>2019</v>
      </c>
      <c r="B116">
        <v>180</v>
      </c>
      <c r="C116" t="s">
        <v>141</v>
      </c>
      <c r="D116" s="4">
        <v>226</v>
      </c>
      <c r="E116">
        <v>901</v>
      </c>
      <c r="F116">
        <v>649.4</v>
      </c>
      <c r="G116" s="4"/>
      <c r="J116" s="4"/>
    </row>
    <row r="117" spans="1:12" x14ac:dyDescent="0.35">
      <c r="A117">
        <v>2019</v>
      </c>
      <c r="B117">
        <v>181</v>
      </c>
      <c r="C117" t="s">
        <v>142</v>
      </c>
      <c r="D117" s="4">
        <v>156</v>
      </c>
      <c r="E117">
        <v>615</v>
      </c>
      <c r="F117">
        <v>445.8</v>
      </c>
      <c r="G117" s="4"/>
      <c r="J117" s="4"/>
    </row>
    <row r="118" spans="1:12" x14ac:dyDescent="0.35">
      <c r="A118">
        <v>2019</v>
      </c>
      <c r="B118">
        <v>182</v>
      </c>
      <c r="C118" t="s">
        <v>143</v>
      </c>
      <c r="D118" s="4">
        <v>81</v>
      </c>
      <c r="E118">
        <v>255</v>
      </c>
      <c r="F118">
        <v>166.2</v>
      </c>
      <c r="G118" s="4"/>
      <c r="J118" s="4"/>
    </row>
    <row r="119" spans="1:12" x14ac:dyDescent="0.35">
      <c r="A119">
        <v>2019</v>
      </c>
      <c r="B119">
        <v>191</v>
      </c>
      <c r="C119" t="s">
        <v>144</v>
      </c>
      <c r="D119" s="4">
        <v>1963</v>
      </c>
      <c r="E119">
        <v>20303</v>
      </c>
      <c r="F119">
        <v>16097.4</v>
      </c>
      <c r="G119" s="4"/>
      <c r="J119" s="4">
        <v>9</v>
      </c>
      <c r="K119">
        <v>25</v>
      </c>
      <c r="L119">
        <v>16.2</v>
      </c>
    </row>
    <row r="120" spans="1:12" x14ac:dyDescent="0.35">
      <c r="A120">
        <v>2019</v>
      </c>
      <c r="B120">
        <v>192</v>
      </c>
      <c r="C120" t="s">
        <v>145</v>
      </c>
      <c r="D120" s="4">
        <v>589</v>
      </c>
      <c r="E120">
        <v>2528</v>
      </c>
      <c r="F120">
        <v>1848.8</v>
      </c>
      <c r="G120" s="4">
        <v>3</v>
      </c>
      <c r="H120">
        <v>7</v>
      </c>
      <c r="I120">
        <v>6</v>
      </c>
      <c r="J120" s="4">
        <v>4</v>
      </c>
      <c r="K120">
        <v>7</v>
      </c>
      <c r="L120">
        <v>6.1</v>
      </c>
    </row>
    <row r="121" spans="1:12" x14ac:dyDescent="0.35">
      <c r="A121">
        <v>2019</v>
      </c>
      <c r="B121">
        <v>193</v>
      </c>
      <c r="C121" t="s">
        <v>146</v>
      </c>
      <c r="D121" s="4">
        <v>496</v>
      </c>
      <c r="E121">
        <v>2999</v>
      </c>
      <c r="F121">
        <v>2379.6</v>
      </c>
      <c r="G121" s="4"/>
      <c r="J121" s="4"/>
    </row>
    <row r="122" spans="1:12" x14ac:dyDescent="0.35">
      <c r="A122">
        <v>2019</v>
      </c>
      <c r="B122">
        <v>194</v>
      </c>
      <c r="C122" t="s">
        <v>147</v>
      </c>
      <c r="D122" s="4">
        <v>230</v>
      </c>
      <c r="E122">
        <v>1732</v>
      </c>
      <c r="F122">
        <v>1267.2</v>
      </c>
      <c r="G122" s="4"/>
      <c r="J122" s="4"/>
    </row>
    <row r="123" spans="1:12" x14ac:dyDescent="0.35">
      <c r="A123">
        <v>2019</v>
      </c>
      <c r="B123">
        <v>195</v>
      </c>
      <c r="C123" t="s">
        <v>148</v>
      </c>
      <c r="D123" s="4">
        <v>660</v>
      </c>
      <c r="E123">
        <v>2306</v>
      </c>
      <c r="F123">
        <v>1665.2</v>
      </c>
      <c r="G123" s="4"/>
      <c r="J123" s="4">
        <v>4</v>
      </c>
      <c r="K123">
        <v>4</v>
      </c>
    </row>
    <row r="124" spans="1:12" x14ac:dyDescent="0.35">
      <c r="A124">
        <v>2019</v>
      </c>
      <c r="B124">
        <v>196</v>
      </c>
      <c r="C124" t="s">
        <v>149</v>
      </c>
      <c r="D124" s="4">
        <v>261</v>
      </c>
      <c r="E124">
        <v>1328</v>
      </c>
      <c r="F124">
        <v>1041.0999999999999</v>
      </c>
      <c r="G124" s="4"/>
      <c r="J124" s="4"/>
    </row>
    <row r="125" spans="1:12" x14ac:dyDescent="0.35">
      <c r="A125">
        <v>2019</v>
      </c>
      <c r="B125">
        <v>197</v>
      </c>
      <c r="C125" t="s">
        <v>150</v>
      </c>
      <c r="D125" s="4">
        <v>306</v>
      </c>
      <c r="E125">
        <v>2607</v>
      </c>
      <c r="F125">
        <v>2022.1</v>
      </c>
      <c r="G125" s="4"/>
      <c r="J125" s="4"/>
    </row>
    <row r="126" spans="1:12" x14ac:dyDescent="0.35">
      <c r="A126">
        <v>2019</v>
      </c>
      <c r="B126">
        <v>198</v>
      </c>
      <c r="C126" t="s">
        <v>151</v>
      </c>
      <c r="D126" s="4">
        <v>2514</v>
      </c>
      <c r="E126">
        <v>17549</v>
      </c>
      <c r="F126">
        <v>13273.5</v>
      </c>
      <c r="G126" s="4">
        <v>4</v>
      </c>
      <c r="H126">
        <v>8</v>
      </c>
      <c r="I126">
        <v>6</v>
      </c>
      <c r="J126" s="4">
        <v>7</v>
      </c>
      <c r="K126">
        <v>26</v>
      </c>
      <c r="L126">
        <v>21.8</v>
      </c>
    </row>
    <row r="127" spans="1:12" x14ac:dyDescent="0.35">
      <c r="A127">
        <v>2019</v>
      </c>
      <c r="B127">
        <v>199</v>
      </c>
      <c r="C127" t="s">
        <v>152</v>
      </c>
      <c r="D127" s="4">
        <v>1268</v>
      </c>
      <c r="E127">
        <v>11597</v>
      </c>
      <c r="F127">
        <v>9250.6</v>
      </c>
      <c r="G127" s="4">
        <v>3</v>
      </c>
      <c r="H127">
        <v>7</v>
      </c>
      <c r="J127" s="4">
        <v>9</v>
      </c>
      <c r="K127">
        <v>12</v>
      </c>
      <c r="L127">
        <v>10.6</v>
      </c>
    </row>
    <row r="128" spans="1:12" x14ac:dyDescent="0.35">
      <c r="A128">
        <v>2019</v>
      </c>
      <c r="B128">
        <v>200</v>
      </c>
      <c r="C128" t="s">
        <v>153</v>
      </c>
      <c r="D128" s="4">
        <v>551</v>
      </c>
      <c r="E128">
        <v>5660</v>
      </c>
      <c r="F128">
        <v>4608</v>
      </c>
      <c r="G128" s="4"/>
      <c r="H128">
        <v>36</v>
      </c>
      <c r="I128">
        <v>34.799999999999997</v>
      </c>
      <c r="J128" s="4">
        <v>6</v>
      </c>
      <c r="K128">
        <v>371</v>
      </c>
      <c r="L128">
        <v>123.6</v>
      </c>
    </row>
    <row r="129" spans="1:12" x14ac:dyDescent="0.35">
      <c r="A129">
        <v>2019</v>
      </c>
      <c r="B129">
        <v>211</v>
      </c>
      <c r="C129" t="s">
        <v>154</v>
      </c>
      <c r="D129" s="4">
        <v>62</v>
      </c>
      <c r="E129">
        <v>136</v>
      </c>
      <c r="F129">
        <v>83.5</v>
      </c>
      <c r="G129" s="4"/>
      <c r="J129" s="4"/>
    </row>
    <row r="130" spans="1:12" x14ac:dyDescent="0.35">
      <c r="A130">
        <v>2019</v>
      </c>
      <c r="B130">
        <v>213</v>
      </c>
      <c r="C130" t="s">
        <v>155</v>
      </c>
      <c r="D130" s="4">
        <v>137</v>
      </c>
      <c r="E130">
        <v>379</v>
      </c>
      <c r="F130">
        <v>264.60000000000002</v>
      </c>
      <c r="G130" s="4"/>
      <c r="J130" s="4"/>
    </row>
    <row r="131" spans="1:12" x14ac:dyDescent="0.35">
      <c r="A131">
        <v>2019</v>
      </c>
      <c r="B131">
        <v>214</v>
      </c>
      <c r="C131" t="s">
        <v>156</v>
      </c>
      <c r="D131" s="4">
        <v>90</v>
      </c>
      <c r="E131">
        <v>283</v>
      </c>
      <c r="F131">
        <v>177.9</v>
      </c>
      <c r="G131" s="4"/>
      <c r="J131" s="4"/>
    </row>
    <row r="132" spans="1:12" x14ac:dyDescent="0.35">
      <c r="A132">
        <v>2019</v>
      </c>
      <c r="B132">
        <v>215</v>
      </c>
      <c r="C132" t="s">
        <v>157</v>
      </c>
      <c r="D132" s="4">
        <v>56</v>
      </c>
      <c r="E132">
        <v>169</v>
      </c>
      <c r="F132">
        <v>102</v>
      </c>
      <c r="G132" s="4"/>
      <c r="J132" s="4"/>
    </row>
    <row r="133" spans="1:12" x14ac:dyDescent="0.35">
      <c r="A133">
        <v>2019</v>
      </c>
      <c r="B133">
        <v>216</v>
      </c>
      <c r="C133" t="s">
        <v>158</v>
      </c>
      <c r="D133" s="4">
        <v>114</v>
      </c>
      <c r="E133">
        <v>416</v>
      </c>
      <c r="F133">
        <v>295.3</v>
      </c>
      <c r="G133" s="4"/>
      <c r="J133" s="4"/>
    </row>
    <row r="134" spans="1:12" x14ac:dyDescent="0.35">
      <c r="A134">
        <v>2019</v>
      </c>
      <c r="B134">
        <v>218</v>
      </c>
      <c r="C134" t="s">
        <v>159</v>
      </c>
      <c r="D134" s="4">
        <v>68</v>
      </c>
      <c r="E134">
        <v>620</v>
      </c>
      <c r="F134">
        <v>466</v>
      </c>
      <c r="G134" s="4"/>
      <c r="J134" s="4"/>
    </row>
    <row r="135" spans="1:12" x14ac:dyDescent="0.35">
      <c r="A135">
        <v>2019</v>
      </c>
      <c r="B135">
        <v>219</v>
      </c>
      <c r="C135" t="s">
        <v>160</v>
      </c>
      <c r="D135" s="4">
        <v>229</v>
      </c>
      <c r="E135">
        <v>1120</v>
      </c>
      <c r="F135">
        <v>811.8</v>
      </c>
      <c r="G135" s="4"/>
      <c r="J135" s="4"/>
    </row>
    <row r="136" spans="1:12" x14ac:dyDescent="0.35">
      <c r="A136">
        <v>2019</v>
      </c>
      <c r="B136">
        <v>220</v>
      </c>
      <c r="C136" t="s">
        <v>161</v>
      </c>
      <c r="D136" s="4">
        <v>76</v>
      </c>
      <c r="E136">
        <v>192</v>
      </c>
      <c r="F136">
        <v>137.6</v>
      </c>
      <c r="G136" s="4"/>
      <c r="J136" s="4"/>
    </row>
    <row r="137" spans="1:12" x14ac:dyDescent="0.35">
      <c r="A137">
        <v>2019</v>
      </c>
      <c r="B137">
        <v>221</v>
      </c>
      <c r="C137" t="s">
        <v>162</v>
      </c>
      <c r="D137" s="4">
        <v>174</v>
      </c>
      <c r="E137">
        <v>800</v>
      </c>
      <c r="F137">
        <v>592.70000000000005</v>
      </c>
      <c r="G137" s="4"/>
      <c r="J137" s="4"/>
    </row>
    <row r="138" spans="1:12" x14ac:dyDescent="0.35">
      <c r="A138">
        <v>2019</v>
      </c>
      <c r="B138">
        <v>223</v>
      </c>
      <c r="C138" t="s">
        <v>163</v>
      </c>
      <c r="D138" s="4">
        <v>355</v>
      </c>
      <c r="E138">
        <v>1703</v>
      </c>
      <c r="F138">
        <v>1251.2</v>
      </c>
      <c r="G138" s="4"/>
      <c r="H138">
        <v>4</v>
      </c>
      <c r="J138" s="4"/>
    </row>
    <row r="139" spans="1:12" x14ac:dyDescent="0.35">
      <c r="A139">
        <v>2019</v>
      </c>
      <c r="B139">
        <v>224</v>
      </c>
      <c r="C139" t="s">
        <v>164</v>
      </c>
      <c r="D139" s="4">
        <v>222</v>
      </c>
      <c r="E139">
        <v>1403</v>
      </c>
      <c r="F139">
        <v>1137.9000000000001</v>
      </c>
      <c r="G139" s="4"/>
      <c r="J139" s="4"/>
    </row>
    <row r="140" spans="1:12" x14ac:dyDescent="0.35">
      <c r="A140">
        <v>2019</v>
      </c>
      <c r="B140">
        <v>225</v>
      </c>
      <c r="C140" t="s">
        <v>165</v>
      </c>
      <c r="D140" s="4">
        <v>166</v>
      </c>
      <c r="E140">
        <v>521</v>
      </c>
      <c r="F140">
        <v>333.3</v>
      </c>
      <c r="G140" s="4"/>
      <c r="J140" s="4"/>
      <c r="K140">
        <v>24</v>
      </c>
      <c r="L140">
        <v>20.399999999999999</v>
      </c>
    </row>
    <row r="141" spans="1:12" x14ac:dyDescent="0.35">
      <c r="A141">
        <v>2019</v>
      </c>
      <c r="B141">
        <v>226</v>
      </c>
      <c r="C141" t="s">
        <v>166</v>
      </c>
      <c r="D141" s="4">
        <v>57</v>
      </c>
      <c r="E141">
        <v>167</v>
      </c>
      <c r="F141">
        <v>114.8</v>
      </c>
      <c r="G141" s="4"/>
      <c r="J141" s="4"/>
    </row>
    <row r="142" spans="1:12" x14ac:dyDescent="0.35">
      <c r="A142">
        <v>2019</v>
      </c>
      <c r="B142">
        <v>227</v>
      </c>
      <c r="C142" t="s">
        <v>167</v>
      </c>
      <c r="D142" s="4">
        <v>436</v>
      </c>
      <c r="E142">
        <v>2678</v>
      </c>
      <c r="F142">
        <v>2074.1</v>
      </c>
      <c r="G142" s="4"/>
      <c r="J142" s="4"/>
      <c r="K142">
        <v>13</v>
      </c>
      <c r="L142">
        <v>11.9</v>
      </c>
    </row>
    <row r="143" spans="1:12" x14ac:dyDescent="0.35">
      <c r="A143">
        <v>2019</v>
      </c>
      <c r="B143">
        <v>228</v>
      </c>
      <c r="C143" t="s">
        <v>168</v>
      </c>
      <c r="D143" s="4">
        <v>338</v>
      </c>
      <c r="E143">
        <v>1654</v>
      </c>
      <c r="F143">
        <v>1160.5999999999999</v>
      </c>
      <c r="G143" s="4"/>
      <c r="J143" s="4"/>
    </row>
    <row r="144" spans="1:12" x14ac:dyDescent="0.35">
      <c r="A144">
        <v>2019</v>
      </c>
      <c r="B144">
        <v>230</v>
      </c>
      <c r="C144" t="s">
        <v>169</v>
      </c>
      <c r="D144" s="4">
        <v>8213</v>
      </c>
      <c r="E144">
        <v>74337</v>
      </c>
      <c r="F144">
        <v>56387</v>
      </c>
      <c r="G144" s="4">
        <v>33</v>
      </c>
      <c r="H144">
        <v>83</v>
      </c>
      <c r="I144">
        <v>61.5</v>
      </c>
      <c r="J144" s="4">
        <v>30</v>
      </c>
      <c r="K144">
        <v>73</v>
      </c>
      <c r="L144">
        <v>55.5</v>
      </c>
    </row>
    <row r="145" spans="1:12" x14ac:dyDescent="0.35">
      <c r="A145">
        <v>2019</v>
      </c>
      <c r="B145">
        <v>231</v>
      </c>
      <c r="C145" t="s">
        <v>170</v>
      </c>
      <c r="D145" s="4">
        <v>331</v>
      </c>
      <c r="E145">
        <v>1436</v>
      </c>
      <c r="F145">
        <v>1038</v>
      </c>
      <c r="G145" s="4"/>
      <c r="J145" s="4"/>
    </row>
    <row r="146" spans="1:12" x14ac:dyDescent="0.35">
      <c r="A146">
        <v>2019</v>
      </c>
      <c r="B146">
        <v>241</v>
      </c>
      <c r="C146" t="s">
        <v>171</v>
      </c>
      <c r="D146" s="4">
        <v>95</v>
      </c>
      <c r="E146">
        <v>375</v>
      </c>
      <c r="F146">
        <v>272.5</v>
      </c>
      <c r="G146" s="4"/>
      <c r="J146" s="4"/>
    </row>
    <row r="147" spans="1:12" x14ac:dyDescent="0.35">
      <c r="A147">
        <v>2019</v>
      </c>
      <c r="B147">
        <v>242</v>
      </c>
      <c r="C147" t="s">
        <v>172</v>
      </c>
      <c r="D147" s="4">
        <v>433</v>
      </c>
      <c r="E147">
        <v>2668</v>
      </c>
      <c r="F147">
        <v>2104.3000000000002</v>
      </c>
      <c r="G147" s="4"/>
      <c r="J147" s="4">
        <v>5</v>
      </c>
      <c r="K147">
        <v>13</v>
      </c>
      <c r="L147">
        <v>9.5</v>
      </c>
    </row>
    <row r="148" spans="1:12" x14ac:dyDescent="0.35">
      <c r="A148">
        <v>2019</v>
      </c>
      <c r="B148">
        <v>243</v>
      </c>
      <c r="C148" t="s">
        <v>173</v>
      </c>
      <c r="D148" s="4">
        <v>1779</v>
      </c>
      <c r="E148">
        <v>19114</v>
      </c>
      <c r="F148">
        <v>15205.7</v>
      </c>
      <c r="G148" s="4">
        <v>6</v>
      </c>
      <c r="H148">
        <v>122</v>
      </c>
      <c r="I148">
        <v>104.3</v>
      </c>
      <c r="J148" s="4">
        <v>13</v>
      </c>
      <c r="K148">
        <v>59</v>
      </c>
      <c r="L148">
        <v>48.3</v>
      </c>
    </row>
    <row r="149" spans="1:12" x14ac:dyDescent="0.35">
      <c r="A149">
        <v>2019</v>
      </c>
      <c r="B149">
        <v>244</v>
      </c>
      <c r="C149" t="s">
        <v>174</v>
      </c>
      <c r="D149" s="4">
        <v>316</v>
      </c>
      <c r="E149">
        <v>2175</v>
      </c>
      <c r="F149">
        <v>1673.6</v>
      </c>
      <c r="G149" s="4">
        <v>3</v>
      </c>
      <c r="H149">
        <v>12</v>
      </c>
      <c r="I149">
        <v>9.6</v>
      </c>
      <c r="J149" s="4"/>
    </row>
    <row r="150" spans="1:12" x14ac:dyDescent="0.35">
      <c r="A150">
        <v>2019</v>
      </c>
      <c r="B150">
        <v>245</v>
      </c>
      <c r="C150" t="s">
        <v>175</v>
      </c>
      <c r="D150" s="4">
        <v>308</v>
      </c>
      <c r="E150">
        <v>1189</v>
      </c>
      <c r="F150">
        <v>842.3</v>
      </c>
      <c r="G150" s="4"/>
      <c r="J150" s="4"/>
    </row>
    <row r="151" spans="1:12" x14ac:dyDescent="0.35">
      <c r="A151">
        <v>2019</v>
      </c>
      <c r="B151">
        <v>246</v>
      </c>
      <c r="C151" t="s">
        <v>176</v>
      </c>
      <c r="D151" s="4">
        <v>116</v>
      </c>
      <c r="E151">
        <v>256</v>
      </c>
      <c r="F151">
        <v>171.2</v>
      </c>
      <c r="G151" s="4"/>
      <c r="J151" s="4"/>
    </row>
    <row r="152" spans="1:12" x14ac:dyDescent="0.35">
      <c r="A152">
        <v>2019</v>
      </c>
      <c r="B152">
        <v>247</v>
      </c>
      <c r="C152" t="s">
        <v>177</v>
      </c>
      <c r="D152" s="4">
        <v>1418</v>
      </c>
      <c r="E152">
        <v>19754</v>
      </c>
      <c r="F152">
        <v>15656.5</v>
      </c>
      <c r="G152" s="4">
        <v>8</v>
      </c>
      <c r="H152">
        <v>93</v>
      </c>
      <c r="I152">
        <v>66</v>
      </c>
      <c r="J152" s="4">
        <v>13</v>
      </c>
      <c r="K152">
        <v>111</v>
      </c>
      <c r="L152">
        <v>97.7</v>
      </c>
    </row>
    <row r="153" spans="1:12" x14ac:dyDescent="0.35">
      <c r="A153">
        <v>2019</v>
      </c>
      <c r="B153">
        <v>248</v>
      </c>
      <c r="C153" t="s">
        <v>178</v>
      </c>
      <c r="D153" s="4">
        <v>281</v>
      </c>
      <c r="E153">
        <v>1078</v>
      </c>
      <c r="F153">
        <v>780.9</v>
      </c>
      <c r="G153" s="4"/>
      <c r="J153" s="4"/>
      <c r="K153">
        <v>9</v>
      </c>
      <c r="L153">
        <v>6.6</v>
      </c>
    </row>
    <row r="154" spans="1:12" x14ac:dyDescent="0.35">
      <c r="A154">
        <v>2019</v>
      </c>
      <c r="B154">
        <v>249</v>
      </c>
      <c r="C154" t="s">
        <v>179</v>
      </c>
      <c r="D154" s="4">
        <v>277</v>
      </c>
      <c r="E154">
        <v>1039</v>
      </c>
      <c r="F154">
        <v>768.7</v>
      </c>
      <c r="G154" s="4"/>
      <c r="J154" s="4"/>
    </row>
    <row r="155" spans="1:12" x14ac:dyDescent="0.35">
      <c r="A155">
        <v>2019</v>
      </c>
      <c r="B155">
        <v>250</v>
      </c>
      <c r="C155" t="s">
        <v>180</v>
      </c>
      <c r="D155" s="4">
        <v>662</v>
      </c>
      <c r="E155">
        <v>7322</v>
      </c>
      <c r="F155">
        <v>5720.3</v>
      </c>
      <c r="G155" s="4">
        <v>4</v>
      </c>
      <c r="H155">
        <v>10</v>
      </c>
      <c r="I155">
        <v>8.1</v>
      </c>
      <c r="J155" s="4">
        <v>6</v>
      </c>
      <c r="K155">
        <v>17</v>
      </c>
      <c r="L155">
        <v>13.4</v>
      </c>
    </row>
    <row r="156" spans="1:12" x14ac:dyDescent="0.35">
      <c r="A156">
        <v>2019</v>
      </c>
      <c r="B156">
        <v>251</v>
      </c>
      <c r="C156" t="s">
        <v>181</v>
      </c>
      <c r="D156" s="4">
        <v>266</v>
      </c>
      <c r="E156">
        <v>2243</v>
      </c>
      <c r="F156">
        <v>1544.5</v>
      </c>
      <c r="G156" s="4"/>
      <c r="J156" s="4"/>
    </row>
    <row r="157" spans="1:12" x14ac:dyDescent="0.35">
      <c r="A157">
        <v>2019</v>
      </c>
      <c r="B157">
        <v>261</v>
      </c>
      <c r="C157" t="s">
        <v>182</v>
      </c>
      <c r="D157" s="4">
        <v>45986</v>
      </c>
      <c r="E157">
        <v>499346</v>
      </c>
      <c r="F157">
        <v>382731.2</v>
      </c>
      <c r="G157" s="4">
        <v>195</v>
      </c>
      <c r="H157">
        <v>918</v>
      </c>
      <c r="I157">
        <v>741.9</v>
      </c>
      <c r="J157" s="4">
        <v>213</v>
      </c>
      <c r="K157">
        <v>718</v>
      </c>
      <c r="L157">
        <v>548.20000000000005</v>
      </c>
    </row>
    <row r="158" spans="1:12" x14ac:dyDescent="0.35">
      <c r="A158">
        <v>2019</v>
      </c>
      <c r="B158">
        <v>291</v>
      </c>
      <c r="C158" t="s">
        <v>183</v>
      </c>
      <c r="D158" s="4">
        <v>301</v>
      </c>
      <c r="E158">
        <v>1893</v>
      </c>
      <c r="F158">
        <v>1418.2</v>
      </c>
      <c r="G158" s="4"/>
      <c r="J158" s="4">
        <v>4</v>
      </c>
      <c r="K158">
        <v>8</v>
      </c>
      <c r="L158">
        <v>6.1</v>
      </c>
    </row>
    <row r="159" spans="1:12" x14ac:dyDescent="0.35">
      <c r="A159">
        <v>2019</v>
      </c>
      <c r="B159">
        <v>292</v>
      </c>
      <c r="C159" t="s">
        <v>184</v>
      </c>
      <c r="D159" s="4">
        <v>270</v>
      </c>
      <c r="E159">
        <v>1242</v>
      </c>
      <c r="F159">
        <v>921.4</v>
      </c>
      <c r="G159" s="4"/>
      <c r="J159" s="4"/>
      <c r="K159">
        <v>12</v>
      </c>
      <c r="L159">
        <v>10.4</v>
      </c>
    </row>
    <row r="160" spans="1:12" x14ac:dyDescent="0.35">
      <c r="A160">
        <v>2019</v>
      </c>
      <c r="B160">
        <v>293</v>
      </c>
      <c r="C160" t="s">
        <v>185</v>
      </c>
      <c r="D160" s="4">
        <v>1902</v>
      </c>
      <c r="E160">
        <v>9850</v>
      </c>
      <c r="F160">
        <v>7276.8</v>
      </c>
      <c r="G160" s="4">
        <v>6</v>
      </c>
      <c r="H160">
        <v>6</v>
      </c>
      <c r="I160">
        <v>4</v>
      </c>
      <c r="J160" s="4">
        <v>15</v>
      </c>
      <c r="K160">
        <v>46</v>
      </c>
      <c r="L160">
        <v>37.5</v>
      </c>
    </row>
    <row r="161" spans="1:12" x14ac:dyDescent="0.35">
      <c r="A161">
        <v>2019</v>
      </c>
      <c r="B161">
        <v>294</v>
      </c>
      <c r="C161" t="s">
        <v>186</v>
      </c>
      <c r="D161" s="4">
        <v>351</v>
      </c>
      <c r="E161">
        <v>1663</v>
      </c>
      <c r="F161">
        <v>1226.8</v>
      </c>
      <c r="G161" s="4"/>
      <c r="H161">
        <v>22</v>
      </c>
      <c r="I161">
        <v>20.5</v>
      </c>
      <c r="J161" s="4"/>
    </row>
    <row r="162" spans="1:12" x14ac:dyDescent="0.35">
      <c r="A162">
        <v>2019</v>
      </c>
      <c r="B162">
        <v>295</v>
      </c>
      <c r="C162" t="s">
        <v>187</v>
      </c>
      <c r="D162" s="4">
        <v>1436</v>
      </c>
      <c r="E162">
        <v>10548</v>
      </c>
      <c r="F162">
        <v>8196.2000000000007</v>
      </c>
      <c r="G162" s="4">
        <v>8</v>
      </c>
      <c r="H162">
        <v>18</v>
      </c>
      <c r="I162">
        <v>13.9</v>
      </c>
      <c r="J162" s="4">
        <v>7</v>
      </c>
      <c r="K162">
        <v>31</v>
      </c>
      <c r="L162">
        <v>22.8</v>
      </c>
    </row>
    <row r="163" spans="1:12" x14ac:dyDescent="0.35">
      <c r="A163">
        <v>2019</v>
      </c>
      <c r="B163">
        <v>296</v>
      </c>
      <c r="C163" t="s">
        <v>188</v>
      </c>
      <c r="D163" s="4">
        <v>1074</v>
      </c>
      <c r="E163">
        <v>7148</v>
      </c>
      <c r="F163">
        <v>5204.3</v>
      </c>
      <c r="G163" s="4"/>
      <c r="J163" s="4">
        <v>3</v>
      </c>
      <c r="K163">
        <v>10</v>
      </c>
      <c r="L163">
        <v>9</v>
      </c>
    </row>
    <row r="164" spans="1:12" x14ac:dyDescent="0.35">
      <c r="A164">
        <v>2019</v>
      </c>
      <c r="B164">
        <v>297</v>
      </c>
      <c r="C164" t="s">
        <v>189</v>
      </c>
      <c r="D164" s="4">
        <v>399</v>
      </c>
      <c r="E164">
        <v>1942</v>
      </c>
      <c r="F164">
        <v>1411.5</v>
      </c>
      <c r="G164" s="4"/>
      <c r="J164" s="4"/>
    </row>
    <row r="165" spans="1:12" x14ac:dyDescent="0.35">
      <c r="A165">
        <v>2019</v>
      </c>
      <c r="B165">
        <v>298</v>
      </c>
      <c r="C165" t="s">
        <v>190</v>
      </c>
      <c r="D165" s="4">
        <v>390</v>
      </c>
      <c r="E165">
        <v>1632</v>
      </c>
      <c r="F165">
        <v>1119.5999999999999</v>
      </c>
      <c r="G165" s="4"/>
      <c r="J165" s="4"/>
    </row>
  </sheetData>
  <mergeCells count="5">
    <mergeCell ref="A1:R1"/>
    <mergeCell ref="A2:R2"/>
    <mergeCell ref="D4:F4"/>
    <mergeCell ref="G4:I4"/>
    <mergeCell ref="J4:L4"/>
  </mergeCells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165"/>
  <sheetViews>
    <sheetView workbookViewId="0"/>
  </sheetViews>
  <sheetFormatPr baseColWidth="10" defaultRowHeight="14.5" x14ac:dyDescent="0.35"/>
  <cols>
    <col min="1" max="1" width="6.7265625" customWidth="1"/>
    <col min="2" max="2" width="14.7265625" customWidth="1"/>
    <col min="3" max="3" width="20.7265625" customWidth="1"/>
    <col min="4" max="4" width="17.7265625" customWidth="1"/>
    <col min="5" max="5" width="15.7265625" customWidth="1"/>
    <col min="6" max="6" width="22.7265625" customWidth="1"/>
    <col min="7" max="7" width="17.7265625" customWidth="1"/>
    <col min="8" max="8" width="15.7265625" customWidth="1"/>
    <col min="9" max="9" width="22.7265625" customWidth="1"/>
    <col min="10" max="10" width="17.7265625" customWidth="1"/>
    <col min="11" max="11" width="15.7265625" customWidth="1"/>
    <col min="12" max="12" width="22.7265625" customWidth="1"/>
  </cols>
  <sheetData>
    <row r="1" spans="1:18" ht="18" x14ac:dyDescent="0.4">
      <c r="A1" s="10" t="s">
        <v>196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x14ac:dyDescent="0.35">
      <c r="A2" s="8" t="s">
        <v>10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4" spans="1:18" x14ac:dyDescent="0.35">
      <c r="D4" s="11" t="s">
        <v>22</v>
      </c>
      <c r="E4" s="12"/>
      <c r="F4" s="12"/>
      <c r="G4" s="11" t="s">
        <v>23</v>
      </c>
      <c r="H4" s="12"/>
      <c r="I4" s="12"/>
      <c r="J4" s="11" t="s">
        <v>24</v>
      </c>
      <c r="K4" s="12"/>
      <c r="L4" s="12"/>
    </row>
    <row r="5" spans="1:18" ht="15.5" x14ac:dyDescent="0.35">
      <c r="A5" s="3" t="s">
        <v>25</v>
      </c>
      <c r="B5" s="3" t="s">
        <v>26</v>
      </c>
      <c r="C5" s="3" t="s">
        <v>27</v>
      </c>
      <c r="D5" s="5" t="s">
        <v>28</v>
      </c>
      <c r="E5" s="3" t="s">
        <v>29</v>
      </c>
      <c r="F5" s="3" t="s">
        <v>30</v>
      </c>
      <c r="G5" s="5" t="s">
        <v>28</v>
      </c>
      <c r="H5" s="3" t="s">
        <v>29</v>
      </c>
      <c r="I5" s="3" t="s">
        <v>30</v>
      </c>
      <c r="J5" s="5" t="s">
        <v>28</v>
      </c>
      <c r="K5" s="3" t="s">
        <v>29</v>
      </c>
      <c r="L5" s="3" t="s">
        <v>30</v>
      </c>
    </row>
    <row r="6" spans="1:18" x14ac:dyDescent="0.35">
      <c r="A6">
        <v>2018</v>
      </c>
      <c r="B6">
        <v>1</v>
      </c>
      <c r="C6" t="s">
        <v>31</v>
      </c>
      <c r="D6" s="4">
        <v>141</v>
      </c>
      <c r="E6">
        <v>442</v>
      </c>
      <c r="F6">
        <v>283.5</v>
      </c>
      <c r="G6" s="4"/>
      <c r="J6" s="4"/>
    </row>
    <row r="7" spans="1:18" x14ac:dyDescent="0.35">
      <c r="A7">
        <v>2018</v>
      </c>
      <c r="B7">
        <v>2</v>
      </c>
      <c r="C7" t="s">
        <v>32</v>
      </c>
      <c r="D7" s="4">
        <v>992</v>
      </c>
      <c r="E7">
        <v>6758</v>
      </c>
      <c r="F7">
        <v>5084.1000000000004</v>
      </c>
      <c r="G7" s="4">
        <v>4</v>
      </c>
      <c r="H7">
        <v>5</v>
      </c>
      <c r="I7">
        <v>4.2</v>
      </c>
      <c r="J7" s="4">
        <v>7</v>
      </c>
      <c r="K7">
        <v>19</v>
      </c>
      <c r="L7">
        <v>14.3</v>
      </c>
    </row>
    <row r="8" spans="1:18" x14ac:dyDescent="0.35">
      <c r="A8">
        <v>2018</v>
      </c>
      <c r="B8">
        <v>3</v>
      </c>
      <c r="C8" t="s">
        <v>33</v>
      </c>
      <c r="D8" s="4">
        <v>281</v>
      </c>
      <c r="E8">
        <v>1015</v>
      </c>
      <c r="F8">
        <v>669.2</v>
      </c>
      <c r="G8" s="4"/>
      <c r="J8" s="4"/>
      <c r="K8">
        <v>10</v>
      </c>
      <c r="L8">
        <v>5.9</v>
      </c>
    </row>
    <row r="9" spans="1:18" x14ac:dyDescent="0.35">
      <c r="A9">
        <v>2018</v>
      </c>
      <c r="B9">
        <v>4</v>
      </c>
      <c r="C9" t="s">
        <v>34</v>
      </c>
      <c r="D9" s="4">
        <v>271</v>
      </c>
      <c r="E9">
        <v>1016</v>
      </c>
      <c r="F9">
        <v>729.5</v>
      </c>
      <c r="G9" s="4"/>
      <c r="J9" s="4">
        <v>3</v>
      </c>
      <c r="K9">
        <v>89</v>
      </c>
      <c r="L9">
        <v>29.8</v>
      </c>
    </row>
    <row r="10" spans="1:18" x14ac:dyDescent="0.35">
      <c r="A10">
        <v>2018</v>
      </c>
      <c r="B10">
        <v>5</v>
      </c>
      <c r="C10" t="s">
        <v>35</v>
      </c>
      <c r="D10" s="4">
        <v>201</v>
      </c>
      <c r="E10">
        <v>1459</v>
      </c>
      <c r="F10">
        <v>1186.9000000000001</v>
      </c>
      <c r="G10" s="4">
        <v>4</v>
      </c>
      <c r="H10">
        <v>4</v>
      </c>
      <c r="J10" s="4"/>
    </row>
    <row r="11" spans="1:18" x14ac:dyDescent="0.35">
      <c r="A11">
        <v>2018</v>
      </c>
      <c r="B11">
        <v>6</v>
      </c>
      <c r="C11" t="s">
        <v>36</v>
      </c>
      <c r="D11" s="4">
        <v>101</v>
      </c>
      <c r="E11">
        <v>319</v>
      </c>
      <c r="F11">
        <v>219.3</v>
      </c>
      <c r="G11" s="4">
        <v>3</v>
      </c>
      <c r="J11" s="4"/>
    </row>
    <row r="12" spans="1:18" x14ac:dyDescent="0.35">
      <c r="A12">
        <v>2018</v>
      </c>
      <c r="B12">
        <v>7</v>
      </c>
      <c r="C12" t="s">
        <v>37</v>
      </c>
      <c r="D12" s="4">
        <v>134</v>
      </c>
      <c r="E12">
        <v>568</v>
      </c>
      <c r="F12">
        <v>406.1</v>
      </c>
      <c r="G12" s="4">
        <v>4</v>
      </c>
      <c r="H12">
        <v>4</v>
      </c>
      <c r="J12" s="4"/>
    </row>
    <row r="13" spans="1:18" x14ac:dyDescent="0.35">
      <c r="A13">
        <v>2018</v>
      </c>
      <c r="B13">
        <v>8</v>
      </c>
      <c r="C13" t="s">
        <v>38</v>
      </c>
      <c r="D13" s="4">
        <v>67</v>
      </c>
      <c r="E13">
        <v>175</v>
      </c>
      <c r="F13">
        <v>112.9</v>
      </c>
      <c r="G13" s="4"/>
      <c r="J13" s="4"/>
    </row>
    <row r="14" spans="1:18" x14ac:dyDescent="0.35">
      <c r="A14">
        <v>2018</v>
      </c>
      <c r="B14">
        <v>9</v>
      </c>
      <c r="C14" t="s">
        <v>39</v>
      </c>
      <c r="D14" s="4">
        <v>320</v>
      </c>
      <c r="E14">
        <v>1680</v>
      </c>
      <c r="F14">
        <v>1242.2</v>
      </c>
      <c r="G14" s="4">
        <v>6</v>
      </c>
      <c r="H14">
        <v>9</v>
      </c>
      <c r="I14">
        <v>5.7</v>
      </c>
      <c r="J14" s="4"/>
    </row>
    <row r="15" spans="1:18" x14ac:dyDescent="0.35">
      <c r="A15">
        <v>2018</v>
      </c>
      <c r="B15">
        <v>10</v>
      </c>
      <c r="C15" t="s">
        <v>40</v>
      </c>
      <c r="D15" s="4">
        <v>311</v>
      </c>
      <c r="E15">
        <v>1312</v>
      </c>
      <c r="F15">
        <v>922.9</v>
      </c>
      <c r="G15" s="4">
        <v>4</v>
      </c>
      <c r="H15">
        <v>7</v>
      </c>
      <c r="I15">
        <v>4.9000000000000004</v>
      </c>
      <c r="J15" s="4"/>
    </row>
    <row r="16" spans="1:18" x14ac:dyDescent="0.35">
      <c r="A16">
        <v>2018</v>
      </c>
      <c r="B16">
        <v>11</v>
      </c>
      <c r="C16" t="s">
        <v>41</v>
      </c>
      <c r="D16" s="4">
        <v>175</v>
      </c>
      <c r="E16">
        <v>682</v>
      </c>
      <c r="F16">
        <v>480.8</v>
      </c>
      <c r="G16" s="4"/>
      <c r="J16" s="4"/>
    </row>
    <row r="17" spans="1:12" x14ac:dyDescent="0.35">
      <c r="A17">
        <v>2018</v>
      </c>
      <c r="B17">
        <v>12</v>
      </c>
      <c r="C17" t="s">
        <v>42</v>
      </c>
      <c r="D17" s="4">
        <v>87</v>
      </c>
      <c r="E17">
        <v>250</v>
      </c>
      <c r="F17">
        <v>173.9</v>
      </c>
      <c r="G17" s="4"/>
      <c r="J17" s="4"/>
    </row>
    <row r="18" spans="1:12" x14ac:dyDescent="0.35">
      <c r="A18">
        <v>2018</v>
      </c>
      <c r="B18">
        <v>13</v>
      </c>
      <c r="C18" t="s">
        <v>43</v>
      </c>
      <c r="D18" s="4">
        <v>188</v>
      </c>
      <c r="E18">
        <v>774</v>
      </c>
      <c r="F18">
        <v>562.6</v>
      </c>
      <c r="G18" s="4"/>
      <c r="H18">
        <v>4</v>
      </c>
      <c r="J18" s="4">
        <v>3</v>
      </c>
      <c r="K18">
        <v>4</v>
      </c>
    </row>
    <row r="19" spans="1:12" x14ac:dyDescent="0.35">
      <c r="A19">
        <v>2018</v>
      </c>
      <c r="B19">
        <v>14</v>
      </c>
      <c r="C19" t="s">
        <v>44</v>
      </c>
      <c r="D19" s="4">
        <v>292</v>
      </c>
      <c r="E19">
        <v>1284</v>
      </c>
      <c r="F19">
        <v>1001.4</v>
      </c>
      <c r="G19" s="4"/>
      <c r="J19" s="4"/>
    </row>
    <row r="20" spans="1:12" x14ac:dyDescent="0.35">
      <c r="A20">
        <v>2018</v>
      </c>
      <c r="B20">
        <v>22</v>
      </c>
      <c r="C20" t="s">
        <v>45</v>
      </c>
      <c r="D20" s="4">
        <v>68</v>
      </c>
      <c r="E20">
        <v>248</v>
      </c>
      <c r="F20">
        <v>176.5</v>
      </c>
      <c r="G20" s="4"/>
      <c r="J20" s="4"/>
    </row>
    <row r="21" spans="1:12" x14ac:dyDescent="0.35">
      <c r="A21">
        <v>2018</v>
      </c>
      <c r="B21">
        <v>23</v>
      </c>
      <c r="C21" t="s">
        <v>46</v>
      </c>
      <c r="D21" s="4">
        <v>47</v>
      </c>
      <c r="E21">
        <v>137</v>
      </c>
      <c r="F21">
        <v>88.5</v>
      </c>
      <c r="G21" s="4"/>
      <c r="J21" s="4"/>
    </row>
    <row r="22" spans="1:12" x14ac:dyDescent="0.35">
      <c r="A22">
        <v>2018</v>
      </c>
      <c r="B22">
        <v>24</v>
      </c>
      <c r="C22" t="s">
        <v>47</v>
      </c>
      <c r="D22" s="4">
        <v>74</v>
      </c>
      <c r="E22">
        <v>200</v>
      </c>
      <c r="F22">
        <v>135.1</v>
      </c>
      <c r="G22" s="4"/>
      <c r="J22" s="4"/>
    </row>
    <row r="23" spans="1:12" x14ac:dyDescent="0.35">
      <c r="A23">
        <v>2018</v>
      </c>
      <c r="B23">
        <v>25</v>
      </c>
      <c r="C23" t="s">
        <v>48</v>
      </c>
      <c r="D23" s="4">
        <v>104</v>
      </c>
      <c r="E23">
        <v>402</v>
      </c>
      <c r="F23">
        <v>279.10000000000002</v>
      </c>
      <c r="G23" s="4"/>
      <c r="J23" s="4">
        <v>5</v>
      </c>
      <c r="K23">
        <v>11</v>
      </c>
      <c r="L23">
        <v>8</v>
      </c>
    </row>
    <row r="24" spans="1:12" x14ac:dyDescent="0.35">
      <c r="A24">
        <v>2018</v>
      </c>
      <c r="B24">
        <v>26</v>
      </c>
      <c r="C24" t="s">
        <v>49</v>
      </c>
      <c r="D24" s="4">
        <v>51</v>
      </c>
      <c r="E24">
        <v>129</v>
      </c>
      <c r="F24">
        <v>84.2</v>
      </c>
      <c r="G24" s="4"/>
      <c r="J24" s="4"/>
    </row>
    <row r="25" spans="1:12" x14ac:dyDescent="0.35">
      <c r="A25">
        <v>2018</v>
      </c>
      <c r="B25">
        <v>27</v>
      </c>
      <c r="C25" t="s">
        <v>50</v>
      </c>
      <c r="D25" s="4">
        <v>195</v>
      </c>
      <c r="E25">
        <v>1165</v>
      </c>
      <c r="F25">
        <v>878.8</v>
      </c>
      <c r="G25" s="4">
        <v>4</v>
      </c>
      <c r="H25">
        <v>4</v>
      </c>
      <c r="J25" s="4"/>
    </row>
    <row r="26" spans="1:12" x14ac:dyDescent="0.35">
      <c r="A26">
        <v>2018</v>
      </c>
      <c r="B26">
        <v>28</v>
      </c>
      <c r="C26" t="s">
        <v>51</v>
      </c>
      <c r="D26" s="4">
        <v>138</v>
      </c>
      <c r="E26">
        <v>808</v>
      </c>
      <c r="F26">
        <v>538.70000000000005</v>
      </c>
      <c r="G26" s="4"/>
      <c r="J26" s="4"/>
    </row>
    <row r="27" spans="1:12" x14ac:dyDescent="0.35">
      <c r="A27">
        <v>2018</v>
      </c>
      <c r="B27">
        <v>29</v>
      </c>
      <c r="C27" t="s">
        <v>52</v>
      </c>
      <c r="D27" s="4">
        <v>103</v>
      </c>
      <c r="E27">
        <v>438</v>
      </c>
      <c r="F27">
        <v>295.89999999999998</v>
      </c>
      <c r="G27" s="4"/>
      <c r="H27">
        <v>4</v>
      </c>
      <c r="J27" s="4"/>
    </row>
    <row r="28" spans="1:12" x14ac:dyDescent="0.35">
      <c r="A28">
        <v>2018</v>
      </c>
      <c r="B28">
        <v>31</v>
      </c>
      <c r="C28" t="s">
        <v>53</v>
      </c>
      <c r="D28" s="4">
        <v>112</v>
      </c>
      <c r="E28">
        <v>630</v>
      </c>
      <c r="F28">
        <v>466.8</v>
      </c>
      <c r="G28" s="4"/>
      <c r="J28" s="4"/>
    </row>
    <row r="29" spans="1:12" x14ac:dyDescent="0.35">
      <c r="A29">
        <v>2018</v>
      </c>
      <c r="B29">
        <v>33</v>
      </c>
      <c r="C29" t="s">
        <v>54</v>
      </c>
      <c r="D29" s="4">
        <v>189</v>
      </c>
      <c r="E29">
        <v>1083</v>
      </c>
      <c r="F29">
        <v>866.1</v>
      </c>
      <c r="G29" s="4"/>
      <c r="J29" s="4"/>
      <c r="K29">
        <v>6</v>
      </c>
      <c r="L29">
        <v>5.7</v>
      </c>
    </row>
    <row r="30" spans="1:12" x14ac:dyDescent="0.35">
      <c r="A30">
        <v>2018</v>
      </c>
      <c r="B30">
        <v>34</v>
      </c>
      <c r="C30" t="s">
        <v>55</v>
      </c>
      <c r="D30" s="4">
        <v>106</v>
      </c>
      <c r="E30">
        <v>525</v>
      </c>
      <c r="F30">
        <v>377.6</v>
      </c>
      <c r="G30" s="4"/>
      <c r="J30" s="4"/>
    </row>
    <row r="31" spans="1:12" x14ac:dyDescent="0.35">
      <c r="A31">
        <v>2018</v>
      </c>
      <c r="B31">
        <v>35</v>
      </c>
      <c r="C31" t="s">
        <v>56</v>
      </c>
      <c r="D31" s="4">
        <v>205</v>
      </c>
      <c r="E31">
        <v>1163</v>
      </c>
      <c r="F31">
        <v>807.8</v>
      </c>
      <c r="G31" s="4"/>
      <c r="J31" s="4"/>
    </row>
    <row r="32" spans="1:12" x14ac:dyDescent="0.35">
      <c r="A32">
        <v>2018</v>
      </c>
      <c r="B32">
        <v>37</v>
      </c>
      <c r="C32" t="s">
        <v>57</v>
      </c>
      <c r="D32" s="4">
        <v>106</v>
      </c>
      <c r="E32">
        <v>426</v>
      </c>
      <c r="F32">
        <v>307.8</v>
      </c>
      <c r="G32" s="4"/>
      <c r="J32" s="4"/>
    </row>
    <row r="33" spans="1:12" x14ac:dyDescent="0.35">
      <c r="A33">
        <v>2018</v>
      </c>
      <c r="B33">
        <v>38</v>
      </c>
      <c r="C33" t="s">
        <v>58</v>
      </c>
      <c r="D33" s="4">
        <v>94</v>
      </c>
      <c r="E33">
        <v>730</v>
      </c>
      <c r="F33">
        <v>521.6</v>
      </c>
      <c r="G33" s="4"/>
      <c r="J33" s="4"/>
    </row>
    <row r="34" spans="1:12" x14ac:dyDescent="0.35">
      <c r="A34">
        <v>2018</v>
      </c>
      <c r="B34">
        <v>39</v>
      </c>
      <c r="C34" t="s">
        <v>59</v>
      </c>
      <c r="D34" s="4">
        <v>70</v>
      </c>
      <c r="E34">
        <v>256</v>
      </c>
      <c r="F34">
        <v>181.1</v>
      </c>
      <c r="G34" s="4"/>
      <c r="J34" s="4"/>
    </row>
    <row r="35" spans="1:12" x14ac:dyDescent="0.35">
      <c r="A35">
        <v>2018</v>
      </c>
      <c r="B35">
        <v>40</v>
      </c>
      <c r="C35" t="s">
        <v>60</v>
      </c>
      <c r="D35" s="4">
        <v>94</v>
      </c>
      <c r="E35">
        <v>309</v>
      </c>
      <c r="F35">
        <v>208</v>
      </c>
      <c r="G35" s="4"/>
      <c r="J35" s="4"/>
    </row>
    <row r="36" spans="1:12" x14ac:dyDescent="0.35">
      <c r="A36">
        <v>2018</v>
      </c>
      <c r="B36">
        <v>41</v>
      </c>
      <c r="C36" t="s">
        <v>61</v>
      </c>
      <c r="D36" s="4">
        <v>37</v>
      </c>
      <c r="E36">
        <v>119</v>
      </c>
      <c r="F36">
        <v>72.900000000000006</v>
      </c>
      <c r="G36" s="4"/>
      <c r="J36" s="4"/>
    </row>
    <row r="37" spans="1:12" x14ac:dyDescent="0.35">
      <c r="A37">
        <v>2018</v>
      </c>
      <c r="B37">
        <v>43</v>
      </c>
      <c r="C37" t="s">
        <v>62</v>
      </c>
      <c r="D37" s="4">
        <v>31</v>
      </c>
      <c r="E37">
        <v>103</v>
      </c>
      <c r="F37">
        <v>59.6</v>
      </c>
      <c r="G37" s="4"/>
      <c r="J37" s="4"/>
    </row>
    <row r="38" spans="1:12" x14ac:dyDescent="0.35">
      <c r="A38">
        <v>2018</v>
      </c>
      <c r="B38">
        <v>51</v>
      </c>
      <c r="C38" t="s">
        <v>63</v>
      </c>
      <c r="D38" s="4">
        <v>271</v>
      </c>
      <c r="E38">
        <v>1848</v>
      </c>
      <c r="F38">
        <v>1496.5</v>
      </c>
      <c r="G38" s="4"/>
      <c r="J38" s="4"/>
    </row>
    <row r="39" spans="1:12" x14ac:dyDescent="0.35">
      <c r="A39">
        <v>2018</v>
      </c>
      <c r="B39">
        <v>52</v>
      </c>
      <c r="C39" t="s">
        <v>64</v>
      </c>
      <c r="D39" s="4">
        <v>647</v>
      </c>
      <c r="E39">
        <v>4600</v>
      </c>
      <c r="F39">
        <v>3690</v>
      </c>
      <c r="G39" s="4"/>
      <c r="H39">
        <v>6</v>
      </c>
      <c r="I39">
        <v>5.5</v>
      </c>
      <c r="J39" s="4">
        <v>3</v>
      </c>
      <c r="K39">
        <v>6</v>
      </c>
      <c r="L39">
        <v>4.9000000000000004</v>
      </c>
    </row>
    <row r="40" spans="1:12" x14ac:dyDescent="0.35">
      <c r="A40">
        <v>2018</v>
      </c>
      <c r="B40">
        <v>53</v>
      </c>
      <c r="C40" t="s">
        <v>65</v>
      </c>
      <c r="D40" s="4">
        <v>1269</v>
      </c>
      <c r="E40">
        <v>11073</v>
      </c>
      <c r="F40">
        <v>8245.7000000000007</v>
      </c>
      <c r="G40" s="4"/>
      <c r="J40" s="4"/>
    </row>
    <row r="41" spans="1:12" x14ac:dyDescent="0.35">
      <c r="A41">
        <v>2018</v>
      </c>
      <c r="B41">
        <v>54</v>
      </c>
      <c r="C41" t="s">
        <v>66</v>
      </c>
      <c r="D41" s="4">
        <v>565</v>
      </c>
      <c r="E41">
        <v>5840</v>
      </c>
      <c r="F41">
        <v>4756</v>
      </c>
      <c r="G41" s="4"/>
      <c r="H41">
        <v>7</v>
      </c>
      <c r="I41">
        <v>5.8</v>
      </c>
      <c r="J41" s="4"/>
      <c r="K41">
        <v>34</v>
      </c>
      <c r="L41">
        <v>18</v>
      </c>
    </row>
    <row r="42" spans="1:12" x14ac:dyDescent="0.35">
      <c r="A42">
        <v>2018</v>
      </c>
      <c r="B42">
        <v>55</v>
      </c>
      <c r="C42" t="s">
        <v>67</v>
      </c>
      <c r="D42" s="4">
        <v>327</v>
      </c>
      <c r="E42">
        <v>1510</v>
      </c>
      <c r="F42">
        <v>1080.4000000000001</v>
      </c>
      <c r="G42" s="4"/>
      <c r="J42" s="4"/>
      <c r="K42">
        <v>4</v>
      </c>
    </row>
    <row r="43" spans="1:12" x14ac:dyDescent="0.35">
      <c r="A43">
        <v>2018</v>
      </c>
      <c r="B43">
        <v>56</v>
      </c>
      <c r="C43" t="s">
        <v>68</v>
      </c>
      <c r="D43" s="4">
        <v>491</v>
      </c>
      <c r="E43">
        <v>3584</v>
      </c>
      <c r="F43">
        <v>2847.3</v>
      </c>
      <c r="G43" s="4"/>
      <c r="J43" s="4"/>
    </row>
    <row r="44" spans="1:12" x14ac:dyDescent="0.35">
      <c r="A44">
        <v>2018</v>
      </c>
      <c r="B44">
        <v>57</v>
      </c>
      <c r="C44" t="s">
        <v>69</v>
      </c>
      <c r="D44" s="4">
        <v>163</v>
      </c>
      <c r="E44">
        <v>691</v>
      </c>
      <c r="F44">
        <v>491.2</v>
      </c>
      <c r="G44" s="4"/>
      <c r="J44" s="4"/>
    </row>
    <row r="45" spans="1:12" x14ac:dyDescent="0.35">
      <c r="A45">
        <v>2018</v>
      </c>
      <c r="B45">
        <v>58</v>
      </c>
      <c r="C45" t="s">
        <v>70</v>
      </c>
      <c r="D45" s="4">
        <v>247</v>
      </c>
      <c r="E45">
        <v>1104</v>
      </c>
      <c r="F45">
        <v>814.9</v>
      </c>
      <c r="G45" s="4"/>
      <c r="J45" s="4"/>
    </row>
    <row r="46" spans="1:12" x14ac:dyDescent="0.35">
      <c r="A46">
        <v>2018</v>
      </c>
      <c r="B46">
        <v>59</v>
      </c>
      <c r="C46" t="s">
        <v>71</v>
      </c>
      <c r="D46" s="4">
        <v>79</v>
      </c>
      <c r="E46">
        <v>391</v>
      </c>
      <c r="F46">
        <v>329</v>
      </c>
      <c r="G46" s="4"/>
      <c r="J46" s="4"/>
    </row>
    <row r="47" spans="1:12" x14ac:dyDescent="0.35">
      <c r="A47">
        <v>2018</v>
      </c>
      <c r="B47">
        <v>60</v>
      </c>
      <c r="C47" t="s">
        <v>72</v>
      </c>
      <c r="D47" s="4">
        <v>212</v>
      </c>
      <c r="E47">
        <v>1266</v>
      </c>
      <c r="F47">
        <v>1042.4000000000001</v>
      </c>
      <c r="G47" s="4"/>
      <c r="J47" s="4"/>
      <c r="K47">
        <v>7</v>
      </c>
      <c r="L47">
        <v>5.7</v>
      </c>
    </row>
    <row r="48" spans="1:12" x14ac:dyDescent="0.35">
      <c r="A48">
        <v>2018</v>
      </c>
      <c r="B48">
        <v>61</v>
      </c>
      <c r="C48" t="s">
        <v>73</v>
      </c>
      <c r="D48" s="4">
        <v>90</v>
      </c>
      <c r="E48">
        <v>349</v>
      </c>
      <c r="F48">
        <v>244.7</v>
      </c>
      <c r="G48" s="4"/>
      <c r="J48" s="4"/>
    </row>
    <row r="49" spans="1:12" x14ac:dyDescent="0.35">
      <c r="A49">
        <v>2018</v>
      </c>
      <c r="B49">
        <v>62</v>
      </c>
      <c r="C49" t="s">
        <v>74</v>
      </c>
      <c r="D49" s="4">
        <v>1505</v>
      </c>
      <c r="E49">
        <v>37595</v>
      </c>
      <c r="F49">
        <v>30615</v>
      </c>
      <c r="G49" s="4">
        <v>11</v>
      </c>
      <c r="H49">
        <v>62</v>
      </c>
      <c r="I49">
        <v>57.5</v>
      </c>
      <c r="J49" s="4">
        <v>6</v>
      </c>
      <c r="K49">
        <v>42</v>
      </c>
      <c r="L49">
        <v>36.1</v>
      </c>
    </row>
    <row r="50" spans="1:12" x14ac:dyDescent="0.35">
      <c r="A50">
        <v>2018</v>
      </c>
      <c r="B50">
        <v>63</v>
      </c>
      <c r="C50" t="s">
        <v>75</v>
      </c>
      <c r="D50" s="4">
        <v>116</v>
      </c>
      <c r="E50">
        <v>407</v>
      </c>
      <c r="F50">
        <v>288.5</v>
      </c>
      <c r="G50" s="4"/>
      <c r="J50" s="4"/>
    </row>
    <row r="51" spans="1:12" x14ac:dyDescent="0.35">
      <c r="A51">
        <v>2018</v>
      </c>
      <c r="B51">
        <v>64</v>
      </c>
      <c r="C51" t="s">
        <v>76</v>
      </c>
      <c r="D51" s="4">
        <v>302</v>
      </c>
      <c r="E51">
        <v>1032</v>
      </c>
      <c r="F51">
        <v>768.9</v>
      </c>
      <c r="G51" s="4"/>
      <c r="J51" s="4"/>
      <c r="K51">
        <v>4</v>
      </c>
    </row>
    <row r="52" spans="1:12" x14ac:dyDescent="0.35">
      <c r="A52">
        <v>2018</v>
      </c>
      <c r="B52">
        <v>65</v>
      </c>
      <c r="C52" t="s">
        <v>77</v>
      </c>
      <c r="D52" s="4">
        <v>86</v>
      </c>
      <c r="E52">
        <v>230</v>
      </c>
      <c r="F52">
        <v>151.6</v>
      </c>
      <c r="G52" s="4"/>
      <c r="J52" s="4"/>
    </row>
    <row r="53" spans="1:12" x14ac:dyDescent="0.35">
      <c r="A53">
        <v>2018</v>
      </c>
      <c r="B53">
        <v>66</v>
      </c>
      <c r="C53" t="s">
        <v>78</v>
      </c>
      <c r="D53" s="4">
        <v>1423</v>
      </c>
      <c r="E53">
        <v>19333</v>
      </c>
      <c r="F53">
        <v>15470.9</v>
      </c>
      <c r="G53" s="4">
        <v>6</v>
      </c>
      <c r="H53">
        <v>10</v>
      </c>
      <c r="I53">
        <v>7.7</v>
      </c>
      <c r="J53" s="4">
        <v>3</v>
      </c>
      <c r="K53">
        <v>7</v>
      </c>
      <c r="L53">
        <v>5.8</v>
      </c>
    </row>
    <row r="54" spans="1:12" x14ac:dyDescent="0.35">
      <c r="A54">
        <v>2018</v>
      </c>
      <c r="B54">
        <v>67</v>
      </c>
      <c r="C54" t="s">
        <v>79</v>
      </c>
      <c r="D54" s="4">
        <v>244</v>
      </c>
      <c r="E54">
        <v>1359</v>
      </c>
      <c r="F54">
        <v>1048.7</v>
      </c>
      <c r="G54" s="4"/>
      <c r="J54" s="4"/>
      <c r="K54">
        <v>6</v>
      </c>
      <c r="L54">
        <v>4.9000000000000004</v>
      </c>
    </row>
    <row r="55" spans="1:12" x14ac:dyDescent="0.35">
      <c r="A55">
        <v>2018</v>
      </c>
      <c r="B55">
        <v>68</v>
      </c>
      <c r="C55" t="s">
        <v>80</v>
      </c>
      <c r="D55" s="4">
        <v>156</v>
      </c>
      <c r="E55">
        <v>456</v>
      </c>
      <c r="F55">
        <v>309.10000000000002</v>
      </c>
      <c r="G55" s="4"/>
      <c r="J55" s="4"/>
    </row>
    <row r="56" spans="1:12" x14ac:dyDescent="0.35">
      <c r="A56">
        <v>2018</v>
      </c>
      <c r="B56">
        <v>69</v>
      </c>
      <c r="C56" t="s">
        <v>81</v>
      </c>
      <c r="D56" s="4">
        <v>1413</v>
      </c>
      <c r="E56">
        <v>20401</v>
      </c>
      <c r="F56">
        <v>17019.2</v>
      </c>
      <c r="G56" s="4"/>
      <c r="H56">
        <v>5</v>
      </c>
      <c r="J56" s="4">
        <v>6</v>
      </c>
      <c r="K56">
        <v>25</v>
      </c>
      <c r="L56">
        <v>19.600000000000001</v>
      </c>
    </row>
    <row r="57" spans="1:12" x14ac:dyDescent="0.35">
      <c r="A57">
        <v>2018</v>
      </c>
      <c r="B57">
        <v>70</v>
      </c>
      <c r="C57" t="s">
        <v>82</v>
      </c>
      <c r="D57" s="4">
        <v>31</v>
      </c>
      <c r="E57">
        <v>74</v>
      </c>
      <c r="F57">
        <v>44.8</v>
      </c>
      <c r="G57" s="4"/>
      <c r="J57" s="4"/>
    </row>
    <row r="58" spans="1:12" x14ac:dyDescent="0.35">
      <c r="A58">
        <v>2018</v>
      </c>
      <c r="B58">
        <v>71</v>
      </c>
      <c r="C58" t="s">
        <v>83</v>
      </c>
      <c r="D58" s="4">
        <v>132</v>
      </c>
      <c r="E58">
        <v>543</v>
      </c>
      <c r="F58">
        <v>406.4</v>
      </c>
      <c r="G58" s="4"/>
      <c r="J58" s="4"/>
    </row>
    <row r="59" spans="1:12" x14ac:dyDescent="0.35">
      <c r="A59">
        <v>2018</v>
      </c>
      <c r="B59">
        <v>72</v>
      </c>
      <c r="C59" t="s">
        <v>84</v>
      </c>
      <c r="D59" s="4">
        <v>265</v>
      </c>
      <c r="E59">
        <v>974</v>
      </c>
      <c r="F59">
        <v>712.5</v>
      </c>
      <c r="G59" s="4"/>
      <c r="H59">
        <v>13</v>
      </c>
      <c r="I59">
        <v>11.5</v>
      </c>
      <c r="J59" s="4"/>
    </row>
    <row r="60" spans="1:12" x14ac:dyDescent="0.35">
      <c r="A60">
        <v>2018</v>
      </c>
      <c r="B60">
        <v>81</v>
      </c>
      <c r="C60" t="s">
        <v>85</v>
      </c>
      <c r="D60" s="4">
        <v>62</v>
      </c>
      <c r="E60">
        <v>264</v>
      </c>
      <c r="F60">
        <v>169.1</v>
      </c>
      <c r="G60" s="4"/>
      <c r="J60" s="4"/>
    </row>
    <row r="61" spans="1:12" x14ac:dyDescent="0.35">
      <c r="A61">
        <v>2018</v>
      </c>
      <c r="B61">
        <v>82</v>
      </c>
      <c r="C61" t="s">
        <v>86</v>
      </c>
      <c r="D61" s="4">
        <v>79</v>
      </c>
      <c r="E61">
        <v>318</v>
      </c>
      <c r="F61">
        <v>245.5</v>
      </c>
      <c r="G61" s="4"/>
      <c r="J61" s="4"/>
    </row>
    <row r="62" spans="1:12" x14ac:dyDescent="0.35">
      <c r="A62">
        <v>2018</v>
      </c>
      <c r="B62">
        <v>83</v>
      </c>
      <c r="C62" t="s">
        <v>87</v>
      </c>
      <c r="D62" s="4">
        <v>289</v>
      </c>
      <c r="E62">
        <v>2327</v>
      </c>
      <c r="F62">
        <v>1942.5</v>
      </c>
      <c r="G62" s="4"/>
      <c r="J62" s="4"/>
    </row>
    <row r="63" spans="1:12" x14ac:dyDescent="0.35">
      <c r="A63">
        <v>2018</v>
      </c>
      <c r="B63">
        <v>84</v>
      </c>
      <c r="C63" t="s">
        <v>88</v>
      </c>
      <c r="D63" s="4">
        <v>293</v>
      </c>
      <c r="E63">
        <v>2757</v>
      </c>
      <c r="F63">
        <v>2384.9</v>
      </c>
      <c r="G63" s="4"/>
      <c r="J63" s="4"/>
    </row>
    <row r="64" spans="1:12" x14ac:dyDescent="0.35">
      <c r="A64">
        <v>2018</v>
      </c>
      <c r="B64">
        <v>85</v>
      </c>
      <c r="C64" t="s">
        <v>89</v>
      </c>
      <c r="D64" s="4">
        <v>104</v>
      </c>
      <c r="E64">
        <v>434</v>
      </c>
      <c r="F64">
        <v>330.8</v>
      </c>
      <c r="G64" s="4"/>
      <c r="J64" s="4"/>
    </row>
    <row r="65" spans="1:12" x14ac:dyDescent="0.35">
      <c r="A65">
        <v>2018</v>
      </c>
      <c r="B65">
        <v>86</v>
      </c>
      <c r="C65" t="s">
        <v>90</v>
      </c>
      <c r="D65" s="4">
        <v>425</v>
      </c>
      <c r="E65">
        <v>4369</v>
      </c>
      <c r="F65">
        <v>3390.1</v>
      </c>
      <c r="G65" s="4"/>
      <c r="J65" s="4">
        <v>3</v>
      </c>
      <c r="K65">
        <v>12</v>
      </c>
      <c r="L65">
        <v>8.5</v>
      </c>
    </row>
    <row r="66" spans="1:12" x14ac:dyDescent="0.35">
      <c r="A66">
        <v>2018</v>
      </c>
      <c r="B66">
        <v>87</v>
      </c>
      <c r="C66" t="s">
        <v>91</v>
      </c>
      <c r="D66" s="4">
        <v>45</v>
      </c>
      <c r="E66">
        <v>129</v>
      </c>
      <c r="F66">
        <v>87</v>
      </c>
      <c r="G66" s="4"/>
      <c r="J66" s="4"/>
    </row>
    <row r="67" spans="1:12" x14ac:dyDescent="0.35">
      <c r="A67">
        <v>2018</v>
      </c>
      <c r="B67">
        <v>88</v>
      </c>
      <c r="C67" t="s">
        <v>92</v>
      </c>
      <c r="D67" s="4">
        <v>240</v>
      </c>
      <c r="E67">
        <v>637</v>
      </c>
      <c r="F67">
        <v>443.5</v>
      </c>
      <c r="G67" s="4"/>
      <c r="J67" s="4"/>
    </row>
    <row r="68" spans="1:12" x14ac:dyDescent="0.35">
      <c r="A68">
        <v>2018</v>
      </c>
      <c r="B68">
        <v>89</v>
      </c>
      <c r="C68" t="s">
        <v>93</v>
      </c>
      <c r="D68" s="4">
        <v>228</v>
      </c>
      <c r="E68">
        <v>1396</v>
      </c>
      <c r="F68">
        <v>1062.5999999999999</v>
      </c>
      <c r="G68" s="4"/>
      <c r="J68" s="4"/>
    </row>
    <row r="69" spans="1:12" x14ac:dyDescent="0.35">
      <c r="A69">
        <v>2018</v>
      </c>
      <c r="B69">
        <v>90</v>
      </c>
      <c r="C69" t="s">
        <v>94</v>
      </c>
      <c r="D69" s="4">
        <v>470</v>
      </c>
      <c r="E69">
        <v>2506</v>
      </c>
      <c r="F69">
        <v>1995.8</v>
      </c>
      <c r="G69" s="4"/>
      <c r="J69" s="4"/>
    </row>
    <row r="70" spans="1:12" x14ac:dyDescent="0.35">
      <c r="A70">
        <v>2018</v>
      </c>
      <c r="B70">
        <v>91</v>
      </c>
      <c r="C70" t="s">
        <v>95</v>
      </c>
      <c r="D70" s="4">
        <v>152</v>
      </c>
      <c r="E70">
        <v>861</v>
      </c>
      <c r="F70">
        <v>671.1</v>
      </c>
      <c r="G70" s="4">
        <v>3</v>
      </c>
      <c r="H70">
        <v>7</v>
      </c>
      <c r="I70">
        <v>4.2</v>
      </c>
      <c r="J70" s="4"/>
    </row>
    <row r="71" spans="1:12" x14ac:dyDescent="0.35">
      <c r="A71">
        <v>2018</v>
      </c>
      <c r="B71">
        <v>92</v>
      </c>
      <c r="C71" t="s">
        <v>96</v>
      </c>
      <c r="D71" s="4">
        <v>306</v>
      </c>
      <c r="E71">
        <v>1788</v>
      </c>
      <c r="F71">
        <v>1449</v>
      </c>
      <c r="G71" s="4"/>
      <c r="H71">
        <v>6</v>
      </c>
      <c r="I71">
        <v>5</v>
      </c>
      <c r="J71" s="4"/>
      <c r="K71">
        <v>4</v>
      </c>
    </row>
    <row r="72" spans="1:12" x14ac:dyDescent="0.35">
      <c r="A72">
        <v>2018</v>
      </c>
      <c r="B72">
        <v>93</v>
      </c>
      <c r="C72" t="s">
        <v>97</v>
      </c>
      <c r="D72" s="4">
        <v>88</v>
      </c>
      <c r="E72">
        <v>232</v>
      </c>
      <c r="F72">
        <v>168.1</v>
      </c>
      <c r="G72" s="4"/>
      <c r="J72" s="4"/>
    </row>
    <row r="73" spans="1:12" x14ac:dyDescent="0.35">
      <c r="A73">
        <v>2018</v>
      </c>
      <c r="B73">
        <v>94</v>
      </c>
      <c r="C73" t="s">
        <v>98</v>
      </c>
      <c r="D73" s="4">
        <v>264</v>
      </c>
      <c r="E73">
        <v>2384</v>
      </c>
      <c r="F73">
        <v>1945.4</v>
      </c>
      <c r="G73" s="4"/>
      <c r="H73">
        <v>9</v>
      </c>
      <c r="I73">
        <v>8.1999999999999993</v>
      </c>
      <c r="J73" s="4"/>
    </row>
    <row r="74" spans="1:12" x14ac:dyDescent="0.35">
      <c r="A74">
        <v>2018</v>
      </c>
      <c r="B74">
        <v>95</v>
      </c>
      <c r="C74" t="s">
        <v>99</v>
      </c>
      <c r="D74" s="4">
        <v>42</v>
      </c>
      <c r="E74">
        <v>258</v>
      </c>
      <c r="F74">
        <v>174.3</v>
      </c>
      <c r="G74" s="4"/>
      <c r="J74" s="4"/>
    </row>
    <row r="75" spans="1:12" x14ac:dyDescent="0.35">
      <c r="A75">
        <v>2018</v>
      </c>
      <c r="B75">
        <v>96</v>
      </c>
      <c r="C75" t="s">
        <v>100</v>
      </c>
      <c r="D75" s="4">
        <v>1271</v>
      </c>
      <c r="E75">
        <v>11123</v>
      </c>
      <c r="F75">
        <v>9002.5</v>
      </c>
      <c r="G75" s="4">
        <v>4</v>
      </c>
      <c r="H75">
        <v>22</v>
      </c>
      <c r="I75">
        <v>17.7</v>
      </c>
      <c r="J75" s="4">
        <v>4</v>
      </c>
      <c r="K75">
        <v>28</v>
      </c>
      <c r="L75">
        <v>26.6</v>
      </c>
    </row>
    <row r="76" spans="1:12" x14ac:dyDescent="0.35">
      <c r="A76">
        <v>2018</v>
      </c>
      <c r="B76">
        <v>97</v>
      </c>
      <c r="C76" t="s">
        <v>101</v>
      </c>
      <c r="D76" s="4">
        <v>736</v>
      </c>
      <c r="E76">
        <v>6210</v>
      </c>
      <c r="F76">
        <v>5168.8999999999996</v>
      </c>
      <c r="G76" s="4">
        <v>4</v>
      </c>
      <c r="H76">
        <v>7</v>
      </c>
      <c r="I76">
        <v>5.5</v>
      </c>
      <c r="J76" s="4"/>
      <c r="K76">
        <v>5</v>
      </c>
      <c r="L76">
        <v>4</v>
      </c>
    </row>
    <row r="77" spans="1:12" x14ac:dyDescent="0.35">
      <c r="A77">
        <v>2018</v>
      </c>
      <c r="B77">
        <v>98</v>
      </c>
      <c r="C77" t="s">
        <v>102</v>
      </c>
      <c r="D77" s="4">
        <v>54</v>
      </c>
      <c r="E77">
        <v>122</v>
      </c>
      <c r="F77">
        <v>81.400000000000006</v>
      </c>
      <c r="G77" s="4"/>
      <c r="J77" s="4"/>
    </row>
    <row r="78" spans="1:12" x14ac:dyDescent="0.35">
      <c r="A78">
        <v>2018</v>
      </c>
      <c r="B78">
        <v>99</v>
      </c>
      <c r="C78" t="s">
        <v>103</v>
      </c>
      <c r="D78" s="4">
        <v>93</v>
      </c>
      <c r="E78">
        <v>347</v>
      </c>
      <c r="F78">
        <v>217.9</v>
      </c>
      <c r="G78" s="4"/>
      <c r="J78" s="4"/>
    </row>
    <row r="79" spans="1:12" x14ac:dyDescent="0.35">
      <c r="A79">
        <v>2018</v>
      </c>
      <c r="B79">
        <v>100</v>
      </c>
      <c r="C79" t="s">
        <v>104</v>
      </c>
      <c r="D79" s="4">
        <v>150</v>
      </c>
      <c r="E79">
        <v>501</v>
      </c>
      <c r="F79">
        <v>356.7</v>
      </c>
      <c r="G79" s="4"/>
      <c r="J79" s="4"/>
    </row>
    <row r="80" spans="1:12" x14ac:dyDescent="0.35">
      <c r="A80">
        <v>2018</v>
      </c>
      <c r="B80">
        <v>101</v>
      </c>
      <c r="C80" t="s">
        <v>105</v>
      </c>
      <c r="D80" s="4">
        <v>217</v>
      </c>
      <c r="E80">
        <v>828</v>
      </c>
      <c r="F80">
        <v>584.79999999999995</v>
      </c>
      <c r="G80" s="4"/>
      <c r="J80" s="4"/>
    </row>
    <row r="81" spans="1:12" x14ac:dyDescent="0.35">
      <c r="A81">
        <v>2018</v>
      </c>
      <c r="B81">
        <v>102</v>
      </c>
      <c r="C81" t="s">
        <v>106</v>
      </c>
      <c r="D81" s="4">
        <v>95</v>
      </c>
      <c r="E81">
        <v>291</v>
      </c>
      <c r="F81">
        <v>220.7</v>
      </c>
      <c r="G81" s="4"/>
      <c r="J81" s="4"/>
    </row>
    <row r="82" spans="1:12" x14ac:dyDescent="0.35">
      <c r="A82">
        <v>2018</v>
      </c>
      <c r="B82">
        <v>111</v>
      </c>
      <c r="C82" t="s">
        <v>107</v>
      </c>
      <c r="D82" s="4">
        <v>401</v>
      </c>
      <c r="E82">
        <v>1657</v>
      </c>
      <c r="F82">
        <v>1164.7</v>
      </c>
      <c r="G82" s="4"/>
      <c r="J82" s="4"/>
    </row>
    <row r="83" spans="1:12" x14ac:dyDescent="0.35">
      <c r="A83">
        <v>2018</v>
      </c>
      <c r="B83">
        <v>112</v>
      </c>
      <c r="C83" t="s">
        <v>108</v>
      </c>
      <c r="D83" s="4">
        <v>557</v>
      </c>
      <c r="E83">
        <v>3617</v>
      </c>
      <c r="F83">
        <v>2813.4</v>
      </c>
      <c r="G83" s="4"/>
      <c r="J83" s="4"/>
    </row>
    <row r="84" spans="1:12" x14ac:dyDescent="0.35">
      <c r="A84">
        <v>2018</v>
      </c>
      <c r="B84">
        <v>113</v>
      </c>
      <c r="C84" t="s">
        <v>109</v>
      </c>
      <c r="D84" s="4">
        <v>433</v>
      </c>
      <c r="E84">
        <v>1840</v>
      </c>
      <c r="F84">
        <v>1262.3</v>
      </c>
      <c r="G84" s="4"/>
      <c r="H84">
        <v>17</v>
      </c>
      <c r="I84">
        <v>8.1999999999999993</v>
      </c>
      <c r="J84" s="4"/>
    </row>
    <row r="85" spans="1:12" x14ac:dyDescent="0.35">
      <c r="A85">
        <v>2018</v>
      </c>
      <c r="B85">
        <v>114</v>
      </c>
      <c r="C85" t="s">
        <v>110</v>
      </c>
      <c r="D85" s="4">
        <v>205</v>
      </c>
      <c r="E85">
        <v>668</v>
      </c>
      <c r="F85">
        <v>481.2</v>
      </c>
      <c r="G85" s="4"/>
      <c r="J85" s="4"/>
      <c r="K85">
        <v>4</v>
      </c>
    </row>
    <row r="86" spans="1:12" x14ac:dyDescent="0.35">
      <c r="A86">
        <v>2018</v>
      </c>
      <c r="B86">
        <v>115</v>
      </c>
      <c r="C86" t="s">
        <v>111</v>
      </c>
      <c r="D86" s="4">
        <v>630</v>
      </c>
      <c r="E86">
        <v>2676</v>
      </c>
      <c r="F86">
        <v>1986.6</v>
      </c>
      <c r="G86" s="4"/>
      <c r="J86" s="4"/>
    </row>
    <row r="87" spans="1:12" x14ac:dyDescent="0.35">
      <c r="A87">
        <v>2018</v>
      </c>
      <c r="B87">
        <v>116</v>
      </c>
      <c r="C87" t="s">
        <v>112</v>
      </c>
      <c r="D87" s="4">
        <v>260</v>
      </c>
      <c r="E87">
        <v>1809</v>
      </c>
      <c r="F87">
        <v>1428.5</v>
      </c>
      <c r="G87" s="4"/>
      <c r="J87" s="4"/>
    </row>
    <row r="88" spans="1:12" x14ac:dyDescent="0.35">
      <c r="A88">
        <v>2018</v>
      </c>
      <c r="B88">
        <v>117</v>
      </c>
      <c r="C88" t="s">
        <v>113</v>
      </c>
      <c r="D88" s="4">
        <v>881</v>
      </c>
      <c r="E88">
        <v>6991</v>
      </c>
      <c r="F88">
        <v>5740.5</v>
      </c>
      <c r="G88" s="4"/>
      <c r="H88">
        <v>5</v>
      </c>
      <c r="I88">
        <v>4</v>
      </c>
      <c r="J88" s="4"/>
    </row>
    <row r="89" spans="1:12" x14ac:dyDescent="0.35">
      <c r="A89">
        <v>2018</v>
      </c>
      <c r="B89">
        <v>118</v>
      </c>
      <c r="C89" t="s">
        <v>114</v>
      </c>
      <c r="D89" s="4">
        <v>855</v>
      </c>
      <c r="E89">
        <v>5039</v>
      </c>
      <c r="F89">
        <v>3716.3</v>
      </c>
      <c r="G89" s="4">
        <v>6</v>
      </c>
      <c r="H89">
        <v>16</v>
      </c>
      <c r="I89">
        <v>13.1</v>
      </c>
      <c r="J89" s="4">
        <v>4</v>
      </c>
      <c r="K89">
        <v>8</v>
      </c>
      <c r="L89">
        <v>5.9</v>
      </c>
    </row>
    <row r="90" spans="1:12" x14ac:dyDescent="0.35">
      <c r="A90">
        <v>2018</v>
      </c>
      <c r="B90">
        <v>119</v>
      </c>
      <c r="C90" t="s">
        <v>115</v>
      </c>
      <c r="D90" s="4">
        <v>122</v>
      </c>
      <c r="E90">
        <v>583</v>
      </c>
      <c r="F90">
        <v>395.2</v>
      </c>
      <c r="G90" s="4"/>
      <c r="J90" s="4"/>
    </row>
    <row r="91" spans="1:12" x14ac:dyDescent="0.35">
      <c r="A91">
        <v>2018</v>
      </c>
      <c r="B91">
        <v>120</v>
      </c>
      <c r="C91" t="s">
        <v>116</v>
      </c>
      <c r="D91" s="4">
        <v>653</v>
      </c>
      <c r="E91">
        <v>3454</v>
      </c>
      <c r="F91">
        <v>2560.1999999999998</v>
      </c>
      <c r="G91" s="4">
        <v>4</v>
      </c>
      <c r="H91">
        <v>4</v>
      </c>
      <c r="J91" s="4"/>
      <c r="K91">
        <v>6</v>
      </c>
      <c r="L91">
        <v>4.9000000000000004</v>
      </c>
    </row>
    <row r="92" spans="1:12" x14ac:dyDescent="0.35">
      <c r="A92">
        <v>2018</v>
      </c>
      <c r="B92">
        <v>121</v>
      </c>
      <c r="C92" t="s">
        <v>117</v>
      </c>
      <c r="D92" s="4">
        <v>1799</v>
      </c>
      <c r="E92">
        <v>14153</v>
      </c>
      <c r="F92">
        <v>10418.9</v>
      </c>
      <c r="G92" s="4">
        <v>6</v>
      </c>
      <c r="H92">
        <v>13</v>
      </c>
      <c r="I92">
        <v>8.4</v>
      </c>
      <c r="J92" s="4"/>
    </row>
    <row r="93" spans="1:12" x14ac:dyDescent="0.35">
      <c r="A93">
        <v>2018</v>
      </c>
      <c r="B93">
        <v>131</v>
      </c>
      <c r="C93" t="s">
        <v>118</v>
      </c>
      <c r="D93" s="4">
        <v>1020</v>
      </c>
      <c r="E93">
        <v>7511</v>
      </c>
      <c r="F93">
        <v>5874.9</v>
      </c>
      <c r="G93" s="4"/>
      <c r="J93" s="4">
        <v>7</v>
      </c>
      <c r="K93">
        <v>11</v>
      </c>
      <c r="L93">
        <v>7.7</v>
      </c>
    </row>
    <row r="94" spans="1:12" x14ac:dyDescent="0.35">
      <c r="A94">
        <v>2018</v>
      </c>
      <c r="B94">
        <v>135</v>
      </c>
      <c r="C94" t="s">
        <v>119</v>
      </c>
      <c r="D94" s="4">
        <v>569</v>
      </c>
      <c r="E94">
        <v>4130</v>
      </c>
      <c r="F94">
        <v>3143</v>
      </c>
      <c r="G94" s="4"/>
      <c r="H94">
        <v>4</v>
      </c>
      <c r="J94" s="4">
        <v>3</v>
      </c>
    </row>
    <row r="95" spans="1:12" x14ac:dyDescent="0.35">
      <c r="A95">
        <v>2018</v>
      </c>
      <c r="B95">
        <v>136</v>
      </c>
      <c r="C95" t="s">
        <v>120</v>
      </c>
      <c r="D95" s="4">
        <v>367</v>
      </c>
      <c r="E95">
        <v>1533</v>
      </c>
      <c r="F95">
        <v>1077</v>
      </c>
      <c r="G95" s="4"/>
      <c r="J95" s="4">
        <v>3</v>
      </c>
      <c r="K95">
        <v>4</v>
      </c>
    </row>
    <row r="96" spans="1:12" x14ac:dyDescent="0.35">
      <c r="A96">
        <v>2018</v>
      </c>
      <c r="B96">
        <v>137</v>
      </c>
      <c r="C96" t="s">
        <v>121</v>
      </c>
      <c r="D96" s="4">
        <v>294</v>
      </c>
      <c r="E96">
        <v>1014</v>
      </c>
      <c r="F96">
        <v>695.9</v>
      </c>
      <c r="G96" s="4"/>
      <c r="H96">
        <v>17</v>
      </c>
      <c r="I96">
        <v>11.3</v>
      </c>
      <c r="J96" s="4"/>
    </row>
    <row r="97" spans="1:12" x14ac:dyDescent="0.35">
      <c r="A97">
        <v>2018</v>
      </c>
      <c r="B97">
        <v>138</v>
      </c>
      <c r="C97" t="s">
        <v>122</v>
      </c>
      <c r="D97" s="4">
        <v>804</v>
      </c>
      <c r="E97">
        <v>4299</v>
      </c>
      <c r="F97">
        <v>3376</v>
      </c>
      <c r="G97" s="4">
        <v>4</v>
      </c>
      <c r="H97">
        <v>5</v>
      </c>
      <c r="J97" s="4">
        <v>7</v>
      </c>
      <c r="K97">
        <v>15</v>
      </c>
      <c r="L97">
        <v>12.1</v>
      </c>
    </row>
    <row r="98" spans="1:12" x14ac:dyDescent="0.35">
      <c r="A98">
        <v>2018</v>
      </c>
      <c r="B98">
        <v>139</v>
      </c>
      <c r="C98" t="s">
        <v>123</v>
      </c>
      <c r="D98" s="4">
        <v>431</v>
      </c>
      <c r="E98">
        <v>3039</v>
      </c>
      <c r="F98">
        <v>2343.6</v>
      </c>
      <c r="G98" s="4"/>
      <c r="H98">
        <v>7</v>
      </c>
      <c r="I98">
        <v>4.3</v>
      </c>
      <c r="J98" s="4"/>
    </row>
    <row r="99" spans="1:12" x14ac:dyDescent="0.35">
      <c r="A99">
        <v>2018</v>
      </c>
      <c r="B99">
        <v>141</v>
      </c>
      <c r="C99" t="s">
        <v>124</v>
      </c>
      <c r="D99" s="4">
        <v>1300</v>
      </c>
      <c r="E99">
        <v>6583</v>
      </c>
      <c r="F99">
        <v>4796.8</v>
      </c>
      <c r="G99" s="4"/>
      <c r="J99" s="4">
        <v>5</v>
      </c>
      <c r="K99">
        <v>7</v>
      </c>
      <c r="L99">
        <v>4.8</v>
      </c>
    </row>
    <row r="100" spans="1:12" x14ac:dyDescent="0.35">
      <c r="A100">
        <v>2018</v>
      </c>
      <c r="B100">
        <v>151</v>
      </c>
      <c r="C100" t="s">
        <v>125</v>
      </c>
      <c r="D100" s="4">
        <v>481</v>
      </c>
      <c r="E100">
        <v>1936</v>
      </c>
      <c r="F100">
        <v>1367</v>
      </c>
      <c r="G100" s="4"/>
      <c r="H100">
        <v>10</v>
      </c>
      <c r="I100">
        <v>8.4</v>
      </c>
      <c r="J100" s="4"/>
    </row>
    <row r="101" spans="1:12" x14ac:dyDescent="0.35">
      <c r="A101">
        <v>2018</v>
      </c>
      <c r="B101">
        <v>152</v>
      </c>
      <c r="C101" t="s">
        <v>126</v>
      </c>
      <c r="D101" s="4">
        <v>438</v>
      </c>
      <c r="E101">
        <v>1398</v>
      </c>
      <c r="F101">
        <v>1000.3</v>
      </c>
      <c r="G101" s="4">
        <v>4</v>
      </c>
      <c r="H101">
        <v>6</v>
      </c>
      <c r="I101">
        <v>4.5999999999999996</v>
      </c>
      <c r="J101" s="4"/>
    </row>
    <row r="102" spans="1:12" x14ac:dyDescent="0.35">
      <c r="A102">
        <v>2018</v>
      </c>
      <c r="B102">
        <v>153</v>
      </c>
      <c r="C102" t="s">
        <v>127</v>
      </c>
      <c r="D102" s="4">
        <v>610</v>
      </c>
      <c r="E102">
        <v>2901</v>
      </c>
      <c r="F102">
        <v>2102.1</v>
      </c>
      <c r="G102" s="4">
        <v>3</v>
      </c>
      <c r="H102">
        <v>16</v>
      </c>
      <c r="I102">
        <v>14.6</v>
      </c>
      <c r="J102" s="4"/>
    </row>
    <row r="103" spans="1:12" x14ac:dyDescent="0.35">
      <c r="A103">
        <v>2018</v>
      </c>
      <c r="B103">
        <v>154</v>
      </c>
      <c r="C103" t="s">
        <v>128</v>
      </c>
      <c r="D103" s="4">
        <v>1269</v>
      </c>
      <c r="E103">
        <v>6368</v>
      </c>
      <c r="F103">
        <v>4766.1000000000004</v>
      </c>
      <c r="G103" s="4">
        <v>7</v>
      </c>
      <c r="H103">
        <v>10</v>
      </c>
      <c r="I103">
        <v>7.3</v>
      </c>
      <c r="J103" s="4">
        <v>5</v>
      </c>
      <c r="K103">
        <v>5</v>
      </c>
    </row>
    <row r="104" spans="1:12" x14ac:dyDescent="0.35">
      <c r="A104">
        <v>2018</v>
      </c>
      <c r="B104">
        <v>155</v>
      </c>
      <c r="C104" t="s">
        <v>129</v>
      </c>
      <c r="D104" s="4">
        <v>778</v>
      </c>
      <c r="E104">
        <v>5102</v>
      </c>
      <c r="F104">
        <v>3930.4</v>
      </c>
      <c r="G104" s="4">
        <v>4</v>
      </c>
      <c r="H104">
        <v>7</v>
      </c>
      <c r="I104">
        <v>5.2</v>
      </c>
      <c r="J104" s="4">
        <v>3</v>
      </c>
      <c r="K104">
        <v>9</v>
      </c>
      <c r="L104">
        <v>5.2</v>
      </c>
    </row>
    <row r="105" spans="1:12" x14ac:dyDescent="0.35">
      <c r="A105">
        <v>2018</v>
      </c>
      <c r="B105">
        <v>156</v>
      </c>
      <c r="C105" t="s">
        <v>130</v>
      </c>
      <c r="D105" s="4">
        <v>1122</v>
      </c>
      <c r="E105">
        <v>5917</v>
      </c>
      <c r="F105">
        <v>4458.3999999999996</v>
      </c>
      <c r="G105" s="4">
        <v>5</v>
      </c>
      <c r="H105">
        <v>20</v>
      </c>
      <c r="I105">
        <v>18</v>
      </c>
      <c r="J105" s="4">
        <v>5</v>
      </c>
      <c r="K105">
        <v>22</v>
      </c>
      <c r="L105">
        <v>18.3</v>
      </c>
    </row>
    <row r="106" spans="1:12" x14ac:dyDescent="0.35">
      <c r="A106">
        <v>2018</v>
      </c>
      <c r="B106">
        <v>157</v>
      </c>
      <c r="C106" t="s">
        <v>131</v>
      </c>
      <c r="D106" s="4">
        <v>294</v>
      </c>
      <c r="E106">
        <v>2300</v>
      </c>
      <c r="F106">
        <v>1732.5</v>
      </c>
      <c r="G106" s="4"/>
      <c r="J106" s="4"/>
    </row>
    <row r="107" spans="1:12" x14ac:dyDescent="0.35">
      <c r="A107">
        <v>2018</v>
      </c>
      <c r="B107">
        <v>158</v>
      </c>
      <c r="C107" t="s">
        <v>132</v>
      </c>
      <c r="D107" s="4">
        <v>1058</v>
      </c>
      <c r="E107">
        <v>6188</v>
      </c>
      <c r="F107">
        <v>4847.3999999999996</v>
      </c>
      <c r="G107" s="4">
        <v>4</v>
      </c>
      <c r="H107">
        <v>5</v>
      </c>
      <c r="J107" s="4">
        <v>6</v>
      </c>
      <c r="K107">
        <v>20</v>
      </c>
      <c r="L107">
        <v>16.100000000000001</v>
      </c>
    </row>
    <row r="108" spans="1:12" x14ac:dyDescent="0.35">
      <c r="A108">
        <v>2018</v>
      </c>
      <c r="B108">
        <v>159</v>
      </c>
      <c r="C108" t="s">
        <v>133</v>
      </c>
      <c r="D108" s="4">
        <v>371</v>
      </c>
      <c r="E108">
        <v>1491</v>
      </c>
      <c r="F108">
        <v>1081.7</v>
      </c>
      <c r="G108" s="4"/>
      <c r="J108" s="4">
        <v>3</v>
      </c>
      <c r="K108">
        <v>38</v>
      </c>
      <c r="L108">
        <v>26</v>
      </c>
    </row>
    <row r="109" spans="1:12" x14ac:dyDescent="0.35">
      <c r="A109">
        <v>2018</v>
      </c>
      <c r="B109">
        <v>160</v>
      </c>
      <c r="C109" t="s">
        <v>134</v>
      </c>
      <c r="D109" s="4">
        <v>375</v>
      </c>
      <c r="E109">
        <v>1843</v>
      </c>
      <c r="F109">
        <v>1297.2</v>
      </c>
      <c r="G109" s="4"/>
      <c r="J109" s="4">
        <v>4</v>
      </c>
      <c r="K109">
        <v>10</v>
      </c>
      <c r="L109">
        <v>7.7</v>
      </c>
    </row>
    <row r="110" spans="1:12" x14ac:dyDescent="0.35">
      <c r="A110">
        <v>2018</v>
      </c>
      <c r="B110">
        <v>161</v>
      </c>
      <c r="C110" t="s">
        <v>135</v>
      </c>
      <c r="D110" s="4">
        <v>1112</v>
      </c>
      <c r="E110">
        <v>5713</v>
      </c>
      <c r="F110">
        <v>4167.8999999999996</v>
      </c>
      <c r="G110" s="4">
        <v>3</v>
      </c>
      <c r="J110" s="4">
        <v>12</v>
      </c>
      <c r="K110">
        <v>18</v>
      </c>
      <c r="L110">
        <v>12.9</v>
      </c>
    </row>
    <row r="111" spans="1:12" x14ac:dyDescent="0.35">
      <c r="A111">
        <v>2018</v>
      </c>
      <c r="B111">
        <v>172</v>
      </c>
      <c r="C111" t="s">
        <v>136</v>
      </c>
      <c r="D111" s="4">
        <v>448</v>
      </c>
      <c r="E111">
        <v>4388</v>
      </c>
      <c r="F111">
        <v>3470.3</v>
      </c>
      <c r="G111" s="4"/>
      <c r="J111" s="4"/>
    </row>
    <row r="112" spans="1:12" x14ac:dyDescent="0.35">
      <c r="A112">
        <v>2018</v>
      </c>
      <c r="B112">
        <v>173</v>
      </c>
      <c r="C112" t="s">
        <v>137</v>
      </c>
      <c r="D112" s="4">
        <v>246</v>
      </c>
      <c r="E112">
        <v>783</v>
      </c>
      <c r="F112">
        <v>577.29999999999995</v>
      </c>
      <c r="G112" s="4"/>
      <c r="J112" s="4"/>
    </row>
    <row r="113" spans="1:12" x14ac:dyDescent="0.35">
      <c r="A113">
        <v>2018</v>
      </c>
      <c r="B113">
        <v>176</v>
      </c>
      <c r="C113" t="s">
        <v>138</v>
      </c>
      <c r="D113" s="4">
        <v>355</v>
      </c>
      <c r="E113">
        <v>2768</v>
      </c>
      <c r="F113">
        <v>2217.9</v>
      </c>
      <c r="G113" s="4"/>
      <c r="J113" s="4"/>
      <c r="K113">
        <v>11</v>
      </c>
      <c r="L113">
        <v>10.4</v>
      </c>
    </row>
    <row r="114" spans="1:12" x14ac:dyDescent="0.35">
      <c r="A114">
        <v>2018</v>
      </c>
      <c r="B114">
        <v>177</v>
      </c>
      <c r="C114" t="s">
        <v>139</v>
      </c>
      <c r="D114" s="4">
        <v>813</v>
      </c>
      <c r="E114">
        <v>5720</v>
      </c>
      <c r="F114">
        <v>4152.1000000000004</v>
      </c>
      <c r="G114" s="4"/>
      <c r="J114" s="4">
        <v>3</v>
      </c>
      <c r="K114">
        <v>5</v>
      </c>
    </row>
    <row r="115" spans="1:12" x14ac:dyDescent="0.35">
      <c r="A115">
        <v>2018</v>
      </c>
      <c r="B115">
        <v>178</v>
      </c>
      <c r="C115" t="s">
        <v>140</v>
      </c>
      <c r="D115" s="4">
        <v>281</v>
      </c>
      <c r="E115">
        <v>1219</v>
      </c>
      <c r="F115">
        <v>915.4</v>
      </c>
      <c r="G115" s="4"/>
      <c r="J115" s="4"/>
    </row>
    <row r="116" spans="1:12" x14ac:dyDescent="0.35">
      <c r="A116">
        <v>2018</v>
      </c>
      <c r="B116">
        <v>180</v>
      </c>
      <c r="C116" t="s">
        <v>141</v>
      </c>
      <c r="D116" s="4">
        <v>230</v>
      </c>
      <c r="E116">
        <v>886</v>
      </c>
      <c r="F116">
        <v>635.20000000000005</v>
      </c>
      <c r="G116" s="4"/>
      <c r="J116" s="4"/>
    </row>
    <row r="117" spans="1:12" x14ac:dyDescent="0.35">
      <c r="A117">
        <v>2018</v>
      </c>
      <c r="B117">
        <v>181</v>
      </c>
      <c r="C117" t="s">
        <v>142</v>
      </c>
      <c r="D117" s="4">
        <v>162</v>
      </c>
      <c r="E117">
        <v>613</v>
      </c>
      <c r="F117">
        <v>446.4</v>
      </c>
      <c r="G117" s="4"/>
      <c r="J117" s="4"/>
    </row>
    <row r="118" spans="1:12" x14ac:dyDescent="0.35">
      <c r="A118">
        <v>2018</v>
      </c>
      <c r="B118">
        <v>182</v>
      </c>
      <c r="C118" t="s">
        <v>143</v>
      </c>
      <c r="D118" s="4">
        <v>81</v>
      </c>
      <c r="E118">
        <v>244</v>
      </c>
      <c r="F118">
        <v>168.3</v>
      </c>
      <c r="G118" s="4"/>
      <c r="J118" s="4"/>
    </row>
    <row r="119" spans="1:12" x14ac:dyDescent="0.35">
      <c r="A119">
        <v>2018</v>
      </c>
      <c r="B119">
        <v>191</v>
      </c>
      <c r="C119" t="s">
        <v>144</v>
      </c>
      <c r="D119" s="4">
        <v>1912</v>
      </c>
      <c r="E119">
        <v>20133</v>
      </c>
      <c r="F119">
        <v>16041.3</v>
      </c>
      <c r="G119" s="4">
        <v>4</v>
      </c>
      <c r="H119">
        <v>15</v>
      </c>
      <c r="I119">
        <v>12.1</v>
      </c>
      <c r="J119" s="4">
        <v>5</v>
      </c>
      <c r="K119">
        <v>7</v>
      </c>
      <c r="L119">
        <v>6</v>
      </c>
    </row>
    <row r="120" spans="1:12" x14ac:dyDescent="0.35">
      <c r="A120">
        <v>2018</v>
      </c>
      <c r="B120">
        <v>192</v>
      </c>
      <c r="C120" t="s">
        <v>145</v>
      </c>
      <c r="D120" s="4">
        <v>579</v>
      </c>
      <c r="E120">
        <v>2475</v>
      </c>
      <c r="F120">
        <v>1854.9</v>
      </c>
      <c r="G120" s="4"/>
      <c r="J120" s="4">
        <v>3</v>
      </c>
    </row>
    <row r="121" spans="1:12" x14ac:dyDescent="0.35">
      <c r="A121">
        <v>2018</v>
      </c>
      <c r="B121">
        <v>193</v>
      </c>
      <c r="C121" t="s">
        <v>146</v>
      </c>
      <c r="D121" s="4">
        <v>503</v>
      </c>
      <c r="E121">
        <v>2950</v>
      </c>
      <c r="F121">
        <v>2420.1</v>
      </c>
      <c r="G121" s="4">
        <v>4</v>
      </c>
      <c r="H121">
        <v>4</v>
      </c>
      <c r="J121" s="4"/>
      <c r="K121">
        <v>5</v>
      </c>
    </row>
    <row r="122" spans="1:12" x14ac:dyDescent="0.35">
      <c r="A122">
        <v>2018</v>
      </c>
      <c r="B122">
        <v>194</v>
      </c>
      <c r="C122" t="s">
        <v>147</v>
      </c>
      <c r="D122" s="4">
        <v>225</v>
      </c>
      <c r="E122">
        <v>1672</v>
      </c>
      <c r="F122">
        <v>1238.5999999999999</v>
      </c>
      <c r="G122" s="4"/>
      <c r="J122" s="4"/>
    </row>
    <row r="123" spans="1:12" x14ac:dyDescent="0.35">
      <c r="A123">
        <v>2018</v>
      </c>
      <c r="B123">
        <v>195</v>
      </c>
      <c r="C123" t="s">
        <v>148</v>
      </c>
      <c r="D123" s="4">
        <v>643</v>
      </c>
      <c r="E123">
        <v>2206</v>
      </c>
      <c r="F123">
        <v>1559.9</v>
      </c>
      <c r="G123" s="4">
        <v>3</v>
      </c>
      <c r="H123">
        <v>4</v>
      </c>
      <c r="J123" s="4">
        <v>3</v>
      </c>
      <c r="K123">
        <v>5</v>
      </c>
      <c r="L123">
        <v>4.0999999999999996</v>
      </c>
    </row>
    <row r="124" spans="1:12" x14ac:dyDescent="0.35">
      <c r="A124">
        <v>2018</v>
      </c>
      <c r="B124">
        <v>196</v>
      </c>
      <c r="C124" t="s">
        <v>149</v>
      </c>
      <c r="D124" s="4">
        <v>253</v>
      </c>
      <c r="E124">
        <v>1361</v>
      </c>
      <c r="F124">
        <v>1064.9000000000001</v>
      </c>
      <c r="G124" s="4"/>
      <c r="J124" s="4"/>
    </row>
    <row r="125" spans="1:12" x14ac:dyDescent="0.35">
      <c r="A125">
        <v>2018</v>
      </c>
      <c r="B125">
        <v>197</v>
      </c>
      <c r="C125" t="s">
        <v>150</v>
      </c>
      <c r="D125" s="4">
        <v>306</v>
      </c>
      <c r="E125">
        <v>2646</v>
      </c>
      <c r="F125">
        <v>2087.8000000000002</v>
      </c>
      <c r="G125" s="4"/>
      <c r="J125" s="4"/>
      <c r="K125">
        <v>4</v>
      </c>
      <c r="L125">
        <v>4</v>
      </c>
    </row>
    <row r="126" spans="1:12" x14ac:dyDescent="0.35">
      <c r="A126">
        <v>2018</v>
      </c>
      <c r="B126">
        <v>198</v>
      </c>
      <c r="C126" t="s">
        <v>151</v>
      </c>
      <c r="D126" s="4">
        <v>2478</v>
      </c>
      <c r="E126">
        <v>17606</v>
      </c>
      <c r="F126">
        <v>13307.5</v>
      </c>
      <c r="G126" s="4">
        <v>6</v>
      </c>
      <c r="H126">
        <v>9</v>
      </c>
      <c r="I126">
        <v>6.9</v>
      </c>
      <c r="J126" s="4">
        <v>6</v>
      </c>
      <c r="K126">
        <v>12</v>
      </c>
      <c r="L126">
        <v>8.1</v>
      </c>
    </row>
    <row r="127" spans="1:12" x14ac:dyDescent="0.35">
      <c r="A127">
        <v>2018</v>
      </c>
      <c r="B127">
        <v>199</v>
      </c>
      <c r="C127" t="s">
        <v>152</v>
      </c>
      <c r="D127" s="4">
        <v>1244</v>
      </c>
      <c r="E127">
        <v>11275</v>
      </c>
      <c r="F127">
        <v>9002.1</v>
      </c>
      <c r="G127" s="4">
        <v>3</v>
      </c>
      <c r="H127">
        <v>6</v>
      </c>
      <c r="I127">
        <v>5.6</v>
      </c>
      <c r="J127" s="4">
        <v>5</v>
      </c>
      <c r="K127">
        <v>10</v>
      </c>
      <c r="L127">
        <v>6.7</v>
      </c>
    </row>
    <row r="128" spans="1:12" x14ac:dyDescent="0.35">
      <c r="A128">
        <v>2018</v>
      </c>
      <c r="B128">
        <v>200</v>
      </c>
      <c r="C128" t="s">
        <v>153</v>
      </c>
      <c r="D128" s="4">
        <v>563</v>
      </c>
      <c r="E128">
        <v>5860</v>
      </c>
      <c r="F128">
        <v>4597.5</v>
      </c>
      <c r="G128" s="4"/>
      <c r="H128">
        <v>4</v>
      </c>
      <c r="J128" s="4"/>
      <c r="K128">
        <v>7</v>
      </c>
      <c r="L128">
        <v>6.4</v>
      </c>
    </row>
    <row r="129" spans="1:12" x14ac:dyDescent="0.35">
      <c r="A129">
        <v>2018</v>
      </c>
      <c r="B129">
        <v>211</v>
      </c>
      <c r="C129" t="s">
        <v>154</v>
      </c>
      <c r="D129" s="4">
        <v>61</v>
      </c>
      <c r="E129">
        <v>144</v>
      </c>
      <c r="F129">
        <v>87.4</v>
      </c>
      <c r="G129" s="4"/>
      <c r="J129" s="4"/>
    </row>
    <row r="130" spans="1:12" x14ac:dyDescent="0.35">
      <c r="A130">
        <v>2018</v>
      </c>
      <c r="B130">
        <v>213</v>
      </c>
      <c r="C130" t="s">
        <v>155</v>
      </c>
      <c r="D130" s="4">
        <v>130</v>
      </c>
      <c r="E130">
        <v>389</v>
      </c>
      <c r="F130">
        <v>273.89999999999998</v>
      </c>
      <c r="G130" s="4"/>
      <c r="J130" s="4"/>
    </row>
    <row r="131" spans="1:12" x14ac:dyDescent="0.35">
      <c r="A131">
        <v>2018</v>
      </c>
      <c r="B131">
        <v>214</v>
      </c>
      <c r="C131" t="s">
        <v>156</v>
      </c>
      <c r="D131" s="4">
        <v>87</v>
      </c>
      <c r="E131">
        <v>268</v>
      </c>
      <c r="F131">
        <v>165.8</v>
      </c>
      <c r="G131" s="4"/>
      <c r="J131" s="4"/>
    </row>
    <row r="132" spans="1:12" x14ac:dyDescent="0.35">
      <c r="A132">
        <v>2018</v>
      </c>
      <c r="B132">
        <v>215</v>
      </c>
      <c r="C132" t="s">
        <v>157</v>
      </c>
      <c r="D132" s="4">
        <v>57</v>
      </c>
      <c r="E132">
        <v>150</v>
      </c>
      <c r="F132">
        <v>99.6</v>
      </c>
      <c r="G132" s="4"/>
      <c r="J132" s="4"/>
    </row>
    <row r="133" spans="1:12" x14ac:dyDescent="0.35">
      <c r="A133">
        <v>2018</v>
      </c>
      <c r="B133">
        <v>216</v>
      </c>
      <c r="C133" t="s">
        <v>158</v>
      </c>
      <c r="D133" s="4">
        <v>116</v>
      </c>
      <c r="E133">
        <v>382</v>
      </c>
      <c r="F133">
        <v>275.8</v>
      </c>
      <c r="G133" s="4"/>
      <c r="J133" s="4"/>
    </row>
    <row r="134" spans="1:12" x14ac:dyDescent="0.35">
      <c r="A134">
        <v>2018</v>
      </c>
      <c r="B134">
        <v>218</v>
      </c>
      <c r="C134" t="s">
        <v>159</v>
      </c>
      <c r="D134" s="4">
        <v>65</v>
      </c>
      <c r="E134">
        <v>594</v>
      </c>
      <c r="F134">
        <v>467.6</v>
      </c>
      <c r="G134" s="4"/>
      <c r="J134" s="4"/>
    </row>
    <row r="135" spans="1:12" x14ac:dyDescent="0.35">
      <c r="A135">
        <v>2018</v>
      </c>
      <c r="B135">
        <v>219</v>
      </c>
      <c r="C135" t="s">
        <v>160</v>
      </c>
      <c r="D135" s="4">
        <v>230</v>
      </c>
      <c r="E135">
        <v>1052</v>
      </c>
      <c r="F135">
        <v>789.2</v>
      </c>
      <c r="G135" s="4"/>
      <c r="J135" s="4"/>
    </row>
    <row r="136" spans="1:12" x14ac:dyDescent="0.35">
      <c r="A136">
        <v>2018</v>
      </c>
      <c r="B136">
        <v>220</v>
      </c>
      <c r="C136" t="s">
        <v>161</v>
      </c>
      <c r="D136" s="4">
        <v>74</v>
      </c>
      <c r="E136">
        <v>194</v>
      </c>
      <c r="F136">
        <v>142.4</v>
      </c>
      <c r="G136" s="4"/>
      <c r="J136" s="4"/>
    </row>
    <row r="137" spans="1:12" x14ac:dyDescent="0.35">
      <c r="A137">
        <v>2018</v>
      </c>
      <c r="B137">
        <v>221</v>
      </c>
      <c r="C137" t="s">
        <v>162</v>
      </c>
      <c r="D137" s="4">
        <v>168</v>
      </c>
      <c r="E137">
        <v>699</v>
      </c>
      <c r="F137">
        <v>524.9</v>
      </c>
      <c r="G137" s="4"/>
      <c r="J137" s="4"/>
    </row>
    <row r="138" spans="1:12" x14ac:dyDescent="0.35">
      <c r="A138">
        <v>2018</v>
      </c>
      <c r="B138">
        <v>223</v>
      </c>
      <c r="C138" t="s">
        <v>163</v>
      </c>
      <c r="D138" s="4">
        <v>350</v>
      </c>
      <c r="E138">
        <v>1660</v>
      </c>
      <c r="F138">
        <v>1213.5</v>
      </c>
      <c r="G138" s="4"/>
      <c r="J138" s="4"/>
    </row>
    <row r="139" spans="1:12" x14ac:dyDescent="0.35">
      <c r="A139">
        <v>2018</v>
      </c>
      <c r="B139">
        <v>224</v>
      </c>
      <c r="C139" t="s">
        <v>164</v>
      </c>
      <c r="D139" s="4">
        <v>233</v>
      </c>
      <c r="E139">
        <v>1396</v>
      </c>
      <c r="F139">
        <v>1132.7</v>
      </c>
      <c r="G139" s="4"/>
      <c r="J139" s="4"/>
    </row>
    <row r="140" spans="1:12" x14ac:dyDescent="0.35">
      <c r="A140">
        <v>2018</v>
      </c>
      <c r="B140">
        <v>225</v>
      </c>
      <c r="C140" t="s">
        <v>165</v>
      </c>
      <c r="D140" s="4">
        <v>168</v>
      </c>
      <c r="E140">
        <v>550</v>
      </c>
      <c r="F140">
        <v>373.9</v>
      </c>
      <c r="G140" s="4"/>
      <c r="J140" s="4"/>
    </row>
    <row r="141" spans="1:12" x14ac:dyDescent="0.35">
      <c r="A141">
        <v>2018</v>
      </c>
      <c r="B141">
        <v>226</v>
      </c>
      <c r="C141" t="s">
        <v>166</v>
      </c>
      <c r="D141" s="4">
        <v>57</v>
      </c>
      <c r="E141">
        <v>148</v>
      </c>
      <c r="F141">
        <v>106.7</v>
      </c>
      <c r="G141" s="4"/>
      <c r="J141" s="4"/>
    </row>
    <row r="142" spans="1:12" x14ac:dyDescent="0.35">
      <c r="A142">
        <v>2018</v>
      </c>
      <c r="B142">
        <v>227</v>
      </c>
      <c r="C142" t="s">
        <v>167</v>
      </c>
      <c r="D142" s="4">
        <v>424</v>
      </c>
      <c r="E142">
        <v>2635</v>
      </c>
      <c r="F142">
        <v>2072.4</v>
      </c>
      <c r="G142" s="4"/>
      <c r="J142" s="4">
        <v>4</v>
      </c>
      <c r="K142">
        <v>8</v>
      </c>
      <c r="L142">
        <v>5.3</v>
      </c>
    </row>
    <row r="143" spans="1:12" x14ac:dyDescent="0.35">
      <c r="A143">
        <v>2018</v>
      </c>
      <c r="B143">
        <v>228</v>
      </c>
      <c r="C143" t="s">
        <v>168</v>
      </c>
      <c r="D143" s="4">
        <v>329</v>
      </c>
      <c r="E143">
        <v>1631</v>
      </c>
      <c r="F143">
        <v>1143.4000000000001</v>
      </c>
      <c r="G143" s="4"/>
      <c r="J143" s="4"/>
    </row>
    <row r="144" spans="1:12" x14ac:dyDescent="0.35">
      <c r="A144">
        <v>2018</v>
      </c>
      <c r="B144">
        <v>230</v>
      </c>
      <c r="C144" t="s">
        <v>169</v>
      </c>
      <c r="D144" s="4">
        <v>8088</v>
      </c>
      <c r="E144">
        <v>73225</v>
      </c>
      <c r="F144">
        <v>55634.8</v>
      </c>
      <c r="G144" s="4">
        <v>32</v>
      </c>
      <c r="H144">
        <v>92</v>
      </c>
      <c r="I144">
        <v>64.099999999999994</v>
      </c>
      <c r="J144" s="4">
        <v>21</v>
      </c>
      <c r="K144">
        <v>56</v>
      </c>
      <c r="L144">
        <v>38.6</v>
      </c>
    </row>
    <row r="145" spans="1:12" x14ac:dyDescent="0.35">
      <c r="A145">
        <v>2018</v>
      </c>
      <c r="B145">
        <v>231</v>
      </c>
      <c r="C145" t="s">
        <v>170</v>
      </c>
      <c r="D145" s="4">
        <v>336</v>
      </c>
      <c r="E145">
        <v>1474</v>
      </c>
      <c r="F145">
        <v>1062.4000000000001</v>
      </c>
      <c r="G145" s="4"/>
      <c r="J145" s="4"/>
    </row>
    <row r="146" spans="1:12" x14ac:dyDescent="0.35">
      <c r="A146">
        <v>2018</v>
      </c>
      <c r="B146">
        <v>241</v>
      </c>
      <c r="C146" t="s">
        <v>171</v>
      </c>
      <c r="D146" s="4">
        <v>85</v>
      </c>
      <c r="E146">
        <v>342</v>
      </c>
      <c r="F146">
        <v>260.5</v>
      </c>
      <c r="G146" s="4"/>
      <c r="J146" s="4"/>
    </row>
    <row r="147" spans="1:12" x14ac:dyDescent="0.35">
      <c r="A147">
        <v>2018</v>
      </c>
      <c r="B147">
        <v>242</v>
      </c>
      <c r="C147" t="s">
        <v>172</v>
      </c>
      <c r="D147" s="4">
        <v>416</v>
      </c>
      <c r="E147">
        <v>2590</v>
      </c>
      <c r="F147">
        <v>2023</v>
      </c>
      <c r="G147" s="4">
        <v>3</v>
      </c>
      <c r="H147">
        <v>4</v>
      </c>
      <c r="J147" s="4"/>
      <c r="K147">
        <v>4</v>
      </c>
    </row>
    <row r="148" spans="1:12" x14ac:dyDescent="0.35">
      <c r="A148">
        <v>2018</v>
      </c>
      <c r="B148">
        <v>243</v>
      </c>
      <c r="C148" t="s">
        <v>173</v>
      </c>
      <c r="D148" s="4">
        <v>1741</v>
      </c>
      <c r="E148">
        <v>18933</v>
      </c>
      <c r="F148">
        <v>15161.8</v>
      </c>
      <c r="G148" s="4">
        <v>13</v>
      </c>
      <c r="H148">
        <v>82</v>
      </c>
      <c r="I148">
        <v>69.5</v>
      </c>
      <c r="J148" s="4">
        <v>9</v>
      </c>
      <c r="K148">
        <v>77</v>
      </c>
      <c r="L148">
        <v>61.2</v>
      </c>
    </row>
    <row r="149" spans="1:12" x14ac:dyDescent="0.35">
      <c r="A149">
        <v>2018</v>
      </c>
      <c r="B149">
        <v>244</v>
      </c>
      <c r="C149" t="s">
        <v>174</v>
      </c>
      <c r="D149" s="4">
        <v>308</v>
      </c>
      <c r="E149">
        <v>2136</v>
      </c>
      <c r="F149">
        <v>1637.1</v>
      </c>
      <c r="G149" s="4"/>
      <c r="H149">
        <v>4</v>
      </c>
      <c r="J149" s="4">
        <v>3</v>
      </c>
      <c r="K149">
        <v>9</v>
      </c>
    </row>
    <row r="150" spans="1:12" x14ac:dyDescent="0.35">
      <c r="A150">
        <v>2018</v>
      </c>
      <c r="B150">
        <v>245</v>
      </c>
      <c r="C150" t="s">
        <v>175</v>
      </c>
      <c r="D150" s="4">
        <v>307</v>
      </c>
      <c r="E150">
        <v>1182</v>
      </c>
      <c r="F150">
        <v>848.9</v>
      </c>
      <c r="G150" s="4"/>
      <c r="J150" s="4"/>
      <c r="K150">
        <v>39</v>
      </c>
      <c r="L150">
        <v>31.1</v>
      </c>
    </row>
    <row r="151" spans="1:12" x14ac:dyDescent="0.35">
      <c r="A151">
        <v>2018</v>
      </c>
      <c r="B151">
        <v>246</v>
      </c>
      <c r="C151" t="s">
        <v>176</v>
      </c>
      <c r="D151" s="4">
        <v>118</v>
      </c>
      <c r="E151">
        <v>275</v>
      </c>
      <c r="F151">
        <v>189.7</v>
      </c>
      <c r="G151" s="4"/>
      <c r="J151" s="4"/>
    </row>
    <row r="152" spans="1:12" x14ac:dyDescent="0.35">
      <c r="A152">
        <v>2018</v>
      </c>
      <c r="B152">
        <v>247</v>
      </c>
      <c r="C152" t="s">
        <v>177</v>
      </c>
      <c r="D152" s="4">
        <v>1403</v>
      </c>
      <c r="E152">
        <v>18958</v>
      </c>
      <c r="F152">
        <v>15262.6</v>
      </c>
      <c r="G152" s="4">
        <v>10</v>
      </c>
      <c r="H152">
        <v>24</v>
      </c>
      <c r="I152">
        <v>17.2</v>
      </c>
      <c r="J152" s="4">
        <v>8</v>
      </c>
      <c r="K152">
        <v>129</v>
      </c>
      <c r="L152">
        <v>102.4</v>
      </c>
    </row>
    <row r="153" spans="1:12" x14ac:dyDescent="0.35">
      <c r="A153">
        <v>2018</v>
      </c>
      <c r="B153">
        <v>248</v>
      </c>
      <c r="C153" t="s">
        <v>178</v>
      </c>
      <c r="D153" s="4">
        <v>264</v>
      </c>
      <c r="E153">
        <v>1076</v>
      </c>
      <c r="F153">
        <v>763.2</v>
      </c>
      <c r="G153" s="4"/>
      <c r="J153" s="4"/>
    </row>
    <row r="154" spans="1:12" x14ac:dyDescent="0.35">
      <c r="A154">
        <v>2018</v>
      </c>
      <c r="B154">
        <v>249</v>
      </c>
      <c r="C154" t="s">
        <v>179</v>
      </c>
      <c r="D154" s="4">
        <v>276</v>
      </c>
      <c r="E154">
        <v>1004</v>
      </c>
      <c r="F154">
        <v>750.7</v>
      </c>
      <c r="G154" s="4"/>
      <c r="J154" s="4"/>
    </row>
    <row r="155" spans="1:12" x14ac:dyDescent="0.35">
      <c r="A155">
        <v>2018</v>
      </c>
      <c r="B155">
        <v>250</v>
      </c>
      <c r="C155" t="s">
        <v>180</v>
      </c>
      <c r="D155" s="4">
        <v>649</v>
      </c>
      <c r="E155">
        <v>6407</v>
      </c>
      <c r="F155">
        <v>5294.4</v>
      </c>
      <c r="G155" s="4"/>
      <c r="H155">
        <v>11</v>
      </c>
      <c r="I155">
        <v>8.8000000000000007</v>
      </c>
      <c r="J155" s="4"/>
      <c r="K155">
        <v>13</v>
      </c>
      <c r="L155">
        <v>11.5</v>
      </c>
    </row>
    <row r="156" spans="1:12" x14ac:dyDescent="0.35">
      <c r="A156">
        <v>2018</v>
      </c>
      <c r="B156">
        <v>251</v>
      </c>
      <c r="C156" t="s">
        <v>181</v>
      </c>
      <c r="D156" s="4">
        <v>272</v>
      </c>
      <c r="E156">
        <v>2161</v>
      </c>
      <c r="F156">
        <v>1497.6</v>
      </c>
      <c r="G156" s="4"/>
      <c r="J156" s="4"/>
    </row>
    <row r="157" spans="1:12" x14ac:dyDescent="0.35">
      <c r="A157">
        <v>2018</v>
      </c>
      <c r="B157">
        <v>261</v>
      </c>
      <c r="C157" t="s">
        <v>182</v>
      </c>
      <c r="D157" s="4">
        <v>45072</v>
      </c>
      <c r="E157">
        <v>491835</v>
      </c>
      <c r="F157">
        <v>378320.1</v>
      </c>
      <c r="G157" s="4">
        <v>188</v>
      </c>
      <c r="H157">
        <v>1154</v>
      </c>
      <c r="I157">
        <v>874</v>
      </c>
      <c r="J157" s="4">
        <v>207</v>
      </c>
      <c r="K157">
        <v>666</v>
      </c>
      <c r="L157">
        <v>521.79999999999995</v>
      </c>
    </row>
    <row r="158" spans="1:12" x14ac:dyDescent="0.35">
      <c r="A158">
        <v>2018</v>
      </c>
      <c r="B158">
        <v>291</v>
      </c>
      <c r="C158" t="s">
        <v>183</v>
      </c>
      <c r="D158" s="4">
        <v>301</v>
      </c>
      <c r="E158">
        <v>1850</v>
      </c>
      <c r="F158">
        <v>1414.6</v>
      </c>
      <c r="G158" s="4"/>
      <c r="J158" s="4"/>
    </row>
    <row r="159" spans="1:12" x14ac:dyDescent="0.35">
      <c r="A159">
        <v>2018</v>
      </c>
      <c r="B159">
        <v>292</v>
      </c>
      <c r="C159" t="s">
        <v>184</v>
      </c>
      <c r="D159" s="4">
        <v>278</v>
      </c>
      <c r="E159">
        <v>1250</v>
      </c>
      <c r="F159">
        <v>909.6</v>
      </c>
      <c r="G159" s="4"/>
      <c r="J159" s="4"/>
    </row>
    <row r="160" spans="1:12" x14ac:dyDescent="0.35">
      <c r="A160">
        <v>2018</v>
      </c>
      <c r="B160">
        <v>293</v>
      </c>
      <c r="C160" t="s">
        <v>185</v>
      </c>
      <c r="D160" s="4">
        <v>1862</v>
      </c>
      <c r="E160">
        <v>9749</v>
      </c>
      <c r="F160">
        <v>7259.5</v>
      </c>
      <c r="G160" s="4">
        <v>9</v>
      </c>
      <c r="H160">
        <v>29</v>
      </c>
      <c r="I160">
        <v>19.899999999999999</v>
      </c>
      <c r="J160" s="4">
        <v>12</v>
      </c>
      <c r="K160">
        <v>42</v>
      </c>
      <c r="L160">
        <v>35.799999999999997</v>
      </c>
    </row>
    <row r="161" spans="1:12" x14ac:dyDescent="0.35">
      <c r="A161">
        <v>2018</v>
      </c>
      <c r="B161">
        <v>294</v>
      </c>
      <c r="C161" t="s">
        <v>186</v>
      </c>
      <c r="D161" s="4">
        <v>344</v>
      </c>
      <c r="E161">
        <v>1634</v>
      </c>
      <c r="F161">
        <v>1188.4000000000001</v>
      </c>
      <c r="G161" s="4"/>
      <c r="J161" s="4"/>
    </row>
    <row r="162" spans="1:12" x14ac:dyDescent="0.35">
      <c r="A162">
        <v>2018</v>
      </c>
      <c r="B162">
        <v>295</v>
      </c>
      <c r="C162" t="s">
        <v>187</v>
      </c>
      <c r="D162" s="4">
        <v>1432</v>
      </c>
      <c r="E162">
        <v>10347</v>
      </c>
      <c r="F162">
        <v>8084.3</v>
      </c>
      <c r="G162" s="4">
        <v>9</v>
      </c>
      <c r="H162">
        <v>29</v>
      </c>
      <c r="I162">
        <v>21.3</v>
      </c>
      <c r="J162" s="4">
        <v>6</v>
      </c>
      <c r="K162">
        <v>24</v>
      </c>
      <c r="L162">
        <v>18.7</v>
      </c>
    </row>
    <row r="163" spans="1:12" x14ac:dyDescent="0.35">
      <c r="A163">
        <v>2018</v>
      </c>
      <c r="B163">
        <v>296</v>
      </c>
      <c r="C163" t="s">
        <v>188</v>
      </c>
      <c r="D163" s="4">
        <v>1049</v>
      </c>
      <c r="E163">
        <v>6953</v>
      </c>
      <c r="F163">
        <v>5109.7</v>
      </c>
      <c r="G163" s="4"/>
      <c r="J163" s="4"/>
    </row>
    <row r="164" spans="1:12" x14ac:dyDescent="0.35">
      <c r="A164">
        <v>2018</v>
      </c>
      <c r="B164">
        <v>297</v>
      </c>
      <c r="C164" t="s">
        <v>189</v>
      </c>
      <c r="D164" s="4">
        <v>394</v>
      </c>
      <c r="E164">
        <v>1941</v>
      </c>
      <c r="F164">
        <v>1410.9</v>
      </c>
      <c r="G164" s="4"/>
      <c r="J164" s="4"/>
    </row>
    <row r="165" spans="1:12" x14ac:dyDescent="0.35">
      <c r="A165">
        <v>2018</v>
      </c>
      <c r="B165">
        <v>298</v>
      </c>
      <c r="C165" t="s">
        <v>190</v>
      </c>
      <c r="D165" s="4">
        <v>395</v>
      </c>
      <c r="E165">
        <v>1570</v>
      </c>
      <c r="F165">
        <v>1081.5999999999999</v>
      </c>
      <c r="G165" s="4"/>
      <c r="H165">
        <v>6</v>
      </c>
      <c r="I165">
        <v>5.8</v>
      </c>
      <c r="J165" s="4">
        <v>4</v>
      </c>
      <c r="K165">
        <v>14</v>
      </c>
      <c r="L165">
        <v>11.9</v>
      </c>
    </row>
  </sheetData>
  <mergeCells count="5">
    <mergeCell ref="A1:R1"/>
    <mergeCell ref="A2:R2"/>
    <mergeCell ref="D4:F4"/>
    <mergeCell ref="G4:I4"/>
    <mergeCell ref="J4:L4"/>
  </mergeCells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165"/>
  <sheetViews>
    <sheetView workbookViewId="0"/>
  </sheetViews>
  <sheetFormatPr baseColWidth="10" defaultRowHeight="14.5" x14ac:dyDescent="0.35"/>
  <cols>
    <col min="1" max="1" width="6.7265625" customWidth="1"/>
    <col min="2" max="2" width="14.7265625" customWidth="1"/>
    <col min="3" max="3" width="20.7265625" customWidth="1"/>
    <col min="4" max="4" width="17.7265625" customWidth="1"/>
    <col min="5" max="5" width="15.7265625" customWidth="1"/>
    <col min="6" max="6" width="22.7265625" customWidth="1"/>
    <col min="7" max="7" width="17.7265625" customWidth="1"/>
    <col min="8" max="8" width="15.7265625" customWidth="1"/>
    <col min="9" max="9" width="22.7265625" customWidth="1"/>
    <col min="10" max="10" width="17.7265625" customWidth="1"/>
    <col min="11" max="11" width="15.7265625" customWidth="1"/>
    <col min="12" max="12" width="22.7265625" customWidth="1"/>
  </cols>
  <sheetData>
    <row r="1" spans="1:18" ht="18" x14ac:dyDescent="0.4">
      <c r="A1" s="10" t="s">
        <v>197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x14ac:dyDescent="0.35">
      <c r="A2" s="8" t="s">
        <v>10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4" spans="1:18" x14ac:dyDescent="0.35">
      <c r="D4" s="11" t="s">
        <v>22</v>
      </c>
      <c r="E4" s="12"/>
      <c r="F4" s="12"/>
      <c r="G4" s="11" t="s">
        <v>23</v>
      </c>
      <c r="H4" s="12"/>
      <c r="I4" s="12"/>
      <c r="J4" s="11" t="s">
        <v>24</v>
      </c>
      <c r="K4" s="12"/>
      <c r="L4" s="12"/>
    </row>
    <row r="5" spans="1:18" ht="15.5" x14ac:dyDescent="0.35">
      <c r="A5" s="3" t="s">
        <v>25</v>
      </c>
      <c r="B5" s="3" t="s">
        <v>26</v>
      </c>
      <c r="C5" s="3" t="s">
        <v>27</v>
      </c>
      <c r="D5" s="5" t="s">
        <v>28</v>
      </c>
      <c r="E5" s="3" t="s">
        <v>29</v>
      </c>
      <c r="F5" s="3" t="s">
        <v>30</v>
      </c>
      <c r="G5" s="5" t="s">
        <v>28</v>
      </c>
      <c r="H5" s="3" t="s">
        <v>29</v>
      </c>
      <c r="I5" s="3" t="s">
        <v>30</v>
      </c>
      <c r="J5" s="5" t="s">
        <v>28</v>
      </c>
      <c r="K5" s="3" t="s">
        <v>29</v>
      </c>
      <c r="L5" s="3" t="s">
        <v>30</v>
      </c>
    </row>
    <row r="6" spans="1:18" x14ac:dyDescent="0.35">
      <c r="A6">
        <v>2017</v>
      </c>
      <c r="B6">
        <v>1</v>
      </c>
      <c r="C6" t="s">
        <v>31</v>
      </c>
      <c r="D6" s="4">
        <v>143</v>
      </c>
      <c r="E6">
        <v>431</v>
      </c>
      <c r="F6">
        <v>275.8</v>
      </c>
      <c r="G6" s="4"/>
      <c r="J6" s="4"/>
      <c r="K6">
        <v>6</v>
      </c>
      <c r="L6">
        <v>4.4000000000000004</v>
      </c>
    </row>
    <row r="7" spans="1:18" x14ac:dyDescent="0.35">
      <c r="A7">
        <v>2017</v>
      </c>
      <c r="B7">
        <v>2</v>
      </c>
      <c r="C7" t="s">
        <v>32</v>
      </c>
      <c r="D7" s="4">
        <v>984</v>
      </c>
      <c r="E7">
        <v>6586</v>
      </c>
      <c r="F7">
        <v>4867.7</v>
      </c>
      <c r="G7" s="4">
        <v>5</v>
      </c>
      <c r="H7">
        <v>11</v>
      </c>
      <c r="I7">
        <v>6.8</v>
      </c>
      <c r="J7" s="4">
        <v>5</v>
      </c>
      <c r="K7">
        <v>35</v>
      </c>
      <c r="L7">
        <v>24.9</v>
      </c>
    </row>
    <row r="8" spans="1:18" x14ac:dyDescent="0.35">
      <c r="A8">
        <v>2017</v>
      </c>
      <c r="B8">
        <v>3</v>
      </c>
      <c r="C8" t="s">
        <v>33</v>
      </c>
      <c r="D8" s="4">
        <v>275</v>
      </c>
      <c r="E8">
        <v>995</v>
      </c>
      <c r="F8">
        <v>661.9</v>
      </c>
      <c r="G8" s="4"/>
      <c r="J8" s="4"/>
    </row>
    <row r="9" spans="1:18" x14ac:dyDescent="0.35">
      <c r="A9">
        <v>2017</v>
      </c>
      <c r="B9">
        <v>4</v>
      </c>
      <c r="C9" t="s">
        <v>34</v>
      </c>
      <c r="D9" s="4">
        <v>268</v>
      </c>
      <c r="E9">
        <v>1096</v>
      </c>
      <c r="F9">
        <v>737.6</v>
      </c>
      <c r="G9" s="4"/>
      <c r="J9" s="4"/>
    </row>
    <row r="10" spans="1:18" x14ac:dyDescent="0.35">
      <c r="A10">
        <v>2017</v>
      </c>
      <c r="B10">
        <v>5</v>
      </c>
      <c r="C10" t="s">
        <v>35</v>
      </c>
      <c r="D10" s="4">
        <v>199</v>
      </c>
      <c r="E10">
        <v>1443</v>
      </c>
      <c r="F10">
        <v>1155.5</v>
      </c>
      <c r="G10" s="4"/>
      <c r="J10" s="4"/>
    </row>
    <row r="11" spans="1:18" x14ac:dyDescent="0.35">
      <c r="A11">
        <v>2017</v>
      </c>
      <c r="B11">
        <v>6</v>
      </c>
      <c r="C11" t="s">
        <v>36</v>
      </c>
      <c r="D11" s="4">
        <v>101</v>
      </c>
      <c r="E11">
        <v>321</v>
      </c>
      <c r="F11">
        <v>214</v>
      </c>
      <c r="G11" s="4"/>
      <c r="J11" s="4"/>
    </row>
    <row r="12" spans="1:18" x14ac:dyDescent="0.35">
      <c r="A12">
        <v>2017</v>
      </c>
      <c r="B12">
        <v>7</v>
      </c>
      <c r="C12" t="s">
        <v>37</v>
      </c>
      <c r="D12" s="4">
        <v>128</v>
      </c>
      <c r="E12">
        <v>533</v>
      </c>
      <c r="F12">
        <v>393.3</v>
      </c>
      <c r="G12" s="4"/>
      <c r="J12" s="4"/>
    </row>
    <row r="13" spans="1:18" x14ac:dyDescent="0.35">
      <c r="A13">
        <v>2017</v>
      </c>
      <c r="B13">
        <v>8</v>
      </c>
      <c r="C13" t="s">
        <v>38</v>
      </c>
      <c r="D13" s="4">
        <v>68</v>
      </c>
      <c r="E13">
        <v>162</v>
      </c>
      <c r="F13">
        <v>105.1</v>
      </c>
      <c r="G13" s="4"/>
      <c r="J13" s="4"/>
    </row>
    <row r="14" spans="1:18" x14ac:dyDescent="0.35">
      <c r="A14">
        <v>2017</v>
      </c>
      <c r="B14">
        <v>9</v>
      </c>
      <c r="C14" t="s">
        <v>39</v>
      </c>
      <c r="D14" s="4">
        <v>314</v>
      </c>
      <c r="E14">
        <v>1658</v>
      </c>
      <c r="F14">
        <v>1212.5</v>
      </c>
      <c r="G14" s="4"/>
      <c r="H14">
        <v>11</v>
      </c>
      <c r="I14">
        <v>8.6</v>
      </c>
      <c r="J14" s="4">
        <v>6</v>
      </c>
      <c r="K14">
        <v>14</v>
      </c>
      <c r="L14">
        <v>10</v>
      </c>
    </row>
    <row r="15" spans="1:18" x14ac:dyDescent="0.35">
      <c r="A15">
        <v>2017</v>
      </c>
      <c r="B15">
        <v>10</v>
      </c>
      <c r="C15" t="s">
        <v>40</v>
      </c>
      <c r="D15" s="4">
        <v>313</v>
      </c>
      <c r="E15">
        <v>1302</v>
      </c>
      <c r="F15">
        <v>915.1</v>
      </c>
      <c r="G15" s="4"/>
      <c r="J15" s="4"/>
    </row>
    <row r="16" spans="1:18" x14ac:dyDescent="0.35">
      <c r="A16">
        <v>2017</v>
      </c>
      <c r="B16">
        <v>11</v>
      </c>
      <c r="C16" t="s">
        <v>41</v>
      </c>
      <c r="D16" s="4">
        <v>174</v>
      </c>
      <c r="E16">
        <v>686</v>
      </c>
      <c r="F16">
        <v>478.9</v>
      </c>
      <c r="G16" s="4"/>
      <c r="J16" s="4"/>
    </row>
    <row r="17" spans="1:12" x14ac:dyDescent="0.35">
      <c r="A17">
        <v>2017</v>
      </c>
      <c r="B17">
        <v>12</v>
      </c>
      <c r="C17" t="s">
        <v>42</v>
      </c>
      <c r="D17" s="4">
        <v>87</v>
      </c>
      <c r="E17">
        <v>256</v>
      </c>
      <c r="F17">
        <v>180.6</v>
      </c>
      <c r="G17" s="4"/>
      <c r="J17" s="4"/>
    </row>
    <row r="18" spans="1:12" x14ac:dyDescent="0.35">
      <c r="A18">
        <v>2017</v>
      </c>
      <c r="B18">
        <v>13</v>
      </c>
      <c r="C18" t="s">
        <v>43</v>
      </c>
      <c r="D18" s="4">
        <v>194</v>
      </c>
      <c r="E18">
        <v>773</v>
      </c>
      <c r="F18">
        <v>561.5</v>
      </c>
      <c r="G18" s="4"/>
      <c r="J18" s="4"/>
    </row>
    <row r="19" spans="1:12" x14ac:dyDescent="0.35">
      <c r="A19">
        <v>2017</v>
      </c>
      <c r="B19">
        <v>14</v>
      </c>
      <c r="C19" t="s">
        <v>44</v>
      </c>
      <c r="D19" s="4">
        <v>302</v>
      </c>
      <c r="E19">
        <v>1309</v>
      </c>
      <c r="F19">
        <v>998.2</v>
      </c>
      <c r="G19" s="4">
        <v>4</v>
      </c>
      <c r="H19">
        <v>6</v>
      </c>
      <c r="J19" s="4"/>
    </row>
    <row r="20" spans="1:12" x14ac:dyDescent="0.35">
      <c r="A20">
        <v>2017</v>
      </c>
      <c r="B20">
        <v>22</v>
      </c>
      <c r="C20" t="s">
        <v>45</v>
      </c>
      <c r="D20" s="4">
        <v>71</v>
      </c>
      <c r="E20">
        <v>271</v>
      </c>
      <c r="F20">
        <v>191</v>
      </c>
      <c r="G20" s="4"/>
      <c r="J20" s="4"/>
    </row>
    <row r="21" spans="1:12" x14ac:dyDescent="0.35">
      <c r="A21">
        <v>2017</v>
      </c>
      <c r="B21">
        <v>23</v>
      </c>
      <c r="C21" t="s">
        <v>46</v>
      </c>
      <c r="D21" s="4">
        <v>49</v>
      </c>
      <c r="E21">
        <v>128</v>
      </c>
      <c r="F21">
        <v>81.8</v>
      </c>
      <c r="G21" s="4"/>
      <c r="J21" s="4"/>
    </row>
    <row r="22" spans="1:12" x14ac:dyDescent="0.35">
      <c r="A22">
        <v>2017</v>
      </c>
      <c r="B22">
        <v>24</v>
      </c>
      <c r="C22" t="s">
        <v>47</v>
      </c>
      <c r="D22" s="4">
        <v>75</v>
      </c>
      <c r="E22">
        <v>199</v>
      </c>
      <c r="F22">
        <v>133.30000000000001</v>
      </c>
      <c r="G22" s="4"/>
      <c r="J22" s="4"/>
    </row>
    <row r="23" spans="1:12" x14ac:dyDescent="0.35">
      <c r="A23">
        <v>2017</v>
      </c>
      <c r="B23">
        <v>25</v>
      </c>
      <c r="C23" t="s">
        <v>48</v>
      </c>
      <c r="D23" s="4">
        <v>107</v>
      </c>
      <c r="E23">
        <v>384</v>
      </c>
      <c r="F23">
        <v>261</v>
      </c>
      <c r="G23" s="4"/>
      <c r="J23" s="4"/>
      <c r="K23">
        <v>7</v>
      </c>
      <c r="L23">
        <v>5.0999999999999996</v>
      </c>
    </row>
    <row r="24" spans="1:12" x14ac:dyDescent="0.35">
      <c r="A24">
        <v>2017</v>
      </c>
      <c r="B24">
        <v>26</v>
      </c>
      <c r="C24" t="s">
        <v>49</v>
      </c>
      <c r="D24" s="4">
        <v>50</v>
      </c>
      <c r="E24">
        <v>143</v>
      </c>
      <c r="F24">
        <v>92.4</v>
      </c>
      <c r="G24" s="4"/>
      <c r="J24" s="4"/>
    </row>
    <row r="25" spans="1:12" x14ac:dyDescent="0.35">
      <c r="A25">
        <v>2017</v>
      </c>
      <c r="B25">
        <v>27</v>
      </c>
      <c r="C25" t="s">
        <v>50</v>
      </c>
      <c r="D25" s="4">
        <v>191</v>
      </c>
      <c r="E25">
        <v>1075</v>
      </c>
      <c r="F25">
        <v>796</v>
      </c>
      <c r="G25" s="4"/>
      <c r="J25" s="4">
        <v>4</v>
      </c>
      <c r="K25">
        <v>11</v>
      </c>
      <c r="L25">
        <v>7.7</v>
      </c>
    </row>
    <row r="26" spans="1:12" x14ac:dyDescent="0.35">
      <c r="A26">
        <v>2017</v>
      </c>
      <c r="B26">
        <v>28</v>
      </c>
      <c r="C26" t="s">
        <v>51</v>
      </c>
      <c r="D26" s="4">
        <v>147</v>
      </c>
      <c r="E26">
        <v>792</v>
      </c>
      <c r="F26">
        <v>533.70000000000005</v>
      </c>
      <c r="G26" s="4"/>
      <c r="J26" s="4"/>
    </row>
    <row r="27" spans="1:12" x14ac:dyDescent="0.35">
      <c r="A27">
        <v>2017</v>
      </c>
      <c r="B27">
        <v>29</v>
      </c>
      <c r="C27" t="s">
        <v>52</v>
      </c>
      <c r="D27" s="4">
        <v>107</v>
      </c>
      <c r="E27">
        <v>400</v>
      </c>
      <c r="F27">
        <v>272</v>
      </c>
      <c r="G27" s="4"/>
      <c r="H27">
        <v>4</v>
      </c>
      <c r="J27" s="4"/>
      <c r="K27">
        <v>6</v>
      </c>
    </row>
    <row r="28" spans="1:12" x14ac:dyDescent="0.35">
      <c r="A28">
        <v>2017</v>
      </c>
      <c r="B28">
        <v>31</v>
      </c>
      <c r="C28" t="s">
        <v>53</v>
      </c>
      <c r="D28" s="4">
        <v>111</v>
      </c>
      <c r="E28">
        <v>602</v>
      </c>
      <c r="F28">
        <v>451.8</v>
      </c>
      <c r="G28" s="4"/>
      <c r="J28" s="4"/>
    </row>
    <row r="29" spans="1:12" x14ac:dyDescent="0.35">
      <c r="A29">
        <v>2017</v>
      </c>
      <c r="B29">
        <v>33</v>
      </c>
      <c r="C29" t="s">
        <v>54</v>
      </c>
      <c r="D29" s="4">
        <v>197</v>
      </c>
      <c r="E29">
        <v>1090</v>
      </c>
      <c r="F29">
        <v>870.5</v>
      </c>
      <c r="G29" s="4"/>
      <c r="J29" s="4"/>
    </row>
    <row r="30" spans="1:12" x14ac:dyDescent="0.35">
      <c r="A30">
        <v>2017</v>
      </c>
      <c r="B30">
        <v>34</v>
      </c>
      <c r="C30" t="s">
        <v>55</v>
      </c>
      <c r="D30" s="4">
        <v>104</v>
      </c>
      <c r="E30">
        <v>498</v>
      </c>
      <c r="F30">
        <v>354.1</v>
      </c>
      <c r="G30" s="4"/>
      <c r="J30" s="4"/>
    </row>
    <row r="31" spans="1:12" x14ac:dyDescent="0.35">
      <c r="A31">
        <v>2017</v>
      </c>
      <c r="B31">
        <v>35</v>
      </c>
      <c r="C31" t="s">
        <v>56</v>
      </c>
      <c r="D31" s="4">
        <v>209</v>
      </c>
      <c r="E31">
        <v>1128</v>
      </c>
      <c r="F31">
        <v>809</v>
      </c>
      <c r="G31" s="4"/>
      <c r="J31" s="4"/>
    </row>
    <row r="32" spans="1:12" x14ac:dyDescent="0.35">
      <c r="A32">
        <v>2017</v>
      </c>
      <c r="B32">
        <v>37</v>
      </c>
      <c r="C32" t="s">
        <v>57</v>
      </c>
      <c r="D32" s="4">
        <v>103</v>
      </c>
      <c r="E32">
        <v>417</v>
      </c>
      <c r="F32">
        <v>292.5</v>
      </c>
      <c r="G32" s="4"/>
      <c r="J32" s="4"/>
    </row>
    <row r="33" spans="1:11" x14ac:dyDescent="0.35">
      <c r="A33">
        <v>2017</v>
      </c>
      <c r="B33">
        <v>38</v>
      </c>
      <c r="C33" t="s">
        <v>58</v>
      </c>
      <c r="D33" s="4">
        <v>87</v>
      </c>
      <c r="E33">
        <v>689</v>
      </c>
      <c r="F33">
        <v>485.7</v>
      </c>
      <c r="G33" s="4"/>
      <c r="J33" s="4"/>
    </row>
    <row r="34" spans="1:11" x14ac:dyDescent="0.35">
      <c r="A34">
        <v>2017</v>
      </c>
      <c r="B34">
        <v>39</v>
      </c>
      <c r="C34" t="s">
        <v>59</v>
      </c>
      <c r="D34" s="4">
        <v>73</v>
      </c>
      <c r="E34">
        <v>257</v>
      </c>
      <c r="F34">
        <v>171.4</v>
      </c>
      <c r="G34" s="4"/>
      <c r="J34" s="4"/>
    </row>
    <row r="35" spans="1:11" x14ac:dyDescent="0.35">
      <c r="A35">
        <v>2017</v>
      </c>
      <c r="B35">
        <v>40</v>
      </c>
      <c r="C35" t="s">
        <v>60</v>
      </c>
      <c r="D35" s="4">
        <v>95</v>
      </c>
      <c r="E35">
        <v>311</v>
      </c>
      <c r="F35">
        <v>211.4</v>
      </c>
      <c r="G35" s="4"/>
      <c r="J35" s="4"/>
    </row>
    <row r="36" spans="1:11" x14ac:dyDescent="0.35">
      <c r="A36">
        <v>2017</v>
      </c>
      <c r="B36">
        <v>41</v>
      </c>
      <c r="C36" t="s">
        <v>61</v>
      </c>
      <c r="D36" s="4">
        <v>37</v>
      </c>
      <c r="E36">
        <v>102</v>
      </c>
      <c r="F36">
        <v>67</v>
      </c>
      <c r="G36" s="4"/>
      <c r="J36" s="4"/>
    </row>
    <row r="37" spans="1:11" x14ac:dyDescent="0.35">
      <c r="A37">
        <v>2017</v>
      </c>
      <c r="B37">
        <v>43</v>
      </c>
      <c r="C37" t="s">
        <v>62</v>
      </c>
      <c r="D37" s="4">
        <v>32</v>
      </c>
      <c r="E37">
        <v>105</v>
      </c>
      <c r="F37">
        <v>63.7</v>
      </c>
      <c r="G37" s="4"/>
      <c r="J37" s="4"/>
    </row>
    <row r="38" spans="1:11" x14ac:dyDescent="0.35">
      <c r="A38">
        <v>2017</v>
      </c>
      <c r="B38">
        <v>51</v>
      </c>
      <c r="C38" t="s">
        <v>63</v>
      </c>
      <c r="D38" s="4">
        <v>263</v>
      </c>
      <c r="E38">
        <v>1837</v>
      </c>
      <c r="F38">
        <v>1489.4</v>
      </c>
      <c r="G38" s="4"/>
      <c r="J38" s="4"/>
      <c r="K38">
        <v>4</v>
      </c>
    </row>
    <row r="39" spans="1:11" x14ac:dyDescent="0.35">
      <c r="A39">
        <v>2017</v>
      </c>
      <c r="B39">
        <v>52</v>
      </c>
      <c r="C39" t="s">
        <v>64</v>
      </c>
      <c r="D39" s="4">
        <v>632</v>
      </c>
      <c r="E39">
        <v>4376</v>
      </c>
      <c r="F39">
        <v>3461.1</v>
      </c>
      <c r="G39" s="4"/>
      <c r="H39">
        <v>8</v>
      </c>
      <c r="I39">
        <v>6.5</v>
      </c>
      <c r="J39" s="4"/>
    </row>
    <row r="40" spans="1:11" x14ac:dyDescent="0.35">
      <c r="A40">
        <v>2017</v>
      </c>
      <c r="B40">
        <v>53</v>
      </c>
      <c r="C40" t="s">
        <v>65</v>
      </c>
      <c r="D40" s="4">
        <v>1245</v>
      </c>
      <c r="E40">
        <v>10747</v>
      </c>
      <c r="F40">
        <v>8094.6</v>
      </c>
      <c r="G40" s="4"/>
      <c r="H40">
        <v>62</v>
      </c>
      <c r="I40">
        <v>22.7</v>
      </c>
      <c r="J40" s="4">
        <v>4</v>
      </c>
      <c r="K40">
        <v>5</v>
      </c>
    </row>
    <row r="41" spans="1:11" x14ac:dyDescent="0.35">
      <c r="A41">
        <v>2017</v>
      </c>
      <c r="B41">
        <v>54</v>
      </c>
      <c r="C41" t="s">
        <v>66</v>
      </c>
      <c r="D41" s="4">
        <v>571</v>
      </c>
      <c r="E41">
        <v>6234</v>
      </c>
      <c r="F41">
        <v>5043</v>
      </c>
      <c r="G41" s="4"/>
      <c r="H41">
        <v>36</v>
      </c>
      <c r="I41">
        <v>32.799999999999997</v>
      </c>
      <c r="J41" s="4"/>
    </row>
    <row r="42" spans="1:11" x14ac:dyDescent="0.35">
      <c r="A42">
        <v>2017</v>
      </c>
      <c r="B42">
        <v>55</v>
      </c>
      <c r="C42" t="s">
        <v>67</v>
      </c>
      <c r="D42" s="4">
        <v>324</v>
      </c>
      <c r="E42">
        <v>1561</v>
      </c>
      <c r="F42">
        <v>1124.5</v>
      </c>
      <c r="G42" s="4"/>
      <c r="J42" s="4"/>
    </row>
    <row r="43" spans="1:11" x14ac:dyDescent="0.35">
      <c r="A43">
        <v>2017</v>
      </c>
      <c r="B43">
        <v>56</v>
      </c>
      <c r="C43" t="s">
        <v>68</v>
      </c>
      <c r="D43" s="4">
        <v>481</v>
      </c>
      <c r="E43">
        <v>3535</v>
      </c>
      <c r="F43">
        <v>2831.8</v>
      </c>
      <c r="G43" s="4"/>
      <c r="J43" s="4"/>
    </row>
    <row r="44" spans="1:11" x14ac:dyDescent="0.35">
      <c r="A44">
        <v>2017</v>
      </c>
      <c r="B44">
        <v>57</v>
      </c>
      <c r="C44" t="s">
        <v>69</v>
      </c>
      <c r="D44" s="4">
        <v>155</v>
      </c>
      <c r="E44">
        <v>656</v>
      </c>
      <c r="F44">
        <v>452.5</v>
      </c>
      <c r="G44" s="4"/>
      <c r="J44" s="4"/>
    </row>
    <row r="45" spans="1:11" x14ac:dyDescent="0.35">
      <c r="A45">
        <v>2017</v>
      </c>
      <c r="B45">
        <v>58</v>
      </c>
      <c r="C45" t="s">
        <v>70</v>
      </c>
      <c r="D45" s="4">
        <v>254</v>
      </c>
      <c r="E45">
        <v>1070</v>
      </c>
      <c r="F45">
        <v>797</v>
      </c>
      <c r="G45" s="4"/>
      <c r="J45" s="4"/>
    </row>
    <row r="46" spans="1:11" x14ac:dyDescent="0.35">
      <c r="A46">
        <v>2017</v>
      </c>
      <c r="B46">
        <v>59</v>
      </c>
      <c r="C46" t="s">
        <v>71</v>
      </c>
      <c r="D46" s="4">
        <v>87</v>
      </c>
      <c r="E46">
        <v>399</v>
      </c>
      <c r="F46">
        <v>326.60000000000002</v>
      </c>
      <c r="G46" s="4"/>
      <c r="J46" s="4"/>
    </row>
    <row r="47" spans="1:11" x14ac:dyDescent="0.35">
      <c r="A47">
        <v>2017</v>
      </c>
      <c r="B47">
        <v>60</v>
      </c>
      <c r="C47" t="s">
        <v>72</v>
      </c>
      <c r="D47" s="4">
        <v>209</v>
      </c>
      <c r="E47">
        <v>1251</v>
      </c>
      <c r="F47">
        <v>1036.2</v>
      </c>
      <c r="G47" s="4"/>
      <c r="J47" s="4"/>
    </row>
    <row r="48" spans="1:11" x14ac:dyDescent="0.35">
      <c r="A48">
        <v>2017</v>
      </c>
      <c r="B48">
        <v>61</v>
      </c>
      <c r="C48" t="s">
        <v>73</v>
      </c>
      <c r="D48" s="4">
        <v>90</v>
      </c>
      <c r="E48">
        <v>325</v>
      </c>
      <c r="F48">
        <v>226.3</v>
      </c>
      <c r="G48" s="4"/>
      <c r="J48" s="4"/>
    </row>
    <row r="49" spans="1:12" x14ac:dyDescent="0.35">
      <c r="A49">
        <v>2017</v>
      </c>
      <c r="B49">
        <v>62</v>
      </c>
      <c r="C49" t="s">
        <v>74</v>
      </c>
      <c r="D49" s="4">
        <v>1499</v>
      </c>
      <c r="E49">
        <v>37016</v>
      </c>
      <c r="F49">
        <v>29997.1</v>
      </c>
      <c r="G49" s="4">
        <v>5</v>
      </c>
      <c r="H49">
        <v>5</v>
      </c>
      <c r="I49">
        <v>4</v>
      </c>
      <c r="J49" s="4">
        <v>3</v>
      </c>
      <c r="K49">
        <v>45</v>
      </c>
      <c r="L49">
        <v>37.6</v>
      </c>
    </row>
    <row r="50" spans="1:12" x14ac:dyDescent="0.35">
      <c r="A50">
        <v>2017</v>
      </c>
      <c r="B50">
        <v>63</v>
      </c>
      <c r="C50" t="s">
        <v>75</v>
      </c>
      <c r="D50" s="4">
        <v>108</v>
      </c>
      <c r="E50">
        <v>377</v>
      </c>
      <c r="F50">
        <v>269.8</v>
      </c>
      <c r="G50" s="4"/>
      <c r="J50" s="4"/>
    </row>
    <row r="51" spans="1:12" x14ac:dyDescent="0.35">
      <c r="A51">
        <v>2017</v>
      </c>
      <c r="B51">
        <v>64</v>
      </c>
      <c r="C51" t="s">
        <v>76</v>
      </c>
      <c r="D51" s="4">
        <v>301</v>
      </c>
      <c r="E51">
        <v>1028</v>
      </c>
      <c r="F51">
        <v>760.3</v>
      </c>
      <c r="G51" s="4"/>
      <c r="H51">
        <v>7</v>
      </c>
      <c r="J51" s="4"/>
    </row>
    <row r="52" spans="1:12" x14ac:dyDescent="0.35">
      <c r="A52">
        <v>2017</v>
      </c>
      <c r="B52">
        <v>65</v>
      </c>
      <c r="C52" t="s">
        <v>77</v>
      </c>
      <c r="D52" s="4">
        <v>92</v>
      </c>
      <c r="E52">
        <v>248</v>
      </c>
      <c r="F52">
        <v>148.19999999999999</v>
      </c>
      <c r="G52" s="4"/>
      <c r="J52" s="4"/>
    </row>
    <row r="53" spans="1:12" x14ac:dyDescent="0.35">
      <c r="A53">
        <v>2017</v>
      </c>
      <c r="B53">
        <v>66</v>
      </c>
      <c r="C53" t="s">
        <v>78</v>
      </c>
      <c r="D53" s="4">
        <v>1363</v>
      </c>
      <c r="E53">
        <v>19046</v>
      </c>
      <c r="F53">
        <v>15273.6</v>
      </c>
      <c r="G53" s="4">
        <v>10</v>
      </c>
      <c r="H53">
        <v>43</v>
      </c>
      <c r="I53">
        <v>26.9</v>
      </c>
      <c r="J53" s="4">
        <v>6</v>
      </c>
      <c r="K53">
        <v>27</v>
      </c>
      <c r="L53">
        <v>20.100000000000001</v>
      </c>
    </row>
    <row r="54" spans="1:12" x14ac:dyDescent="0.35">
      <c r="A54">
        <v>2017</v>
      </c>
      <c r="B54">
        <v>67</v>
      </c>
      <c r="C54" t="s">
        <v>79</v>
      </c>
      <c r="D54" s="4">
        <v>242</v>
      </c>
      <c r="E54">
        <v>1424</v>
      </c>
      <c r="F54">
        <v>1086.5999999999999</v>
      </c>
      <c r="G54" s="4"/>
      <c r="J54" s="4"/>
    </row>
    <row r="55" spans="1:12" x14ac:dyDescent="0.35">
      <c r="A55">
        <v>2017</v>
      </c>
      <c r="B55">
        <v>68</v>
      </c>
      <c r="C55" t="s">
        <v>80</v>
      </c>
      <c r="D55" s="4">
        <v>158</v>
      </c>
      <c r="E55">
        <v>506</v>
      </c>
      <c r="F55">
        <v>331.6</v>
      </c>
      <c r="G55" s="4"/>
      <c r="J55" s="4"/>
    </row>
    <row r="56" spans="1:12" x14ac:dyDescent="0.35">
      <c r="A56">
        <v>2017</v>
      </c>
      <c r="B56">
        <v>69</v>
      </c>
      <c r="C56" t="s">
        <v>81</v>
      </c>
      <c r="D56" s="4">
        <v>1397</v>
      </c>
      <c r="E56">
        <v>20212</v>
      </c>
      <c r="F56">
        <v>16733.2</v>
      </c>
      <c r="G56" s="4"/>
      <c r="H56">
        <v>11</v>
      </c>
      <c r="I56">
        <v>9.1999999999999993</v>
      </c>
      <c r="J56" s="4">
        <v>8</v>
      </c>
      <c r="K56">
        <v>51</v>
      </c>
      <c r="L56">
        <v>46.3</v>
      </c>
    </row>
    <row r="57" spans="1:12" x14ac:dyDescent="0.35">
      <c r="A57">
        <v>2017</v>
      </c>
      <c r="B57">
        <v>70</v>
      </c>
      <c r="C57" t="s">
        <v>82</v>
      </c>
      <c r="D57" s="4">
        <v>41</v>
      </c>
      <c r="E57">
        <v>87</v>
      </c>
      <c r="F57">
        <v>53.4</v>
      </c>
      <c r="G57" s="4"/>
      <c r="J57" s="4"/>
    </row>
    <row r="58" spans="1:12" x14ac:dyDescent="0.35">
      <c r="A58">
        <v>2017</v>
      </c>
      <c r="B58">
        <v>71</v>
      </c>
      <c r="C58" t="s">
        <v>83</v>
      </c>
      <c r="D58" s="4">
        <v>124</v>
      </c>
      <c r="E58">
        <v>512</v>
      </c>
      <c r="F58">
        <v>386.4</v>
      </c>
      <c r="G58" s="4"/>
      <c r="J58" s="4"/>
    </row>
    <row r="59" spans="1:12" x14ac:dyDescent="0.35">
      <c r="A59">
        <v>2017</v>
      </c>
      <c r="B59">
        <v>72</v>
      </c>
      <c r="C59" t="s">
        <v>84</v>
      </c>
      <c r="D59" s="4">
        <v>260</v>
      </c>
      <c r="E59">
        <v>955</v>
      </c>
      <c r="F59">
        <v>691.9</v>
      </c>
      <c r="G59" s="4"/>
      <c r="J59" s="4"/>
    </row>
    <row r="60" spans="1:12" x14ac:dyDescent="0.35">
      <c r="A60">
        <v>2017</v>
      </c>
      <c r="B60">
        <v>81</v>
      </c>
      <c r="C60" t="s">
        <v>85</v>
      </c>
      <c r="D60" s="4">
        <v>63</v>
      </c>
      <c r="E60">
        <v>279</v>
      </c>
      <c r="F60">
        <v>189</v>
      </c>
      <c r="G60" s="4"/>
      <c r="J60" s="4"/>
    </row>
    <row r="61" spans="1:12" x14ac:dyDescent="0.35">
      <c r="A61">
        <v>2017</v>
      </c>
      <c r="B61">
        <v>82</v>
      </c>
      <c r="C61" t="s">
        <v>86</v>
      </c>
      <c r="D61" s="4">
        <v>75</v>
      </c>
      <c r="E61">
        <v>273</v>
      </c>
      <c r="F61">
        <v>204.7</v>
      </c>
      <c r="G61" s="4"/>
      <c r="J61" s="4"/>
    </row>
    <row r="62" spans="1:12" x14ac:dyDescent="0.35">
      <c r="A62">
        <v>2017</v>
      </c>
      <c r="B62">
        <v>83</v>
      </c>
      <c r="C62" t="s">
        <v>87</v>
      </c>
      <c r="D62" s="4">
        <v>290</v>
      </c>
      <c r="E62">
        <v>2246</v>
      </c>
      <c r="F62">
        <v>1833</v>
      </c>
      <c r="G62" s="4"/>
      <c r="J62" s="4"/>
    </row>
    <row r="63" spans="1:12" x14ac:dyDescent="0.35">
      <c r="A63">
        <v>2017</v>
      </c>
      <c r="B63">
        <v>84</v>
      </c>
      <c r="C63" t="s">
        <v>88</v>
      </c>
      <c r="D63" s="4">
        <v>281</v>
      </c>
      <c r="E63">
        <v>2742</v>
      </c>
      <c r="F63">
        <v>2355.9</v>
      </c>
      <c r="G63" s="4">
        <v>3</v>
      </c>
      <c r="H63">
        <v>14</v>
      </c>
      <c r="I63">
        <v>13.4</v>
      </c>
      <c r="J63" s="4"/>
      <c r="K63">
        <v>5</v>
      </c>
      <c r="L63">
        <v>4.8</v>
      </c>
    </row>
    <row r="64" spans="1:12" x14ac:dyDescent="0.35">
      <c r="A64">
        <v>2017</v>
      </c>
      <c r="B64">
        <v>85</v>
      </c>
      <c r="C64" t="s">
        <v>89</v>
      </c>
      <c r="D64" s="4">
        <v>108</v>
      </c>
      <c r="E64">
        <v>418</v>
      </c>
      <c r="F64">
        <v>320.3</v>
      </c>
      <c r="G64" s="4"/>
      <c r="J64" s="4"/>
    </row>
    <row r="65" spans="1:12" x14ac:dyDescent="0.35">
      <c r="A65">
        <v>2017</v>
      </c>
      <c r="B65">
        <v>86</v>
      </c>
      <c r="C65" t="s">
        <v>90</v>
      </c>
      <c r="D65" s="4">
        <v>421</v>
      </c>
      <c r="E65">
        <v>4144</v>
      </c>
      <c r="F65">
        <v>3197.1</v>
      </c>
      <c r="G65" s="4"/>
      <c r="J65" s="4">
        <v>3</v>
      </c>
    </row>
    <row r="66" spans="1:12" x14ac:dyDescent="0.35">
      <c r="A66">
        <v>2017</v>
      </c>
      <c r="B66">
        <v>87</v>
      </c>
      <c r="C66" t="s">
        <v>91</v>
      </c>
      <c r="D66" s="4">
        <v>44</v>
      </c>
      <c r="E66">
        <v>112</v>
      </c>
      <c r="F66">
        <v>76.8</v>
      </c>
      <c r="G66" s="4"/>
      <c r="J66" s="4"/>
    </row>
    <row r="67" spans="1:12" x14ac:dyDescent="0.35">
      <c r="A67">
        <v>2017</v>
      </c>
      <c r="B67">
        <v>88</v>
      </c>
      <c r="C67" t="s">
        <v>92</v>
      </c>
      <c r="D67" s="4">
        <v>248</v>
      </c>
      <c r="E67">
        <v>645</v>
      </c>
      <c r="F67">
        <v>438.3</v>
      </c>
      <c r="G67" s="4"/>
      <c r="H67">
        <v>12</v>
      </c>
      <c r="I67">
        <v>8.4</v>
      </c>
      <c r="J67" s="4"/>
    </row>
    <row r="68" spans="1:12" x14ac:dyDescent="0.35">
      <c r="A68">
        <v>2017</v>
      </c>
      <c r="B68">
        <v>89</v>
      </c>
      <c r="C68" t="s">
        <v>93</v>
      </c>
      <c r="D68" s="4">
        <v>233</v>
      </c>
      <c r="E68">
        <v>1417</v>
      </c>
      <c r="F68">
        <v>1064.7</v>
      </c>
      <c r="G68" s="4"/>
      <c r="J68" s="4"/>
    </row>
    <row r="69" spans="1:12" x14ac:dyDescent="0.35">
      <c r="A69">
        <v>2017</v>
      </c>
      <c r="B69">
        <v>90</v>
      </c>
      <c r="C69" t="s">
        <v>94</v>
      </c>
      <c r="D69" s="4">
        <v>463</v>
      </c>
      <c r="E69">
        <v>2456</v>
      </c>
      <c r="F69">
        <v>1957.2</v>
      </c>
      <c r="G69" s="4"/>
      <c r="J69" s="4"/>
    </row>
    <row r="70" spans="1:12" x14ac:dyDescent="0.35">
      <c r="A70">
        <v>2017</v>
      </c>
      <c r="B70">
        <v>91</v>
      </c>
      <c r="C70" t="s">
        <v>95</v>
      </c>
      <c r="D70" s="4">
        <v>146</v>
      </c>
      <c r="E70">
        <v>789</v>
      </c>
      <c r="F70">
        <v>620.9</v>
      </c>
      <c r="G70" s="4"/>
      <c r="J70" s="4"/>
      <c r="K70">
        <v>4</v>
      </c>
    </row>
    <row r="71" spans="1:12" x14ac:dyDescent="0.35">
      <c r="A71">
        <v>2017</v>
      </c>
      <c r="B71">
        <v>92</v>
      </c>
      <c r="C71" t="s">
        <v>96</v>
      </c>
      <c r="D71" s="4">
        <v>299</v>
      </c>
      <c r="E71">
        <v>1655</v>
      </c>
      <c r="F71">
        <v>1367</v>
      </c>
      <c r="G71" s="4"/>
      <c r="J71" s="4"/>
    </row>
    <row r="72" spans="1:12" x14ac:dyDescent="0.35">
      <c r="A72">
        <v>2017</v>
      </c>
      <c r="B72">
        <v>93</v>
      </c>
      <c r="C72" t="s">
        <v>97</v>
      </c>
      <c r="D72" s="4">
        <v>85</v>
      </c>
      <c r="E72">
        <v>242</v>
      </c>
      <c r="F72">
        <v>173.8</v>
      </c>
      <c r="G72" s="4"/>
      <c r="J72" s="4"/>
    </row>
    <row r="73" spans="1:12" x14ac:dyDescent="0.35">
      <c r="A73">
        <v>2017</v>
      </c>
      <c r="B73">
        <v>94</v>
      </c>
      <c r="C73" t="s">
        <v>98</v>
      </c>
      <c r="D73" s="4">
        <v>257</v>
      </c>
      <c r="E73">
        <v>2329</v>
      </c>
      <c r="F73">
        <v>1883.4</v>
      </c>
      <c r="G73" s="4"/>
      <c r="J73" s="4">
        <v>3</v>
      </c>
      <c r="K73">
        <v>6</v>
      </c>
      <c r="L73">
        <v>4.5999999999999996</v>
      </c>
    </row>
    <row r="74" spans="1:12" x14ac:dyDescent="0.35">
      <c r="A74">
        <v>2017</v>
      </c>
      <c r="B74">
        <v>95</v>
      </c>
      <c r="C74" t="s">
        <v>99</v>
      </c>
      <c r="D74" s="4">
        <v>39</v>
      </c>
      <c r="E74">
        <v>218</v>
      </c>
      <c r="F74">
        <v>155.1</v>
      </c>
      <c r="G74" s="4"/>
      <c r="J74" s="4"/>
    </row>
    <row r="75" spans="1:12" x14ac:dyDescent="0.35">
      <c r="A75">
        <v>2017</v>
      </c>
      <c r="B75">
        <v>96</v>
      </c>
      <c r="C75" t="s">
        <v>100</v>
      </c>
      <c r="D75" s="4">
        <v>1287</v>
      </c>
      <c r="E75">
        <v>10900</v>
      </c>
      <c r="F75">
        <v>8837.6</v>
      </c>
      <c r="G75" s="4">
        <v>3</v>
      </c>
      <c r="H75">
        <v>18</v>
      </c>
      <c r="I75">
        <v>17</v>
      </c>
      <c r="J75" s="4">
        <v>5</v>
      </c>
      <c r="K75">
        <v>57</v>
      </c>
      <c r="L75">
        <v>52.2</v>
      </c>
    </row>
    <row r="76" spans="1:12" x14ac:dyDescent="0.35">
      <c r="A76">
        <v>2017</v>
      </c>
      <c r="B76">
        <v>97</v>
      </c>
      <c r="C76" t="s">
        <v>101</v>
      </c>
      <c r="D76" s="4">
        <v>713</v>
      </c>
      <c r="E76">
        <v>5871</v>
      </c>
      <c r="F76">
        <v>4853.3</v>
      </c>
      <c r="G76" s="4"/>
      <c r="H76">
        <v>9</v>
      </c>
      <c r="I76">
        <v>9</v>
      </c>
      <c r="J76" s="4">
        <v>4</v>
      </c>
      <c r="K76">
        <v>8</v>
      </c>
      <c r="L76">
        <v>6.6</v>
      </c>
    </row>
    <row r="77" spans="1:12" x14ac:dyDescent="0.35">
      <c r="A77">
        <v>2017</v>
      </c>
      <c r="B77">
        <v>98</v>
      </c>
      <c r="C77" t="s">
        <v>102</v>
      </c>
      <c r="D77" s="4">
        <v>54</v>
      </c>
      <c r="E77">
        <v>124</v>
      </c>
      <c r="F77">
        <v>86.7</v>
      </c>
      <c r="G77" s="4"/>
      <c r="J77" s="4"/>
    </row>
    <row r="78" spans="1:12" x14ac:dyDescent="0.35">
      <c r="A78">
        <v>2017</v>
      </c>
      <c r="B78">
        <v>99</v>
      </c>
      <c r="C78" t="s">
        <v>103</v>
      </c>
      <c r="D78" s="4">
        <v>97</v>
      </c>
      <c r="E78">
        <v>365</v>
      </c>
      <c r="F78">
        <v>239.7</v>
      </c>
      <c r="G78" s="4"/>
      <c r="J78" s="4"/>
      <c r="K78">
        <v>14</v>
      </c>
      <c r="L78">
        <v>10.1</v>
      </c>
    </row>
    <row r="79" spans="1:12" x14ac:dyDescent="0.35">
      <c r="A79">
        <v>2017</v>
      </c>
      <c r="B79">
        <v>100</v>
      </c>
      <c r="C79" t="s">
        <v>104</v>
      </c>
      <c r="D79" s="4">
        <v>150</v>
      </c>
      <c r="E79">
        <v>511</v>
      </c>
      <c r="F79">
        <v>360.8</v>
      </c>
      <c r="G79" s="4"/>
      <c r="J79" s="4"/>
    </row>
    <row r="80" spans="1:12" x14ac:dyDescent="0.35">
      <c r="A80">
        <v>2017</v>
      </c>
      <c r="B80">
        <v>101</v>
      </c>
      <c r="C80" t="s">
        <v>105</v>
      </c>
      <c r="D80" s="4">
        <v>205</v>
      </c>
      <c r="E80">
        <v>800</v>
      </c>
      <c r="F80">
        <v>586.29999999999995</v>
      </c>
      <c r="G80" s="4"/>
      <c r="J80" s="4"/>
      <c r="K80">
        <v>7</v>
      </c>
      <c r="L80">
        <v>4.5999999999999996</v>
      </c>
    </row>
    <row r="81" spans="1:12" x14ac:dyDescent="0.35">
      <c r="A81">
        <v>2017</v>
      </c>
      <c r="B81">
        <v>102</v>
      </c>
      <c r="C81" t="s">
        <v>106</v>
      </c>
      <c r="D81" s="4">
        <v>93</v>
      </c>
      <c r="E81">
        <v>281</v>
      </c>
      <c r="F81">
        <v>215.7</v>
      </c>
      <c r="G81" s="4"/>
      <c r="J81" s="4"/>
    </row>
    <row r="82" spans="1:12" x14ac:dyDescent="0.35">
      <c r="A82">
        <v>2017</v>
      </c>
      <c r="B82">
        <v>111</v>
      </c>
      <c r="C82" t="s">
        <v>107</v>
      </c>
      <c r="D82" s="4">
        <v>399</v>
      </c>
      <c r="E82">
        <v>1664</v>
      </c>
      <c r="F82">
        <v>1156.5999999999999</v>
      </c>
      <c r="G82" s="4"/>
      <c r="J82" s="4"/>
    </row>
    <row r="83" spans="1:12" x14ac:dyDescent="0.35">
      <c r="A83">
        <v>2017</v>
      </c>
      <c r="B83">
        <v>112</v>
      </c>
      <c r="C83" t="s">
        <v>108</v>
      </c>
      <c r="D83" s="4">
        <v>549</v>
      </c>
      <c r="E83">
        <v>3540</v>
      </c>
      <c r="F83">
        <v>2761.4</v>
      </c>
      <c r="G83" s="4"/>
      <c r="H83">
        <v>4</v>
      </c>
      <c r="J83" s="4">
        <v>3</v>
      </c>
      <c r="K83">
        <v>7</v>
      </c>
      <c r="L83">
        <v>4.5</v>
      </c>
    </row>
    <row r="84" spans="1:12" x14ac:dyDescent="0.35">
      <c r="A84">
        <v>2017</v>
      </c>
      <c r="B84">
        <v>113</v>
      </c>
      <c r="C84" t="s">
        <v>109</v>
      </c>
      <c r="D84" s="4">
        <v>429</v>
      </c>
      <c r="E84">
        <v>1793</v>
      </c>
      <c r="F84">
        <v>1252.5</v>
      </c>
      <c r="G84" s="4">
        <v>3</v>
      </c>
      <c r="J84" s="4"/>
      <c r="K84">
        <v>10</v>
      </c>
      <c r="L84">
        <v>8.5</v>
      </c>
    </row>
    <row r="85" spans="1:12" x14ac:dyDescent="0.35">
      <c r="A85">
        <v>2017</v>
      </c>
      <c r="B85">
        <v>114</v>
      </c>
      <c r="C85" t="s">
        <v>110</v>
      </c>
      <c r="D85" s="4">
        <v>202</v>
      </c>
      <c r="E85">
        <v>700</v>
      </c>
      <c r="F85">
        <v>494.3</v>
      </c>
      <c r="G85" s="4"/>
      <c r="J85" s="4"/>
    </row>
    <row r="86" spans="1:12" x14ac:dyDescent="0.35">
      <c r="A86">
        <v>2017</v>
      </c>
      <c r="B86">
        <v>115</v>
      </c>
      <c r="C86" t="s">
        <v>111</v>
      </c>
      <c r="D86" s="4">
        <v>641</v>
      </c>
      <c r="E86">
        <v>2656</v>
      </c>
      <c r="F86">
        <v>2003.7</v>
      </c>
      <c r="G86" s="4"/>
      <c r="J86" s="4">
        <v>3</v>
      </c>
      <c r="K86">
        <v>7</v>
      </c>
      <c r="L86">
        <v>5.2</v>
      </c>
    </row>
    <row r="87" spans="1:12" x14ac:dyDescent="0.35">
      <c r="A87">
        <v>2017</v>
      </c>
      <c r="B87">
        <v>116</v>
      </c>
      <c r="C87" t="s">
        <v>112</v>
      </c>
      <c r="D87" s="4">
        <v>274</v>
      </c>
      <c r="E87">
        <v>1860</v>
      </c>
      <c r="F87">
        <v>1416.4</v>
      </c>
      <c r="G87" s="4"/>
      <c r="J87" s="4"/>
    </row>
    <row r="88" spans="1:12" x14ac:dyDescent="0.35">
      <c r="A88">
        <v>2017</v>
      </c>
      <c r="B88">
        <v>117</v>
      </c>
      <c r="C88" t="s">
        <v>113</v>
      </c>
      <c r="D88" s="4">
        <v>862</v>
      </c>
      <c r="E88">
        <v>6988</v>
      </c>
      <c r="F88">
        <v>5739.1</v>
      </c>
      <c r="G88" s="4"/>
      <c r="J88" s="4">
        <v>4</v>
      </c>
      <c r="K88">
        <v>11</v>
      </c>
      <c r="L88">
        <v>9.6</v>
      </c>
    </row>
    <row r="89" spans="1:12" x14ac:dyDescent="0.35">
      <c r="A89">
        <v>2017</v>
      </c>
      <c r="B89">
        <v>118</v>
      </c>
      <c r="C89" t="s">
        <v>114</v>
      </c>
      <c r="D89" s="4">
        <v>857</v>
      </c>
      <c r="E89">
        <v>4938</v>
      </c>
      <c r="F89">
        <v>3666.7</v>
      </c>
      <c r="G89" s="4">
        <v>6</v>
      </c>
      <c r="H89">
        <v>9</v>
      </c>
      <c r="I89">
        <v>7.5</v>
      </c>
      <c r="J89" s="4">
        <v>6</v>
      </c>
      <c r="K89">
        <v>9</v>
      </c>
      <c r="L89">
        <v>8</v>
      </c>
    </row>
    <row r="90" spans="1:12" x14ac:dyDescent="0.35">
      <c r="A90">
        <v>2017</v>
      </c>
      <c r="B90">
        <v>119</v>
      </c>
      <c r="C90" t="s">
        <v>115</v>
      </c>
      <c r="D90" s="4">
        <v>109</v>
      </c>
      <c r="E90">
        <v>559</v>
      </c>
      <c r="F90">
        <v>370.7</v>
      </c>
      <c r="G90" s="4"/>
      <c r="J90" s="4"/>
    </row>
    <row r="91" spans="1:12" x14ac:dyDescent="0.35">
      <c r="A91">
        <v>2017</v>
      </c>
      <c r="B91">
        <v>120</v>
      </c>
      <c r="C91" t="s">
        <v>116</v>
      </c>
      <c r="D91" s="4">
        <v>666</v>
      </c>
      <c r="E91">
        <v>3500</v>
      </c>
      <c r="F91">
        <v>2587.6</v>
      </c>
      <c r="G91" s="4">
        <v>4</v>
      </c>
      <c r="H91">
        <v>4</v>
      </c>
      <c r="J91" s="4"/>
    </row>
    <row r="92" spans="1:12" x14ac:dyDescent="0.35">
      <c r="A92">
        <v>2017</v>
      </c>
      <c r="B92">
        <v>121</v>
      </c>
      <c r="C92" t="s">
        <v>117</v>
      </c>
      <c r="D92" s="4">
        <v>1806</v>
      </c>
      <c r="E92">
        <v>14362</v>
      </c>
      <c r="F92">
        <v>10408</v>
      </c>
      <c r="G92" s="4"/>
      <c r="J92" s="4">
        <v>6</v>
      </c>
      <c r="K92">
        <v>10</v>
      </c>
      <c r="L92">
        <v>8.6</v>
      </c>
    </row>
    <row r="93" spans="1:12" x14ac:dyDescent="0.35">
      <c r="A93">
        <v>2017</v>
      </c>
      <c r="B93">
        <v>131</v>
      </c>
      <c r="C93" t="s">
        <v>118</v>
      </c>
      <c r="D93" s="4">
        <v>1040</v>
      </c>
      <c r="E93">
        <v>8023</v>
      </c>
      <c r="F93">
        <v>6528.3</v>
      </c>
      <c r="G93" s="4">
        <v>3</v>
      </c>
      <c r="J93" s="4">
        <v>5</v>
      </c>
      <c r="K93">
        <v>12</v>
      </c>
      <c r="L93">
        <v>10.3</v>
      </c>
    </row>
    <row r="94" spans="1:12" x14ac:dyDescent="0.35">
      <c r="A94">
        <v>2017</v>
      </c>
      <c r="B94">
        <v>135</v>
      </c>
      <c r="C94" t="s">
        <v>119</v>
      </c>
      <c r="D94" s="4">
        <v>583</v>
      </c>
      <c r="E94">
        <v>4064</v>
      </c>
      <c r="F94">
        <v>3110.6</v>
      </c>
      <c r="G94" s="4">
        <v>6</v>
      </c>
      <c r="H94">
        <v>9</v>
      </c>
      <c r="I94">
        <v>7.6</v>
      </c>
      <c r="J94" s="4"/>
    </row>
    <row r="95" spans="1:12" x14ac:dyDescent="0.35">
      <c r="A95">
        <v>2017</v>
      </c>
      <c r="B95">
        <v>136</v>
      </c>
      <c r="C95" t="s">
        <v>120</v>
      </c>
      <c r="D95" s="4">
        <v>354</v>
      </c>
      <c r="E95">
        <v>1534</v>
      </c>
      <c r="F95">
        <v>1064.0999999999999</v>
      </c>
      <c r="G95" s="4"/>
      <c r="J95" s="4"/>
    </row>
    <row r="96" spans="1:12" x14ac:dyDescent="0.35">
      <c r="A96">
        <v>2017</v>
      </c>
      <c r="B96">
        <v>137</v>
      </c>
      <c r="C96" t="s">
        <v>121</v>
      </c>
      <c r="D96" s="4">
        <v>304</v>
      </c>
      <c r="E96">
        <v>1051</v>
      </c>
      <c r="F96">
        <v>717</v>
      </c>
      <c r="G96" s="4">
        <v>3</v>
      </c>
      <c r="H96">
        <v>4</v>
      </c>
      <c r="J96" s="4"/>
    </row>
    <row r="97" spans="1:12" x14ac:dyDescent="0.35">
      <c r="A97">
        <v>2017</v>
      </c>
      <c r="B97">
        <v>138</v>
      </c>
      <c r="C97" t="s">
        <v>122</v>
      </c>
      <c r="D97" s="4">
        <v>799</v>
      </c>
      <c r="E97">
        <v>4079</v>
      </c>
      <c r="F97">
        <v>3198.1</v>
      </c>
      <c r="G97" s="4">
        <v>5</v>
      </c>
      <c r="H97">
        <v>5</v>
      </c>
      <c r="J97" s="4">
        <v>3</v>
      </c>
    </row>
    <row r="98" spans="1:12" x14ac:dyDescent="0.35">
      <c r="A98">
        <v>2017</v>
      </c>
      <c r="B98">
        <v>139</v>
      </c>
      <c r="C98" t="s">
        <v>123</v>
      </c>
      <c r="D98" s="4">
        <v>423</v>
      </c>
      <c r="E98">
        <v>3064</v>
      </c>
      <c r="F98">
        <v>2413</v>
      </c>
      <c r="G98" s="4"/>
      <c r="H98">
        <v>8</v>
      </c>
      <c r="I98">
        <v>7.5</v>
      </c>
      <c r="J98" s="4">
        <v>6</v>
      </c>
      <c r="K98">
        <v>60</v>
      </c>
      <c r="L98">
        <v>54.1</v>
      </c>
    </row>
    <row r="99" spans="1:12" x14ac:dyDescent="0.35">
      <c r="A99">
        <v>2017</v>
      </c>
      <c r="B99">
        <v>141</v>
      </c>
      <c r="C99" t="s">
        <v>124</v>
      </c>
      <c r="D99" s="4">
        <v>1284</v>
      </c>
      <c r="E99">
        <v>6609</v>
      </c>
      <c r="F99">
        <v>4819.3999999999996</v>
      </c>
      <c r="G99" s="4">
        <v>9</v>
      </c>
      <c r="H99">
        <v>19</v>
      </c>
      <c r="I99">
        <v>14.7</v>
      </c>
      <c r="J99" s="4">
        <v>12</v>
      </c>
      <c r="K99">
        <v>26</v>
      </c>
      <c r="L99">
        <v>20.7</v>
      </c>
    </row>
    <row r="100" spans="1:12" x14ac:dyDescent="0.35">
      <c r="A100">
        <v>2017</v>
      </c>
      <c r="B100">
        <v>151</v>
      </c>
      <c r="C100" t="s">
        <v>125</v>
      </c>
      <c r="D100" s="4">
        <v>454</v>
      </c>
      <c r="E100">
        <v>1944</v>
      </c>
      <c r="F100">
        <v>1368.6</v>
      </c>
      <c r="G100" s="4"/>
      <c r="H100">
        <v>6</v>
      </c>
      <c r="I100">
        <v>4</v>
      </c>
      <c r="J100" s="4"/>
      <c r="K100">
        <v>65</v>
      </c>
      <c r="L100">
        <v>57.8</v>
      </c>
    </row>
    <row r="101" spans="1:12" x14ac:dyDescent="0.35">
      <c r="A101">
        <v>2017</v>
      </c>
      <c r="B101">
        <v>152</v>
      </c>
      <c r="C101" t="s">
        <v>126</v>
      </c>
      <c r="D101" s="4">
        <v>431</v>
      </c>
      <c r="E101">
        <v>1445</v>
      </c>
      <c r="F101">
        <v>1016.3</v>
      </c>
      <c r="G101" s="4">
        <v>4</v>
      </c>
      <c r="H101">
        <v>8</v>
      </c>
      <c r="I101">
        <v>4.4000000000000004</v>
      </c>
      <c r="J101" s="4"/>
    </row>
    <row r="102" spans="1:12" x14ac:dyDescent="0.35">
      <c r="A102">
        <v>2017</v>
      </c>
      <c r="B102">
        <v>153</v>
      </c>
      <c r="C102" t="s">
        <v>127</v>
      </c>
      <c r="D102" s="4">
        <v>596</v>
      </c>
      <c r="E102">
        <v>2886</v>
      </c>
      <c r="F102">
        <v>2115.9</v>
      </c>
      <c r="G102" s="4"/>
      <c r="J102" s="4"/>
    </row>
    <row r="103" spans="1:12" x14ac:dyDescent="0.35">
      <c r="A103">
        <v>2017</v>
      </c>
      <c r="B103">
        <v>154</v>
      </c>
      <c r="C103" t="s">
        <v>128</v>
      </c>
      <c r="D103" s="4">
        <v>1247</v>
      </c>
      <c r="E103">
        <v>6478</v>
      </c>
      <c r="F103">
        <v>4715.8999999999996</v>
      </c>
      <c r="G103" s="4">
        <v>5</v>
      </c>
      <c r="H103">
        <v>85</v>
      </c>
      <c r="I103">
        <v>80.099999999999994</v>
      </c>
      <c r="J103" s="4">
        <v>7</v>
      </c>
      <c r="K103">
        <v>13</v>
      </c>
      <c r="L103">
        <v>8.9</v>
      </c>
    </row>
    <row r="104" spans="1:12" x14ac:dyDescent="0.35">
      <c r="A104">
        <v>2017</v>
      </c>
      <c r="B104">
        <v>155</v>
      </c>
      <c r="C104" t="s">
        <v>129</v>
      </c>
      <c r="D104" s="4">
        <v>767</v>
      </c>
      <c r="E104">
        <v>5044</v>
      </c>
      <c r="F104">
        <v>3853.6</v>
      </c>
      <c r="G104" s="4">
        <v>5</v>
      </c>
      <c r="H104">
        <v>7</v>
      </c>
      <c r="I104">
        <v>4.7</v>
      </c>
      <c r="J104" s="4">
        <v>7</v>
      </c>
      <c r="K104">
        <v>14</v>
      </c>
      <c r="L104">
        <v>11.3</v>
      </c>
    </row>
    <row r="105" spans="1:12" x14ac:dyDescent="0.35">
      <c r="A105">
        <v>2017</v>
      </c>
      <c r="B105">
        <v>156</v>
      </c>
      <c r="C105" t="s">
        <v>130</v>
      </c>
      <c r="D105" s="4">
        <v>1113</v>
      </c>
      <c r="E105">
        <v>5816</v>
      </c>
      <c r="F105">
        <v>4350.3999999999996</v>
      </c>
      <c r="G105" s="4">
        <v>5</v>
      </c>
      <c r="H105">
        <v>6</v>
      </c>
      <c r="I105">
        <v>5.3</v>
      </c>
      <c r="J105" s="4">
        <v>5</v>
      </c>
      <c r="K105">
        <v>18</v>
      </c>
      <c r="L105">
        <v>15.6</v>
      </c>
    </row>
    <row r="106" spans="1:12" x14ac:dyDescent="0.35">
      <c r="A106">
        <v>2017</v>
      </c>
      <c r="B106">
        <v>157</v>
      </c>
      <c r="C106" t="s">
        <v>131</v>
      </c>
      <c r="D106" s="4">
        <v>297</v>
      </c>
      <c r="E106">
        <v>2237</v>
      </c>
      <c r="F106">
        <v>1668.5</v>
      </c>
      <c r="G106" s="4"/>
      <c r="J106" s="4"/>
    </row>
    <row r="107" spans="1:12" x14ac:dyDescent="0.35">
      <c r="A107">
        <v>2017</v>
      </c>
      <c r="B107">
        <v>158</v>
      </c>
      <c r="C107" t="s">
        <v>132</v>
      </c>
      <c r="D107" s="4">
        <v>1035</v>
      </c>
      <c r="E107">
        <v>5944</v>
      </c>
      <c r="F107">
        <v>4736.7</v>
      </c>
      <c r="G107" s="4">
        <v>4</v>
      </c>
      <c r="H107">
        <v>4</v>
      </c>
      <c r="J107" s="4">
        <v>3</v>
      </c>
      <c r="K107">
        <v>8</v>
      </c>
      <c r="L107">
        <v>5.9</v>
      </c>
    </row>
    <row r="108" spans="1:12" x14ac:dyDescent="0.35">
      <c r="A108">
        <v>2017</v>
      </c>
      <c r="B108">
        <v>159</v>
      </c>
      <c r="C108" t="s">
        <v>133</v>
      </c>
      <c r="D108" s="4">
        <v>367</v>
      </c>
      <c r="E108">
        <v>1597</v>
      </c>
      <c r="F108">
        <v>1165.8</v>
      </c>
      <c r="G108" s="4"/>
      <c r="H108">
        <v>6</v>
      </c>
      <c r="I108">
        <v>4.0999999999999996</v>
      </c>
      <c r="J108" s="4"/>
    </row>
    <row r="109" spans="1:12" x14ac:dyDescent="0.35">
      <c r="A109">
        <v>2017</v>
      </c>
      <c r="B109">
        <v>160</v>
      </c>
      <c r="C109" t="s">
        <v>134</v>
      </c>
      <c r="D109" s="4">
        <v>376</v>
      </c>
      <c r="E109">
        <v>1797</v>
      </c>
      <c r="F109">
        <v>1270.4000000000001</v>
      </c>
      <c r="G109" s="4"/>
      <c r="H109">
        <v>7</v>
      </c>
      <c r="J109" s="4"/>
    </row>
    <row r="110" spans="1:12" x14ac:dyDescent="0.35">
      <c r="A110">
        <v>2017</v>
      </c>
      <c r="B110">
        <v>161</v>
      </c>
      <c r="C110" t="s">
        <v>135</v>
      </c>
      <c r="D110" s="4">
        <v>1119</v>
      </c>
      <c r="E110">
        <v>5697</v>
      </c>
      <c r="F110">
        <v>4168.7</v>
      </c>
      <c r="G110" s="4">
        <v>6</v>
      </c>
      <c r="H110">
        <v>8</v>
      </c>
      <c r="I110">
        <v>5.6</v>
      </c>
      <c r="J110" s="4">
        <v>9</v>
      </c>
      <c r="K110">
        <v>11</v>
      </c>
      <c r="L110">
        <v>7</v>
      </c>
    </row>
    <row r="111" spans="1:12" x14ac:dyDescent="0.35">
      <c r="A111">
        <v>2017</v>
      </c>
      <c r="B111">
        <v>172</v>
      </c>
      <c r="C111" t="s">
        <v>136</v>
      </c>
      <c r="D111" s="4">
        <v>440</v>
      </c>
      <c r="E111">
        <v>4265</v>
      </c>
      <c r="F111">
        <v>3304.4</v>
      </c>
      <c r="G111" s="4"/>
      <c r="J111" s="4"/>
    </row>
    <row r="112" spans="1:12" x14ac:dyDescent="0.35">
      <c r="A112">
        <v>2017</v>
      </c>
      <c r="B112">
        <v>173</v>
      </c>
      <c r="C112" t="s">
        <v>137</v>
      </c>
      <c r="D112" s="4">
        <v>243</v>
      </c>
      <c r="E112">
        <v>783</v>
      </c>
      <c r="F112">
        <v>575.6</v>
      </c>
      <c r="G112" s="4"/>
      <c r="H112">
        <v>10</v>
      </c>
      <c r="I112">
        <v>6.9</v>
      </c>
      <c r="J112" s="4"/>
    </row>
    <row r="113" spans="1:12" x14ac:dyDescent="0.35">
      <c r="A113">
        <v>2017</v>
      </c>
      <c r="B113">
        <v>176</v>
      </c>
      <c r="C113" t="s">
        <v>138</v>
      </c>
      <c r="D113" s="4">
        <v>344</v>
      </c>
      <c r="E113">
        <v>2626</v>
      </c>
      <c r="F113">
        <v>2106.6</v>
      </c>
      <c r="G113" s="4"/>
      <c r="J113" s="4"/>
    </row>
    <row r="114" spans="1:12" x14ac:dyDescent="0.35">
      <c r="A114">
        <v>2017</v>
      </c>
      <c r="B114">
        <v>177</v>
      </c>
      <c r="C114" t="s">
        <v>139</v>
      </c>
      <c r="D114" s="4">
        <v>812</v>
      </c>
      <c r="E114">
        <v>5660</v>
      </c>
      <c r="F114">
        <v>4146.5</v>
      </c>
      <c r="G114" s="4">
        <v>3</v>
      </c>
      <c r="H114">
        <v>5</v>
      </c>
      <c r="J114" s="4">
        <v>3</v>
      </c>
      <c r="K114">
        <v>111</v>
      </c>
      <c r="L114">
        <v>35.9</v>
      </c>
    </row>
    <row r="115" spans="1:12" x14ac:dyDescent="0.35">
      <c r="A115">
        <v>2017</v>
      </c>
      <c r="B115">
        <v>178</v>
      </c>
      <c r="C115" t="s">
        <v>140</v>
      </c>
      <c r="D115" s="4">
        <v>291</v>
      </c>
      <c r="E115">
        <v>1247</v>
      </c>
      <c r="F115">
        <v>941.4</v>
      </c>
      <c r="G115" s="4"/>
      <c r="J115" s="4"/>
    </row>
    <row r="116" spans="1:12" x14ac:dyDescent="0.35">
      <c r="A116">
        <v>2017</v>
      </c>
      <c r="B116">
        <v>180</v>
      </c>
      <c r="C116" t="s">
        <v>141</v>
      </c>
      <c r="D116" s="4">
        <v>226</v>
      </c>
      <c r="E116">
        <v>882</v>
      </c>
      <c r="F116">
        <v>634.20000000000005</v>
      </c>
      <c r="G116" s="4"/>
      <c r="J116" s="4"/>
    </row>
    <row r="117" spans="1:12" x14ac:dyDescent="0.35">
      <c r="A117">
        <v>2017</v>
      </c>
      <c r="B117">
        <v>181</v>
      </c>
      <c r="C117" t="s">
        <v>142</v>
      </c>
      <c r="D117" s="4">
        <v>159</v>
      </c>
      <c r="E117">
        <v>620</v>
      </c>
      <c r="F117">
        <v>449.5</v>
      </c>
      <c r="G117" s="4"/>
      <c r="J117" s="4"/>
    </row>
    <row r="118" spans="1:12" x14ac:dyDescent="0.35">
      <c r="A118">
        <v>2017</v>
      </c>
      <c r="B118">
        <v>182</v>
      </c>
      <c r="C118" t="s">
        <v>143</v>
      </c>
      <c r="D118" s="4">
        <v>76</v>
      </c>
      <c r="E118">
        <v>232</v>
      </c>
      <c r="F118">
        <v>159.19999999999999</v>
      </c>
      <c r="G118" s="4"/>
      <c r="J118" s="4"/>
    </row>
    <row r="119" spans="1:12" x14ac:dyDescent="0.35">
      <c r="A119">
        <v>2017</v>
      </c>
      <c r="B119">
        <v>191</v>
      </c>
      <c r="C119" t="s">
        <v>144</v>
      </c>
      <c r="D119" s="4">
        <v>1858</v>
      </c>
      <c r="E119">
        <v>20362</v>
      </c>
      <c r="F119">
        <v>16167.4</v>
      </c>
      <c r="G119" s="4">
        <v>6</v>
      </c>
      <c r="H119">
        <v>7</v>
      </c>
      <c r="I119">
        <v>5.9</v>
      </c>
      <c r="J119" s="4">
        <v>7</v>
      </c>
      <c r="K119">
        <v>55</v>
      </c>
      <c r="L119">
        <v>49.8</v>
      </c>
    </row>
    <row r="120" spans="1:12" x14ac:dyDescent="0.35">
      <c r="A120">
        <v>2017</v>
      </c>
      <c r="B120">
        <v>192</v>
      </c>
      <c r="C120" t="s">
        <v>145</v>
      </c>
      <c r="D120" s="4">
        <v>596</v>
      </c>
      <c r="E120">
        <v>2535</v>
      </c>
      <c r="F120">
        <v>1911.9</v>
      </c>
      <c r="G120" s="4">
        <v>3</v>
      </c>
      <c r="J120" s="4"/>
      <c r="K120">
        <v>7</v>
      </c>
      <c r="L120">
        <v>6.1</v>
      </c>
    </row>
    <row r="121" spans="1:12" x14ac:dyDescent="0.35">
      <c r="A121">
        <v>2017</v>
      </c>
      <c r="B121">
        <v>193</v>
      </c>
      <c r="C121" t="s">
        <v>146</v>
      </c>
      <c r="D121" s="4">
        <v>508</v>
      </c>
      <c r="E121">
        <v>2914</v>
      </c>
      <c r="F121">
        <v>2375.9</v>
      </c>
      <c r="G121" s="4"/>
      <c r="J121" s="4"/>
      <c r="K121">
        <v>4</v>
      </c>
    </row>
    <row r="122" spans="1:12" x14ac:dyDescent="0.35">
      <c r="A122">
        <v>2017</v>
      </c>
      <c r="B122">
        <v>194</v>
      </c>
      <c r="C122" t="s">
        <v>147</v>
      </c>
      <c r="D122" s="4">
        <v>218</v>
      </c>
      <c r="E122">
        <v>1677</v>
      </c>
      <c r="F122">
        <v>1242.7</v>
      </c>
      <c r="G122" s="4"/>
      <c r="J122" s="4"/>
    </row>
    <row r="123" spans="1:12" x14ac:dyDescent="0.35">
      <c r="A123">
        <v>2017</v>
      </c>
      <c r="B123">
        <v>195</v>
      </c>
      <c r="C123" t="s">
        <v>148</v>
      </c>
      <c r="D123" s="4">
        <v>622</v>
      </c>
      <c r="E123">
        <v>2212</v>
      </c>
      <c r="F123">
        <v>1553.9</v>
      </c>
      <c r="G123" s="4">
        <v>4</v>
      </c>
      <c r="H123">
        <v>4</v>
      </c>
      <c r="J123" s="4"/>
    </row>
    <row r="124" spans="1:12" x14ac:dyDescent="0.35">
      <c r="A124">
        <v>2017</v>
      </c>
      <c r="B124">
        <v>196</v>
      </c>
      <c r="C124" t="s">
        <v>149</v>
      </c>
      <c r="D124" s="4">
        <v>243</v>
      </c>
      <c r="E124">
        <v>1305</v>
      </c>
      <c r="F124">
        <v>1031.7</v>
      </c>
      <c r="G124" s="4"/>
      <c r="J124" s="4"/>
    </row>
    <row r="125" spans="1:12" x14ac:dyDescent="0.35">
      <c r="A125">
        <v>2017</v>
      </c>
      <c r="B125">
        <v>197</v>
      </c>
      <c r="C125" t="s">
        <v>150</v>
      </c>
      <c r="D125" s="4">
        <v>311</v>
      </c>
      <c r="E125">
        <v>2786</v>
      </c>
      <c r="F125">
        <v>2231.9</v>
      </c>
      <c r="G125" s="4"/>
      <c r="J125" s="4"/>
    </row>
    <row r="126" spans="1:12" x14ac:dyDescent="0.35">
      <c r="A126">
        <v>2017</v>
      </c>
      <c r="B126">
        <v>198</v>
      </c>
      <c r="C126" t="s">
        <v>151</v>
      </c>
      <c r="D126" s="4">
        <v>2413</v>
      </c>
      <c r="E126">
        <v>16851</v>
      </c>
      <c r="F126">
        <v>12606.4</v>
      </c>
      <c r="G126" s="4">
        <v>6</v>
      </c>
      <c r="H126">
        <v>36</v>
      </c>
      <c r="I126">
        <v>29</v>
      </c>
      <c r="J126" s="4">
        <v>7</v>
      </c>
      <c r="K126">
        <v>11</v>
      </c>
      <c r="L126">
        <v>7.4</v>
      </c>
    </row>
    <row r="127" spans="1:12" x14ac:dyDescent="0.35">
      <c r="A127">
        <v>2017</v>
      </c>
      <c r="B127">
        <v>199</v>
      </c>
      <c r="C127" t="s">
        <v>152</v>
      </c>
      <c r="D127" s="4">
        <v>1248</v>
      </c>
      <c r="E127">
        <v>11130</v>
      </c>
      <c r="F127">
        <v>8895.5</v>
      </c>
      <c r="G127" s="4">
        <v>5</v>
      </c>
      <c r="H127">
        <v>42</v>
      </c>
      <c r="I127">
        <v>36</v>
      </c>
      <c r="J127" s="4">
        <v>5</v>
      </c>
      <c r="K127">
        <v>38</v>
      </c>
      <c r="L127">
        <v>32.299999999999997</v>
      </c>
    </row>
    <row r="128" spans="1:12" x14ac:dyDescent="0.35">
      <c r="A128">
        <v>2017</v>
      </c>
      <c r="B128">
        <v>200</v>
      </c>
      <c r="C128" t="s">
        <v>153</v>
      </c>
      <c r="D128" s="4">
        <v>569</v>
      </c>
      <c r="E128">
        <v>5782</v>
      </c>
      <c r="F128">
        <v>4618.8</v>
      </c>
      <c r="G128" s="4">
        <v>3</v>
      </c>
      <c r="J128" s="4"/>
    </row>
    <row r="129" spans="1:12" x14ac:dyDescent="0.35">
      <c r="A129">
        <v>2017</v>
      </c>
      <c r="B129">
        <v>211</v>
      </c>
      <c r="C129" t="s">
        <v>154</v>
      </c>
      <c r="D129" s="4">
        <v>63</v>
      </c>
      <c r="E129">
        <v>147</v>
      </c>
      <c r="F129">
        <v>91.8</v>
      </c>
      <c r="G129" s="4"/>
      <c r="J129" s="4"/>
    </row>
    <row r="130" spans="1:12" x14ac:dyDescent="0.35">
      <c r="A130">
        <v>2017</v>
      </c>
      <c r="B130">
        <v>213</v>
      </c>
      <c r="C130" t="s">
        <v>155</v>
      </c>
      <c r="D130" s="4">
        <v>129</v>
      </c>
      <c r="E130">
        <v>355</v>
      </c>
      <c r="F130">
        <v>250.4</v>
      </c>
      <c r="G130" s="4"/>
      <c r="J130" s="4"/>
    </row>
    <row r="131" spans="1:12" x14ac:dyDescent="0.35">
      <c r="A131">
        <v>2017</v>
      </c>
      <c r="B131">
        <v>214</v>
      </c>
      <c r="C131" t="s">
        <v>156</v>
      </c>
      <c r="D131" s="4">
        <v>98</v>
      </c>
      <c r="E131">
        <v>317</v>
      </c>
      <c r="F131">
        <v>204.6</v>
      </c>
      <c r="G131" s="4"/>
      <c r="J131" s="4"/>
    </row>
    <row r="132" spans="1:12" x14ac:dyDescent="0.35">
      <c r="A132">
        <v>2017</v>
      </c>
      <c r="B132">
        <v>215</v>
      </c>
      <c r="C132" t="s">
        <v>157</v>
      </c>
      <c r="D132" s="4">
        <v>57</v>
      </c>
      <c r="E132">
        <v>168</v>
      </c>
      <c r="F132">
        <v>96.6</v>
      </c>
      <c r="G132" s="4"/>
      <c r="J132" s="4"/>
    </row>
    <row r="133" spans="1:12" x14ac:dyDescent="0.35">
      <c r="A133">
        <v>2017</v>
      </c>
      <c r="B133">
        <v>216</v>
      </c>
      <c r="C133" t="s">
        <v>158</v>
      </c>
      <c r="D133" s="4">
        <v>115</v>
      </c>
      <c r="E133">
        <v>386</v>
      </c>
      <c r="F133">
        <v>278.5</v>
      </c>
      <c r="G133" s="4"/>
      <c r="J133" s="4"/>
    </row>
    <row r="134" spans="1:12" x14ac:dyDescent="0.35">
      <c r="A134">
        <v>2017</v>
      </c>
      <c r="B134">
        <v>218</v>
      </c>
      <c r="C134" t="s">
        <v>159</v>
      </c>
      <c r="D134" s="4">
        <v>69</v>
      </c>
      <c r="E134">
        <v>648</v>
      </c>
      <c r="F134">
        <v>498</v>
      </c>
      <c r="G134" s="4"/>
      <c r="J134" s="4"/>
    </row>
    <row r="135" spans="1:12" x14ac:dyDescent="0.35">
      <c r="A135">
        <v>2017</v>
      </c>
      <c r="B135">
        <v>219</v>
      </c>
      <c r="C135" t="s">
        <v>160</v>
      </c>
      <c r="D135" s="4">
        <v>231</v>
      </c>
      <c r="E135">
        <v>1324</v>
      </c>
      <c r="F135">
        <v>1030.7</v>
      </c>
      <c r="G135" s="4"/>
      <c r="J135" s="4"/>
    </row>
    <row r="136" spans="1:12" x14ac:dyDescent="0.35">
      <c r="A136">
        <v>2017</v>
      </c>
      <c r="B136">
        <v>220</v>
      </c>
      <c r="C136" t="s">
        <v>161</v>
      </c>
      <c r="D136" s="4">
        <v>78</v>
      </c>
      <c r="E136">
        <v>227</v>
      </c>
      <c r="F136">
        <v>171.4</v>
      </c>
      <c r="G136" s="4"/>
      <c r="J136" s="4"/>
    </row>
    <row r="137" spans="1:12" x14ac:dyDescent="0.35">
      <c r="A137">
        <v>2017</v>
      </c>
      <c r="B137">
        <v>221</v>
      </c>
      <c r="C137" t="s">
        <v>162</v>
      </c>
      <c r="D137" s="4">
        <v>162</v>
      </c>
      <c r="E137">
        <v>673</v>
      </c>
      <c r="F137">
        <v>518.1</v>
      </c>
      <c r="G137" s="4"/>
      <c r="J137" s="4">
        <v>3</v>
      </c>
    </row>
    <row r="138" spans="1:12" x14ac:dyDescent="0.35">
      <c r="A138">
        <v>2017</v>
      </c>
      <c r="B138">
        <v>223</v>
      </c>
      <c r="C138" t="s">
        <v>163</v>
      </c>
      <c r="D138" s="4">
        <v>352</v>
      </c>
      <c r="E138">
        <v>1564</v>
      </c>
      <c r="F138">
        <v>1172.9000000000001</v>
      </c>
      <c r="G138" s="4"/>
      <c r="J138" s="4"/>
    </row>
    <row r="139" spans="1:12" x14ac:dyDescent="0.35">
      <c r="A139">
        <v>2017</v>
      </c>
      <c r="B139">
        <v>224</v>
      </c>
      <c r="C139" t="s">
        <v>164</v>
      </c>
      <c r="D139" s="4">
        <v>223</v>
      </c>
      <c r="E139">
        <v>1403</v>
      </c>
      <c r="F139">
        <v>1142.5999999999999</v>
      </c>
      <c r="G139" s="4"/>
      <c r="J139" s="4"/>
    </row>
    <row r="140" spans="1:12" x14ac:dyDescent="0.35">
      <c r="A140">
        <v>2017</v>
      </c>
      <c r="B140">
        <v>225</v>
      </c>
      <c r="C140" t="s">
        <v>165</v>
      </c>
      <c r="D140" s="4">
        <v>161</v>
      </c>
      <c r="E140">
        <v>489</v>
      </c>
      <c r="F140">
        <v>342.7</v>
      </c>
      <c r="G140" s="4"/>
      <c r="J140" s="4"/>
    </row>
    <row r="141" spans="1:12" x14ac:dyDescent="0.35">
      <c r="A141">
        <v>2017</v>
      </c>
      <c r="B141">
        <v>226</v>
      </c>
      <c r="C141" t="s">
        <v>166</v>
      </c>
      <c r="D141" s="4">
        <v>61</v>
      </c>
      <c r="E141">
        <v>135</v>
      </c>
      <c r="F141">
        <v>90.9</v>
      </c>
      <c r="G141" s="4"/>
      <c r="J141" s="4"/>
    </row>
    <row r="142" spans="1:12" x14ac:dyDescent="0.35">
      <c r="A142">
        <v>2017</v>
      </c>
      <c r="B142">
        <v>227</v>
      </c>
      <c r="C142" t="s">
        <v>167</v>
      </c>
      <c r="D142" s="4">
        <v>439</v>
      </c>
      <c r="E142">
        <v>2640</v>
      </c>
      <c r="F142">
        <v>2036.5</v>
      </c>
      <c r="G142" s="4"/>
      <c r="J142" s="4"/>
    </row>
    <row r="143" spans="1:12" x14ac:dyDescent="0.35">
      <c r="A143">
        <v>2017</v>
      </c>
      <c r="B143">
        <v>228</v>
      </c>
      <c r="C143" t="s">
        <v>168</v>
      </c>
      <c r="D143" s="4">
        <v>324</v>
      </c>
      <c r="E143">
        <v>1618</v>
      </c>
      <c r="F143">
        <v>1134.5999999999999</v>
      </c>
      <c r="G143" s="4"/>
      <c r="J143" s="4"/>
    </row>
    <row r="144" spans="1:12" x14ac:dyDescent="0.35">
      <c r="A144">
        <v>2017</v>
      </c>
      <c r="B144">
        <v>230</v>
      </c>
      <c r="C144" t="s">
        <v>169</v>
      </c>
      <c r="D144" s="4">
        <v>7952</v>
      </c>
      <c r="E144">
        <v>71587</v>
      </c>
      <c r="F144">
        <v>54260.2</v>
      </c>
      <c r="G144" s="4">
        <v>24</v>
      </c>
      <c r="H144">
        <v>66</v>
      </c>
      <c r="I144">
        <v>42.1</v>
      </c>
      <c r="J144" s="4">
        <v>35</v>
      </c>
      <c r="K144">
        <v>97</v>
      </c>
      <c r="L144">
        <v>66.900000000000006</v>
      </c>
    </row>
    <row r="145" spans="1:12" x14ac:dyDescent="0.35">
      <c r="A145">
        <v>2017</v>
      </c>
      <c r="B145">
        <v>231</v>
      </c>
      <c r="C145" t="s">
        <v>170</v>
      </c>
      <c r="D145" s="4">
        <v>337</v>
      </c>
      <c r="E145">
        <v>1467</v>
      </c>
      <c r="F145">
        <v>1064.7</v>
      </c>
      <c r="G145" s="4"/>
      <c r="J145" s="4"/>
      <c r="K145">
        <v>7</v>
      </c>
      <c r="L145">
        <v>5.8</v>
      </c>
    </row>
    <row r="146" spans="1:12" x14ac:dyDescent="0.35">
      <c r="A146">
        <v>2017</v>
      </c>
      <c r="B146">
        <v>241</v>
      </c>
      <c r="C146" t="s">
        <v>171</v>
      </c>
      <c r="D146" s="4">
        <v>85</v>
      </c>
      <c r="E146">
        <v>348</v>
      </c>
      <c r="F146">
        <v>266.5</v>
      </c>
      <c r="G146" s="4"/>
      <c r="J146" s="4"/>
    </row>
    <row r="147" spans="1:12" x14ac:dyDescent="0.35">
      <c r="A147">
        <v>2017</v>
      </c>
      <c r="B147">
        <v>242</v>
      </c>
      <c r="C147" t="s">
        <v>172</v>
      </c>
      <c r="D147" s="4">
        <v>407</v>
      </c>
      <c r="E147">
        <v>2419</v>
      </c>
      <c r="F147">
        <v>1882.8</v>
      </c>
      <c r="G147" s="4"/>
      <c r="J147" s="4"/>
    </row>
    <row r="148" spans="1:12" x14ac:dyDescent="0.35">
      <c r="A148">
        <v>2017</v>
      </c>
      <c r="B148">
        <v>243</v>
      </c>
      <c r="C148" t="s">
        <v>173</v>
      </c>
      <c r="D148" s="4">
        <v>1753</v>
      </c>
      <c r="E148">
        <v>18509</v>
      </c>
      <c r="F148">
        <v>14706.2</v>
      </c>
      <c r="G148" s="4">
        <v>11</v>
      </c>
      <c r="H148">
        <v>31</v>
      </c>
      <c r="I148">
        <v>18.5</v>
      </c>
      <c r="J148" s="4">
        <v>12</v>
      </c>
      <c r="K148">
        <v>317</v>
      </c>
      <c r="L148">
        <v>299</v>
      </c>
    </row>
    <row r="149" spans="1:12" x14ac:dyDescent="0.35">
      <c r="A149">
        <v>2017</v>
      </c>
      <c r="B149">
        <v>244</v>
      </c>
      <c r="C149" t="s">
        <v>174</v>
      </c>
      <c r="D149" s="4">
        <v>307</v>
      </c>
      <c r="E149">
        <v>2235</v>
      </c>
      <c r="F149">
        <v>1725.6</v>
      </c>
      <c r="G149" s="4"/>
      <c r="J149" s="4"/>
    </row>
    <row r="150" spans="1:12" x14ac:dyDescent="0.35">
      <c r="A150">
        <v>2017</v>
      </c>
      <c r="B150">
        <v>245</v>
      </c>
      <c r="C150" t="s">
        <v>175</v>
      </c>
      <c r="D150" s="4">
        <v>316</v>
      </c>
      <c r="E150">
        <v>1236</v>
      </c>
      <c r="F150">
        <v>886.8</v>
      </c>
      <c r="G150" s="4"/>
      <c r="J150" s="4"/>
    </row>
    <row r="151" spans="1:12" x14ac:dyDescent="0.35">
      <c r="A151">
        <v>2017</v>
      </c>
      <c r="B151">
        <v>246</v>
      </c>
      <c r="C151" t="s">
        <v>176</v>
      </c>
      <c r="D151" s="4">
        <v>122</v>
      </c>
      <c r="E151">
        <v>281</v>
      </c>
      <c r="F151">
        <v>192.9</v>
      </c>
      <c r="G151" s="4"/>
      <c r="J151" s="4"/>
    </row>
    <row r="152" spans="1:12" x14ac:dyDescent="0.35">
      <c r="A152">
        <v>2017</v>
      </c>
      <c r="B152">
        <v>247</v>
      </c>
      <c r="C152" t="s">
        <v>177</v>
      </c>
      <c r="D152" s="4">
        <v>1370</v>
      </c>
      <c r="E152">
        <v>18637</v>
      </c>
      <c r="F152">
        <v>14939.3</v>
      </c>
      <c r="G152" s="4">
        <v>5</v>
      </c>
      <c r="H152">
        <v>59</v>
      </c>
      <c r="I152">
        <v>53.4</v>
      </c>
      <c r="J152" s="4">
        <v>5</v>
      </c>
      <c r="K152">
        <v>79</v>
      </c>
      <c r="L152">
        <v>70.400000000000006</v>
      </c>
    </row>
    <row r="153" spans="1:12" x14ac:dyDescent="0.35">
      <c r="A153">
        <v>2017</v>
      </c>
      <c r="B153">
        <v>248</v>
      </c>
      <c r="C153" t="s">
        <v>178</v>
      </c>
      <c r="D153" s="4">
        <v>262</v>
      </c>
      <c r="E153">
        <v>1043</v>
      </c>
      <c r="F153">
        <v>756.1</v>
      </c>
      <c r="G153" s="4"/>
      <c r="J153" s="4"/>
    </row>
    <row r="154" spans="1:12" x14ac:dyDescent="0.35">
      <c r="A154">
        <v>2017</v>
      </c>
      <c r="B154">
        <v>249</v>
      </c>
      <c r="C154" t="s">
        <v>179</v>
      </c>
      <c r="D154" s="4">
        <v>259</v>
      </c>
      <c r="E154">
        <v>994</v>
      </c>
      <c r="F154">
        <v>752.7</v>
      </c>
      <c r="G154" s="4"/>
      <c r="J154" s="4"/>
    </row>
    <row r="155" spans="1:12" x14ac:dyDescent="0.35">
      <c r="A155">
        <v>2017</v>
      </c>
      <c r="B155">
        <v>250</v>
      </c>
      <c r="C155" t="s">
        <v>180</v>
      </c>
      <c r="D155" s="4">
        <v>656</v>
      </c>
      <c r="E155">
        <v>6401</v>
      </c>
      <c r="F155">
        <v>5248.7</v>
      </c>
      <c r="G155" s="4">
        <v>4</v>
      </c>
      <c r="H155">
        <v>50</v>
      </c>
      <c r="I155">
        <v>39.1</v>
      </c>
      <c r="J155" s="4"/>
    </row>
    <row r="156" spans="1:12" x14ac:dyDescent="0.35">
      <c r="A156">
        <v>2017</v>
      </c>
      <c r="B156">
        <v>251</v>
      </c>
      <c r="C156" t="s">
        <v>181</v>
      </c>
      <c r="D156" s="4">
        <v>267</v>
      </c>
      <c r="E156">
        <v>2021</v>
      </c>
      <c r="F156">
        <v>1288.8</v>
      </c>
      <c r="G156" s="4"/>
      <c r="J156" s="4"/>
      <c r="K156">
        <v>6</v>
      </c>
      <c r="L156">
        <v>4.2</v>
      </c>
    </row>
    <row r="157" spans="1:12" x14ac:dyDescent="0.35">
      <c r="A157">
        <v>2017</v>
      </c>
      <c r="B157">
        <v>261</v>
      </c>
      <c r="C157" t="s">
        <v>182</v>
      </c>
      <c r="D157" s="4">
        <v>44669</v>
      </c>
      <c r="E157">
        <v>479839</v>
      </c>
      <c r="F157">
        <v>367940.9</v>
      </c>
      <c r="G157" s="4">
        <v>182</v>
      </c>
      <c r="H157">
        <v>729</v>
      </c>
      <c r="I157">
        <v>558.1</v>
      </c>
      <c r="J157" s="4">
        <v>185</v>
      </c>
      <c r="K157">
        <v>882</v>
      </c>
      <c r="L157">
        <v>717.7</v>
      </c>
    </row>
    <row r="158" spans="1:12" x14ac:dyDescent="0.35">
      <c r="A158">
        <v>2017</v>
      </c>
      <c r="B158">
        <v>291</v>
      </c>
      <c r="C158" t="s">
        <v>183</v>
      </c>
      <c r="D158" s="4">
        <v>303</v>
      </c>
      <c r="E158">
        <v>1812</v>
      </c>
      <c r="F158">
        <v>1376.5</v>
      </c>
      <c r="G158" s="4"/>
      <c r="J158" s="4"/>
    </row>
    <row r="159" spans="1:12" x14ac:dyDescent="0.35">
      <c r="A159">
        <v>2017</v>
      </c>
      <c r="B159">
        <v>292</v>
      </c>
      <c r="C159" t="s">
        <v>184</v>
      </c>
      <c r="D159" s="4">
        <v>267</v>
      </c>
      <c r="E159">
        <v>1233</v>
      </c>
      <c r="F159">
        <v>864.4</v>
      </c>
      <c r="G159" s="4"/>
      <c r="J159" s="4"/>
      <c r="K159">
        <v>4</v>
      </c>
    </row>
    <row r="160" spans="1:12" x14ac:dyDescent="0.35">
      <c r="A160">
        <v>2017</v>
      </c>
      <c r="B160">
        <v>293</v>
      </c>
      <c r="C160" t="s">
        <v>185</v>
      </c>
      <c r="D160" s="4">
        <v>1868</v>
      </c>
      <c r="E160">
        <v>9644</v>
      </c>
      <c r="F160">
        <v>7182.4</v>
      </c>
      <c r="G160" s="4">
        <v>9</v>
      </c>
      <c r="H160">
        <v>14</v>
      </c>
      <c r="I160">
        <v>9.6999999999999993</v>
      </c>
      <c r="J160" s="4">
        <v>7</v>
      </c>
      <c r="K160">
        <v>50</v>
      </c>
      <c r="L160">
        <v>45.3</v>
      </c>
    </row>
    <row r="161" spans="1:12" x14ac:dyDescent="0.35">
      <c r="A161">
        <v>2017</v>
      </c>
      <c r="B161">
        <v>294</v>
      </c>
      <c r="C161" t="s">
        <v>186</v>
      </c>
      <c r="D161" s="4">
        <v>342</v>
      </c>
      <c r="E161">
        <v>1628</v>
      </c>
      <c r="F161">
        <v>1178.2</v>
      </c>
      <c r="G161" s="4">
        <v>3</v>
      </c>
      <c r="H161">
        <v>5</v>
      </c>
      <c r="J161" s="4"/>
    </row>
    <row r="162" spans="1:12" x14ac:dyDescent="0.35">
      <c r="A162">
        <v>2017</v>
      </c>
      <c r="B162">
        <v>295</v>
      </c>
      <c r="C162" t="s">
        <v>187</v>
      </c>
      <c r="D162" s="4">
        <v>1417</v>
      </c>
      <c r="E162">
        <v>10125</v>
      </c>
      <c r="F162">
        <v>7891.6</v>
      </c>
      <c r="G162" s="4">
        <v>3</v>
      </c>
      <c r="H162">
        <v>5</v>
      </c>
      <c r="I162">
        <v>4.3</v>
      </c>
      <c r="J162" s="4">
        <v>7</v>
      </c>
      <c r="K162">
        <v>11</v>
      </c>
      <c r="L162">
        <v>8.9</v>
      </c>
    </row>
    <row r="163" spans="1:12" x14ac:dyDescent="0.35">
      <c r="A163">
        <v>2017</v>
      </c>
      <c r="B163">
        <v>296</v>
      </c>
      <c r="C163" t="s">
        <v>188</v>
      </c>
      <c r="D163" s="4">
        <v>1055</v>
      </c>
      <c r="E163">
        <v>6908</v>
      </c>
      <c r="F163">
        <v>5061.2</v>
      </c>
      <c r="G163" s="4"/>
      <c r="J163" s="4"/>
      <c r="K163">
        <v>14</v>
      </c>
      <c r="L163">
        <v>13.5</v>
      </c>
    </row>
    <row r="164" spans="1:12" x14ac:dyDescent="0.35">
      <c r="A164">
        <v>2017</v>
      </c>
      <c r="B164">
        <v>297</v>
      </c>
      <c r="C164" t="s">
        <v>189</v>
      </c>
      <c r="D164" s="4">
        <v>389</v>
      </c>
      <c r="E164">
        <v>1860</v>
      </c>
      <c r="F164">
        <v>1372.6</v>
      </c>
      <c r="G164" s="4"/>
      <c r="J164" s="4"/>
    </row>
    <row r="165" spans="1:12" x14ac:dyDescent="0.35">
      <c r="A165">
        <v>2017</v>
      </c>
      <c r="B165">
        <v>298</v>
      </c>
      <c r="C165" t="s">
        <v>190</v>
      </c>
      <c r="D165" s="4">
        <v>382</v>
      </c>
      <c r="E165">
        <v>1525</v>
      </c>
      <c r="F165">
        <v>1044.3</v>
      </c>
      <c r="G165" s="4"/>
      <c r="J165" s="4"/>
    </row>
  </sheetData>
  <mergeCells count="5">
    <mergeCell ref="A1:R1"/>
    <mergeCell ref="A2:R2"/>
    <mergeCell ref="D4:F4"/>
    <mergeCell ref="G4:I4"/>
    <mergeCell ref="J4:L4"/>
  </mergeCells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165"/>
  <sheetViews>
    <sheetView workbookViewId="0"/>
  </sheetViews>
  <sheetFormatPr baseColWidth="10" defaultRowHeight="14.5" x14ac:dyDescent="0.35"/>
  <cols>
    <col min="1" max="1" width="6.7265625" customWidth="1"/>
    <col min="2" max="2" width="14.7265625" customWidth="1"/>
    <col min="3" max="3" width="20.7265625" customWidth="1"/>
    <col min="4" max="4" width="17.7265625" customWidth="1"/>
    <col min="5" max="5" width="15.7265625" customWidth="1"/>
    <col min="6" max="6" width="22.7265625" customWidth="1"/>
    <col min="7" max="7" width="17.7265625" customWidth="1"/>
    <col min="8" max="8" width="15.7265625" customWidth="1"/>
    <col min="9" max="9" width="22.7265625" customWidth="1"/>
    <col min="10" max="10" width="17.7265625" customWidth="1"/>
    <col min="11" max="11" width="15.7265625" customWidth="1"/>
    <col min="12" max="12" width="22.7265625" customWidth="1"/>
  </cols>
  <sheetData>
    <row r="1" spans="1:18" ht="18" x14ac:dyDescent="0.4">
      <c r="A1" s="10" t="s">
        <v>198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x14ac:dyDescent="0.35">
      <c r="A2" s="8" t="s">
        <v>10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4" spans="1:18" x14ac:dyDescent="0.35">
      <c r="D4" s="11" t="s">
        <v>22</v>
      </c>
      <c r="E4" s="12"/>
      <c r="F4" s="12"/>
      <c r="G4" s="11" t="s">
        <v>23</v>
      </c>
      <c r="H4" s="12"/>
      <c r="I4" s="12"/>
      <c r="J4" s="11" t="s">
        <v>24</v>
      </c>
      <c r="K4" s="12"/>
      <c r="L4" s="12"/>
    </row>
    <row r="5" spans="1:18" ht="15.5" x14ac:dyDescent="0.35">
      <c r="A5" s="3" t="s">
        <v>25</v>
      </c>
      <c r="B5" s="3" t="s">
        <v>26</v>
      </c>
      <c r="C5" s="3" t="s">
        <v>27</v>
      </c>
      <c r="D5" s="5" t="s">
        <v>28</v>
      </c>
      <c r="E5" s="3" t="s">
        <v>29</v>
      </c>
      <c r="F5" s="3" t="s">
        <v>30</v>
      </c>
      <c r="G5" s="5" t="s">
        <v>28</v>
      </c>
      <c r="H5" s="3" t="s">
        <v>29</v>
      </c>
      <c r="I5" s="3" t="s">
        <v>30</v>
      </c>
      <c r="J5" s="5" t="s">
        <v>28</v>
      </c>
      <c r="K5" s="3" t="s">
        <v>29</v>
      </c>
      <c r="L5" s="3" t="s">
        <v>30</v>
      </c>
    </row>
    <row r="6" spans="1:18" x14ac:dyDescent="0.35">
      <c r="A6">
        <v>2016</v>
      </c>
      <c r="B6">
        <v>1</v>
      </c>
      <c r="C6" t="s">
        <v>31</v>
      </c>
      <c r="D6" s="4">
        <v>145</v>
      </c>
      <c r="E6">
        <v>460</v>
      </c>
      <c r="F6">
        <v>306.39999999999998</v>
      </c>
      <c r="G6" s="4"/>
      <c r="H6">
        <v>18</v>
      </c>
      <c r="I6">
        <v>16.3</v>
      </c>
      <c r="J6" s="4"/>
    </row>
    <row r="7" spans="1:18" x14ac:dyDescent="0.35">
      <c r="A7">
        <v>2016</v>
      </c>
      <c r="B7">
        <v>2</v>
      </c>
      <c r="C7" t="s">
        <v>32</v>
      </c>
      <c r="D7" s="4">
        <v>970</v>
      </c>
      <c r="E7">
        <v>6519</v>
      </c>
      <c r="F7">
        <v>4828.3999999999996</v>
      </c>
      <c r="G7" s="4">
        <v>4</v>
      </c>
      <c r="H7">
        <v>18</v>
      </c>
      <c r="I7">
        <v>14</v>
      </c>
      <c r="J7" s="4">
        <v>5</v>
      </c>
      <c r="K7">
        <v>11</v>
      </c>
      <c r="L7">
        <v>6.6</v>
      </c>
    </row>
    <row r="8" spans="1:18" x14ac:dyDescent="0.35">
      <c r="A8">
        <v>2016</v>
      </c>
      <c r="B8">
        <v>3</v>
      </c>
      <c r="C8" t="s">
        <v>33</v>
      </c>
      <c r="D8" s="4">
        <v>278</v>
      </c>
      <c r="E8">
        <v>1017</v>
      </c>
      <c r="F8">
        <v>682.6</v>
      </c>
      <c r="G8" s="4"/>
      <c r="J8" s="4">
        <v>3</v>
      </c>
      <c r="K8">
        <v>6</v>
      </c>
      <c r="L8">
        <v>4.5999999999999996</v>
      </c>
    </row>
    <row r="9" spans="1:18" x14ac:dyDescent="0.35">
      <c r="A9">
        <v>2016</v>
      </c>
      <c r="B9">
        <v>4</v>
      </c>
      <c r="C9" t="s">
        <v>34</v>
      </c>
      <c r="D9" s="4">
        <v>272</v>
      </c>
      <c r="E9">
        <v>1128</v>
      </c>
      <c r="F9">
        <v>786.9</v>
      </c>
      <c r="G9" s="4"/>
      <c r="H9">
        <v>16</v>
      </c>
      <c r="I9">
        <v>11.6</v>
      </c>
      <c r="J9" s="4"/>
    </row>
    <row r="10" spans="1:18" x14ac:dyDescent="0.35">
      <c r="A10">
        <v>2016</v>
      </c>
      <c r="B10">
        <v>5</v>
      </c>
      <c r="C10" t="s">
        <v>35</v>
      </c>
      <c r="D10" s="4">
        <v>192</v>
      </c>
      <c r="E10">
        <v>1487</v>
      </c>
      <c r="F10">
        <v>1199.7</v>
      </c>
      <c r="G10" s="4"/>
      <c r="J10" s="4"/>
      <c r="K10">
        <v>12</v>
      </c>
      <c r="L10">
        <v>9.1999999999999993</v>
      </c>
    </row>
    <row r="11" spans="1:18" x14ac:dyDescent="0.35">
      <c r="A11">
        <v>2016</v>
      </c>
      <c r="B11">
        <v>6</v>
      </c>
      <c r="C11" t="s">
        <v>36</v>
      </c>
      <c r="D11" s="4">
        <v>100</v>
      </c>
      <c r="E11">
        <v>321</v>
      </c>
      <c r="F11">
        <v>208.2</v>
      </c>
      <c r="G11" s="4"/>
      <c r="J11" s="4"/>
    </row>
    <row r="12" spans="1:18" x14ac:dyDescent="0.35">
      <c r="A12">
        <v>2016</v>
      </c>
      <c r="B12">
        <v>7</v>
      </c>
      <c r="C12" t="s">
        <v>37</v>
      </c>
      <c r="D12" s="4">
        <v>125</v>
      </c>
      <c r="E12">
        <v>514</v>
      </c>
      <c r="F12">
        <v>383.6</v>
      </c>
      <c r="G12" s="4"/>
      <c r="J12" s="4"/>
    </row>
    <row r="13" spans="1:18" x14ac:dyDescent="0.35">
      <c r="A13">
        <v>2016</v>
      </c>
      <c r="B13">
        <v>8</v>
      </c>
      <c r="C13" t="s">
        <v>38</v>
      </c>
      <c r="D13" s="4">
        <v>65</v>
      </c>
      <c r="E13">
        <v>165</v>
      </c>
      <c r="F13">
        <v>106.9</v>
      </c>
      <c r="G13" s="4"/>
      <c r="J13" s="4"/>
    </row>
    <row r="14" spans="1:18" x14ac:dyDescent="0.35">
      <c r="A14">
        <v>2016</v>
      </c>
      <c r="B14">
        <v>9</v>
      </c>
      <c r="C14" t="s">
        <v>39</v>
      </c>
      <c r="D14" s="4">
        <v>319</v>
      </c>
      <c r="E14">
        <v>1614</v>
      </c>
      <c r="F14">
        <v>1150.2</v>
      </c>
      <c r="G14" s="4">
        <v>4</v>
      </c>
      <c r="H14">
        <v>6</v>
      </c>
      <c r="I14">
        <v>4.4000000000000004</v>
      </c>
      <c r="J14" s="4">
        <v>3</v>
      </c>
      <c r="K14">
        <v>10</v>
      </c>
      <c r="L14">
        <v>5.7</v>
      </c>
    </row>
    <row r="15" spans="1:18" x14ac:dyDescent="0.35">
      <c r="A15">
        <v>2016</v>
      </c>
      <c r="B15">
        <v>10</v>
      </c>
      <c r="C15" t="s">
        <v>40</v>
      </c>
      <c r="D15" s="4">
        <v>317</v>
      </c>
      <c r="E15">
        <v>1277</v>
      </c>
      <c r="F15">
        <v>901.7</v>
      </c>
      <c r="G15" s="4">
        <v>4</v>
      </c>
      <c r="H15">
        <v>9</v>
      </c>
      <c r="I15">
        <v>6.3</v>
      </c>
      <c r="J15" s="4"/>
    </row>
    <row r="16" spans="1:18" x14ac:dyDescent="0.35">
      <c r="A16">
        <v>2016</v>
      </c>
      <c r="B16">
        <v>11</v>
      </c>
      <c r="C16" t="s">
        <v>41</v>
      </c>
      <c r="D16" s="4">
        <v>165</v>
      </c>
      <c r="E16">
        <v>696</v>
      </c>
      <c r="F16">
        <v>482.9</v>
      </c>
      <c r="G16" s="4"/>
      <c r="J16" s="4"/>
    </row>
    <row r="17" spans="1:12" x14ac:dyDescent="0.35">
      <c r="A17">
        <v>2016</v>
      </c>
      <c r="B17">
        <v>12</v>
      </c>
      <c r="C17" t="s">
        <v>42</v>
      </c>
      <c r="D17" s="4">
        <v>90</v>
      </c>
      <c r="E17">
        <v>255</v>
      </c>
      <c r="F17">
        <v>180.1</v>
      </c>
      <c r="G17" s="4"/>
      <c r="J17" s="4"/>
    </row>
    <row r="18" spans="1:12" x14ac:dyDescent="0.35">
      <c r="A18">
        <v>2016</v>
      </c>
      <c r="B18">
        <v>13</v>
      </c>
      <c r="C18" t="s">
        <v>43</v>
      </c>
      <c r="D18" s="4">
        <v>185</v>
      </c>
      <c r="E18">
        <v>811</v>
      </c>
      <c r="F18">
        <v>603.1</v>
      </c>
      <c r="G18" s="4"/>
      <c r="J18" s="4"/>
    </row>
    <row r="19" spans="1:12" x14ac:dyDescent="0.35">
      <c r="A19">
        <v>2016</v>
      </c>
      <c r="B19">
        <v>14</v>
      </c>
      <c r="C19" t="s">
        <v>44</v>
      </c>
      <c r="D19" s="4">
        <v>287</v>
      </c>
      <c r="E19">
        <v>1223</v>
      </c>
      <c r="F19">
        <v>928.1</v>
      </c>
      <c r="G19" s="4"/>
      <c r="J19" s="4">
        <v>4</v>
      </c>
      <c r="K19">
        <v>26</v>
      </c>
      <c r="L19">
        <v>24</v>
      </c>
    </row>
    <row r="20" spans="1:12" x14ac:dyDescent="0.35">
      <c r="A20">
        <v>2016</v>
      </c>
      <c r="B20">
        <v>22</v>
      </c>
      <c r="C20" t="s">
        <v>45</v>
      </c>
      <c r="D20" s="4">
        <v>73</v>
      </c>
      <c r="E20">
        <v>257</v>
      </c>
      <c r="F20">
        <v>177.3</v>
      </c>
      <c r="G20" s="4"/>
      <c r="J20" s="4"/>
      <c r="K20">
        <v>10</v>
      </c>
      <c r="L20">
        <v>8.9</v>
      </c>
    </row>
    <row r="21" spans="1:12" x14ac:dyDescent="0.35">
      <c r="A21">
        <v>2016</v>
      </c>
      <c r="B21">
        <v>23</v>
      </c>
      <c r="C21" t="s">
        <v>46</v>
      </c>
      <c r="D21" s="4">
        <v>53</v>
      </c>
      <c r="E21">
        <v>143</v>
      </c>
      <c r="F21">
        <v>93.3</v>
      </c>
      <c r="G21" s="4"/>
      <c r="J21" s="4"/>
    </row>
    <row r="22" spans="1:12" x14ac:dyDescent="0.35">
      <c r="A22">
        <v>2016</v>
      </c>
      <c r="B22">
        <v>24</v>
      </c>
      <c r="C22" t="s">
        <v>47</v>
      </c>
      <c r="D22" s="4">
        <v>73</v>
      </c>
      <c r="E22">
        <v>195</v>
      </c>
      <c r="F22">
        <v>136.4</v>
      </c>
      <c r="G22" s="4"/>
      <c r="J22" s="4"/>
    </row>
    <row r="23" spans="1:12" x14ac:dyDescent="0.35">
      <c r="A23">
        <v>2016</v>
      </c>
      <c r="B23">
        <v>25</v>
      </c>
      <c r="C23" t="s">
        <v>48</v>
      </c>
      <c r="D23" s="4">
        <v>106</v>
      </c>
      <c r="E23">
        <v>388</v>
      </c>
      <c r="F23">
        <v>267</v>
      </c>
      <c r="G23" s="4"/>
      <c r="J23" s="4"/>
    </row>
    <row r="24" spans="1:12" x14ac:dyDescent="0.35">
      <c r="A24">
        <v>2016</v>
      </c>
      <c r="B24">
        <v>26</v>
      </c>
      <c r="C24" t="s">
        <v>49</v>
      </c>
      <c r="D24" s="4">
        <v>52</v>
      </c>
      <c r="E24">
        <v>168</v>
      </c>
      <c r="F24">
        <v>100.7</v>
      </c>
      <c r="G24" s="4"/>
      <c r="J24" s="4"/>
    </row>
    <row r="25" spans="1:12" x14ac:dyDescent="0.35">
      <c r="A25">
        <v>2016</v>
      </c>
      <c r="B25">
        <v>27</v>
      </c>
      <c r="C25" t="s">
        <v>50</v>
      </c>
      <c r="D25" s="4">
        <v>188</v>
      </c>
      <c r="E25">
        <v>1052</v>
      </c>
      <c r="F25">
        <v>792.4</v>
      </c>
      <c r="G25" s="4"/>
      <c r="J25" s="4"/>
      <c r="K25">
        <v>9</v>
      </c>
    </row>
    <row r="26" spans="1:12" x14ac:dyDescent="0.35">
      <c r="A26">
        <v>2016</v>
      </c>
      <c r="B26">
        <v>28</v>
      </c>
      <c r="C26" t="s">
        <v>51</v>
      </c>
      <c r="D26" s="4">
        <v>146</v>
      </c>
      <c r="E26">
        <v>773</v>
      </c>
      <c r="F26">
        <v>512.20000000000005</v>
      </c>
      <c r="G26" s="4"/>
      <c r="J26" s="4"/>
    </row>
    <row r="27" spans="1:12" x14ac:dyDescent="0.35">
      <c r="A27">
        <v>2016</v>
      </c>
      <c r="B27">
        <v>29</v>
      </c>
      <c r="C27" t="s">
        <v>52</v>
      </c>
      <c r="D27" s="4">
        <v>113</v>
      </c>
      <c r="E27">
        <v>429</v>
      </c>
      <c r="F27">
        <v>287.8</v>
      </c>
      <c r="G27" s="4"/>
      <c r="J27" s="4">
        <v>4</v>
      </c>
      <c r="K27">
        <v>11</v>
      </c>
      <c r="L27">
        <v>9.3000000000000007</v>
      </c>
    </row>
    <row r="28" spans="1:12" x14ac:dyDescent="0.35">
      <c r="A28">
        <v>2016</v>
      </c>
      <c r="B28">
        <v>31</v>
      </c>
      <c r="C28" t="s">
        <v>53</v>
      </c>
      <c r="D28" s="4">
        <v>117</v>
      </c>
      <c r="E28">
        <v>578</v>
      </c>
      <c r="F28">
        <v>424.7</v>
      </c>
      <c r="G28" s="4"/>
      <c r="J28" s="4"/>
    </row>
    <row r="29" spans="1:12" x14ac:dyDescent="0.35">
      <c r="A29">
        <v>2016</v>
      </c>
      <c r="B29">
        <v>33</v>
      </c>
      <c r="C29" t="s">
        <v>54</v>
      </c>
      <c r="D29" s="4">
        <v>195</v>
      </c>
      <c r="E29">
        <v>1040</v>
      </c>
      <c r="F29">
        <v>825.2</v>
      </c>
      <c r="G29" s="4"/>
      <c r="J29" s="4"/>
    </row>
    <row r="30" spans="1:12" x14ac:dyDescent="0.35">
      <c r="A30">
        <v>2016</v>
      </c>
      <c r="B30">
        <v>34</v>
      </c>
      <c r="C30" t="s">
        <v>55</v>
      </c>
      <c r="D30" s="4">
        <v>92</v>
      </c>
      <c r="E30">
        <v>457</v>
      </c>
      <c r="F30">
        <v>332.9</v>
      </c>
      <c r="G30" s="4"/>
      <c r="J30" s="4"/>
      <c r="K30">
        <v>6</v>
      </c>
    </row>
    <row r="31" spans="1:12" x14ac:dyDescent="0.35">
      <c r="A31">
        <v>2016</v>
      </c>
      <c r="B31">
        <v>35</v>
      </c>
      <c r="C31" t="s">
        <v>56</v>
      </c>
      <c r="D31" s="4">
        <v>203</v>
      </c>
      <c r="E31">
        <v>1126</v>
      </c>
      <c r="F31">
        <v>787.2</v>
      </c>
      <c r="G31" s="4"/>
      <c r="J31" s="4"/>
    </row>
    <row r="32" spans="1:12" x14ac:dyDescent="0.35">
      <c r="A32">
        <v>2016</v>
      </c>
      <c r="B32">
        <v>37</v>
      </c>
      <c r="C32" t="s">
        <v>57</v>
      </c>
      <c r="D32" s="4">
        <v>102</v>
      </c>
      <c r="E32">
        <v>401</v>
      </c>
      <c r="F32">
        <v>282.5</v>
      </c>
      <c r="G32" s="4"/>
      <c r="J32" s="4"/>
    </row>
    <row r="33" spans="1:12" x14ac:dyDescent="0.35">
      <c r="A33">
        <v>2016</v>
      </c>
      <c r="B33">
        <v>38</v>
      </c>
      <c r="C33" t="s">
        <v>58</v>
      </c>
      <c r="D33" s="4">
        <v>74</v>
      </c>
      <c r="E33">
        <v>514</v>
      </c>
      <c r="F33">
        <v>357.9</v>
      </c>
      <c r="G33" s="4"/>
      <c r="J33" s="4"/>
    </row>
    <row r="34" spans="1:12" x14ac:dyDescent="0.35">
      <c r="A34">
        <v>2016</v>
      </c>
      <c r="B34">
        <v>39</v>
      </c>
      <c r="C34" t="s">
        <v>59</v>
      </c>
      <c r="D34" s="4">
        <v>71</v>
      </c>
      <c r="E34">
        <v>259</v>
      </c>
      <c r="F34">
        <v>178.8</v>
      </c>
      <c r="G34" s="4"/>
      <c r="J34" s="4"/>
    </row>
    <row r="35" spans="1:12" x14ac:dyDescent="0.35">
      <c r="A35">
        <v>2016</v>
      </c>
      <c r="B35">
        <v>40</v>
      </c>
      <c r="C35" t="s">
        <v>60</v>
      </c>
      <c r="D35" s="4">
        <v>95</v>
      </c>
      <c r="E35">
        <v>317</v>
      </c>
      <c r="F35">
        <v>211.9</v>
      </c>
      <c r="G35" s="4"/>
      <c r="J35" s="4"/>
    </row>
    <row r="36" spans="1:12" x14ac:dyDescent="0.35">
      <c r="A36">
        <v>2016</v>
      </c>
      <c r="B36">
        <v>41</v>
      </c>
      <c r="C36" t="s">
        <v>61</v>
      </c>
      <c r="D36" s="4">
        <v>38</v>
      </c>
      <c r="E36">
        <v>100</v>
      </c>
      <c r="F36">
        <v>63.3</v>
      </c>
      <c r="G36" s="4"/>
      <c r="J36" s="4"/>
    </row>
    <row r="37" spans="1:12" x14ac:dyDescent="0.35">
      <c r="A37">
        <v>2016</v>
      </c>
      <c r="B37">
        <v>43</v>
      </c>
      <c r="C37" t="s">
        <v>62</v>
      </c>
      <c r="D37" s="4">
        <v>30</v>
      </c>
      <c r="E37">
        <v>106</v>
      </c>
      <c r="F37">
        <v>64.2</v>
      </c>
      <c r="G37" s="4"/>
      <c r="J37" s="4"/>
    </row>
    <row r="38" spans="1:12" x14ac:dyDescent="0.35">
      <c r="A38">
        <v>2016</v>
      </c>
      <c r="B38">
        <v>51</v>
      </c>
      <c r="C38" t="s">
        <v>63</v>
      </c>
      <c r="D38" s="4">
        <v>264</v>
      </c>
      <c r="E38">
        <v>1909</v>
      </c>
      <c r="F38">
        <v>1554.5</v>
      </c>
      <c r="G38" s="4"/>
      <c r="J38" s="4"/>
    </row>
    <row r="39" spans="1:12" x14ac:dyDescent="0.35">
      <c r="A39">
        <v>2016</v>
      </c>
      <c r="B39">
        <v>52</v>
      </c>
      <c r="C39" t="s">
        <v>64</v>
      </c>
      <c r="D39" s="4">
        <v>624</v>
      </c>
      <c r="E39">
        <v>4363</v>
      </c>
      <c r="F39">
        <v>3412.8</v>
      </c>
      <c r="G39" s="4"/>
      <c r="J39" s="4"/>
    </row>
    <row r="40" spans="1:12" x14ac:dyDescent="0.35">
      <c r="A40">
        <v>2016</v>
      </c>
      <c r="B40">
        <v>53</v>
      </c>
      <c r="C40" t="s">
        <v>65</v>
      </c>
      <c r="D40" s="4">
        <v>1258</v>
      </c>
      <c r="E40">
        <v>10437</v>
      </c>
      <c r="F40">
        <v>7905</v>
      </c>
      <c r="G40" s="4">
        <v>3</v>
      </c>
      <c r="H40">
        <v>8</v>
      </c>
      <c r="I40">
        <v>5.0999999999999996</v>
      </c>
      <c r="J40" s="4">
        <v>4</v>
      </c>
      <c r="K40">
        <v>18</v>
      </c>
      <c r="L40">
        <v>14.7</v>
      </c>
    </row>
    <row r="41" spans="1:12" x14ac:dyDescent="0.35">
      <c r="A41">
        <v>2016</v>
      </c>
      <c r="B41">
        <v>54</v>
      </c>
      <c r="C41" t="s">
        <v>66</v>
      </c>
      <c r="D41" s="4">
        <v>569</v>
      </c>
      <c r="E41">
        <v>6205</v>
      </c>
      <c r="F41">
        <v>4986.7</v>
      </c>
      <c r="G41" s="4"/>
      <c r="H41">
        <v>7</v>
      </c>
      <c r="I41">
        <v>6.1</v>
      </c>
      <c r="J41" s="4"/>
      <c r="K41">
        <v>4</v>
      </c>
    </row>
    <row r="42" spans="1:12" x14ac:dyDescent="0.35">
      <c r="A42">
        <v>2016</v>
      </c>
      <c r="B42">
        <v>55</v>
      </c>
      <c r="C42" t="s">
        <v>67</v>
      </c>
      <c r="D42" s="4">
        <v>324</v>
      </c>
      <c r="E42">
        <v>1564</v>
      </c>
      <c r="F42">
        <v>1148.0999999999999</v>
      </c>
      <c r="G42" s="4"/>
      <c r="J42" s="4"/>
    </row>
    <row r="43" spans="1:12" x14ac:dyDescent="0.35">
      <c r="A43">
        <v>2016</v>
      </c>
      <c r="B43">
        <v>56</v>
      </c>
      <c r="C43" t="s">
        <v>68</v>
      </c>
      <c r="D43" s="4">
        <v>480</v>
      </c>
      <c r="E43">
        <v>3462</v>
      </c>
      <c r="F43">
        <v>2736.4</v>
      </c>
      <c r="G43" s="4"/>
      <c r="J43" s="4">
        <v>5</v>
      </c>
      <c r="K43">
        <v>6</v>
      </c>
      <c r="L43">
        <v>5.2</v>
      </c>
    </row>
    <row r="44" spans="1:12" x14ac:dyDescent="0.35">
      <c r="A44">
        <v>2016</v>
      </c>
      <c r="B44">
        <v>57</v>
      </c>
      <c r="C44" t="s">
        <v>69</v>
      </c>
      <c r="D44" s="4">
        <v>161</v>
      </c>
      <c r="E44">
        <v>647</v>
      </c>
      <c r="F44">
        <v>439.3</v>
      </c>
      <c r="G44" s="4"/>
      <c r="J44" s="4"/>
    </row>
    <row r="45" spans="1:12" x14ac:dyDescent="0.35">
      <c r="A45">
        <v>2016</v>
      </c>
      <c r="B45">
        <v>58</v>
      </c>
      <c r="C45" t="s">
        <v>70</v>
      </c>
      <c r="D45" s="4">
        <v>255</v>
      </c>
      <c r="E45">
        <v>1030</v>
      </c>
      <c r="F45">
        <v>775.4</v>
      </c>
      <c r="G45" s="4"/>
      <c r="J45" s="4"/>
    </row>
    <row r="46" spans="1:12" x14ac:dyDescent="0.35">
      <c r="A46">
        <v>2016</v>
      </c>
      <c r="B46">
        <v>59</v>
      </c>
      <c r="C46" t="s">
        <v>71</v>
      </c>
      <c r="D46" s="4">
        <v>97</v>
      </c>
      <c r="E46">
        <v>418</v>
      </c>
      <c r="F46">
        <v>340.7</v>
      </c>
      <c r="G46" s="4"/>
      <c r="J46" s="4"/>
      <c r="K46">
        <v>4</v>
      </c>
    </row>
    <row r="47" spans="1:12" x14ac:dyDescent="0.35">
      <c r="A47">
        <v>2016</v>
      </c>
      <c r="B47">
        <v>60</v>
      </c>
      <c r="C47" t="s">
        <v>72</v>
      </c>
      <c r="D47" s="4">
        <v>189</v>
      </c>
      <c r="E47">
        <v>1209</v>
      </c>
      <c r="F47">
        <v>1003.9</v>
      </c>
      <c r="G47" s="4"/>
      <c r="J47" s="4"/>
    </row>
    <row r="48" spans="1:12" x14ac:dyDescent="0.35">
      <c r="A48">
        <v>2016</v>
      </c>
      <c r="B48">
        <v>61</v>
      </c>
      <c r="C48" t="s">
        <v>73</v>
      </c>
      <c r="D48" s="4">
        <v>88</v>
      </c>
      <c r="E48">
        <v>330</v>
      </c>
      <c r="F48">
        <v>225.6</v>
      </c>
      <c r="G48" s="4"/>
      <c r="J48" s="4"/>
    </row>
    <row r="49" spans="1:12" x14ac:dyDescent="0.35">
      <c r="A49">
        <v>2016</v>
      </c>
      <c r="B49">
        <v>62</v>
      </c>
      <c r="C49" t="s">
        <v>74</v>
      </c>
      <c r="D49" s="4">
        <v>1494</v>
      </c>
      <c r="E49">
        <v>36689</v>
      </c>
      <c r="F49">
        <v>29883.7</v>
      </c>
      <c r="G49" s="4">
        <v>6</v>
      </c>
      <c r="H49">
        <v>69</v>
      </c>
      <c r="I49">
        <v>61.3</v>
      </c>
      <c r="J49" s="4">
        <v>10</v>
      </c>
      <c r="K49">
        <v>90</v>
      </c>
      <c r="L49">
        <v>56.1</v>
      </c>
    </row>
    <row r="50" spans="1:12" x14ac:dyDescent="0.35">
      <c r="A50">
        <v>2016</v>
      </c>
      <c r="B50">
        <v>63</v>
      </c>
      <c r="C50" t="s">
        <v>75</v>
      </c>
      <c r="D50" s="4">
        <v>105</v>
      </c>
      <c r="E50">
        <v>356</v>
      </c>
      <c r="F50">
        <v>249</v>
      </c>
      <c r="G50" s="4"/>
      <c r="J50" s="4"/>
      <c r="K50">
        <v>8</v>
      </c>
    </row>
    <row r="51" spans="1:12" x14ac:dyDescent="0.35">
      <c r="A51">
        <v>2016</v>
      </c>
      <c r="B51">
        <v>64</v>
      </c>
      <c r="C51" t="s">
        <v>76</v>
      </c>
      <c r="D51" s="4">
        <v>313</v>
      </c>
      <c r="E51">
        <v>1029</v>
      </c>
      <c r="F51">
        <v>751.8</v>
      </c>
      <c r="G51" s="4"/>
      <c r="J51" s="4"/>
    </row>
    <row r="52" spans="1:12" x14ac:dyDescent="0.35">
      <c r="A52">
        <v>2016</v>
      </c>
      <c r="B52">
        <v>65</v>
      </c>
      <c r="C52" t="s">
        <v>77</v>
      </c>
      <c r="D52" s="4">
        <v>93</v>
      </c>
      <c r="E52">
        <v>269</v>
      </c>
      <c r="F52">
        <v>159.6</v>
      </c>
      <c r="G52" s="4"/>
      <c r="J52" s="4"/>
    </row>
    <row r="53" spans="1:12" x14ac:dyDescent="0.35">
      <c r="A53">
        <v>2016</v>
      </c>
      <c r="B53">
        <v>66</v>
      </c>
      <c r="C53" t="s">
        <v>78</v>
      </c>
      <c r="D53" s="4">
        <v>1337</v>
      </c>
      <c r="E53">
        <v>19084</v>
      </c>
      <c r="F53">
        <v>15249.7</v>
      </c>
      <c r="G53" s="4">
        <v>8</v>
      </c>
      <c r="H53">
        <v>29</v>
      </c>
      <c r="I53">
        <v>23.8</v>
      </c>
      <c r="J53" s="4">
        <v>9</v>
      </c>
      <c r="K53">
        <v>18</v>
      </c>
      <c r="L53">
        <v>14.5</v>
      </c>
    </row>
    <row r="54" spans="1:12" x14ac:dyDescent="0.35">
      <c r="A54">
        <v>2016</v>
      </c>
      <c r="B54">
        <v>67</v>
      </c>
      <c r="C54" t="s">
        <v>79</v>
      </c>
      <c r="D54" s="4">
        <v>244</v>
      </c>
      <c r="E54">
        <v>1420</v>
      </c>
      <c r="F54">
        <v>1084.2</v>
      </c>
      <c r="G54" s="4"/>
      <c r="J54" s="4"/>
    </row>
    <row r="55" spans="1:12" x14ac:dyDescent="0.35">
      <c r="A55">
        <v>2016</v>
      </c>
      <c r="B55">
        <v>68</v>
      </c>
      <c r="C55" t="s">
        <v>80</v>
      </c>
      <c r="D55" s="4">
        <v>168</v>
      </c>
      <c r="E55">
        <v>504</v>
      </c>
      <c r="F55">
        <v>357.9</v>
      </c>
      <c r="G55" s="4">
        <v>3</v>
      </c>
      <c r="J55" s="4"/>
    </row>
    <row r="56" spans="1:12" x14ac:dyDescent="0.35">
      <c r="A56">
        <v>2016</v>
      </c>
      <c r="B56">
        <v>69</v>
      </c>
      <c r="C56" t="s">
        <v>81</v>
      </c>
      <c r="D56" s="4">
        <v>1371</v>
      </c>
      <c r="E56">
        <v>20070</v>
      </c>
      <c r="F56">
        <v>16758.8</v>
      </c>
      <c r="G56" s="4">
        <v>12</v>
      </c>
      <c r="H56">
        <v>110</v>
      </c>
      <c r="I56">
        <v>85.4</v>
      </c>
      <c r="J56" s="4">
        <v>9</v>
      </c>
      <c r="K56">
        <v>33</v>
      </c>
      <c r="L56">
        <v>28.3</v>
      </c>
    </row>
    <row r="57" spans="1:12" x14ac:dyDescent="0.35">
      <c r="A57">
        <v>2016</v>
      </c>
      <c r="B57">
        <v>70</v>
      </c>
      <c r="C57" t="s">
        <v>82</v>
      </c>
      <c r="D57" s="4">
        <v>35</v>
      </c>
      <c r="E57">
        <v>73</v>
      </c>
      <c r="F57">
        <v>50.3</v>
      </c>
      <c r="G57" s="4"/>
      <c r="J57" s="4"/>
    </row>
    <row r="58" spans="1:12" x14ac:dyDescent="0.35">
      <c r="A58">
        <v>2016</v>
      </c>
      <c r="B58">
        <v>71</v>
      </c>
      <c r="C58" t="s">
        <v>83</v>
      </c>
      <c r="D58" s="4">
        <v>126</v>
      </c>
      <c r="E58">
        <v>514</v>
      </c>
      <c r="F58">
        <v>378.9</v>
      </c>
      <c r="G58" s="4"/>
      <c r="J58" s="4"/>
    </row>
    <row r="59" spans="1:12" x14ac:dyDescent="0.35">
      <c r="A59">
        <v>2016</v>
      </c>
      <c r="B59">
        <v>72</v>
      </c>
      <c r="C59" t="s">
        <v>84</v>
      </c>
      <c r="D59" s="4">
        <v>247</v>
      </c>
      <c r="E59">
        <v>909</v>
      </c>
      <c r="F59">
        <v>659.1</v>
      </c>
      <c r="G59" s="4"/>
      <c r="J59" s="4"/>
    </row>
    <row r="60" spans="1:12" x14ac:dyDescent="0.35">
      <c r="A60">
        <v>2016</v>
      </c>
      <c r="B60">
        <v>81</v>
      </c>
      <c r="C60" t="s">
        <v>85</v>
      </c>
      <c r="D60" s="4">
        <v>64</v>
      </c>
      <c r="E60">
        <v>287</v>
      </c>
      <c r="F60">
        <v>193.4</v>
      </c>
      <c r="G60" s="4"/>
      <c r="J60" s="4"/>
    </row>
    <row r="61" spans="1:12" x14ac:dyDescent="0.35">
      <c r="A61">
        <v>2016</v>
      </c>
      <c r="B61">
        <v>82</v>
      </c>
      <c r="C61" t="s">
        <v>86</v>
      </c>
      <c r="D61" s="4">
        <v>79</v>
      </c>
      <c r="E61">
        <v>280</v>
      </c>
      <c r="F61">
        <v>213.3</v>
      </c>
      <c r="G61" s="4"/>
      <c r="J61" s="4"/>
    </row>
    <row r="62" spans="1:12" x14ac:dyDescent="0.35">
      <c r="A62">
        <v>2016</v>
      </c>
      <c r="B62">
        <v>83</v>
      </c>
      <c r="C62" t="s">
        <v>87</v>
      </c>
      <c r="D62" s="4">
        <v>290</v>
      </c>
      <c r="E62">
        <v>2245</v>
      </c>
      <c r="F62">
        <v>1832.2</v>
      </c>
      <c r="G62" s="4">
        <v>5</v>
      </c>
      <c r="H62">
        <v>24</v>
      </c>
      <c r="I62">
        <v>20.3</v>
      </c>
      <c r="J62" s="4"/>
    </row>
    <row r="63" spans="1:12" x14ac:dyDescent="0.35">
      <c r="A63">
        <v>2016</v>
      </c>
      <c r="B63">
        <v>84</v>
      </c>
      <c r="C63" t="s">
        <v>88</v>
      </c>
      <c r="D63" s="4">
        <v>280</v>
      </c>
      <c r="E63">
        <v>2686</v>
      </c>
      <c r="F63">
        <v>2309.9</v>
      </c>
      <c r="G63" s="4"/>
      <c r="H63">
        <v>15</v>
      </c>
      <c r="I63">
        <v>14.2</v>
      </c>
      <c r="J63" s="4"/>
      <c r="K63">
        <v>8</v>
      </c>
      <c r="L63">
        <v>7.9</v>
      </c>
    </row>
    <row r="64" spans="1:12" x14ac:dyDescent="0.35">
      <c r="A64">
        <v>2016</v>
      </c>
      <c r="B64">
        <v>85</v>
      </c>
      <c r="C64" t="s">
        <v>89</v>
      </c>
      <c r="D64" s="4">
        <v>106</v>
      </c>
      <c r="E64">
        <v>473</v>
      </c>
      <c r="F64">
        <v>375.3</v>
      </c>
      <c r="G64" s="4"/>
      <c r="J64" s="4">
        <v>3</v>
      </c>
      <c r="K64">
        <v>10</v>
      </c>
      <c r="L64">
        <v>6.4</v>
      </c>
    </row>
    <row r="65" spans="1:12" x14ac:dyDescent="0.35">
      <c r="A65">
        <v>2016</v>
      </c>
      <c r="B65">
        <v>86</v>
      </c>
      <c r="C65" t="s">
        <v>90</v>
      </c>
      <c r="D65" s="4">
        <v>431</v>
      </c>
      <c r="E65">
        <v>4101</v>
      </c>
      <c r="F65">
        <v>3190.5</v>
      </c>
      <c r="G65" s="4"/>
      <c r="J65" s="4"/>
    </row>
    <row r="66" spans="1:12" x14ac:dyDescent="0.35">
      <c r="A66">
        <v>2016</v>
      </c>
      <c r="B66">
        <v>87</v>
      </c>
      <c r="C66" t="s">
        <v>91</v>
      </c>
      <c r="D66" s="4">
        <v>47</v>
      </c>
      <c r="E66">
        <v>121</v>
      </c>
      <c r="F66">
        <v>85.3</v>
      </c>
      <c r="G66" s="4"/>
      <c r="J66" s="4"/>
    </row>
    <row r="67" spans="1:12" x14ac:dyDescent="0.35">
      <c r="A67">
        <v>2016</v>
      </c>
      <c r="B67">
        <v>88</v>
      </c>
      <c r="C67" t="s">
        <v>92</v>
      </c>
      <c r="D67" s="4">
        <v>241</v>
      </c>
      <c r="E67">
        <v>657</v>
      </c>
      <c r="F67">
        <v>444.6</v>
      </c>
      <c r="G67" s="4">
        <v>3</v>
      </c>
      <c r="H67">
        <v>9</v>
      </c>
      <c r="I67">
        <v>8.1</v>
      </c>
      <c r="J67" s="4"/>
    </row>
    <row r="68" spans="1:12" x14ac:dyDescent="0.35">
      <c r="A68">
        <v>2016</v>
      </c>
      <c r="B68">
        <v>89</v>
      </c>
      <c r="C68" t="s">
        <v>93</v>
      </c>
      <c r="D68" s="4">
        <v>233</v>
      </c>
      <c r="E68">
        <v>1386</v>
      </c>
      <c r="F68">
        <v>1071.2</v>
      </c>
      <c r="G68" s="4"/>
      <c r="J68" s="4"/>
    </row>
    <row r="69" spans="1:12" x14ac:dyDescent="0.35">
      <c r="A69">
        <v>2016</v>
      </c>
      <c r="B69">
        <v>90</v>
      </c>
      <c r="C69" t="s">
        <v>94</v>
      </c>
      <c r="D69" s="4">
        <v>449</v>
      </c>
      <c r="E69">
        <v>2242</v>
      </c>
      <c r="F69">
        <v>1775.3</v>
      </c>
      <c r="G69" s="4">
        <v>3</v>
      </c>
      <c r="H69">
        <v>72</v>
      </c>
      <c r="I69">
        <v>68.400000000000006</v>
      </c>
      <c r="J69" s="4"/>
      <c r="K69">
        <v>6</v>
      </c>
    </row>
    <row r="70" spans="1:12" x14ac:dyDescent="0.35">
      <c r="A70">
        <v>2016</v>
      </c>
      <c r="B70">
        <v>91</v>
      </c>
      <c r="C70" t="s">
        <v>95</v>
      </c>
      <c r="D70" s="4">
        <v>146</v>
      </c>
      <c r="E70">
        <v>779</v>
      </c>
      <c r="F70">
        <v>605.4</v>
      </c>
      <c r="G70" s="4"/>
      <c r="J70" s="4"/>
    </row>
    <row r="71" spans="1:12" x14ac:dyDescent="0.35">
      <c r="A71">
        <v>2016</v>
      </c>
      <c r="B71">
        <v>92</v>
      </c>
      <c r="C71" t="s">
        <v>96</v>
      </c>
      <c r="D71" s="4">
        <v>309</v>
      </c>
      <c r="E71">
        <v>1665</v>
      </c>
      <c r="F71">
        <v>1375.6</v>
      </c>
      <c r="G71" s="4"/>
      <c r="J71" s="4">
        <v>3</v>
      </c>
    </row>
    <row r="72" spans="1:12" x14ac:dyDescent="0.35">
      <c r="A72">
        <v>2016</v>
      </c>
      <c r="B72">
        <v>93</v>
      </c>
      <c r="C72" t="s">
        <v>97</v>
      </c>
      <c r="D72" s="4">
        <v>82</v>
      </c>
      <c r="E72">
        <v>264</v>
      </c>
      <c r="F72">
        <v>196</v>
      </c>
      <c r="G72" s="4"/>
      <c r="J72" s="4"/>
    </row>
    <row r="73" spans="1:12" x14ac:dyDescent="0.35">
      <c r="A73">
        <v>2016</v>
      </c>
      <c r="B73">
        <v>94</v>
      </c>
      <c r="C73" t="s">
        <v>98</v>
      </c>
      <c r="D73" s="4">
        <v>258</v>
      </c>
      <c r="E73">
        <v>2381</v>
      </c>
      <c r="F73">
        <v>1949.4</v>
      </c>
      <c r="G73" s="4"/>
      <c r="J73" s="4">
        <v>3</v>
      </c>
      <c r="K73">
        <v>34</v>
      </c>
      <c r="L73">
        <v>31.2</v>
      </c>
    </row>
    <row r="74" spans="1:12" x14ac:dyDescent="0.35">
      <c r="A74">
        <v>2016</v>
      </c>
      <c r="B74">
        <v>95</v>
      </c>
      <c r="C74" t="s">
        <v>99</v>
      </c>
      <c r="D74" s="4">
        <v>40</v>
      </c>
      <c r="E74">
        <v>197</v>
      </c>
      <c r="F74">
        <v>131.6</v>
      </c>
      <c r="G74" s="4"/>
      <c r="J74" s="4"/>
    </row>
    <row r="75" spans="1:12" x14ac:dyDescent="0.35">
      <c r="A75">
        <v>2016</v>
      </c>
      <c r="B75">
        <v>96</v>
      </c>
      <c r="C75" t="s">
        <v>100</v>
      </c>
      <c r="D75" s="4">
        <v>1296</v>
      </c>
      <c r="E75">
        <v>10742</v>
      </c>
      <c r="F75">
        <v>8694.9</v>
      </c>
      <c r="G75" s="4">
        <v>9</v>
      </c>
      <c r="H75">
        <v>25</v>
      </c>
      <c r="I75">
        <v>19.899999999999999</v>
      </c>
      <c r="J75" s="4">
        <v>8</v>
      </c>
      <c r="K75">
        <v>58</v>
      </c>
      <c r="L75">
        <v>50.2</v>
      </c>
    </row>
    <row r="76" spans="1:12" x14ac:dyDescent="0.35">
      <c r="A76">
        <v>2016</v>
      </c>
      <c r="B76">
        <v>97</v>
      </c>
      <c r="C76" t="s">
        <v>101</v>
      </c>
      <c r="D76" s="4">
        <v>726</v>
      </c>
      <c r="E76">
        <v>6043</v>
      </c>
      <c r="F76">
        <v>5058.3</v>
      </c>
      <c r="G76" s="4">
        <v>6</v>
      </c>
      <c r="H76">
        <v>14</v>
      </c>
      <c r="I76">
        <v>12.5</v>
      </c>
      <c r="J76" s="4"/>
    </row>
    <row r="77" spans="1:12" x14ac:dyDescent="0.35">
      <c r="A77">
        <v>2016</v>
      </c>
      <c r="B77">
        <v>98</v>
      </c>
      <c r="C77" t="s">
        <v>102</v>
      </c>
      <c r="D77" s="4">
        <v>58</v>
      </c>
      <c r="E77">
        <v>126</v>
      </c>
      <c r="F77">
        <v>86.6</v>
      </c>
      <c r="G77" s="4"/>
      <c r="J77" s="4"/>
    </row>
    <row r="78" spans="1:12" x14ac:dyDescent="0.35">
      <c r="A78">
        <v>2016</v>
      </c>
      <c r="B78">
        <v>99</v>
      </c>
      <c r="C78" t="s">
        <v>103</v>
      </c>
      <c r="D78" s="4">
        <v>98</v>
      </c>
      <c r="E78">
        <v>392</v>
      </c>
      <c r="F78">
        <v>258</v>
      </c>
      <c r="G78" s="4"/>
      <c r="J78" s="4"/>
    </row>
    <row r="79" spans="1:12" x14ac:dyDescent="0.35">
      <c r="A79">
        <v>2016</v>
      </c>
      <c r="B79">
        <v>100</v>
      </c>
      <c r="C79" t="s">
        <v>104</v>
      </c>
      <c r="D79" s="4">
        <v>145</v>
      </c>
      <c r="E79">
        <v>521</v>
      </c>
      <c r="F79">
        <v>370.2</v>
      </c>
      <c r="G79" s="4"/>
      <c r="J79" s="4"/>
    </row>
    <row r="80" spans="1:12" x14ac:dyDescent="0.35">
      <c r="A80">
        <v>2016</v>
      </c>
      <c r="B80">
        <v>101</v>
      </c>
      <c r="C80" t="s">
        <v>105</v>
      </c>
      <c r="D80" s="4">
        <v>200</v>
      </c>
      <c r="E80">
        <v>768</v>
      </c>
      <c r="F80">
        <v>555.6</v>
      </c>
      <c r="G80" s="4"/>
      <c r="J80" s="4"/>
    </row>
    <row r="81" spans="1:12" x14ac:dyDescent="0.35">
      <c r="A81">
        <v>2016</v>
      </c>
      <c r="B81">
        <v>102</v>
      </c>
      <c r="C81" t="s">
        <v>106</v>
      </c>
      <c r="D81" s="4">
        <v>91</v>
      </c>
      <c r="E81">
        <v>271</v>
      </c>
      <c r="F81">
        <v>211.8</v>
      </c>
      <c r="G81" s="4"/>
      <c r="J81" s="4"/>
    </row>
    <row r="82" spans="1:12" x14ac:dyDescent="0.35">
      <c r="A82">
        <v>2016</v>
      </c>
      <c r="B82">
        <v>111</v>
      </c>
      <c r="C82" t="s">
        <v>107</v>
      </c>
      <c r="D82" s="4">
        <v>403</v>
      </c>
      <c r="E82">
        <v>1634</v>
      </c>
      <c r="F82">
        <v>1123.7</v>
      </c>
      <c r="G82" s="4"/>
      <c r="J82" s="4"/>
    </row>
    <row r="83" spans="1:12" x14ac:dyDescent="0.35">
      <c r="A83">
        <v>2016</v>
      </c>
      <c r="B83">
        <v>112</v>
      </c>
      <c r="C83" t="s">
        <v>108</v>
      </c>
      <c r="D83" s="4">
        <v>564</v>
      </c>
      <c r="E83">
        <v>3436</v>
      </c>
      <c r="F83">
        <v>2676.9</v>
      </c>
      <c r="G83" s="4"/>
      <c r="H83">
        <v>5</v>
      </c>
      <c r="I83">
        <v>4</v>
      </c>
      <c r="J83" s="4">
        <v>4</v>
      </c>
      <c r="K83">
        <v>9</v>
      </c>
      <c r="L83">
        <v>6.6</v>
      </c>
    </row>
    <row r="84" spans="1:12" x14ac:dyDescent="0.35">
      <c r="A84">
        <v>2016</v>
      </c>
      <c r="B84">
        <v>113</v>
      </c>
      <c r="C84" t="s">
        <v>109</v>
      </c>
      <c r="D84" s="4">
        <v>430</v>
      </c>
      <c r="E84">
        <v>1785</v>
      </c>
      <c r="F84">
        <v>1231.9000000000001</v>
      </c>
      <c r="G84" s="4"/>
      <c r="J84" s="4">
        <v>3</v>
      </c>
      <c r="K84">
        <v>7</v>
      </c>
    </row>
    <row r="85" spans="1:12" x14ac:dyDescent="0.35">
      <c r="A85">
        <v>2016</v>
      </c>
      <c r="B85">
        <v>114</v>
      </c>
      <c r="C85" t="s">
        <v>110</v>
      </c>
      <c r="D85" s="4">
        <v>206</v>
      </c>
      <c r="E85">
        <v>734</v>
      </c>
      <c r="F85">
        <v>513.79999999999995</v>
      </c>
      <c r="G85" s="4"/>
      <c r="J85" s="4"/>
      <c r="K85">
        <v>4</v>
      </c>
    </row>
    <row r="86" spans="1:12" x14ac:dyDescent="0.35">
      <c r="A86">
        <v>2016</v>
      </c>
      <c r="B86">
        <v>115</v>
      </c>
      <c r="C86" t="s">
        <v>111</v>
      </c>
      <c r="D86" s="4">
        <v>639</v>
      </c>
      <c r="E86">
        <v>2587</v>
      </c>
      <c r="F86">
        <v>1945.4</v>
      </c>
      <c r="G86" s="4">
        <v>3</v>
      </c>
      <c r="H86">
        <v>6</v>
      </c>
      <c r="I86">
        <v>4.8</v>
      </c>
      <c r="J86" s="4">
        <v>6</v>
      </c>
      <c r="K86">
        <v>6</v>
      </c>
      <c r="L86">
        <v>4.4000000000000004</v>
      </c>
    </row>
    <row r="87" spans="1:12" x14ac:dyDescent="0.35">
      <c r="A87">
        <v>2016</v>
      </c>
      <c r="B87">
        <v>116</v>
      </c>
      <c r="C87" t="s">
        <v>112</v>
      </c>
      <c r="D87" s="4">
        <v>267</v>
      </c>
      <c r="E87">
        <v>1823</v>
      </c>
      <c r="F87">
        <v>1376.1</v>
      </c>
      <c r="G87" s="4"/>
      <c r="J87" s="4"/>
    </row>
    <row r="88" spans="1:12" x14ac:dyDescent="0.35">
      <c r="A88">
        <v>2016</v>
      </c>
      <c r="B88">
        <v>117</v>
      </c>
      <c r="C88" t="s">
        <v>113</v>
      </c>
      <c r="D88" s="4">
        <v>871</v>
      </c>
      <c r="E88">
        <v>6979</v>
      </c>
      <c r="F88">
        <v>5707.2</v>
      </c>
      <c r="G88" s="4"/>
      <c r="J88" s="4"/>
    </row>
    <row r="89" spans="1:12" x14ac:dyDescent="0.35">
      <c r="A89">
        <v>2016</v>
      </c>
      <c r="B89">
        <v>118</v>
      </c>
      <c r="C89" t="s">
        <v>114</v>
      </c>
      <c r="D89" s="4">
        <v>845</v>
      </c>
      <c r="E89">
        <v>4779</v>
      </c>
      <c r="F89">
        <v>3546.7</v>
      </c>
      <c r="G89" s="4">
        <v>4</v>
      </c>
      <c r="H89">
        <v>21</v>
      </c>
      <c r="I89">
        <v>19.100000000000001</v>
      </c>
      <c r="J89" s="4">
        <v>5</v>
      </c>
      <c r="K89">
        <v>9</v>
      </c>
      <c r="L89">
        <v>5.2</v>
      </c>
    </row>
    <row r="90" spans="1:12" x14ac:dyDescent="0.35">
      <c r="A90">
        <v>2016</v>
      </c>
      <c r="B90">
        <v>119</v>
      </c>
      <c r="C90" t="s">
        <v>115</v>
      </c>
      <c r="D90" s="4">
        <v>113</v>
      </c>
      <c r="E90">
        <v>562</v>
      </c>
      <c r="F90">
        <v>378.1</v>
      </c>
      <c r="G90" s="4"/>
      <c r="J90" s="4"/>
    </row>
    <row r="91" spans="1:12" x14ac:dyDescent="0.35">
      <c r="A91">
        <v>2016</v>
      </c>
      <c r="B91">
        <v>120</v>
      </c>
      <c r="C91" t="s">
        <v>116</v>
      </c>
      <c r="D91" s="4">
        <v>653</v>
      </c>
      <c r="E91">
        <v>3444</v>
      </c>
      <c r="F91">
        <v>2531.6999999999998</v>
      </c>
      <c r="G91" s="4"/>
      <c r="H91">
        <v>4</v>
      </c>
      <c r="J91" s="4"/>
    </row>
    <row r="92" spans="1:12" x14ac:dyDescent="0.35">
      <c r="A92">
        <v>2016</v>
      </c>
      <c r="B92">
        <v>121</v>
      </c>
      <c r="C92" t="s">
        <v>117</v>
      </c>
      <c r="D92" s="4">
        <v>1849</v>
      </c>
      <c r="E92">
        <v>14129</v>
      </c>
      <c r="F92">
        <v>10266.200000000001</v>
      </c>
      <c r="G92" s="4">
        <v>6</v>
      </c>
      <c r="H92">
        <v>13</v>
      </c>
      <c r="I92">
        <v>9.9</v>
      </c>
      <c r="J92" s="4">
        <v>10</v>
      </c>
      <c r="K92">
        <v>31</v>
      </c>
      <c r="L92">
        <v>26.4</v>
      </c>
    </row>
    <row r="93" spans="1:12" x14ac:dyDescent="0.35">
      <c r="A93">
        <v>2016</v>
      </c>
      <c r="B93">
        <v>131</v>
      </c>
      <c r="C93" t="s">
        <v>118</v>
      </c>
      <c r="D93" s="4">
        <v>1065</v>
      </c>
      <c r="E93">
        <v>8354</v>
      </c>
      <c r="F93">
        <v>6874.1</v>
      </c>
      <c r="G93" s="4">
        <v>6</v>
      </c>
      <c r="H93">
        <v>9</v>
      </c>
      <c r="I93">
        <v>5.9</v>
      </c>
      <c r="J93" s="4">
        <v>5</v>
      </c>
      <c r="K93">
        <v>14</v>
      </c>
      <c r="L93">
        <v>10.7</v>
      </c>
    </row>
    <row r="94" spans="1:12" x14ac:dyDescent="0.35">
      <c r="A94">
        <v>2016</v>
      </c>
      <c r="B94">
        <v>135</v>
      </c>
      <c r="C94" t="s">
        <v>119</v>
      </c>
      <c r="D94" s="4">
        <v>584</v>
      </c>
      <c r="E94">
        <v>3988</v>
      </c>
      <c r="F94">
        <v>3044.1</v>
      </c>
      <c r="G94" s="4"/>
      <c r="J94" s="4">
        <v>8</v>
      </c>
      <c r="K94">
        <v>11</v>
      </c>
      <c r="L94">
        <v>8.5</v>
      </c>
    </row>
    <row r="95" spans="1:12" x14ac:dyDescent="0.35">
      <c r="A95">
        <v>2016</v>
      </c>
      <c r="B95">
        <v>136</v>
      </c>
      <c r="C95" t="s">
        <v>120</v>
      </c>
      <c r="D95" s="4">
        <v>354</v>
      </c>
      <c r="E95">
        <v>1513</v>
      </c>
      <c r="F95">
        <v>1091.7</v>
      </c>
      <c r="G95" s="4"/>
      <c r="J95" s="4"/>
    </row>
    <row r="96" spans="1:12" x14ac:dyDescent="0.35">
      <c r="A96">
        <v>2016</v>
      </c>
      <c r="B96">
        <v>137</v>
      </c>
      <c r="C96" t="s">
        <v>121</v>
      </c>
      <c r="D96" s="4">
        <v>293</v>
      </c>
      <c r="E96">
        <v>1007</v>
      </c>
      <c r="F96">
        <v>696.6</v>
      </c>
      <c r="G96" s="4"/>
      <c r="J96" s="4">
        <v>4</v>
      </c>
      <c r="K96">
        <v>11</v>
      </c>
      <c r="L96">
        <v>8</v>
      </c>
    </row>
    <row r="97" spans="1:12" x14ac:dyDescent="0.35">
      <c r="A97">
        <v>2016</v>
      </c>
      <c r="B97">
        <v>138</v>
      </c>
      <c r="C97" t="s">
        <v>122</v>
      </c>
      <c r="D97" s="4">
        <v>790</v>
      </c>
      <c r="E97">
        <v>4134</v>
      </c>
      <c r="F97">
        <v>3252.5</v>
      </c>
      <c r="G97" s="4">
        <v>3</v>
      </c>
      <c r="J97" s="4">
        <v>7</v>
      </c>
      <c r="K97">
        <v>18</v>
      </c>
      <c r="L97">
        <v>13.8</v>
      </c>
    </row>
    <row r="98" spans="1:12" x14ac:dyDescent="0.35">
      <c r="A98">
        <v>2016</v>
      </c>
      <c r="B98">
        <v>139</v>
      </c>
      <c r="C98" t="s">
        <v>123</v>
      </c>
      <c r="D98" s="4">
        <v>429</v>
      </c>
      <c r="E98">
        <v>3139</v>
      </c>
      <c r="F98">
        <v>2494.9</v>
      </c>
      <c r="G98" s="4">
        <v>6</v>
      </c>
      <c r="H98">
        <v>9</v>
      </c>
      <c r="I98">
        <v>5.7</v>
      </c>
      <c r="J98" s="4">
        <v>5</v>
      </c>
      <c r="K98">
        <v>7</v>
      </c>
      <c r="L98">
        <v>5.4</v>
      </c>
    </row>
    <row r="99" spans="1:12" x14ac:dyDescent="0.35">
      <c r="A99">
        <v>2016</v>
      </c>
      <c r="B99">
        <v>141</v>
      </c>
      <c r="C99" t="s">
        <v>124</v>
      </c>
      <c r="D99" s="4">
        <v>1284</v>
      </c>
      <c r="E99">
        <v>6539</v>
      </c>
      <c r="F99">
        <v>4773.5</v>
      </c>
      <c r="G99" s="4">
        <v>8</v>
      </c>
      <c r="H99">
        <v>20</v>
      </c>
      <c r="I99">
        <v>16</v>
      </c>
      <c r="J99" s="4">
        <v>10</v>
      </c>
      <c r="K99">
        <v>13</v>
      </c>
      <c r="L99">
        <v>9.4</v>
      </c>
    </row>
    <row r="100" spans="1:12" x14ac:dyDescent="0.35">
      <c r="A100">
        <v>2016</v>
      </c>
      <c r="B100">
        <v>151</v>
      </c>
      <c r="C100" t="s">
        <v>125</v>
      </c>
      <c r="D100" s="4">
        <v>454</v>
      </c>
      <c r="E100">
        <v>2045</v>
      </c>
      <c r="F100">
        <v>1503.1</v>
      </c>
      <c r="G100" s="4">
        <v>3</v>
      </c>
      <c r="H100">
        <v>10</v>
      </c>
      <c r="I100">
        <v>7.6</v>
      </c>
      <c r="J100" s="4"/>
    </row>
    <row r="101" spans="1:12" x14ac:dyDescent="0.35">
      <c r="A101">
        <v>2016</v>
      </c>
      <c r="B101">
        <v>152</v>
      </c>
      <c r="C101" t="s">
        <v>126</v>
      </c>
      <c r="D101" s="4">
        <v>436</v>
      </c>
      <c r="E101">
        <v>1426</v>
      </c>
      <c r="F101">
        <v>997.1</v>
      </c>
      <c r="G101" s="4">
        <v>4</v>
      </c>
      <c r="H101">
        <v>6</v>
      </c>
      <c r="I101">
        <v>5.2</v>
      </c>
      <c r="J101" s="4"/>
    </row>
    <row r="102" spans="1:12" x14ac:dyDescent="0.35">
      <c r="A102">
        <v>2016</v>
      </c>
      <c r="B102">
        <v>153</v>
      </c>
      <c r="C102" t="s">
        <v>127</v>
      </c>
      <c r="D102" s="4">
        <v>591</v>
      </c>
      <c r="E102">
        <v>2840</v>
      </c>
      <c r="F102">
        <v>2074.1</v>
      </c>
      <c r="G102" s="4">
        <v>4</v>
      </c>
      <c r="H102">
        <v>9</v>
      </c>
      <c r="I102">
        <v>7.3</v>
      </c>
      <c r="J102" s="4">
        <v>6</v>
      </c>
      <c r="K102">
        <v>12</v>
      </c>
      <c r="L102">
        <v>8</v>
      </c>
    </row>
    <row r="103" spans="1:12" x14ac:dyDescent="0.35">
      <c r="A103">
        <v>2016</v>
      </c>
      <c r="B103">
        <v>154</v>
      </c>
      <c r="C103" t="s">
        <v>128</v>
      </c>
      <c r="D103" s="4">
        <v>1249</v>
      </c>
      <c r="E103">
        <v>6593</v>
      </c>
      <c r="F103">
        <v>4826.1000000000004</v>
      </c>
      <c r="G103" s="4">
        <v>7</v>
      </c>
      <c r="H103">
        <v>13</v>
      </c>
      <c r="I103">
        <v>8.4</v>
      </c>
      <c r="J103" s="4">
        <v>10</v>
      </c>
      <c r="K103">
        <v>14</v>
      </c>
      <c r="L103">
        <v>10.1</v>
      </c>
    </row>
    <row r="104" spans="1:12" x14ac:dyDescent="0.35">
      <c r="A104">
        <v>2016</v>
      </c>
      <c r="B104">
        <v>155</v>
      </c>
      <c r="C104" t="s">
        <v>129</v>
      </c>
      <c r="D104" s="4">
        <v>758</v>
      </c>
      <c r="E104">
        <v>4921</v>
      </c>
      <c r="F104">
        <v>3779.9</v>
      </c>
      <c r="G104" s="4"/>
      <c r="H104">
        <v>7</v>
      </c>
      <c r="J104" s="4">
        <v>7</v>
      </c>
      <c r="K104">
        <v>8</v>
      </c>
      <c r="L104">
        <v>4.9000000000000004</v>
      </c>
    </row>
    <row r="105" spans="1:12" x14ac:dyDescent="0.35">
      <c r="A105">
        <v>2016</v>
      </c>
      <c r="B105">
        <v>156</v>
      </c>
      <c r="C105" t="s">
        <v>130</v>
      </c>
      <c r="D105" s="4">
        <v>1111</v>
      </c>
      <c r="E105">
        <v>6017</v>
      </c>
      <c r="F105">
        <v>4492.5</v>
      </c>
      <c r="G105" s="4">
        <v>4</v>
      </c>
      <c r="H105">
        <v>5</v>
      </c>
      <c r="I105">
        <v>4.2</v>
      </c>
      <c r="J105" s="4">
        <v>4</v>
      </c>
      <c r="K105">
        <v>6</v>
      </c>
      <c r="L105">
        <v>4</v>
      </c>
    </row>
    <row r="106" spans="1:12" x14ac:dyDescent="0.35">
      <c r="A106">
        <v>2016</v>
      </c>
      <c r="B106">
        <v>157</v>
      </c>
      <c r="C106" t="s">
        <v>131</v>
      </c>
      <c r="D106" s="4">
        <v>286</v>
      </c>
      <c r="E106">
        <v>2119</v>
      </c>
      <c r="F106">
        <v>1593.9</v>
      </c>
      <c r="G106" s="4"/>
      <c r="J106" s="4"/>
      <c r="K106">
        <v>7</v>
      </c>
      <c r="L106">
        <v>6.3</v>
      </c>
    </row>
    <row r="107" spans="1:12" x14ac:dyDescent="0.35">
      <c r="A107">
        <v>2016</v>
      </c>
      <c r="B107">
        <v>158</v>
      </c>
      <c r="C107" t="s">
        <v>132</v>
      </c>
      <c r="D107" s="4">
        <v>1038</v>
      </c>
      <c r="E107">
        <v>5924</v>
      </c>
      <c r="F107">
        <v>4709.8999999999996</v>
      </c>
      <c r="G107" s="4">
        <v>4</v>
      </c>
      <c r="H107">
        <v>22</v>
      </c>
      <c r="I107">
        <v>19.399999999999999</v>
      </c>
      <c r="J107" s="4">
        <v>5</v>
      </c>
      <c r="K107">
        <v>71</v>
      </c>
      <c r="L107">
        <v>67.099999999999994</v>
      </c>
    </row>
    <row r="108" spans="1:12" x14ac:dyDescent="0.35">
      <c r="A108">
        <v>2016</v>
      </c>
      <c r="B108">
        <v>159</v>
      </c>
      <c r="C108" t="s">
        <v>133</v>
      </c>
      <c r="D108" s="4">
        <v>365</v>
      </c>
      <c r="E108">
        <v>1569</v>
      </c>
      <c r="F108">
        <v>1155.5999999999999</v>
      </c>
      <c r="G108" s="4"/>
      <c r="J108" s="4">
        <v>3</v>
      </c>
      <c r="K108">
        <v>7</v>
      </c>
      <c r="L108">
        <v>5</v>
      </c>
    </row>
    <row r="109" spans="1:12" x14ac:dyDescent="0.35">
      <c r="A109">
        <v>2016</v>
      </c>
      <c r="B109">
        <v>160</v>
      </c>
      <c r="C109" t="s">
        <v>134</v>
      </c>
      <c r="D109" s="4">
        <v>371</v>
      </c>
      <c r="E109">
        <v>1731</v>
      </c>
      <c r="F109">
        <v>1207.8</v>
      </c>
      <c r="G109" s="4"/>
      <c r="J109" s="4"/>
      <c r="K109">
        <v>43</v>
      </c>
      <c r="L109">
        <v>38.4</v>
      </c>
    </row>
    <row r="110" spans="1:12" x14ac:dyDescent="0.35">
      <c r="A110">
        <v>2016</v>
      </c>
      <c r="B110">
        <v>161</v>
      </c>
      <c r="C110" t="s">
        <v>135</v>
      </c>
      <c r="D110" s="4">
        <v>1136</v>
      </c>
      <c r="E110">
        <v>6089</v>
      </c>
      <c r="F110">
        <v>4473.3</v>
      </c>
      <c r="G110" s="4">
        <v>6</v>
      </c>
      <c r="H110">
        <v>18</v>
      </c>
      <c r="I110">
        <v>12.8</v>
      </c>
      <c r="J110" s="4">
        <v>7</v>
      </c>
      <c r="K110">
        <v>13</v>
      </c>
      <c r="L110">
        <v>9.6999999999999993</v>
      </c>
    </row>
    <row r="111" spans="1:12" x14ac:dyDescent="0.35">
      <c r="A111">
        <v>2016</v>
      </c>
      <c r="B111">
        <v>172</v>
      </c>
      <c r="C111" t="s">
        <v>136</v>
      </c>
      <c r="D111" s="4">
        <v>427</v>
      </c>
      <c r="E111">
        <v>3988</v>
      </c>
      <c r="F111">
        <v>3104.9</v>
      </c>
      <c r="G111" s="4"/>
      <c r="J111" s="4"/>
      <c r="K111">
        <v>18</v>
      </c>
      <c r="L111">
        <v>14.6</v>
      </c>
    </row>
    <row r="112" spans="1:12" x14ac:dyDescent="0.35">
      <c r="A112">
        <v>2016</v>
      </c>
      <c r="B112">
        <v>173</v>
      </c>
      <c r="C112" t="s">
        <v>137</v>
      </c>
      <c r="D112" s="4">
        <v>239</v>
      </c>
      <c r="E112">
        <v>757</v>
      </c>
      <c r="F112">
        <v>556.79999999999995</v>
      </c>
      <c r="G112" s="4"/>
      <c r="H112">
        <v>5</v>
      </c>
      <c r="I112">
        <v>4.9000000000000004</v>
      </c>
      <c r="J112" s="4"/>
      <c r="K112">
        <v>8</v>
      </c>
      <c r="L112">
        <v>6.6</v>
      </c>
    </row>
    <row r="113" spans="1:12" x14ac:dyDescent="0.35">
      <c r="A113">
        <v>2016</v>
      </c>
      <c r="B113">
        <v>176</v>
      </c>
      <c r="C113" t="s">
        <v>138</v>
      </c>
      <c r="D113" s="4">
        <v>352</v>
      </c>
      <c r="E113">
        <v>2537</v>
      </c>
      <c r="F113">
        <v>2001.5</v>
      </c>
      <c r="G113" s="4"/>
      <c r="J113" s="4"/>
    </row>
    <row r="114" spans="1:12" x14ac:dyDescent="0.35">
      <c r="A114">
        <v>2016</v>
      </c>
      <c r="B114">
        <v>177</v>
      </c>
      <c r="C114" t="s">
        <v>139</v>
      </c>
      <c r="D114" s="4">
        <v>806</v>
      </c>
      <c r="E114">
        <v>5602</v>
      </c>
      <c r="F114">
        <v>4079.4</v>
      </c>
      <c r="G114" s="4"/>
      <c r="H114">
        <v>109</v>
      </c>
      <c r="I114">
        <v>33.700000000000003</v>
      </c>
      <c r="J114" s="4">
        <v>8</v>
      </c>
      <c r="K114">
        <v>117</v>
      </c>
      <c r="L114">
        <v>64.599999999999994</v>
      </c>
    </row>
    <row r="115" spans="1:12" x14ac:dyDescent="0.35">
      <c r="A115">
        <v>2016</v>
      </c>
      <c r="B115">
        <v>178</v>
      </c>
      <c r="C115" t="s">
        <v>140</v>
      </c>
      <c r="D115" s="4">
        <v>280</v>
      </c>
      <c r="E115">
        <v>1267</v>
      </c>
      <c r="F115">
        <v>955</v>
      </c>
      <c r="G115" s="4"/>
      <c r="J115" s="4"/>
    </row>
    <row r="116" spans="1:12" x14ac:dyDescent="0.35">
      <c r="A116">
        <v>2016</v>
      </c>
      <c r="B116">
        <v>180</v>
      </c>
      <c r="C116" t="s">
        <v>141</v>
      </c>
      <c r="D116" s="4">
        <v>224</v>
      </c>
      <c r="E116">
        <v>838</v>
      </c>
      <c r="F116">
        <v>616.5</v>
      </c>
      <c r="G116" s="4"/>
      <c r="J116" s="4"/>
    </row>
    <row r="117" spans="1:12" x14ac:dyDescent="0.35">
      <c r="A117">
        <v>2016</v>
      </c>
      <c r="B117">
        <v>181</v>
      </c>
      <c r="C117" t="s">
        <v>142</v>
      </c>
      <c r="D117" s="4">
        <v>171</v>
      </c>
      <c r="E117">
        <v>629</v>
      </c>
      <c r="F117">
        <v>452.4</v>
      </c>
      <c r="G117" s="4"/>
      <c r="J117" s="4"/>
    </row>
    <row r="118" spans="1:12" x14ac:dyDescent="0.35">
      <c r="A118">
        <v>2016</v>
      </c>
      <c r="B118">
        <v>182</v>
      </c>
      <c r="C118" t="s">
        <v>143</v>
      </c>
      <c r="D118" s="4">
        <v>79</v>
      </c>
      <c r="E118">
        <v>249</v>
      </c>
      <c r="F118">
        <v>170.3</v>
      </c>
      <c r="G118" s="4"/>
      <c r="J118" s="4"/>
    </row>
    <row r="119" spans="1:12" x14ac:dyDescent="0.35">
      <c r="A119">
        <v>2016</v>
      </c>
      <c r="B119">
        <v>191</v>
      </c>
      <c r="C119" t="s">
        <v>144</v>
      </c>
      <c r="D119" s="4">
        <v>1824</v>
      </c>
      <c r="E119">
        <v>20285</v>
      </c>
      <c r="F119">
        <v>16070.7</v>
      </c>
      <c r="G119" s="4">
        <v>8</v>
      </c>
      <c r="H119">
        <v>38</v>
      </c>
      <c r="I119">
        <v>24.2</v>
      </c>
      <c r="J119" s="4">
        <v>6</v>
      </c>
      <c r="K119">
        <v>15</v>
      </c>
      <c r="L119">
        <v>11.1</v>
      </c>
    </row>
    <row r="120" spans="1:12" x14ac:dyDescent="0.35">
      <c r="A120">
        <v>2016</v>
      </c>
      <c r="B120">
        <v>192</v>
      </c>
      <c r="C120" t="s">
        <v>145</v>
      </c>
      <c r="D120" s="4">
        <v>590</v>
      </c>
      <c r="E120">
        <v>2549</v>
      </c>
      <c r="F120">
        <v>1919</v>
      </c>
      <c r="G120" s="4">
        <v>3</v>
      </c>
      <c r="H120">
        <v>16</v>
      </c>
      <c r="I120">
        <v>13.2</v>
      </c>
      <c r="J120" s="4">
        <v>3</v>
      </c>
      <c r="K120">
        <v>7</v>
      </c>
      <c r="L120">
        <v>5.7</v>
      </c>
    </row>
    <row r="121" spans="1:12" x14ac:dyDescent="0.35">
      <c r="A121">
        <v>2016</v>
      </c>
      <c r="B121">
        <v>193</v>
      </c>
      <c r="C121" t="s">
        <v>146</v>
      </c>
      <c r="D121" s="4">
        <v>514</v>
      </c>
      <c r="E121">
        <v>2999</v>
      </c>
      <c r="F121">
        <v>2404.8000000000002</v>
      </c>
      <c r="G121" s="4"/>
      <c r="J121" s="4"/>
    </row>
    <row r="122" spans="1:12" x14ac:dyDescent="0.35">
      <c r="A122">
        <v>2016</v>
      </c>
      <c r="B122">
        <v>194</v>
      </c>
      <c r="C122" t="s">
        <v>147</v>
      </c>
      <c r="D122" s="4">
        <v>219</v>
      </c>
      <c r="E122">
        <v>1905</v>
      </c>
      <c r="F122">
        <v>1423.5</v>
      </c>
      <c r="G122" s="4"/>
      <c r="J122" s="4"/>
    </row>
    <row r="123" spans="1:12" x14ac:dyDescent="0.35">
      <c r="A123">
        <v>2016</v>
      </c>
      <c r="B123">
        <v>195</v>
      </c>
      <c r="C123" t="s">
        <v>148</v>
      </c>
      <c r="D123" s="4">
        <v>630</v>
      </c>
      <c r="E123">
        <v>2233</v>
      </c>
      <c r="F123">
        <v>1564.3</v>
      </c>
      <c r="G123" s="4"/>
      <c r="J123" s="4">
        <v>3</v>
      </c>
    </row>
    <row r="124" spans="1:12" x14ac:dyDescent="0.35">
      <c r="A124">
        <v>2016</v>
      </c>
      <c r="B124">
        <v>196</v>
      </c>
      <c r="C124" t="s">
        <v>149</v>
      </c>
      <c r="D124" s="4">
        <v>249</v>
      </c>
      <c r="E124">
        <v>1331</v>
      </c>
      <c r="F124">
        <v>1040.0999999999999</v>
      </c>
      <c r="G124" s="4"/>
      <c r="J124" s="4"/>
    </row>
    <row r="125" spans="1:12" x14ac:dyDescent="0.35">
      <c r="A125">
        <v>2016</v>
      </c>
      <c r="B125">
        <v>197</v>
      </c>
      <c r="C125" t="s">
        <v>150</v>
      </c>
      <c r="D125" s="4">
        <v>306</v>
      </c>
      <c r="E125">
        <v>2887</v>
      </c>
      <c r="F125">
        <v>2350.6999999999998</v>
      </c>
      <c r="G125" s="4"/>
      <c r="J125" s="4"/>
      <c r="K125">
        <v>4</v>
      </c>
    </row>
    <row r="126" spans="1:12" x14ac:dyDescent="0.35">
      <c r="A126">
        <v>2016</v>
      </c>
      <c r="B126">
        <v>198</v>
      </c>
      <c r="C126" t="s">
        <v>151</v>
      </c>
      <c r="D126" s="4">
        <v>2458</v>
      </c>
      <c r="E126">
        <v>16734</v>
      </c>
      <c r="F126">
        <v>12582.8</v>
      </c>
      <c r="G126" s="4">
        <v>4</v>
      </c>
      <c r="H126">
        <v>6</v>
      </c>
      <c r="J126" s="4">
        <v>4</v>
      </c>
      <c r="K126">
        <v>10</v>
      </c>
      <c r="L126">
        <v>7.2</v>
      </c>
    </row>
    <row r="127" spans="1:12" x14ac:dyDescent="0.35">
      <c r="A127">
        <v>2016</v>
      </c>
      <c r="B127">
        <v>199</v>
      </c>
      <c r="C127" t="s">
        <v>152</v>
      </c>
      <c r="D127" s="4">
        <v>1244</v>
      </c>
      <c r="E127">
        <v>11045</v>
      </c>
      <c r="F127">
        <v>8853.5</v>
      </c>
      <c r="G127" s="4"/>
      <c r="J127" s="4">
        <v>3</v>
      </c>
      <c r="K127">
        <v>6</v>
      </c>
      <c r="L127">
        <v>4.5999999999999996</v>
      </c>
    </row>
    <row r="128" spans="1:12" x14ac:dyDescent="0.35">
      <c r="A128">
        <v>2016</v>
      </c>
      <c r="B128">
        <v>200</v>
      </c>
      <c r="C128" t="s">
        <v>153</v>
      </c>
      <c r="D128" s="4">
        <v>579</v>
      </c>
      <c r="E128">
        <v>5570</v>
      </c>
      <c r="F128">
        <v>4492</v>
      </c>
      <c r="G128" s="4"/>
      <c r="H128">
        <v>13</v>
      </c>
      <c r="I128">
        <v>11</v>
      </c>
      <c r="J128" s="4"/>
      <c r="K128">
        <v>5</v>
      </c>
      <c r="L128">
        <v>4.7</v>
      </c>
    </row>
    <row r="129" spans="1:12" x14ac:dyDescent="0.35">
      <c r="A129">
        <v>2016</v>
      </c>
      <c r="B129">
        <v>211</v>
      </c>
      <c r="C129" t="s">
        <v>154</v>
      </c>
      <c r="D129" s="4">
        <v>66</v>
      </c>
      <c r="E129">
        <v>144</v>
      </c>
      <c r="F129">
        <v>89.9</v>
      </c>
      <c r="G129" s="4"/>
      <c r="J129" s="4"/>
    </row>
    <row r="130" spans="1:12" x14ac:dyDescent="0.35">
      <c r="A130">
        <v>2016</v>
      </c>
      <c r="B130">
        <v>213</v>
      </c>
      <c r="C130" t="s">
        <v>155</v>
      </c>
      <c r="D130" s="4">
        <v>124</v>
      </c>
      <c r="E130">
        <v>359</v>
      </c>
      <c r="F130">
        <v>244.1</v>
      </c>
      <c r="G130" s="4"/>
      <c r="J130" s="4"/>
    </row>
    <row r="131" spans="1:12" x14ac:dyDescent="0.35">
      <c r="A131">
        <v>2016</v>
      </c>
      <c r="B131">
        <v>214</v>
      </c>
      <c r="C131" t="s">
        <v>156</v>
      </c>
      <c r="D131" s="4">
        <v>93</v>
      </c>
      <c r="E131">
        <v>309</v>
      </c>
      <c r="F131">
        <v>187.8</v>
      </c>
      <c r="G131" s="4"/>
      <c r="J131" s="4"/>
    </row>
    <row r="132" spans="1:12" x14ac:dyDescent="0.35">
      <c r="A132">
        <v>2016</v>
      </c>
      <c r="B132">
        <v>215</v>
      </c>
      <c r="C132" t="s">
        <v>157</v>
      </c>
      <c r="D132" s="4">
        <v>60</v>
      </c>
      <c r="E132">
        <v>172</v>
      </c>
      <c r="F132">
        <v>92.7</v>
      </c>
      <c r="G132" s="4"/>
      <c r="J132" s="4"/>
    </row>
    <row r="133" spans="1:12" x14ac:dyDescent="0.35">
      <c r="A133">
        <v>2016</v>
      </c>
      <c r="B133">
        <v>216</v>
      </c>
      <c r="C133" t="s">
        <v>158</v>
      </c>
      <c r="D133" s="4">
        <v>108</v>
      </c>
      <c r="E133">
        <v>361</v>
      </c>
      <c r="F133">
        <v>259.3</v>
      </c>
      <c r="G133" s="4"/>
      <c r="J133" s="4"/>
    </row>
    <row r="134" spans="1:12" x14ac:dyDescent="0.35">
      <c r="A134">
        <v>2016</v>
      </c>
      <c r="B134">
        <v>218</v>
      </c>
      <c r="C134" t="s">
        <v>159</v>
      </c>
      <c r="D134" s="4">
        <v>71</v>
      </c>
      <c r="E134">
        <v>592</v>
      </c>
      <c r="F134">
        <v>450.7</v>
      </c>
      <c r="G134" s="4"/>
      <c r="J134" s="4"/>
    </row>
    <row r="135" spans="1:12" x14ac:dyDescent="0.35">
      <c r="A135">
        <v>2016</v>
      </c>
      <c r="B135">
        <v>219</v>
      </c>
      <c r="C135" t="s">
        <v>160</v>
      </c>
      <c r="D135" s="4">
        <v>235</v>
      </c>
      <c r="E135">
        <v>1309</v>
      </c>
      <c r="F135">
        <v>1053.9000000000001</v>
      </c>
      <c r="G135" s="4"/>
      <c r="J135" s="4"/>
      <c r="K135">
        <v>13</v>
      </c>
      <c r="L135">
        <v>9.1999999999999993</v>
      </c>
    </row>
    <row r="136" spans="1:12" x14ac:dyDescent="0.35">
      <c r="A136">
        <v>2016</v>
      </c>
      <c r="B136">
        <v>220</v>
      </c>
      <c r="C136" t="s">
        <v>161</v>
      </c>
      <c r="D136" s="4">
        <v>80</v>
      </c>
      <c r="E136">
        <v>247</v>
      </c>
      <c r="F136">
        <v>187</v>
      </c>
      <c r="G136" s="4"/>
      <c r="J136" s="4"/>
    </row>
    <row r="137" spans="1:12" x14ac:dyDescent="0.35">
      <c r="A137">
        <v>2016</v>
      </c>
      <c r="B137">
        <v>221</v>
      </c>
      <c r="C137" t="s">
        <v>162</v>
      </c>
      <c r="D137" s="4">
        <v>159</v>
      </c>
      <c r="E137">
        <v>645</v>
      </c>
      <c r="F137">
        <v>497.5</v>
      </c>
      <c r="G137" s="4"/>
      <c r="J137" s="4"/>
      <c r="K137">
        <v>12</v>
      </c>
      <c r="L137">
        <v>7.5</v>
      </c>
    </row>
    <row r="138" spans="1:12" x14ac:dyDescent="0.35">
      <c r="A138">
        <v>2016</v>
      </c>
      <c r="B138">
        <v>223</v>
      </c>
      <c r="C138" t="s">
        <v>163</v>
      </c>
      <c r="D138" s="4">
        <v>361</v>
      </c>
      <c r="E138">
        <v>1584</v>
      </c>
      <c r="F138">
        <v>1198.5</v>
      </c>
      <c r="G138" s="4"/>
      <c r="J138" s="4"/>
    </row>
    <row r="139" spans="1:12" x14ac:dyDescent="0.35">
      <c r="A139">
        <v>2016</v>
      </c>
      <c r="B139">
        <v>224</v>
      </c>
      <c r="C139" t="s">
        <v>164</v>
      </c>
      <c r="D139" s="4">
        <v>227</v>
      </c>
      <c r="E139">
        <v>1435</v>
      </c>
      <c r="F139">
        <v>1151</v>
      </c>
      <c r="G139" s="4"/>
      <c r="J139" s="4">
        <v>3</v>
      </c>
      <c r="K139">
        <v>4</v>
      </c>
    </row>
    <row r="140" spans="1:12" x14ac:dyDescent="0.35">
      <c r="A140">
        <v>2016</v>
      </c>
      <c r="B140">
        <v>225</v>
      </c>
      <c r="C140" t="s">
        <v>165</v>
      </c>
      <c r="D140" s="4">
        <v>155</v>
      </c>
      <c r="E140">
        <v>484</v>
      </c>
      <c r="F140">
        <v>335.8</v>
      </c>
      <c r="G140" s="4"/>
      <c r="J140" s="4"/>
    </row>
    <row r="141" spans="1:12" x14ac:dyDescent="0.35">
      <c r="A141">
        <v>2016</v>
      </c>
      <c r="B141">
        <v>226</v>
      </c>
      <c r="C141" t="s">
        <v>166</v>
      </c>
      <c r="D141" s="4">
        <v>54</v>
      </c>
      <c r="E141">
        <v>126</v>
      </c>
      <c r="F141">
        <v>86.6</v>
      </c>
      <c r="G141" s="4"/>
      <c r="J141" s="4"/>
    </row>
    <row r="142" spans="1:12" x14ac:dyDescent="0.35">
      <c r="A142">
        <v>2016</v>
      </c>
      <c r="B142">
        <v>227</v>
      </c>
      <c r="C142" t="s">
        <v>167</v>
      </c>
      <c r="D142" s="4">
        <v>439</v>
      </c>
      <c r="E142">
        <v>2729</v>
      </c>
      <c r="F142">
        <v>2148.8000000000002</v>
      </c>
      <c r="G142" s="4"/>
      <c r="J142" s="4"/>
    </row>
    <row r="143" spans="1:12" x14ac:dyDescent="0.35">
      <c r="A143">
        <v>2016</v>
      </c>
      <c r="B143">
        <v>228</v>
      </c>
      <c r="C143" t="s">
        <v>168</v>
      </c>
      <c r="D143" s="4">
        <v>343</v>
      </c>
      <c r="E143">
        <v>1563</v>
      </c>
      <c r="F143">
        <v>1101.4000000000001</v>
      </c>
      <c r="G143" s="4"/>
      <c r="J143" s="4"/>
    </row>
    <row r="144" spans="1:12" x14ac:dyDescent="0.35">
      <c r="A144">
        <v>2016</v>
      </c>
      <c r="B144">
        <v>230</v>
      </c>
      <c r="C144" t="s">
        <v>169</v>
      </c>
      <c r="D144" s="4">
        <v>7874</v>
      </c>
      <c r="E144">
        <v>70554</v>
      </c>
      <c r="F144">
        <v>53456.3</v>
      </c>
      <c r="G144" s="4">
        <v>29</v>
      </c>
      <c r="H144">
        <v>55</v>
      </c>
      <c r="I144">
        <v>42.8</v>
      </c>
      <c r="J144" s="4">
        <v>50</v>
      </c>
      <c r="K144">
        <v>341</v>
      </c>
      <c r="L144">
        <v>273.8</v>
      </c>
    </row>
    <row r="145" spans="1:12" x14ac:dyDescent="0.35">
      <c r="A145">
        <v>2016</v>
      </c>
      <c r="B145">
        <v>231</v>
      </c>
      <c r="C145" t="s">
        <v>170</v>
      </c>
      <c r="D145" s="4">
        <v>349</v>
      </c>
      <c r="E145">
        <v>1479</v>
      </c>
      <c r="F145">
        <v>1068.9000000000001</v>
      </c>
      <c r="G145" s="4"/>
      <c r="J145" s="4"/>
    </row>
    <row r="146" spans="1:12" x14ac:dyDescent="0.35">
      <c r="A146">
        <v>2016</v>
      </c>
      <c r="B146">
        <v>241</v>
      </c>
      <c r="C146" t="s">
        <v>171</v>
      </c>
      <c r="D146" s="4">
        <v>83</v>
      </c>
      <c r="E146">
        <v>345</v>
      </c>
      <c r="F146">
        <v>261.3</v>
      </c>
      <c r="G146" s="4"/>
      <c r="J146" s="4"/>
    </row>
    <row r="147" spans="1:12" x14ac:dyDescent="0.35">
      <c r="A147">
        <v>2016</v>
      </c>
      <c r="B147">
        <v>242</v>
      </c>
      <c r="C147" t="s">
        <v>172</v>
      </c>
      <c r="D147" s="4">
        <v>400</v>
      </c>
      <c r="E147">
        <v>2391</v>
      </c>
      <c r="F147">
        <v>1854.7</v>
      </c>
      <c r="G147" s="4">
        <v>3</v>
      </c>
      <c r="H147">
        <v>22</v>
      </c>
      <c r="I147">
        <v>19.100000000000001</v>
      </c>
      <c r="J147" s="4">
        <v>3</v>
      </c>
      <c r="K147">
        <v>6</v>
      </c>
      <c r="L147">
        <v>4</v>
      </c>
    </row>
    <row r="148" spans="1:12" x14ac:dyDescent="0.35">
      <c r="A148">
        <v>2016</v>
      </c>
      <c r="B148">
        <v>243</v>
      </c>
      <c r="C148" t="s">
        <v>173</v>
      </c>
      <c r="D148" s="4">
        <v>1742</v>
      </c>
      <c r="E148">
        <v>18010</v>
      </c>
      <c r="F148">
        <v>14408.9</v>
      </c>
      <c r="G148" s="4">
        <v>21</v>
      </c>
      <c r="H148">
        <v>94</v>
      </c>
      <c r="I148">
        <v>71.599999999999994</v>
      </c>
      <c r="J148" s="4">
        <v>22</v>
      </c>
      <c r="K148">
        <v>75</v>
      </c>
      <c r="L148">
        <v>61</v>
      </c>
    </row>
    <row r="149" spans="1:12" x14ac:dyDescent="0.35">
      <c r="A149">
        <v>2016</v>
      </c>
      <c r="B149">
        <v>244</v>
      </c>
      <c r="C149" t="s">
        <v>174</v>
      </c>
      <c r="D149" s="4">
        <v>304</v>
      </c>
      <c r="E149">
        <v>2010</v>
      </c>
      <c r="F149">
        <v>1603.8</v>
      </c>
      <c r="G149" s="4"/>
      <c r="H149">
        <v>4</v>
      </c>
      <c r="J149" s="4">
        <v>3</v>
      </c>
    </row>
    <row r="150" spans="1:12" x14ac:dyDescent="0.35">
      <c r="A150">
        <v>2016</v>
      </c>
      <c r="B150">
        <v>245</v>
      </c>
      <c r="C150" t="s">
        <v>175</v>
      </c>
      <c r="D150" s="4">
        <v>324</v>
      </c>
      <c r="E150">
        <v>1144</v>
      </c>
      <c r="F150">
        <v>800.4</v>
      </c>
      <c r="G150" s="4"/>
      <c r="H150">
        <v>5</v>
      </c>
      <c r="J150" s="4"/>
      <c r="K150">
        <v>5</v>
      </c>
      <c r="L150">
        <v>4.0999999999999996</v>
      </c>
    </row>
    <row r="151" spans="1:12" x14ac:dyDescent="0.35">
      <c r="A151">
        <v>2016</v>
      </c>
      <c r="B151">
        <v>246</v>
      </c>
      <c r="C151" t="s">
        <v>176</v>
      </c>
      <c r="D151" s="4">
        <v>125</v>
      </c>
      <c r="E151">
        <v>278</v>
      </c>
      <c r="F151">
        <v>196.2</v>
      </c>
      <c r="G151" s="4"/>
      <c r="J151" s="4">
        <v>4</v>
      </c>
      <c r="K151">
        <v>13</v>
      </c>
      <c r="L151">
        <v>9.9</v>
      </c>
    </row>
    <row r="152" spans="1:12" x14ac:dyDescent="0.35">
      <c r="A152">
        <v>2016</v>
      </c>
      <c r="B152">
        <v>247</v>
      </c>
      <c r="C152" t="s">
        <v>177</v>
      </c>
      <c r="D152" s="4">
        <v>1384</v>
      </c>
      <c r="E152">
        <v>18243</v>
      </c>
      <c r="F152">
        <v>14526.5</v>
      </c>
      <c r="G152" s="4">
        <v>9</v>
      </c>
      <c r="H152">
        <v>24</v>
      </c>
      <c r="I152">
        <v>18.100000000000001</v>
      </c>
      <c r="J152" s="4">
        <v>13</v>
      </c>
      <c r="K152">
        <v>36</v>
      </c>
      <c r="L152">
        <v>28</v>
      </c>
    </row>
    <row r="153" spans="1:12" x14ac:dyDescent="0.35">
      <c r="A153">
        <v>2016</v>
      </c>
      <c r="B153">
        <v>248</v>
      </c>
      <c r="C153" t="s">
        <v>178</v>
      </c>
      <c r="D153" s="4">
        <v>275</v>
      </c>
      <c r="E153">
        <v>992</v>
      </c>
      <c r="F153">
        <v>711.8</v>
      </c>
      <c r="G153" s="4"/>
      <c r="H153">
        <v>25</v>
      </c>
      <c r="I153">
        <v>23.6</v>
      </c>
      <c r="J153" s="4">
        <v>3</v>
      </c>
      <c r="K153">
        <v>4</v>
      </c>
    </row>
    <row r="154" spans="1:12" x14ac:dyDescent="0.35">
      <c r="A154">
        <v>2016</v>
      </c>
      <c r="B154">
        <v>249</v>
      </c>
      <c r="C154" t="s">
        <v>179</v>
      </c>
      <c r="D154" s="4">
        <v>257</v>
      </c>
      <c r="E154">
        <v>989</v>
      </c>
      <c r="F154">
        <v>754.8</v>
      </c>
      <c r="G154" s="4"/>
      <c r="J154" s="4"/>
    </row>
    <row r="155" spans="1:12" x14ac:dyDescent="0.35">
      <c r="A155">
        <v>2016</v>
      </c>
      <c r="B155">
        <v>250</v>
      </c>
      <c r="C155" t="s">
        <v>180</v>
      </c>
      <c r="D155" s="4">
        <v>639</v>
      </c>
      <c r="E155">
        <v>6112</v>
      </c>
      <c r="F155">
        <v>4990.3999999999996</v>
      </c>
      <c r="G155" s="4"/>
      <c r="H155">
        <v>5</v>
      </c>
      <c r="I155">
        <v>4.5</v>
      </c>
      <c r="J155" s="4">
        <v>3</v>
      </c>
      <c r="K155">
        <v>26</v>
      </c>
      <c r="L155">
        <v>24.3</v>
      </c>
    </row>
    <row r="156" spans="1:12" x14ac:dyDescent="0.35">
      <c r="A156">
        <v>2016</v>
      </c>
      <c r="B156">
        <v>251</v>
      </c>
      <c r="C156" t="s">
        <v>181</v>
      </c>
      <c r="D156" s="4">
        <v>261</v>
      </c>
      <c r="E156">
        <v>1434</v>
      </c>
      <c r="F156">
        <v>1130.7</v>
      </c>
      <c r="G156" s="4"/>
      <c r="J156" s="4"/>
    </row>
    <row r="157" spans="1:12" x14ac:dyDescent="0.35">
      <c r="A157">
        <v>2016</v>
      </c>
      <c r="B157">
        <v>261</v>
      </c>
      <c r="C157" t="s">
        <v>182</v>
      </c>
      <c r="D157" s="4">
        <v>44333</v>
      </c>
      <c r="E157">
        <v>472777</v>
      </c>
      <c r="F157">
        <v>362923.9</v>
      </c>
      <c r="G157" s="4">
        <v>232</v>
      </c>
      <c r="H157">
        <v>1221</v>
      </c>
      <c r="I157">
        <v>1006</v>
      </c>
      <c r="J157" s="4">
        <v>284</v>
      </c>
      <c r="K157">
        <v>1120</v>
      </c>
      <c r="L157">
        <v>857.1</v>
      </c>
    </row>
    <row r="158" spans="1:12" x14ac:dyDescent="0.35">
      <c r="A158">
        <v>2016</v>
      </c>
      <c r="B158">
        <v>291</v>
      </c>
      <c r="C158" t="s">
        <v>183</v>
      </c>
      <c r="D158" s="4">
        <v>297</v>
      </c>
      <c r="E158">
        <v>1752</v>
      </c>
      <c r="F158">
        <v>1329.6</v>
      </c>
      <c r="G158" s="4"/>
      <c r="J158" s="4"/>
    </row>
    <row r="159" spans="1:12" x14ac:dyDescent="0.35">
      <c r="A159">
        <v>2016</v>
      </c>
      <c r="B159">
        <v>292</v>
      </c>
      <c r="C159" t="s">
        <v>184</v>
      </c>
      <c r="D159" s="4">
        <v>274</v>
      </c>
      <c r="E159">
        <v>1246</v>
      </c>
      <c r="F159">
        <v>875.4</v>
      </c>
      <c r="G159" s="4"/>
      <c r="J159" s="4"/>
    </row>
    <row r="160" spans="1:12" x14ac:dyDescent="0.35">
      <c r="A160">
        <v>2016</v>
      </c>
      <c r="B160">
        <v>293</v>
      </c>
      <c r="C160" t="s">
        <v>185</v>
      </c>
      <c r="D160" s="4">
        <v>1848</v>
      </c>
      <c r="E160">
        <v>9724</v>
      </c>
      <c r="F160">
        <v>7263.2</v>
      </c>
      <c r="G160" s="4">
        <v>8</v>
      </c>
      <c r="H160">
        <v>18</v>
      </c>
      <c r="I160">
        <v>13</v>
      </c>
      <c r="J160" s="4">
        <v>10</v>
      </c>
      <c r="K160">
        <v>22</v>
      </c>
      <c r="L160">
        <v>17.8</v>
      </c>
    </row>
    <row r="161" spans="1:12" x14ac:dyDescent="0.35">
      <c r="A161">
        <v>2016</v>
      </c>
      <c r="B161">
        <v>294</v>
      </c>
      <c r="C161" t="s">
        <v>186</v>
      </c>
      <c r="D161" s="4">
        <v>326</v>
      </c>
      <c r="E161">
        <v>1689</v>
      </c>
      <c r="F161">
        <v>1229.2</v>
      </c>
      <c r="G161" s="4"/>
      <c r="J161" s="4"/>
      <c r="K161">
        <v>25</v>
      </c>
      <c r="L161">
        <v>21.4</v>
      </c>
    </row>
    <row r="162" spans="1:12" x14ac:dyDescent="0.35">
      <c r="A162">
        <v>2016</v>
      </c>
      <c r="B162">
        <v>295</v>
      </c>
      <c r="C162" t="s">
        <v>187</v>
      </c>
      <c r="D162" s="4">
        <v>1438</v>
      </c>
      <c r="E162">
        <v>10166</v>
      </c>
      <c r="F162">
        <v>7971.9</v>
      </c>
      <c r="G162" s="4">
        <v>8</v>
      </c>
      <c r="H162">
        <v>21</v>
      </c>
      <c r="I162">
        <v>17.600000000000001</v>
      </c>
      <c r="J162" s="4">
        <v>10</v>
      </c>
      <c r="K162">
        <v>40</v>
      </c>
      <c r="L162">
        <v>35.6</v>
      </c>
    </row>
    <row r="163" spans="1:12" x14ac:dyDescent="0.35">
      <c r="A163">
        <v>2016</v>
      </c>
      <c r="B163">
        <v>296</v>
      </c>
      <c r="C163" t="s">
        <v>188</v>
      </c>
      <c r="D163" s="4">
        <v>1070</v>
      </c>
      <c r="E163">
        <v>7037</v>
      </c>
      <c r="F163">
        <v>5131.3</v>
      </c>
      <c r="G163" s="4">
        <v>6</v>
      </c>
      <c r="H163">
        <v>9</v>
      </c>
      <c r="I163">
        <v>7</v>
      </c>
      <c r="J163" s="4">
        <v>3</v>
      </c>
      <c r="K163">
        <v>7</v>
      </c>
      <c r="L163">
        <v>5</v>
      </c>
    </row>
    <row r="164" spans="1:12" x14ac:dyDescent="0.35">
      <c r="A164">
        <v>2016</v>
      </c>
      <c r="B164">
        <v>297</v>
      </c>
      <c r="C164" t="s">
        <v>189</v>
      </c>
      <c r="D164" s="4">
        <v>396</v>
      </c>
      <c r="E164">
        <v>1875</v>
      </c>
      <c r="F164">
        <v>1358.4</v>
      </c>
      <c r="G164" s="4">
        <v>3</v>
      </c>
      <c r="H164">
        <v>5</v>
      </c>
      <c r="J164" s="4"/>
    </row>
    <row r="165" spans="1:12" x14ac:dyDescent="0.35">
      <c r="A165">
        <v>2016</v>
      </c>
      <c r="B165">
        <v>298</v>
      </c>
      <c r="C165" t="s">
        <v>190</v>
      </c>
      <c r="D165" s="4">
        <v>382</v>
      </c>
      <c r="E165">
        <v>1450</v>
      </c>
      <c r="F165">
        <v>972.2</v>
      </c>
      <c r="G165" s="4"/>
      <c r="H165">
        <v>10</v>
      </c>
      <c r="I165">
        <v>7.5</v>
      </c>
      <c r="J165" s="4"/>
    </row>
  </sheetData>
  <mergeCells count="5">
    <mergeCell ref="A1:R1"/>
    <mergeCell ref="A2:R2"/>
    <mergeCell ref="D4:F4"/>
    <mergeCell ref="G4:I4"/>
    <mergeCell ref="J4:L4"/>
  </mergeCells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165"/>
  <sheetViews>
    <sheetView workbookViewId="0"/>
  </sheetViews>
  <sheetFormatPr baseColWidth="10" defaultRowHeight="14.5" x14ac:dyDescent="0.35"/>
  <cols>
    <col min="1" max="1" width="6.7265625" customWidth="1"/>
    <col min="2" max="2" width="14.7265625" customWidth="1"/>
    <col min="3" max="3" width="20.7265625" customWidth="1"/>
    <col min="4" max="4" width="17.7265625" customWidth="1"/>
    <col min="5" max="5" width="15.7265625" customWidth="1"/>
    <col min="6" max="6" width="22.7265625" customWidth="1"/>
    <col min="7" max="7" width="17.7265625" customWidth="1"/>
    <col min="8" max="8" width="15.7265625" customWidth="1"/>
    <col min="9" max="9" width="22.7265625" customWidth="1"/>
    <col min="10" max="10" width="17.7265625" customWidth="1"/>
    <col min="11" max="11" width="15.7265625" customWidth="1"/>
    <col min="12" max="12" width="22.7265625" customWidth="1"/>
  </cols>
  <sheetData>
    <row r="1" spans="1:18" ht="18" x14ac:dyDescent="0.4">
      <c r="A1" s="10" t="s">
        <v>199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x14ac:dyDescent="0.35">
      <c r="A2" s="8" t="s">
        <v>10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4" spans="1:18" x14ac:dyDescent="0.35">
      <c r="D4" s="11" t="s">
        <v>22</v>
      </c>
      <c r="E4" s="12"/>
      <c r="F4" s="12"/>
      <c r="G4" s="11" t="s">
        <v>23</v>
      </c>
      <c r="H4" s="12"/>
      <c r="I4" s="12"/>
      <c r="J4" s="11" t="s">
        <v>24</v>
      </c>
      <c r="K4" s="12"/>
      <c r="L4" s="12"/>
    </row>
    <row r="5" spans="1:18" ht="15.5" x14ac:dyDescent="0.35">
      <c r="A5" s="3" t="s">
        <v>25</v>
      </c>
      <c r="B5" s="3" t="s">
        <v>26</v>
      </c>
      <c r="C5" s="3" t="s">
        <v>27</v>
      </c>
      <c r="D5" s="5" t="s">
        <v>28</v>
      </c>
      <c r="E5" s="3" t="s">
        <v>29</v>
      </c>
      <c r="F5" s="3" t="s">
        <v>30</v>
      </c>
      <c r="G5" s="5" t="s">
        <v>28</v>
      </c>
      <c r="H5" s="3" t="s">
        <v>29</v>
      </c>
      <c r="I5" s="3" t="s">
        <v>30</v>
      </c>
      <c r="J5" s="5" t="s">
        <v>28</v>
      </c>
      <c r="K5" s="3" t="s">
        <v>29</v>
      </c>
      <c r="L5" s="3" t="s">
        <v>30</v>
      </c>
    </row>
    <row r="6" spans="1:18" x14ac:dyDescent="0.35">
      <c r="A6">
        <v>2015</v>
      </c>
      <c r="B6">
        <v>1</v>
      </c>
      <c r="C6" t="s">
        <v>31</v>
      </c>
      <c r="D6" s="4">
        <v>141</v>
      </c>
      <c r="E6">
        <v>427</v>
      </c>
      <c r="F6">
        <v>283.10000000000002</v>
      </c>
      <c r="G6" s="4"/>
      <c r="J6" s="4"/>
    </row>
    <row r="7" spans="1:18" x14ac:dyDescent="0.35">
      <c r="A7">
        <v>2015</v>
      </c>
      <c r="B7">
        <v>2</v>
      </c>
      <c r="C7" t="s">
        <v>32</v>
      </c>
      <c r="D7" s="4">
        <v>949</v>
      </c>
      <c r="E7">
        <v>6312</v>
      </c>
      <c r="F7">
        <v>4675.8999999999996</v>
      </c>
      <c r="G7" s="4">
        <v>4</v>
      </c>
      <c r="H7">
        <v>5</v>
      </c>
      <c r="I7">
        <v>4.5</v>
      </c>
      <c r="J7" s="4">
        <v>6</v>
      </c>
      <c r="K7">
        <v>66</v>
      </c>
      <c r="L7">
        <v>62.2</v>
      </c>
    </row>
    <row r="8" spans="1:18" x14ac:dyDescent="0.35">
      <c r="A8">
        <v>2015</v>
      </c>
      <c r="B8">
        <v>3</v>
      </c>
      <c r="C8" t="s">
        <v>33</v>
      </c>
      <c r="D8" s="4">
        <v>270</v>
      </c>
      <c r="E8">
        <v>985</v>
      </c>
      <c r="F8">
        <v>654.79999999999995</v>
      </c>
      <c r="G8" s="4"/>
      <c r="J8" s="4"/>
    </row>
    <row r="9" spans="1:18" x14ac:dyDescent="0.35">
      <c r="A9">
        <v>2015</v>
      </c>
      <c r="B9">
        <v>4</v>
      </c>
      <c r="C9" t="s">
        <v>34</v>
      </c>
      <c r="D9" s="4">
        <v>261</v>
      </c>
      <c r="E9">
        <v>1086</v>
      </c>
      <c r="F9">
        <v>743.9</v>
      </c>
      <c r="G9" s="4"/>
      <c r="J9" s="4"/>
    </row>
    <row r="10" spans="1:18" x14ac:dyDescent="0.35">
      <c r="A10">
        <v>2015</v>
      </c>
      <c r="B10">
        <v>5</v>
      </c>
      <c r="C10" t="s">
        <v>35</v>
      </c>
      <c r="D10" s="4">
        <v>199</v>
      </c>
      <c r="E10">
        <v>1513</v>
      </c>
      <c r="F10">
        <v>1227.0999999999999</v>
      </c>
      <c r="G10" s="4"/>
      <c r="J10" s="4"/>
    </row>
    <row r="11" spans="1:18" x14ac:dyDescent="0.35">
      <c r="A11">
        <v>2015</v>
      </c>
      <c r="B11">
        <v>6</v>
      </c>
      <c r="C11" t="s">
        <v>36</v>
      </c>
      <c r="D11" s="4">
        <v>100</v>
      </c>
      <c r="E11">
        <v>332</v>
      </c>
      <c r="F11">
        <v>227.5</v>
      </c>
      <c r="G11" s="4"/>
      <c r="J11" s="4"/>
    </row>
    <row r="12" spans="1:18" x14ac:dyDescent="0.35">
      <c r="A12">
        <v>2015</v>
      </c>
      <c r="B12">
        <v>7</v>
      </c>
      <c r="C12" t="s">
        <v>37</v>
      </c>
      <c r="D12" s="4">
        <v>127</v>
      </c>
      <c r="E12">
        <v>529</v>
      </c>
      <c r="F12">
        <v>398.3</v>
      </c>
      <c r="G12" s="4">
        <v>3</v>
      </c>
      <c r="J12" s="4"/>
      <c r="K12">
        <v>15</v>
      </c>
      <c r="L12">
        <v>14</v>
      </c>
    </row>
    <row r="13" spans="1:18" x14ac:dyDescent="0.35">
      <c r="A13">
        <v>2015</v>
      </c>
      <c r="B13">
        <v>8</v>
      </c>
      <c r="C13" t="s">
        <v>38</v>
      </c>
      <c r="D13" s="4">
        <v>61</v>
      </c>
      <c r="E13">
        <v>144</v>
      </c>
      <c r="F13">
        <v>90.8</v>
      </c>
      <c r="G13" s="4"/>
      <c r="J13" s="4"/>
    </row>
    <row r="14" spans="1:18" x14ac:dyDescent="0.35">
      <c r="A14">
        <v>2015</v>
      </c>
      <c r="B14">
        <v>9</v>
      </c>
      <c r="C14" t="s">
        <v>39</v>
      </c>
      <c r="D14" s="4">
        <v>317</v>
      </c>
      <c r="E14">
        <v>1692</v>
      </c>
      <c r="F14">
        <v>1227.4000000000001</v>
      </c>
      <c r="G14" s="4"/>
      <c r="H14">
        <v>4</v>
      </c>
      <c r="J14" s="4">
        <v>3</v>
      </c>
      <c r="K14">
        <v>4</v>
      </c>
    </row>
    <row r="15" spans="1:18" x14ac:dyDescent="0.35">
      <c r="A15">
        <v>2015</v>
      </c>
      <c r="B15">
        <v>10</v>
      </c>
      <c r="C15" t="s">
        <v>40</v>
      </c>
      <c r="D15" s="4">
        <v>318</v>
      </c>
      <c r="E15">
        <v>1195</v>
      </c>
      <c r="F15">
        <v>857.3</v>
      </c>
      <c r="G15" s="4"/>
      <c r="H15">
        <v>18</v>
      </c>
      <c r="I15">
        <v>17</v>
      </c>
      <c r="J15" s="4"/>
      <c r="K15">
        <v>5</v>
      </c>
      <c r="L15">
        <v>4.9000000000000004</v>
      </c>
    </row>
    <row r="16" spans="1:18" x14ac:dyDescent="0.35">
      <c r="A16">
        <v>2015</v>
      </c>
      <c r="B16">
        <v>11</v>
      </c>
      <c r="C16" t="s">
        <v>41</v>
      </c>
      <c r="D16" s="4">
        <v>161</v>
      </c>
      <c r="E16">
        <v>683</v>
      </c>
      <c r="F16">
        <v>486.8</v>
      </c>
      <c r="G16" s="4"/>
      <c r="J16" s="4"/>
    </row>
    <row r="17" spans="1:12" x14ac:dyDescent="0.35">
      <c r="A17">
        <v>2015</v>
      </c>
      <c r="B17">
        <v>12</v>
      </c>
      <c r="C17" t="s">
        <v>42</v>
      </c>
      <c r="D17" s="4">
        <v>86</v>
      </c>
      <c r="E17">
        <v>235</v>
      </c>
      <c r="F17">
        <v>161.30000000000001</v>
      </c>
      <c r="G17" s="4"/>
      <c r="J17" s="4"/>
      <c r="K17">
        <v>6</v>
      </c>
      <c r="L17">
        <v>5.0999999999999996</v>
      </c>
    </row>
    <row r="18" spans="1:12" x14ac:dyDescent="0.35">
      <c r="A18">
        <v>2015</v>
      </c>
      <c r="B18">
        <v>13</v>
      </c>
      <c r="C18" t="s">
        <v>43</v>
      </c>
      <c r="D18" s="4">
        <v>173</v>
      </c>
      <c r="E18">
        <v>793</v>
      </c>
      <c r="F18">
        <v>592.1</v>
      </c>
      <c r="G18" s="4"/>
      <c r="H18">
        <v>10</v>
      </c>
      <c r="I18">
        <v>6.5</v>
      </c>
      <c r="J18" s="4"/>
    </row>
    <row r="19" spans="1:12" x14ac:dyDescent="0.35">
      <c r="A19">
        <v>2015</v>
      </c>
      <c r="B19">
        <v>14</v>
      </c>
      <c r="C19" t="s">
        <v>44</v>
      </c>
      <c r="D19" s="4">
        <v>289</v>
      </c>
      <c r="E19">
        <v>1212</v>
      </c>
      <c r="F19">
        <v>931.5</v>
      </c>
      <c r="G19" s="4"/>
      <c r="J19" s="4"/>
      <c r="K19">
        <v>6</v>
      </c>
    </row>
    <row r="20" spans="1:12" x14ac:dyDescent="0.35">
      <c r="A20">
        <v>2015</v>
      </c>
      <c r="B20">
        <v>22</v>
      </c>
      <c r="C20" t="s">
        <v>45</v>
      </c>
      <c r="D20" s="4">
        <v>71</v>
      </c>
      <c r="E20">
        <v>273</v>
      </c>
      <c r="F20">
        <v>196</v>
      </c>
      <c r="G20" s="4"/>
      <c r="J20" s="4"/>
    </row>
    <row r="21" spans="1:12" x14ac:dyDescent="0.35">
      <c r="A21">
        <v>2015</v>
      </c>
      <c r="B21">
        <v>23</v>
      </c>
      <c r="C21" t="s">
        <v>46</v>
      </c>
      <c r="D21" s="4">
        <v>59</v>
      </c>
      <c r="E21">
        <v>156</v>
      </c>
      <c r="F21">
        <v>97.6</v>
      </c>
      <c r="G21" s="4"/>
      <c r="J21" s="4"/>
    </row>
    <row r="22" spans="1:12" x14ac:dyDescent="0.35">
      <c r="A22">
        <v>2015</v>
      </c>
      <c r="B22">
        <v>24</v>
      </c>
      <c r="C22" t="s">
        <v>47</v>
      </c>
      <c r="D22" s="4">
        <v>64</v>
      </c>
      <c r="E22">
        <v>176</v>
      </c>
      <c r="F22">
        <v>126.1</v>
      </c>
      <c r="G22" s="4"/>
      <c r="J22" s="4"/>
    </row>
    <row r="23" spans="1:12" x14ac:dyDescent="0.35">
      <c r="A23">
        <v>2015</v>
      </c>
      <c r="B23">
        <v>25</v>
      </c>
      <c r="C23" t="s">
        <v>48</v>
      </c>
      <c r="D23" s="4">
        <v>104</v>
      </c>
      <c r="E23">
        <v>359</v>
      </c>
      <c r="F23">
        <v>240.1</v>
      </c>
      <c r="G23" s="4"/>
      <c r="J23" s="4"/>
    </row>
    <row r="24" spans="1:12" x14ac:dyDescent="0.35">
      <c r="A24">
        <v>2015</v>
      </c>
      <c r="B24">
        <v>26</v>
      </c>
      <c r="C24" t="s">
        <v>49</v>
      </c>
      <c r="D24" s="4">
        <v>52</v>
      </c>
      <c r="E24">
        <v>181</v>
      </c>
      <c r="F24">
        <v>112.5</v>
      </c>
      <c r="G24" s="4"/>
      <c r="J24" s="4"/>
    </row>
    <row r="25" spans="1:12" x14ac:dyDescent="0.35">
      <c r="A25">
        <v>2015</v>
      </c>
      <c r="B25">
        <v>27</v>
      </c>
      <c r="C25" t="s">
        <v>50</v>
      </c>
      <c r="D25" s="4">
        <v>190</v>
      </c>
      <c r="E25">
        <v>1061</v>
      </c>
      <c r="F25">
        <v>786.9</v>
      </c>
      <c r="G25" s="4"/>
      <c r="H25">
        <v>5</v>
      </c>
      <c r="J25" s="4"/>
      <c r="K25">
        <v>11</v>
      </c>
      <c r="L25">
        <v>8.9</v>
      </c>
    </row>
    <row r="26" spans="1:12" x14ac:dyDescent="0.35">
      <c r="A26">
        <v>2015</v>
      </c>
      <c r="B26">
        <v>28</v>
      </c>
      <c r="C26" t="s">
        <v>51</v>
      </c>
      <c r="D26" s="4">
        <v>139</v>
      </c>
      <c r="E26">
        <v>686</v>
      </c>
      <c r="F26">
        <v>464.7</v>
      </c>
      <c r="G26" s="4"/>
      <c r="J26" s="4"/>
    </row>
    <row r="27" spans="1:12" x14ac:dyDescent="0.35">
      <c r="A27">
        <v>2015</v>
      </c>
      <c r="B27">
        <v>29</v>
      </c>
      <c r="C27" t="s">
        <v>52</v>
      </c>
      <c r="D27" s="4">
        <v>117</v>
      </c>
      <c r="E27">
        <v>460</v>
      </c>
      <c r="F27">
        <v>332.4</v>
      </c>
      <c r="G27" s="4">
        <v>5</v>
      </c>
      <c r="H27">
        <v>23</v>
      </c>
      <c r="I27">
        <v>20.100000000000001</v>
      </c>
      <c r="J27" s="4">
        <v>3</v>
      </c>
      <c r="K27">
        <v>9</v>
      </c>
      <c r="L27">
        <v>6.9</v>
      </c>
    </row>
    <row r="28" spans="1:12" x14ac:dyDescent="0.35">
      <c r="A28">
        <v>2015</v>
      </c>
      <c r="B28">
        <v>31</v>
      </c>
      <c r="C28" t="s">
        <v>53</v>
      </c>
      <c r="D28" s="4">
        <v>118</v>
      </c>
      <c r="E28">
        <v>617</v>
      </c>
      <c r="F28">
        <v>496.4</v>
      </c>
      <c r="G28" s="4"/>
      <c r="J28" s="4"/>
    </row>
    <row r="29" spans="1:12" x14ac:dyDescent="0.35">
      <c r="A29">
        <v>2015</v>
      </c>
      <c r="B29">
        <v>33</v>
      </c>
      <c r="C29" t="s">
        <v>54</v>
      </c>
      <c r="D29" s="4">
        <v>186</v>
      </c>
      <c r="E29">
        <v>1000</v>
      </c>
      <c r="F29">
        <v>805.3</v>
      </c>
      <c r="G29" s="4"/>
      <c r="J29" s="4"/>
    </row>
    <row r="30" spans="1:12" x14ac:dyDescent="0.35">
      <c r="A30">
        <v>2015</v>
      </c>
      <c r="B30">
        <v>34</v>
      </c>
      <c r="C30" t="s">
        <v>55</v>
      </c>
      <c r="D30" s="4">
        <v>92</v>
      </c>
      <c r="E30">
        <v>439</v>
      </c>
      <c r="F30">
        <v>312.5</v>
      </c>
      <c r="G30" s="4"/>
      <c r="J30" s="4"/>
    </row>
    <row r="31" spans="1:12" x14ac:dyDescent="0.35">
      <c r="A31">
        <v>2015</v>
      </c>
      <c r="B31">
        <v>35</v>
      </c>
      <c r="C31" t="s">
        <v>56</v>
      </c>
      <c r="D31" s="4">
        <v>198</v>
      </c>
      <c r="E31">
        <v>1069</v>
      </c>
      <c r="F31">
        <v>754.5</v>
      </c>
      <c r="G31" s="4"/>
      <c r="J31" s="4">
        <v>3</v>
      </c>
      <c r="K31">
        <v>5</v>
      </c>
    </row>
    <row r="32" spans="1:12" x14ac:dyDescent="0.35">
      <c r="A32">
        <v>2015</v>
      </c>
      <c r="B32">
        <v>37</v>
      </c>
      <c r="C32" t="s">
        <v>57</v>
      </c>
      <c r="D32" s="4">
        <v>105</v>
      </c>
      <c r="E32">
        <v>432</v>
      </c>
      <c r="F32">
        <v>306.3</v>
      </c>
      <c r="G32" s="4"/>
      <c r="J32" s="4"/>
    </row>
    <row r="33" spans="1:12" x14ac:dyDescent="0.35">
      <c r="A33">
        <v>2015</v>
      </c>
      <c r="B33">
        <v>38</v>
      </c>
      <c r="C33" t="s">
        <v>58</v>
      </c>
      <c r="D33" s="4">
        <v>70</v>
      </c>
      <c r="E33">
        <v>523</v>
      </c>
      <c r="F33">
        <v>358.4</v>
      </c>
      <c r="G33" s="4"/>
      <c r="J33" s="4"/>
    </row>
    <row r="34" spans="1:12" x14ac:dyDescent="0.35">
      <c r="A34">
        <v>2015</v>
      </c>
      <c r="B34">
        <v>39</v>
      </c>
      <c r="C34" t="s">
        <v>59</v>
      </c>
      <c r="D34" s="4">
        <v>72</v>
      </c>
      <c r="E34">
        <v>264</v>
      </c>
      <c r="F34">
        <v>173.5</v>
      </c>
      <c r="G34" s="4"/>
      <c r="J34" s="4"/>
    </row>
    <row r="35" spans="1:12" x14ac:dyDescent="0.35">
      <c r="A35">
        <v>2015</v>
      </c>
      <c r="B35">
        <v>40</v>
      </c>
      <c r="C35" t="s">
        <v>60</v>
      </c>
      <c r="D35" s="4">
        <v>101</v>
      </c>
      <c r="E35">
        <v>320</v>
      </c>
      <c r="F35">
        <v>212.2</v>
      </c>
      <c r="G35" s="4"/>
      <c r="J35" s="4"/>
    </row>
    <row r="36" spans="1:12" x14ac:dyDescent="0.35">
      <c r="A36">
        <v>2015</v>
      </c>
      <c r="B36">
        <v>41</v>
      </c>
      <c r="C36" t="s">
        <v>61</v>
      </c>
      <c r="D36" s="4">
        <v>41</v>
      </c>
      <c r="E36">
        <v>95</v>
      </c>
      <c r="F36">
        <v>64.5</v>
      </c>
      <c r="G36" s="4"/>
      <c r="J36" s="4"/>
    </row>
    <row r="37" spans="1:12" x14ac:dyDescent="0.35">
      <c r="A37">
        <v>2015</v>
      </c>
      <c r="B37">
        <v>43</v>
      </c>
      <c r="C37" t="s">
        <v>62</v>
      </c>
      <c r="D37" s="4">
        <v>34</v>
      </c>
      <c r="E37">
        <v>98</v>
      </c>
      <c r="F37">
        <v>63.3</v>
      </c>
      <c r="G37" s="4"/>
      <c r="J37" s="4"/>
    </row>
    <row r="38" spans="1:12" x14ac:dyDescent="0.35">
      <c r="A38">
        <v>2015</v>
      </c>
      <c r="B38">
        <v>51</v>
      </c>
      <c r="C38" t="s">
        <v>63</v>
      </c>
      <c r="D38" s="4">
        <v>271</v>
      </c>
      <c r="E38">
        <v>1880</v>
      </c>
      <c r="F38">
        <v>1558.2</v>
      </c>
      <c r="G38" s="4"/>
      <c r="H38">
        <v>19</v>
      </c>
      <c r="I38">
        <v>19</v>
      </c>
      <c r="J38" s="4"/>
      <c r="K38">
        <v>5</v>
      </c>
      <c r="L38">
        <v>5</v>
      </c>
    </row>
    <row r="39" spans="1:12" x14ac:dyDescent="0.35">
      <c r="A39">
        <v>2015</v>
      </c>
      <c r="B39">
        <v>52</v>
      </c>
      <c r="C39" t="s">
        <v>64</v>
      </c>
      <c r="D39" s="4">
        <v>619</v>
      </c>
      <c r="E39">
        <v>4252</v>
      </c>
      <c r="F39">
        <v>3288.9</v>
      </c>
      <c r="G39" s="4"/>
      <c r="J39" s="4"/>
    </row>
    <row r="40" spans="1:12" x14ac:dyDescent="0.35">
      <c r="A40">
        <v>2015</v>
      </c>
      <c r="B40">
        <v>53</v>
      </c>
      <c r="C40" t="s">
        <v>65</v>
      </c>
      <c r="D40" s="4">
        <v>1255</v>
      </c>
      <c r="E40">
        <v>10643</v>
      </c>
      <c r="F40">
        <v>7914.3</v>
      </c>
      <c r="G40" s="4"/>
      <c r="J40" s="4">
        <v>7</v>
      </c>
      <c r="K40">
        <v>76</v>
      </c>
      <c r="L40">
        <v>32.5</v>
      </c>
    </row>
    <row r="41" spans="1:12" x14ac:dyDescent="0.35">
      <c r="A41">
        <v>2015</v>
      </c>
      <c r="B41">
        <v>54</v>
      </c>
      <c r="C41" t="s">
        <v>66</v>
      </c>
      <c r="D41" s="4">
        <v>556</v>
      </c>
      <c r="E41">
        <v>5933</v>
      </c>
      <c r="F41">
        <v>4802.6000000000004</v>
      </c>
      <c r="G41" s="4"/>
      <c r="H41">
        <v>13</v>
      </c>
      <c r="I41">
        <v>10.8</v>
      </c>
      <c r="J41" s="4"/>
    </row>
    <row r="42" spans="1:12" x14ac:dyDescent="0.35">
      <c r="A42">
        <v>2015</v>
      </c>
      <c r="B42">
        <v>55</v>
      </c>
      <c r="C42" t="s">
        <v>67</v>
      </c>
      <c r="D42" s="4">
        <v>309</v>
      </c>
      <c r="E42">
        <v>1382</v>
      </c>
      <c r="F42">
        <v>1000.2</v>
      </c>
      <c r="G42" s="4"/>
      <c r="J42" s="4"/>
    </row>
    <row r="43" spans="1:12" x14ac:dyDescent="0.35">
      <c r="A43">
        <v>2015</v>
      </c>
      <c r="B43">
        <v>56</v>
      </c>
      <c r="C43" t="s">
        <v>68</v>
      </c>
      <c r="D43" s="4">
        <v>496</v>
      </c>
      <c r="E43">
        <v>3562</v>
      </c>
      <c r="F43">
        <v>2831.7</v>
      </c>
      <c r="G43" s="4"/>
      <c r="J43" s="4"/>
      <c r="K43">
        <v>5</v>
      </c>
    </row>
    <row r="44" spans="1:12" x14ac:dyDescent="0.35">
      <c r="A44">
        <v>2015</v>
      </c>
      <c r="B44">
        <v>57</v>
      </c>
      <c r="C44" t="s">
        <v>69</v>
      </c>
      <c r="D44" s="4">
        <v>161</v>
      </c>
      <c r="E44">
        <v>617</v>
      </c>
      <c r="F44">
        <v>419</v>
      </c>
      <c r="G44" s="4"/>
      <c r="J44" s="4"/>
    </row>
    <row r="45" spans="1:12" x14ac:dyDescent="0.35">
      <c r="A45">
        <v>2015</v>
      </c>
      <c r="B45">
        <v>58</v>
      </c>
      <c r="C45" t="s">
        <v>70</v>
      </c>
      <c r="D45" s="4">
        <v>244</v>
      </c>
      <c r="E45">
        <v>983</v>
      </c>
      <c r="F45">
        <v>717.8</v>
      </c>
      <c r="G45" s="4"/>
      <c r="H45">
        <v>4</v>
      </c>
      <c r="J45" s="4"/>
    </row>
    <row r="46" spans="1:12" x14ac:dyDescent="0.35">
      <c r="A46">
        <v>2015</v>
      </c>
      <c r="B46">
        <v>59</v>
      </c>
      <c r="C46" t="s">
        <v>71</v>
      </c>
      <c r="D46" s="4">
        <v>99</v>
      </c>
      <c r="E46">
        <v>396</v>
      </c>
      <c r="F46">
        <v>324.60000000000002</v>
      </c>
      <c r="G46" s="4"/>
      <c r="J46" s="4"/>
    </row>
    <row r="47" spans="1:12" x14ac:dyDescent="0.35">
      <c r="A47">
        <v>2015</v>
      </c>
      <c r="B47">
        <v>60</v>
      </c>
      <c r="C47" t="s">
        <v>72</v>
      </c>
      <c r="D47" s="4">
        <v>188</v>
      </c>
      <c r="E47">
        <v>1167</v>
      </c>
      <c r="F47">
        <v>962.8</v>
      </c>
      <c r="G47" s="4"/>
      <c r="J47" s="4"/>
    </row>
    <row r="48" spans="1:12" x14ac:dyDescent="0.35">
      <c r="A48">
        <v>2015</v>
      </c>
      <c r="B48">
        <v>61</v>
      </c>
      <c r="C48" t="s">
        <v>73</v>
      </c>
      <c r="D48" s="4">
        <v>85</v>
      </c>
      <c r="E48">
        <v>305</v>
      </c>
      <c r="F48">
        <v>217.1</v>
      </c>
      <c r="G48" s="4"/>
      <c r="J48" s="4"/>
    </row>
    <row r="49" spans="1:12" x14ac:dyDescent="0.35">
      <c r="A49">
        <v>2015</v>
      </c>
      <c r="B49">
        <v>62</v>
      </c>
      <c r="C49" t="s">
        <v>74</v>
      </c>
      <c r="D49" s="4">
        <v>1460</v>
      </c>
      <c r="E49">
        <v>35718</v>
      </c>
      <c r="F49">
        <v>29093.8</v>
      </c>
      <c r="G49" s="4"/>
      <c r="J49" s="4">
        <v>8</v>
      </c>
      <c r="K49">
        <v>59</v>
      </c>
      <c r="L49">
        <v>52</v>
      </c>
    </row>
    <row r="50" spans="1:12" x14ac:dyDescent="0.35">
      <c r="A50">
        <v>2015</v>
      </c>
      <c r="B50">
        <v>63</v>
      </c>
      <c r="C50" t="s">
        <v>75</v>
      </c>
      <c r="D50" s="4">
        <v>106</v>
      </c>
      <c r="E50">
        <v>355</v>
      </c>
      <c r="F50">
        <v>243.9</v>
      </c>
      <c r="G50" s="4"/>
      <c r="H50">
        <v>9</v>
      </c>
      <c r="J50" s="4"/>
    </row>
    <row r="51" spans="1:12" x14ac:dyDescent="0.35">
      <c r="A51">
        <v>2015</v>
      </c>
      <c r="B51">
        <v>64</v>
      </c>
      <c r="C51" t="s">
        <v>76</v>
      </c>
      <c r="D51" s="4">
        <v>313</v>
      </c>
      <c r="E51">
        <v>1019</v>
      </c>
      <c r="F51">
        <v>747</v>
      </c>
      <c r="G51" s="4"/>
      <c r="J51" s="4"/>
    </row>
    <row r="52" spans="1:12" x14ac:dyDescent="0.35">
      <c r="A52">
        <v>2015</v>
      </c>
      <c r="B52">
        <v>65</v>
      </c>
      <c r="C52" t="s">
        <v>77</v>
      </c>
      <c r="D52" s="4">
        <v>93</v>
      </c>
      <c r="E52">
        <v>254</v>
      </c>
      <c r="F52">
        <v>163.9</v>
      </c>
      <c r="G52" s="4"/>
      <c r="J52" s="4"/>
    </row>
    <row r="53" spans="1:12" x14ac:dyDescent="0.35">
      <c r="A53">
        <v>2015</v>
      </c>
      <c r="B53">
        <v>66</v>
      </c>
      <c r="C53" t="s">
        <v>78</v>
      </c>
      <c r="D53" s="4">
        <v>1276</v>
      </c>
      <c r="E53">
        <v>19022</v>
      </c>
      <c r="F53">
        <v>15260.3</v>
      </c>
      <c r="G53" s="4">
        <v>4</v>
      </c>
      <c r="H53">
        <v>164</v>
      </c>
      <c r="I53">
        <v>138.80000000000001</v>
      </c>
      <c r="J53" s="4">
        <v>8</v>
      </c>
      <c r="K53">
        <v>33</v>
      </c>
      <c r="L53">
        <v>29.1</v>
      </c>
    </row>
    <row r="54" spans="1:12" x14ac:dyDescent="0.35">
      <c r="A54">
        <v>2015</v>
      </c>
      <c r="B54">
        <v>67</v>
      </c>
      <c r="C54" t="s">
        <v>79</v>
      </c>
      <c r="D54" s="4">
        <v>236</v>
      </c>
      <c r="E54">
        <v>1351</v>
      </c>
      <c r="F54">
        <v>1053.9000000000001</v>
      </c>
      <c r="G54" s="4"/>
      <c r="J54" s="4"/>
    </row>
    <row r="55" spans="1:12" x14ac:dyDescent="0.35">
      <c r="A55">
        <v>2015</v>
      </c>
      <c r="B55">
        <v>68</v>
      </c>
      <c r="C55" t="s">
        <v>80</v>
      </c>
      <c r="D55" s="4">
        <v>160</v>
      </c>
      <c r="E55">
        <v>496</v>
      </c>
      <c r="F55">
        <v>355.9</v>
      </c>
      <c r="G55" s="4"/>
      <c r="J55" s="4"/>
    </row>
    <row r="56" spans="1:12" x14ac:dyDescent="0.35">
      <c r="A56">
        <v>2015</v>
      </c>
      <c r="B56">
        <v>69</v>
      </c>
      <c r="C56" t="s">
        <v>81</v>
      </c>
      <c r="D56" s="4">
        <v>1381</v>
      </c>
      <c r="E56">
        <v>20180</v>
      </c>
      <c r="F56">
        <v>16841.7</v>
      </c>
      <c r="G56" s="4">
        <v>4</v>
      </c>
      <c r="H56">
        <v>31</v>
      </c>
      <c r="I56">
        <v>26</v>
      </c>
      <c r="J56" s="4">
        <v>13</v>
      </c>
      <c r="K56">
        <v>46</v>
      </c>
      <c r="L56">
        <v>32.6</v>
      </c>
    </row>
    <row r="57" spans="1:12" x14ac:dyDescent="0.35">
      <c r="A57">
        <v>2015</v>
      </c>
      <c r="B57">
        <v>70</v>
      </c>
      <c r="C57" t="s">
        <v>82</v>
      </c>
      <c r="D57" s="4">
        <v>36</v>
      </c>
      <c r="E57">
        <v>72</v>
      </c>
      <c r="F57">
        <v>48</v>
      </c>
      <c r="G57" s="4"/>
      <c r="J57" s="4"/>
    </row>
    <row r="58" spans="1:12" x14ac:dyDescent="0.35">
      <c r="A58">
        <v>2015</v>
      </c>
      <c r="B58">
        <v>71</v>
      </c>
      <c r="C58" t="s">
        <v>83</v>
      </c>
      <c r="D58" s="4">
        <v>120</v>
      </c>
      <c r="E58">
        <v>491</v>
      </c>
      <c r="F58">
        <v>371.3</v>
      </c>
      <c r="G58" s="4"/>
      <c r="J58" s="4"/>
    </row>
    <row r="59" spans="1:12" x14ac:dyDescent="0.35">
      <c r="A59">
        <v>2015</v>
      </c>
      <c r="B59">
        <v>72</v>
      </c>
      <c r="C59" t="s">
        <v>84</v>
      </c>
      <c r="D59" s="4">
        <v>246</v>
      </c>
      <c r="E59">
        <v>906</v>
      </c>
      <c r="F59">
        <v>673.3</v>
      </c>
      <c r="G59" s="4"/>
      <c r="J59" s="4"/>
      <c r="K59">
        <v>9</v>
      </c>
      <c r="L59">
        <v>8</v>
      </c>
    </row>
    <row r="60" spans="1:12" x14ac:dyDescent="0.35">
      <c r="A60">
        <v>2015</v>
      </c>
      <c r="B60">
        <v>81</v>
      </c>
      <c r="C60" t="s">
        <v>85</v>
      </c>
      <c r="D60" s="4">
        <v>66</v>
      </c>
      <c r="E60">
        <v>268</v>
      </c>
      <c r="F60">
        <v>194.2</v>
      </c>
      <c r="G60" s="4"/>
      <c r="J60" s="4"/>
    </row>
    <row r="61" spans="1:12" x14ac:dyDescent="0.35">
      <c r="A61">
        <v>2015</v>
      </c>
      <c r="B61">
        <v>82</v>
      </c>
      <c r="C61" t="s">
        <v>86</v>
      </c>
      <c r="D61" s="4">
        <v>78</v>
      </c>
      <c r="E61">
        <v>276</v>
      </c>
      <c r="F61">
        <v>212.4</v>
      </c>
      <c r="G61" s="4"/>
      <c r="J61" s="4"/>
    </row>
    <row r="62" spans="1:12" x14ac:dyDescent="0.35">
      <c r="A62">
        <v>2015</v>
      </c>
      <c r="B62">
        <v>83</v>
      </c>
      <c r="C62" t="s">
        <v>87</v>
      </c>
      <c r="D62" s="4">
        <v>287</v>
      </c>
      <c r="E62">
        <v>2237</v>
      </c>
      <c r="F62">
        <v>1829.1</v>
      </c>
      <c r="G62" s="4"/>
      <c r="H62">
        <v>9</v>
      </c>
      <c r="I62">
        <v>7.7</v>
      </c>
      <c r="J62" s="4"/>
    </row>
    <row r="63" spans="1:12" x14ac:dyDescent="0.35">
      <c r="A63">
        <v>2015</v>
      </c>
      <c r="B63">
        <v>84</v>
      </c>
      <c r="C63" t="s">
        <v>88</v>
      </c>
      <c r="D63" s="4">
        <v>279</v>
      </c>
      <c r="E63">
        <v>2687</v>
      </c>
      <c r="F63">
        <v>2323.4</v>
      </c>
      <c r="G63" s="4"/>
      <c r="J63" s="4"/>
    </row>
    <row r="64" spans="1:12" x14ac:dyDescent="0.35">
      <c r="A64">
        <v>2015</v>
      </c>
      <c r="B64">
        <v>85</v>
      </c>
      <c r="C64" t="s">
        <v>89</v>
      </c>
      <c r="D64" s="4">
        <v>105</v>
      </c>
      <c r="E64">
        <v>475</v>
      </c>
      <c r="F64">
        <v>367.1</v>
      </c>
      <c r="G64" s="4"/>
      <c r="J64" s="4"/>
    </row>
    <row r="65" spans="1:12" x14ac:dyDescent="0.35">
      <c r="A65">
        <v>2015</v>
      </c>
      <c r="B65">
        <v>86</v>
      </c>
      <c r="C65" t="s">
        <v>90</v>
      </c>
      <c r="D65" s="4">
        <v>436</v>
      </c>
      <c r="E65">
        <v>3932</v>
      </c>
      <c r="F65">
        <v>3082.3</v>
      </c>
      <c r="G65" s="4"/>
      <c r="H65">
        <v>4</v>
      </c>
      <c r="J65" s="4"/>
    </row>
    <row r="66" spans="1:12" x14ac:dyDescent="0.35">
      <c r="A66">
        <v>2015</v>
      </c>
      <c r="B66">
        <v>87</v>
      </c>
      <c r="C66" t="s">
        <v>91</v>
      </c>
      <c r="D66" s="4">
        <v>41</v>
      </c>
      <c r="E66">
        <v>114</v>
      </c>
      <c r="F66">
        <v>77.400000000000006</v>
      </c>
      <c r="G66" s="4"/>
      <c r="J66" s="4"/>
      <c r="K66">
        <v>5</v>
      </c>
    </row>
    <row r="67" spans="1:12" x14ac:dyDescent="0.35">
      <c r="A67">
        <v>2015</v>
      </c>
      <c r="B67">
        <v>88</v>
      </c>
      <c r="C67" t="s">
        <v>92</v>
      </c>
      <c r="D67" s="4">
        <v>231</v>
      </c>
      <c r="E67">
        <v>633</v>
      </c>
      <c r="F67">
        <v>454</v>
      </c>
      <c r="G67" s="4"/>
      <c r="H67">
        <v>13</v>
      </c>
      <c r="I67">
        <v>8.1999999999999993</v>
      </c>
      <c r="J67" s="4"/>
    </row>
    <row r="68" spans="1:12" x14ac:dyDescent="0.35">
      <c r="A68">
        <v>2015</v>
      </c>
      <c r="B68">
        <v>89</v>
      </c>
      <c r="C68" t="s">
        <v>93</v>
      </c>
      <c r="D68" s="4">
        <v>217</v>
      </c>
      <c r="E68">
        <v>1324</v>
      </c>
      <c r="F68">
        <v>1033.2</v>
      </c>
      <c r="G68" s="4"/>
      <c r="J68" s="4"/>
    </row>
    <row r="69" spans="1:12" x14ac:dyDescent="0.35">
      <c r="A69">
        <v>2015</v>
      </c>
      <c r="B69">
        <v>90</v>
      </c>
      <c r="C69" t="s">
        <v>94</v>
      </c>
      <c r="D69" s="4">
        <v>439</v>
      </c>
      <c r="E69">
        <v>2168</v>
      </c>
      <c r="F69">
        <v>1708.3</v>
      </c>
      <c r="G69" s="4"/>
      <c r="J69" s="4"/>
    </row>
    <row r="70" spans="1:12" x14ac:dyDescent="0.35">
      <c r="A70">
        <v>2015</v>
      </c>
      <c r="B70">
        <v>91</v>
      </c>
      <c r="C70" t="s">
        <v>95</v>
      </c>
      <c r="D70" s="4">
        <v>155</v>
      </c>
      <c r="E70">
        <v>769</v>
      </c>
      <c r="F70">
        <v>608.4</v>
      </c>
      <c r="G70" s="4"/>
      <c r="J70" s="4"/>
      <c r="K70">
        <v>6</v>
      </c>
    </row>
    <row r="71" spans="1:12" x14ac:dyDescent="0.35">
      <c r="A71">
        <v>2015</v>
      </c>
      <c r="B71">
        <v>92</v>
      </c>
      <c r="C71" t="s">
        <v>96</v>
      </c>
      <c r="D71" s="4">
        <v>303</v>
      </c>
      <c r="E71">
        <v>1628</v>
      </c>
      <c r="F71">
        <v>1332</v>
      </c>
      <c r="G71" s="4"/>
      <c r="J71" s="4"/>
      <c r="K71">
        <v>13</v>
      </c>
      <c r="L71">
        <v>11.6</v>
      </c>
    </row>
    <row r="72" spans="1:12" x14ac:dyDescent="0.35">
      <c r="A72">
        <v>2015</v>
      </c>
      <c r="B72">
        <v>93</v>
      </c>
      <c r="C72" t="s">
        <v>97</v>
      </c>
      <c r="D72" s="4">
        <v>81</v>
      </c>
      <c r="E72">
        <v>258</v>
      </c>
      <c r="F72">
        <v>193.8</v>
      </c>
      <c r="G72" s="4"/>
      <c r="J72" s="4"/>
      <c r="K72">
        <v>7</v>
      </c>
      <c r="L72">
        <v>5.5</v>
      </c>
    </row>
    <row r="73" spans="1:12" x14ac:dyDescent="0.35">
      <c r="A73">
        <v>2015</v>
      </c>
      <c r="B73">
        <v>94</v>
      </c>
      <c r="C73" t="s">
        <v>98</v>
      </c>
      <c r="D73" s="4">
        <v>261</v>
      </c>
      <c r="E73">
        <v>2358</v>
      </c>
      <c r="F73">
        <v>1926.4</v>
      </c>
      <c r="G73" s="4">
        <v>3</v>
      </c>
      <c r="H73">
        <v>5</v>
      </c>
      <c r="J73" s="4"/>
    </row>
    <row r="74" spans="1:12" x14ac:dyDescent="0.35">
      <c r="A74">
        <v>2015</v>
      </c>
      <c r="B74">
        <v>95</v>
      </c>
      <c r="C74" t="s">
        <v>99</v>
      </c>
      <c r="D74" s="4">
        <v>39</v>
      </c>
      <c r="E74">
        <v>228</v>
      </c>
      <c r="F74">
        <v>159.6</v>
      </c>
      <c r="G74" s="4"/>
      <c r="J74" s="4"/>
    </row>
    <row r="75" spans="1:12" x14ac:dyDescent="0.35">
      <c r="A75">
        <v>2015</v>
      </c>
      <c r="B75">
        <v>96</v>
      </c>
      <c r="C75" t="s">
        <v>100</v>
      </c>
      <c r="D75" s="4">
        <v>1283</v>
      </c>
      <c r="E75">
        <v>10705</v>
      </c>
      <c r="F75">
        <v>8702.1</v>
      </c>
      <c r="G75" s="4">
        <v>3</v>
      </c>
      <c r="H75">
        <v>5</v>
      </c>
      <c r="I75">
        <v>4.9000000000000004</v>
      </c>
      <c r="J75" s="4">
        <v>6</v>
      </c>
      <c r="K75">
        <v>10</v>
      </c>
      <c r="L75">
        <v>7.4</v>
      </c>
    </row>
    <row r="76" spans="1:12" x14ac:dyDescent="0.35">
      <c r="A76">
        <v>2015</v>
      </c>
      <c r="B76">
        <v>97</v>
      </c>
      <c r="C76" t="s">
        <v>101</v>
      </c>
      <c r="D76" s="4">
        <v>743</v>
      </c>
      <c r="E76">
        <v>6068</v>
      </c>
      <c r="F76">
        <v>5054.2</v>
      </c>
      <c r="G76" s="4"/>
      <c r="H76">
        <v>5</v>
      </c>
      <c r="J76" s="4">
        <v>3</v>
      </c>
      <c r="K76">
        <v>12</v>
      </c>
      <c r="L76">
        <v>11</v>
      </c>
    </row>
    <row r="77" spans="1:12" x14ac:dyDescent="0.35">
      <c r="A77">
        <v>2015</v>
      </c>
      <c r="B77">
        <v>98</v>
      </c>
      <c r="C77" t="s">
        <v>102</v>
      </c>
      <c r="D77" s="4">
        <v>60</v>
      </c>
      <c r="E77">
        <v>130</v>
      </c>
      <c r="F77">
        <v>90.6</v>
      </c>
      <c r="G77" s="4"/>
      <c r="J77" s="4"/>
    </row>
    <row r="78" spans="1:12" x14ac:dyDescent="0.35">
      <c r="A78">
        <v>2015</v>
      </c>
      <c r="B78">
        <v>99</v>
      </c>
      <c r="C78" t="s">
        <v>103</v>
      </c>
      <c r="D78" s="4">
        <v>96</v>
      </c>
      <c r="E78">
        <v>394</v>
      </c>
      <c r="F78">
        <v>256.8</v>
      </c>
      <c r="G78" s="4"/>
      <c r="J78" s="4"/>
    </row>
    <row r="79" spans="1:12" x14ac:dyDescent="0.35">
      <c r="A79">
        <v>2015</v>
      </c>
      <c r="B79">
        <v>100</v>
      </c>
      <c r="C79" t="s">
        <v>104</v>
      </c>
      <c r="D79" s="4">
        <v>155</v>
      </c>
      <c r="E79">
        <v>586</v>
      </c>
      <c r="F79">
        <v>431.7</v>
      </c>
      <c r="G79" s="4"/>
      <c r="J79" s="4"/>
    </row>
    <row r="80" spans="1:12" x14ac:dyDescent="0.35">
      <c r="A80">
        <v>2015</v>
      </c>
      <c r="B80">
        <v>101</v>
      </c>
      <c r="C80" t="s">
        <v>105</v>
      </c>
      <c r="D80" s="4">
        <v>198</v>
      </c>
      <c r="E80">
        <v>772</v>
      </c>
      <c r="F80">
        <v>553.9</v>
      </c>
      <c r="G80" s="4"/>
      <c r="J80" s="4"/>
    </row>
    <row r="81" spans="1:12" x14ac:dyDescent="0.35">
      <c r="A81">
        <v>2015</v>
      </c>
      <c r="B81">
        <v>102</v>
      </c>
      <c r="C81" t="s">
        <v>106</v>
      </c>
      <c r="D81" s="4">
        <v>92</v>
      </c>
      <c r="E81">
        <v>273</v>
      </c>
      <c r="F81">
        <v>212.4</v>
      </c>
      <c r="G81" s="4"/>
      <c r="J81" s="4"/>
    </row>
    <row r="82" spans="1:12" x14ac:dyDescent="0.35">
      <c r="A82">
        <v>2015</v>
      </c>
      <c r="B82">
        <v>111</v>
      </c>
      <c r="C82" t="s">
        <v>107</v>
      </c>
      <c r="D82" s="4">
        <v>415</v>
      </c>
      <c r="E82">
        <v>1606</v>
      </c>
      <c r="F82">
        <v>1103.9000000000001</v>
      </c>
      <c r="G82" s="4"/>
      <c r="J82" s="4">
        <v>3</v>
      </c>
    </row>
    <row r="83" spans="1:12" x14ac:dyDescent="0.35">
      <c r="A83">
        <v>2015</v>
      </c>
      <c r="B83">
        <v>112</v>
      </c>
      <c r="C83" t="s">
        <v>108</v>
      </c>
      <c r="D83" s="4">
        <v>556</v>
      </c>
      <c r="E83">
        <v>3529</v>
      </c>
      <c r="F83">
        <v>2751.1</v>
      </c>
      <c r="G83" s="4">
        <v>3</v>
      </c>
      <c r="H83">
        <v>5</v>
      </c>
      <c r="I83">
        <v>4</v>
      </c>
      <c r="J83" s="4"/>
    </row>
    <row r="84" spans="1:12" x14ac:dyDescent="0.35">
      <c r="A84">
        <v>2015</v>
      </c>
      <c r="B84">
        <v>113</v>
      </c>
      <c r="C84" t="s">
        <v>109</v>
      </c>
      <c r="D84" s="4">
        <v>443</v>
      </c>
      <c r="E84">
        <v>1768</v>
      </c>
      <c r="F84">
        <v>1250.3</v>
      </c>
      <c r="G84" s="4"/>
      <c r="J84" s="4"/>
    </row>
    <row r="85" spans="1:12" x14ac:dyDescent="0.35">
      <c r="A85">
        <v>2015</v>
      </c>
      <c r="B85">
        <v>114</v>
      </c>
      <c r="C85" t="s">
        <v>110</v>
      </c>
      <c r="D85" s="4">
        <v>200</v>
      </c>
      <c r="E85">
        <v>750</v>
      </c>
      <c r="F85">
        <v>520.6</v>
      </c>
      <c r="G85" s="4"/>
      <c r="J85" s="4"/>
    </row>
    <row r="86" spans="1:12" x14ac:dyDescent="0.35">
      <c r="A86">
        <v>2015</v>
      </c>
      <c r="B86">
        <v>115</v>
      </c>
      <c r="C86" t="s">
        <v>111</v>
      </c>
      <c r="D86" s="4">
        <v>650</v>
      </c>
      <c r="E86">
        <v>2656</v>
      </c>
      <c r="F86">
        <v>2007.6</v>
      </c>
      <c r="G86" s="4"/>
      <c r="J86" s="4">
        <v>4</v>
      </c>
      <c r="K86">
        <v>7</v>
      </c>
      <c r="L86">
        <v>4.7</v>
      </c>
    </row>
    <row r="87" spans="1:12" x14ac:dyDescent="0.35">
      <c r="A87">
        <v>2015</v>
      </c>
      <c r="B87">
        <v>116</v>
      </c>
      <c r="C87" t="s">
        <v>112</v>
      </c>
      <c r="D87" s="4">
        <v>274</v>
      </c>
      <c r="E87">
        <v>1859</v>
      </c>
      <c r="F87">
        <v>1389.3</v>
      </c>
      <c r="G87" s="4"/>
      <c r="J87" s="4">
        <v>3</v>
      </c>
      <c r="K87">
        <v>5</v>
      </c>
      <c r="L87">
        <v>4.2</v>
      </c>
    </row>
    <row r="88" spans="1:12" x14ac:dyDescent="0.35">
      <c r="A88">
        <v>2015</v>
      </c>
      <c r="B88">
        <v>117</v>
      </c>
      <c r="C88" t="s">
        <v>113</v>
      </c>
      <c r="D88" s="4">
        <v>852</v>
      </c>
      <c r="E88">
        <v>6741</v>
      </c>
      <c r="F88">
        <v>5576.8</v>
      </c>
      <c r="G88" s="4">
        <v>4</v>
      </c>
      <c r="H88">
        <v>10</v>
      </c>
      <c r="I88">
        <v>7</v>
      </c>
      <c r="J88" s="4">
        <v>3</v>
      </c>
      <c r="K88">
        <v>9</v>
      </c>
      <c r="L88">
        <v>4.0999999999999996</v>
      </c>
    </row>
    <row r="89" spans="1:12" x14ac:dyDescent="0.35">
      <c r="A89">
        <v>2015</v>
      </c>
      <c r="B89">
        <v>118</v>
      </c>
      <c r="C89" t="s">
        <v>114</v>
      </c>
      <c r="D89" s="4">
        <v>830</v>
      </c>
      <c r="E89">
        <v>4654</v>
      </c>
      <c r="F89">
        <v>3467.3</v>
      </c>
      <c r="G89" s="4">
        <v>4</v>
      </c>
      <c r="H89">
        <v>5</v>
      </c>
      <c r="J89" s="4">
        <v>6</v>
      </c>
      <c r="K89">
        <v>6</v>
      </c>
    </row>
    <row r="90" spans="1:12" x14ac:dyDescent="0.35">
      <c r="A90">
        <v>2015</v>
      </c>
      <c r="B90">
        <v>119</v>
      </c>
      <c r="C90" t="s">
        <v>115</v>
      </c>
      <c r="D90" s="4">
        <v>110</v>
      </c>
      <c r="E90">
        <v>567</v>
      </c>
      <c r="F90">
        <v>413</v>
      </c>
      <c r="G90" s="4"/>
      <c r="J90" s="4"/>
    </row>
    <row r="91" spans="1:12" x14ac:dyDescent="0.35">
      <c r="A91">
        <v>2015</v>
      </c>
      <c r="B91">
        <v>120</v>
      </c>
      <c r="C91" t="s">
        <v>116</v>
      </c>
      <c r="D91" s="4">
        <v>636</v>
      </c>
      <c r="E91">
        <v>3351</v>
      </c>
      <c r="F91">
        <v>2487.1</v>
      </c>
      <c r="G91" s="4">
        <v>3</v>
      </c>
      <c r="H91">
        <v>5</v>
      </c>
      <c r="I91">
        <v>4.2</v>
      </c>
      <c r="J91" s="4"/>
    </row>
    <row r="92" spans="1:12" x14ac:dyDescent="0.35">
      <c r="A92">
        <v>2015</v>
      </c>
      <c r="B92">
        <v>121</v>
      </c>
      <c r="C92" t="s">
        <v>117</v>
      </c>
      <c r="D92" s="4">
        <v>1863</v>
      </c>
      <c r="E92">
        <v>14093</v>
      </c>
      <c r="F92">
        <v>10090.4</v>
      </c>
      <c r="G92" s="4">
        <v>6</v>
      </c>
      <c r="H92">
        <v>16</v>
      </c>
      <c r="I92">
        <v>12.4</v>
      </c>
      <c r="J92" s="4">
        <v>5</v>
      </c>
      <c r="K92">
        <v>58</v>
      </c>
      <c r="L92">
        <v>52.4</v>
      </c>
    </row>
    <row r="93" spans="1:12" x14ac:dyDescent="0.35">
      <c r="A93">
        <v>2015</v>
      </c>
      <c r="B93">
        <v>131</v>
      </c>
      <c r="C93" t="s">
        <v>118</v>
      </c>
      <c r="D93" s="4">
        <v>1049</v>
      </c>
      <c r="E93">
        <v>8397</v>
      </c>
      <c r="F93">
        <v>6863.3</v>
      </c>
      <c r="G93" s="4">
        <v>6</v>
      </c>
      <c r="H93">
        <v>31</v>
      </c>
      <c r="I93">
        <v>27.1</v>
      </c>
      <c r="J93" s="4">
        <v>8</v>
      </c>
      <c r="K93">
        <v>8</v>
      </c>
      <c r="L93">
        <v>7.1</v>
      </c>
    </row>
    <row r="94" spans="1:12" x14ac:dyDescent="0.35">
      <c r="A94">
        <v>2015</v>
      </c>
      <c r="B94">
        <v>135</v>
      </c>
      <c r="C94" t="s">
        <v>119</v>
      </c>
      <c r="D94" s="4">
        <v>578</v>
      </c>
      <c r="E94">
        <v>4007</v>
      </c>
      <c r="F94">
        <v>3049.6</v>
      </c>
      <c r="G94" s="4"/>
      <c r="J94" s="4">
        <v>5</v>
      </c>
      <c r="K94">
        <v>14</v>
      </c>
      <c r="L94">
        <v>10.3</v>
      </c>
    </row>
    <row r="95" spans="1:12" x14ac:dyDescent="0.35">
      <c r="A95">
        <v>2015</v>
      </c>
      <c r="B95">
        <v>136</v>
      </c>
      <c r="C95" t="s">
        <v>120</v>
      </c>
      <c r="D95" s="4">
        <v>376</v>
      </c>
      <c r="E95">
        <v>1506</v>
      </c>
      <c r="F95">
        <v>1087.8</v>
      </c>
      <c r="G95" s="4">
        <v>5</v>
      </c>
      <c r="H95">
        <v>6</v>
      </c>
      <c r="I95">
        <v>5.4</v>
      </c>
      <c r="J95" s="4"/>
    </row>
    <row r="96" spans="1:12" x14ac:dyDescent="0.35">
      <c r="A96">
        <v>2015</v>
      </c>
      <c r="B96">
        <v>137</v>
      </c>
      <c r="C96" t="s">
        <v>121</v>
      </c>
      <c r="D96" s="4">
        <v>296</v>
      </c>
      <c r="E96">
        <v>1037</v>
      </c>
      <c r="F96">
        <v>737.4</v>
      </c>
      <c r="G96" s="4">
        <v>3</v>
      </c>
      <c r="H96">
        <v>7</v>
      </c>
      <c r="J96" s="4"/>
    </row>
    <row r="97" spans="1:12" x14ac:dyDescent="0.35">
      <c r="A97">
        <v>2015</v>
      </c>
      <c r="B97">
        <v>138</v>
      </c>
      <c r="C97" t="s">
        <v>122</v>
      </c>
      <c r="D97" s="4">
        <v>781</v>
      </c>
      <c r="E97">
        <v>4132</v>
      </c>
      <c r="F97">
        <v>3274.8</v>
      </c>
      <c r="G97" s="4"/>
      <c r="J97" s="4">
        <v>4</v>
      </c>
      <c r="K97">
        <v>4</v>
      </c>
    </row>
    <row r="98" spans="1:12" x14ac:dyDescent="0.35">
      <c r="A98">
        <v>2015</v>
      </c>
      <c r="B98">
        <v>139</v>
      </c>
      <c r="C98" t="s">
        <v>123</v>
      </c>
      <c r="D98" s="4">
        <v>429</v>
      </c>
      <c r="E98">
        <v>3112</v>
      </c>
      <c r="F98">
        <v>2424.9</v>
      </c>
      <c r="G98" s="4"/>
      <c r="J98" s="4">
        <v>3</v>
      </c>
      <c r="K98">
        <v>10</v>
      </c>
      <c r="L98">
        <v>6.3</v>
      </c>
    </row>
    <row r="99" spans="1:12" x14ac:dyDescent="0.35">
      <c r="A99">
        <v>2015</v>
      </c>
      <c r="B99">
        <v>141</v>
      </c>
      <c r="C99" t="s">
        <v>124</v>
      </c>
      <c r="D99" s="4">
        <v>1284</v>
      </c>
      <c r="E99">
        <v>6429</v>
      </c>
      <c r="F99">
        <v>4676.7</v>
      </c>
      <c r="G99" s="4">
        <v>10</v>
      </c>
      <c r="H99">
        <v>17</v>
      </c>
      <c r="I99">
        <v>12</v>
      </c>
      <c r="J99" s="4">
        <v>5</v>
      </c>
      <c r="K99">
        <v>21</v>
      </c>
      <c r="L99">
        <v>15.5</v>
      </c>
    </row>
    <row r="100" spans="1:12" x14ac:dyDescent="0.35">
      <c r="A100">
        <v>2015</v>
      </c>
      <c r="B100">
        <v>151</v>
      </c>
      <c r="C100" t="s">
        <v>125</v>
      </c>
      <c r="D100" s="4">
        <v>455</v>
      </c>
      <c r="E100">
        <v>2056</v>
      </c>
      <c r="F100">
        <v>1458.6</v>
      </c>
      <c r="G100" s="4"/>
      <c r="J100" s="4"/>
      <c r="K100">
        <v>7</v>
      </c>
      <c r="L100">
        <v>6.3</v>
      </c>
    </row>
    <row r="101" spans="1:12" x14ac:dyDescent="0.35">
      <c r="A101">
        <v>2015</v>
      </c>
      <c r="B101">
        <v>152</v>
      </c>
      <c r="C101" t="s">
        <v>126</v>
      </c>
      <c r="D101" s="4">
        <v>423</v>
      </c>
      <c r="E101">
        <v>1391</v>
      </c>
      <c r="F101">
        <v>970.4</v>
      </c>
      <c r="G101" s="4"/>
      <c r="J101" s="4"/>
      <c r="K101">
        <v>7</v>
      </c>
      <c r="L101">
        <v>4.2</v>
      </c>
    </row>
    <row r="102" spans="1:12" x14ac:dyDescent="0.35">
      <c r="A102">
        <v>2015</v>
      </c>
      <c r="B102">
        <v>153</v>
      </c>
      <c r="C102" t="s">
        <v>127</v>
      </c>
      <c r="D102" s="4">
        <v>611</v>
      </c>
      <c r="E102">
        <v>2999</v>
      </c>
      <c r="F102">
        <v>2229.6999999999998</v>
      </c>
      <c r="G102" s="4"/>
      <c r="H102">
        <v>5</v>
      </c>
      <c r="J102" s="4">
        <v>3</v>
      </c>
    </row>
    <row r="103" spans="1:12" x14ac:dyDescent="0.35">
      <c r="A103">
        <v>2015</v>
      </c>
      <c r="B103">
        <v>154</v>
      </c>
      <c r="C103" t="s">
        <v>128</v>
      </c>
      <c r="D103" s="4">
        <v>1280</v>
      </c>
      <c r="E103">
        <v>6285</v>
      </c>
      <c r="F103">
        <v>4790.1000000000004</v>
      </c>
      <c r="G103" s="4"/>
      <c r="J103" s="4">
        <v>10</v>
      </c>
      <c r="K103">
        <v>17</v>
      </c>
      <c r="L103">
        <v>15.5</v>
      </c>
    </row>
    <row r="104" spans="1:12" x14ac:dyDescent="0.35">
      <c r="A104">
        <v>2015</v>
      </c>
      <c r="B104">
        <v>155</v>
      </c>
      <c r="C104" t="s">
        <v>129</v>
      </c>
      <c r="D104" s="4">
        <v>735</v>
      </c>
      <c r="E104">
        <v>4734</v>
      </c>
      <c r="F104">
        <v>3639.8</v>
      </c>
      <c r="G104" s="4">
        <v>4</v>
      </c>
      <c r="H104">
        <v>4</v>
      </c>
      <c r="J104" s="4">
        <v>6</v>
      </c>
      <c r="K104">
        <v>9</v>
      </c>
      <c r="L104">
        <v>7.3</v>
      </c>
    </row>
    <row r="105" spans="1:12" x14ac:dyDescent="0.35">
      <c r="A105">
        <v>2015</v>
      </c>
      <c r="B105">
        <v>156</v>
      </c>
      <c r="C105" t="s">
        <v>130</v>
      </c>
      <c r="D105" s="4">
        <v>1114</v>
      </c>
      <c r="E105">
        <v>6180</v>
      </c>
      <c r="F105">
        <v>4664.3</v>
      </c>
      <c r="G105" s="4">
        <v>6</v>
      </c>
      <c r="H105">
        <v>16</v>
      </c>
      <c r="I105">
        <v>11.7</v>
      </c>
      <c r="J105" s="4">
        <v>7</v>
      </c>
      <c r="K105">
        <v>10</v>
      </c>
      <c r="L105">
        <v>7.7</v>
      </c>
    </row>
    <row r="106" spans="1:12" x14ac:dyDescent="0.35">
      <c r="A106">
        <v>2015</v>
      </c>
      <c r="B106">
        <v>157</v>
      </c>
      <c r="C106" t="s">
        <v>131</v>
      </c>
      <c r="D106" s="4">
        <v>275</v>
      </c>
      <c r="E106">
        <v>2111</v>
      </c>
      <c r="F106">
        <v>1640.9</v>
      </c>
      <c r="G106" s="4"/>
      <c r="J106" s="4"/>
      <c r="K106">
        <v>13</v>
      </c>
      <c r="L106">
        <v>11.7</v>
      </c>
    </row>
    <row r="107" spans="1:12" x14ac:dyDescent="0.35">
      <c r="A107">
        <v>2015</v>
      </c>
      <c r="B107">
        <v>158</v>
      </c>
      <c r="C107" t="s">
        <v>132</v>
      </c>
      <c r="D107" s="4">
        <v>1044</v>
      </c>
      <c r="E107">
        <v>5942</v>
      </c>
      <c r="F107">
        <v>4732.3999999999996</v>
      </c>
      <c r="G107" s="4">
        <v>5</v>
      </c>
      <c r="H107">
        <v>6</v>
      </c>
      <c r="J107" s="4">
        <v>4</v>
      </c>
      <c r="K107">
        <v>5</v>
      </c>
    </row>
    <row r="108" spans="1:12" x14ac:dyDescent="0.35">
      <c r="A108">
        <v>2015</v>
      </c>
      <c r="B108">
        <v>159</v>
      </c>
      <c r="C108" t="s">
        <v>133</v>
      </c>
      <c r="D108" s="4">
        <v>372</v>
      </c>
      <c r="E108">
        <v>1629</v>
      </c>
      <c r="F108">
        <v>1205.5</v>
      </c>
      <c r="G108" s="4"/>
      <c r="J108" s="4"/>
    </row>
    <row r="109" spans="1:12" x14ac:dyDescent="0.35">
      <c r="A109">
        <v>2015</v>
      </c>
      <c r="B109">
        <v>160</v>
      </c>
      <c r="C109" t="s">
        <v>134</v>
      </c>
      <c r="D109" s="4">
        <v>376</v>
      </c>
      <c r="E109">
        <v>1716</v>
      </c>
      <c r="F109">
        <v>1220.8</v>
      </c>
      <c r="G109" s="4"/>
      <c r="H109">
        <v>4</v>
      </c>
      <c r="J109" s="4"/>
    </row>
    <row r="110" spans="1:12" x14ac:dyDescent="0.35">
      <c r="A110">
        <v>2015</v>
      </c>
      <c r="B110">
        <v>161</v>
      </c>
      <c r="C110" t="s">
        <v>135</v>
      </c>
      <c r="D110" s="4">
        <v>1148</v>
      </c>
      <c r="E110">
        <v>5978</v>
      </c>
      <c r="F110">
        <v>4461.3999999999996</v>
      </c>
      <c r="G110" s="4">
        <v>10</v>
      </c>
      <c r="H110">
        <v>20</v>
      </c>
      <c r="I110">
        <v>13.7</v>
      </c>
      <c r="J110" s="4">
        <v>12</v>
      </c>
      <c r="K110">
        <v>56</v>
      </c>
      <c r="L110">
        <v>48.4</v>
      </c>
    </row>
    <row r="111" spans="1:12" x14ac:dyDescent="0.35">
      <c r="A111">
        <v>2015</v>
      </c>
      <c r="B111">
        <v>172</v>
      </c>
      <c r="C111" t="s">
        <v>136</v>
      </c>
      <c r="D111" s="4">
        <v>438</v>
      </c>
      <c r="E111">
        <v>4094</v>
      </c>
      <c r="F111">
        <v>3266.2</v>
      </c>
      <c r="G111" s="4"/>
      <c r="J111" s="4"/>
    </row>
    <row r="112" spans="1:12" x14ac:dyDescent="0.35">
      <c r="A112">
        <v>2015</v>
      </c>
      <c r="B112">
        <v>173</v>
      </c>
      <c r="C112" t="s">
        <v>137</v>
      </c>
      <c r="D112" s="4">
        <v>247</v>
      </c>
      <c r="E112">
        <v>782</v>
      </c>
      <c r="F112">
        <v>579.9</v>
      </c>
      <c r="G112" s="4"/>
      <c r="J112" s="4"/>
    </row>
    <row r="113" spans="1:12" x14ac:dyDescent="0.35">
      <c r="A113">
        <v>2015</v>
      </c>
      <c r="B113">
        <v>176</v>
      </c>
      <c r="C113" t="s">
        <v>138</v>
      </c>
      <c r="D113" s="4">
        <v>323</v>
      </c>
      <c r="E113">
        <v>2434</v>
      </c>
      <c r="F113">
        <v>1930.6</v>
      </c>
      <c r="G113" s="4"/>
      <c r="J113" s="4"/>
    </row>
    <row r="114" spans="1:12" x14ac:dyDescent="0.35">
      <c r="A114">
        <v>2015</v>
      </c>
      <c r="B114">
        <v>177</v>
      </c>
      <c r="C114" t="s">
        <v>139</v>
      </c>
      <c r="D114" s="4">
        <v>810</v>
      </c>
      <c r="E114">
        <v>5673</v>
      </c>
      <c r="F114">
        <v>4135.8</v>
      </c>
      <c r="G114" s="4"/>
      <c r="H114">
        <v>75</v>
      </c>
      <c r="I114">
        <v>25.4</v>
      </c>
      <c r="J114" s="4"/>
    </row>
    <row r="115" spans="1:12" x14ac:dyDescent="0.35">
      <c r="A115">
        <v>2015</v>
      </c>
      <c r="B115">
        <v>178</v>
      </c>
      <c r="C115" t="s">
        <v>140</v>
      </c>
      <c r="D115" s="4">
        <v>282</v>
      </c>
      <c r="E115">
        <v>1326</v>
      </c>
      <c r="F115">
        <v>957.9</v>
      </c>
      <c r="G115" s="4"/>
      <c r="J115" s="4"/>
    </row>
    <row r="116" spans="1:12" x14ac:dyDescent="0.35">
      <c r="A116">
        <v>2015</v>
      </c>
      <c r="B116">
        <v>180</v>
      </c>
      <c r="C116" t="s">
        <v>141</v>
      </c>
      <c r="D116" s="4">
        <v>224</v>
      </c>
      <c r="E116">
        <v>852</v>
      </c>
      <c r="F116">
        <v>628.1</v>
      </c>
      <c r="G116" s="4"/>
      <c r="J116" s="4"/>
    </row>
    <row r="117" spans="1:12" x14ac:dyDescent="0.35">
      <c r="A117">
        <v>2015</v>
      </c>
      <c r="B117">
        <v>181</v>
      </c>
      <c r="C117" t="s">
        <v>142</v>
      </c>
      <c r="D117" s="4">
        <v>171</v>
      </c>
      <c r="E117">
        <v>632</v>
      </c>
      <c r="F117">
        <v>457.1</v>
      </c>
      <c r="G117" s="4"/>
      <c r="J117" s="4"/>
    </row>
    <row r="118" spans="1:12" x14ac:dyDescent="0.35">
      <c r="A118">
        <v>2015</v>
      </c>
      <c r="B118">
        <v>182</v>
      </c>
      <c r="C118" t="s">
        <v>143</v>
      </c>
      <c r="D118" s="4">
        <v>71</v>
      </c>
      <c r="E118">
        <v>205</v>
      </c>
      <c r="F118">
        <v>146.69999999999999</v>
      </c>
      <c r="G118" s="4"/>
      <c r="J118" s="4"/>
    </row>
    <row r="119" spans="1:12" x14ac:dyDescent="0.35">
      <c r="A119">
        <v>2015</v>
      </c>
      <c r="B119">
        <v>191</v>
      </c>
      <c r="C119" t="s">
        <v>144</v>
      </c>
      <c r="D119" s="4">
        <v>1806</v>
      </c>
      <c r="E119">
        <v>19751</v>
      </c>
      <c r="F119">
        <v>15688.9</v>
      </c>
      <c r="G119" s="4">
        <v>7</v>
      </c>
      <c r="H119">
        <v>21</v>
      </c>
      <c r="I119">
        <v>14.2</v>
      </c>
      <c r="J119" s="4">
        <v>10</v>
      </c>
      <c r="K119">
        <v>21</v>
      </c>
      <c r="L119">
        <v>17.399999999999999</v>
      </c>
    </row>
    <row r="120" spans="1:12" x14ac:dyDescent="0.35">
      <c r="A120">
        <v>2015</v>
      </c>
      <c r="B120">
        <v>192</v>
      </c>
      <c r="C120" t="s">
        <v>145</v>
      </c>
      <c r="D120" s="4">
        <v>585</v>
      </c>
      <c r="E120">
        <v>2462</v>
      </c>
      <c r="F120">
        <v>1857.6</v>
      </c>
      <c r="G120" s="4">
        <v>3</v>
      </c>
      <c r="J120" s="4">
        <v>3</v>
      </c>
      <c r="K120">
        <v>8</v>
      </c>
      <c r="L120">
        <v>5.8</v>
      </c>
    </row>
    <row r="121" spans="1:12" x14ac:dyDescent="0.35">
      <c r="A121">
        <v>2015</v>
      </c>
      <c r="B121">
        <v>193</v>
      </c>
      <c r="C121" t="s">
        <v>146</v>
      </c>
      <c r="D121" s="4">
        <v>502</v>
      </c>
      <c r="E121">
        <v>2916</v>
      </c>
      <c r="F121">
        <v>2360.4</v>
      </c>
      <c r="G121" s="4"/>
      <c r="J121" s="4"/>
    </row>
    <row r="122" spans="1:12" x14ac:dyDescent="0.35">
      <c r="A122">
        <v>2015</v>
      </c>
      <c r="B122">
        <v>194</v>
      </c>
      <c r="C122" t="s">
        <v>147</v>
      </c>
      <c r="D122" s="4">
        <v>227</v>
      </c>
      <c r="E122">
        <v>1840</v>
      </c>
      <c r="F122">
        <v>1364</v>
      </c>
      <c r="G122" s="4"/>
      <c r="J122" s="4"/>
    </row>
    <row r="123" spans="1:12" x14ac:dyDescent="0.35">
      <c r="A123">
        <v>2015</v>
      </c>
      <c r="B123">
        <v>195</v>
      </c>
      <c r="C123" t="s">
        <v>148</v>
      </c>
      <c r="D123" s="4">
        <v>657</v>
      </c>
      <c r="E123">
        <v>2268</v>
      </c>
      <c r="F123">
        <v>1594.6</v>
      </c>
      <c r="G123" s="4"/>
      <c r="J123" s="4"/>
    </row>
    <row r="124" spans="1:12" x14ac:dyDescent="0.35">
      <c r="A124">
        <v>2015</v>
      </c>
      <c r="B124">
        <v>196</v>
      </c>
      <c r="C124" t="s">
        <v>149</v>
      </c>
      <c r="D124" s="4">
        <v>255</v>
      </c>
      <c r="E124">
        <v>1394</v>
      </c>
      <c r="F124">
        <v>1084.9000000000001</v>
      </c>
      <c r="G124" s="4"/>
      <c r="H124">
        <v>6</v>
      </c>
      <c r="I124">
        <v>5.2</v>
      </c>
      <c r="J124" s="4"/>
    </row>
    <row r="125" spans="1:12" x14ac:dyDescent="0.35">
      <c r="A125">
        <v>2015</v>
      </c>
      <c r="B125">
        <v>197</v>
      </c>
      <c r="C125" t="s">
        <v>150</v>
      </c>
      <c r="D125" s="4">
        <v>300</v>
      </c>
      <c r="E125">
        <v>2484</v>
      </c>
      <c r="F125">
        <v>2070.4</v>
      </c>
      <c r="G125" s="4"/>
      <c r="J125" s="4"/>
    </row>
    <row r="126" spans="1:12" x14ac:dyDescent="0.35">
      <c r="A126">
        <v>2015</v>
      </c>
      <c r="B126">
        <v>198</v>
      </c>
      <c r="C126" t="s">
        <v>151</v>
      </c>
      <c r="D126" s="4">
        <v>2434</v>
      </c>
      <c r="E126">
        <v>16372</v>
      </c>
      <c r="F126">
        <v>12461.9</v>
      </c>
      <c r="G126" s="4">
        <v>3</v>
      </c>
      <c r="H126">
        <v>6</v>
      </c>
      <c r="I126">
        <v>5</v>
      </c>
      <c r="J126" s="4">
        <v>7</v>
      </c>
      <c r="K126">
        <v>46</v>
      </c>
      <c r="L126">
        <v>32.9</v>
      </c>
    </row>
    <row r="127" spans="1:12" x14ac:dyDescent="0.35">
      <c r="A127">
        <v>2015</v>
      </c>
      <c r="B127">
        <v>199</v>
      </c>
      <c r="C127" t="s">
        <v>152</v>
      </c>
      <c r="D127" s="4">
        <v>1273</v>
      </c>
      <c r="E127">
        <v>11018</v>
      </c>
      <c r="F127">
        <v>8844.5</v>
      </c>
      <c r="G127" s="4"/>
      <c r="H127">
        <v>22</v>
      </c>
      <c r="I127">
        <v>19.7</v>
      </c>
      <c r="J127" s="4">
        <v>7</v>
      </c>
      <c r="K127">
        <v>17</v>
      </c>
      <c r="L127">
        <v>14.7</v>
      </c>
    </row>
    <row r="128" spans="1:12" x14ac:dyDescent="0.35">
      <c r="A128">
        <v>2015</v>
      </c>
      <c r="B128">
        <v>200</v>
      </c>
      <c r="C128" t="s">
        <v>153</v>
      </c>
      <c r="D128" s="4">
        <v>553</v>
      </c>
      <c r="E128">
        <v>5375</v>
      </c>
      <c r="F128">
        <v>4412.3999999999996</v>
      </c>
      <c r="G128" s="4"/>
      <c r="J128" s="4">
        <v>3</v>
      </c>
      <c r="K128">
        <v>9</v>
      </c>
      <c r="L128">
        <v>5.6</v>
      </c>
    </row>
    <row r="129" spans="1:12" x14ac:dyDescent="0.35">
      <c r="A129">
        <v>2015</v>
      </c>
      <c r="B129">
        <v>211</v>
      </c>
      <c r="C129" t="s">
        <v>154</v>
      </c>
      <c r="D129" s="4">
        <v>65</v>
      </c>
      <c r="E129">
        <v>148</v>
      </c>
      <c r="F129">
        <v>91.5</v>
      </c>
      <c r="G129" s="4"/>
      <c r="J129" s="4"/>
      <c r="K129">
        <v>4</v>
      </c>
    </row>
    <row r="130" spans="1:12" x14ac:dyDescent="0.35">
      <c r="A130">
        <v>2015</v>
      </c>
      <c r="B130">
        <v>213</v>
      </c>
      <c r="C130" t="s">
        <v>155</v>
      </c>
      <c r="D130" s="4">
        <v>128</v>
      </c>
      <c r="E130">
        <v>344</v>
      </c>
      <c r="F130">
        <v>245.3</v>
      </c>
      <c r="G130" s="4"/>
      <c r="J130" s="4"/>
    </row>
    <row r="131" spans="1:12" x14ac:dyDescent="0.35">
      <c r="A131">
        <v>2015</v>
      </c>
      <c r="B131">
        <v>214</v>
      </c>
      <c r="C131" t="s">
        <v>156</v>
      </c>
      <c r="D131" s="4">
        <v>93</v>
      </c>
      <c r="E131">
        <v>302</v>
      </c>
      <c r="F131">
        <v>197.3</v>
      </c>
      <c r="G131" s="4"/>
      <c r="J131" s="4"/>
    </row>
    <row r="132" spans="1:12" x14ac:dyDescent="0.35">
      <c r="A132">
        <v>2015</v>
      </c>
      <c r="B132">
        <v>215</v>
      </c>
      <c r="C132" t="s">
        <v>157</v>
      </c>
      <c r="D132" s="4">
        <v>56</v>
      </c>
      <c r="E132">
        <v>156</v>
      </c>
      <c r="F132">
        <v>88.3</v>
      </c>
      <c r="G132" s="4"/>
      <c r="J132" s="4"/>
    </row>
    <row r="133" spans="1:12" x14ac:dyDescent="0.35">
      <c r="A133">
        <v>2015</v>
      </c>
      <c r="B133">
        <v>216</v>
      </c>
      <c r="C133" t="s">
        <v>158</v>
      </c>
      <c r="D133" s="4">
        <v>107</v>
      </c>
      <c r="E133">
        <v>374</v>
      </c>
      <c r="F133">
        <v>271.5</v>
      </c>
      <c r="G133" s="4"/>
      <c r="J133" s="4"/>
    </row>
    <row r="134" spans="1:12" x14ac:dyDescent="0.35">
      <c r="A134">
        <v>2015</v>
      </c>
      <c r="B134">
        <v>218</v>
      </c>
      <c r="C134" t="s">
        <v>159</v>
      </c>
      <c r="D134" s="4">
        <v>67</v>
      </c>
      <c r="E134">
        <v>606</v>
      </c>
      <c r="F134">
        <v>473</v>
      </c>
      <c r="G134" s="4"/>
      <c r="J134" s="4"/>
    </row>
    <row r="135" spans="1:12" x14ac:dyDescent="0.35">
      <c r="A135">
        <v>2015</v>
      </c>
      <c r="B135">
        <v>219</v>
      </c>
      <c r="C135" t="s">
        <v>160</v>
      </c>
      <c r="D135" s="4">
        <v>236</v>
      </c>
      <c r="E135">
        <v>1301</v>
      </c>
      <c r="F135">
        <v>1041.8</v>
      </c>
      <c r="G135" s="4"/>
      <c r="J135" s="4">
        <v>4</v>
      </c>
      <c r="K135">
        <v>13</v>
      </c>
      <c r="L135">
        <v>6.6</v>
      </c>
    </row>
    <row r="136" spans="1:12" x14ac:dyDescent="0.35">
      <c r="A136">
        <v>2015</v>
      </c>
      <c r="B136">
        <v>220</v>
      </c>
      <c r="C136" t="s">
        <v>161</v>
      </c>
      <c r="D136" s="4">
        <v>79</v>
      </c>
      <c r="E136">
        <v>234</v>
      </c>
      <c r="F136">
        <v>165.2</v>
      </c>
      <c r="G136" s="4"/>
      <c r="J136" s="4"/>
    </row>
    <row r="137" spans="1:12" x14ac:dyDescent="0.35">
      <c r="A137">
        <v>2015</v>
      </c>
      <c r="B137">
        <v>221</v>
      </c>
      <c r="C137" t="s">
        <v>162</v>
      </c>
      <c r="D137" s="4">
        <v>158</v>
      </c>
      <c r="E137">
        <v>621</v>
      </c>
      <c r="F137">
        <v>471.1</v>
      </c>
      <c r="G137" s="4"/>
      <c r="J137" s="4"/>
    </row>
    <row r="138" spans="1:12" x14ac:dyDescent="0.35">
      <c r="A138">
        <v>2015</v>
      </c>
      <c r="B138">
        <v>223</v>
      </c>
      <c r="C138" t="s">
        <v>163</v>
      </c>
      <c r="D138" s="4">
        <v>378</v>
      </c>
      <c r="E138">
        <v>1654</v>
      </c>
      <c r="F138">
        <v>1241.5</v>
      </c>
      <c r="G138" s="4"/>
      <c r="J138" s="4"/>
      <c r="K138">
        <v>16</v>
      </c>
      <c r="L138">
        <v>13</v>
      </c>
    </row>
    <row r="139" spans="1:12" x14ac:dyDescent="0.35">
      <c r="A139">
        <v>2015</v>
      </c>
      <c r="B139">
        <v>224</v>
      </c>
      <c r="C139" t="s">
        <v>164</v>
      </c>
      <c r="D139" s="4">
        <v>217</v>
      </c>
      <c r="E139">
        <v>1348</v>
      </c>
      <c r="F139">
        <v>1104.5</v>
      </c>
      <c r="G139" s="4"/>
      <c r="J139" s="4"/>
    </row>
    <row r="140" spans="1:12" x14ac:dyDescent="0.35">
      <c r="A140">
        <v>2015</v>
      </c>
      <c r="B140">
        <v>225</v>
      </c>
      <c r="C140" t="s">
        <v>165</v>
      </c>
      <c r="D140" s="4">
        <v>160</v>
      </c>
      <c r="E140">
        <v>482</v>
      </c>
      <c r="F140">
        <v>333.3</v>
      </c>
      <c r="G140" s="4"/>
      <c r="J140" s="4"/>
    </row>
    <row r="141" spans="1:12" x14ac:dyDescent="0.35">
      <c r="A141">
        <v>2015</v>
      </c>
      <c r="B141">
        <v>226</v>
      </c>
      <c r="C141" t="s">
        <v>166</v>
      </c>
      <c r="D141" s="4">
        <v>60</v>
      </c>
      <c r="E141">
        <v>133</v>
      </c>
      <c r="F141">
        <v>89.6</v>
      </c>
      <c r="G141" s="4"/>
      <c r="J141" s="4"/>
    </row>
    <row r="142" spans="1:12" x14ac:dyDescent="0.35">
      <c r="A142">
        <v>2015</v>
      </c>
      <c r="B142">
        <v>227</v>
      </c>
      <c r="C142" t="s">
        <v>167</v>
      </c>
      <c r="D142" s="4">
        <v>430</v>
      </c>
      <c r="E142">
        <v>2759</v>
      </c>
      <c r="F142">
        <v>2171.4</v>
      </c>
      <c r="G142" s="4"/>
      <c r="J142" s="4"/>
      <c r="K142">
        <v>13</v>
      </c>
      <c r="L142">
        <v>8.1999999999999993</v>
      </c>
    </row>
    <row r="143" spans="1:12" x14ac:dyDescent="0.35">
      <c r="A143">
        <v>2015</v>
      </c>
      <c r="B143">
        <v>228</v>
      </c>
      <c r="C143" t="s">
        <v>168</v>
      </c>
      <c r="D143" s="4">
        <v>344</v>
      </c>
      <c r="E143">
        <v>1510</v>
      </c>
      <c r="F143">
        <v>1061.7</v>
      </c>
      <c r="G143" s="4"/>
      <c r="J143" s="4"/>
    </row>
    <row r="144" spans="1:12" x14ac:dyDescent="0.35">
      <c r="A144">
        <v>2015</v>
      </c>
      <c r="B144">
        <v>230</v>
      </c>
      <c r="C144" t="s">
        <v>169</v>
      </c>
      <c r="D144" s="4">
        <v>7749</v>
      </c>
      <c r="E144">
        <v>70139</v>
      </c>
      <c r="F144">
        <v>53330.1</v>
      </c>
      <c r="G144" s="4">
        <v>21</v>
      </c>
      <c r="H144">
        <v>83</v>
      </c>
      <c r="I144">
        <v>49</v>
      </c>
      <c r="J144" s="4">
        <v>26</v>
      </c>
      <c r="K144">
        <v>86</v>
      </c>
      <c r="L144">
        <v>56.5</v>
      </c>
    </row>
    <row r="145" spans="1:12" x14ac:dyDescent="0.35">
      <c r="A145">
        <v>2015</v>
      </c>
      <c r="B145">
        <v>231</v>
      </c>
      <c r="C145" t="s">
        <v>170</v>
      </c>
      <c r="D145" s="4">
        <v>356</v>
      </c>
      <c r="E145">
        <v>1470</v>
      </c>
      <c r="F145">
        <v>1061.9000000000001</v>
      </c>
      <c r="G145" s="4"/>
      <c r="J145" s="4"/>
      <c r="K145">
        <v>4</v>
      </c>
    </row>
    <row r="146" spans="1:12" x14ac:dyDescent="0.35">
      <c r="A146">
        <v>2015</v>
      </c>
      <c r="B146">
        <v>241</v>
      </c>
      <c r="C146" t="s">
        <v>171</v>
      </c>
      <c r="D146" s="4">
        <v>82</v>
      </c>
      <c r="E146">
        <v>360</v>
      </c>
      <c r="F146">
        <v>276.60000000000002</v>
      </c>
      <c r="G146" s="4"/>
      <c r="J146" s="4"/>
    </row>
    <row r="147" spans="1:12" x14ac:dyDescent="0.35">
      <c r="A147">
        <v>2015</v>
      </c>
      <c r="B147">
        <v>242</v>
      </c>
      <c r="C147" t="s">
        <v>172</v>
      </c>
      <c r="D147" s="4">
        <v>394</v>
      </c>
      <c r="E147">
        <v>2242</v>
      </c>
      <c r="F147">
        <v>1767.9</v>
      </c>
      <c r="G147" s="4"/>
      <c r="J147" s="4"/>
    </row>
    <row r="148" spans="1:12" x14ac:dyDescent="0.35">
      <c r="A148">
        <v>2015</v>
      </c>
      <c r="B148">
        <v>243</v>
      </c>
      <c r="C148" t="s">
        <v>173</v>
      </c>
      <c r="D148" s="4">
        <v>1713</v>
      </c>
      <c r="E148">
        <v>17603</v>
      </c>
      <c r="F148">
        <v>13964</v>
      </c>
      <c r="G148" s="4">
        <v>7</v>
      </c>
      <c r="H148">
        <v>21</v>
      </c>
      <c r="I148">
        <v>14.9</v>
      </c>
      <c r="J148" s="4">
        <v>9</v>
      </c>
      <c r="K148">
        <v>185</v>
      </c>
      <c r="L148">
        <v>167.4</v>
      </c>
    </row>
    <row r="149" spans="1:12" x14ac:dyDescent="0.35">
      <c r="A149">
        <v>2015</v>
      </c>
      <c r="B149">
        <v>244</v>
      </c>
      <c r="C149" t="s">
        <v>174</v>
      </c>
      <c r="D149" s="4">
        <v>311</v>
      </c>
      <c r="E149">
        <v>1936</v>
      </c>
      <c r="F149">
        <v>1529.1</v>
      </c>
      <c r="G149" s="4">
        <v>3</v>
      </c>
      <c r="J149" s="4"/>
    </row>
    <row r="150" spans="1:12" x14ac:dyDescent="0.35">
      <c r="A150">
        <v>2015</v>
      </c>
      <c r="B150">
        <v>245</v>
      </c>
      <c r="C150" t="s">
        <v>175</v>
      </c>
      <c r="D150" s="4">
        <v>337</v>
      </c>
      <c r="E150">
        <v>1135</v>
      </c>
      <c r="F150">
        <v>801</v>
      </c>
      <c r="G150" s="4">
        <v>3</v>
      </c>
      <c r="J150" s="4"/>
    </row>
    <row r="151" spans="1:12" x14ac:dyDescent="0.35">
      <c r="A151">
        <v>2015</v>
      </c>
      <c r="B151">
        <v>246</v>
      </c>
      <c r="C151" t="s">
        <v>176</v>
      </c>
      <c r="D151" s="4">
        <v>125</v>
      </c>
      <c r="E151">
        <v>283</v>
      </c>
      <c r="F151">
        <v>198.3</v>
      </c>
      <c r="G151" s="4"/>
      <c r="J151" s="4"/>
      <c r="K151">
        <v>5</v>
      </c>
      <c r="L151">
        <v>4.5</v>
      </c>
    </row>
    <row r="152" spans="1:12" x14ac:dyDescent="0.35">
      <c r="A152">
        <v>2015</v>
      </c>
      <c r="B152">
        <v>247</v>
      </c>
      <c r="C152" t="s">
        <v>177</v>
      </c>
      <c r="D152" s="4">
        <v>1373</v>
      </c>
      <c r="E152">
        <v>17390</v>
      </c>
      <c r="F152">
        <v>14008.9</v>
      </c>
      <c r="G152" s="4">
        <v>9</v>
      </c>
      <c r="H152">
        <v>183</v>
      </c>
      <c r="I152">
        <v>84.9</v>
      </c>
      <c r="J152" s="4">
        <v>9</v>
      </c>
      <c r="K152">
        <v>100</v>
      </c>
      <c r="L152">
        <v>92.4</v>
      </c>
    </row>
    <row r="153" spans="1:12" x14ac:dyDescent="0.35">
      <c r="A153">
        <v>2015</v>
      </c>
      <c r="B153">
        <v>248</v>
      </c>
      <c r="C153" t="s">
        <v>178</v>
      </c>
      <c r="D153" s="4">
        <v>268</v>
      </c>
      <c r="E153">
        <v>977</v>
      </c>
      <c r="F153">
        <v>700.2</v>
      </c>
      <c r="G153" s="4"/>
      <c r="J153" s="4"/>
    </row>
    <row r="154" spans="1:12" x14ac:dyDescent="0.35">
      <c r="A154">
        <v>2015</v>
      </c>
      <c r="B154">
        <v>249</v>
      </c>
      <c r="C154" t="s">
        <v>179</v>
      </c>
      <c r="D154" s="4">
        <v>247</v>
      </c>
      <c r="E154">
        <v>953</v>
      </c>
      <c r="F154">
        <v>721.9</v>
      </c>
      <c r="G154" s="4"/>
      <c r="J154" s="4"/>
    </row>
    <row r="155" spans="1:12" x14ac:dyDescent="0.35">
      <c r="A155">
        <v>2015</v>
      </c>
      <c r="B155">
        <v>250</v>
      </c>
      <c r="C155" t="s">
        <v>180</v>
      </c>
      <c r="D155" s="4">
        <v>641</v>
      </c>
      <c r="E155">
        <v>6300</v>
      </c>
      <c r="F155">
        <v>5209.6000000000004</v>
      </c>
      <c r="G155" s="4">
        <v>6</v>
      </c>
      <c r="H155">
        <v>44</v>
      </c>
      <c r="I155">
        <v>36.9</v>
      </c>
      <c r="J155" s="4">
        <v>4</v>
      </c>
      <c r="K155">
        <v>6</v>
      </c>
      <c r="L155">
        <v>4.5</v>
      </c>
    </row>
    <row r="156" spans="1:12" x14ac:dyDescent="0.35">
      <c r="A156">
        <v>2015</v>
      </c>
      <c r="B156">
        <v>251</v>
      </c>
      <c r="C156" t="s">
        <v>181</v>
      </c>
      <c r="D156" s="4">
        <v>284</v>
      </c>
      <c r="E156">
        <v>1487</v>
      </c>
      <c r="F156">
        <v>1168.4000000000001</v>
      </c>
      <c r="G156" s="4">
        <v>3</v>
      </c>
      <c r="H156">
        <v>5</v>
      </c>
      <c r="J156" s="4">
        <v>5</v>
      </c>
      <c r="K156">
        <v>17</v>
      </c>
      <c r="L156">
        <v>14.7</v>
      </c>
    </row>
    <row r="157" spans="1:12" x14ac:dyDescent="0.35">
      <c r="A157">
        <v>2015</v>
      </c>
      <c r="B157">
        <v>261</v>
      </c>
      <c r="C157" t="s">
        <v>182</v>
      </c>
      <c r="D157" s="4">
        <v>43949</v>
      </c>
      <c r="E157">
        <v>468852</v>
      </c>
      <c r="F157">
        <v>358896.6</v>
      </c>
      <c r="G157" s="4">
        <v>223</v>
      </c>
      <c r="H157">
        <v>1398</v>
      </c>
      <c r="I157">
        <v>1032.5999999999999</v>
      </c>
      <c r="J157" s="4">
        <v>247</v>
      </c>
      <c r="K157">
        <v>907</v>
      </c>
      <c r="L157">
        <v>712.7</v>
      </c>
    </row>
    <row r="158" spans="1:12" x14ac:dyDescent="0.35">
      <c r="A158">
        <v>2015</v>
      </c>
      <c r="B158">
        <v>291</v>
      </c>
      <c r="C158" t="s">
        <v>183</v>
      </c>
      <c r="D158" s="4">
        <v>296</v>
      </c>
      <c r="E158">
        <v>1701</v>
      </c>
      <c r="F158">
        <v>1285.5999999999999</v>
      </c>
      <c r="G158" s="4"/>
      <c r="J158" s="4"/>
      <c r="K158">
        <v>5</v>
      </c>
      <c r="L158">
        <v>4.3</v>
      </c>
    </row>
    <row r="159" spans="1:12" x14ac:dyDescent="0.35">
      <c r="A159">
        <v>2015</v>
      </c>
      <c r="B159">
        <v>292</v>
      </c>
      <c r="C159" t="s">
        <v>184</v>
      </c>
      <c r="D159" s="4">
        <v>283</v>
      </c>
      <c r="E159">
        <v>1232</v>
      </c>
      <c r="F159">
        <v>867.5</v>
      </c>
      <c r="G159" s="4"/>
      <c r="H159">
        <v>14</v>
      </c>
      <c r="I159">
        <v>12.1</v>
      </c>
      <c r="J159" s="4"/>
      <c r="K159">
        <v>13</v>
      </c>
      <c r="L159">
        <v>7.9</v>
      </c>
    </row>
    <row r="160" spans="1:12" x14ac:dyDescent="0.35">
      <c r="A160">
        <v>2015</v>
      </c>
      <c r="B160">
        <v>293</v>
      </c>
      <c r="C160" t="s">
        <v>185</v>
      </c>
      <c r="D160" s="4">
        <v>1822</v>
      </c>
      <c r="E160">
        <v>9655</v>
      </c>
      <c r="F160">
        <v>7274.3</v>
      </c>
      <c r="G160" s="4">
        <v>10</v>
      </c>
      <c r="H160">
        <v>22</v>
      </c>
      <c r="I160">
        <v>19.5</v>
      </c>
      <c r="J160" s="4">
        <v>17</v>
      </c>
      <c r="K160">
        <v>83</v>
      </c>
      <c r="L160">
        <v>71.5</v>
      </c>
    </row>
    <row r="161" spans="1:12" x14ac:dyDescent="0.35">
      <c r="A161">
        <v>2015</v>
      </c>
      <c r="B161">
        <v>294</v>
      </c>
      <c r="C161" t="s">
        <v>186</v>
      </c>
      <c r="D161" s="4">
        <v>321</v>
      </c>
      <c r="E161">
        <v>1642</v>
      </c>
      <c r="F161">
        <v>1205.3</v>
      </c>
      <c r="G161" s="4"/>
      <c r="J161" s="4">
        <v>4</v>
      </c>
      <c r="K161">
        <v>76</v>
      </c>
      <c r="L161">
        <v>70.099999999999994</v>
      </c>
    </row>
    <row r="162" spans="1:12" x14ac:dyDescent="0.35">
      <c r="A162">
        <v>2015</v>
      </c>
      <c r="B162">
        <v>295</v>
      </c>
      <c r="C162" t="s">
        <v>187</v>
      </c>
      <c r="D162" s="4">
        <v>1441</v>
      </c>
      <c r="E162">
        <v>10145</v>
      </c>
      <c r="F162">
        <v>7940.3</v>
      </c>
      <c r="G162" s="4">
        <v>7</v>
      </c>
      <c r="H162">
        <v>45</v>
      </c>
      <c r="I162">
        <v>22.7</v>
      </c>
      <c r="J162" s="4">
        <v>16</v>
      </c>
      <c r="K162">
        <v>50</v>
      </c>
      <c r="L162">
        <v>35.5</v>
      </c>
    </row>
    <row r="163" spans="1:12" x14ac:dyDescent="0.35">
      <c r="A163">
        <v>2015</v>
      </c>
      <c r="B163">
        <v>296</v>
      </c>
      <c r="C163" t="s">
        <v>188</v>
      </c>
      <c r="D163" s="4">
        <v>1060</v>
      </c>
      <c r="E163">
        <v>7227</v>
      </c>
      <c r="F163">
        <v>5307</v>
      </c>
      <c r="G163" s="4">
        <v>3</v>
      </c>
      <c r="H163">
        <v>9</v>
      </c>
      <c r="I163">
        <v>7.2</v>
      </c>
      <c r="J163" s="4">
        <v>4</v>
      </c>
      <c r="K163">
        <v>6</v>
      </c>
      <c r="L163">
        <v>4.2</v>
      </c>
    </row>
    <row r="164" spans="1:12" x14ac:dyDescent="0.35">
      <c r="A164">
        <v>2015</v>
      </c>
      <c r="B164">
        <v>297</v>
      </c>
      <c r="C164" t="s">
        <v>189</v>
      </c>
      <c r="D164" s="4">
        <v>386</v>
      </c>
      <c r="E164">
        <v>1826</v>
      </c>
      <c r="F164">
        <v>1299.9000000000001</v>
      </c>
      <c r="G164" s="4"/>
      <c r="J164" s="4"/>
    </row>
    <row r="165" spans="1:12" x14ac:dyDescent="0.35">
      <c r="A165">
        <v>2015</v>
      </c>
      <c r="B165">
        <v>298</v>
      </c>
      <c r="C165" t="s">
        <v>190</v>
      </c>
      <c r="D165" s="4">
        <v>368</v>
      </c>
      <c r="E165">
        <v>1357</v>
      </c>
      <c r="F165">
        <v>935.7</v>
      </c>
      <c r="G165" s="4"/>
      <c r="J165" s="4"/>
    </row>
  </sheetData>
  <mergeCells count="5">
    <mergeCell ref="A1:R1"/>
    <mergeCell ref="A2:R2"/>
    <mergeCell ref="D4:F4"/>
    <mergeCell ref="G4:I4"/>
    <mergeCell ref="J4:L4"/>
  </mergeCells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165"/>
  <sheetViews>
    <sheetView workbookViewId="0"/>
  </sheetViews>
  <sheetFormatPr baseColWidth="10" defaultRowHeight="14.5" x14ac:dyDescent="0.35"/>
  <cols>
    <col min="1" max="1" width="6.7265625" customWidth="1"/>
    <col min="2" max="2" width="14.7265625" customWidth="1"/>
    <col min="3" max="3" width="20.7265625" customWidth="1"/>
    <col min="4" max="4" width="17.7265625" customWidth="1"/>
    <col min="5" max="5" width="15.7265625" customWidth="1"/>
    <col min="6" max="6" width="22.7265625" customWidth="1"/>
    <col min="7" max="7" width="17.7265625" customWidth="1"/>
    <col min="8" max="8" width="15.7265625" customWidth="1"/>
    <col min="9" max="9" width="22.7265625" customWidth="1"/>
    <col min="10" max="10" width="17.7265625" customWidth="1"/>
    <col min="11" max="11" width="15.7265625" customWidth="1"/>
    <col min="12" max="12" width="22.7265625" customWidth="1"/>
  </cols>
  <sheetData>
    <row r="1" spans="1:18" ht="18" x14ac:dyDescent="0.4">
      <c r="A1" s="10" t="s">
        <v>200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x14ac:dyDescent="0.35">
      <c r="A2" s="8" t="s">
        <v>10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4" spans="1:18" x14ac:dyDescent="0.35">
      <c r="D4" s="11" t="s">
        <v>22</v>
      </c>
      <c r="E4" s="12"/>
      <c r="F4" s="12"/>
      <c r="G4" s="11" t="s">
        <v>23</v>
      </c>
      <c r="H4" s="12"/>
      <c r="I4" s="12"/>
      <c r="J4" s="11" t="s">
        <v>24</v>
      </c>
      <c r="K4" s="12"/>
      <c r="L4" s="12"/>
    </row>
    <row r="5" spans="1:18" ht="15.5" x14ac:dyDescent="0.35">
      <c r="A5" s="3" t="s">
        <v>25</v>
      </c>
      <c r="B5" s="3" t="s">
        <v>26</v>
      </c>
      <c r="C5" s="3" t="s">
        <v>27</v>
      </c>
      <c r="D5" s="5" t="s">
        <v>28</v>
      </c>
      <c r="E5" s="3" t="s">
        <v>29</v>
      </c>
      <c r="F5" s="3" t="s">
        <v>30</v>
      </c>
      <c r="G5" s="5" t="s">
        <v>28</v>
      </c>
      <c r="H5" s="3" t="s">
        <v>29</v>
      </c>
      <c r="I5" s="3" t="s">
        <v>30</v>
      </c>
      <c r="J5" s="5" t="s">
        <v>28</v>
      </c>
      <c r="K5" s="3" t="s">
        <v>29</v>
      </c>
      <c r="L5" s="3" t="s">
        <v>30</v>
      </c>
    </row>
    <row r="6" spans="1:18" x14ac:dyDescent="0.35">
      <c r="A6">
        <v>2014</v>
      </c>
      <c r="B6">
        <v>1</v>
      </c>
      <c r="C6" t="s">
        <v>31</v>
      </c>
      <c r="D6" s="4">
        <v>136</v>
      </c>
      <c r="E6">
        <v>419</v>
      </c>
      <c r="F6">
        <v>284.5</v>
      </c>
      <c r="G6" s="4"/>
      <c r="J6" s="4"/>
    </row>
    <row r="7" spans="1:18" x14ac:dyDescent="0.35">
      <c r="A7">
        <v>2014</v>
      </c>
      <c r="B7">
        <v>2</v>
      </c>
      <c r="C7" t="s">
        <v>32</v>
      </c>
      <c r="D7" s="4">
        <v>953</v>
      </c>
      <c r="E7">
        <v>6329</v>
      </c>
      <c r="F7">
        <v>4705.8999999999996</v>
      </c>
      <c r="G7" s="4">
        <v>3</v>
      </c>
      <c r="H7">
        <v>6</v>
      </c>
      <c r="J7" s="4">
        <v>6</v>
      </c>
      <c r="K7">
        <v>7</v>
      </c>
      <c r="L7">
        <v>5.3</v>
      </c>
    </row>
    <row r="8" spans="1:18" x14ac:dyDescent="0.35">
      <c r="A8">
        <v>2014</v>
      </c>
      <c r="B8">
        <v>3</v>
      </c>
      <c r="C8" t="s">
        <v>33</v>
      </c>
      <c r="D8" s="4">
        <v>277</v>
      </c>
      <c r="E8">
        <v>975</v>
      </c>
      <c r="F8">
        <v>655.20000000000005</v>
      </c>
      <c r="G8" s="4"/>
      <c r="J8" s="4"/>
    </row>
    <row r="9" spans="1:18" x14ac:dyDescent="0.35">
      <c r="A9">
        <v>2014</v>
      </c>
      <c r="B9">
        <v>4</v>
      </c>
      <c r="C9" t="s">
        <v>34</v>
      </c>
      <c r="D9" s="4">
        <v>258</v>
      </c>
      <c r="E9">
        <v>984</v>
      </c>
      <c r="F9">
        <v>661.6</v>
      </c>
      <c r="G9" s="4"/>
      <c r="J9" s="4"/>
    </row>
    <row r="10" spans="1:18" x14ac:dyDescent="0.35">
      <c r="A10">
        <v>2014</v>
      </c>
      <c r="B10">
        <v>5</v>
      </c>
      <c r="C10" t="s">
        <v>35</v>
      </c>
      <c r="D10" s="4">
        <v>198</v>
      </c>
      <c r="E10">
        <v>1511</v>
      </c>
      <c r="F10">
        <v>1224.7</v>
      </c>
      <c r="G10" s="4"/>
      <c r="J10" s="4"/>
    </row>
    <row r="11" spans="1:18" x14ac:dyDescent="0.35">
      <c r="A11">
        <v>2014</v>
      </c>
      <c r="B11">
        <v>6</v>
      </c>
      <c r="C11" t="s">
        <v>36</v>
      </c>
      <c r="D11" s="4">
        <v>98</v>
      </c>
      <c r="E11">
        <v>354</v>
      </c>
      <c r="F11">
        <v>240.9</v>
      </c>
      <c r="G11" s="4"/>
      <c r="J11" s="4"/>
      <c r="K11">
        <v>8</v>
      </c>
      <c r="L11">
        <v>7.3</v>
      </c>
    </row>
    <row r="12" spans="1:18" x14ac:dyDescent="0.35">
      <c r="A12">
        <v>2014</v>
      </c>
      <c r="B12">
        <v>7</v>
      </c>
      <c r="C12" t="s">
        <v>37</v>
      </c>
      <c r="D12" s="4">
        <v>121</v>
      </c>
      <c r="E12">
        <v>475</v>
      </c>
      <c r="F12">
        <v>354.7</v>
      </c>
      <c r="G12" s="4"/>
      <c r="J12" s="4"/>
      <c r="K12">
        <v>16</v>
      </c>
      <c r="L12">
        <v>14.9</v>
      </c>
    </row>
    <row r="13" spans="1:18" x14ac:dyDescent="0.35">
      <c r="A13">
        <v>2014</v>
      </c>
      <c r="B13">
        <v>8</v>
      </c>
      <c r="C13" t="s">
        <v>38</v>
      </c>
      <c r="D13" s="4">
        <v>61</v>
      </c>
      <c r="E13">
        <v>150</v>
      </c>
      <c r="F13">
        <v>94.3</v>
      </c>
      <c r="G13" s="4"/>
      <c r="J13" s="4"/>
    </row>
    <row r="14" spans="1:18" x14ac:dyDescent="0.35">
      <c r="A14">
        <v>2014</v>
      </c>
      <c r="B14">
        <v>9</v>
      </c>
      <c r="C14" t="s">
        <v>39</v>
      </c>
      <c r="D14" s="4">
        <v>314</v>
      </c>
      <c r="E14">
        <v>1584</v>
      </c>
      <c r="F14">
        <v>1180.8</v>
      </c>
      <c r="G14" s="4"/>
      <c r="J14" s="4"/>
    </row>
    <row r="15" spans="1:18" x14ac:dyDescent="0.35">
      <c r="A15">
        <v>2014</v>
      </c>
      <c r="B15">
        <v>10</v>
      </c>
      <c r="C15" t="s">
        <v>40</v>
      </c>
      <c r="D15" s="4">
        <v>316</v>
      </c>
      <c r="E15">
        <v>1292</v>
      </c>
      <c r="F15">
        <v>928.6</v>
      </c>
      <c r="G15" s="4">
        <v>3</v>
      </c>
      <c r="H15">
        <v>6</v>
      </c>
      <c r="I15">
        <v>4.0999999999999996</v>
      </c>
      <c r="J15" s="4">
        <v>4</v>
      </c>
      <c r="K15">
        <v>5</v>
      </c>
      <c r="L15">
        <v>4.3</v>
      </c>
    </row>
    <row r="16" spans="1:18" x14ac:dyDescent="0.35">
      <c r="A16">
        <v>2014</v>
      </c>
      <c r="B16">
        <v>11</v>
      </c>
      <c r="C16" t="s">
        <v>41</v>
      </c>
      <c r="D16" s="4">
        <v>166</v>
      </c>
      <c r="E16">
        <v>705</v>
      </c>
      <c r="F16">
        <v>503.7</v>
      </c>
      <c r="G16" s="4"/>
      <c r="J16" s="4"/>
    </row>
    <row r="17" spans="1:12" x14ac:dyDescent="0.35">
      <c r="A17">
        <v>2014</v>
      </c>
      <c r="B17">
        <v>12</v>
      </c>
      <c r="C17" t="s">
        <v>42</v>
      </c>
      <c r="D17" s="4">
        <v>84</v>
      </c>
      <c r="E17">
        <v>245</v>
      </c>
      <c r="F17">
        <v>171</v>
      </c>
      <c r="G17" s="4"/>
      <c r="J17" s="4"/>
    </row>
    <row r="18" spans="1:12" x14ac:dyDescent="0.35">
      <c r="A18">
        <v>2014</v>
      </c>
      <c r="B18">
        <v>13</v>
      </c>
      <c r="C18" t="s">
        <v>43</v>
      </c>
      <c r="D18" s="4">
        <v>191</v>
      </c>
      <c r="E18">
        <v>823</v>
      </c>
      <c r="F18">
        <v>612.1</v>
      </c>
      <c r="G18" s="4"/>
      <c r="J18" s="4">
        <v>4</v>
      </c>
      <c r="K18">
        <v>40</v>
      </c>
      <c r="L18">
        <v>38.200000000000003</v>
      </c>
    </row>
    <row r="19" spans="1:12" x14ac:dyDescent="0.35">
      <c r="A19">
        <v>2014</v>
      </c>
      <c r="B19">
        <v>14</v>
      </c>
      <c r="C19" t="s">
        <v>44</v>
      </c>
      <c r="D19" s="4">
        <v>285</v>
      </c>
      <c r="E19">
        <v>1038</v>
      </c>
      <c r="F19">
        <v>768.9</v>
      </c>
      <c r="G19" s="4"/>
      <c r="J19" s="4">
        <v>3</v>
      </c>
      <c r="K19">
        <v>19</v>
      </c>
      <c r="L19">
        <v>6.2</v>
      </c>
    </row>
    <row r="20" spans="1:12" x14ac:dyDescent="0.35">
      <c r="A20">
        <v>2014</v>
      </c>
      <c r="B20">
        <v>22</v>
      </c>
      <c r="C20" t="s">
        <v>45</v>
      </c>
      <c r="D20" s="4">
        <v>68</v>
      </c>
      <c r="E20">
        <v>254</v>
      </c>
      <c r="F20">
        <v>185.6</v>
      </c>
      <c r="G20" s="4"/>
      <c r="J20" s="4"/>
    </row>
    <row r="21" spans="1:12" x14ac:dyDescent="0.35">
      <c r="A21">
        <v>2014</v>
      </c>
      <c r="B21">
        <v>23</v>
      </c>
      <c r="C21" t="s">
        <v>46</v>
      </c>
      <c r="D21" s="4">
        <v>56</v>
      </c>
      <c r="E21">
        <v>150</v>
      </c>
      <c r="F21">
        <v>96.4</v>
      </c>
      <c r="G21" s="4"/>
      <c r="J21" s="4"/>
    </row>
    <row r="22" spans="1:12" x14ac:dyDescent="0.35">
      <c r="A22">
        <v>2014</v>
      </c>
      <c r="B22">
        <v>24</v>
      </c>
      <c r="C22" t="s">
        <v>47</v>
      </c>
      <c r="D22" s="4">
        <v>66</v>
      </c>
      <c r="E22">
        <v>173</v>
      </c>
      <c r="F22">
        <v>122.4</v>
      </c>
      <c r="G22" s="4"/>
      <c r="J22" s="4"/>
    </row>
    <row r="23" spans="1:12" x14ac:dyDescent="0.35">
      <c r="A23">
        <v>2014</v>
      </c>
      <c r="B23">
        <v>25</v>
      </c>
      <c r="C23" t="s">
        <v>48</v>
      </c>
      <c r="D23" s="4">
        <v>108</v>
      </c>
      <c r="E23">
        <v>408</v>
      </c>
      <c r="F23">
        <v>297.39999999999998</v>
      </c>
      <c r="G23" s="4"/>
      <c r="J23" s="4"/>
    </row>
    <row r="24" spans="1:12" x14ac:dyDescent="0.35">
      <c r="A24">
        <v>2014</v>
      </c>
      <c r="B24">
        <v>26</v>
      </c>
      <c r="C24" t="s">
        <v>49</v>
      </c>
      <c r="D24" s="4">
        <v>48</v>
      </c>
      <c r="E24">
        <v>177</v>
      </c>
      <c r="F24">
        <v>109.6</v>
      </c>
      <c r="G24" s="4"/>
      <c r="J24" s="4"/>
    </row>
    <row r="25" spans="1:12" x14ac:dyDescent="0.35">
      <c r="A25">
        <v>2014</v>
      </c>
      <c r="B25">
        <v>27</v>
      </c>
      <c r="C25" t="s">
        <v>50</v>
      </c>
      <c r="D25" s="4">
        <v>186</v>
      </c>
      <c r="E25">
        <v>1059</v>
      </c>
      <c r="F25">
        <v>793.4</v>
      </c>
      <c r="G25" s="4"/>
      <c r="J25" s="4">
        <v>4</v>
      </c>
      <c r="K25">
        <v>4</v>
      </c>
    </row>
    <row r="26" spans="1:12" x14ac:dyDescent="0.35">
      <c r="A26">
        <v>2014</v>
      </c>
      <c r="B26">
        <v>28</v>
      </c>
      <c r="C26" t="s">
        <v>51</v>
      </c>
      <c r="D26" s="4">
        <v>141</v>
      </c>
      <c r="E26">
        <v>693</v>
      </c>
      <c r="F26">
        <v>485.1</v>
      </c>
      <c r="G26" s="4"/>
      <c r="J26" s="4"/>
    </row>
    <row r="27" spans="1:12" x14ac:dyDescent="0.35">
      <c r="A27">
        <v>2014</v>
      </c>
      <c r="B27">
        <v>29</v>
      </c>
      <c r="C27" t="s">
        <v>52</v>
      </c>
      <c r="D27" s="4">
        <v>118</v>
      </c>
      <c r="E27">
        <v>509</v>
      </c>
      <c r="F27">
        <v>372.7</v>
      </c>
      <c r="G27" s="4"/>
      <c r="J27" s="4"/>
    </row>
    <row r="28" spans="1:12" x14ac:dyDescent="0.35">
      <c r="A28">
        <v>2014</v>
      </c>
      <c r="B28">
        <v>31</v>
      </c>
      <c r="C28" t="s">
        <v>53</v>
      </c>
      <c r="D28" s="4">
        <v>113</v>
      </c>
      <c r="E28">
        <v>622</v>
      </c>
      <c r="F28">
        <v>485.9</v>
      </c>
      <c r="G28" s="4"/>
      <c r="J28" s="4"/>
    </row>
    <row r="29" spans="1:12" x14ac:dyDescent="0.35">
      <c r="A29">
        <v>2014</v>
      </c>
      <c r="B29">
        <v>33</v>
      </c>
      <c r="C29" t="s">
        <v>54</v>
      </c>
      <c r="D29" s="4">
        <v>184</v>
      </c>
      <c r="E29">
        <v>996</v>
      </c>
      <c r="F29">
        <v>792.8</v>
      </c>
      <c r="G29" s="4"/>
      <c r="J29" s="4"/>
      <c r="K29">
        <v>4</v>
      </c>
    </row>
    <row r="30" spans="1:12" x14ac:dyDescent="0.35">
      <c r="A30">
        <v>2014</v>
      </c>
      <c r="B30">
        <v>34</v>
      </c>
      <c r="C30" t="s">
        <v>55</v>
      </c>
      <c r="D30" s="4">
        <v>99</v>
      </c>
      <c r="E30">
        <v>427</v>
      </c>
      <c r="F30">
        <v>304</v>
      </c>
      <c r="G30" s="4"/>
      <c r="J30" s="4"/>
    </row>
    <row r="31" spans="1:12" x14ac:dyDescent="0.35">
      <c r="A31">
        <v>2014</v>
      </c>
      <c r="B31">
        <v>35</v>
      </c>
      <c r="C31" t="s">
        <v>56</v>
      </c>
      <c r="D31" s="4">
        <v>201</v>
      </c>
      <c r="E31">
        <v>1045</v>
      </c>
      <c r="F31">
        <v>740.3</v>
      </c>
      <c r="G31" s="4"/>
      <c r="H31">
        <v>7</v>
      </c>
      <c r="I31">
        <v>5.4</v>
      </c>
      <c r="J31" s="4"/>
    </row>
    <row r="32" spans="1:12" x14ac:dyDescent="0.35">
      <c r="A32">
        <v>2014</v>
      </c>
      <c r="B32">
        <v>37</v>
      </c>
      <c r="C32" t="s">
        <v>57</v>
      </c>
      <c r="D32" s="4">
        <v>112</v>
      </c>
      <c r="E32">
        <v>481</v>
      </c>
      <c r="F32">
        <v>337.8</v>
      </c>
      <c r="G32" s="4"/>
      <c r="J32" s="4"/>
    </row>
    <row r="33" spans="1:12" x14ac:dyDescent="0.35">
      <c r="A33">
        <v>2014</v>
      </c>
      <c r="B33">
        <v>38</v>
      </c>
      <c r="C33" t="s">
        <v>58</v>
      </c>
      <c r="D33" s="4">
        <v>70</v>
      </c>
      <c r="E33">
        <v>491</v>
      </c>
      <c r="F33">
        <v>330.5</v>
      </c>
      <c r="G33" s="4"/>
      <c r="J33" s="4"/>
    </row>
    <row r="34" spans="1:12" x14ac:dyDescent="0.35">
      <c r="A34">
        <v>2014</v>
      </c>
      <c r="B34">
        <v>39</v>
      </c>
      <c r="C34" t="s">
        <v>59</v>
      </c>
      <c r="D34" s="4">
        <v>68</v>
      </c>
      <c r="E34">
        <v>263</v>
      </c>
      <c r="F34">
        <v>176.1</v>
      </c>
      <c r="G34" s="4"/>
      <c r="J34" s="4"/>
    </row>
    <row r="35" spans="1:12" x14ac:dyDescent="0.35">
      <c r="A35">
        <v>2014</v>
      </c>
      <c r="B35">
        <v>40</v>
      </c>
      <c r="C35" t="s">
        <v>60</v>
      </c>
      <c r="D35" s="4">
        <v>102</v>
      </c>
      <c r="E35">
        <v>316</v>
      </c>
      <c r="F35">
        <v>215.9</v>
      </c>
      <c r="G35" s="4"/>
      <c r="J35" s="4"/>
    </row>
    <row r="36" spans="1:12" x14ac:dyDescent="0.35">
      <c r="A36">
        <v>2014</v>
      </c>
      <c r="B36">
        <v>41</v>
      </c>
      <c r="C36" t="s">
        <v>61</v>
      </c>
      <c r="D36" s="4">
        <v>45</v>
      </c>
      <c r="E36">
        <v>102</v>
      </c>
      <c r="F36">
        <v>65.2</v>
      </c>
      <c r="G36" s="4"/>
      <c r="J36" s="4"/>
    </row>
    <row r="37" spans="1:12" x14ac:dyDescent="0.35">
      <c r="A37">
        <v>2014</v>
      </c>
      <c r="B37">
        <v>43</v>
      </c>
      <c r="C37" t="s">
        <v>62</v>
      </c>
      <c r="D37" s="4">
        <v>35</v>
      </c>
      <c r="E37">
        <v>121</v>
      </c>
      <c r="F37">
        <v>64.400000000000006</v>
      </c>
      <c r="G37" s="4"/>
      <c r="J37" s="4"/>
    </row>
    <row r="38" spans="1:12" x14ac:dyDescent="0.35">
      <c r="A38">
        <v>2014</v>
      </c>
      <c r="B38">
        <v>51</v>
      </c>
      <c r="C38" t="s">
        <v>63</v>
      </c>
      <c r="D38" s="4">
        <v>268</v>
      </c>
      <c r="E38">
        <v>1825</v>
      </c>
      <c r="F38">
        <v>1495.8</v>
      </c>
      <c r="G38" s="4"/>
      <c r="H38">
        <v>6</v>
      </c>
      <c r="I38">
        <v>5.3</v>
      </c>
      <c r="J38" s="4"/>
    </row>
    <row r="39" spans="1:12" x14ac:dyDescent="0.35">
      <c r="A39">
        <v>2014</v>
      </c>
      <c r="B39">
        <v>52</v>
      </c>
      <c r="C39" t="s">
        <v>64</v>
      </c>
      <c r="D39" s="4">
        <v>600</v>
      </c>
      <c r="E39">
        <v>4291</v>
      </c>
      <c r="F39">
        <v>3337.7</v>
      </c>
      <c r="G39" s="4">
        <v>3</v>
      </c>
      <c r="H39">
        <v>4</v>
      </c>
      <c r="J39" s="4"/>
    </row>
    <row r="40" spans="1:12" x14ac:dyDescent="0.35">
      <c r="A40">
        <v>2014</v>
      </c>
      <c r="B40">
        <v>53</v>
      </c>
      <c r="C40" t="s">
        <v>65</v>
      </c>
      <c r="D40" s="4">
        <v>1243</v>
      </c>
      <c r="E40">
        <v>10715</v>
      </c>
      <c r="F40">
        <v>8040.4</v>
      </c>
      <c r="G40" s="4"/>
      <c r="J40" s="4">
        <v>3</v>
      </c>
      <c r="K40">
        <v>4</v>
      </c>
    </row>
    <row r="41" spans="1:12" x14ac:dyDescent="0.35">
      <c r="A41">
        <v>2014</v>
      </c>
      <c r="B41">
        <v>54</v>
      </c>
      <c r="C41" t="s">
        <v>66</v>
      </c>
      <c r="D41" s="4">
        <v>533</v>
      </c>
      <c r="E41">
        <v>5777</v>
      </c>
      <c r="F41">
        <v>4713</v>
      </c>
      <c r="G41" s="4"/>
      <c r="H41">
        <v>14</v>
      </c>
      <c r="I41">
        <v>13.3</v>
      </c>
      <c r="J41" s="4"/>
    </row>
    <row r="42" spans="1:12" x14ac:dyDescent="0.35">
      <c r="A42">
        <v>2014</v>
      </c>
      <c r="B42">
        <v>55</v>
      </c>
      <c r="C42" t="s">
        <v>67</v>
      </c>
      <c r="D42" s="4">
        <v>306</v>
      </c>
      <c r="E42">
        <v>1425</v>
      </c>
      <c r="F42">
        <v>1022.1</v>
      </c>
      <c r="G42" s="4"/>
      <c r="J42" s="4"/>
    </row>
    <row r="43" spans="1:12" x14ac:dyDescent="0.35">
      <c r="A43">
        <v>2014</v>
      </c>
      <c r="B43">
        <v>56</v>
      </c>
      <c r="C43" t="s">
        <v>68</v>
      </c>
      <c r="D43" s="4">
        <v>483</v>
      </c>
      <c r="E43">
        <v>3531</v>
      </c>
      <c r="F43">
        <v>2849.3</v>
      </c>
      <c r="G43" s="4"/>
      <c r="J43" s="4">
        <v>3</v>
      </c>
    </row>
    <row r="44" spans="1:12" x14ac:dyDescent="0.35">
      <c r="A44">
        <v>2014</v>
      </c>
      <c r="B44">
        <v>57</v>
      </c>
      <c r="C44" t="s">
        <v>69</v>
      </c>
      <c r="D44" s="4">
        <v>160</v>
      </c>
      <c r="E44">
        <v>614</v>
      </c>
      <c r="F44">
        <v>439.2</v>
      </c>
      <c r="G44" s="4"/>
      <c r="J44" s="4"/>
    </row>
    <row r="45" spans="1:12" x14ac:dyDescent="0.35">
      <c r="A45">
        <v>2014</v>
      </c>
      <c r="B45">
        <v>58</v>
      </c>
      <c r="C45" t="s">
        <v>70</v>
      </c>
      <c r="D45" s="4">
        <v>235</v>
      </c>
      <c r="E45">
        <v>945</v>
      </c>
      <c r="F45">
        <v>702.6</v>
      </c>
      <c r="G45" s="4"/>
      <c r="J45" s="4"/>
      <c r="K45">
        <v>7</v>
      </c>
      <c r="L45">
        <v>5</v>
      </c>
    </row>
    <row r="46" spans="1:12" x14ac:dyDescent="0.35">
      <c r="A46">
        <v>2014</v>
      </c>
      <c r="B46">
        <v>59</v>
      </c>
      <c r="C46" t="s">
        <v>71</v>
      </c>
      <c r="D46" s="4">
        <v>94</v>
      </c>
      <c r="E46">
        <v>402</v>
      </c>
      <c r="F46">
        <v>326.39999999999998</v>
      </c>
      <c r="G46" s="4"/>
      <c r="J46" s="4"/>
    </row>
    <row r="47" spans="1:12" x14ac:dyDescent="0.35">
      <c r="A47">
        <v>2014</v>
      </c>
      <c r="B47">
        <v>60</v>
      </c>
      <c r="C47" t="s">
        <v>72</v>
      </c>
      <c r="D47" s="4">
        <v>176</v>
      </c>
      <c r="E47">
        <v>1147</v>
      </c>
      <c r="F47">
        <v>940.3</v>
      </c>
      <c r="G47" s="4"/>
      <c r="J47" s="4"/>
      <c r="K47">
        <v>4</v>
      </c>
    </row>
    <row r="48" spans="1:12" x14ac:dyDescent="0.35">
      <c r="A48">
        <v>2014</v>
      </c>
      <c r="B48">
        <v>61</v>
      </c>
      <c r="C48" t="s">
        <v>73</v>
      </c>
      <c r="D48" s="4">
        <v>85</v>
      </c>
      <c r="E48">
        <v>302</v>
      </c>
      <c r="F48">
        <v>210.5</v>
      </c>
      <c r="G48" s="4"/>
      <c r="J48" s="4"/>
    </row>
    <row r="49" spans="1:12" x14ac:dyDescent="0.35">
      <c r="A49">
        <v>2014</v>
      </c>
      <c r="B49">
        <v>62</v>
      </c>
      <c r="C49" t="s">
        <v>74</v>
      </c>
      <c r="D49" s="4">
        <v>1469</v>
      </c>
      <c r="E49">
        <v>36117</v>
      </c>
      <c r="F49">
        <v>29506.9</v>
      </c>
      <c r="G49" s="4">
        <v>5</v>
      </c>
      <c r="H49">
        <v>14</v>
      </c>
      <c r="I49">
        <v>11.3</v>
      </c>
      <c r="J49" s="4">
        <v>7</v>
      </c>
      <c r="K49">
        <v>12</v>
      </c>
      <c r="L49">
        <v>10</v>
      </c>
    </row>
    <row r="50" spans="1:12" x14ac:dyDescent="0.35">
      <c r="A50">
        <v>2014</v>
      </c>
      <c r="B50">
        <v>63</v>
      </c>
      <c r="C50" t="s">
        <v>75</v>
      </c>
      <c r="D50" s="4">
        <v>97</v>
      </c>
      <c r="E50">
        <v>336</v>
      </c>
      <c r="F50">
        <v>246.2</v>
      </c>
      <c r="G50" s="4"/>
      <c r="J50" s="4"/>
    </row>
    <row r="51" spans="1:12" x14ac:dyDescent="0.35">
      <c r="A51">
        <v>2014</v>
      </c>
      <c r="B51">
        <v>64</v>
      </c>
      <c r="C51" t="s">
        <v>76</v>
      </c>
      <c r="D51" s="4">
        <v>313</v>
      </c>
      <c r="E51">
        <v>1006</v>
      </c>
      <c r="F51">
        <v>741.2</v>
      </c>
      <c r="G51" s="4"/>
      <c r="J51" s="4"/>
    </row>
    <row r="52" spans="1:12" x14ac:dyDescent="0.35">
      <c r="A52">
        <v>2014</v>
      </c>
      <c r="B52">
        <v>65</v>
      </c>
      <c r="C52" t="s">
        <v>77</v>
      </c>
      <c r="D52" s="4">
        <v>88</v>
      </c>
      <c r="E52">
        <v>264</v>
      </c>
      <c r="F52">
        <v>169.5</v>
      </c>
      <c r="G52" s="4"/>
      <c r="J52" s="4"/>
    </row>
    <row r="53" spans="1:12" x14ac:dyDescent="0.35">
      <c r="A53">
        <v>2014</v>
      </c>
      <c r="B53">
        <v>66</v>
      </c>
      <c r="C53" t="s">
        <v>78</v>
      </c>
      <c r="D53" s="4">
        <v>1283</v>
      </c>
      <c r="E53">
        <v>18658</v>
      </c>
      <c r="F53">
        <v>15164.6</v>
      </c>
      <c r="G53" s="4">
        <v>6</v>
      </c>
      <c r="H53">
        <v>42</v>
      </c>
      <c r="I53">
        <v>35.1</v>
      </c>
      <c r="J53" s="4">
        <v>6</v>
      </c>
      <c r="K53">
        <v>74</v>
      </c>
      <c r="L53">
        <v>63.5</v>
      </c>
    </row>
    <row r="54" spans="1:12" x14ac:dyDescent="0.35">
      <c r="A54">
        <v>2014</v>
      </c>
      <c r="B54">
        <v>67</v>
      </c>
      <c r="C54" t="s">
        <v>79</v>
      </c>
      <c r="D54" s="4">
        <v>239</v>
      </c>
      <c r="E54">
        <v>1421</v>
      </c>
      <c r="F54">
        <v>1099.7</v>
      </c>
      <c r="G54" s="4"/>
      <c r="H54">
        <v>6</v>
      </c>
      <c r="I54">
        <v>4.4000000000000004</v>
      </c>
      <c r="J54" s="4"/>
    </row>
    <row r="55" spans="1:12" x14ac:dyDescent="0.35">
      <c r="A55">
        <v>2014</v>
      </c>
      <c r="B55">
        <v>68</v>
      </c>
      <c r="C55" t="s">
        <v>80</v>
      </c>
      <c r="D55" s="4">
        <v>164</v>
      </c>
      <c r="E55">
        <v>486</v>
      </c>
      <c r="F55">
        <v>343.2</v>
      </c>
      <c r="G55" s="4"/>
      <c r="H55">
        <v>6</v>
      </c>
      <c r="I55">
        <v>5.5</v>
      </c>
      <c r="J55" s="4"/>
    </row>
    <row r="56" spans="1:12" x14ac:dyDescent="0.35">
      <c r="A56">
        <v>2014</v>
      </c>
      <c r="B56">
        <v>69</v>
      </c>
      <c r="C56" t="s">
        <v>81</v>
      </c>
      <c r="D56" s="4">
        <v>1362</v>
      </c>
      <c r="E56">
        <v>19695</v>
      </c>
      <c r="F56">
        <v>16542.099999999999</v>
      </c>
      <c r="G56" s="4">
        <v>6</v>
      </c>
      <c r="H56">
        <v>43</v>
      </c>
      <c r="I56">
        <v>36.5</v>
      </c>
      <c r="J56" s="4">
        <v>8</v>
      </c>
      <c r="K56">
        <v>20</v>
      </c>
      <c r="L56">
        <v>17.7</v>
      </c>
    </row>
    <row r="57" spans="1:12" x14ac:dyDescent="0.35">
      <c r="A57">
        <v>2014</v>
      </c>
      <c r="B57">
        <v>70</v>
      </c>
      <c r="C57" t="s">
        <v>82</v>
      </c>
      <c r="D57" s="4">
        <v>36</v>
      </c>
      <c r="E57">
        <v>78</v>
      </c>
      <c r="F57">
        <v>52.3</v>
      </c>
      <c r="G57" s="4"/>
      <c r="J57" s="4"/>
    </row>
    <row r="58" spans="1:12" x14ac:dyDescent="0.35">
      <c r="A58">
        <v>2014</v>
      </c>
      <c r="B58">
        <v>71</v>
      </c>
      <c r="C58" t="s">
        <v>83</v>
      </c>
      <c r="D58" s="4">
        <v>124</v>
      </c>
      <c r="E58">
        <v>494</v>
      </c>
      <c r="F58">
        <v>369.9</v>
      </c>
      <c r="G58" s="4"/>
      <c r="J58" s="4"/>
      <c r="K58">
        <v>27</v>
      </c>
      <c r="L58">
        <v>26.9</v>
      </c>
    </row>
    <row r="59" spans="1:12" x14ac:dyDescent="0.35">
      <c r="A59">
        <v>2014</v>
      </c>
      <c r="B59">
        <v>72</v>
      </c>
      <c r="C59" t="s">
        <v>84</v>
      </c>
      <c r="D59" s="4">
        <v>231</v>
      </c>
      <c r="E59">
        <v>853</v>
      </c>
      <c r="F59">
        <v>642.70000000000005</v>
      </c>
      <c r="G59" s="4"/>
      <c r="J59" s="4">
        <v>4</v>
      </c>
      <c r="K59">
        <v>30</v>
      </c>
      <c r="L59">
        <v>22.8</v>
      </c>
    </row>
    <row r="60" spans="1:12" x14ac:dyDescent="0.35">
      <c r="A60">
        <v>2014</v>
      </c>
      <c r="B60">
        <v>81</v>
      </c>
      <c r="C60" t="s">
        <v>85</v>
      </c>
      <c r="D60" s="4">
        <v>62</v>
      </c>
      <c r="E60">
        <v>284</v>
      </c>
      <c r="F60">
        <v>194.9</v>
      </c>
      <c r="G60" s="4"/>
      <c r="J60" s="4"/>
    </row>
    <row r="61" spans="1:12" x14ac:dyDescent="0.35">
      <c r="A61">
        <v>2014</v>
      </c>
      <c r="B61">
        <v>82</v>
      </c>
      <c r="C61" t="s">
        <v>86</v>
      </c>
      <c r="D61" s="4">
        <v>82</v>
      </c>
      <c r="E61">
        <v>289</v>
      </c>
      <c r="F61">
        <v>218.6</v>
      </c>
      <c r="G61" s="4"/>
      <c r="J61" s="4"/>
    </row>
    <row r="62" spans="1:12" x14ac:dyDescent="0.35">
      <c r="A62">
        <v>2014</v>
      </c>
      <c r="B62">
        <v>83</v>
      </c>
      <c r="C62" t="s">
        <v>87</v>
      </c>
      <c r="D62" s="4">
        <v>283</v>
      </c>
      <c r="E62">
        <v>2248</v>
      </c>
      <c r="F62">
        <v>1852.2</v>
      </c>
      <c r="G62" s="4"/>
      <c r="J62" s="4"/>
    </row>
    <row r="63" spans="1:12" x14ac:dyDescent="0.35">
      <c r="A63">
        <v>2014</v>
      </c>
      <c r="B63">
        <v>84</v>
      </c>
      <c r="C63" t="s">
        <v>88</v>
      </c>
      <c r="D63" s="4">
        <v>278</v>
      </c>
      <c r="E63">
        <v>2711</v>
      </c>
      <c r="F63">
        <v>2362.3000000000002</v>
      </c>
      <c r="G63" s="4"/>
      <c r="J63" s="4"/>
      <c r="K63">
        <v>4</v>
      </c>
    </row>
    <row r="64" spans="1:12" x14ac:dyDescent="0.35">
      <c r="A64">
        <v>2014</v>
      </c>
      <c r="B64">
        <v>85</v>
      </c>
      <c r="C64" t="s">
        <v>89</v>
      </c>
      <c r="D64" s="4">
        <v>101</v>
      </c>
      <c r="E64">
        <v>430</v>
      </c>
      <c r="F64">
        <v>344.9</v>
      </c>
      <c r="G64" s="4">
        <v>3</v>
      </c>
      <c r="H64">
        <v>5</v>
      </c>
      <c r="I64">
        <v>4.9000000000000004</v>
      </c>
      <c r="J64" s="4"/>
    </row>
    <row r="65" spans="1:12" x14ac:dyDescent="0.35">
      <c r="A65">
        <v>2014</v>
      </c>
      <c r="B65">
        <v>86</v>
      </c>
      <c r="C65" t="s">
        <v>90</v>
      </c>
      <c r="D65" s="4">
        <v>434</v>
      </c>
      <c r="E65">
        <v>3868</v>
      </c>
      <c r="F65">
        <v>3014.1</v>
      </c>
      <c r="G65" s="4"/>
      <c r="J65" s="4"/>
      <c r="K65">
        <v>19</v>
      </c>
      <c r="L65">
        <v>13.7</v>
      </c>
    </row>
    <row r="66" spans="1:12" x14ac:dyDescent="0.35">
      <c r="A66">
        <v>2014</v>
      </c>
      <c r="B66">
        <v>87</v>
      </c>
      <c r="C66" t="s">
        <v>91</v>
      </c>
      <c r="D66" s="4">
        <v>44</v>
      </c>
      <c r="E66">
        <v>107</v>
      </c>
      <c r="F66">
        <v>76.8</v>
      </c>
      <c r="G66" s="4"/>
      <c r="J66" s="4"/>
    </row>
    <row r="67" spans="1:12" x14ac:dyDescent="0.35">
      <c r="A67">
        <v>2014</v>
      </c>
      <c r="B67">
        <v>88</v>
      </c>
      <c r="C67" t="s">
        <v>92</v>
      </c>
      <c r="D67" s="4">
        <v>239</v>
      </c>
      <c r="E67">
        <v>653</v>
      </c>
      <c r="F67">
        <v>458</v>
      </c>
      <c r="G67" s="4"/>
      <c r="J67" s="4"/>
    </row>
    <row r="68" spans="1:12" x14ac:dyDescent="0.35">
      <c r="A68">
        <v>2014</v>
      </c>
      <c r="B68">
        <v>89</v>
      </c>
      <c r="C68" t="s">
        <v>93</v>
      </c>
      <c r="D68" s="4">
        <v>215</v>
      </c>
      <c r="E68">
        <v>1381</v>
      </c>
      <c r="F68">
        <v>1092.8</v>
      </c>
      <c r="G68" s="4"/>
      <c r="H68">
        <v>4</v>
      </c>
      <c r="J68" s="4">
        <v>3</v>
      </c>
      <c r="K68">
        <v>8</v>
      </c>
      <c r="L68">
        <v>7.7</v>
      </c>
    </row>
    <row r="69" spans="1:12" x14ac:dyDescent="0.35">
      <c r="A69">
        <v>2014</v>
      </c>
      <c r="B69">
        <v>90</v>
      </c>
      <c r="C69" t="s">
        <v>94</v>
      </c>
      <c r="D69" s="4">
        <v>430</v>
      </c>
      <c r="E69">
        <v>2203</v>
      </c>
      <c r="F69">
        <v>1718.1</v>
      </c>
      <c r="G69" s="4"/>
      <c r="J69" s="4"/>
    </row>
    <row r="70" spans="1:12" x14ac:dyDescent="0.35">
      <c r="A70">
        <v>2014</v>
      </c>
      <c r="B70">
        <v>91</v>
      </c>
      <c r="C70" t="s">
        <v>95</v>
      </c>
      <c r="D70" s="4">
        <v>159</v>
      </c>
      <c r="E70">
        <v>885</v>
      </c>
      <c r="F70">
        <v>719.4</v>
      </c>
      <c r="G70" s="4"/>
      <c r="J70" s="4"/>
    </row>
    <row r="71" spans="1:12" x14ac:dyDescent="0.35">
      <c r="A71">
        <v>2014</v>
      </c>
      <c r="B71">
        <v>92</v>
      </c>
      <c r="C71" t="s">
        <v>96</v>
      </c>
      <c r="D71" s="4">
        <v>299</v>
      </c>
      <c r="E71">
        <v>1577</v>
      </c>
      <c r="F71">
        <v>1293.7</v>
      </c>
      <c r="G71" s="4">
        <v>3</v>
      </c>
      <c r="H71">
        <v>22</v>
      </c>
      <c r="I71">
        <v>18.8</v>
      </c>
      <c r="J71" s="4"/>
    </row>
    <row r="72" spans="1:12" x14ac:dyDescent="0.35">
      <c r="A72">
        <v>2014</v>
      </c>
      <c r="B72">
        <v>93</v>
      </c>
      <c r="C72" t="s">
        <v>97</v>
      </c>
      <c r="D72" s="4">
        <v>81</v>
      </c>
      <c r="E72">
        <v>299</v>
      </c>
      <c r="F72">
        <v>205.6</v>
      </c>
      <c r="G72" s="4"/>
      <c r="J72" s="4"/>
    </row>
    <row r="73" spans="1:12" x14ac:dyDescent="0.35">
      <c r="A73">
        <v>2014</v>
      </c>
      <c r="B73">
        <v>94</v>
      </c>
      <c r="C73" t="s">
        <v>98</v>
      </c>
      <c r="D73" s="4">
        <v>263</v>
      </c>
      <c r="E73">
        <v>2436</v>
      </c>
      <c r="F73">
        <v>1994.9</v>
      </c>
      <c r="G73" s="4"/>
      <c r="J73" s="4">
        <v>4</v>
      </c>
      <c r="K73">
        <v>5</v>
      </c>
    </row>
    <row r="74" spans="1:12" x14ac:dyDescent="0.35">
      <c r="A74">
        <v>2014</v>
      </c>
      <c r="B74">
        <v>95</v>
      </c>
      <c r="C74" t="s">
        <v>99</v>
      </c>
      <c r="D74" s="4">
        <v>35</v>
      </c>
      <c r="E74">
        <v>216</v>
      </c>
      <c r="F74">
        <v>152.69999999999999</v>
      </c>
      <c r="G74" s="4"/>
      <c r="J74" s="4"/>
    </row>
    <row r="75" spans="1:12" x14ac:dyDescent="0.35">
      <c r="A75">
        <v>2014</v>
      </c>
      <c r="B75">
        <v>96</v>
      </c>
      <c r="C75" t="s">
        <v>100</v>
      </c>
      <c r="D75" s="4">
        <v>1309</v>
      </c>
      <c r="E75">
        <v>10739</v>
      </c>
      <c r="F75">
        <v>8822.2999999999993</v>
      </c>
      <c r="G75" s="4">
        <v>4</v>
      </c>
      <c r="H75">
        <v>40</v>
      </c>
      <c r="I75">
        <v>33.299999999999997</v>
      </c>
      <c r="J75" s="4">
        <v>5</v>
      </c>
      <c r="K75">
        <v>44</v>
      </c>
      <c r="L75">
        <v>37.4</v>
      </c>
    </row>
    <row r="76" spans="1:12" x14ac:dyDescent="0.35">
      <c r="A76">
        <v>2014</v>
      </c>
      <c r="B76">
        <v>97</v>
      </c>
      <c r="C76" t="s">
        <v>101</v>
      </c>
      <c r="D76" s="4">
        <v>740</v>
      </c>
      <c r="E76">
        <v>6133</v>
      </c>
      <c r="F76">
        <v>5142.3</v>
      </c>
      <c r="G76" s="4">
        <v>3</v>
      </c>
      <c r="H76">
        <v>14</v>
      </c>
      <c r="I76">
        <v>11.7</v>
      </c>
      <c r="J76" s="4"/>
    </row>
    <row r="77" spans="1:12" x14ac:dyDescent="0.35">
      <c r="A77">
        <v>2014</v>
      </c>
      <c r="B77">
        <v>98</v>
      </c>
      <c r="C77" t="s">
        <v>102</v>
      </c>
      <c r="D77" s="4">
        <v>56</v>
      </c>
      <c r="E77">
        <v>127</v>
      </c>
      <c r="F77">
        <v>86.9</v>
      </c>
      <c r="G77" s="4"/>
      <c r="J77" s="4"/>
    </row>
    <row r="78" spans="1:12" x14ac:dyDescent="0.35">
      <c r="A78">
        <v>2014</v>
      </c>
      <c r="B78">
        <v>99</v>
      </c>
      <c r="C78" t="s">
        <v>103</v>
      </c>
      <c r="D78" s="4">
        <v>98</v>
      </c>
      <c r="E78">
        <v>385</v>
      </c>
      <c r="F78">
        <v>245.8</v>
      </c>
      <c r="G78" s="4"/>
      <c r="J78" s="4"/>
    </row>
    <row r="79" spans="1:12" x14ac:dyDescent="0.35">
      <c r="A79">
        <v>2014</v>
      </c>
      <c r="B79">
        <v>100</v>
      </c>
      <c r="C79" t="s">
        <v>104</v>
      </c>
      <c r="D79" s="4">
        <v>149</v>
      </c>
      <c r="E79">
        <v>601</v>
      </c>
      <c r="F79">
        <v>451.8</v>
      </c>
      <c r="G79" s="4"/>
      <c r="J79" s="4"/>
    </row>
    <row r="80" spans="1:12" x14ac:dyDescent="0.35">
      <c r="A80">
        <v>2014</v>
      </c>
      <c r="B80">
        <v>101</v>
      </c>
      <c r="C80" t="s">
        <v>105</v>
      </c>
      <c r="D80" s="4">
        <v>201</v>
      </c>
      <c r="E80">
        <v>712</v>
      </c>
      <c r="F80">
        <v>533.9</v>
      </c>
      <c r="G80" s="4"/>
      <c r="J80" s="4"/>
    </row>
    <row r="81" spans="1:12" x14ac:dyDescent="0.35">
      <c r="A81">
        <v>2014</v>
      </c>
      <c r="B81">
        <v>102</v>
      </c>
      <c r="C81" t="s">
        <v>106</v>
      </c>
      <c r="D81" s="4">
        <v>78</v>
      </c>
      <c r="E81">
        <v>251</v>
      </c>
      <c r="F81">
        <v>199.6</v>
      </c>
      <c r="G81" s="4"/>
      <c r="J81" s="4"/>
    </row>
    <row r="82" spans="1:12" x14ac:dyDescent="0.35">
      <c r="A82">
        <v>2014</v>
      </c>
      <c r="B82">
        <v>111</v>
      </c>
      <c r="C82" t="s">
        <v>107</v>
      </c>
      <c r="D82" s="4">
        <v>411</v>
      </c>
      <c r="E82">
        <v>1638</v>
      </c>
      <c r="F82">
        <v>1133</v>
      </c>
      <c r="G82" s="4"/>
      <c r="J82" s="4"/>
    </row>
    <row r="83" spans="1:12" x14ac:dyDescent="0.35">
      <c r="A83">
        <v>2014</v>
      </c>
      <c r="B83">
        <v>112</v>
      </c>
      <c r="C83" t="s">
        <v>108</v>
      </c>
      <c r="D83" s="4">
        <v>534</v>
      </c>
      <c r="E83">
        <v>3445</v>
      </c>
      <c r="F83">
        <v>2698.3</v>
      </c>
      <c r="G83" s="4"/>
      <c r="J83" s="4"/>
    </row>
    <row r="84" spans="1:12" x14ac:dyDescent="0.35">
      <c r="A84">
        <v>2014</v>
      </c>
      <c r="B84">
        <v>113</v>
      </c>
      <c r="C84" t="s">
        <v>109</v>
      </c>
      <c r="D84" s="4">
        <v>444</v>
      </c>
      <c r="E84">
        <v>1732</v>
      </c>
      <c r="F84">
        <v>1223.2</v>
      </c>
      <c r="G84" s="4"/>
      <c r="J84" s="4"/>
      <c r="K84">
        <v>9</v>
      </c>
      <c r="L84">
        <v>7.2</v>
      </c>
    </row>
    <row r="85" spans="1:12" x14ac:dyDescent="0.35">
      <c r="A85">
        <v>2014</v>
      </c>
      <c r="B85">
        <v>114</v>
      </c>
      <c r="C85" t="s">
        <v>110</v>
      </c>
      <c r="D85" s="4">
        <v>202</v>
      </c>
      <c r="E85">
        <v>754</v>
      </c>
      <c r="F85">
        <v>526.20000000000005</v>
      </c>
      <c r="G85" s="4"/>
      <c r="J85" s="4"/>
    </row>
    <row r="86" spans="1:12" x14ac:dyDescent="0.35">
      <c r="A86">
        <v>2014</v>
      </c>
      <c r="B86">
        <v>115</v>
      </c>
      <c r="C86" t="s">
        <v>111</v>
      </c>
      <c r="D86" s="4">
        <v>648</v>
      </c>
      <c r="E86">
        <v>2668</v>
      </c>
      <c r="F86">
        <v>1990.5</v>
      </c>
      <c r="G86" s="4"/>
      <c r="J86" s="4">
        <v>4</v>
      </c>
      <c r="K86">
        <v>10</v>
      </c>
      <c r="L86">
        <v>7.2</v>
      </c>
    </row>
    <row r="87" spans="1:12" x14ac:dyDescent="0.35">
      <c r="A87">
        <v>2014</v>
      </c>
      <c r="B87">
        <v>116</v>
      </c>
      <c r="C87" t="s">
        <v>112</v>
      </c>
      <c r="D87" s="4">
        <v>268</v>
      </c>
      <c r="E87">
        <v>1767</v>
      </c>
      <c r="F87">
        <v>1363.4</v>
      </c>
      <c r="G87" s="4"/>
      <c r="J87" s="4"/>
    </row>
    <row r="88" spans="1:12" x14ac:dyDescent="0.35">
      <c r="A88">
        <v>2014</v>
      </c>
      <c r="B88">
        <v>117</v>
      </c>
      <c r="C88" t="s">
        <v>113</v>
      </c>
      <c r="D88" s="4">
        <v>847</v>
      </c>
      <c r="E88">
        <v>6644</v>
      </c>
      <c r="F88">
        <v>5498.3</v>
      </c>
      <c r="G88" s="4"/>
      <c r="J88" s="4">
        <v>4</v>
      </c>
      <c r="K88">
        <v>8</v>
      </c>
      <c r="L88">
        <v>5.5</v>
      </c>
    </row>
    <row r="89" spans="1:12" x14ac:dyDescent="0.35">
      <c r="A89">
        <v>2014</v>
      </c>
      <c r="B89">
        <v>118</v>
      </c>
      <c r="C89" t="s">
        <v>114</v>
      </c>
      <c r="D89" s="4">
        <v>827</v>
      </c>
      <c r="E89">
        <v>4603</v>
      </c>
      <c r="F89">
        <v>3422.7</v>
      </c>
      <c r="G89" s="4">
        <v>3</v>
      </c>
      <c r="J89" s="4">
        <v>4</v>
      </c>
      <c r="K89">
        <v>13</v>
      </c>
      <c r="L89">
        <v>7.8</v>
      </c>
    </row>
    <row r="90" spans="1:12" x14ac:dyDescent="0.35">
      <c r="A90">
        <v>2014</v>
      </c>
      <c r="B90">
        <v>119</v>
      </c>
      <c r="C90" t="s">
        <v>115</v>
      </c>
      <c r="D90" s="4">
        <v>104</v>
      </c>
      <c r="E90">
        <v>568</v>
      </c>
      <c r="F90">
        <v>401.7</v>
      </c>
      <c r="G90" s="4"/>
      <c r="J90" s="4"/>
    </row>
    <row r="91" spans="1:12" x14ac:dyDescent="0.35">
      <c r="A91">
        <v>2014</v>
      </c>
      <c r="B91">
        <v>120</v>
      </c>
      <c r="C91" t="s">
        <v>116</v>
      </c>
      <c r="D91" s="4">
        <v>647</v>
      </c>
      <c r="E91">
        <v>3330</v>
      </c>
      <c r="F91">
        <v>2478</v>
      </c>
      <c r="G91" s="4"/>
      <c r="J91" s="4">
        <v>7</v>
      </c>
      <c r="K91">
        <v>27</v>
      </c>
      <c r="L91">
        <v>18.8</v>
      </c>
    </row>
    <row r="92" spans="1:12" x14ac:dyDescent="0.35">
      <c r="A92">
        <v>2014</v>
      </c>
      <c r="B92">
        <v>121</v>
      </c>
      <c r="C92" t="s">
        <v>117</v>
      </c>
      <c r="D92" s="4">
        <v>1827</v>
      </c>
      <c r="E92">
        <v>14413</v>
      </c>
      <c r="F92">
        <v>10200.1</v>
      </c>
      <c r="G92" s="4">
        <v>4</v>
      </c>
      <c r="H92">
        <v>6</v>
      </c>
      <c r="I92">
        <v>5.5</v>
      </c>
      <c r="J92" s="4">
        <v>3</v>
      </c>
    </row>
    <row r="93" spans="1:12" x14ac:dyDescent="0.35">
      <c r="A93">
        <v>2014</v>
      </c>
      <c r="B93">
        <v>131</v>
      </c>
      <c r="C93" t="s">
        <v>118</v>
      </c>
      <c r="D93" s="4">
        <v>1052</v>
      </c>
      <c r="E93">
        <v>8422</v>
      </c>
      <c r="F93">
        <v>6878.9</v>
      </c>
      <c r="G93" s="4"/>
      <c r="H93">
        <v>6</v>
      </c>
      <c r="I93">
        <v>4.3</v>
      </c>
      <c r="J93" s="4">
        <v>8</v>
      </c>
      <c r="K93">
        <v>20</v>
      </c>
      <c r="L93">
        <v>13.1</v>
      </c>
    </row>
    <row r="94" spans="1:12" x14ac:dyDescent="0.35">
      <c r="A94">
        <v>2014</v>
      </c>
      <c r="B94">
        <v>135</v>
      </c>
      <c r="C94" t="s">
        <v>119</v>
      </c>
      <c r="D94" s="4">
        <v>568</v>
      </c>
      <c r="E94">
        <v>4058</v>
      </c>
      <c r="F94">
        <v>3062.2</v>
      </c>
      <c r="G94" s="4">
        <v>5</v>
      </c>
      <c r="H94">
        <v>10</v>
      </c>
      <c r="I94">
        <v>5.8</v>
      </c>
      <c r="J94" s="4">
        <v>3</v>
      </c>
      <c r="K94">
        <v>4</v>
      </c>
    </row>
    <row r="95" spans="1:12" x14ac:dyDescent="0.35">
      <c r="A95">
        <v>2014</v>
      </c>
      <c r="B95">
        <v>136</v>
      </c>
      <c r="C95" t="s">
        <v>120</v>
      </c>
      <c r="D95" s="4">
        <v>371</v>
      </c>
      <c r="E95">
        <v>1496</v>
      </c>
      <c r="F95">
        <v>1082.8</v>
      </c>
      <c r="G95" s="4"/>
      <c r="J95" s="4"/>
    </row>
    <row r="96" spans="1:12" x14ac:dyDescent="0.35">
      <c r="A96">
        <v>2014</v>
      </c>
      <c r="B96">
        <v>137</v>
      </c>
      <c r="C96" t="s">
        <v>121</v>
      </c>
      <c r="D96" s="4">
        <v>287</v>
      </c>
      <c r="E96">
        <v>1036</v>
      </c>
      <c r="F96">
        <v>720</v>
      </c>
      <c r="G96" s="4"/>
      <c r="J96" s="4"/>
    </row>
    <row r="97" spans="1:12" x14ac:dyDescent="0.35">
      <c r="A97">
        <v>2014</v>
      </c>
      <c r="B97">
        <v>138</v>
      </c>
      <c r="C97" t="s">
        <v>122</v>
      </c>
      <c r="D97" s="4">
        <v>759</v>
      </c>
      <c r="E97">
        <v>4036</v>
      </c>
      <c r="F97">
        <v>3191.7</v>
      </c>
      <c r="G97" s="4"/>
      <c r="J97" s="4">
        <v>10</v>
      </c>
      <c r="K97">
        <v>40</v>
      </c>
      <c r="L97">
        <v>32</v>
      </c>
    </row>
    <row r="98" spans="1:12" x14ac:dyDescent="0.35">
      <c r="A98">
        <v>2014</v>
      </c>
      <c r="B98">
        <v>139</v>
      </c>
      <c r="C98" t="s">
        <v>123</v>
      </c>
      <c r="D98" s="4">
        <v>412</v>
      </c>
      <c r="E98">
        <v>3129</v>
      </c>
      <c r="F98">
        <v>2459.1999999999998</v>
      </c>
      <c r="G98" s="4"/>
      <c r="H98">
        <v>4</v>
      </c>
      <c r="J98" s="4">
        <v>4</v>
      </c>
      <c r="K98">
        <v>6</v>
      </c>
      <c r="L98">
        <v>4.5</v>
      </c>
    </row>
    <row r="99" spans="1:12" x14ac:dyDescent="0.35">
      <c r="A99">
        <v>2014</v>
      </c>
      <c r="B99">
        <v>141</v>
      </c>
      <c r="C99" t="s">
        <v>124</v>
      </c>
      <c r="D99" s="4">
        <v>1278</v>
      </c>
      <c r="E99">
        <v>6509</v>
      </c>
      <c r="F99">
        <v>4733.3999999999996</v>
      </c>
      <c r="G99" s="4">
        <v>5</v>
      </c>
      <c r="H99">
        <v>19</v>
      </c>
      <c r="I99">
        <v>13.4</v>
      </c>
      <c r="J99" s="4">
        <v>5</v>
      </c>
      <c r="K99">
        <v>59</v>
      </c>
      <c r="L99">
        <v>35.799999999999997</v>
      </c>
    </row>
    <row r="100" spans="1:12" x14ac:dyDescent="0.35">
      <c r="A100">
        <v>2014</v>
      </c>
      <c r="B100">
        <v>151</v>
      </c>
      <c r="C100" t="s">
        <v>125</v>
      </c>
      <c r="D100" s="4">
        <v>457</v>
      </c>
      <c r="E100">
        <v>2126</v>
      </c>
      <c r="F100">
        <v>1566.6</v>
      </c>
      <c r="G100" s="4"/>
      <c r="J100" s="4"/>
    </row>
    <row r="101" spans="1:12" x14ac:dyDescent="0.35">
      <c r="A101">
        <v>2014</v>
      </c>
      <c r="B101">
        <v>152</v>
      </c>
      <c r="C101" t="s">
        <v>126</v>
      </c>
      <c r="D101" s="4">
        <v>422</v>
      </c>
      <c r="E101">
        <v>1332</v>
      </c>
      <c r="F101">
        <v>954.6</v>
      </c>
      <c r="G101" s="4"/>
      <c r="H101">
        <v>5</v>
      </c>
      <c r="J101" s="4"/>
    </row>
    <row r="102" spans="1:12" x14ac:dyDescent="0.35">
      <c r="A102">
        <v>2014</v>
      </c>
      <c r="B102">
        <v>153</v>
      </c>
      <c r="C102" t="s">
        <v>127</v>
      </c>
      <c r="D102" s="4">
        <v>609</v>
      </c>
      <c r="E102">
        <v>3019</v>
      </c>
      <c r="F102">
        <v>2229.1</v>
      </c>
      <c r="G102" s="4"/>
      <c r="H102">
        <v>4</v>
      </c>
      <c r="J102" s="4"/>
    </row>
    <row r="103" spans="1:12" x14ac:dyDescent="0.35">
      <c r="A103">
        <v>2014</v>
      </c>
      <c r="B103">
        <v>154</v>
      </c>
      <c r="C103" t="s">
        <v>128</v>
      </c>
      <c r="D103" s="4">
        <v>1299</v>
      </c>
      <c r="E103">
        <v>6219</v>
      </c>
      <c r="F103">
        <v>4761.5</v>
      </c>
      <c r="G103" s="4">
        <v>6</v>
      </c>
      <c r="H103">
        <v>10</v>
      </c>
      <c r="I103">
        <v>7.7</v>
      </c>
      <c r="J103" s="4">
        <v>3</v>
      </c>
    </row>
    <row r="104" spans="1:12" x14ac:dyDescent="0.35">
      <c r="A104">
        <v>2014</v>
      </c>
      <c r="B104">
        <v>155</v>
      </c>
      <c r="C104" t="s">
        <v>129</v>
      </c>
      <c r="D104" s="4">
        <v>722</v>
      </c>
      <c r="E104">
        <v>4662</v>
      </c>
      <c r="F104">
        <v>3603.5</v>
      </c>
      <c r="G104" s="4"/>
      <c r="J104" s="4">
        <v>3</v>
      </c>
      <c r="K104">
        <v>16</v>
      </c>
      <c r="L104">
        <v>11</v>
      </c>
    </row>
    <row r="105" spans="1:12" x14ac:dyDescent="0.35">
      <c r="A105">
        <v>2014</v>
      </c>
      <c r="B105">
        <v>156</v>
      </c>
      <c r="C105" t="s">
        <v>130</v>
      </c>
      <c r="D105" s="4">
        <v>1084</v>
      </c>
      <c r="E105">
        <v>5931</v>
      </c>
      <c r="F105">
        <v>4515.2</v>
      </c>
      <c r="G105" s="4"/>
      <c r="J105" s="4">
        <v>4</v>
      </c>
      <c r="K105">
        <v>9</v>
      </c>
      <c r="L105">
        <v>6.9</v>
      </c>
    </row>
    <row r="106" spans="1:12" x14ac:dyDescent="0.35">
      <c r="A106">
        <v>2014</v>
      </c>
      <c r="B106">
        <v>157</v>
      </c>
      <c r="C106" t="s">
        <v>131</v>
      </c>
      <c r="D106" s="4">
        <v>270</v>
      </c>
      <c r="E106">
        <v>2093</v>
      </c>
      <c r="F106">
        <v>1624.1</v>
      </c>
      <c r="G106" s="4"/>
      <c r="J106" s="4"/>
    </row>
    <row r="107" spans="1:12" x14ac:dyDescent="0.35">
      <c r="A107">
        <v>2014</v>
      </c>
      <c r="B107">
        <v>158</v>
      </c>
      <c r="C107" t="s">
        <v>132</v>
      </c>
      <c r="D107" s="4">
        <v>1032</v>
      </c>
      <c r="E107">
        <v>6054</v>
      </c>
      <c r="F107">
        <v>4842.3999999999996</v>
      </c>
      <c r="G107" s="4"/>
      <c r="H107">
        <v>5</v>
      </c>
      <c r="J107" s="4">
        <v>7</v>
      </c>
      <c r="K107">
        <v>15</v>
      </c>
      <c r="L107">
        <v>12.6</v>
      </c>
    </row>
    <row r="108" spans="1:12" x14ac:dyDescent="0.35">
      <c r="A108">
        <v>2014</v>
      </c>
      <c r="B108">
        <v>159</v>
      </c>
      <c r="C108" t="s">
        <v>133</v>
      </c>
      <c r="D108" s="4">
        <v>355</v>
      </c>
      <c r="E108">
        <v>1633</v>
      </c>
      <c r="F108">
        <v>1236.7</v>
      </c>
      <c r="G108" s="4">
        <v>4</v>
      </c>
      <c r="H108">
        <v>4</v>
      </c>
      <c r="J108" s="4">
        <v>3</v>
      </c>
      <c r="K108">
        <v>5</v>
      </c>
    </row>
    <row r="109" spans="1:12" x14ac:dyDescent="0.35">
      <c r="A109">
        <v>2014</v>
      </c>
      <c r="B109">
        <v>160</v>
      </c>
      <c r="C109" t="s">
        <v>134</v>
      </c>
      <c r="D109" s="4">
        <v>371</v>
      </c>
      <c r="E109">
        <v>1701</v>
      </c>
      <c r="F109">
        <v>1220</v>
      </c>
      <c r="G109" s="4"/>
      <c r="J109" s="4"/>
    </row>
    <row r="110" spans="1:12" x14ac:dyDescent="0.35">
      <c r="A110">
        <v>2014</v>
      </c>
      <c r="B110">
        <v>161</v>
      </c>
      <c r="C110" t="s">
        <v>135</v>
      </c>
      <c r="D110" s="4">
        <v>1136</v>
      </c>
      <c r="E110">
        <v>5748</v>
      </c>
      <c r="F110">
        <v>4312.6000000000004</v>
      </c>
      <c r="G110" s="4">
        <v>6</v>
      </c>
      <c r="H110">
        <v>8</v>
      </c>
      <c r="I110">
        <v>6.5</v>
      </c>
      <c r="J110" s="4">
        <v>6</v>
      </c>
      <c r="K110">
        <v>7</v>
      </c>
      <c r="L110">
        <v>5.4</v>
      </c>
    </row>
    <row r="111" spans="1:12" x14ac:dyDescent="0.35">
      <c r="A111">
        <v>2014</v>
      </c>
      <c r="B111">
        <v>172</v>
      </c>
      <c r="C111" t="s">
        <v>136</v>
      </c>
      <c r="D111" s="4">
        <v>447</v>
      </c>
      <c r="E111">
        <v>4049</v>
      </c>
      <c r="F111">
        <v>3232.3</v>
      </c>
      <c r="G111" s="4"/>
      <c r="J111" s="4"/>
      <c r="K111">
        <v>6</v>
      </c>
      <c r="L111">
        <v>5.7</v>
      </c>
    </row>
    <row r="112" spans="1:12" x14ac:dyDescent="0.35">
      <c r="A112">
        <v>2014</v>
      </c>
      <c r="B112">
        <v>173</v>
      </c>
      <c r="C112" t="s">
        <v>137</v>
      </c>
      <c r="D112" s="4">
        <v>254</v>
      </c>
      <c r="E112">
        <v>817</v>
      </c>
      <c r="F112">
        <v>606.70000000000005</v>
      </c>
      <c r="G112" s="4"/>
      <c r="J112" s="4"/>
    </row>
    <row r="113" spans="1:12" x14ac:dyDescent="0.35">
      <c r="A113">
        <v>2014</v>
      </c>
      <c r="B113">
        <v>176</v>
      </c>
      <c r="C113" t="s">
        <v>138</v>
      </c>
      <c r="D113" s="4">
        <v>327</v>
      </c>
      <c r="E113">
        <v>2551</v>
      </c>
      <c r="F113">
        <v>1983.7</v>
      </c>
      <c r="G113" s="4"/>
      <c r="J113" s="4"/>
    </row>
    <row r="114" spans="1:12" x14ac:dyDescent="0.35">
      <c r="A114">
        <v>2014</v>
      </c>
      <c r="B114">
        <v>177</v>
      </c>
      <c r="C114" t="s">
        <v>139</v>
      </c>
      <c r="D114" s="4">
        <v>806</v>
      </c>
      <c r="E114">
        <v>5488</v>
      </c>
      <c r="F114">
        <v>4082.3</v>
      </c>
      <c r="G114" s="4"/>
      <c r="J114" s="4">
        <v>3</v>
      </c>
      <c r="K114">
        <v>6</v>
      </c>
      <c r="L114">
        <v>4.2</v>
      </c>
    </row>
    <row r="115" spans="1:12" x14ac:dyDescent="0.35">
      <c r="A115">
        <v>2014</v>
      </c>
      <c r="B115">
        <v>178</v>
      </c>
      <c r="C115" t="s">
        <v>140</v>
      </c>
      <c r="D115" s="4">
        <v>279</v>
      </c>
      <c r="E115">
        <v>1304</v>
      </c>
      <c r="F115">
        <v>947</v>
      </c>
      <c r="G115" s="4"/>
      <c r="H115">
        <v>7</v>
      </c>
      <c r="I115">
        <v>6.9</v>
      </c>
      <c r="J115" s="4"/>
    </row>
    <row r="116" spans="1:12" x14ac:dyDescent="0.35">
      <c r="A116">
        <v>2014</v>
      </c>
      <c r="B116">
        <v>180</v>
      </c>
      <c r="C116" t="s">
        <v>141</v>
      </c>
      <c r="D116" s="4">
        <v>231</v>
      </c>
      <c r="E116">
        <v>856</v>
      </c>
      <c r="F116">
        <v>630.9</v>
      </c>
      <c r="G116" s="4"/>
      <c r="H116">
        <v>7</v>
      </c>
      <c r="I116">
        <v>6.3</v>
      </c>
      <c r="J116" s="4"/>
    </row>
    <row r="117" spans="1:12" x14ac:dyDescent="0.35">
      <c r="A117">
        <v>2014</v>
      </c>
      <c r="B117">
        <v>181</v>
      </c>
      <c r="C117" t="s">
        <v>142</v>
      </c>
      <c r="D117" s="4">
        <v>178</v>
      </c>
      <c r="E117">
        <v>638</v>
      </c>
      <c r="F117">
        <v>469.8</v>
      </c>
      <c r="G117" s="4"/>
      <c r="J117" s="4">
        <v>3</v>
      </c>
      <c r="K117">
        <v>6</v>
      </c>
      <c r="L117">
        <v>4.4000000000000004</v>
      </c>
    </row>
    <row r="118" spans="1:12" x14ac:dyDescent="0.35">
      <c r="A118">
        <v>2014</v>
      </c>
      <c r="B118">
        <v>182</v>
      </c>
      <c r="C118" t="s">
        <v>143</v>
      </c>
      <c r="D118" s="4">
        <v>71</v>
      </c>
      <c r="E118">
        <v>209</v>
      </c>
      <c r="F118">
        <v>147.80000000000001</v>
      </c>
      <c r="G118" s="4"/>
      <c r="J118" s="4"/>
    </row>
    <row r="119" spans="1:12" x14ac:dyDescent="0.35">
      <c r="A119">
        <v>2014</v>
      </c>
      <c r="B119">
        <v>191</v>
      </c>
      <c r="C119" t="s">
        <v>144</v>
      </c>
      <c r="D119" s="4">
        <v>1817</v>
      </c>
      <c r="E119">
        <v>20286</v>
      </c>
      <c r="F119">
        <v>16110.2</v>
      </c>
      <c r="G119" s="4"/>
      <c r="J119" s="4">
        <v>3</v>
      </c>
    </row>
    <row r="120" spans="1:12" x14ac:dyDescent="0.35">
      <c r="A120">
        <v>2014</v>
      </c>
      <c r="B120">
        <v>192</v>
      </c>
      <c r="C120" t="s">
        <v>145</v>
      </c>
      <c r="D120" s="4">
        <v>570</v>
      </c>
      <c r="E120">
        <v>2470</v>
      </c>
      <c r="F120">
        <v>1836.3</v>
      </c>
      <c r="G120" s="4"/>
      <c r="J120" s="4"/>
    </row>
    <row r="121" spans="1:12" x14ac:dyDescent="0.35">
      <c r="A121">
        <v>2014</v>
      </c>
      <c r="B121">
        <v>193</v>
      </c>
      <c r="C121" t="s">
        <v>146</v>
      </c>
      <c r="D121" s="4">
        <v>481</v>
      </c>
      <c r="E121">
        <v>2945</v>
      </c>
      <c r="F121">
        <v>2372.6</v>
      </c>
      <c r="G121" s="4"/>
      <c r="J121" s="4">
        <v>3</v>
      </c>
      <c r="K121">
        <v>24</v>
      </c>
      <c r="L121">
        <v>19.600000000000001</v>
      </c>
    </row>
    <row r="122" spans="1:12" x14ac:dyDescent="0.35">
      <c r="A122">
        <v>2014</v>
      </c>
      <c r="B122">
        <v>194</v>
      </c>
      <c r="C122" t="s">
        <v>147</v>
      </c>
      <c r="D122" s="4">
        <v>209</v>
      </c>
      <c r="E122">
        <v>1773</v>
      </c>
      <c r="F122">
        <v>1320.3</v>
      </c>
      <c r="G122" s="4"/>
      <c r="J122" s="4"/>
    </row>
    <row r="123" spans="1:12" x14ac:dyDescent="0.35">
      <c r="A123">
        <v>2014</v>
      </c>
      <c r="B123">
        <v>195</v>
      </c>
      <c r="C123" t="s">
        <v>148</v>
      </c>
      <c r="D123" s="4">
        <v>658</v>
      </c>
      <c r="E123">
        <v>2285</v>
      </c>
      <c r="F123">
        <v>1636.7</v>
      </c>
      <c r="G123" s="4"/>
      <c r="J123" s="4"/>
    </row>
    <row r="124" spans="1:12" x14ac:dyDescent="0.35">
      <c r="A124">
        <v>2014</v>
      </c>
      <c r="B124">
        <v>196</v>
      </c>
      <c r="C124" t="s">
        <v>149</v>
      </c>
      <c r="D124" s="4">
        <v>265</v>
      </c>
      <c r="E124">
        <v>1422</v>
      </c>
      <c r="F124">
        <v>1104.5999999999999</v>
      </c>
      <c r="G124" s="4"/>
      <c r="J124" s="4"/>
    </row>
    <row r="125" spans="1:12" x14ac:dyDescent="0.35">
      <c r="A125">
        <v>2014</v>
      </c>
      <c r="B125">
        <v>197</v>
      </c>
      <c r="C125" t="s">
        <v>150</v>
      </c>
      <c r="D125" s="4">
        <v>309</v>
      </c>
      <c r="E125">
        <v>2628</v>
      </c>
      <c r="F125">
        <v>2164.1999999999998</v>
      </c>
      <c r="G125" s="4">
        <v>3</v>
      </c>
      <c r="H125">
        <v>6</v>
      </c>
      <c r="I125">
        <v>4.3</v>
      </c>
      <c r="J125" s="4">
        <v>3</v>
      </c>
      <c r="K125">
        <v>12</v>
      </c>
      <c r="L125">
        <v>10.5</v>
      </c>
    </row>
    <row r="126" spans="1:12" x14ac:dyDescent="0.35">
      <c r="A126">
        <v>2014</v>
      </c>
      <c r="B126">
        <v>198</v>
      </c>
      <c r="C126" t="s">
        <v>151</v>
      </c>
      <c r="D126" s="4">
        <v>2429</v>
      </c>
      <c r="E126">
        <v>16648</v>
      </c>
      <c r="F126">
        <v>12550.2</v>
      </c>
      <c r="G126" s="4"/>
      <c r="J126" s="4">
        <v>7</v>
      </c>
      <c r="K126">
        <v>22</v>
      </c>
      <c r="L126">
        <v>15.4</v>
      </c>
    </row>
    <row r="127" spans="1:12" x14ac:dyDescent="0.35">
      <c r="A127">
        <v>2014</v>
      </c>
      <c r="B127">
        <v>199</v>
      </c>
      <c r="C127" t="s">
        <v>152</v>
      </c>
      <c r="D127" s="4">
        <v>1264</v>
      </c>
      <c r="E127">
        <v>10959</v>
      </c>
      <c r="F127">
        <v>8773</v>
      </c>
      <c r="G127" s="4"/>
      <c r="J127" s="4">
        <v>4</v>
      </c>
      <c r="K127">
        <v>27</v>
      </c>
      <c r="L127">
        <v>23.2</v>
      </c>
    </row>
    <row r="128" spans="1:12" x14ac:dyDescent="0.35">
      <c r="A128">
        <v>2014</v>
      </c>
      <c r="B128">
        <v>200</v>
      </c>
      <c r="C128" t="s">
        <v>153</v>
      </c>
      <c r="D128" s="4">
        <v>547</v>
      </c>
      <c r="E128">
        <v>5453</v>
      </c>
      <c r="F128">
        <v>4441.1000000000004</v>
      </c>
      <c r="G128" s="4"/>
      <c r="H128">
        <v>4</v>
      </c>
      <c r="J128" s="4"/>
    </row>
    <row r="129" spans="1:12" x14ac:dyDescent="0.35">
      <c r="A129">
        <v>2014</v>
      </c>
      <c r="B129">
        <v>211</v>
      </c>
      <c r="C129" t="s">
        <v>154</v>
      </c>
      <c r="D129" s="4">
        <v>65</v>
      </c>
      <c r="E129">
        <v>149</v>
      </c>
      <c r="F129">
        <v>95.9</v>
      </c>
      <c r="G129" s="4"/>
      <c r="J129" s="4"/>
    </row>
    <row r="130" spans="1:12" x14ac:dyDescent="0.35">
      <c r="A130">
        <v>2014</v>
      </c>
      <c r="B130">
        <v>213</v>
      </c>
      <c r="C130" t="s">
        <v>155</v>
      </c>
      <c r="D130" s="4">
        <v>131</v>
      </c>
      <c r="E130">
        <v>359</v>
      </c>
      <c r="F130">
        <v>259.7</v>
      </c>
      <c r="G130" s="4"/>
      <c r="J130" s="4"/>
    </row>
    <row r="131" spans="1:12" x14ac:dyDescent="0.35">
      <c r="A131">
        <v>2014</v>
      </c>
      <c r="B131">
        <v>214</v>
      </c>
      <c r="C131" t="s">
        <v>156</v>
      </c>
      <c r="D131" s="4">
        <v>94</v>
      </c>
      <c r="E131">
        <v>300</v>
      </c>
      <c r="F131">
        <v>206</v>
      </c>
      <c r="G131" s="4"/>
      <c r="J131" s="4"/>
    </row>
    <row r="132" spans="1:12" x14ac:dyDescent="0.35">
      <c r="A132">
        <v>2014</v>
      </c>
      <c r="B132">
        <v>215</v>
      </c>
      <c r="C132" t="s">
        <v>157</v>
      </c>
      <c r="D132" s="4">
        <v>54</v>
      </c>
      <c r="E132">
        <v>118</v>
      </c>
      <c r="F132">
        <v>81.099999999999994</v>
      </c>
      <c r="G132" s="4"/>
      <c r="J132" s="4"/>
    </row>
    <row r="133" spans="1:12" x14ac:dyDescent="0.35">
      <c r="A133">
        <v>2014</v>
      </c>
      <c r="B133">
        <v>216</v>
      </c>
      <c r="C133" t="s">
        <v>158</v>
      </c>
      <c r="D133" s="4">
        <v>103</v>
      </c>
      <c r="E133">
        <v>374</v>
      </c>
      <c r="F133">
        <v>267.5</v>
      </c>
      <c r="G133" s="4"/>
      <c r="J133" s="4"/>
    </row>
    <row r="134" spans="1:12" x14ac:dyDescent="0.35">
      <c r="A134">
        <v>2014</v>
      </c>
      <c r="B134">
        <v>218</v>
      </c>
      <c r="C134" t="s">
        <v>159</v>
      </c>
      <c r="D134" s="4">
        <v>67</v>
      </c>
      <c r="E134">
        <v>662</v>
      </c>
      <c r="F134">
        <v>526.70000000000005</v>
      </c>
      <c r="G134" s="4"/>
      <c r="J134" s="4"/>
    </row>
    <row r="135" spans="1:12" x14ac:dyDescent="0.35">
      <c r="A135">
        <v>2014</v>
      </c>
      <c r="B135">
        <v>219</v>
      </c>
      <c r="C135" t="s">
        <v>160</v>
      </c>
      <c r="D135" s="4">
        <v>238</v>
      </c>
      <c r="E135">
        <v>1300</v>
      </c>
      <c r="F135">
        <v>1043.5</v>
      </c>
      <c r="G135" s="4"/>
      <c r="J135" s="4"/>
    </row>
    <row r="136" spans="1:12" x14ac:dyDescent="0.35">
      <c r="A136">
        <v>2014</v>
      </c>
      <c r="B136">
        <v>220</v>
      </c>
      <c r="C136" t="s">
        <v>161</v>
      </c>
      <c r="D136" s="4">
        <v>77</v>
      </c>
      <c r="E136">
        <v>221</v>
      </c>
      <c r="F136">
        <v>158.1</v>
      </c>
      <c r="G136" s="4"/>
      <c r="J136" s="4"/>
    </row>
    <row r="137" spans="1:12" x14ac:dyDescent="0.35">
      <c r="A137">
        <v>2014</v>
      </c>
      <c r="B137">
        <v>221</v>
      </c>
      <c r="C137" t="s">
        <v>162</v>
      </c>
      <c r="D137" s="4">
        <v>156</v>
      </c>
      <c r="E137">
        <v>609</v>
      </c>
      <c r="F137">
        <v>455.2</v>
      </c>
      <c r="G137" s="4"/>
      <c r="J137" s="4"/>
    </row>
    <row r="138" spans="1:12" x14ac:dyDescent="0.35">
      <c r="A138">
        <v>2014</v>
      </c>
      <c r="B138">
        <v>223</v>
      </c>
      <c r="C138" t="s">
        <v>163</v>
      </c>
      <c r="D138" s="4">
        <v>383</v>
      </c>
      <c r="E138">
        <v>1705</v>
      </c>
      <c r="F138">
        <v>1259.2</v>
      </c>
      <c r="G138" s="4"/>
      <c r="J138" s="4"/>
      <c r="K138">
        <v>4</v>
      </c>
    </row>
    <row r="139" spans="1:12" x14ac:dyDescent="0.35">
      <c r="A139">
        <v>2014</v>
      </c>
      <c r="B139">
        <v>224</v>
      </c>
      <c r="C139" t="s">
        <v>164</v>
      </c>
      <c r="D139" s="4">
        <v>199</v>
      </c>
      <c r="E139">
        <v>1135</v>
      </c>
      <c r="F139">
        <v>923</v>
      </c>
      <c r="G139" s="4"/>
      <c r="J139" s="4"/>
    </row>
    <row r="140" spans="1:12" x14ac:dyDescent="0.35">
      <c r="A140">
        <v>2014</v>
      </c>
      <c r="B140">
        <v>225</v>
      </c>
      <c r="C140" t="s">
        <v>165</v>
      </c>
      <c r="D140" s="4">
        <v>158</v>
      </c>
      <c r="E140">
        <v>485</v>
      </c>
      <c r="F140">
        <v>339.2</v>
      </c>
      <c r="G140" s="4"/>
      <c r="J140" s="4"/>
    </row>
    <row r="141" spans="1:12" x14ac:dyDescent="0.35">
      <c r="A141">
        <v>2014</v>
      </c>
      <c r="B141">
        <v>226</v>
      </c>
      <c r="C141" t="s">
        <v>166</v>
      </c>
      <c r="D141" s="4">
        <v>58</v>
      </c>
      <c r="E141">
        <v>136</v>
      </c>
      <c r="F141">
        <v>93.4</v>
      </c>
      <c r="G141" s="4"/>
      <c r="J141" s="4"/>
    </row>
    <row r="142" spans="1:12" x14ac:dyDescent="0.35">
      <c r="A142">
        <v>2014</v>
      </c>
      <c r="B142">
        <v>227</v>
      </c>
      <c r="C142" t="s">
        <v>167</v>
      </c>
      <c r="D142" s="4">
        <v>423</v>
      </c>
      <c r="E142">
        <v>2702</v>
      </c>
      <c r="F142">
        <v>2161.3000000000002</v>
      </c>
      <c r="G142" s="4"/>
      <c r="J142" s="4"/>
    </row>
    <row r="143" spans="1:12" x14ac:dyDescent="0.35">
      <c r="A143">
        <v>2014</v>
      </c>
      <c r="B143">
        <v>228</v>
      </c>
      <c r="C143" t="s">
        <v>168</v>
      </c>
      <c r="D143" s="4">
        <v>351</v>
      </c>
      <c r="E143">
        <v>1521</v>
      </c>
      <c r="F143">
        <v>1076.4000000000001</v>
      </c>
      <c r="G143" s="4"/>
      <c r="J143" s="4"/>
      <c r="K143">
        <v>17</v>
      </c>
      <c r="L143">
        <v>13.5</v>
      </c>
    </row>
    <row r="144" spans="1:12" x14ac:dyDescent="0.35">
      <c r="A144">
        <v>2014</v>
      </c>
      <c r="B144">
        <v>230</v>
      </c>
      <c r="C144" t="s">
        <v>169</v>
      </c>
      <c r="D144" s="4">
        <v>7596</v>
      </c>
      <c r="E144">
        <v>69495</v>
      </c>
      <c r="F144">
        <v>52786.5</v>
      </c>
      <c r="G144" s="4">
        <v>15</v>
      </c>
      <c r="H144">
        <v>46</v>
      </c>
      <c r="I144">
        <v>36.9</v>
      </c>
      <c r="J144" s="4">
        <v>28</v>
      </c>
      <c r="K144">
        <v>66</v>
      </c>
      <c r="L144">
        <v>46.2</v>
      </c>
    </row>
    <row r="145" spans="1:12" x14ac:dyDescent="0.35">
      <c r="A145">
        <v>2014</v>
      </c>
      <c r="B145">
        <v>231</v>
      </c>
      <c r="C145" t="s">
        <v>170</v>
      </c>
      <c r="D145" s="4">
        <v>357</v>
      </c>
      <c r="E145">
        <v>1447</v>
      </c>
      <c r="F145">
        <v>1055.7</v>
      </c>
      <c r="G145" s="4"/>
      <c r="J145" s="4">
        <v>3</v>
      </c>
    </row>
    <row r="146" spans="1:12" x14ac:dyDescent="0.35">
      <c r="A146">
        <v>2014</v>
      </c>
      <c r="B146">
        <v>241</v>
      </c>
      <c r="C146" t="s">
        <v>171</v>
      </c>
      <c r="D146" s="4">
        <v>86</v>
      </c>
      <c r="E146">
        <v>341</v>
      </c>
      <c r="F146">
        <v>259.60000000000002</v>
      </c>
      <c r="G146" s="4"/>
      <c r="J146" s="4"/>
    </row>
    <row r="147" spans="1:12" x14ac:dyDescent="0.35">
      <c r="A147">
        <v>2014</v>
      </c>
      <c r="B147">
        <v>242</v>
      </c>
      <c r="C147" t="s">
        <v>172</v>
      </c>
      <c r="D147" s="4">
        <v>398</v>
      </c>
      <c r="E147">
        <v>2210</v>
      </c>
      <c r="F147">
        <v>1736.5</v>
      </c>
      <c r="G147" s="4"/>
      <c r="J147" s="4"/>
    </row>
    <row r="148" spans="1:12" x14ac:dyDescent="0.35">
      <c r="A148">
        <v>2014</v>
      </c>
      <c r="B148">
        <v>243</v>
      </c>
      <c r="C148" t="s">
        <v>173</v>
      </c>
      <c r="D148" s="4">
        <v>1698</v>
      </c>
      <c r="E148">
        <v>17872</v>
      </c>
      <c r="F148">
        <v>14171</v>
      </c>
      <c r="G148" s="4">
        <v>10</v>
      </c>
      <c r="H148">
        <v>36</v>
      </c>
      <c r="I148">
        <v>30.5</v>
      </c>
      <c r="J148" s="4">
        <v>13</v>
      </c>
      <c r="K148">
        <v>64</v>
      </c>
      <c r="L148">
        <v>51.2</v>
      </c>
    </row>
    <row r="149" spans="1:12" x14ac:dyDescent="0.35">
      <c r="A149">
        <v>2014</v>
      </c>
      <c r="B149">
        <v>244</v>
      </c>
      <c r="C149" t="s">
        <v>174</v>
      </c>
      <c r="D149" s="4">
        <v>304</v>
      </c>
      <c r="E149">
        <v>1947</v>
      </c>
      <c r="F149">
        <v>1537.2</v>
      </c>
      <c r="G149" s="4"/>
      <c r="J149" s="4">
        <v>3</v>
      </c>
      <c r="K149">
        <v>5</v>
      </c>
      <c r="L149">
        <v>4.2</v>
      </c>
    </row>
    <row r="150" spans="1:12" x14ac:dyDescent="0.35">
      <c r="A150">
        <v>2014</v>
      </c>
      <c r="B150">
        <v>245</v>
      </c>
      <c r="C150" t="s">
        <v>175</v>
      </c>
      <c r="D150" s="4">
        <v>347</v>
      </c>
      <c r="E150">
        <v>1229</v>
      </c>
      <c r="F150">
        <v>866.1</v>
      </c>
      <c r="G150" s="4">
        <v>3</v>
      </c>
      <c r="J150" s="4"/>
    </row>
    <row r="151" spans="1:12" x14ac:dyDescent="0.35">
      <c r="A151">
        <v>2014</v>
      </c>
      <c r="B151">
        <v>246</v>
      </c>
      <c r="C151" t="s">
        <v>176</v>
      </c>
      <c r="D151" s="4">
        <v>123</v>
      </c>
      <c r="E151">
        <v>287</v>
      </c>
      <c r="F151">
        <v>197.8</v>
      </c>
      <c r="G151" s="4"/>
      <c r="J151" s="4"/>
    </row>
    <row r="152" spans="1:12" x14ac:dyDescent="0.35">
      <c r="A152">
        <v>2014</v>
      </c>
      <c r="B152">
        <v>247</v>
      </c>
      <c r="C152" t="s">
        <v>177</v>
      </c>
      <c r="D152" s="4">
        <v>1333</v>
      </c>
      <c r="E152">
        <v>17042</v>
      </c>
      <c r="F152">
        <v>13964.3</v>
      </c>
      <c r="G152" s="4">
        <v>5</v>
      </c>
      <c r="H152">
        <v>10</v>
      </c>
      <c r="I152">
        <v>7.4</v>
      </c>
      <c r="J152" s="4">
        <v>13</v>
      </c>
      <c r="K152">
        <v>35</v>
      </c>
      <c r="L152">
        <v>27</v>
      </c>
    </row>
    <row r="153" spans="1:12" x14ac:dyDescent="0.35">
      <c r="A153">
        <v>2014</v>
      </c>
      <c r="B153">
        <v>248</v>
      </c>
      <c r="C153" t="s">
        <v>178</v>
      </c>
      <c r="D153" s="4">
        <v>271</v>
      </c>
      <c r="E153">
        <v>976</v>
      </c>
      <c r="F153">
        <v>699.1</v>
      </c>
      <c r="G153" s="4"/>
      <c r="J153" s="4"/>
    </row>
    <row r="154" spans="1:12" x14ac:dyDescent="0.35">
      <c r="A154">
        <v>2014</v>
      </c>
      <c r="B154">
        <v>249</v>
      </c>
      <c r="C154" t="s">
        <v>179</v>
      </c>
      <c r="D154" s="4">
        <v>228</v>
      </c>
      <c r="E154">
        <v>881</v>
      </c>
      <c r="F154">
        <v>673.2</v>
      </c>
      <c r="G154" s="4"/>
      <c r="J154" s="4"/>
      <c r="K154">
        <v>4</v>
      </c>
    </row>
    <row r="155" spans="1:12" x14ac:dyDescent="0.35">
      <c r="A155">
        <v>2014</v>
      </c>
      <c r="B155">
        <v>250</v>
      </c>
      <c r="C155" t="s">
        <v>180</v>
      </c>
      <c r="D155" s="4">
        <v>644</v>
      </c>
      <c r="E155">
        <v>6389</v>
      </c>
      <c r="F155">
        <v>5249.5</v>
      </c>
      <c r="G155" s="4"/>
      <c r="J155" s="4"/>
      <c r="K155">
        <v>22</v>
      </c>
      <c r="L155">
        <v>10.5</v>
      </c>
    </row>
    <row r="156" spans="1:12" x14ac:dyDescent="0.35">
      <c r="A156">
        <v>2014</v>
      </c>
      <c r="B156">
        <v>251</v>
      </c>
      <c r="C156" t="s">
        <v>181</v>
      </c>
      <c r="D156" s="4">
        <v>270</v>
      </c>
      <c r="E156">
        <v>1442</v>
      </c>
      <c r="F156">
        <v>1149.8</v>
      </c>
      <c r="G156" s="4"/>
      <c r="J156" s="4">
        <v>3</v>
      </c>
      <c r="K156">
        <v>12</v>
      </c>
      <c r="L156">
        <v>10</v>
      </c>
    </row>
    <row r="157" spans="1:12" x14ac:dyDescent="0.35">
      <c r="A157">
        <v>2014</v>
      </c>
      <c r="B157">
        <v>261</v>
      </c>
      <c r="C157" t="s">
        <v>182</v>
      </c>
      <c r="D157" s="4">
        <v>43350</v>
      </c>
      <c r="E157">
        <v>461796</v>
      </c>
      <c r="F157">
        <v>353434.7</v>
      </c>
      <c r="G157" s="4">
        <v>153</v>
      </c>
      <c r="H157">
        <v>532</v>
      </c>
      <c r="I157">
        <v>405</v>
      </c>
      <c r="J157" s="4">
        <v>181</v>
      </c>
      <c r="K157">
        <v>555</v>
      </c>
      <c r="L157">
        <v>411.9</v>
      </c>
    </row>
    <row r="158" spans="1:12" x14ac:dyDescent="0.35">
      <c r="A158">
        <v>2014</v>
      </c>
      <c r="B158">
        <v>291</v>
      </c>
      <c r="C158" t="s">
        <v>183</v>
      </c>
      <c r="D158" s="4">
        <v>287</v>
      </c>
      <c r="E158">
        <v>1745</v>
      </c>
      <c r="F158">
        <v>1308.0999999999999</v>
      </c>
      <c r="G158" s="4"/>
      <c r="J158" s="4"/>
    </row>
    <row r="159" spans="1:12" x14ac:dyDescent="0.35">
      <c r="A159">
        <v>2014</v>
      </c>
      <c r="B159">
        <v>292</v>
      </c>
      <c r="C159" t="s">
        <v>184</v>
      </c>
      <c r="D159" s="4">
        <v>286</v>
      </c>
      <c r="E159">
        <v>1207</v>
      </c>
      <c r="F159">
        <v>846.6</v>
      </c>
      <c r="G159" s="4"/>
      <c r="J159" s="4"/>
    </row>
    <row r="160" spans="1:12" x14ac:dyDescent="0.35">
      <c r="A160">
        <v>2014</v>
      </c>
      <c r="B160">
        <v>293</v>
      </c>
      <c r="C160" t="s">
        <v>185</v>
      </c>
      <c r="D160" s="4">
        <v>1820</v>
      </c>
      <c r="E160">
        <v>9785</v>
      </c>
      <c r="F160">
        <v>7371.2</v>
      </c>
      <c r="G160" s="4">
        <v>7</v>
      </c>
      <c r="H160">
        <v>18</v>
      </c>
      <c r="I160">
        <v>12.8</v>
      </c>
      <c r="J160" s="4">
        <v>9</v>
      </c>
      <c r="K160">
        <v>19</v>
      </c>
      <c r="L160">
        <v>12.6</v>
      </c>
    </row>
    <row r="161" spans="1:12" x14ac:dyDescent="0.35">
      <c r="A161">
        <v>2014</v>
      </c>
      <c r="B161">
        <v>294</v>
      </c>
      <c r="C161" t="s">
        <v>186</v>
      </c>
      <c r="D161" s="4">
        <v>333</v>
      </c>
      <c r="E161">
        <v>1728</v>
      </c>
      <c r="F161">
        <v>1295.5</v>
      </c>
      <c r="G161" s="4"/>
      <c r="J161" s="4"/>
    </row>
    <row r="162" spans="1:12" x14ac:dyDescent="0.35">
      <c r="A162">
        <v>2014</v>
      </c>
      <c r="B162">
        <v>295</v>
      </c>
      <c r="C162" t="s">
        <v>187</v>
      </c>
      <c r="D162" s="4">
        <v>1421</v>
      </c>
      <c r="E162">
        <v>10055</v>
      </c>
      <c r="F162">
        <v>7857.5</v>
      </c>
      <c r="G162" s="4">
        <v>7</v>
      </c>
      <c r="H162">
        <v>8</v>
      </c>
      <c r="I162">
        <v>6.1</v>
      </c>
      <c r="J162" s="4">
        <v>5</v>
      </c>
      <c r="K162">
        <v>6</v>
      </c>
      <c r="L162">
        <v>4.5</v>
      </c>
    </row>
    <row r="163" spans="1:12" x14ac:dyDescent="0.35">
      <c r="A163">
        <v>2014</v>
      </c>
      <c r="B163">
        <v>296</v>
      </c>
      <c r="C163" t="s">
        <v>188</v>
      </c>
      <c r="D163" s="4">
        <v>1053</v>
      </c>
      <c r="E163">
        <v>7034</v>
      </c>
      <c r="F163">
        <v>5334.5</v>
      </c>
      <c r="G163" s="4"/>
      <c r="H163">
        <v>6</v>
      </c>
      <c r="I163">
        <v>4.8</v>
      </c>
      <c r="J163" s="4">
        <v>3</v>
      </c>
      <c r="K163">
        <v>6</v>
      </c>
      <c r="L163">
        <v>5.5</v>
      </c>
    </row>
    <row r="164" spans="1:12" x14ac:dyDescent="0.35">
      <c r="A164">
        <v>2014</v>
      </c>
      <c r="B164">
        <v>297</v>
      </c>
      <c r="C164" t="s">
        <v>189</v>
      </c>
      <c r="D164" s="4">
        <v>391</v>
      </c>
      <c r="E164">
        <v>1867</v>
      </c>
      <c r="F164">
        <v>1352.2</v>
      </c>
      <c r="G164" s="4"/>
      <c r="J164" s="4"/>
    </row>
    <row r="165" spans="1:12" x14ac:dyDescent="0.35">
      <c r="A165">
        <v>2014</v>
      </c>
      <c r="B165">
        <v>298</v>
      </c>
      <c r="C165" t="s">
        <v>190</v>
      </c>
      <c r="D165" s="4">
        <v>353</v>
      </c>
      <c r="E165">
        <v>1298</v>
      </c>
      <c r="F165">
        <v>902.3</v>
      </c>
      <c r="G165" s="4"/>
      <c r="H165">
        <v>4</v>
      </c>
      <c r="J165" s="4"/>
    </row>
  </sheetData>
  <mergeCells count="5">
    <mergeCell ref="A1:R1"/>
    <mergeCell ref="A2:R2"/>
    <mergeCell ref="D4:F4"/>
    <mergeCell ref="G4:I4"/>
    <mergeCell ref="J4:L4"/>
  </mergeCells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165"/>
  <sheetViews>
    <sheetView workbookViewId="0"/>
  </sheetViews>
  <sheetFormatPr baseColWidth="10" defaultRowHeight="14.5" x14ac:dyDescent="0.35"/>
  <cols>
    <col min="1" max="1" width="6.7265625" customWidth="1"/>
    <col min="2" max="2" width="14.7265625" customWidth="1"/>
    <col min="3" max="3" width="20.7265625" customWidth="1"/>
    <col min="4" max="4" width="17.7265625" customWidth="1"/>
    <col min="5" max="5" width="15.7265625" customWidth="1"/>
    <col min="6" max="6" width="22.7265625" customWidth="1"/>
    <col min="7" max="7" width="17.7265625" customWidth="1"/>
    <col min="8" max="8" width="15.7265625" customWidth="1"/>
    <col min="9" max="9" width="22.7265625" customWidth="1"/>
    <col min="10" max="10" width="17.7265625" customWidth="1"/>
    <col min="11" max="11" width="15.7265625" customWidth="1"/>
    <col min="12" max="12" width="22.7265625" customWidth="1"/>
  </cols>
  <sheetData>
    <row r="1" spans="1:18" ht="18" x14ac:dyDescent="0.4">
      <c r="A1" s="10" t="s">
        <v>201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x14ac:dyDescent="0.35">
      <c r="A2" s="8" t="s">
        <v>10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4" spans="1:18" x14ac:dyDescent="0.35">
      <c r="D4" s="11" t="s">
        <v>22</v>
      </c>
      <c r="E4" s="12"/>
      <c r="F4" s="12"/>
      <c r="G4" s="11" t="s">
        <v>23</v>
      </c>
      <c r="H4" s="12"/>
      <c r="I4" s="12"/>
      <c r="J4" s="11" t="s">
        <v>24</v>
      </c>
      <c r="K4" s="12"/>
      <c r="L4" s="12"/>
    </row>
    <row r="5" spans="1:18" ht="15.5" x14ac:dyDescent="0.35">
      <c r="A5" s="3" t="s">
        <v>25</v>
      </c>
      <c r="B5" s="3" t="s">
        <v>26</v>
      </c>
      <c r="C5" s="3" t="s">
        <v>27</v>
      </c>
      <c r="D5" s="5" t="s">
        <v>28</v>
      </c>
      <c r="E5" s="3" t="s">
        <v>29</v>
      </c>
      <c r="F5" s="3" t="s">
        <v>30</v>
      </c>
      <c r="G5" s="5" t="s">
        <v>28</v>
      </c>
      <c r="H5" s="3" t="s">
        <v>29</v>
      </c>
      <c r="I5" s="3" t="s">
        <v>30</v>
      </c>
      <c r="J5" s="5" t="s">
        <v>28</v>
      </c>
      <c r="K5" s="3" t="s">
        <v>29</v>
      </c>
      <c r="L5" s="3" t="s">
        <v>30</v>
      </c>
    </row>
    <row r="6" spans="1:18" x14ac:dyDescent="0.35">
      <c r="A6">
        <v>2013</v>
      </c>
      <c r="B6">
        <v>1</v>
      </c>
      <c r="C6" t="s">
        <v>31</v>
      </c>
      <c r="D6" s="4">
        <v>136</v>
      </c>
      <c r="E6">
        <v>423</v>
      </c>
      <c r="F6">
        <v>287.39999999999998</v>
      </c>
      <c r="G6" s="4"/>
      <c r="J6" s="4"/>
    </row>
    <row r="7" spans="1:18" x14ac:dyDescent="0.35">
      <c r="A7">
        <v>2013</v>
      </c>
      <c r="B7">
        <v>2</v>
      </c>
      <c r="C7" t="s">
        <v>32</v>
      </c>
      <c r="D7" s="4">
        <v>884</v>
      </c>
      <c r="E7">
        <v>6068</v>
      </c>
      <c r="F7">
        <v>4545</v>
      </c>
      <c r="G7" s="4"/>
      <c r="J7" s="4"/>
    </row>
    <row r="8" spans="1:18" x14ac:dyDescent="0.35">
      <c r="A8">
        <v>2013</v>
      </c>
      <c r="B8">
        <v>3</v>
      </c>
      <c r="C8" t="s">
        <v>33</v>
      </c>
      <c r="D8" s="4">
        <v>266</v>
      </c>
      <c r="E8">
        <v>938</v>
      </c>
      <c r="F8">
        <v>627.70000000000005</v>
      </c>
      <c r="G8" s="4"/>
      <c r="J8" s="4"/>
      <c r="K8">
        <v>17</v>
      </c>
      <c r="L8">
        <v>7.8</v>
      </c>
    </row>
    <row r="9" spans="1:18" x14ac:dyDescent="0.35">
      <c r="A9">
        <v>2013</v>
      </c>
      <c r="B9">
        <v>4</v>
      </c>
      <c r="C9" t="s">
        <v>34</v>
      </c>
      <c r="D9" s="4">
        <v>248</v>
      </c>
      <c r="E9">
        <v>942</v>
      </c>
      <c r="F9">
        <v>640.4</v>
      </c>
      <c r="G9" s="4"/>
      <c r="J9" s="4"/>
    </row>
    <row r="10" spans="1:18" x14ac:dyDescent="0.35">
      <c r="A10">
        <v>2013</v>
      </c>
      <c r="B10">
        <v>5</v>
      </c>
      <c r="C10" t="s">
        <v>35</v>
      </c>
      <c r="D10" s="4">
        <v>190</v>
      </c>
      <c r="E10">
        <v>1496</v>
      </c>
      <c r="F10">
        <v>1233.9000000000001</v>
      </c>
      <c r="G10" s="4"/>
      <c r="J10" s="4"/>
    </row>
    <row r="11" spans="1:18" x14ac:dyDescent="0.35">
      <c r="A11">
        <v>2013</v>
      </c>
      <c r="B11">
        <v>6</v>
      </c>
      <c r="C11" t="s">
        <v>36</v>
      </c>
      <c r="D11" s="4">
        <v>93</v>
      </c>
      <c r="E11">
        <v>348</v>
      </c>
      <c r="F11">
        <v>243.5</v>
      </c>
      <c r="G11" s="4"/>
      <c r="J11" s="4"/>
    </row>
    <row r="12" spans="1:18" x14ac:dyDescent="0.35">
      <c r="A12">
        <v>2013</v>
      </c>
      <c r="B12">
        <v>7</v>
      </c>
      <c r="C12" t="s">
        <v>37</v>
      </c>
      <c r="D12" s="4">
        <v>115</v>
      </c>
      <c r="E12">
        <v>489</v>
      </c>
      <c r="F12">
        <v>375.9</v>
      </c>
      <c r="G12" s="4"/>
      <c r="J12" s="4"/>
    </row>
    <row r="13" spans="1:18" x14ac:dyDescent="0.35">
      <c r="A13">
        <v>2013</v>
      </c>
      <c r="B13">
        <v>8</v>
      </c>
      <c r="C13" t="s">
        <v>38</v>
      </c>
      <c r="D13" s="4">
        <v>59</v>
      </c>
      <c r="E13">
        <v>150</v>
      </c>
      <c r="F13">
        <v>98.6</v>
      </c>
      <c r="G13" s="4"/>
      <c r="J13" s="4"/>
    </row>
    <row r="14" spans="1:18" x14ac:dyDescent="0.35">
      <c r="A14">
        <v>2013</v>
      </c>
      <c r="B14">
        <v>9</v>
      </c>
      <c r="C14" t="s">
        <v>39</v>
      </c>
      <c r="D14" s="4">
        <v>291</v>
      </c>
      <c r="E14">
        <v>1548</v>
      </c>
      <c r="F14">
        <v>1155.4000000000001</v>
      </c>
      <c r="G14" s="4"/>
      <c r="J14" s="4"/>
    </row>
    <row r="15" spans="1:18" x14ac:dyDescent="0.35">
      <c r="A15">
        <v>2013</v>
      </c>
      <c r="B15">
        <v>10</v>
      </c>
      <c r="C15" t="s">
        <v>40</v>
      </c>
      <c r="D15" s="4">
        <v>297</v>
      </c>
      <c r="E15">
        <v>1256</v>
      </c>
      <c r="F15">
        <v>905.6</v>
      </c>
      <c r="G15" s="4"/>
      <c r="H15">
        <v>18</v>
      </c>
      <c r="I15">
        <v>15.2</v>
      </c>
      <c r="J15" s="4"/>
    </row>
    <row r="16" spans="1:18" x14ac:dyDescent="0.35">
      <c r="A16">
        <v>2013</v>
      </c>
      <c r="B16">
        <v>11</v>
      </c>
      <c r="C16" t="s">
        <v>41</v>
      </c>
      <c r="D16" s="4">
        <v>161</v>
      </c>
      <c r="E16">
        <v>695</v>
      </c>
      <c r="F16">
        <v>488.4</v>
      </c>
      <c r="G16" s="4"/>
      <c r="J16" s="4"/>
    </row>
    <row r="17" spans="1:12" x14ac:dyDescent="0.35">
      <c r="A17">
        <v>2013</v>
      </c>
      <c r="B17">
        <v>12</v>
      </c>
      <c r="C17" t="s">
        <v>42</v>
      </c>
      <c r="D17" s="4">
        <v>80</v>
      </c>
      <c r="E17">
        <v>254</v>
      </c>
      <c r="F17">
        <v>181</v>
      </c>
      <c r="G17" s="4"/>
      <c r="J17" s="4"/>
    </row>
    <row r="18" spans="1:12" x14ac:dyDescent="0.35">
      <c r="A18">
        <v>2013</v>
      </c>
      <c r="B18">
        <v>13</v>
      </c>
      <c r="C18" t="s">
        <v>43</v>
      </c>
      <c r="D18" s="4">
        <v>192</v>
      </c>
      <c r="E18">
        <v>858</v>
      </c>
      <c r="F18">
        <v>664.4</v>
      </c>
      <c r="G18" s="4"/>
      <c r="J18" s="4"/>
      <c r="K18">
        <v>9</v>
      </c>
      <c r="L18">
        <v>7.9</v>
      </c>
    </row>
    <row r="19" spans="1:12" x14ac:dyDescent="0.35">
      <c r="A19">
        <v>2013</v>
      </c>
      <c r="B19">
        <v>14</v>
      </c>
      <c r="C19" t="s">
        <v>44</v>
      </c>
      <c r="D19" s="4">
        <v>280</v>
      </c>
      <c r="E19">
        <v>1007</v>
      </c>
      <c r="F19">
        <v>748.1</v>
      </c>
      <c r="G19" s="4"/>
      <c r="H19">
        <v>6</v>
      </c>
      <c r="J19" s="4"/>
      <c r="K19">
        <v>9</v>
      </c>
      <c r="L19">
        <v>6.4</v>
      </c>
    </row>
    <row r="20" spans="1:12" x14ac:dyDescent="0.35">
      <c r="A20">
        <v>2013</v>
      </c>
      <c r="B20">
        <v>22</v>
      </c>
      <c r="C20" t="s">
        <v>45</v>
      </c>
      <c r="D20" s="4">
        <v>70</v>
      </c>
      <c r="E20">
        <v>262</v>
      </c>
      <c r="F20">
        <v>183.4</v>
      </c>
      <c r="G20" s="4"/>
      <c r="J20" s="4"/>
    </row>
    <row r="21" spans="1:12" x14ac:dyDescent="0.35">
      <c r="A21">
        <v>2013</v>
      </c>
      <c r="B21">
        <v>23</v>
      </c>
      <c r="C21" t="s">
        <v>46</v>
      </c>
      <c r="D21" s="4">
        <v>62</v>
      </c>
      <c r="E21">
        <v>164</v>
      </c>
      <c r="F21">
        <v>104.9</v>
      </c>
      <c r="G21" s="4"/>
      <c r="J21" s="4"/>
    </row>
    <row r="22" spans="1:12" x14ac:dyDescent="0.35">
      <c r="A22">
        <v>2013</v>
      </c>
      <c r="B22">
        <v>24</v>
      </c>
      <c r="C22" t="s">
        <v>47</v>
      </c>
      <c r="D22" s="4">
        <v>68</v>
      </c>
      <c r="E22">
        <v>177</v>
      </c>
      <c r="F22">
        <v>125</v>
      </c>
      <c r="G22" s="4"/>
      <c r="J22" s="4"/>
    </row>
    <row r="23" spans="1:12" x14ac:dyDescent="0.35">
      <c r="A23">
        <v>2013</v>
      </c>
      <c r="B23">
        <v>25</v>
      </c>
      <c r="C23" t="s">
        <v>48</v>
      </c>
      <c r="D23" s="4">
        <v>101</v>
      </c>
      <c r="E23">
        <v>407</v>
      </c>
      <c r="F23">
        <v>301.60000000000002</v>
      </c>
      <c r="G23" s="4"/>
      <c r="J23" s="4"/>
    </row>
    <row r="24" spans="1:12" x14ac:dyDescent="0.35">
      <c r="A24">
        <v>2013</v>
      </c>
      <c r="B24">
        <v>26</v>
      </c>
      <c r="C24" t="s">
        <v>49</v>
      </c>
      <c r="D24" s="4">
        <v>48</v>
      </c>
      <c r="E24">
        <v>168</v>
      </c>
      <c r="F24">
        <v>108</v>
      </c>
      <c r="G24" s="4"/>
      <c r="J24" s="4"/>
    </row>
    <row r="25" spans="1:12" x14ac:dyDescent="0.35">
      <c r="A25">
        <v>2013</v>
      </c>
      <c r="B25">
        <v>27</v>
      </c>
      <c r="C25" t="s">
        <v>50</v>
      </c>
      <c r="D25" s="4">
        <v>182</v>
      </c>
      <c r="E25">
        <v>1050</v>
      </c>
      <c r="F25">
        <v>784.1</v>
      </c>
      <c r="G25" s="4"/>
      <c r="J25" s="4"/>
    </row>
    <row r="26" spans="1:12" x14ac:dyDescent="0.35">
      <c r="A26">
        <v>2013</v>
      </c>
      <c r="B26">
        <v>28</v>
      </c>
      <c r="C26" t="s">
        <v>51</v>
      </c>
      <c r="D26" s="4">
        <v>136</v>
      </c>
      <c r="E26">
        <v>675</v>
      </c>
      <c r="F26">
        <v>484.3</v>
      </c>
      <c r="G26" s="4"/>
      <c r="J26" s="4"/>
    </row>
    <row r="27" spans="1:12" x14ac:dyDescent="0.35">
      <c r="A27">
        <v>2013</v>
      </c>
      <c r="B27">
        <v>29</v>
      </c>
      <c r="C27" t="s">
        <v>52</v>
      </c>
      <c r="D27" s="4">
        <v>106</v>
      </c>
      <c r="E27">
        <v>500</v>
      </c>
      <c r="F27">
        <v>381.7</v>
      </c>
      <c r="G27" s="4"/>
      <c r="J27" s="4"/>
    </row>
    <row r="28" spans="1:12" x14ac:dyDescent="0.35">
      <c r="A28">
        <v>2013</v>
      </c>
      <c r="B28">
        <v>31</v>
      </c>
      <c r="C28" t="s">
        <v>53</v>
      </c>
      <c r="D28" s="4">
        <v>107</v>
      </c>
      <c r="E28">
        <v>638</v>
      </c>
      <c r="F28">
        <v>490.1</v>
      </c>
      <c r="G28" s="4"/>
      <c r="J28" s="4"/>
    </row>
    <row r="29" spans="1:12" x14ac:dyDescent="0.35">
      <c r="A29">
        <v>2013</v>
      </c>
      <c r="B29">
        <v>33</v>
      </c>
      <c r="C29" t="s">
        <v>54</v>
      </c>
      <c r="D29" s="4">
        <v>183</v>
      </c>
      <c r="E29">
        <v>961</v>
      </c>
      <c r="F29">
        <v>749.9</v>
      </c>
      <c r="G29" s="4"/>
      <c r="J29" s="4"/>
    </row>
    <row r="30" spans="1:12" x14ac:dyDescent="0.35">
      <c r="A30">
        <v>2013</v>
      </c>
      <c r="B30">
        <v>34</v>
      </c>
      <c r="C30" t="s">
        <v>55</v>
      </c>
      <c r="D30" s="4">
        <v>88</v>
      </c>
      <c r="E30">
        <v>408</v>
      </c>
      <c r="F30">
        <v>295.5</v>
      </c>
      <c r="G30" s="4"/>
      <c r="J30" s="4"/>
    </row>
    <row r="31" spans="1:12" x14ac:dyDescent="0.35">
      <c r="A31">
        <v>2013</v>
      </c>
      <c r="B31">
        <v>35</v>
      </c>
      <c r="C31" t="s">
        <v>56</v>
      </c>
      <c r="D31" s="4">
        <v>197</v>
      </c>
      <c r="E31">
        <v>1049</v>
      </c>
      <c r="F31">
        <v>737.8</v>
      </c>
      <c r="G31" s="4"/>
      <c r="J31" s="4"/>
    </row>
    <row r="32" spans="1:12" x14ac:dyDescent="0.35">
      <c r="A32">
        <v>2013</v>
      </c>
      <c r="B32">
        <v>37</v>
      </c>
      <c r="C32" t="s">
        <v>57</v>
      </c>
      <c r="D32" s="4">
        <v>106</v>
      </c>
      <c r="E32">
        <v>452</v>
      </c>
      <c r="F32">
        <v>320.5</v>
      </c>
      <c r="G32" s="4"/>
      <c r="J32" s="4"/>
    </row>
    <row r="33" spans="1:11" x14ac:dyDescent="0.35">
      <c r="A33">
        <v>2013</v>
      </c>
      <c r="B33">
        <v>38</v>
      </c>
      <c r="C33" t="s">
        <v>58</v>
      </c>
      <c r="D33" s="4">
        <v>65</v>
      </c>
      <c r="E33">
        <v>485</v>
      </c>
      <c r="F33">
        <v>321.89999999999998</v>
      </c>
      <c r="G33" s="4"/>
      <c r="J33" s="4"/>
    </row>
    <row r="34" spans="1:11" x14ac:dyDescent="0.35">
      <c r="A34">
        <v>2013</v>
      </c>
      <c r="B34">
        <v>39</v>
      </c>
      <c r="C34" t="s">
        <v>59</v>
      </c>
      <c r="D34" s="4">
        <v>59</v>
      </c>
      <c r="E34">
        <v>260</v>
      </c>
      <c r="F34">
        <v>189.8</v>
      </c>
      <c r="G34" s="4"/>
      <c r="J34" s="4"/>
    </row>
    <row r="35" spans="1:11" x14ac:dyDescent="0.35">
      <c r="A35">
        <v>2013</v>
      </c>
      <c r="B35">
        <v>40</v>
      </c>
      <c r="C35" t="s">
        <v>60</v>
      </c>
      <c r="D35" s="4">
        <v>106</v>
      </c>
      <c r="E35">
        <v>368</v>
      </c>
      <c r="F35">
        <v>237.6</v>
      </c>
      <c r="G35" s="4"/>
      <c r="J35" s="4"/>
    </row>
    <row r="36" spans="1:11" x14ac:dyDescent="0.35">
      <c r="A36">
        <v>2013</v>
      </c>
      <c r="B36">
        <v>41</v>
      </c>
      <c r="C36" t="s">
        <v>61</v>
      </c>
      <c r="D36" s="4">
        <v>43</v>
      </c>
      <c r="E36">
        <v>98</v>
      </c>
      <c r="F36">
        <v>60.6</v>
      </c>
      <c r="G36" s="4"/>
      <c r="J36" s="4"/>
    </row>
    <row r="37" spans="1:11" x14ac:dyDescent="0.35">
      <c r="A37">
        <v>2013</v>
      </c>
      <c r="B37">
        <v>43</v>
      </c>
      <c r="C37" t="s">
        <v>62</v>
      </c>
      <c r="D37" s="4">
        <v>35</v>
      </c>
      <c r="E37">
        <v>113</v>
      </c>
      <c r="F37">
        <v>61</v>
      </c>
      <c r="G37" s="4"/>
      <c r="J37" s="4"/>
    </row>
    <row r="38" spans="1:11" x14ac:dyDescent="0.35">
      <c r="A38">
        <v>2013</v>
      </c>
      <c r="B38">
        <v>51</v>
      </c>
      <c r="C38" t="s">
        <v>63</v>
      </c>
      <c r="D38" s="4">
        <v>250</v>
      </c>
      <c r="E38">
        <v>1818</v>
      </c>
      <c r="F38">
        <v>1505.3</v>
      </c>
      <c r="G38" s="4"/>
      <c r="J38" s="4"/>
    </row>
    <row r="39" spans="1:11" x14ac:dyDescent="0.35">
      <c r="A39">
        <v>2013</v>
      </c>
      <c r="B39">
        <v>52</v>
      </c>
      <c r="C39" t="s">
        <v>64</v>
      </c>
      <c r="D39" s="4">
        <v>572</v>
      </c>
      <c r="E39">
        <v>3968</v>
      </c>
      <c r="F39">
        <v>3094.3</v>
      </c>
      <c r="G39" s="4"/>
      <c r="J39" s="4"/>
    </row>
    <row r="40" spans="1:11" x14ac:dyDescent="0.35">
      <c r="A40">
        <v>2013</v>
      </c>
      <c r="B40">
        <v>53</v>
      </c>
      <c r="C40" t="s">
        <v>65</v>
      </c>
      <c r="D40" s="4">
        <v>1188</v>
      </c>
      <c r="E40">
        <v>10659</v>
      </c>
      <c r="F40">
        <v>7983.1</v>
      </c>
      <c r="G40" s="4"/>
      <c r="J40" s="4"/>
      <c r="K40">
        <v>4</v>
      </c>
    </row>
    <row r="41" spans="1:11" x14ac:dyDescent="0.35">
      <c r="A41">
        <v>2013</v>
      </c>
      <c r="B41">
        <v>54</v>
      </c>
      <c r="C41" t="s">
        <v>66</v>
      </c>
      <c r="D41" s="4">
        <v>529</v>
      </c>
      <c r="E41">
        <v>5705</v>
      </c>
      <c r="F41">
        <v>4612.2</v>
      </c>
      <c r="G41" s="4"/>
      <c r="H41">
        <v>16</v>
      </c>
      <c r="I41">
        <v>15</v>
      </c>
      <c r="J41" s="4"/>
    </row>
    <row r="42" spans="1:11" x14ac:dyDescent="0.35">
      <c r="A42">
        <v>2013</v>
      </c>
      <c r="B42">
        <v>55</v>
      </c>
      <c r="C42" t="s">
        <v>67</v>
      </c>
      <c r="D42" s="4">
        <v>283</v>
      </c>
      <c r="E42">
        <v>1295</v>
      </c>
      <c r="F42">
        <v>953.8</v>
      </c>
      <c r="G42" s="4"/>
      <c r="J42" s="4"/>
    </row>
    <row r="43" spans="1:11" x14ac:dyDescent="0.35">
      <c r="A43">
        <v>2013</v>
      </c>
      <c r="B43">
        <v>56</v>
      </c>
      <c r="C43" t="s">
        <v>68</v>
      </c>
      <c r="D43" s="4">
        <v>484</v>
      </c>
      <c r="E43">
        <v>3725</v>
      </c>
      <c r="F43">
        <v>3020.6</v>
      </c>
      <c r="G43" s="4"/>
      <c r="J43" s="4"/>
    </row>
    <row r="44" spans="1:11" x14ac:dyDescent="0.35">
      <c r="A44">
        <v>2013</v>
      </c>
      <c r="B44">
        <v>57</v>
      </c>
      <c r="C44" t="s">
        <v>69</v>
      </c>
      <c r="D44" s="4">
        <v>151</v>
      </c>
      <c r="E44">
        <v>604</v>
      </c>
      <c r="F44">
        <v>424.1</v>
      </c>
      <c r="G44" s="4"/>
      <c r="J44" s="4"/>
    </row>
    <row r="45" spans="1:11" x14ac:dyDescent="0.35">
      <c r="A45">
        <v>2013</v>
      </c>
      <c r="B45">
        <v>58</v>
      </c>
      <c r="C45" t="s">
        <v>70</v>
      </c>
      <c r="D45" s="4">
        <v>224</v>
      </c>
      <c r="E45">
        <v>932</v>
      </c>
      <c r="F45">
        <v>717.1</v>
      </c>
      <c r="G45" s="4"/>
      <c r="J45" s="4"/>
    </row>
    <row r="46" spans="1:11" x14ac:dyDescent="0.35">
      <c r="A46">
        <v>2013</v>
      </c>
      <c r="B46">
        <v>59</v>
      </c>
      <c r="C46" t="s">
        <v>71</v>
      </c>
      <c r="D46" s="4">
        <v>88</v>
      </c>
      <c r="E46">
        <v>410</v>
      </c>
      <c r="F46">
        <v>329.8</v>
      </c>
      <c r="G46" s="4"/>
      <c r="J46" s="4"/>
    </row>
    <row r="47" spans="1:11" x14ac:dyDescent="0.35">
      <c r="A47">
        <v>2013</v>
      </c>
      <c r="B47">
        <v>60</v>
      </c>
      <c r="C47" t="s">
        <v>72</v>
      </c>
      <c r="D47" s="4">
        <v>177</v>
      </c>
      <c r="E47">
        <v>1131</v>
      </c>
      <c r="F47">
        <v>940</v>
      </c>
      <c r="G47" s="4"/>
      <c r="J47" s="4"/>
    </row>
    <row r="48" spans="1:11" x14ac:dyDescent="0.35">
      <c r="A48">
        <v>2013</v>
      </c>
      <c r="B48">
        <v>61</v>
      </c>
      <c r="C48" t="s">
        <v>73</v>
      </c>
      <c r="D48" s="4">
        <v>72</v>
      </c>
      <c r="E48">
        <v>277</v>
      </c>
      <c r="F48">
        <v>191.6</v>
      </c>
      <c r="G48" s="4"/>
      <c r="J48" s="4"/>
    </row>
    <row r="49" spans="1:12" x14ac:dyDescent="0.35">
      <c r="A49">
        <v>2013</v>
      </c>
      <c r="B49">
        <v>62</v>
      </c>
      <c r="C49" t="s">
        <v>74</v>
      </c>
      <c r="D49" s="4">
        <v>1465</v>
      </c>
      <c r="E49">
        <v>35930</v>
      </c>
      <c r="F49">
        <v>29477.7</v>
      </c>
      <c r="G49" s="4"/>
      <c r="H49">
        <v>14</v>
      </c>
      <c r="I49">
        <v>8.5</v>
      </c>
      <c r="J49" s="4">
        <v>4</v>
      </c>
      <c r="K49">
        <v>8</v>
      </c>
      <c r="L49">
        <v>6.4</v>
      </c>
    </row>
    <row r="50" spans="1:12" x14ac:dyDescent="0.35">
      <c r="A50">
        <v>2013</v>
      </c>
      <c r="B50">
        <v>63</v>
      </c>
      <c r="C50" t="s">
        <v>75</v>
      </c>
      <c r="D50" s="4">
        <v>96</v>
      </c>
      <c r="E50">
        <v>334</v>
      </c>
      <c r="F50">
        <v>242</v>
      </c>
      <c r="G50" s="4"/>
      <c r="J50" s="4"/>
    </row>
    <row r="51" spans="1:12" x14ac:dyDescent="0.35">
      <c r="A51">
        <v>2013</v>
      </c>
      <c r="B51">
        <v>64</v>
      </c>
      <c r="C51" t="s">
        <v>76</v>
      </c>
      <c r="D51" s="4">
        <v>308</v>
      </c>
      <c r="E51">
        <v>997</v>
      </c>
      <c r="F51">
        <v>747.4</v>
      </c>
      <c r="G51" s="4"/>
      <c r="J51" s="4"/>
    </row>
    <row r="52" spans="1:12" x14ac:dyDescent="0.35">
      <c r="A52">
        <v>2013</v>
      </c>
      <c r="B52">
        <v>65</v>
      </c>
      <c r="C52" t="s">
        <v>77</v>
      </c>
      <c r="D52" s="4">
        <v>87</v>
      </c>
      <c r="E52">
        <v>236</v>
      </c>
      <c r="F52">
        <v>152.30000000000001</v>
      </c>
      <c r="G52" s="4"/>
      <c r="J52" s="4"/>
    </row>
    <row r="53" spans="1:12" x14ac:dyDescent="0.35">
      <c r="A53">
        <v>2013</v>
      </c>
      <c r="B53">
        <v>66</v>
      </c>
      <c r="C53" t="s">
        <v>78</v>
      </c>
      <c r="D53" s="4">
        <v>1217</v>
      </c>
      <c r="E53">
        <v>19261</v>
      </c>
      <c r="F53">
        <v>15727.3</v>
      </c>
      <c r="G53" s="4">
        <v>4</v>
      </c>
      <c r="H53">
        <v>35</v>
      </c>
      <c r="I53">
        <v>15</v>
      </c>
      <c r="J53" s="4">
        <v>4</v>
      </c>
      <c r="K53">
        <v>134</v>
      </c>
      <c r="L53">
        <v>60.8</v>
      </c>
    </row>
    <row r="54" spans="1:12" x14ac:dyDescent="0.35">
      <c r="A54">
        <v>2013</v>
      </c>
      <c r="B54">
        <v>67</v>
      </c>
      <c r="C54" t="s">
        <v>79</v>
      </c>
      <c r="D54" s="4">
        <v>240</v>
      </c>
      <c r="E54">
        <v>1406</v>
      </c>
      <c r="F54">
        <v>1101</v>
      </c>
      <c r="G54" s="4"/>
      <c r="J54" s="4"/>
    </row>
    <row r="55" spans="1:12" x14ac:dyDescent="0.35">
      <c r="A55">
        <v>2013</v>
      </c>
      <c r="B55">
        <v>68</v>
      </c>
      <c r="C55" t="s">
        <v>80</v>
      </c>
      <c r="D55" s="4">
        <v>153</v>
      </c>
      <c r="E55">
        <v>489</v>
      </c>
      <c r="F55">
        <v>356.6</v>
      </c>
      <c r="G55" s="4"/>
      <c r="J55" s="4"/>
    </row>
    <row r="56" spans="1:12" x14ac:dyDescent="0.35">
      <c r="A56">
        <v>2013</v>
      </c>
      <c r="B56">
        <v>69</v>
      </c>
      <c r="C56" t="s">
        <v>81</v>
      </c>
      <c r="D56" s="4">
        <v>1311</v>
      </c>
      <c r="E56">
        <v>15959</v>
      </c>
      <c r="F56">
        <v>13279</v>
      </c>
      <c r="G56" s="4">
        <v>4</v>
      </c>
      <c r="H56">
        <v>31</v>
      </c>
      <c r="I56">
        <v>20.9</v>
      </c>
      <c r="J56" s="4">
        <v>4</v>
      </c>
      <c r="K56">
        <v>12</v>
      </c>
      <c r="L56">
        <v>11.3</v>
      </c>
    </row>
    <row r="57" spans="1:12" x14ac:dyDescent="0.35">
      <c r="A57">
        <v>2013</v>
      </c>
      <c r="B57">
        <v>70</v>
      </c>
      <c r="C57" t="s">
        <v>82</v>
      </c>
      <c r="D57" s="4">
        <v>35</v>
      </c>
      <c r="E57">
        <v>81</v>
      </c>
      <c r="F57">
        <v>54.4</v>
      </c>
      <c r="G57" s="4"/>
      <c r="J57" s="4"/>
    </row>
    <row r="58" spans="1:12" x14ac:dyDescent="0.35">
      <c r="A58">
        <v>2013</v>
      </c>
      <c r="B58">
        <v>71</v>
      </c>
      <c r="C58" t="s">
        <v>83</v>
      </c>
      <c r="D58" s="4">
        <v>120</v>
      </c>
      <c r="E58">
        <v>521</v>
      </c>
      <c r="F58">
        <v>397.7</v>
      </c>
      <c r="G58" s="4"/>
      <c r="J58" s="4"/>
    </row>
    <row r="59" spans="1:12" x14ac:dyDescent="0.35">
      <c r="A59">
        <v>2013</v>
      </c>
      <c r="B59">
        <v>72</v>
      </c>
      <c r="C59" t="s">
        <v>84</v>
      </c>
      <c r="D59" s="4">
        <v>239</v>
      </c>
      <c r="E59">
        <v>863</v>
      </c>
      <c r="F59">
        <v>644.6</v>
      </c>
      <c r="G59" s="4"/>
      <c r="J59" s="4"/>
    </row>
    <row r="60" spans="1:12" x14ac:dyDescent="0.35">
      <c r="A60">
        <v>2013</v>
      </c>
      <c r="B60">
        <v>81</v>
      </c>
      <c r="C60" t="s">
        <v>85</v>
      </c>
      <c r="D60" s="4">
        <v>62</v>
      </c>
      <c r="E60">
        <v>260</v>
      </c>
      <c r="F60">
        <v>186.2</v>
      </c>
      <c r="G60" s="4"/>
      <c r="J60" s="4"/>
    </row>
    <row r="61" spans="1:12" x14ac:dyDescent="0.35">
      <c r="A61">
        <v>2013</v>
      </c>
      <c r="B61">
        <v>82</v>
      </c>
      <c r="C61" t="s">
        <v>86</v>
      </c>
      <c r="D61" s="4">
        <v>75</v>
      </c>
      <c r="E61">
        <v>287</v>
      </c>
      <c r="F61">
        <v>219.1</v>
      </c>
      <c r="G61" s="4"/>
      <c r="J61" s="4"/>
    </row>
    <row r="62" spans="1:12" x14ac:dyDescent="0.35">
      <c r="A62">
        <v>2013</v>
      </c>
      <c r="B62">
        <v>83</v>
      </c>
      <c r="C62" t="s">
        <v>87</v>
      </c>
      <c r="D62" s="4">
        <v>267</v>
      </c>
      <c r="E62">
        <v>2201</v>
      </c>
      <c r="F62">
        <v>1801.2</v>
      </c>
      <c r="G62" s="4"/>
      <c r="H62">
        <v>20</v>
      </c>
      <c r="I62">
        <v>19.3</v>
      </c>
      <c r="J62" s="4"/>
    </row>
    <row r="63" spans="1:12" x14ac:dyDescent="0.35">
      <c r="A63">
        <v>2013</v>
      </c>
      <c r="B63">
        <v>84</v>
      </c>
      <c r="C63" t="s">
        <v>88</v>
      </c>
      <c r="D63" s="4">
        <v>268</v>
      </c>
      <c r="E63">
        <v>2623</v>
      </c>
      <c r="F63">
        <v>2287.6</v>
      </c>
      <c r="G63" s="4"/>
      <c r="H63">
        <v>19</v>
      </c>
      <c r="I63">
        <v>17.8</v>
      </c>
      <c r="J63" s="4"/>
    </row>
    <row r="64" spans="1:12" x14ac:dyDescent="0.35">
      <c r="A64">
        <v>2013</v>
      </c>
      <c r="B64">
        <v>85</v>
      </c>
      <c r="C64" t="s">
        <v>89</v>
      </c>
      <c r="D64" s="4">
        <v>90</v>
      </c>
      <c r="E64">
        <v>396</v>
      </c>
      <c r="F64">
        <v>318.10000000000002</v>
      </c>
      <c r="G64" s="4"/>
      <c r="J64" s="4"/>
    </row>
    <row r="65" spans="1:12" x14ac:dyDescent="0.35">
      <c r="A65">
        <v>2013</v>
      </c>
      <c r="B65">
        <v>86</v>
      </c>
      <c r="C65" t="s">
        <v>90</v>
      </c>
      <c r="D65" s="4">
        <v>416</v>
      </c>
      <c r="E65">
        <v>3851</v>
      </c>
      <c r="F65">
        <v>3011.5</v>
      </c>
      <c r="G65" s="4"/>
      <c r="J65" s="4"/>
    </row>
    <row r="66" spans="1:12" x14ac:dyDescent="0.35">
      <c r="A66">
        <v>2013</v>
      </c>
      <c r="B66">
        <v>87</v>
      </c>
      <c r="C66" t="s">
        <v>91</v>
      </c>
      <c r="D66" s="4">
        <v>45</v>
      </c>
      <c r="E66">
        <v>128</v>
      </c>
      <c r="F66">
        <v>90.5</v>
      </c>
      <c r="G66" s="4"/>
      <c r="J66" s="4"/>
    </row>
    <row r="67" spans="1:12" x14ac:dyDescent="0.35">
      <c r="A67">
        <v>2013</v>
      </c>
      <c r="B67">
        <v>88</v>
      </c>
      <c r="C67" t="s">
        <v>92</v>
      </c>
      <c r="D67" s="4">
        <v>235</v>
      </c>
      <c r="E67">
        <v>610</v>
      </c>
      <c r="F67">
        <v>428.2</v>
      </c>
      <c r="G67" s="4"/>
      <c r="J67" s="4"/>
    </row>
    <row r="68" spans="1:12" x14ac:dyDescent="0.35">
      <c r="A68">
        <v>2013</v>
      </c>
      <c r="B68">
        <v>89</v>
      </c>
      <c r="C68" t="s">
        <v>93</v>
      </c>
      <c r="D68" s="4">
        <v>209</v>
      </c>
      <c r="E68">
        <v>1312</v>
      </c>
      <c r="F68">
        <v>1049.0999999999999</v>
      </c>
      <c r="G68" s="4"/>
      <c r="J68" s="4"/>
    </row>
    <row r="69" spans="1:12" x14ac:dyDescent="0.35">
      <c r="A69">
        <v>2013</v>
      </c>
      <c r="B69">
        <v>90</v>
      </c>
      <c r="C69" t="s">
        <v>94</v>
      </c>
      <c r="D69" s="4">
        <v>409</v>
      </c>
      <c r="E69">
        <v>2085</v>
      </c>
      <c r="F69">
        <v>1632.2</v>
      </c>
      <c r="G69" s="4"/>
      <c r="J69" s="4"/>
      <c r="K69">
        <v>6</v>
      </c>
      <c r="L69">
        <v>5.5</v>
      </c>
    </row>
    <row r="70" spans="1:12" x14ac:dyDescent="0.35">
      <c r="A70">
        <v>2013</v>
      </c>
      <c r="B70">
        <v>91</v>
      </c>
      <c r="C70" t="s">
        <v>95</v>
      </c>
      <c r="D70" s="4">
        <v>159</v>
      </c>
      <c r="E70">
        <v>872</v>
      </c>
      <c r="F70">
        <v>701.6</v>
      </c>
      <c r="G70" s="4"/>
      <c r="J70" s="4"/>
    </row>
    <row r="71" spans="1:12" x14ac:dyDescent="0.35">
      <c r="A71">
        <v>2013</v>
      </c>
      <c r="B71">
        <v>92</v>
      </c>
      <c r="C71" t="s">
        <v>96</v>
      </c>
      <c r="D71" s="4">
        <v>286</v>
      </c>
      <c r="E71">
        <v>1551</v>
      </c>
      <c r="F71">
        <v>1291.5999999999999</v>
      </c>
      <c r="G71" s="4"/>
      <c r="J71" s="4"/>
      <c r="K71">
        <v>6</v>
      </c>
      <c r="L71">
        <v>5.0999999999999996</v>
      </c>
    </row>
    <row r="72" spans="1:12" x14ac:dyDescent="0.35">
      <c r="A72">
        <v>2013</v>
      </c>
      <c r="B72">
        <v>93</v>
      </c>
      <c r="C72" t="s">
        <v>97</v>
      </c>
      <c r="D72" s="4">
        <v>75</v>
      </c>
      <c r="E72">
        <v>290</v>
      </c>
      <c r="F72">
        <v>200.8</v>
      </c>
      <c r="G72" s="4"/>
      <c r="J72" s="4"/>
    </row>
    <row r="73" spans="1:12" x14ac:dyDescent="0.35">
      <c r="A73">
        <v>2013</v>
      </c>
      <c r="B73">
        <v>94</v>
      </c>
      <c r="C73" t="s">
        <v>98</v>
      </c>
      <c r="D73" s="4">
        <v>250</v>
      </c>
      <c r="E73">
        <v>2954</v>
      </c>
      <c r="F73">
        <v>2457</v>
      </c>
      <c r="G73" s="4"/>
      <c r="J73" s="4"/>
      <c r="K73">
        <v>5</v>
      </c>
      <c r="L73">
        <v>4.5</v>
      </c>
    </row>
    <row r="74" spans="1:12" x14ac:dyDescent="0.35">
      <c r="A74">
        <v>2013</v>
      </c>
      <c r="B74">
        <v>95</v>
      </c>
      <c r="C74" t="s">
        <v>99</v>
      </c>
      <c r="D74" s="4">
        <v>33</v>
      </c>
      <c r="E74">
        <v>215</v>
      </c>
      <c r="F74">
        <v>152.5</v>
      </c>
      <c r="G74" s="4"/>
      <c r="J74" s="4"/>
    </row>
    <row r="75" spans="1:12" x14ac:dyDescent="0.35">
      <c r="A75">
        <v>2013</v>
      </c>
      <c r="B75">
        <v>96</v>
      </c>
      <c r="C75" t="s">
        <v>100</v>
      </c>
      <c r="D75" s="4">
        <v>1258</v>
      </c>
      <c r="E75">
        <v>10633</v>
      </c>
      <c r="F75">
        <v>8783.2000000000007</v>
      </c>
      <c r="G75" s="4">
        <v>6</v>
      </c>
      <c r="H75">
        <v>16</v>
      </c>
      <c r="I75">
        <v>13.7</v>
      </c>
      <c r="J75" s="4">
        <v>6</v>
      </c>
      <c r="K75">
        <v>27</v>
      </c>
      <c r="L75">
        <v>23.9</v>
      </c>
    </row>
    <row r="76" spans="1:12" x14ac:dyDescent="0.35">
      <c r="A76">
        <v>2013</v>
      </c>
      <c r="B76">
        <v>97</v>
      </c>
      <c r="C76" t="s">
        <v>101</v>
      </c>
      <c r="D76" s="4">
        <v>731</v>
      </c>
      <c r="E76">
        <v>5872</v>
      </c>
      <c r="F76">
        <v>4844.5</v>
      </c>
      <c r="G76" s="4"/>
      <c r="H76">
        <v>5</v>
      </c>
      <c r="I76">
        <v>4.9000000000000004</v>
      </c>
      <c r="J76" s="4">
        <v>3</v>
      </c>
    </row>
    <row r="77" spans="1:12" x14ac:dyDescent="0.35">
      <c r="A77">
        <v>2013</v>
      </c>
      <c r="B77">
        <v>98</v>
      </c>
      <c r="C77" t="s">
        <v>102</v>
      </c>
      <c r="D77" s="4">
        <v>57</v>
      </c>
      <c r="E77">
        <v>135</v>
      </c>
      <c r="F77">
        <v>87.4</v>
      </c>
      <c r="G77" s="4"/>
      <c r="J77" s="4"/>
    </row>
    <row r="78" spans="1:12" x14ac:dyDescent="0.35">
      <c r="A78">
        <v>2013</v>
      </c>
      <c r="B78">
        <v>99</v>
      </c>
      <c r="C78" t="s">
        <v>103</v>
      </c>
      <c r="D78" s="4">
        <v>101</v>
      </c>
      <c r="E78">
        <v>372</v>
      </c>
      <c r="F78">
        <v>250.7</v>
      </c>
      <c r="G78" s="4"/>
      <c r="J78" s="4"/>
    </row>
    <row r="79" spans="1:12" x14ac:dyDescent="0.35">
      <c r="A79">
        <v>2013</v>
      </c>
      <c r="B79">
        <v>100</v>
      </c>
      <c r="C79" t="s">
        <v>104</v>
      </c>
      <c r="D79" s="4">
        <v>145</v>
      </c>
      <c r="E79">
        <v>578</v>
      </c>
      <c r="F79">
        <v>434.7</v>
      </c>
      <c r="G79" s="4"/>
      <c r="J79" s="4"/>
    </row>
    <row r="80" spans="1:12" x14ac:dyDescent="0.35">
      <c r="A80">
        <v>2013</v>
      </c>
      <c r="B80">
        <v>101</v>
      </c>
      <c r="C80" t="s">
        <v>105</v>
      </c>
      <c r="D80" s="4">
        <v>204</v>
      </c>
      <c r="E80">
        <v>739</v>
      </c>
      <c r="F80">
        <v>569.79999999999995</v>
      </c>
      <c r="G80" s="4"/>
      <c r="J80" s="4"/>
    </row>
    <row r="81" spans="1:12" x14ac:dyDescent="0.35">
      <c r="A81">
        <v>2013</v>
      </c>
      <c r="B81">
        <v>102</v>
      </c>
      <c r="C81" t="s">
        <v>106</v>
      </c>
      <c r="D81" s="4">
        <v>77</v>
      </c>
      <c r="E81">
        <v>252</v>
      </c>
      <c r="F81">
        <v>199.1</v>
      </c>
      <c r="G81" s="4"/>
      <c r="J81" s="4"/>
    </row>
    <row r="82" spans="1:12" x14ac:dyDescent="0.35">
      <c r="A82">
        <v>2013</v>
      </c>
      <c r="B82">
        <v>111</v>
      </c>
      <c r="C82" t="s">
        <v>107</v>
      </c>
      <c r="D82" s="4">
        <v>396</v>
      </c>
      <c r="E82">
        <v>1550</v>
      </c>
      <c r="F82">
        <v>1083.7</v>
      </c>
      <c r="G82" s="4"/>
      <c r="H82">
        <v>8</v>
      </c>
      <c r="I82">
        <v>7.4</v>
      </c>
      <c r="J82" s="4"/>
    </row>
    <row r="83" spans="1:12" x14ac:dyDescent="0.35">
      <c r="A83">
        <v>2013</v>
      </c>
      <c r="B83">
        <v>112</v>
      </c>
      <c r="C83" t="s">
        <v>108</v>
      </c>
      <c r="D83" s="4">
        <v>521</v>
      </c>
      <c r="E83">
        <v>3398</v>
      </c>
      <c r="F83">
        <v>2660.4</v>
      </c>
      <c r="G83" s="4"/>
      <c r="J83" s="4">
        <v>3</v>
      </c>
      <c r="K83">
        <v>4</v>
      </c>
    </row>
    <row r="84" spans="1:12" x14ac:dyDescent="0.35">
      <c r="A84">
        <v>2013</v>
      </c>
      <c r="B84">
        <v>113</v>
      </c>
      <c r="C84" t="s">
        <v>109</v>
      </c>
      <c r="D84" s="4">
        <v>424</v>
      </c>
      <c r="E84">
        <v>1773</v>
      </c>
      <c r="F84">
        <v>1228.4000000000001</v>
      </c>
      <c r="G84" s="4"/>
      <c r="J84" s="4"/>
    </row>
    <row r="85" spans="1:12" x14ac:dyDescent="0.35">
      <c r="A85">
        <v>2013</v>
      </c>
      <c r="B85">
        <v>114</v>
      </c>
      <c r="C85" t="s">
        <v>110</v>
      </c>
      <c r="D85" s="4">
        <v>203</v>
      </c>
      <c r="E85">
        <v>765</v>
      </c>
      <c r="F85">
        <v>527.79999999999995</v>
      </c>
      <c r="G85" s="4"/>
      <c r="J85" s="4"/>
    </row>
    <row r="86" spans="1:12" x14ac:dyDescent="0.35">
      <c r="A86">
        <v>2013</v>
      </c>
      <c r="B86">
        <v>115</v>
      </c>
      <c r="C86" t="s">
        <v>111</v>
      </c>
      <c r="D86" s="4">
        <v>625</v>
      </c>
      <c r="E86">
        <v>2738</v>
      </c>
      <c r="F86">
        <v>2043.2</v>
      </c>
      <c r="G86" s="4"/>
      <c r="H86">
        <v>4</v>
      </c>
      <c r="J86" s="4"/>
    </row>
    <row r="87" spans="1:12" x14ac:dyDescent="0.35">
      <c r="A87">
        <v>2013</v>
      </c>
      <c r="B87">
        <v>116</v>
      </c>
      <c r="C87" t="s">
        <v>112</v>
      </c>
      <c r="D87" s="4">
        <v>252</v>
      </c>
      <c r="E87">
        <v>1651</v>
      </c>
      <c r="F87">
        <v>1286.4000000000001</v>
      </c>
      <c r="G87" s="4"/>
      <c r="J87" s="4"/>
    </row>
    <row r="88" spans="1:12" x14ac:dyDescent="0.35">
      <c r="A88">
        <v>2013</v>
      </c>
      <c r="B88">
        <v>117</v>
      </c>
      <c r="C88" t="s">
        <v>113</v>
      </c>
      <c r="D88" s="4">
        <v>820</v>
      </c>
      <c r="E88">
        <v>6649</v>
      </c>
      <c r="F88">
        <v>5465</v>
      </c>
      <c r="G88" s="4"/>
      <c r="H88">
        <v>5</v>
      </c>
      <c r="J88" s="4"/>
    </row>
    <row r="89" spans="1:12" x14ac:dyDescent="0.35">
      <c r="A89">
        <v>2013</v>
      </c>
      <c r="B89">
        <v>118</v>
      </c>
      <c r="C89" t="s">
        <v>114</v>
      </c>
      <c r="D89" s="4">
        <v>791</v>
      </c>
      <c r="E89">
        <v>4566</v>
      </c>
      <c r="F89">
        <v>3411.2</v>
      </c>
      <c r="G89" s="4"/>
      <c r="J89" s="4">
        <v>5</v>
      </c>
      <c r="K89">
        <v>13</v>
      </c>
      <c r="L89">
        <v>8.8000000000000007</v>
      </c>
    </row>
    <row r="90" spans="1:12" x14ac:dyDescent="0.35">
      <c r="A90">
        <v>2013</v>
      </c>
      <c r="B90">
        <v>119</v>
      </c>
      <c r="C90" t="s">
        <v>115</v>
      </c>
      <c r="D90" s="4">
        <v>99</v>
      </c>
      <c r="E90">
        <v>555</v>
      </c>
      <c r="F90">
        <v>385.8</v>
      </c>
      <c r="G90" s="4"/>
      <c r="J90" s="4"/>
    </row>
    <row r="91" spans="1:12" x14ac:dyDescent="0.35">
      <c r="A91">
        <v>2013</v>
      </c>
      <c r="B91">
        <v>120</v>
      </c>
      <c r="C91" t="s">
        <v>116</v>
      </c>
      <c r="D91" s="4">
        <v>641</v>
      </c>
      <c r="E91">
        <v>3342</v>
      </c>
      <c r="F91">
        <v>2482.6999999999998</v>
      </c>
      <c r="G91" s="4">
        <v>5</v>
      </c>
      <c r="H91">
        <v>12</v>
      </c>
      <c r="I91">
        <v>9.5</v>
      </c>
      <c r="J91" s="4"/>
    </row>
    <row r="92" spans="1:12" x14ac:dyDescent="0.35">
      <c r="A92">
        <v>2013</v>
      </c>
      <c r="B92">
        <v>121</v>
      </c>
      <c r="C92" t="s">
        <v>117</v>
      </c>
      <c r="D92" s="4">
        <v>1785</v>
      </c>
      <c r="E92">
        <v>14193</v>
      </c>
      <c r="F92">
        <v>10086</v>
      </c>
      <c r="G92" s="4">
        <v>3</v>
      </c>
      <c r="H92">
        <v>13</v>
      </c>
      <c r="I92">
        <v>11.1</v>
      </c>
      <c r="J92" s="4">
        <v>6</v>
      </c>
      <c r="K92">
        <v>9</v>
      </c>
      <c r="L92">
        <v>7.8</v>
      </c>
    </row>
    <row r="93" spans="1:12" x14ac:dyDescent="0.35">
      <c r="A93">
        <v>2013</v>
      </c>
      <c r="B93">
        <v>131</v>
      </c>
      <c r="C93" t="s">
        <v>118</v>
      </c>
      <c r="D93" s="4">
        <v>1022</v>
      </c>
      <c r="E93">
        <v>8229</v>
      </c>
      <c r="F93">
        <v>6723.6</v>
      </c>
      <c r="G93" s="4"/>
      <c r="J93" s="4">
        <v>4</v>
      </c>
      <c r="K93">
        <v>14</v>
      </c>
      <c r="L93">
        <v>8.8000000000000007</v>
      </c>
    </row>
    <row r="94" spans="1:12" x14ac:dyDescent="0.35">
      <c r="A94">
        <v>2013</v>
      </c>
      <c r="B94">
        <v>135</v>
      </c>
      <c r="C94" t="s">
        <v>119</v>
      </c>
      <c r="D94" s="4">
        <v>539</v>
      </c>
      <c r="E94">
        <v>4100</v>
      </c>
      <c r="F94">
        <v>3082.5</v>
      </c>
      <c r="G94" s="4"/>
      <c r="J94" s="4"/>
    </row>
    <row r="95" spans="1:12" x14ac:dyDescent="0.35">
      <c r="A95">
        <v>2013</v>
      </c>
      <c r="B95">
        <v>136</v>
      </c>
      <c r="C95" t="s">
        <v>120</v>
      </c>
      <c r="D95" s="4">
        <v>361</v>
      </c>
      <c r="E95">
        <v>1510</v>
      </c>
      <c r="F95">
        <v>1062.0999999999999</v>
      </c>
      <c r="G95" s="4"/>
      <c r="J95" s="4"/>
    </row>
    <row r="96" spans="1:12" x14ac:dyDescent="0.35">
      <c r="A96">
        <v>2013</v>
      </c>
      <c r="B96">
        <v>137</v>
      </c>
      <c r="C96" t="s">
        <v>121</v>
      </c>
      <c r="D96" s="4">
        <v>282</v>
      </c>
      <c r="E96">
        <v>1057</v>
      </c>
      <c r="F96">
        <v>729</v>
      </c>
      <c r="G96" s="4"/>
      <c r="J96" s="4"/>
    </row>
    <row r="97" spans="1:12" x14ac:dyDescent="0.35">
      <c r="A97">
        <v>2013</v>
      </c>
      <c r="B97">
        <v>138</v>
      </c>
      <c r="C97" t="s">
        <v>122</v>
      </c>
      <c r="D97" s="4">
        <v>725</v>
      </c>
      <c r="E97">
        <v>3769</v>
      </c>
      <c r="F97">
        <v>2976</v>
      </c>
      <c r="G97" s="4">
        <v>3</v>
      </c>
      <c r="J97" s="4"/>
      <c r="K97">
        <v>11</v>
      </c>
      <c r="L97">
        <v>8.6999999999999993</v>
      </c>
    </row>
    <row r="98" spans="1:12" x14ac:dyDescent="0.35">
      <c r="A98">
        <v>2013</v>
      </c>
      <c r="B98">
        <v>139</v>
      </c>
      <c r="C98" t="s">
        <v>123</v>
      </c>
      <c r="D98" s="4">
        <v>391</v>
      </c>
      <c r="E98">
        <v>3008</v>
      </c>
      <c r="F98">
        <v>2353.4</v>
      </c>
      <c r="G98" s="4"/>
      <c r="J98" s="4">
        <v>3</v>
      </c>
      <c r="K98">
        <v>6</v>
      </c>
      <c r="L98">
        <v>4.9000000000000004</v>
      </c>
    </row>
    <row r="99" spans="1:12" x14ac:dyDescent="0.35">
      <c r="A99">
        <v>2013</v>
      </c>
      <c r="B99">
        <v>141</v>
      </c>
      <c r="C99" t="s">
        <v>124</v>
      </c>
      <c r="D99" s="4">
        <v>1221</v>
      </c>
      <c r="E99">
        <v>6792</v>
      </c>
      <c r="F99">
        <v>4806.8999999999996</v>
      </c>
      <c r="G99" s="4">
        <v>3</v>
      </c>
      <c r="H99">
        <v>4</v>
      </c>
      <c r="J99" s="4">
        <v>4</v>
      </c>
      <c r="K99">
        <v>13</v>
      </c>
      <c r="L99">
        <v>8.4</v>
      </c>
    </row>
    <row r="100" spans="1:12" x14ac:dyDescent="0.35">
      <c r="A100">
        <v>2013</v>
      </c>
      <c r="B100">
        <v>151</v>
      </c>
      <c r="C100" t="s">
        <v>125</v>
      </c>
      <c r="D100" s="4">
        <v>437</v>
      </c>
      <c r="E100">
        <v>2067</v>
      </c>
      <c r="F100">
        <v>1535.8</v>
      </c>
      <c r="G100" s="4"/>
      <c r="H100">
        <v>9</v>
      </c>
      <c r="I100">
        <v>8.3000000000000007</v>
      </c>
      <c r="J100" s="4"/>
    </row>
    <row r="101" spans="1:12" x14ac:dyDescent="0.35">
      <c r="A101">
        <v>2013</v>
      </c>
      <c r="B101">
        <v>152</v>
      </c>
      <c r="C101" t="s">
        <v>126</v>
      </c>
      <c r="D101" s="4">
        <v>394</v>
      </c>
      <c r="E101">
        <v>1299</v>
      </c>
      <c r="F101">
        <v>923.9</v>
      </c>
      <c r="G101" s="4"/>
      <c r="J101" s="4">
        <v>4</v>
      </c>
      <c r="K101">
        <v>4</v>
      </c>
    </row>
    <row r="102" spans="1:12" x14ac:dyDescent="0.35">
      <c r="A102">
        <v>2013</v>
      </c>
      <c r="B102">
        <v>153</v>
      </c>
      <c r="C102" t="s">
        <v>127</v>
      </c>
      <c r="D102" s="4">
        <v>592</v>
      </c>
      <c r="E102">
        <v>2981</v>
      </c>
      <c r="F102">
        <v>2193.9</v>
      </c>
      <c r="G102" s="4"/>
      <c r="J102" s="4"/>
    </row>
    <row r="103" spans="1:12" x14ac:dyDescent="0.35">
      <c r="A103">
        <v>2013</v>
      </c>
      <c r="B103">
        <v>154</v>
      </c>
      <c r="C103" t="s">
        <v>128</v>
      </c>
      <c r="D103" s="4">
        <v>1247</v>
      </c>
      <c r="E103">
        <v>6231</v>
      </c>
      <c r="F103">
        <v>4751.5</v>
      </c>
      <c r="G103" s="4">
        <v>3</v>
      </c>
      <c r="H103">
        <v>9</v>
      </c>
      <c r="I103">
        <v>7</v>
      </c>
      <c r="J103" s="4">
        <v>5</v>
      </c>
      <c r="K103">
        <v>83</v>
      </c>
      <c r="L103">
        <v>74.8</v>
      </c>
    </row>
    <row r="104" spans="1:12" x14ac:dyDescent="0.35">
      <c r="A104">
        <v>2013</v>
      </c>
      <c r="B104">
        <v>155</v>
      </c>
      <c r="C104" t="s">
        <v>129</v>
      </c>
      <c r="D104" s="4">
        <v>703</v>
      </c>
      <c r="E104">
        <v>4707</v>
      </c>
      <c r="F104">
        <v>3638.6</v>
      </c>
      <c r="G104" s="4"/>
      <c r="H104">
        <v>7</v>
      </c>
      <c r="J104" s="4"/>
    </row>
    <row r="105" spans="1:12" x14ac:dyDescent="0.35">
      <c r="A105">
        <v>2013</v>
      </c>
      <c r="B105">
        <v>156</v>
      </c>
      <c r="C105" t="s">
        <v>130</v>
      </c>
      <c r="D105" s="4">
        <v>1053</v>
      </c>
      <c r="E105">
        <v>6106</v>
      </c>
      <c r="F105">
        <v>4568.1000000000004</v>
      </c>
      <c r="G105" s="4"/>
      <c r="J105" s="4"/>
    </row>
    <row r="106" spans="1:12" x14ac:dyDescent="0.35">
      <c r="A106">
        <v>2013</v>
      </c>
      <c r="B106">
        <v>157</v>
      </c>
      <c r="C106" t="s">
        <v>131</v>
      </c>
      <c r="D106" s="4">
        <v>266</v>
      </c>
      <c r="E106">
        <v>2087</v>
      </c>
      <c r="F106">
        <v>1596.5</v>
      </c>
      <c r="G106" s="4"/>
      <c r="J106" s="4"/>
    </row>
    <row r="107" spans="1:12" x14ac:dyDescent="0.35">
      <c r="A107">
        <v>2013</v>
      </c>
      <c r="B107">
        <v>158</v>
      </c>
      <c r="C107" t="s">
        <v>132</v>
      </c>
      <c r="D107" s="4">
        <v>993</v>
      </c>
      <c r="E107">
        <v>5803</v>
      </c>
      <c r="F107">
        <v>4646.3999999999996</v>
      </c>
      <c r="G107" s="4"/>
      <c r="J107" s="4"/>
      <c r="K107">
        <v>25</v>
      </c>
      <c r="L107">
        <v>15.5</v>
      </c>
    </row>
    <row r="108" spans="1:12" x14ac:dyDescent="0.35">
      <c r="A108">
        <v>2013</v>
      </c>
      <c r="B108">
        <v>159</v>
      </c>
      <c r="C108" t="s">
        <v>133</v>
      </c>
      <c r="D108" s="4">
        <v>334</v>
      </c>
      <c r="E108">
        <v>1606</v>
      </c>
      <c r="F108">
        <v>1218.3</v>
      </c>
      <c r="G108" s="4"/>
      <c r="J108" s="4"/>
    </row>
    <row r="109" spans="1:12" x14ac:dyDescent="0.35">
      <c r="A109">
        <v>2013</v>
      </c>
      <c r="B109">
        <v>160</v>
      </c>
      <c r="C109" t="s">
        <v>134</v>
      </c>
      <c r="D109" s="4">
        <v>355</v>
      </c>
      <c r="E109">
        <v>1573</v>
      </c>
      <c r="F109">
        <v>1149.5999999999999</v>
      </c>
      <c r="G109" s="4"/>
      <c r="J109" s="4"/>
    </row>
    <row r="110" spans="1:12" x14ac:dyDescent="0.35">
      <c r="A110">
        <v>2013</v>
      </c>
      <c r="B110">
        <v>161</v>
      </c>
      <c r="C110" t="s">
        <v>135</v>
      </c>
      <c r="D110" s="4">
        <v>1092</v>
      </c>
      <c r="E110">
        <v>5974</v>
      </c>
      <c r="F110">
        <v>4390.6000000000004</v>
      </c>
      <c r="G110" s="4">
        <v>3</v>
      </c>
      <c r="H110">
        <v>9</v>
      </c>
      <c r="I110">
        <v>6.7</v>
      </c>
      <c r="J110" s="4">
        <v>4</v>
      </c>
      <c r="K110">
        <v>7</v>
      </c>
      <c r="L110">
        <v>6.3</v>
      </c>
    </row>
    <row r="111" spans="1:12" x14ac:dyDescent="0.35">
      <c r="A111">
        <v>2013</v>
      </c>
      <c r="B111">
        <v>172</v>
      </c>
      <c r="C111" t="s">
        <v>136</v>
      </c>
      <c r="D111" s="4">
        <v>436</v>
      </c>
      <c r="E111">
        <v>3887</v>
      </c>
      <c r="F111">
        <v>3138.5</v>
      </c>
      <c r="G111" s="4">
        <v>4</v>
      </c>
      <c r="H111">
        <v>42</v>
      </c>
      <c r="I111">
        <v>36</v>
      </c>
      <c r="J111" s="4"/>
    </row>
    <row r="112" spans="1:12" x14ac:dyDescent="0.35">
      <c r="A112">
        <v>2013</v>
      </c>
      <c r="B112">
        <v>173</v>
      </c>
      <c r="C112" t="s">
        <v>137</v>
      </c>
      <c r="D112" s="4">
        <v>256</v>
      </c>
      <c r="E112">
        <v>832</v>
      </c>
      <c r="F112">
        <v>604.5</v>
      </c>
      <c r="G112" s="4"/>
      <c r="J112" s="4"/>
    </row>
    <row r="113" spans="1:12" x14ac:dyDescent="0.35">
      <c r="A113">
        <v>2013</v>
      </c>
      <c r="B113">
        <v>176</v>
      </c>
      <c r="C113" t="s">
        <v>138</v>
      </c>
      <c r="D113" s="4">
        <v>312</v>
      </c>
      <c r="E113">
        <v>2500</v>
      </c>
      <c r="F113">
        <v>1957.3</v>
      </c>
      <c r="G113" s="4"/>
      <c r="J113" s="4"/>
    </row>
    <row r="114" spans="1:12" x14ac:dyDescent="0.35">
      <c r="A114">
        <v>2013</v>
      </c>
      <c r="B114">
        <v>177</v>
      </c>
      <c r="C114" t="s">
        <v>139</v>
      </c>
      <c r="D114" s="4">
        <v>786</v>
      </c>
      <c r="E114">
        <v>5420</v>
      </c>
      <c r="F114">
        <v>4014.6</v>
      </c>
      <c r="G114" s="4"/>
      <c r="J114" s="4"/>
    </row>
    <row r="115" spans="1:12" x14ac:dyDescent="0.35">
      <c r="A115">
        <v>2013</v>
      </c>
      <c r="B115">
        <v>178</v>
      </c>
      <c r="C115" t="s">
        <v>140</v>
      </c>
      <c r="D115" s="4">
        <v>269</v>
      </c>
      <c r="E115">
        <v>1200</v>
      </c>
      <c r="F115">
        <v>871.8</v>
      </c>
      <c r="G115" s="4"/>
      <c r="J115" s="4"/>
    </row>
    <row r="116" spans="1:12" x14ac:dyDescent="0.35">
      <c r="A116">
        <v>2013</v>
      </c>
      <c r="B116">
        <v>180</v>
      </c>
      <c r="C116" t="s">
        <v>141</v>
      </c>
      <c r="D116" s="4">
        <v>226</v>
      </c>
      <c r="E116">
        <v>846</v>
      </c>
      <c r="F116">
        <v>617.4</v>
      </c>
      <c r="G116" s="4"/>
      <c r="J116" s="4"/>
    </row>
    <row r="117" spans="1:12" x14ac:dyDescent="0.35">
      <c r="A117">
        <v>2013</v>
      </c>
      <c r="B117">
        <v>181</v>
      </c>
      <c r="C117" t="s">
        <v>142</v>
      </c>
      <c r="D117" s="4">
        <v>172</v>
      </c>
      <c r="E117">
        <v>617</v>
      </c>
      <c r="F117">
        <v>443.5</v>
      </c>
      <c r="G117" s="4"/>
      <c r="J117" s="4"/>
    </row>
    <row r="118" spans="1:12" x14ac:dyDescent="0.35">
      <c r="A118">
        <v>2013</v>
      </c>
      <c r="B118">
        <v>182</v>
      </c>
      <c r="C118" t="s">
        <v>143</v>
      </c>
      <c r="D118" s="4">
        <v>69</v>
      </c>
      <c r="E118">
        <v>221</v>
      </c>
      <c r="F118">
        <v>159.5</v>
      </c>
      <c r="G118" s="4"/>
      <c r="J118" s="4"/>
    </row>
    <row r="119" spans="1:12" x14ac:dyDescent="0.35">
      <c r="A119">
        <v>2013</v>
      </c>
      <c r="B119">
        <v>191</v>
      </c>
      <c r="C119" t="s">
        <v>144</v>
      </c>
      <c r="D119" s="4">
        <v>1765</v>
      </c>
      <c r="E119">
        <v>20336</v>
      </c>
      <c r="F119">
        <v>16044.7</v>
      </c>
      <c r="G119" s="4">
        <v>6</v>
      </c>
      <c r="H119">
        <v>14</v>
      </c>
      <c r="I119">
        <v>12.2</v>
      </c>
      <c r="J119" s="4">
        <v>4</v>
      </c>
      <c r="K119">
        <v>7</v>
      </c>
      <c r="L119">
        <v>6.8</v>
      </c>
    </row>
    <row r="120" spans="1:12" x14ac:dyDescent="0.35">
      <c r="A120">
        <v>2013</v>
      </c>
      <c r="B120">
        <v>192</v>
      </c>
      <c r="C120" t="s">
        <v>145</v>
      </c>
      <c r="D120" s="4">
        <v>574</v>
      </c>
      <c r="E120">
        <v>2460</v>
      </c>
      <c r="F120">
        <v>1853.1</v>
      </c>
      <c r="G120" s="4"/>
      <c r="H120">
        <v>4</v>
      </c>
      <c r="J120" s="4"/>
      <c r="K120">
        <v>4</v>
      </c>
    </row>
    <row r="121" spans="1:12" x14ac:dyDescent="0.35">
      <c r="A121">
        <v>2013</v>
      </c>
      <c r="B121">
        <v>193</v>
      </c>
      <c r="C121" t="s">
        <v>146</v>
      </c>
      <c r="D121" s="4">
        <v>465</v>
      </c>
      <c r="E121">
        <v>2983</v>
      </c>
      <c r="F121">
        <v>2451.1999999999998</v>
      </c>
      <c r="G121" s="4"/>
      <c r="J121" s="4"/>
    </row>
    <row r="122" spans="1:12" x14ac:dyDescent="0.35">
      <c r="A122">
        <v>2013</v>
      </c>
      <c r="B122">
        <v>194</v>
      </c>
      <c r="C122" t="s">
        <v>147</v>
      </c>
      <c r="D122" s="4">
        <v>206</v>
      </c>
      <c r="E122">
        <v>1716</v>
      </c>
      <c r="F122">
        <v>1302.4000000000001</v>
      </c>
      <c r="G122" s="4"/>
      <c r="J122" s="4"/>
    </row>
    <row r="123" spans="1:12" x14ac:dyDescent="0.35">
      <c r="A123">
        <v>2013</v>
      </c>
      <c r="B123">
        <v>195</v>
      </c>
      <c r="C123" t="s">
        <v>148</v>
      </c>
      <c r="D123" s="4">
        <v>636</v>
      </c>
      <c r="E123">
        <v>2263</v>
      </c>
      <c r="F123">
        <v>1611.5</v>
      </c>
      <c r="G123" s="4"/>
      <c r="J123" s="4">
        <v>3</v>
      </c>
      <c r="K123">
        <v>5</v>
      </c>
    </row>
    <row r="124" spans="1:12" x14ac:dyDescent="0.35">
      <c r="A124">
        <v>2013</v>
      </c>
      <c r="B124">
        <v>196</v>
      </c>
      <c r="C124" t="s">
        <v>149</v>
      </c>
      <c r="D124" s="4">
        <v>255</v>
      </c>
      <c r="E124">
        <v>1384</v>
      </c>
      <c r="F124">
        <v>1073.0999999999999</v>
      </c>
      <c r="G124" s="4"/>
      <c r="J124" s="4"/>
    </row>
    <row r="125" spans="1:12" x14ac:dyDescent="0.35">
      <c r="A125">
        <v>2013</v>
      </c>
      <c r="B125">
        <v>197</v>
      </c>
      <c r="C125" t="s">
        <v>150</v>
      </c>
      <c r="D125" s="4">
        <v>289</v>
      </c>
      <c r="E125">
        <v>2993</v>
      </c>
      <c r="F125">
        <v>2474.3000000000002</v>
      </c>
      <c r="G125" s="4"/>
      <c r="J125" s="4"/>
    </row>
    <row r="126" spans="1:12" x14ac:dyDescent="0.35">
      <c r="A126">
        <v>2013</v>
      </c>
      <c r="B126">
        <v>198</v>
      </c>
      <c r="C126" t="s">
        <v>151</v>
      </c>
      <c r="D126" s="4">
        <v>2318</v>
      </c>
      <c r="E126">
        <v>16313</v>
      </c>
      <c r="F126">
        <v>12266.5</v>
      </c>
      <c r="G126" s="4"/>
      <c r="J126" s="4"/>
      <c r="K126">
        <v>4</v>
      </c>
    </row>
    <row r="127" spans="1:12" x14ac:dyDescent="0.35">
      <c r="A127">
        <v>2013</v>
      </c>
      <c r="B127">
        <v>199</v>
      </c>
      <c r="C127" t="s">
        <v>152</v>
      </c>
      <c r="D127" s="4">
        <v>1236</v>
      </c>
      <c r="E127">
        <v>11047</v>
      </c>
      <c r="F127">
        <v>8853.2000000000007</v>
      </c>
      <c r="G127" s="4">
        <v>6</v>
      </c>
      <c r="H127">
        <v>49</v>
      </c>
      <c r="I127">
        <v>37.700000000000003</v>
      </c>
      <c r="J127" s="4">
        <v>3</v>
      </c>
      <c r="K127">
        <v>7</v>
      </c>
      <c r="L127">
        <v>4</v>
      </c>
    </row>
    <row r="128" spans="1:12" x14ac:dyDescent="0.35">
      <c r="A128">
        <v>2013</v>
      </c>
      <c r="B128">
        <v>200</v>
      </c>
      <c r="C128" t="s">
        <v>153</v>
      </c>
      <c r="D128" s="4">
        <v>528</v>
      </c>
      <c r="E128">
        <v>5565</v>
      </c>
      <c r="F128">
        <v>4539.6000000000004</v>
      </c>
      <c r="G128" s="4"/>
      <c r="J128" s="4"/>
    </row>
    <row r="129" spans="1:12" x14ac:dyDescent="0.35">
      <c r="A129">
        <v>2013</v>
      </c>
      <c r="B129">
        <v>211</v>
      </c>
      <c r="C129" t="s">
        <v>154</v>
      </c>
      <c r="D129" s="4">
        <v>62</v>
      </c>
      <c r="E129">
        <v>154</v>
      </c>
      <c r="F129">
        <v>93.7</v>
      </c>
      <c r="G129" s="4"/>
      <c r="J129" s="4"/>
    </row>
    <row r="130" spans="1:12" x14ac:dyDescent="0.35">
      <c r="A130">
        <v>2013</v>
      </c>
      <c r="B130">
        <v>213</v>
      </c>
      <c r="C130" t="s">
        <v>155</v>
      </c>
      <c r="D130" s="4">
        <v>128</v>
      </c>
      <c r="E130">
        <v>350</v>
      </c>
      <c r="F130">
        <v>251.2</v>
      </c>
      <c r="G130" s="4"/>
      <c r="J130" s="4"/>
      <c r="K130">
        <v>4</v>
      </c>
    </row>
    <row r="131" spans="1:12" x14ac:dyDescent="0.35">
      <c r="A131">
        <v>2013</v>
      </c>
      <c r="B131">
        <v>214</v>
      </c>
      <c r="C131" t="s">
        <v>156</v>
      </c>
      <c r="D131" s="4">
        <v>89</v>
      </c>
      <c r="E131">
        <v>286</v>
      </c>
      <c r="F131">
        <v>198</v>
      </c>
      <c r="G131" s="4"/>
      <c r="J131" s="4"/>
    </row>
    <row r="132" spans="1:12" x14ac:dyDescent="0.35">
      <c r="A132">
        <v>2013</v>
      </c>
      <c r="B132">
        <v>215</v>
      </c>
      <c r="C132" t="s">
        <v>157</v>
      </c>
      <c r="D132" s="4">
        <v>53</v>
      </c>
      <c r="E132">
        <v>115</v>
      </c>
      <c r="F132">
        <v>79.900000000000006</v>
      </c>
      <c r="G132" s="4"/>
      <c r="J132" s="4"/>
    </row>
    <row r="133" spans="1:12" x14ac:dyDescent="0.35">
      <c r="A133">
        <v>2013</v>
      </c>
      <c r="B133">
        <v>216</v>
      </c>
      <c r="C133" t="s">
        <v>158</v>
      </c>
      <c r="D133" s="4">
        <v>100</v>
      </c>
      <c r="E133">
        <v>338</v>
      </c>
      <c r="F133">
        <v>243.4</v>
      </c>
      <c r="G133" s="4"/>
      <c r="J133" s="4"/>
    </row>
    <row r="134" spans="1:12" x14ac:dyDescent="0.35">
      <c r="A134">
        <v>2013</v>
      </c>
      <c r="B134">
        <v>218</v>
      </c>
      <c r="C134" t="s">
        <v>159</v>
      </c>
      <c r="D134" s="4">
        <v>69</v>
      </c>
      <c r="E134">
        <v>642</v>
      </c>
      <c r="F134">
        <v>510.8</v>
      </c>
      <c r="G134" s="4"/>
      <c r="J134" s="4"/>
    </row>
    <row r="135" spans="1:12" x14ac:dyDescent="0.35">
      <c r="A135">
        <v>2013</v>
      </c>
      <c r="B135">
        <v>219</v>
      </c>
      <c r="C135" t="s">
        <v>160</v>
      </c>
      <c r="D135" s="4">
        <v>226</v>
      </c>
      <c r="E135">
        <v>1268</v>
      </c>
      <c r="F135">
        <v>1022.2</v>
      </c>
      <c r="G135" s="4"/>
      <c r="J135" s="4"/>
    </row>
    <row r="136" spans="1:12" x14ac:dyDescent="0.35">
      <c r="A136">
        <v>2013</v>
      </c>
      <c r="B136">
        <v>220</v>
      </c>
      <c r="C136" t="s">
        <v>161</v>
      </c>
      <c r="D136" s="4">
        <v>76</v>
      </c>
      <c r="E136">
        <v>224</v>
      </c>
      <c r="F136">
        <v>163.5</v>
      </c>
      <c r="G136" s="4"/>
      <c r="J136" s="4"/>
    </row>
    <row r="137" spans="1:12" x14ac:dyDescent="0.35">
      <c r="A137">
        <v>2013</v>
      </c>
      <c r="B137">
        <v>221</v>
      </c>
      <c r="C137" t="s">
        <v>162</v>
      </c>
      <c r="D137" s="4">
        <v>148</v>
      </c>
      <c r="E137">
        <v>637</v>
      </c>
      <c r="F137">
        <v>475.6</v>
      </c>
      <c r="G137" s="4"/>
      <c r="J137" s="4"/>
    </row>
    <row r="138" spans="1:12" x14ac:dyDescent="0.35">
      <c r="A138">
        <v>2013</v>
      </c>
      <c r="B138">
        <v>223</v>
      </c>
      <c r="C138" t="s">
        <v>163</v>
      </c>
      <c r="D138" s="4">
        <v>358</v>
      </c>
      <c r="E138">
        <v>1627</v>
      </c>
      <c r="F138">
        <v>1234</v>
      </c>
      <c r="G138" s="4"/>
      <c r="H138">
        <v>17</v>
      </c>
      <c r="I138">
        <v>13.6</v>
      </c>
      <c r="J138" s="4"/>
    </row>
    <row r="139" spans="1:12" x14ac:dyDescent="0.35">
      <c r="A139">
        <v>2013</v>
      </c>
      <c r="B139">
        <v>224</v>
      </c>
      <c r="C139" t="s">
        <v>164</v>
      </c>
      <c r="D139" s="4">
        <v>178</v>
      </c>
      <c r="E139">
        <v>1054</v>
      </c>
      <c r="F139">
        <v>865</v>
      </c>
      <c r="G139" s="4"/>
      <c r="J139" s="4"/>
    </row>
    <row r="140" spans="1:12" x14ac:dyDescent="0.35">
      <c r="A140">
        <v>2013</v>
      </c>
      <c r="B140">
        <v>225</v>
      </c>
      <c r="C140" t="s">
        <v>165</v>
      </c>
      <c r="D140" s="4">
        <v>162</v>
      </c>
      <c r="E140">
        <v>481</v>
      </c>
      <c r="F140">
        <v>337.6</v>
      </c>
      <c r="G140" s="4"/>
      <c r="J140" s="4"/>
    </row>
    <row r="141" spans="1:12" x14ac:dyDescent="0.35">
      <c r="A141">
        <v>2013</v>
      </c>
      <c r="B141">
        <v>226</v>
      </c>
      <c r="C141" t="s">
        <v>166</v>
      </c>
      <c r="D141" s="4">
        <v>54</v>
      </c>
      <c r="E141">
        <v>137</v>
      </c>
      <c r="F141">
        <v>97.4</v>
      </c>
      <c r="G141" s="4"/>
      <c r="J141" s="4"/>
    </row>
    <row r="142" spans="1:12" x14ac:dyDescent="0.35">
      <c r="A142">
        <v>2013</v>
      </c>
      <c r="B142">
        <v>227</v>
      </c>
      <c r="C142" t="s">
        <v>167</v>
      </c>
      <c r="D142" s="4">
        <v>409</v>
      </c>
      <c r="E142">
        <v>2683</v>
      </c>
      <c r="F142">
        <v>2164.9</v>
      </c>
      <c r="G142" s="4"/>
      <c r="J142" s="4"/>
    </row>
    <row r="143" spans="1:12" x14ac:dyDescent="0.35">
      <c r="A143">
        <v>2013</v>
      </c>
      <c r="B143">
        <v>228</v>
      </c>
      <c r="C143" t="s">
        <v>168</v>
      </c>
      <c r="D143" s="4">
        <v>340</v>
      </c>
      <c r="E143">
        <v>1535</v>
      </c>
      <c r="F143">
        <v>1091</v>
      </c>
      <c r="G143" s="4"/>
      <c r="H143">
        <v>10</v>
      </c>
      <c r="I143">
        <v>6.6</v>
      </c>
      <c r="J143" s="4"/>
    </row>
    <row r="144" spans="1:12" x14ac:dyDescent="0.35">
      <c r="A144">
        <v>2013</v>
      </c>
      <c r="B144">
        <v>230</v>
      </c>
      <c r="C144" t="s">
        <v>169</v>
      </c>
      <c r="D144" s="4">
        <v>7307</v>
      </c>
      <c r="E144">
        <v>68588</v>
      </c>
      <c r="F144">
        <v>52213.599999999999</v>
      </c>
      <c r="G144" s="4">
        <v>13</v>
      </c>
      <c r="H144">
        <v>57</v>
      </c>
      <c r="I144">
        <v>41.6</v>
      </c>
      <c r="J144" s="4">
        <v>13</v>
      </c>
      <c r="K144">
        <v>85</v>
      </c>
      <c r="L144">
        <v>75.599999999999994</v>
      </c>
    </row>
    <row r="145" spans="1:12" x14ac:dyDescent="0.35">
      <c r="A145">
        <v>2013</v>
      </c>
      <c r="B145">
        <v>231</v>
      </c>
      <c r="C145" t="s">
        <v>170</v>
      </c>
      <c r="D145" s="4">
        <v>350</v>
      </c>
      <c r="E145">
        <v>1451</v>
      </c>
      <c r="F145">
        <v>1037.0999999999999</v>
      </c>
      <c r="G145" s="4"/>
      <c r="J145" s="4"/>
    </row>
    <row r="146" spans="1:12" x14ac:dyDescent="0.35">
      <c r="A146">
        <v>2013</v>
      </c>
      <c r="B146">
        <v>241</v>
      </c>
      <c r="C146" t="s">
        <v>171</v>
      </c>
      <c r="D146" s="4">
        <v>85</v>
      </c>
      <c r="E146">
        <v>340</v>
      </c>
      <c r="F146">
        <v>262.39999999999998</v>
      </c>
      <c r="G146" s="4"/>
      <c r="J146" s="4"/>
    </row>
    <row r="147" spans="1:12" x14ac:dyDescent="0.35">
      <c r="A147">
        <v>2013</v>
      </c>
      <c r="B147">
        <v>242</v>
      </c>
      <c r="C147" t="s">
        <v>172</v>
      </c>
      <c r="D147" s="4">
        <v>390</v>
      </c>
      <c r="E147">
        <v>2164</v>
      </c>
      <c r="F147">
        <v>1707.6</v>
      </c>
      <c r="G147" s="4"/>
      <c r="J147" s="4"/>
    </row>
    <row r="148" spans="1:12" x14ac:dyDescent="0.35">
      <c r="A148">
        <v>2013</v>
      </c>
      <c r="B148">
        <v>243</v>
      </c>
      <c r="C148" t="s">
        <v>173</v>
      </c>
      <c r="D148" s="4">
        <v>1617</v>
      </c>
      <c r="E148">
        <v>17711</v>
      </c>
      <c r="F148">
        <v>14138.7</v>
      </c>
      <c r="G148" s="4">
        <v>7</v>
      </c>
      <c r="H148">
        <v>61</v>
      </c>
      <c r="I148">
        <v>47.2</v>
      </c>
      <c r="J148" s="4">
        <v>8</v>
      </c>
      <c r="K148">
        <v>26</v>
      </c>
      <c r="L148">
        <v>22.1</v>
      </c>
    </row>
    <row r="149" spans="1:12" x14ac:dyDescent="0.35">
      <c r="A149">
        <v>2013</v>
      </c>
      <c r="B149">
        <v>244</v>
      </c>
      <c r="C149" t="s">
        <v>174</v>
      </c>
      <c r="D149" s="4">
        <v>286</v>
      </c>
      <c r="E149">
        <v>2071</v>
      </c>
      <c r="F149">
        <v>1652.6</v>
      </c>
      <c r="G149" s="4"/>
      <c r="H149">
        <v>29</v>
      </c>
      <c r="I149">
        <v>29</v>
      </c>
      <c r="J149" s="4"/>
    </row>
    <row r="150" spans="1:12" x14ac:dyDescent="0.35">
      <c r="A150">
        <v>2013</v>
      </c>
      <c r="B150">
        <v>245</v>
      </c>
      <c r="C150" t="s">
        <v>175</v>
      </c>
      <c r="D150" s="4">
        <v>338</v>
      </c>
      <c r="E150">
        <v>1171</v>
      </c>
      <c r="F150">
        <v>852.7</v>
      </c>
      <c r="G150" s="4"/>
      <c r="H150">
        <v>17</v>
      </c>
      <c r="I150">
        <v>15.7</v>
      </c>
      <c r="J150" s="4">
        <v>3</v>
      </c>
      <c r="K150">
        <v>10</v>
      </c>
      <c r="L150">
        <v>9.4</v>
      </c>
    </row>
    <row r="151" spans="1:12" x14ac:dyDescent="0.35">
      <c r="A151">
        <v>2013</v>
      </c>
      <c r="B151">
        <v>246</v>
      </c>
      <c r="C151" t="s">
        <v>176</v>
      </c>
      <c r="D151" s="4">
        <v>117</v>
      </c>
      <c r="E151">
        <v>296</v>
      </c>
      <c r="F151">
        <v>206.6</v>
      </c>
      <c r="G151" s="4"/>
      <c r="J151" s="4"/>
      <c r="K151">
        <v>10</v>
      </c>
      <c r="L151">
        <v>8.6</v>
      </c>
    </row>
    <row r="152" spans="1:12" x14ac:dyDescent="0.35">
      <c r="A152">
        <v>2013</v>
      </c>
      <c r="B152">
        <v>247</v>
      </c>
      <c r="C152" t="s">
        <v>177</v>
      </c>
      <c r="D152" s="4">
        <v>1295</v>
      </c>
      <c r="E152">
        <v>16513</v>
      </c>
      <c r="F152">
        <v>13666.4</v>
      </c>
      <c r="G152" s="4">
        <v>4</v>
      </c>
      <c r="H152">
        <v>28</v>
      </c>
      <c r="I152">
        <v>25.5</v>
      </c>
      <c r="J152" s="4"/>
      <c r="K152">
        <v>8</v>
      </c>
      <c r="L152">
        <v>6.7</v>
      </c>
    </row>
    <row r="153" spans="1:12" x14ac:dyDescent="0.35">
      <c r="A153">
        <v>2013</v>
      </c>
      <c r="B153">
        <v>248</v>
      </c>
      <c r="C153" t="s">
        <v>178</v>
      </c>
      <c r="D153" s="4">
        <v>257</v>
      </c>
      <c r="E153">
        <v>973</v>
      </c>
      <c r="F153">
        <v>699.7</v>
      </c>
      <c r="G153" s="4"/>
      <c r="J153" s="4"/>
    </row>
    <row r="154" spans="1:12" x14ac:dyDescent="0.35">
      <c r="A154">
        <v>2013</v>
      </c>
      <c r="B154">
        <v>249</v>
      </c>
      <c r="C154" t="s">
        <v>179</v>
      </c>
      <c r="D154" s="4">
        <v>233</v>
      </c>
      <c r="E154">
        <v>983</v>
      </c>
      <c r="F154">
        <v>755.9</v>
      </c>
      <c r="G154" s="4"/>
      <c r="J154" s="4"/>
      <c r="K154">
        <v>14</v>
      </c>
      <c r="L154">
        <v>12.1</v>
      </c>
    </row>
    <row r="155" spans="1:12" x14ac:dyDescent="0.35">
      <c r="A155">
        <v>2013</v>
      </c>
      <c r="B155">
        <v>250</v>
      </c>
      <c r="C155" t="s">
        <v>180</v>
      </c>
      <c r="D155" s="4">
        <v>637</v>
      </c>
      <c r="E155">
        <v>6554</v>
      </c>
      <c r="F155">
        <v>5464.5</v>
      </c>
      <c r="G155" s="4"/>
      <c r="J155" s="4"/>
    </row>
    <row r="156" spans="1:12" x14ac:dyDescent="0.35">
      <c r="A156">
        <v>2013</v>
      </c>
      <c r="B156">
        <v>251</v>
      </c>
      <c r="C156" t="s">
        <v>181</v>
      </c>
      <c r="D156" s="4">
        <v>252</v>
      </c>
      <c r="E156">
        <v>1395</v>
      </c>
      <c r="F156">
        <v>1116.9000000000001</v>
      </c>
      <c r="G156" s="4"/>
      <c r="J156" s="4"/>
    </row>
    <row r="157" spans="1:12" x14ac:dyDescent="0.35">
      <c r="A157">
        <v>2013</v>
      </c>
      <c r="B157">
        <v>261</v>
      </c>
      <c r="C157" t="s">
        <v>182</v>
      </c>
      <c r="D157" s="4">
        <v>41987</v>
      </c>
      <c r="E157">
        <v>455549</v>
      </c>
      <c r="F157">
        <v>348328.5</v>
      </c>
      <c r="G157" s="4">
        <v>97</v>
      </c>
      <c r="H157">
        <v>286</v>
      </c>
      <c r="I157">
        <v>221.2</v>
      </c>
      <c r="J157" s="4">
        <v>86</v>
      </c>
      <c r="K157">
        <v>265</v>
      </c>
      <c r="L157">
        <v>214.6</v>
      </c>
    </row>
    <row r="158" spans="1:12" x14ac:dyDescent="0.35">
      <c r="A158">
        <v>2013</v>
      </c>
      <c r="B158">
        <v>291</v>
      </c>
      <c r="C158" t="s">
        <v>183</v>
      </c>
      <c r="D158" s="4">
        <v>282</v>
      </c>
      <c r="E158">
        <v>1714</v>
      </c>
      <c r="F158">
        <v>1289.2</v>
      </c>
      <c r="G158" s="4"/>
      <c r="J158" s="4"/>
    </row>
    <row r="159" spans="1:12" x14ac:dyDescent="0.35">
      <c r="A159">
        <v>2013</v>
      </c>
      <c r="B159">
        <v>292</v>
      </c>
      <c r="C159" t="s">
        <v>184</v>
      </c>
      <c r="D159" s="4">
        <v>287</v>
      </c>
      <c r="E159">
        <v>1179</v>
      </c>
      <c r="F159">
        <v>824.5</v>
      </c>
      <c r="G159" s="4"/>
      <c r="J159" s="4"/>
    </row>
    <row r="160" spans="1:12" x14ac:dyDescent="0.35">
      <c r="A160">
        <v>2013</v>
      </c>
      <c r="B160">
        <v>293</v>
      </c>
      <c r="C160" t="s">
        <v>185</v>
      </c>
      <c r="D160" s="4">
        <v>1776</v>
      </c>
      <c r="E160">
        <v>9846</v>
      </c>
      <c r="F160">
        <v>7457.4</v>
      </c>
      <c r="G160" s="4">
        <v>5</v>
      </c>
      <c r="H160">
        <v>8</v>
      </c>
      <c r="I160">
        <v>5.3</v>
      </c>
      <c r="J160" s="4">
        <v>4</v>
      </c>
      <c r="K160">
        <v>18</v>
      </c>
      <c r="L160">
        <v>14.3</v>
      </c>
    </row>
    <row r="161" spans="1:12" x14ac:dyDescent="0.35">
      <c r="A161">
        <v>2013</v>
      </c>
      <c r="B161">
        <v>294</v>
      </c>
      <c r="C161" t="s">
        <v>186</v>
      </c>
      <c r="D161" s="4">
        <v>323</v>
      </c>
      <c r="E161">
        <v>1676</v>
      </c>
      <c r="F161">
        <v>1257.7</v>
      </c>
      <c r="G161" s="4"/>
      <c r="H161">
        <v>20</v>
      </c>
      <c r="I161">
        <v>18.899999999999999</v>
      </c>
      <c r="J161" s="4"/>
    </row>
    <row r="162" spans="1:12" x14ac:dyDescent="0.35">
      <c r="A162">
        <v>2013</v>
      </c>
      <c r="B162">
        <v>295</v>
      </c>
      <c r="C162" t="s">
        <v>187</v>
      </c>
      <c r="D162" s="4">
        <v>1372</v>
      </c>
      <c r="E162">
        <v>9994</v>
      </c>
      <c r="F162">
        <v>7816</v>
      </c>
      <c r="G162" s="4">
        <v>4</v>
      </c>
      <c r="H162">
        <v>8</v>
      </c>
      <c r="I162">
        <v>6</v>
      </c>
      <c r="J162" s="4">
        <v>7</v>
      </c>
      <c r="K162">
        <v>12</v>
      </c>
      <c r="L162">
        <v>9.5</v>
      </c>
    </row>
    <row r="163" spans="1:12" x14ac:dyDescent="0.35">
      <c r="A163">
        <v>2013</v>
      </c>
      <c r="B163">
        <v>296</v>
      </c>
      <c r="C163" t="s">
        <v>188</v>
      </c>
      <c r="D163" s="4">
        <v>1018</v>
      </c>
      <c r="E163">
        <v>7053</v>
      </c>
      <c r="F163">
        <v>5252.1</v>
      </c>
      <c r="G163" s="4"/>
      <c r="H163">
        <v>8</v>
      </c>
      <c r="I163">
        <v>6.5</v>
      </c>
      <c r="J163" s="4"/>
    </row>
    <row r="164" spans="1:12" x14ac:dyDescent="0.35">
      <c r="A164">
        <v>2013</v>
      </c>
      <c r="B164">
        <v>297</v>
      </c>
      <c r="C164" t="s">
        <v>189</v>
      </c>
      <c r="D164" s="4">
        <v>374</v>
      </c>
      <c r="E164">
        <v>1786</v>
      </c>
      <c r="F164">
        <v>1291.5999999999999</v>
      </c>
      <c r="G164" s="4"/>
      <c r="J164" s="4"/>
    </row>
    <row r="165" spans="1:12" x14ac:dyDescent="0.35">
      <c r="A165">
        <v>2013</v>
      </c>
      <c r="B165">
        <v>298</v>
      </c>
      <c r="C165" t="s">
        <v>190</v>
      </c>
      <c r="D165" s="4">
        <v>348</v>
      </c>
      <c r="E165">
        <v>1315</v>
      </c>
      <c r="F165">
        <v>912.1</v>
      </c>
      <c r="G165" s="4"/>
      <c r="J165" s="4"/>
    </row>
  </sheetData>
  <mergeCells count="5">
    <mergeCell ref="A1:R1"/>
    <mergeCell ref="A2:R2"/>
    <mergeCell ref="D4:F4"/>
    <mergeCell ref="G4:I4"/>
    <mergeCell ref="J4:L4"/>
  </mergeCells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165"/>
  <sheetViews>
    <sheetView workbookViewId="0"/>
  </sheetViews>
  <sheetFormatPr baseColWidth="10" defaultRowHeight="14.5" x14ac:dyDescent="0.35"/>
  <cols>
    <col min="1" max="1" width="6.7265625" customWidth="1"/>
    <col min="2" max="2" width="14.7265625" customWidth="1"/>
    <col min="3" max="3" width="20.7265625" customWidth="1"/>
    <col min="4" max="4" width="17.7265625" customWidth="1"/>
    <col min="5" max="5" width="15.7265625" customWidth="1"/>
    <col min="6" max="6" width="22.7265625" customWidth="1"/>
    <col min="7" max="7" width="17.7265625" customWidth="1"/>
    <col min="8" max="8" width="15.7265625" customWidth="1"/>
    <col min="9" max="9" width="22.7265625" customWidth="1"/>
    <col min="10" max="10" width="17.7265625" customWidth="1"/>
    <col min="11" max="11" width="15.7265625" customWidth="1"/>
    <col min="12" max="12" width="22.7265625" customWidth="1"/>
  </cols>
  <sheetData>
    <row r="1" spans="1:18" ht="18" x14ac:dyDescent="0.4">
      <c r="A1" s="10" t="s">
        <v>202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x14ac:dyDescent="0.35">
      <c r="A2" s="8" t="s">
        <v>10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4" spans="1:18" x14ac:dyDescent="0.35">
      <c r="D4" s="11" t="s">
        <v>22</v>
      </c>
      <c r="E4" s="12"/>
      <c r="F4" s="12"/>
      <c r="G4" s="11" t="s">
        <v>23</v>
      </c>
      <c r="H4" s="12"/>
      <c r="I4" s="12"/>
      <c r="J4" s="11" t="s">
        <v>24</v>
      </c>
      <c r="K4" s="12"/>
      <c r="L4" s="12"/>
    </row>
    <row r="5" spans="1:18" ht="15.5" x14ac:dyDescent="0.35">
      <c r="A5" s="3" t="s">
        <v>25</v>
      </c>
      <c r="B5" s="3" t="s">
        <v>26</v>
      </c>
      <c r="C5" s="3" t="s">
        <v>27</v>
      </c>
      <c r="D5" s="5" t="s">
        <v>28</v>
      </c>
      <c r="E5" s="3" t="s">
        <v>29</v>
      </c>
      <c r="F5" s="3" t="s">
        <v>30</v>
      </c>
      <c r="G5" s="5" t="s">
        <v>28</v>
      </c>
      <c r="H5" s="3" t="s">
        <v>29</v>
      </c>
      <c r="I5" s="3" t="s">
        <v>30</v>
      </c>
      <c r="J5" s="5" t="s">
        <v>28</v>
      </c>
      <c r="K5" s="3" t="s">
        <v>29</v>
      </c>
      <c r="L5" s="3" t="s">
        <v>30</v>
      </c>
    </row>
    <row r="6" spans="1:18" x14ac:dyDescent="0.35">
      <c r="A6">
        <v>2012</v>
      </c>
      <c r="B6">
        <v>1</v>
      </c>
      <c r="C6" t="s">
        <v>31</v>
      </c>
      <c r="D6" s="4">
        <v>137</v>
      </c>
      <c r="E6">
        <v>449</v>
      </c>
      <c r="F6">
        <v>303.10000000000002</v>
      </c>
      <c r="G6" s="4"/>
      <c r="J6" s="4"/>
    </row>
    <row r="7" spans="1:18" x14ac:dyDescent="0.35">
      <c r="A7">
        <v>2012</v>
      </c>
      <c r="B7">
        <v>2</v>
      </c>
      <c r="C7" t="s">
        <v>32</v>
      </c>
      <c r="D7" s="4">
        <v>871</v>
      </c>
      <c r="E7">
        <v>5934</v>
      </c>
      <c r="F7">
        <v>4456.7</v>
      </c>
      <c r="G7" s="4">
        <v>5</v>
      </c>
      <c r="H7">
        <v>6</v>
      </c>
      <c r="I7">
        <v>5</v>
      </c>
      <c r="J7" s="4">
        <v>6</v>
      </c>
      <c r="K7">
        <v>56</v>
      </c>
      <c r="L7">
        <v>49.9</v>
      </c>
    </row>
    <row r="8" spans="1:18" x14ac:dyDescent="0.35">
      <c r="A8">
        <v>2012</v>
      </c>
      <c r="B8">
        <v>3</v>
      </c>
      <c r="C8" t="s">
        <v>33</v>
      </c>
      <c r="D8" s="4">
        <v>264</v>
      </c>
      <c r="E8">
        <v>950</v>
      </c>
      <c r="F8">
        <v>644.20000000000005</v>
      </c>
      <c r="G8" s="4"/>
      <c r="J8" s="4"/>
    </row>
    <row r="9" spans="1:18" x14ac:dyDescent="0.35">
      <c r="A9">
        <v>2012</v>
      </c>
      <c r="B9">
        <v>4</v>
      </c>
      <c r="C9" t="s">
        <v>34</v>
      </c>
      <c r="D9" s="4">
        <v>242</v>
      </c>
      <c r="E9">
        <v>897</v>
      </c>
      <c r="F9">
        <v>618.70000000000005</v>
      </c>
      <c r="G9" s="4"/>
      <c r="J9" s="4"/>
    </row>
    <row r="10" spans="1:18" x14ac:dyDescent="0.35">
      <c r="A10">
        <v>2012</v>
      </c>
      <c r="B10">
        <v>5</v>
      </c>
      <c r="C10" t="s">
        <v>35</v>
      </c>
      <c r="D10" s="4">
        <v>193</v>
      </c>
      <c r="E10">
        <v>1525</v>
      </c>
      <c r="F10">
        <v>1253.0999999999999</v>
      </c>
      <c r="G10" s="4"/>
      <c r="J10" s="4">
        <v>3</v>
      </c>
      <c r="K10">
        <v>12</v>
      </c>
      <c r="L10">
        <v>9.5</v>
      </c>
    </row>
    <row r="11" spans="1:18" x14ac:dyDescent="0.35">
      <c r="A11">
        <v>2012</v>
      </c>
      <c r="B11">
        <v>6</v>
      </c>
      <c r="C11" t="s">
        <v>36</v>
      </c>
      <c r="D11" s="4">
        <v>89</v>
      </c>
      <c r="E11">
        <v>323</v>
      </c>
      <c r="F11">
        <v>230.3</v>
      </c>
      <c r="G11" s="4"/>
      <c r="J11" s="4"/>
    </row>
    <row r="12" spans="1:18" x14ac:dyDescent="0.35">
      <c r="A12">
        <v>2012</v>
      </c>
      <c r="B12">
        <v>7</v>
      </c>
      <c r="C12" t="s">
        <v>37</v>
      </c>
      <c r="D12" s="4">
        <v>112</v>
      </c>
      <c r="E12">
        <v>456</v>
      </c>
      <c r="F12">
        <v>355</v>
      </c>
      <c r="G12" s="4"/>
      <c r="J12" s="4">
        <v>4</v>
      </c>
      <c r="K12">
        <v>10</v>
      </c>
      <c r="L12">
        <v>7.4</v>
      </c>
    </row>
    <row r="13" spans="1:18" x14ac:dyDescent="0.35">
      <c r="A13">
        <v>2012</v>
      </c>
      <c r="B13">
        <v>8</v>
      </c>
      <c r="C13" t="s">
        <v>38</v>
      </c>
      <c r="D13" s="4">
        <v>55</v>
      </c>
      <c r="E13">
        <v>135</v>
      </c>
      <c r="F13">
        <v>89.4</v>
      </c>
      <c r="G13" s="4"/>
      <c r="J13" s="4"/>
    </row>
    <row r="14" spans="1:18" x14ac:dyDescent="0.35">
      <c r="A14">
        <v>2012</v>
      </c>
      <c r="B14">
        <v>9</v>
      </c>
      <c r="C14" t="s">
        <v>39</v>
      </c>
      <c r="D14" s="4">
        <v>286</v>
      </c>
      <c r="E14">
        <v>1572</v>
      </c>
      <c r="F14">
        <v>1175.2</v>
      </c>
      <c r="G14" s="4">
        <v>3</v>
      </c>
      <c r="J14" s="4">
        <v>3</v>
      </c>
      <c r="K14">
        <v>9</v>
      </c>
      <c r="L14">
        <v>7</v>
      </c>
    </row>
    <row r="15" spans="1:18" x14ac:dyDescent="0.35">
      <c r="A15">
        <v>2012</v>
      </c>
      <c r="B15">
        <v>10</v>
      </c>
      <c r="C15" t="s">
        <v>40</v>
      </c>
      <c r="D15" s="4">
        <v>299</v>
      </c>
      <c r="E15">
        <v>1274</v>
      </c>
      <c r="F15">
        <v>917.1</v>
      </c>
      <c r="G15" s="4"/>
      <c r="J15" s="4"/>
      <c r="K15">
        <v>4</v>
      </c>
    </row>
    <row r="16" spans="1:18" x14ac:dyDescent="0.35">
      <c r="A16">
        <v>2012</v>
      </c>
      <c r="B16">
        <v>11</v>
      </c>
      <c r="C16" t="s">
        <v>41</v>
      </c>
      <c r="D16" s="4">
        <v>161</v>
      </c>
      <c r="E16">
        <v>732</v>
      </c>
      <c r="F16">
        <v>501.3</v>
      </c>
      <c r="G16" s="4"/>
      <c r="J16" s="4"/>
    </row>
    <row r="17" spans="1:12" x14ac:dyDescent="0.35">
      <c r="A17">
        <v>2012</v>
      </c>
      <c r="B17">
        <v>12</v>
      </c>
      <c r="C17" t="s">
        <v>42</v>
      </c>
      <c r="D17" s="4">
        <v>77</v>
      </c>
      <c r="E17">
        <v>230</v>
      </c>
      <c r="F17">
        <v>168.5</v>
      </c>
      <c r="G17" s="4"/>
      <c r="J17" s="4"/>
    </row>
    <row r="18" spans="1:12" x14ac:dyDescent="0.35">
      <c r="A18">
        <v>2012</v>
      </c>
      <c r="B18">
        <v>13</v>
      </c>
      <c r="C18" t="s">
        <v>43</v>
      </c>
      <c r="D18" s="4">
        <v>196</v>
      </c>
      <c r="E18">
        <v>845</v>
      </c>
      <c r="F18">
        <v>661.7</v>
      </c>
      <c r="G18" s="4"/>
      <c r="J18" s="4"/>
    </row>
    <row r="19" spans="1:12" x14ac:dyDescent="0.35">
      <c r="A19">
        <v>2012</v>
      </c>
      <c r="B19">
        <v>14</v>
      </c>
      <c r="C19" t="s">
        <v>44</v>
      </c>
      <c r="D19" s="4">
        <v>270</v>
      </c>
      <c r="E19">
        <v>968</v>
      </c>
      <c r="F19">
        <v>719.5</v>
      </c>
      <c r="G19" s="4"/>
      <c r="J19" s="4"/>
    </row>
    <row r="20" spans="1:12" x14ac:dyDescent="0.35">
      <c r="A20">
        <v>2012</v>
      </c>
      <c r="B20">
        <v>22</v>
      </c>
      <c r="C20" t="s">
        <v>45</v>
      </c>
      <c r="D20" s="4">
        <v>70</v>
      </c>
      <c r="E20">
        <v>257</v>
      </c>
      <c r="F20">
        <v>187.1</v>
      </c>
      <c r="G20" s="4"/>
      <c r="J20" s="4"/>
    </row>
    <row r="21" spans="1:12" x14ac:dyDescent="0.35">
      <c r="A21">
        <v>2012</v>
      </c>
      <c r="B21">
        <v>23</v>
      </c>
      <c r="C21" t="s">
        <v>46</v>
      </c>
      <c r="D21" s="4">
        <v>66</v>
      </c>
      <c r="E21">
        <v>172</v>
      </c>
      <c r="F21">
        <v>108</v>
      </c>
      <c r="G21" s="4"/>
      <c r="J21" s="4"/>
    </row>
    <row r="22" spans="1:12" x14ac:dyDescent="0.35">
      <c r="A22">
        <v>2012</v>
      </c>
      <c r="B22">
        <v>24</v>
      </c>
      <c r="C22" t="s">
        <v>47</v>
      </c>
      <c r="D22" s="4">
        <v>65</v>
      </c>
      <c r="E22">
        <v>190</v>
      </c>
      <c r="F22">
        <v>129.69999999999999</v>
      </c>
      <c r="G22" s="4"/>
      <c r="J22" s="4"/>
    </row>
    <row r="23" spans="1:12" x14ac:dyDescent="0.35">
      <c r="A23">
        <v>2012</v>
      </c>
      <c r="B23">
        <v>25</v>
      </c>
      <c r="C23" t="s">
        <v>48</v>
      </c>
      <c r="D23" s="4">
        <v>96</v>
      </c>
      <c r="E23">
        <v>379</v>
      </c>
      <c r="F23">
        <v>276.7</v>
      </c>
      <c r="G23" s="4"/>
      <c r="J23" s="4"/>
    </row>
    <row r="24" spans="1:12" x14ac:dyDescent="0.35">
      <c r="A24">
        <v>2012</v>
      </c>
      <c r="B24">
        <v>26</v>
      </c>
      <c r="C24" t="s">
        <v>49</v>
      </c>
      <c r="D24" s="4">
        <v>48</v>
      </c>
      <c r="E24">
        <v>182</v>
      </c>
      <c r="F24">
        <v>118.5</v>
      </c>
      <c r="G24" s="4"/>
      <c r="J24" s="4"/>
    </row>
    <row r="25" spans="1:12" x14ac:dyDescent="0.35">
      <c r="A25">
        <v>2012</v>
      </c>
      <c r="B25">
        <v>27</v>
      </c>
      <c r="C25" t="s">
        <v>50</v>
      </c>
      <c r="D25" s="4">
        <v>177</v>
      </c>
      <c r="E25">
        <v>1076</v>
      </c>
      <c r="F25">
        <v>800.3</v>
      </c>
      <c r="G25" s="4"/>
      <c r="H25">
        <v>16</v>
      </c>
      <c r="I25">
        <v>14.2</v>
      </c>
      <c r="J25" s="4">
        <v>3</v>
      </c>
      <c r="K25">
        <v>15</v>
      </c>
      <c r="L25">
        <v>11.1</v>
      </c>
    </row>
    <row r="26" spans="1:12" x14ac:dyDescent="0.35">
      <c r="A26">
        <v>2012</v>
      </c>
      <c r="B26">
        <v>28</v>
      </c>
      <c r="C26" t="s">
        <v>51</v>
      </c>
      <c r="D26" s="4">
        <v>139</v>
      </c>
      <c r="E26">
        <v>704</v>
      </c>
      <c r="F26">
        <v>515.29999999999995</v>
      </c>
      <c r="G26" s="4"/>
      <c r="J26" s="4"/>
    </row>
    <row r="27" spans="1:12" x14ac:dyDescent="0.35">
      <c r="A27">
        <v>2012</v>
      </c>
      <c r="B27">
        <v>29</v>
      </c>
      <c r="C27" t="s">
        <v>52</v>
      </c>
      <c r="D27" s="4">
        <v>110</v>
      </c>
      <c r="E27">
        <v>510</v>
      </c>
      <c r="F27">
        <v>388</v>
      </c>
      <c r="G27" s="4"/>
      <c r="J27" s="4"/>
    </row>
    <row r="28" spans="1:12" x14ac:dyDescent="0.35">
      <c r="A28">
        <v>2012</v>
      </c>
      <c r="B28">
        <v>31</v>
      </c>
      <c r="C28" t="s">
        <v>53</v>
      </c>
      <c r="D28" s="4">
        <v>106</v>
      </c>
      <c r="E28">
        <v>566</v>
      </c>
      <c r="F28">
        <v>458.2</v>
      </c>
      <c r="G28" s="4"/>
      <c r="J28" s="4"/>
    </row>
    <row r="29" spans="1:12" x14ac:dyDescent="0.35">
      <c r="A29">
        <v>2012</v>
      </c>
      <c r="B29">
        <v>33</v>
      </c>
      <c r="C29" t="s">
        <v>54</v>
      </c>
      <c r="D29" s="4">
        <v>187</v>
      </c>
      <c r="E29">
        <v>956</v>
      </c>
      <c r="F29">
        <v>751.4</v>
      </c>
      <c r="G29" s="4"/>
      <c r="J29" s="4"/>
    </row>
    <row r="30" spans="1:12" x14ac:dyDescent="0.35">
      <c r="A30">
        <v>2012</v>
      </c>
      <c r="B30">
        <v>34</v>
      </c>
      <c r="C30" t="s">
        <v>55</v>
      </c>
      <c r="D30" s="4">
        <v>95</v>
      </c>
      <c r="E30">
        <v>401</v>
      </c>
      <c r="F30">
        <v>291.10000000000002</v>
      </c>
      <c r="G30" s="4"/>
      <c r="J30" s="4"/>
    </row>
    <row r="31" spans="1:12" x14ac:dyDescent="0.35">
      <c r="A31">
        <v>2012</v>
      </c>
      <c r="B31">
        <v>35</v>
      </c>
      <c r="C31" t="s">
        <v>56</v>
      </c>
      <c r="D31" s="4">
        <v>193</v>
      </c>
      <c r="E31">
        <v>1036</v>
      </c>
      <c r="F31">
        <v>743.6</v>
      </c>
      <c r="G31" s="4"/>
      <c r="J31" s="4"/>
      <c r="K31">
        <v>5</v>
      </c>
      <c r="L31">
        <v>4.4000000000000004</v>
      </c>
    </row>
    <row r="32" spans="1:12" x14ac:dyDescent="0.35">
      <c r="A32">
        <v>2012</v>
      </c>
      <c r="B32">
        <v>37</v>
      </c>
      <c r="C32" t="s">
        <v>57</v>
      </c>
      <c r="D32" s="4">
        <v>104</v>
      </c>
      <c r="E32">
        <v>466</v>
      </c>
      <c r="F32">
        <v>332.2</v>
      </c>
      <c r="G32" s="4"/>
      <c r="J32" s="4"/>
    </row>
    <row r="33" spans="1:12" x14ac:dyDescent="0.35">
      <c r="A33">
        <v>2012</v>
      </c>
      <c r="B33">
        <v>38</v>
      </c>
      <c r="C33" t="s">
        <v>58</v>
      </c>
      <c r="D33" s="4">
        <v>73</v>
      </c>
      <c r="E33">
        <v>505</v>
      </c>
      <c r="F33">
        <v>336.2</v>
      </c>
      <c r="G33" s="4"/>
      <c r="J33" s="4"/>
    </row>
    <row r="34" spans="1:12" x14ac:dyDescent="0.35">
      <c r="A34">
        <v>2012</v>
      </c>
      <c r="B34">
        <v>39</v>
      </c>
      <c r="C34" t="s">
        <v>59</v>
      </c>
      <c r="D34" s="4">
        <v>62</v>
      </c>
      <c r="E34">
        <v>253</v>
      </c>
      <c r="F34">
        <v>176.9</v>
      </c>
      <c r="G34" s="4"/>
      <c r="J34" s="4"/>
    </row>
    <row r="35" spans="1:12" x14ac:dyDescent="0.35">
      <c r="A35">
        <v>2012</v>
      </c>
      <c r="B35">
        <v>40</v>
      </c>
      <c r="C35" t="s">
        <v>60</v>
      </c>
      <c r="D35" s="4">
        <v>100</v>
      </c>
      <c r="E35">
        <v>382</v>
      </c>
      <c r="F35">
        <v>238</v>
      </c>
      <c r="G35" s="4"/>
      <c r="J35" s="4"/>
    </row>
    <row r="36" spans="1:12" x14ac:dyDescent="0.35">
      <c r="A36">
        <v>2012</v>
      </c>
      <c r="B36">
        <v>41</v>
      </c>
      <c r="C36" t="s">
        <v>61</v>
      </c>
      <c r="D36" s="4">
        <v>42</v>
      </c>
      <c r="E36">
        <v>92</v>
      </c>
      <c r="F36">
        <v>59.5</v>
      </c>
      <c r="G36" s="4"/>
      <c r="J36" s="4"/>
    </row>
    <row r="37" spans="1:12" x14ac:dyDescent="0.35">
      <c r="A37">
        <v>2012</v>
      </c>
      <c r="B37">
        <v>43</v>
      </c>
      <c r="C37" t="s">
        <v>62</v>
      </c>
      <c r="D37" s="4">
        <v>29</v>
      </c>
      <c r="E37">
        <v>109</v>
      </c>
      <c r="F37">
        <v>59</v>
      </c>
      <c r="G37" s="4"/>
      <c r="J37" s="4"/>
    </row>
    <row r="38" spans="1:12" x14ac:dyDescent="0.35">
      <c r="A38">
        <v>2012</v>
      </c>
      <c r="B38">
        <v>51</v>
      </c>
      <c r="C38" t="s">
        <v>63</v>
      </c>
      <c r="D38" s="4">
        <v>250</v>
      </c>
      <c r="E38">
        <v>1816</v>
      </c>
      <c r="F38">
        <v>1497.2</v>
      </c>
      <c r="G38" s="4"/>
      <c r="J38" s="4"/>
    </row>
    <row r="39" spans="1:12" x14ac:dyDescent="0.35">
      <c r="A39">
        <v>2012</v>
      </c>
      <c r="B39">
        <v>52</v>
      </c>
      <c r="C39" t="s">
        <v>64</v>
      </c>
      <c r="D39" s="4">
        <v>563</v>
      </c>
      <c r="E39">
        <v>3837</v>
      </c>
      <c r="F39">
        <v>2969</v>
      </c>
      <c r="G39" s="4"/>
      <c r="J39" s="4">
        <v>4</v>
      </c>
      <c r="K39">
        <v>15</v>
      </c>
      <c r="L39">
        <v>13.5</v>
      </c>
    </row>
    <row r="40" spans="1:12" x14ac:dyDescent="0.35">
      <c r="A40">
        <v>2012</v>
      </c>
      <c r="B40">
        <v>53</v>
      </c>
      <c r="C40" t="s">
        <v>65</v>
      </c>
      <c r="D40" s="4">
        <v>1160</v>
      </c>
      <c r="E40">
        <v>10519</v>
      </c>
      <c r="F40">
        <v>7984.6</v>
      </c>
      <c r="G40" s="4">
        <v>3</v>
      </c>
      <c r="H40">
        <v>9</v>
      </c>
      <c r="I40">
        <v>5.8</v>
      </c>
      <c r="J40" s="4"/>
    </row>
    <row r="41" spans="1:12" x14ac:dyDescent="0.35">
      <c r="A41">
        <v>2012</v>
      </c>
      <c r="B41">
        <v>54</v>
      </c>
      <c r="C41" t="s">
        <v>66</v>
      </c>
      <c r="D41" s="4">
        <v>509</v>
      </c>
      <c r="E41">
        <v>5593</v>
      </c>
      <c r="F41">
        <v>4476.5</v>
      </c>
      <c r="G41" s="4"/>
      <c r="J41" s="4"/>
    </row>
    <row r="42" spans="1:12" x14ac:dyDescent="0.35">
      <c r="A42">
        <v>2012</v>
      </c>
      <c r="B42">
        <v>55</v>
      </c>
      <c r="C42" t="s">
        <v>67</v>
      </c>
      <c r="D42" s="4">
        <v>272</v>
      </c>
      <c r="E42">
        <v>1222</v>
      </c>
      <c r="F42">
        <v>907.9</v>
      </c>
      <c r="G42" s="4"/>
      <c r="J42" s="4"/>
    </row>
    <row r="43" spans="1:12" x14ac:dyDescent="0.35">
      <c r="A43">
        <v>2012</v>
      </c>
      <c r="B43">
        <v>56</v>
      </c>
      <c r="C43" t="s">
        <v>68</v>
      </c>
      <c r="D43" s="4">
        <v>464</v>
      </c>
      <c r="E43">
        <v>3548</v>
      </c>
      <c r="F43">
        <v>2865.3</v>
      </c>
      <c r="G43" s="4">
        <v>3</v>
      </c>
      <c r="H43">
        <v>8</v>
      </c>
      <c r="I43">
        <v>5.9</v>
      </c>
      <c r="J43" s="4">
        <v>3</v>
      </c>
    </row>
    <row r="44" spans="1:12" x14ac:dyDescent="0.35">
      <c r="A44">
        <v>2012</v>
      </c>
      <c r="B44">
        <v>57</v>
      </c>
      <c r="C44" t="s">
        <v>69</v>
      </c>
      <c r="D44" s="4">
        <v>149</v>
      </c>
      <c r="E44">
        <v>599</v>
      </c>
      <c r="F44">
        <v>405.6</v>
      </c>
      <c r="G44" s="4"/>
      <c r="J44" s="4"/>
    </row>
    <row r="45" spans="1:12" x14ac:dyDescent="0.35">
      <c r="A45">
        <v>2012</v>
      </c>
      <c r="B45">
        <v>58</v>
      </c>
      <c r="C45" t="s">
        <v>70</v>
      </c>
      <c r="D45" s="4">
        <v>213</v>
      </c>
      <c r="E45">
        <v>891</v>
      </c>
      <c r="F45">
        <v>658.6</v>
      </c>
      <c r="G45" s="4"/>
      <c r="J45" s="4"/>
    </row>
    <row r="46" spans="1:12" x14ac:dyDescent="0.35">
      <c r="A46">
        <v>2012</v>
      </c>
      <c r="B46">
        <v>59</v>
      </c>
      <c r="C46" t="s">
        <v>71</v>
      </c>
      <c r="D46" s="4">
        <v>92</v>
      </c>
      <c r="E46">
        <v>390</v>
      </c>
      <c r="F46">
        <v>306</v>
      </c>
      <c r="G46" s="4"/>
      <c r="J46" s="4"/>
    </row>
    <row r="47" spans="1:12" x14ac:dyDescent="0.35">
      <c r="A47">
        <v>2012</v>
      </c>
      <c r="B47">
        <v>60</v>
      </c>
      <c r="C47" t="s">
        <v>72</v>
      </c>
      <c r="D47" s="4">
        <v>181</v>
      </c>
      <c r="E47">
        <v>1095</v>
      </c>
      <c r="F47">
        <v>891.5</v>
      </c>
      <c r="G47" s="4"/>
      <c r="J47" s="4"/>
      <c r="K47">
        <v>6</v>
      </c>
      <c r="L47">
        <v>6</v>
      </c>
    </row>
    <row r="48" spans="1:12" x14ac:dyDescent="0.35">
      <c r="A48">
        <v>2012</v>
      </c>
      <c r="B48">
        <v>61</v>
      </c>
      <c r="C48" t="s">
        <v>73</v>
      </c>
      <c r="D48" s="4">
        <v>69</v>
      </c>
      <c r="E48">
        <v>253</v>
      </c>
      <c r="F48">
        <v>188.1</v>
      </c>
      <c r="G48" s="4"/>
      <c r="J48" s="4"/>
    </row>
    <row r="49" spans="1:12" x14ac:dyDescent="0.35">
      <c r="A49">
        <v>2012</v>
      </c>
      <c r="B49">
        <v>62</v>
      </c>
      <c r="C49" t="s">
        <v>74</v>
      </c>
      <c r="D49" s="4">
        <v>1459</v>
      </c>
      <c r="E49">
        <v>35862</v>
      </c>
      <c r="F49">
        <v>29618.5</v>
      </c>
      <c r="G49" s="4">
        <v>7</v>
      </c>
      <c r="H49">
        <v>44</v>
      </c>
      <c r="I49">
        <v>35</v>
      </c>
      <c r="J49" s="4">
        <v>7</v>
      </c>
      <c r="K49">
        <v>17</v>
      </c>
      <c r="L49">
        <v>12.1</v>
      </c>
    </row>
    <row r="50" spans="1:12" x14ac:dyDescent="0.35">
      <c r="A50">
        <v>2012</v>
      </c>
      <c r="B50">
        <v>63</v>
      </c>
      <c r="C50" t="s">
        <v>75</v>
      </c>
      <c r="D50" s="4">
        <v>102</v>
      </c>
      <c r="E50">
        <v>318</v>
      </c>
      <c r="F50">
        <v>228</v>
      </c>
      <c r="G50" s="4"/>
      <c r="J50" s="4"/>
    </row>
    <row r="51" spans="1:12" x14ac:dyDescent="0.35">
      <c r="A51">
        <v>2012</v>
      </c>
      <c r="B51">
        <v>64</v>
      </c>
      <c r="C51" t="s">
        <v>76</v>
      </c>
      <c r="D51" s="4">
        <v>313</v>
      </c>
      <c r="E51">
        <v>1004</v>
      </c>
      <c r="F51">
        <v>757.9</v>
      </c>
      <c r="G51" s="4"/>
      <c r="H51">
        <v>5</v>
      </c>
      <c r="J51" s="4"/>
    </row>
    <row r="52" spans="1:12" x14ac:dyDescent="0.35">
      <c r="A52">
        <v>2012</v>
      </c>
      <c r="B52">
        <v>65</v>
      </c>
      <c r="C52" t="s">
        <v>77</v>
      </c>
      <c r="D52" s="4">
        <v>92</v>
      </c>
      <c r="E52">
        <v>262</v>
      </c>
      <c r="F52">
        <v>173.9</v>
      </c>
      <c r="G52" s="4"/>
      <c r="J52" s="4"/>
    </row>
    <row r="53" spans="1:12" x14ac:dyDescent="0.35">
      <c r="A53">
        <v>2012</v>
      </c>
      <c r="B53">
        <v>66</v>
      </c>
      <c r="C53" t="s">
        <v>78</v>
      </c>
      <c r="D53" s="4">
        <v>1165</v>
      </c>
      <c r="E53">
        <v>20586</v>
      </c>
      <c r="F53">
        <v>16833.8</v>
      </c>
      <c r="G53" s="4">
        <v>4</v>
      </c>
      <c r="H53">
        <v>10</v>
      </c>
      <c r="I53">
        <v>8.4</v>
      </c>
      <c r="J53" s="4">
        <v>9</v>
      </c>
      <c r="K53">
        <v>30</v>
      </c>
      <c r="L53">
        <v>20.6</v>
      </c>
    </row>
    <row r="54" spans="1:12" x14ac:dyDescent="0.35">
      <c r="A54">
        <v>2012</v>
      </c>
      <c r="B54">
        <v>67</v>
      </c>
      <c r="C54" t="s">
        <v>79</v>
      </c>
      <c r="D54" s="4">
        <v>234</v>
      </c>
      <c r="E54">
        <v>1367</v>
      </c>
      <c r="F54">
        <v>1063.5</v>
      </c>
      <c r="G54" s="4"/>
      <c r="J54" s="4"/>
    </row>
    <row r="55" spans="1:12" x14ac:dyDescent="0.35">
      <c r="A55">
        <v>2012</v>
      </c>
      <c r="B55">
        <v>68</v>
      </c>
      <c r="C55" t="s">
        <v>80</v>
      </c>
      <c r="D55" s="4">
        <v>144</v>
      </c>
      <c r="E55">
        <v>458</v>
      </c>
      <c r="F55">
        <v>333.3</v>
      </c>
      <c r="G55" s="4"/>
      <c r="J55" s="4"/>
      <c r="K55">
        <v>4</v>
      </c>
    </row>
    <row r="56" spans="1:12" x14ac:dyDescent="0.35">
      <c r="A56">
        <v>2012</v>
      </c>
      <c r="B56">
        <v>69</v>
      </c>
      <c r="C56" t="s">
        <v>81</v>
      </c>
      <c r="D56" s="4">
        <v>1277</v>
      </c>
      <c r="E56">
        <v>16036</v>
      </c>
      <c r="F56">
        <v>13336.4</v>
      </c>
      <c r="G56" s="4">
        <v>8</v>
      </c>
      <c r="H56">
        <v>142</v>
      </c>
      <c r="I56">
        <v>128.69999999999999</v>
      </c>
      <c r="J56" s="4">
        <v>9</v>
      </c>
      <c r="K56">
        <v>30</v>
      </c>
      <c r="L56">
        <v>24.6</v>
      </c>
    </row>
    <row r="57" spans="1:12" x14ac:dyDescent="0.35">
      <c r="A57">
        <v>2012</v>
      </c>
      <c r="B57">
        <v>70</v>
      </c>
      <c r="C57" t="s">
        <v>82</v>
      </c>
      <c r="D57" s="4">
        <v>34</v>
      </c>
      <c r="E57">
        <v>71</v>
      </c>
      <c r="F57">
        <v>48.6</v>
      </c>
      <c r="G57" s="4"/>
      <c r="J57" s="4"/>
    </row>
    <row r="58" spans="1:12" x14ac:dyDescent="0.35">
      <c r="A58">
        <v>2012</v>
      </c>
      <c r="B58">
        <v>71</v>
      </c>
      <c r="C58" t="s">
        <v>83</v>
      </c>
      <c r="D58" s="4">
        <v>115</v>
      </c>
      <c r="E58">
        <v>471</v>
      </c>
      <c r="F58">
        <v>364.5</v>
      </c>
      <c r="G58" s="4"/>
      <c r="J58" s="4"/>
    </row>
    <row r="59" spans="1:12" x14ac:dyDescent="0.35">
      <c r="A59">
        <v>2012</v>
      </c>
      <c r="B59">
        <v>72</v>
      </c>
      <c r="C59" t="s">
        <v>84</v>
      </c>
      <c r="D59" s="4">
        <v>229</v>
      </c>
      <c r="E59">
        <v>856</v>
      </c>
      <c r="F59">
        <v>653.70000000000005</v>
      </c>
      <c r="G59" s="4"/>
      <c r="J59" s="4"/>
    </row>
    <row r="60" spans="1:12" x14ac:dyDescent="0.35">
      <c r="A60">
        <v>2012</v>
      </c>
      <c r="B60">
        <v>81</v>
      </c>
      <c r="C60" t="s">
        <v>85</v>
      </c>
      <c r="D60" s="4">
        <v>58</v>
      </c>
      <c r="E60">
        <v>249</v>
      </c>
      <c r="F60">
        <v>179.4</v>
      </c>
      <c r="G60" s="4"/>
      <c r="J60" s="4"/>
    </row>
    <row r="61" spans="1:12" x14ac:dyDescent="0.35">
      <c r="A61">
        <v>2012</v>
      </c>
      <c r="B61">
        <v>82</v>
      </c>
      <c r="C61" t="s">
        <v>86</v>
      </c>
      <c r="D61" s="4">
        <v>81</v>
      </c>
      <c r="E61">
        <v>305</v>
      </c>
      <c r="F61">
        <v>227.9</v>
      </c>
      <c r="G61" s="4"/>
      <c r="J61" s="4"/>
    </row>
    <row r="62" spans="1:12" x14ac:dyDescent="0.35">
      <c r="A62">
        <v>2012</v>
      </c>
      <c r="B62">
        <v>83</v>
      </c>
      <c r="C62" t="s">
        <v>87</v>
      </c>
      <c r="D62" s="4">
        <v>274</v>
      </c>
      <c r="E62">
        <v>2222</v>
      </c>
      <c r="F62">
        <v>1835.1</v>
      </c>
      <c r="G62" s="4"/>
      <c r="J62" s="4"/>
    </row>
    <row r="63" spans="1:12" x14ac:dyDescent="0.35">
      <c r="A63">
        <v>2012</v>
      </c>
      <c r="B63">
        <v>84</v>
      </c>
      <c r="C63" t="s">
        <v>88</v>
      </c>
      <c r="D63" s="4">
        <v>271</v>
      </c>
      <c r="E63">
        <v>2732</v>
      </c>
      <c r="F63">
        <v>2368</v>
      </c>
      <c r="G63" s="4"/>
      <c r="J63" s="4"/>
    </row>
    <row r="64" spans="1:12" x14ac:dyDescent="0.35">
      <c r="A64">
        <v>2012</v>
      </c>
      <c r="B64">
        <v>85</v>
      </c>
      <c r="C64" t="s">
        <v>89</v>
      </c>
      <c r="D64" s="4">
        <v>97</v>
      </c>
      <c r="E64">
        <v>438</v>
      </c>
      <c r="F64">
        <v>349.7</v>
      </c>
      <c r="G64" s="4"/>
      <c r="J64" s="4"/>
      <c r="K64">
        <v>4</v>
      </c>
    </row>
    <row r="65" spans="1:12" x14ac:dyDescent="0.35">
      <c r="A65">
        <v>2012</v>
      </c>
      <c r="B65">
        <v>86</v>
      </c>
      <c r="C65" t="s">
        <v>90</v>
      </c>
      <c r="D65" s="4">
        <v>400</v>
      </c>
      <c r="E65">
        <v>3751</v>
      </c>
      <c r="F65">
        <v>2940.4</v>
      </c>
      <c r="G65" s="4"/>
      <c r="J65" s="4"/>
    </row>
    <row r="66" spans="1:12" x14ac:dyDescent="0.35">
      <c r="A66">
        <v>2012</v>
      </c>
      <c r="B66">
        <v>87</v>
      </c>
      <c r="C66" t="s">
        <v>91</v>
      </c>
      <c r="D66" s="4">
        <v>43</v>
      </c>
      <c r="E66">
        <v>132</v>
      </c>
      <c r="F66">
        <v>98.3</v>
      </c>
      <c r="G66" s="4"/>
      <c r="J66" s="4"/>
    </row>
    <row r="67" spans="1:12" x14ac:dyDescent="0.35">
      <c r="A67">
        <v>2012</v>
      </c>
      <c r="B67">
        <v>88</v>
      </c>
      <c r="C67" t="s">
        <v>92</v>
      </c>
      <c r="D67" s="4">
        <v>234</v>
      </c>
      <c r="E67">
        <v>614</v>
      </c>
      <c r="F67">
        <v>439.8</v>
      </c>
      <c r="G67" s="4"/>
      <c r="J67" s="4"/>
    </row>
    <row r="68" spans="1:12" x14ac:dyDescent="0.35">
      <c r="A68">
        <v>2012</v>
      </c>
      <c r="B68">
        <v>89</v>
      </c>
      <c r="C68" t="s">
        <v>93</v>
      </c>
      <c r="D68" s="4">
        <v>219</v>
      </c>
      <c r="E68">
        <v>1357</v>
      </c>
      <c r="F68">
        <v>1086.8</v>
      </c>
      <c r="G68" s="4"/>
      <c r="J68" s="4"/>
    </row>
    <row r="69" spans="1:12" x14ac:dyDescent="0.35">
      <c r="A69">
        <v>2012</v>
      </c>
      <c r="B69">
        <v>90</v>
      </c>
      <c r="C69" t="s">
        <v>94</v>
      </c>
      <c r="D69" s="4">
        <v>405</v>
      </c>
      <c r="E69">
        <v>2015</v>
      </c>
      <c r="F69">
        <v>1556.9</v>
      </c>
      <c r="G69" s="4"/>
      <c r="J69" s="4"/>
    </row>
    <row r="70" spans="1:12" x14ac:dyDescent="0.35">
      <c r="A70">
        <v>2012</v>
      </c>
      <c r="B70">
        <v>91</v>
      </c>
      <c r="C70" t="s">
        <v>95</v>
      </c>
      <c r="D70" s="4">
        <v>150</v>
      </c>
      <c r="E70">
        <v>845</v>
      </c>
      <c r="F70">
        <v>680.9</v>
      </c>
      <c r="G70" s="4"/>
      <c r="J70" s="4"/>
    </row>
    <row r="71" spans="1:12" x14ac:dyDescent="0.35">
      <c r="A71">
        <v>2012</v>
      </c>
      <c r="B71">
        <v>92</v>
      </c>
      <c r="C71" t="s">
        <v>96</v>
      </c>
      <c r="D71" s="4">
        <v>280</v>
      </c>
      <c r="E71">
        <v>1564</v>
      </c>
      <c r="F71">
        <v>1279.3</v>
      </c>
      <c r="G71" s="4"/>
      <c r="J71" s="4"/>
    </row>
    <row r="72" spans="1:12" x14ac:dyDescent="0.35">
      <c r="A72">
        <v>2012</v>
      </c>
      <c r="B72">
        <v>93</v>
      </c>
      <c r="C72" t="s">
        <v>97</v>
      </c>
      <c r="D72" s="4">
        <v>75</v>
      </c>
      <c r="E72">
        <v>266</v>
      </c>
      <c r="F72">
        <v>182.5</v>
      </c>
      <c r="G72" s="4"/>
      <c r="J72" s="4"/>
    </row>
    <row r="73" spans="1:12" x14ac:dyDescent="0.35">
      <c r="A73">
        <v>2012</v>
      </c>
      <c r="B73">
        <v>94</v>
      </c>
      <c r="C73" t="s">
        <v>98</v>
      </c>
      <c r="D73" s="4">
        <v>254</v>
      </c>
      <c r="E73">
        <v>2959</v>
      </c>
      <c r="F73">
        <v>2404</v>
      </c>
      <c r="G73" s="4"/>
      <c r="J73" s="4"/>
    </row>
    <row r="74" spans="1:12" x14ac:dyDescent="0.35">
      <c r="A74">
        <v>2012</v>
      </c>
      <c r="B74">
        <v>95</v>
      </c>
      <c r="C74" t="s">
        <v>99</v>
      </c>
      <c r="D74" s="4">
        <v>31</v>
      </c>
      <c r="E74">
        <v>203</v>
      </c>
      <c r="F74">
        <v>145.5</v>
      </c>
      <c r="G74" s="4"/>
      <c r="J74" s="4"/>
    </row>
    <row r="75" spans="1:12" x14ac:dyDescent="0.35">
      <c r="A75">
        <v>2012</v>
      </c>
      <c r="B75">
        <v>96</v>
      </c>
      <c r="C75" t="s">
        <v>100</v>
      </c>
      <c r="D75" s="4">
        <v>1214</v>
      </c>
      <c r="E75">
        <v>10790</v>
      </c>
      <c r="F75">
        <v>8946.1</v>
      </c>
      <c r="G75" s="4">
        <v>5</v>
      </c>
      <c r="H75">
        <v>13</v>
      </c>
      <c r="I75">
        <v>10</v>
      </c>
      <c r="J75" s="4">
        <v>5</v>
      </c>
      <c r="K75">
        <v>15</v>
      </c>
      <c r="L75">
        <v>8.9</v>
      </c>
    </row>
    <row r="76" spans="1:12" x14ac:dyDescent="0.35">
      <c r="A76">
        <v>2012</v>
      </c>
      <c r="B76">
        <v>97</v>
      </c>
      <c r="C76" t="s">
        <v>101</v>
      </c>
      <c r="D76" s="4">
        <v>710</v>
      </c>
      <c r="E76">
        <v>5688</v>
      </c>
      <c r="F76">
        <v>4718.3</v>
      </c>
      <c r="G76" s="4">
        <v>4</v>
      </c>
      <c r="H76">
        <v>21</v>
      </c>
      <c r="I76">
        <v>17.899999999999999</v>
      </c>
      <c r="J76" s="4">
        <v>3</v>
      </c>
      <c r="K76">
        <v>7</v>
      </c>
      <c r="L76">
        <v>5</v>
      </c>
    </row>
    <row r="77" spans="1:12" x14ac:dyDescent="0.35">
      <c r="A77">
        <v>2012</v>
      </c>
      <c r="B77">
        <v>98</v>
      </c>
      <c r="C77" t="s">
        <v>102</v>
      </c>
      <c r="D77" s="4">
        <v>61</v>
      </c>
      <c r="E77">
        <v>140</v>
      </c>
      <c r="F77">
        <v>93.7</v>
      </c>
      <c r="G77" s="4"/>
      <c r="J77" s="4"/>
    </row>
    <row r="78" spans="1:12" x14ac:dyDescent="0.35">
      <c r="A78">
        <v>2012</v>
      </c>
      <c r="B78">
        <v>99</v>
      </c>
      <c r="C78" t="s">
        <v>103</v>
      </c>
      <c r="D78" s="4">
        <v>105</v>
      </c>
      <c r="E78">
        <v>371</v>
      </c>
      <c r="F78">
        <v>246.4</v>
      </c>
      <c r="G78" s="4"/>
      <c r="J78" s="4"/>
      <c r="K78">
        <v>4</v>
      </c>
    </row>
    <row r="79" spans="1:12" x14ac:dyDescent="0.35">
      <c r="A79">
        <v>2012</v>
      </c>
      <c r="B79">
        <v>100</v>
      </c>
      <c r="C79" t="s">
        <v>104</v>
      </c>
      <c r="D79" s="4">
        <v>141</v>
      </c>
      <c r="E79">
        <v>569</v>
      </c>
      <c r="F79">
        <v>423.5</v>
      </c>
      <c r="G79" s="4"/>
      <c r="J79" s="4"/>
    </row>
    <row r="80" spans="1:12" x14ac:dyDescent="0.35">
      <c r="A80">
        <v>2012</v>
      </c>
      <c r="B80">
        <v>101</v>
      </c>
      <c r="C80" t="s">
        <v>105</v>
      </c>
      <c r="D80" s="4">
        <v>203</v>
      </c>
      <c r="E80">
        <v>744</v>
      </c>
      <c r="F80">
        <v>566.79999999999995</v>
      </c>
      <c r="G80" s="4"/>
      <c r="J80" s="4"/>
    </row>
    <row r="81" spans="1:12" x14ac:dyDescent="0.35">
      <c r="A81">
        <v>2012</v>
      </c>
      <c r="B81">
        <v>102</v>
      </c>
      <c r="C81" t="s">
        <v>106</v>
      </c>
      <c r="D81" s="4">
        <v>84</v>
      </c>
      <c r="E81">
        <v>241</v>
      </c>
      <c r="F81">
        <v>190</v>
      </c>
      <c r="G81" s="4"/>
      <c r="J81" s="4"/>
    </row>
    <row r="82" spans="1:12" x14ac:dyDescent="0.35">
      <c r="A82">
        <v>2012</v>
      </c>
      <c r="B82">
        <v>111</v>
      </c>
      <c r="C82" t="s">
        <v>107</v>
      </c>
      <c r="D82" s="4">
        <v>393</v>
      </c>
      <c r="E82">
        <v>1489</v>
      </c>
      <c r="F82">
        <v>1040.0999999999999</v>
      </c>
      <c r="G82" s="4"/>
      <c r="J82" s="4"/>
    </row>
    <row r="83" spans="1:12" x14ac:dyDescent="0.35">
      <c r="A83">
        <v>2012</v>
      </c>
      <c r="B83">
        <v>112</v>
      </c>
      <c r="C83" t="s">
        <v>108</v>
      </c>
      <c r="D83" s="4">
        <v>528</v>
      </c>
      <c r="E83">
        <v>3253</v>
      </c>
      <c r="F83">
        <v>2541.3000000000002</v>
      </c>
      <c r="G83" s="4">
        <v>3</v>
      </c>
      <c r="H83">
        <v>9</v>
      </c>
      <c r="I83">
        <v>7.6</v>
      </c>
      <c r="J83" s="4"/>
    </row>
    <row r="84" spans="1:12" x14ac:dyDescent="0.35">
      <c r="A84">
        <v>2012</v>
      </c>
      <c r="B84">
        <v>113</v>
      </c>
      <c r="C84" t="s">
        <v>109</v>
      </c>
      <c r="D84" s="4">
        <v>414</v>
      </c>
      <c r="E84">
        <v>1780</v>
      </c>
      <c r="F84">
        <v>1258.5</v>
      </c>
      <c r="G84" s="4"/>
      <c r="J84" s="4"/>
    </row>
    <row r="85" spans="1:12" x14ac:dyDescent="0.35">
      <c r="A85">
        <v>2012</v>
      </c>
      <c r="B85">
        <v>114</v>
      </c>
      <c r="C85" t="s">
        <v>110</v>
      </c>
      <c r="D85" s="4">
        <v>203</v>
      </c>
      <c r="E85">
        <v>740</v>
      </c>
      <c r="F85">
        <v>511.6</v>
      </c>
      <c r="G85" s="4"/>
      <c r="J85" s="4">
        <v>4</v>
      </c>
      <c r="K85">
        <v>4</v>
      </c>
    </row>
    <row r="86" spans="1:12" x14ac:dyDescent="0.35">
      <c r="A86">
        <v>2012</v>
      </c>
      <c r="B86">
        <v>115</v>
      </c>
      <c r="C86" t="s">
        <v>111</v>
      </c>
      <c r="D86" s="4">
        <v>624</v>
      </c>
      <c r="E86">
        <v>2774</v>
      </c>
      <c r="F86">
        <v>2073.6</v>
      </c>
      <c r="G86" s="4"/>
      <c r="J86" s="4"/>
    </row>
    <row r="87" spans="1:12" x14ac:dyDescent="0.35">
      <c r="A87">
        <v>2012</v>
      </c>
      <c r="B87">
        <v>116</v>
      </c>
      <c r="C87" t="s">
        <v>112</v>
      </c>
      <c r="D87" s="4">
        <v>248</v>
      </c>
      <c r="E87">
        <v>1654</v>
      </c>
      <c r="F87">
        <v>1307.7</v>
      </c>
      <c r="G87" s="4"/>
      <c r="J87" s="4"/>
    </row>
    <row r="88" spans="1:12" x14ac:dyDescent="0.35">
      <c r="A88">
        <v>2012</v>
      </c>
      <c r="B88">
        <v>117</v>
      </c>
      <c r="C88" t="s">
        <v>113</v>
      </c>
      <c r="D88" s="4">
        <v>798</v>
      </c>
      <c r="E88">
        <v>6636</v>
      </c>
      <c r="F88">
        <v>5393.4</v>
      </c>
      <c r="G88" s="4"/>
      <c r="H88">
        <v>4</v>
      </c>
      <c r="J88" s="4"/>
    </row>
    <row r="89" spans="1:12" x14ac:dyDescent="0.35">
      <c r="A89">
        <v>2012</v>
      </c>
      <c r="B89">
        <v>118</v>
      </c>
      <c r="C89" t="s">
        <v>114</v>
      </c>
      <c r="D89" s="4">
        <v>782</v>
      </c>
      <c r="E89">
        <v>4552</v>
      </c>
      <c r="F89">
        <v>3446.6</v>
      </c>
      <c r="G89" s="4"/>
      <c r="J89" s="4">
        <v>7</v>
      </c>
      <c r="K89">
        <v>27</v>
      </c>
      <c r="L89">
        <v>21.9</v>
      </c>
    </row>
    <row r="90" spans="1:12" x14ac:dyDescent="0.35">
      <c r="A90">
        <v>2012</v>
      </c>
      <c r="B90">
        <v>119</v>
      </c>
      <c r="C90" t="s">
        <v>115</v>
      </c>
      <c r="D90" s="4">
        <v>95</v>
      </c>
      <c r="E90">
        <v>518</v>
      </c>
      <c r="F90">
        <v>362</v>
      </c>
      <c r="G90" s="4"/>
      <c r="J90" s="4"/>
    </row>
    <row r="91" spans="1:12" x14ac:dyDescent="0.35">
      <c r="A91">
        <v>2012</v>
      </c>
      <c r="B91">
        <v>120</v>
      </c>
      <c r="C91" t="s">
        <v>116</v>
      </c>
      <c r="D91" s="4">
        <v>637</v>
      </c>
      <c r="E91">
        <v>3208</v>
      </c>
      <c r="F91">
        <v>2385.1</v>
      </c>
      <c r="G91" s="4">
        <v>3</v>
      </c>
      <c r="H91">
        <v>4</v>
      </c>
      <c r="J91" s="4"/>
      <c r="K91">
        <v>4</v>
      </c>
    </row>
    <row r="92" spans="1:12" x14ac:dyDescent="0.35">
      <c r="A92">
        <v>2012</v>
      </c>
      <c r="B92">
        <v>121</v>
      </c>
      <c r="C92" t="s">
        <v>117</v>
      </c>
      <c r="D92" s="4">
        <v>1740</v>
      </c>
      <c r="E92">
        <v>13651</v>
      </c>
      <c r="F92">
        <v>10009.6</v>
      </c>
      <c r="G92" s="4">
        <v>3</v>
      </c>
      <c r="J92" s="4">
        <v>3</v>
      </c>
      <c r="K92">
        <v>8</v>
      </c>
      <c r="L92">
        <v>7.2</v>
      </c>
    </row>
    <row r="93" spans="1:12" x14ac:dyDescent="0.35">
      <c r="A93">
        <v>2012</v>
      </c>
      <c r="B93">
        <v>131</v>
      </c>
      <c r="C93" t="s">
        <v>118</v>
      </c>
      <c r="D93" s="4">
        <v>993</v>
      </c>
      <c r="E93">
        <v>8078</v>
      </c>
      <c r="F93">
        <v>6622.9</v>
      </c>
      <c r="G93" s="4">
        <v>5</v>
      </c>
      <c r="H93">
        <v>6</v>
      </c>
      <c r="J93" s="4">
        <v>6</v>
      </c>
      <c r="K93">
        <v>23</v>
      </c>
      <c r="L93">
        <v>18</v>
      </c>
    </row>
    <row r="94" spans="1:12" x14ac:dyDescent="0.35">
      <c r="A94">
        <v>2012</v>
      </c>
      <c r="B94">
        <v>135</v>
      </c>
      <c r="C94" t="s">
        <v>119</v>
      </c>
      <c r="D94" s="4">
        <v>527</v>
      </c>
      <c r="E94">
        <v>3920</v>
      </c>
      <c r="F94">
        <v>2981.5</v>
      </c>
      <c r="G94" s="4">
        <v>5</v>
      </c>
      <c r="H94">
        <v>10</v>
      </c>
      <c r="I94">
        <v>8</v>
      </c>
      <c r="J94" s="4">
        <v>4</v>
      </c>
      <c r="K94">
        <v>8</v>
      </c>
      <c r="L94">
        <v>6</v>
      </c>
    </row>
    <row r="95" spans="1:12" x14ac:dyDescent="0.35">
      <c r="A95">
        <v>2012</v>
      </c>
      <c r="B95">
        <v>136</v>
      </c>
      <c r="C95" t="s">
        <v>120</v>
      </c>
      <c r="D95" s="4">
        <v>347</v>
      </c>
      <c r="E95">
        <v>1508</v>
      </c>
      <c r="F95">
        <v>1065.3</v>
      </c>
      <c r="G95" s="4"/>
      <c r="J95" s="4"/>
    </row>
    <row r="96" spans="1:12" x14ac:dyDescent="0.35">
      <c r="A96">
        <v>2012</v>
      </c>
      <c r="B96">
        <v>137</v>
      </c>
      <c r="C96" t="s">
        <v>121</v>
      </c>
      <c r="D96" s="4">
        <v>280</v>
      </c>
      <c r="E96">
        <v>1065</v>
      </c>
      <c r="F96">
        <v>738.2</v>
      </c>
      <c r="G96" s="4"/>
      <c r="J96" s="4"/>
    </row>
    <row r="97" spans="1:12" x14ac:dyDescent="0.35">
      <c r="A97">
        <v>2012</v>
      </c>
      <c r="B97">
        <v>138</v>
      </c>
      <c r="C97" t="s">
        <v>122</v>
      </c>
      <c r="D97" s="4">
        <v>708</v>
      </c>
      <c r="E97">
        <v>3718</v>
      </c>
      <c r="F97">
        <v>2917.3</v>
      </c>
      <c r="G97" s="4">
        <v>5</v>
      </c>
      <c r="H97">
        <v>14</v>
      </c>
      <c r="I97">
        <v>11.9</v>
      </c>
      <c r="J97" s="4">
        <v>6</v>
      </c>
      <c r="K97">
        <v>16</v>
      </c>
      <c r="L97">
        <v>11.8</v>
      </c>
    </row>
    <row r="98" spans="1:12" x14ac:dyDescent="0.35">
      <c r="A98">
        <v>2012</v>
      </c>
      <c r="B98">
        <v>139</v>
      </c>
      <c r="C98" t="s">
        <v>123</v>
      </c>
      <c r="D98" s="4">
        <v>376</v>
      </c>
      <c r="E98">
        <v>2848</v>
      </c>
      <c r="F98">
        <v>2241.6999999999998</v>
      </c>
      <c r="G98" s="4"/>
      <c r="J98" s="4">
        <v>4</v>
      </c>
      <c r="K98">
        <v>7</v>
      </c>
      <c r="L98">
        <v>5</v>
      </c>
    </row>
    <row r="99" spans="1:12" x14ac:dyDescent="0.35">
      <c r="A99">
        <v>2012</v>
      </c>
      <c r="B99">
        <v>141</v>
      </c>
      <c r="C99" t="s">
        <v>124</v>
      </c>
      <c r="D99" s="4">
        <v>1189</v>
      </c>
      <c r="E99">
        <v>6698</v>
      </c>
      <c r="F99">
        <v>4650.1000000000004</v>
      </c>
      <c r="G99" s="4">
        <v>3</v>
      </c>
      <c r="H99">
        <v>4</v>
      </c>
      <c r="J99" s="4">
        <v>14</v>
      </c>
      <c r="K99">
        <v>28</v>
      </c>
      <c r="L99">
        <v>22.1</v>
      </c>
    </row>
    <row r="100" spans="1:12" x14ac:dyDescent="0.35">
      <c r="A100">
        <v>2012</v>
      </c>
      <c r="B100">
        <v>151</v>
      </c>
      <c r="C100" t="s">
        <v>125</v>
      </c>
      <c r="D100" s="4">
        <v>439</v>
      </c>
      <c r="E100">
        <v>2064</v>
      </c>
      <c r="F100">
        <v>1549</v>
      </c>
      <c r="G100" s="4"/>
      <c r="H100">
        <v>4</v>
      </c>
      <c r="J100" s="4"/>
    </row>
    <row r="101" spans="1:12" x14ac:dyDescent="0.35">
      <c r="A101">
        <v>2012</v>
      </c>
      <c r="B101">
        <v>152</v>
      </c>
      <c r="C101" t="s">
        <v>126</v>
      </c>
      <c r="D101" s="4">
        <v>395</v>
      </c>
      <c r="E101">
        <v>1297</v>
      </c>
      <c r="F101">
        <v>907.1</v>
      </c>
      <c r="G101" s="4"/>
      <c r="J101" s="4"/>
      <c r="K101">
        <v>4</v>
      </c>
    </row>
    <row r="102" spans="1:12" x14ac:dyDescent="0.35">
      <c r="A102">
        <v>2012</v>
      </c>
      <c r="B102">
        <v>153</v>
      </c>
      <c r="C102" t="s">
        <v>127</v>
      </c>
      <c r="D102" s="4">
        <v>566</v>
      </c>
      <c r="E102">
        <v>2922</v>
      </c>
      <c r="F102">
        <v>2196.8000000000002</v>
      </c>
      <c r="G102" s="4"/>
      <c r="H102">
        <v>11</v>
      </c>
      <c r="I102">
        <v>6.9</v>
      </c>
      <c r="J102" s="4">
        <v>4</v>
      </c>
      <c r="K102">
        <v>25</v>
      </c>
      <c r="L102">
        <v>22.4</v>
      </c>
    </row>
    <row r="103" spans="1:12" x14ac:dyDescent="0.35">
      <c r="A103">
        <v>2012</v>
      </c>
      <c r="B103">
        <v>154</v>
      </c>
      <c r="C103" t="s">
        <v>128</v>
      </c>
      <c r="D103" s="4">
        <v>1189</v>
      </c>
      <c r="E103">
        <v>6095</v>
      </c>
      <c r="F103">
        <v>4677.8999999999996</v>
      </c>
      <c r="G103" s="4">
        <v>4</v>
      </c>
      <c r="H103">
        <v>4</v>
      </c>
      <c r="J103" s="4">
        <v>7</v>
      </c>
      <c r="K103">
        <v>11</v>
      </c>
      <c r="L103">
        <v>9.5</v>
      </c>
    </row>
    <row r="104" spans="1:12" x14ac:dyDescent="0.35">
      <c r="A104">
        <v>2012</v>
      </c>
      <c r="B104">
        <v>155</v>
      </c>
      <c r="C104" t="s">
        <v>129</v>
      </c>
      <c r="D104" s="4">
        <v>670</v>
      </c>
      <c r="E104">
        <v>4601</v>
      </c>
      <c r="F104">
        <v>3526.8</v>
      </c>
      <c r="G104" s="4">
        <v>4</v>
      </c>
      <c r="H104">
        <v>6</v>
      </c>
      <c r="I104">
        <v>4.3</v>
      </c>
      <c r="J104" s="4">
        <v>3</v>
      </c>
      <c r="K104">
        <v>6</v>
      </c>
      <c r="L104">
        <v>4</v>
      </c>
    </row>
    <row r="105" spans="1:12" x14ac:dyDescent="0.35">
      <c r="A105">
        <v>2012</v>
      </c>
      <c r="B105">
        <v>156</v>
      </c>
      <c r="C105" t="s">
        <v>130</v>
      </c>
      <c r="D105" s="4">
        <v>1022</v>
      </c>
      <c r="E105">
        <v>5943</v>
      </c>
      <c r="F105">
        <v>4456.8</v>
      </c>
      <c r="G105" s="4"/>
      <c r="H105">
        <v>5</v>
      </c>
      <c r="J105" s="4">
        <v>4</v>
      </c>
      <c r="K105">
        <v>5</v>
      </c>
    </row>
    <row r="106" spans="1:12" x14ac:dyDescent="0.35">
      <c r="A106">
        <v>2012</v>
      </c>
      <c r="B106">
        <v>157</v>
      </c>
      <c r="C106" t="s">
        <v>131</v>
      </c>
      <c r="D106" s="4">
        <v>266</v>
      </c>
      <c r="E106">
        <v>2191</v>
      </c>
      <c r="F106">
        <v>1699.4</v>
      </c>
      <c r="G106" s="4"/>
      <c r="H106">
        <v>14</v>
      </c>
      <c r="I106">
        <v>9.6999999999999993</v>
      </c>
      <c r="J106" s="4"/>
    </row>
    <row r="107" spans="1:12" x14ac:dyDescent="0.35">
      <c r="A107">
        <v>2012</v>
      </c>
      <c r="B107">
        <v>158</v>
      </c>
      <c r="C107" t="s">
        <v>132</v>
      </c>
      <c r="D107" s="4">
        <v>986</v>
      </c>
      <c r="E107">
        <v>5439</v>
      </c>
      <c r="F107">
        <v>4303.3999999999996</v>
      </c>
      <c r="G107" s="4">
        <v>5</v>
      </c>
      <c r="H107">
        <v>14</v>
      </c>
      <c r="I107">
        <v>7.1</v>
      </c>
      <c r="J107" s="4">
        <v>6</v>
      </c>
      <c r="K107">
        <v>14</v>
      </c>
      <c r="L107">
        <v>11.5</v>
      </c>
    </row>
    <row r="108" spans="1:12" x14ac:dyDescent="0.35">
      <c r="A108">
        <v>2012</v>
      </c>
      <c r="B108">
        <v>159</v>
      </c>
      <c r="C108" t="s">
        <v>133</v>
      </c>
      <c r="D108" s="4">
        <v>336</v>
      </c>
      <c r="E108">
        <v>1622</v>
      </c>
      <c r="F108">
        <v>1217.5</v>
      </c>
      <c r="G108" s="4"/>
      <c r="J108" s="4"/>
    </row>
    <row r="109" spans="1:12" x14ac:dyDescent="0.35">
      <c r="A109">
        <v>2012</v>
      </c>
      <c r="B109">
        <v>160</v>
      </c>
      <c r="C109" t="s">
        <v>134</v>
      </c>
      <c r="D109" s="4">
        <v>355</v>
      </c>
      <c r="E109">
        <v>1663</v>
      </c>
      <c r="F109">
        <v>1221.4000000000001</v>
      </c>
      <c r="G109" s="4"/>
      <c r="J109" s="4"/>
    </row>
    <row r="110" spans="1:12" x14ac:dyDescent="0.35">
      <c r="A110">
        <v>2012</v>
      </c>
      <c r="B110">
        <v>161</v>
      </c>
      <c r="C110" t="s">
        <v>135</v>
      </c>
      <c r="D110" s="4">
        <v>1092</v>
      </c>
      <c r="E110">
        <v>6062</v>
      </c>
      <c r="F110">
        <v>4475</v>
      </c>
      <c r="G110" s="4">
        <v>3</v>
      </c>
      <c r="H110">
        <v>6</v>
      </c>
      <c r="J110" s="4">
        <v>10</v>
      </c>
      <c r="K110">
        <v>21</v>
      </c>
      <c r="L110">
        <v>14.9</v>
      </c>
    </row>
    <row r="111" spans="1:12" x14ac:dyDescent="0.35">
      <c r="A111">
        <v>2012</v>
      </c>
      <c r="B111">
        <v>172</v>
      </c>
      <c r="C111" t="s">
        <v>136</v>
      </c>
      <c r="D111" s="4">
        <v>433</v>
      </c>
      <c r="E111">
        <v>3854</v>
      </c>
      <c r="F111">
        <v>3088</v>
      </c>
      <c r="G111" s="4"/>
      <c r="J111" s="4"/>
    </row>
    <row r="112" spans="1:12" x14ac:dyDescent="0.35">
      <c r="A112">
        <v>2012</v>
      </c>
      <c r="B112">
        <v>173</v>
      </c>
      <c r="C112" t="s">
        <v>137</v>
      </c>
      <c r="D112" s="4">
        <v>243</v>
      </c>
      <c r="E112">
        <v>776</v>
      </c>
      <c r="F112">
        <v>584</v>
      </c>
      <c r="G112" s="4"/>
      <c r="J112" s="4"/>
    </row>
    <row r="113" spans="1:12" x14ac:dyDescent="0.35">
      <c r="A113">
        <v>2012</v>
      </c>
      <c r="B113">
        <v>176</v>
      </c>
      <c r="C113" t="s">
        <v>138</v>
      </c>
      <c r="D113" s="4">
        <v>299</v>
      </c>
      <c r="E113">
        <v>2373</v>
      </c>
      <c r="F113">
        <v>1830</v>
      </c>
      <c r="G113" s="4"/>
      <c r="J113" s="4"/>
      <c r="K113">
        <v>4</v>
      </c>
    </row>
    <row r="114" spans="1:12" x14ac:dyDescent="0.35">
      <c r="A114">
        <v>2012</v>
      </c>
      <c r="B114">
        <v>177</v>
      </c>
      <c r="C114" t="s">
        <v>139</v>
      </c>
      <c r="D114" s="4">
        <v>741</v>
      </c>
      <c r="E114">
        <v>5231</v>
      </c>
      <c r="F114">
        <v>3891.1</v>
      </c>
      <c r="G114" s="4"/>
      <c r="H114">
        <v>8</v>
      </c>
      <c r="I114">
        <v>6.5</v>
      </c>
      <c r="J114" s="4"/>
      <c r="K114">
        <v>7</v>
      </c>
      <c r="L114">
        <v>4.5999999999999996</v>
      </c>
    </row>
    <row r="115" spans="1:12" x14ac:dyDescent="0.35">
      <c r="A115">
        <v>2012</v>
      </c>
      <c r="B115">
        <v>178</v>
      </c>
      <c r="C115" t="s">
        <v>140</v>
      </c>
      <c r="D115" s="4">
        <v>265</v>
      </c>
      <c r="E115">
        <v>1181</v>
      </c>
      <c r="F115">
        <v>860.5</v>
      </c>
      <c r="G115" s="4"/>
      <c r="J115" s="4"/>
    </row>
    <row r="116" spans="1:12" x14ac:dyDescent="0.35">
      <c r="A116">
        <v>2012</v>
      </c>
      <c r="B116">
        <v>180</v>
      </c>
      <c r="C116" t="s">
        <v>141</v>
      </c>
      <c r="D116" s="4">
        <v>228</v>
      </c>
      <c r="E116">
        <v>845</v>
      </c>
      <c r="F116">
        <v>617.29999999999995</v>
      </c>
      <c r="G116" s="4"/>
      <c r="J116" s="4"/>
      <c r="K116">
        <v>6</v>
      </c>
      <c r="L116">
        <v>4.8</v>
      </c>
    </row>
    <row r="117" spans="1:12" x14ac:dyDescent="0.35">
      <c r="A117">
        <v>2012</v>
      </c>
      <c r="B117">
        <v>181</v>
      </c>
      <c r="C117" t="s">
        <v>142</v>
      </c>
      <c r="D117" s="4">
        <v>172</v>
      </c>
      <c r="E117">
        <v>608</v>
      </c>
      <c r="F117">
        <v>462.6</v>
      </c>
      <c r="G117" s="4"/>
      <c r="J117" s="4"/>
    </row>
    <row r="118" spans="1:12" x14ac:dyDescent="0.35">
      <c r="A118">
        <v>2012</v>
      </c>
      <c r="B118">
        <v>182</v>
      </c>
      <c r="C118" t="s">
        <v>143</v>
      </c>
      <c r="D118" s="4">
        <v>69</v>
      </c>
      <c r="E118">
        <v>216</v>
      </c>
      <c r="F118">
        <v>151.5</v>
      </c>
      <c r="G118" s="4"/>
      <c r="J118" s="4"/>
    </row>
    <row r="119" spans="1:12" x14ac:dyDescent="0.35">
      <c r="A119">
        <v>2012</v>
      </c>
      <c r="B119">
        <v>191</v>
      </c>
      <c r="C119" t="s">
        <v>144</v>
      </c>
      <c r="D119" s="4">
        <v>1765</v>
      </c>
      <c r="E119">
        <v>20051</v>
      </c>
      <c r="F119">
        <v>15769.2</v>
      </c>
      <c r="G119" s="4">
        <v>5</v>
      </c>
      <c r="H119">
        <v>11</v>
      </c>
      <c r="I119">
        <v>8.6999999999999993</v>
      </c>
      <c r="J119" s="4">
        <v>6</v>
      </c>
      <c r="K119">
        <v>75</v>
      </c>
      <c r="L119">
        <v>67.3</v>
      </c>
    </row>
    <row r="120" spans="1:12" x14ac:dyDescent="0.35">
      <c r="A120">
        <v>2012</v>
      </c>
      <c r="B120">
        <v>192</v>
      </c>
      <c r="C120" t="s">
        <v>145</v>
      </c>
      <c r="D120" s="4">
        <v>554</v>
      </c>
      <c r="E120">
        <v>2504</v>
      </c>
      <c r="F120">
        <v>1881.8</v>
      </c>
      <c r="G120" s="4"/>
      <c r="J120" s="4"/>
    </row>
    <row r="121" spans="1:12" x14ac:dyDescent="0.35">
      <c r="A121">
        <v>2012</v>
      </c>
      <c r="B121">
        <v>193</v>
      </c>
      <c r="C121" t="s">
        <v>146</v>
      </c>
      <c r="D121" s="4">
        <v>454</v>
      </c>
      <c r="E121">
        <v>2962</v>
      </c>
      <c r="F121">
        <v>2439.6999999999998</v>
      </c>
      <c r="G121" s="4"/>
      <c r="H121">
        <v>41</v>
      </c>
      <c r="I121">
        <v>36.4</v>
      </c>
      <c r="J121" s="4"/>
    </row>
    <row r="122" spans="1:12" x14ac:dyDescent="0.35">
      <c r="A122">
        <v>2012</v>
      </c>
      <c r="B122">
        <v>194</v>
      </c>
      <c r="C122" t="s">
        <v>147</v>
      </c>
      <c r="D122" s="4">
        <v>206</v>
      </c>
      <c r="E122">
        <v>1723</v>
      </c>
      <c r="F122">
        <v>1298.0999999999999</v>
      </c>
      <c r="G122" s="4"/>
      <c r="J122" s="4"/>
    </row>
    <row r="123" spans="1:12" x14ac:dyDescent="0.35">
      <c r="A123">
        <v>2012</v>
      </c>
      <c r="B123">
        <v>195</v>
      </c>
      <c r="C123" t="s">
        <v>148</v>
      </c>
      <c r="D123" s="4">
        <v>626</v>
      </c>
      <c r="E123">
        <v>2215</v>
      </c>
      <c r="F123">
        <v>1618.4</v>
      </c>
      <c r="G123" s="4"/>
      <c r="J123" s="4">
        <v>4</v>
      </c>
      <c r="K123">
        <v>8</v>
      </c>
      <c r="L123">
        <v>7.3</v>
      </c>
    </row>
    <row r="124" spans="1:12" x14ac:dyDescent="0.35">
      <c r="A124">
        <v>2012</v>
      </c>
      <c r="B124">
        <v>196</v>
      </c>
      <c r="C124" t="s">
        <v>149</v>
      </c>
      <c r="D124" s="4">
        <v>261</v>
      </c>
      <c r="E124">
        <v>1357</v>
      </c>
      <c r="F124">
        <v>1042</v>
      </c>
      <c r="G124" s="4"/>
      <c r="J124" s="4"/>
      <c r="K124">
        <v>5</v>
      </c>
      <c r="L124">
        <v>4.7</v>
      </c>
    </row>
    <row r="125" spans="1:12" x14ac:dyDescent="0.35">
      <c r="A125">
        <v>2012</v>
      </c>
      <c r="B125">
        <v>197</v>
      </c>
      <c r="C125" t="s">
        <v>150</v>
      </c>
      <c r="D125" s="4">
        <v>282</v>
      </c>
      <c r="E125">
        <v>3014</v>
      </c>
      <c r="F125">
        <v>2484.4</v>
      </c>
      <c r="G125" s="4"/>
      <c r="J125" s="4"/>
      <c r="K125">
        <v>27</v>
      </c>
      <c r="L125">
        <v>24.5</v>
      </c>
    </row>
    <row r="126" spans="1:12" x14ac:dyDescent="0.35">
      <c r="A126">
        <v>2012</v>
      </c>
      <c r="B126">
        <v>198</v>
      </c>
      <c r="C126" t="s">
        <v>151</v>
      </c>
      <c r="D126" s="4">
        <v>2259</v>
      </c>
      <c r="E126">
        <v>16213</v>
      </c>
      <c r="F126">
        <v>12221.4</v>
      </c>
      <c r="G126" s="4">
        <v>5</v>
      </c>
      <c r="H126">
        <v>9</v>
      </c>
      <c r="I126">
        <v>6.3</v>
      </c>
      <c r="J126" s="4">
        <v>4</v>
      </c>
      <c r="K126">
        <v>6</v>
      </c>
      <c r="L126">
        <v>4.3</v>
      </c>
    </row>
    <row r="127" spans="1:12" x14ac:dyDescent="0.35">
      <c r="A127">
        <v>2012</v>
      </c>
      <c r="B127">
        <v>199</v>
      </c>
      <c r="C127" t="s">
        <v>152</v>
      </c>
      <c r="D127" s="4">
        <v>1215</v>
      </c>
      <c r="E127">
        <v>10853</v>
      </c>
      <c r="F127">
        <v>8684.1</v>
      </c>
      <c r="G127" s="4">
        <v>6</v>
      </c>
      <c r="H127">
        <v>30</v>
      </c>
      <c r="I127">
        <v>24.2</v>
      </c>
      <c r="J127" s="4">
        <v>4</v>
      </c>
      <c r="K127">
        <v>24</v>
      </c>
      <c r="L127">
        <v>20.7</v>
      </c>
    </row>
    <row r="128" spans="1:12" x14ac:dyDescent="0.35">
      <c r="A128">
        <v>2012</v>
      </c>
      <c r="B128">
        <v>200</v>
      </c>
      <c r="C128" t="s">
        <v>153</v>
      </c>
      <c r="D128" s="4">
        <v>528</v>
      </c>
      <c r="E128">
        <v>5680</v>
      </c>
      <c r="F128">
        <v>4695.6000000000004</v>
      </c>
      <c r="G128" s="4">
        <v>4</v>
      </c>
      <c r="H128">
        <v>5</v>
      </c>
      <c r="J128" s="4"/>
    </row>
    <row r="129" spans="1:12" x14ac:dyDescent="0.35">
      <c r="A129">
        <v>2012</v>
      </c>
      <c r="B129">
        <v>211</v>
      </c>
      <c r="C129" t="s">
        <v>154</v>
      </c>
      <c r="D129" s="4">
        <v>57</v>
      </c>
      <c r="E129">
        <v>143</v>
      </c>
      <c r="F129">
        <v>85.8</v>
      </c>
      <c r="G129" s="4"/>
      <c r="J129" s="4"/>
    </row>
    <row r="130" spans="1:12" x14ac:dyDescent="0.35">
      <c r="A130">
        <v>2012</v>
      </c>
      <c r="B130">
        <v>213</v>
      </c>
      <c r="C130" t="s">
        <v>155</v>
      </c>
      <c r="D130" s="4">
        <v>132</v>
      </c>
      <c r="E130">
        <v>395</v>
      </c>
      <c r="F130">
        <v>281.39999999999998</v>
      </c>
      <c r="G130" s="4"/>
      <c r="J130" s="4"/>
    </row>
    <row r="131" spans="1:12" x14ac:dyDescent="0.35">
      <c r="A131">
        <v>2012</v>
      </c>
      <c r="B131">
        <v>214</v>
      </c>
      <c r="C131" t="s">
        <v>156</v>
      </c>
      <c r="D131" s="4">
        <v>87</v>
      </c>
      <c r="E131">
        <v>270</v>
      </c>
      <c r="F131">
        <v>189.7</v>
      </c>
      <c r="G131" s="4"/>
      <c r="J131" s="4"/>
    </row>
    <row r="132" spans="1:12" x14ac:dyDescent="0.35">
      <c r="A132">
        <v>2012</v>
      </c>
      <c r="B132">
        <v>215</v>
      </c>
      <c r="C132" t="s">
        <v>157</v>
      </c>
      <c r="D132" s="4">
        <v>46</v>
      </c>
      <c r="E132">
        <v>118</v>
      </c>
      <c r="F132">
        <v>79.8</v>
      </c>
      <c r="G132" s="4"/>
      <c r="J132" s="4"/>
    </row>
    <row r="133" spans="1:12" x14ac:dyDescent="0.35">
      <c r="A133">
        <v>2012</v>
      </c>
      <c r="B133">
        <v>216</v>
      </c>
      <c r="C133" t="s">
        <v>158</v>
      </c>
      <c r="D133" s="4">
        <v>103</v>
      </c>
      <c r="E133">
        <v>328</v>
      </c>
      <c r="F133">
        <v>239.2</v>
      </c>
      <c r="G133" s="4"/>
      <c r="J133" s="4"/>
    </row>
    <row r="134" spans="1:12" x14ac:dyDescent="0.35">
      <c r="A134">
        <v>2012</v>
      </c>
      <c r="B134">
        <v>218</v>
      </c>
      <c r="C134" t="s">
        <v>159</v>
      </c>
      <c r="D134" s="4">
        <v>71</v>
      </c>
      <c r="E134">
        <v>627</v>
      </c>
      <c r="F134">
        <v>484.9</v>
      </c>
      <c r="G134" s="4"/>
      <c r="H134">
        <v>4</v>
      </c>
      <c r="J134" s="4"/>
    </row>
    <row r="135" spans="1:12" x14ac:dyDescent="0.35">
      <c r="A135">
        <v>2012</v>
      </c>
      <c r="B135">
        <v>219</v>
      </c>
      <c r="C135" t="s">
        <v>160</v>
      </c>
      <c r="D135" s="4">
        <v>235</v>
      </c>
      <c r="E135">
        <v>1260</v>
      </c>
      <c r="F135">
        <v>989.4</v>
      </c>
      <c r="G135" s="4"/>
      <c r="J135" s="4"/>
    </row>
    <row r="136" spans="1:12" x14ac:dyDescent="0.35">
      <c r="A136">
        <v>2012</v>
      </c>
      <c r="B136">
        <v>220</v>
      </c>
      <c r="C136" t="s">
        <v>161</v>
      </c>
      <c r="D136" s="4">
        <v>78</v>
      </c>
      <c r="E136">
        <v>233</v>
      </c>
      <c r="F136">
        <v>169.5</v>
      </c>
      <c r="G136" s="4"/>
      <c r="J136" s="4"/>
    </row>
    <row r="137" spans="1:12" x14ac:dyDescent="0.35">
      <c r="A137">
        <v>2012</v>
      </c>
      <c r="B137">
        <v>221</v>
      </c>
      <c r="C137" t="s">
        <v>162</v>
      </c>
      <c r="D137" s="4">
        <v>150</v>
      </c>
      <c r="E137">
        <v>665</v>
      </c>
      <c r="F137">
        <v>515.4</v>
      </c>
      <c r="G137" s="4"/>
      <c r="J137" s="4"/>
    </row>
    <row r="138" spans="1:12" x14ac:dyDescent="0.35">
      <c r="A138">
        <v>2012</v>
      </c>
      <c r="B138">
        <v>223</v>
      </c>
      <c r="C138" t="s">
        <v>163</v>
      </c>
      <c r="D138" s="4">
        <v>351</v>
      </c>
      <c r="E138">
        <v>1526</v>
      </c>
      <c r="F138">
        <v>1170.5999999999999</v>
      </c>
      <c r="G138" s="4"/>
      <c r="J138" s="4"/>
    </row>
    <row r="139" spans="1:12" x14ac:dyDescent="0.35">
      <c r="A139">
        <v>2012</v>
      </c>
      <c r="B139">
        <v>224</v>
      </c>
      <c r="C139" t="s">
        <v>164</v>
      </c>
      <c r="D139" s="4">
        <v>178</v>
      </c>
      <c r="E139">
        <v>1023</v>
      </c>
      <c r="F139">
        <v>813.1</v>
      </c>
      <c r="G139" s="4"/>
      <c r="H139">
        <v>9</v>
      </c>
      <c r="I139">
        <v>6.7</v>
      </c>
      <c r="J139" s="4"/>
    </row>
    <row r="140" spans="1:12" x14ac:dyDescent="0.35">
      <c r="A140">
        <v>2012</v>
      </c>
      <c r="B140">
        <v>225</v>
      </c>
      <c r="C140" t="s">
        <v>165</v>
      </c>
      <c r="D140" s="4">
        <v>152</v>
      </c>
      <c r="E140">
        <v>459</v>
      </c>
      <c r="F140">
        <v>322.89999999999998</v>
      </c>
      <c r="G140" s="4"/>
      <c r="H140">
        <v>5</v>
      </c>
      <c r="I140">
        <v>4.5999999999999996</v>
      </c>
      <c r="J140" s="4"/>
    </row>
    <row r="141" spans="1:12" x14ac:dyDescent="0.35">
      <c r="A141">
        <v>2012</v>
      </c>
      <c r="B141">
        <v>226</v>
      </c>
      <c r="C141" t="s">
        <v>166</v>
      </c>
      <c r="D141" s="4">
        <v>57</v>
      </c>
      <c r="E141">
        <v>147</v>
      </c>
      <c r="F141">
        <v>101.7</v>
      </c>
      <c r="G141" s="4"/>
      <c r="J141" s="4"/>
    </row>
    <row r="142" spans="1:12" x14ac:dyDescent="0.35">
      <c r="A142">
        <v>2012</v>
      </c>
      <c r="B142">
        <v>227</v>
      </c>
      <c r="C142" t="s">
        <v>167</v>
      </c>
      <c r="D142" s="4">
        <v>384</v>
      </c>
      <c r="E142">
        <v>2591</v>
      </c>
      <c r="F142">
        <v>2076.1</v>
      </c>
      <c r="G142" s="4"/>
      <c r="H142">
        <v>4</v>
      </c>
      <c r="I142">
        <v>4</v>
      </c>
      <c r="J142" s="4"/>
    </row>
    <row r="143" spans="1:12" x14ac:dyDescent="0.35">
      <c r="A143">
        <v>2012</v>
      </c>
      <c r="B143">
        <v>228</v>
      </c>
      <c r="C143" t="s">
        <v>168</v>
      </c>
      <c r="D143" s="4">
        <v>336</v>
      </c>
      <c r="E143">
        <v>1470</v>
      </c>
      <c r="F143">
        <v>1044</v>
      </c>
      <c r="G143" s="4"/>
      <c r="J143" s="4"/>
      <c r="K143">
        <v>4</v>
      </c>
    </row>
    <row r="144" spans="1:12" x14ac:dyDescent="0.35">
      <c r="A144">
        <v>2012</v>
      </c>
      <c r="B144">
        <v>230</v>
      </c>
      <c r="C144" t="s">
        <v>169</v>
      </c>
      <c r="D144" s="4">
        <v>7065</v>
      </c>
      <c r="E144">
        <v>67820</v>
      </c>
      <c r="F144">
        <v>51700.6</v>
      </c>
      <c r="G144" s="4">
        <v>25</v>
      </c>
      <c r="H144">
        <v>65</v>
      </c>
      <c r="I144">
        <v>47.1</v>
      </c>
      <c r="J144" s="4">
        <v>15</v>
      </c>
      <c r="K144">
        <v>82</v>
      </c>
      <c r="L144">
        <v>70.3</v>
      </c>
    </row>
    <row r="145" spans="1:12" x14ac:dyDescent="0.35">
      <c r="A145">
        <v>2012</v>
      </c>
      <c r="B145">
        <v>231</v>
      </c>
      <c r="C145" t="s">
        <v>170</v>
      </c>
      <c r="D145" s="4">
        <v>337</v>
      </c>
      <c r="E145">
        <v>1425</v>
      </c>
      <c r="F145">
        <v>1029.5999999999999</v>
      </c>
      <c r="G145" s="4"/>
      <c r="H145">
        <v>6</v>
      </c>
      <c r="I145">
        <v>5.3</v>
      </c>
      <c r="J145" s="4"/>
      <c r="K145">
        <v>9</v>
      </c>
      <c r="L145">
        <v>7.2</v>
      </c>
    </row>
    <row r="146" spans="1:12" x14ac:dyDescent="0.35">
      <c r="A146">
        <v>2012</v>
      </c>
      <c r="B146">
        <v>241</v>
      </c>
      <c r="C146" t="s">
        <v>171</v>
      </c>
      <c r="D146" s="4">
        <v>81</v>
      </c>
      <c r="E146">
        <v>334</v>
      </c>
      <c r="F146">
        <v>258</v>
      </c>
      <c r="G146" s="4"/>
      <c r="J146" s="4"/>
    </row>
    <row r="147" spans="1:12" x14ac:dyDescent="0.35">
      <c r="A147">
        <v>2012</v>
      </c>
      <c r="B147">
        <v>242</v>
      </c>
      <c r="C147" t="s">
        <v>172</v>
      </c>
      <c r="D147" s="4">
        <v>370</v>
      </c>
      <c r="E147">
        <v>2084</v>
      </c>
      <c r="F147">
        <v>1646.9</v>
      </c>
      <c r="G147" s="4"/>
      <c r="H147">
        <v>161</v>
      </c>
      <c r="I147">
        <v>151.5</v>
      </c>
      <c r="J147" s="4"/>
    </row>
    <row r="148" spans="1:12" x14ac:dyDescent="0.35">
      <c r="A148">
        <v>2012</v>
      </c>
      <c r="B148">
        <v>243</v>
      </c>
      <c r="C148" t="s">
        <v>173</v>
      </c>
      <c r="D148" s="4">
        <v>1597</v>
      </c>
      <c r="E148">
        <v>17111</v>
      </c>
      <c r="F148">
        <v>13872.6</v>
      </c>
      <c r="G148" s="4">
        <v>13</v>
      </c>
      <c r="H148">
        <v>70</v>
      </c>
      <c r="I148">
        <v>46.1</v>
      </c>
      <c r="J148" s="4">
        <v>20</v>
      </c>
      <c r="K148">
        <v>103</v>
      </c>
      <c r="L148">
        <v>73.2</v>
      </c>
    </row>
    <row r="149" spans="1:12" x14ac:dyDescent="0.35">
      <c r="A149">
        <v>2012</v>
      </c>
      <c r="B149">
        <v>244</v>
      </c>
      <c r="C149" t="s">
        <v>174</v>
      </c>
      <c r="D149" s="4">
        <v>291</v>
      </c>
      <c r="E149">
        <v>2108</v>
      </c>
      <c r="F149">
        <v>1691.2</v>
      </c>
      <c r="G149" s="4"/>
      <c r="H149">
        <v>16</v>
      </c>
      <c r="I149">
        <v>12.3</v>
      </c>
      <c r="J149" s="4"/>
      <c r="K149">
        <v>4</v>
      </c>
    </row>
    <row r="150" spans="1:12" x14ac:dyDescent="0.35">
      <c r="A150">
        <v>2012</v>
      </c>
      <c r="B150">
        <v>245</v>
      </c>
      <c r="C150" t="s">
        <v>175</v>
      </c>
      <c r="D150" s="4">
        <v>329</v>
      </c>
      <c r="E150">
        <v>1120</v>
      </c>
      <c r="F150">
        <v>824</v>
      </c>
      <c r="G150" s="4"/>
      <c r="J150" s="4">
        <v>3</v>
      </c>
      <c r="K150">
        <v>5</v>
      </c>
    </row>
    <row r="151" spans="1:12" x14ac:dyDescent="0.35">
      <c r="A151">
        <v>2012</v>
      </c>
      <c r="B151">
        <v>246</v>
      </c>
      <c r="C151" t="s">
        <v>176</v>
      </c>
      <c r="D151" s="4">
        <v>118</v>
      </c>
      <c r="E151">
        <v>310</v>
      </c>
      <c r="F151">
        <v>225.2</v>
      </c>
      <c r="G151" s="4"/>
      <c r="J151" s="4"/>
    </row>
    <row r="152" spans="1:12" x14ac:dyDescent="0.35">
      <c r="A152">
        <v>2012</v>
      </c>
      <c r="B152">
        <v>247</v>
      </c>
      <c r="C152" t="s">
        <v>177</v>
      </c>
      <c r="D152" s="4">
        <v>1256</v>
      </c>
      <c r="E152">
        <v>15625</v>
      </c>
      <c r="F152">
        <v>12809.6</v>
      </c>
      <c r="G152" s="4">
        <v>11</v>
      </c>
      <c r="H152">
        <v>117</v>
      </c>
      <c r="I152">
        <v>104</v>
      </c>
      <c r="J152" s="4">
        <v>9</v>
      </c>
      <c r="K152">
        <v>36</v>
      </c>
      <c r="L152">
        <v>19.3</v>
      </c>
    </row>
    <row r="153" spans="1:12" x14ac:dyDescent="0.35">
      <c r="A153">
        <v>2012</v>
      </c>
      <c r="B153">
        <v>248</v>
      </c>
      <c r="C153" t="s">
        <v>178</v>
      </c>
      <c r="D153" s="4">
        <v>258</v>
      </c>
      <c r="E153">
        <v>913</v>
      </c>
      <c r="F153">
        <v>667.2</v>
      </c>
      <c r="G153" s="4"/>
      <c r="J153" s="4">
        <v>3</v>
      </c>
    </row>
    <row r="154" spans="1:12" x14ac:dyDescent="0.35">
      <c r="A154">
        <v>2012</v>
      </c>
      <c r="B154">
        <v>249</v>
      </c>
      <c r="C154" t="s">
        <v>179</v>
      </c>
      <c r="D154" s="4">
        <v>227</v>
      </c>
      <c r="E154">
        <v>996</v>
      </c>
      <c r="F154">
        <v>775.3</v>
      </c>
      <c r="G154" s="4"/>
      <c r="J154" s="4">
        <v>3</v>
      </c>
      <c r="K154">
        <v>8</v>
      </c>
      <c r="L154">
        <v>7.5</v>
      </c>
    </row>
    <row r="155" spans="1:12" x14ac:dyDescent="0.35">
      <c r="A155">
        <v>2012</v>
      </c>
      <c r="B155">
        <v>250</v>
      </c>
      <c r="C155" t="s">
        <v>180</v>
      </c>
      <c r="D155" s="4">
        <v>646</v>
      </c>
      <c r="E155">
        <v>6554</v>
      </c>
      <c r="F155">
        <v>5438.9</v>
      </c>
      <c r="G155" s="4">
        <v>3</v>
      </c>
      <c r="H155">
        <v>5</v>
      </c>
      <c r="I155">
        <v>4</v>
      </c>
      <c r="J155" s="4">
        <v>3</v>
      </c>
      <c r="K155">
        <v>9</v>
      </c>
      <c r="L155">
        <v>7.4</v>
      </c>
    </row>
    <row r="156" spans="1:12" x14ac:dyDescent="0.35">
      <c r="A156">
        <v>2012</v>
      </c>
      <c r="B156">
        <v>251</v>
      </c>
      <c r="C156" t="s">
        <v>181</v>
      </c>
      <c r="D156" s="4">
        <v>248</v>
      </c>
      <c r="E156">
        <v>1327</v>
      </c>
      <c r="F156">
        <v>1068.2</v>
      </c>
      <c r="G156" s="4"/>
      <c r="J156" s="4"/>
    </row>
    <row r="157" spans="1:12" x14ac:dyDescent="0.35">
      <c r="A157">
        <v>2012</v>
      </c>
      <c r="B157">
        <v>261</v>
      </c>
      <c r="C157" t="s">
        <v>182</v>
      </c>
      <c r="D157" s="4">
        <v>40362</v>
      </c>
      <c r="E157">
        <v>448474</v>
      </c>
      <c r="F157">
        <v>343563.4</v>
      </c>
      <c r="G157" s="4">
        <v>176</v>
      </c>
      <c r="H157">
        <v>420</v>
      </c>
      <c r="I157">
        <v>314.89999999999998</v>
      </c>
      <c r="J157" s="4">
        <v>190</v>
      </c>
      <c r="K157">
        <v>600</v>
      </c>
      <c r="L157">
        <v>480.6</v>
      </c>
    </row>
    <row r="158" spans="1:12" x14ac:dyDescent="0.35">
      <c r="A158">
        <v>2012</v>
      </c>
      <c r="B158">
        <v>291</v>
      </c>
      <c r="C158" t="s">
        <v>183</v>
      </c>
      <c r="D158" s="4">
        <v>274</v>
      </c>
      <c r="E158">
        <v>1669</v>
      </c>
      <c r="F158">
        <v>1274.3</v>
      </c>
      <c r="G158" s="4"/>
      <c r="J158" s="4"/>
    </row>
    <row r="159" spans="1:12" x14ac:dyDescent="0.35">
      <c r="A159">
        <v>2012</v>
      </c>
      <c r="B159">
        <v>292</v>
      </c>
      <c r="C159" t="s">
        <v>184</v>
      </c>
      <c r="D159" s="4">
        <v>281</v>
      </c>
      <c r="E159">
        <v>1155</v>
      </c>
      <c r="F159">
        <v>790.1</v>
      </c>
      <c r="G159" s="4"/>
      <c r="J159" s="4"/>
    </row>
    <row r="160" spans="1:12" x14ac:dyDescent="0.35">
      <c r="A160">
        <v>2012</v>
      </c>
      <c r="B160">
        <v>293</v>
      </c>
      <c r="C160" t="s">
        <v>185</v>
      </c>
      <c r="D160" s="4">
        <v>1762</v>
      </c>
      <c r="E160">
        <v>9948</v>
      </c>
      <c r="F160">
        <v>7542.9</v>
      </c>
      <c r="G160" s="4">
        <v>10</v>
      </c>
      <c r="H160">
        <v>29</v>
      </c>
      <c r="I160">
        <v>22.9</v>
      </c>
      <c r="J160" s="4">
        <v>11</v>
      </c>
      <c r="K160">
        <v>23</v>
      </c>
      <c r="L160">
        <v>17.2</v>
      </c>
    </row>
    <row r="161" spans="1:12" x14ac:dyDescent="0.35">
      <c r="A161">
        <v>2012</v>
      </c>
      <c r="B161">
        <v>294</v>
      </c>
      <c r="C161" t="s">
        <v>186</v>
      </c>
      <c r="D161" s="4">
        <v>318</v>
      </c>
      <c r="E161">
        <v>1651</v>
      </c>
      <c r="F161">
        <v>1225.4000000000001</v>
      </c>
      <c r="G161" s="4">
        <v>4</v>
      </c>
      <c r="H161">
        <v>7</v>
      </c>
      <c r="I161">
        <v>5.2</v>
      </c>
      <c r="J161" s="4"/>
    </row>
    <row r="162" spans="1:12" x14ac:dyDescent="0.35">
      <c r="A162">
        <v>2012</v>
      </c>
      <c r="B162">
        <v>295</v>
      </c>
      <c r="C162" t="s">
        <v>187</v>
      </c>
      <c r="D162" s="4">
        <v>1342</v>
      </c>
      <c r="E162">
        <v>9986</v>
      </c>
      <c r="F162">
        <v>7819.5</v>
      </c>
      <c r="G162" s="4">
        <v>4</v>
      </c>
      <c r="H162">
        <v>8</v>
      </c>
      <c r="I162">
        <v>5.3</v>
      </c>
      <c r="J162" s="4">
        <v>12</v>
      </c>
      <c r="K162">
        <v>40</v>
      </c>
      <c r="L162">
        <v>30.9</v>
      </c>
    </row>
    <row r="163" spans="1:12" x14ac:dyDescent="0.35">
      <c r="A163">
        <v>2012</v>
      </c>
      <c r="B163">
        <v>296</v>
      </c>
      <c r="C163" t="s">
        <v>188</v>
      </c>
      <c r="D163" s="4">
        <v>1032</v>
      </c>
      <c r="E163">
        <v>6903</v>
      </c>
      <c r="F163">
        <v>5187.7</v>
      </c>
      <c r="G163" s="4">
        <v>4</v>
      </c>
      <c r="H163">
        <v>16</v>
      </c>
      <c r="I163">
        <v>12.8</v>
      </c>
      <c r="J163" s="4"/>
    </row>
    <row r="164" spans="1:12" x14ac:dyDescent="0.35">
      <c r="A164">
        <v>2012</v>
      </c>
      <c r="B164">
        <v>297</v>
      </c>
      <c r="C164" t="s">
        <v>189</v>
      </c>
      <c r="D164" s="4">
        <v>366</v>
      </c>
      <c r="E164">
        <v>1754</v>
      </c>
      <c r="F164">
        <v>1295.9000000000001</v>
      </c>
      <c r="G164" s="4"/>
      <c r="J164" s="4"/>
    </row>
    <row r="165" spans="1:12" x14ac:dyDescent="0.35">
      <c r="A165">
        <v>2012</v>
      </c>
      <c r="B165">
        <v>298</v>
      </c>
      <c r="C165" t="s">
        <v>190</v>
      </c>
      <c r="D165" s="4">
        <v>343</v>
      </c>
      <c r="E165">
        <v>1278</v>
      </c>
      <c r="F165">
        <v>880</v>
      </c>
      <c r="G165" s="4"/>
      <c r="J165" s="4"/>
    </row>
  </sheetData>
  <mergeCells count="5">
    <mergeCell ref="A1:R1"/>
    <mergeCell ref="A2:R2"/>
    <mergeCell ref="D4:F4"/>
    <mergeCell ref="G4:I4"/>
    <mergeCell ref="J4:L4"/>
  </mergeCells>
  <pageMargins left="0.7" right="0.7" top="0.75" bottom="0.75" header="0.3" footer="0.3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ab6d1c10-a186-47ab-af91-cdbff51004f3}" enabled="1" method="Standard" siteId="{a020d0ae-094a-4d44-b66c-ac3fe8e90c5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15</vt:i4>
      </vt:variant>
    </vt:vector>
  </HeadingPairs>
  <TitlesOfParts>
    <vt:vector size="15" baseType="lpstr">
      <vt:lpstr>Index</vt:lpstr>
      <vt:lpstr>Erläuterungen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b105aac@ji.ktzh.ch</dc:creator>
  <cp:lastModifiedBy>Andriu Cavelti</cp:lastModifiedBy>
  <dcterms:created xsi:type="dcterms:W3CDTF">2026-08-20T16:30:46Z</dcterms:created>
  <dcterms:modified xsi:type="dcterms:W3CDTF">2026-08-20T14:41:49Z</dcterms:modified>
</cp:coreProperties>
</file>