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L:\STAT\03_AS\02_Datengrundlagen\SB_Wirtschaft\Aussenhandel\output\"/>
    </mc:Choice>
  </mc:AlternateContent>
  <xr:revisionPtr revIDLastSave="0" documentId="13_ncr:1_{A7457EB5-97D7-4B21-9379-F7E43DFB35CC}" xr6:coauthVersionLast="47" xr6:coauthVersionMax="47" xr10:uidLastSave="{00000000-0000-0000-0000-000000000000}"/>
  <bookViews>
    <workbookView xWindow="28680" yWindow="-120" windowWidth="29040" windowHeight="17640" xr2:uid="{00000000-000D-0000-FFFF-FFFF00000000}"/>
  </bookViews>
  <sheets>
    <sheet name="Index" sheetId="1" r:id="rId1"/>
    <sheet name="Exp_Region" sheetId="2" r:id="rId2"/>
    <sheet name="Exp_Land" sheetId="3" r:id="rId3"/>
    <sheet name="Imp_Region" sheetId="4" r:id="rId4"/>
    <sheet name="Imp_Land" sheetId="5" r:id="rId5"/>
    <sheet name="Daten" sheetId="6" r:id="rId6"/>
    <sheet name="Laender" sheetId="7" r:id="rId7"/>
    <sheet name="Beiblat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1" l="1"/>
  <c r="C19" i="1"/>
  <c r="C18" i="1"/>
  <c r="C17" i="1"/>
  <c r="C16" i="1"/>
  <c r="C15" i="1"/>
</calcChain>
</file>

<file path=xl/sharedStrings.xml><?xml version="1.0" encoding="utf-8"?>
<sst xmlns="http://schemas.openxmlformats.org/spreadsheetml/2006/main" count="16477" uniqueCount="577">
  <si>
    <t>Statistisches Amt des Kantons Zürich</t>
  </si>
  <si>
    <t>Datashop</t>
  </si>
  <si>
    <t>Tel. +41 43 259 75 00</t>
  </si>
  <si>
    <t>datashop@statistik.zh.ch</t>
  </si>
  <si>
    <t>http://www.statistik.zh.ch</t>
  </si>
  <si>
    <t>Aktualisiert am: 14.07.2025 durch: Stephanie Bade</t>
  </si>
  <si>
    <t>Bürozeiten</t>
  </si>
  <si>
    <t>Montag bis Freitag</t>
  </si>
  <si>
    <t>09:00 bis 12:00</t>
  </si>
  <si>
    <t>13:00 bis 16:00</t>
  </si>
  <si>
    <t>Inhalt</t>
  </si>
  <si>
    <t>Exporte pro Region (Mio. CHF)</t>
  </si>
  <si>
    <t xml:space="preserve"> </t>
  </si>
  <si>
    <t>Total 1: OHNE Edelmetalle, Edel- und Schmucksteine, Kunstgegenstände und Antiquitäten</t>
  </si>
  <si>
    <t>Total 2: MIT Edelmetallen, Edel- und Schmucksteinen, Kunstgegenständen und Antiquitäten</t>
  </si>
  <si>
    <t xml:space="preserve">Mio. CHF  </t>
  </si>
  <si>
    <t xml:space="preserve">Total 1 2016  </t>
  </si>
  <si>
    <t xml:space="preserve">Total 1 2017  </t>
  </si>
  <si>
    <t xml:space="preserve">Total 1 2018  </t>
  </si>
  <si>
    <t xml:space="preserve">Total 1 2019  </t>
  </si>
  <si>
    <t xml:space="preserve">Total 1 2020  </t>
  </si>
  <si>
    <t xml:space="preserve">Total 1 2021  </t>
  </si>
  <si>
    <t xml:space="preserve">Total 1 2022  </t>
  </si>
  <si>
    <t xml:space="preserve">Total 1 2023  </t>
  </si>
  <si>
    <t xml:space="preserve">Total 1 2024  </t>
  </si>
  <si>
    <t xml:space="preserve">Total 2 2016  </t>
  </si>
  <si>
    <t xml:space="preserve">Total 2 2017  </t>
  </si>
  <si>
    <t xml:space="preserve">Total 2 2018  </t>
  </si>
  <si>
    <t xml:space="preserve">Total 2 2019  </t>
  </si>
  <si>
    <t xml:space="preserve">Total 2 2020  </t>
  </si>
  <si>
    <t xml:space="preserve">Total 2 2021  </t>
  </si>
  <si>
    <t xml:space="preserve">Total 2 2022  </t>
  </si>
  <si>
    <t xml:space="preserve">Total 2 2023  </t>
  </si>
  <si>
    <t xml:space="preserve">Total 2 2024  </t>
  </si>
  <si>
    <t>EU27</t>
  </si>
  <si>
    <t>Asien</t>
  </si>
  <si>
    <t>US</t>
  </si>
  <si>
    <t>Übriges Europa</t>
  </si>
  <si>
    <t>Übriges Amerika</t>
  </si>
  <si>
    <t>Afrika</t>
  </si>
  <si>
    <t>Ozeanien</t>
  </si>
  <si>
    <t>Total</t>
  </si>
  <si>
    <t>Exporte pro Land (Tsd. CHF)</t>
  </si>
  <si>
    <t>Bundesamt für Zoll und Grenzsicherheit BAZG</t>
  </si>
  <si>
    <t>Einige Länder sind aus Gründen des Datenschutzes zusammengefasst.</t>
  </si>
  <si>
    <t xml:space="preserve">Kontinent  </t>
  </si>
  <si>
    <t xml:space="preserve">Land  </t>
  </si>
  <si>
    <t>Südafrika</t>
  </si>
  <si>
    <t>Ägypten</t>
  </si>
  <si>
    <t>Algerien</t>
  </si>
  <si>
    <t>Tunesien</t>
  </si>
  <si>
    <t>Äthiopien</t>
  </si>
  <si>
    <t>Marokko</t>
  </si>
  <si>
    <t>Libyen</t>
  </si>
  <si>
    <t>Nigeria</t>
  </si>
  <si>
    <t>Togo</t>
  </si>
  <si>
    <t>Côte d'Ivoire</t>
  </si>
  <si>
    <t>Niger</t>
  </si>
  <si>
    <t>Kenia</t>
  </si>
  <si>
    <t>Mauritius</t>
  </si>
  <si>
    <t>Ghana</t>
  </si>
  <si>
    <t>Benin</t>
  </si>
  <si>
    <t>Mosambik</t>
  </si>
  <si>
    <t>Senegal</t>
  </si>
  <si>
    <t>Weitere Länder in Afrika</t>
  </si>
  <si>
    <t>Sudan</t>
  </si>
  <si>
    <t>Kamerun</t>
  </si>
  <si>
    <t>Tansania</t>
  </si>
  <si>
    <t>Angola</t>
  </si>
  <si>
    <t>Liberia</t>
  </si>
  <si>
    <t>Kongo (Kinshasa)</t>
  </si>
  <si>
    <t>Simbabwe</t>
  </si>
  <si>
    <t>Kongo (Brazzaville)</t>
  </si>
  <si>
    <t>Sambia</t>
  </si>
  <si>
    <t>Uganda</t>
  </si>
  <si>
    <t>Guinea</t>
  </si>
  <si>
    <t>Madagaskar</t>
  </si>
  <si>
    <t>Sierra Leone</t>
  </si>
  <si>
    <t>Reunion</t>
  </si>
  <si>
    <t>Eritrea</t>
  </si>
  <si>
    <t>Seychellen</t>
  </si>
  <si>
    <t>Gabun</t>
  </si>
  <si>
    <t>Dschibuti</t>
  </si>
  <si>
    <t>Namibia</t>
  </si>
  <si>
    <t>Gambia</t>
  </si>
  <si>
    <t>Mali</t>
  </si>
  <si>
    <t>Äquatorialguinea</t>
  </si>
  <si>
    <t>Burkina Faso</t>
  </si>
  <si>
    <t>Ruanda</t>
  </si>
  <si>
    <t>Südsudan</t>
  </si>
  <si>
    <t>Cabo Verde</t>
  </si>
  <si>
    <t>Mauretanien</t>
  </si>
  <si>
    <t>Amerika</t>
  </si>
  <si>
    <t>Vereinigte Staaten</t>
  </si>
  <si>
    <t>Brasilien</t>
  </si>
  <si>
    <t>Kanada</t>
  </si>
  <si>
    <t>Mexiko</t>
  </si>
  <si>
    <t>Argentinien</t>
  </si>
  <si>
    <t>Chile</t>
  </si>
  <si>
    <t>Französisch-Guayana</t>
  </si>
  <si>
    <t>Kolumbien</t>
  </si>
  <si>
    <t>Peru</t>
  </si>
  <si>
    <t>Jungferninseln (UK)</t>
  </si>
  <si>
    <t>Ecuador</t>
  </si>
  <si>
    <t>Weitere Länder in Amerika</t>
  </si>
  <si>
    <t>Dominikanische Republik</t>
  </si>
  <si>
    <t>Guatemala</t>
  </si>
  <si>
    <t>Uruguay</t>
  </si>
  <si>
    <t>Costa Rica</t>
  </si>
  <si>
    <t>Kuba</t>
  </si>
  <si>
    <t>El Salvador</t>
  </si>
  <si>
    <t>Panama</t>
  </si>
  <si>
    <t>Bolivien</t>
  </si>
  <si>
    <t>Venezuela</t>
  </si>
  <si>
    <t>Honduras</t>
  </si>
  <si>
    <t>Paraguay</t>
  </si>
  <si>
    <t>Trinidad und Tobago</t>
  </si>
  <si>
    <t>Bermuda</t>
  </si>
  <si>
    <t>Suriname</t>
  </si>
  <si>
    <t>Bahamas</t>
  </si>
  <si>
    <t>Nicaragua</t>
  </si>
  <si>
    <t>St. Lucia</t>
  </si>
  <si>
    <t>Guadeloupe</t>
  </si>
  <si>
    <t>Jamaika</t>
  </si>
  <si>
    <t>Aruba</t>
  </si>
  <si>
    <t>Curaçao</t>
  </si>
  <si>
    <t>China</t>
  </si>
  <si>
    <t>Korea (Süd-)</t>
  </si>
  <si>
    <t>Indien</t>
  </si>
  <si>
    <t>Hongkong</t>
  </si>
  <si>
    <t>Vereinigte Arabische Emirate</t>
  </si>
  <si>
    <t>Japan</t>
  </si>
  <si>
    <t>Singapur</t>
  </si>
  <si>
    <t>Saudi-Arabien</t>
  </si>
  <si>
    <t>Israel</t>
  </si>
  <si>
    <t>Taiwan (Chinesisches Taipei)</t>
  </si>
  <si>
    <t>Malaysia</t>
  </si>
  <si>
    <t>Vietnam</t>
  </si>
  <si>
    <t>Indonesien</t>
  </si>
  <si>
    <t>Thailand</t>
  </si>
  <si>
    <t>Pakistan</t>
  </si>
  <si>
    <t>Oman</t>
  </si>
  <si>
    <t>Iran</t>
  </si>
  <si>
    <t>Bangladesch</t>
  </si>
  <si>
    <t>Katar</t>
  </si>
  <si>
    <t>Philippinen</t>
  </si>
  <si>
    <t>Usbekistan</t>
  </si>
  <si>
    <t>Libanon</t>
  </si>
  <si>
    <t>Kuwait</t>
  </si>
  <si>
    <t>Sri Lanka</t>
  </si>
  <si>
    <t>Bahrain</t>
  </si>
  <si>
    <t>Irak</t>
  </si>
  <si>
    <t>Turkmenistan</t>
  </si>
  <si>
    <t>Jordanien</t>
  </si>
  <si>
    <t>Kasachstan</t>
  </si>
  <si>
    <t>Aserbaidschan</t>
  </si>
  <si>
    <t>Syrien</t>
  </si>
  <si>
    <t>Kirgisistan</t>
  </si>
  <si>
    <t>Tadschikistan</t>
  </si>
  <si>
    <t>Macao</t>
  </si>
  <si>
    <t>Armenien</t>
  </si>
  <si>
    <t>Weitere Länder in Asien</t>
  </si>
  <si>
    <t>Georgien</t>
  </si>
  <si>
    <t>Myanmar</t>
  </si>
  <si>
    <t>Malediven</t>
  </si>
  <si>
    <t>Laos</t>
  </si>
  <si>
    <t>Nepal</t>
  </si>
  <si>
    <t>Kambodscha</t>
  </si>
  <si>
    <t>Mongolei</t>
  </si>
  <si>
    <t>Afghanistan</t>
  </si>
  <si>
    <t>Palästina</t>
  </si>
  <si>
    <t>Brunei Darussalam</t>
  </si>
  <si>
    <t>Europa</t>
  </si>
  <si>
    <t>Deutschland</t>
  </si>
  <si>
    <t>Niederlande</t>
  </si>
  <si>
    <t>Frankreich</t>
  </si>
  <si>
    <t>Italien</t>
  </si>
  <si>
    <t>Vereinigtes Königreich</t>
  </si>
  <si>
    <t>Österreich</t>
  </si>
  <si>
    <t>Polen</t>
  </si>
  <si>
    <t>Spanien</t>
  </si>
  <si>
    <t>Belgien</t>
  </si>
  <si>
    <t>Türkiye</t>
  </si>
  <si>
    <t>Tschechien</t>
  </si>
  <si>
    <t>Schweden</t>
  </si>
  <si>
    <t>Russland</t>
  </si>
  <si>
    <t>Dänemark</t>
  </si>
  <si>
    <t>Irland</t>
  </si>
  <si>
    <t>Norwegen</t>
  </si>
  <si>
    <t>Ungarn</t>
  </si>
  <si>
    <t>Finnland</t>
  </si>
  <si>
    <t>Rumänien</t>
  </si>
  <si>
    <t>Slowakei</t>
  </si>
  <si>
    <t>Bulgarien</t>
  </si>
  <si>
    <t>Portugal</t>
  </si>
  <si>
    <t>Slowenien</t>
  </si>
  <si>
    <t>Ukraine</t>
  </si>
  <si>
    <t>Griechenland</t>
  </si>
  <si>
    <t>Kroatien</t>
  </si>
  <si>
    <t>Luxemburg</t>
  </si>
  <si>
    <t>Serbien</t>
  </si>
  <si>
    <t>Estland</t>
  </si>
  <si>
    <t>Belarus</t>
  </si>
  <si>
    <t>Litauen</t>
  </si>
  <si>
    <t>Lettland</t>
  </si>
  <si>
    <t>Island</t>
  </si>
  <si>
    <t>Bosnien und Herzegowina</t>
  </si>
  <si>
    <t>Malta</t>
  </si>
  <si>
    <t>Kosovo</t>
  </si>
  <si>
    <t>Zypern</t>
  </si>
  <si>
    <t>Nordmazedonien</t>
  </si>
  <si>
    <t>Albanien</t>
  </si>
  <si>
    <t>Moldau</t>
  </si>
  <si>
    <t>Montenegro</t>
  </si>
  <si>
    <t>Andorra</t>
  </si>
  <si>
    <t>Weitere Länder in Europa</t>
  </si>
  <si>
    <t>San Marino</t>
  </si>
  <si>
    <t>Gibraltar</t>
  </si>
  <si>
    <t>Australien</t>
  </si>
  <si>
    <t>Neuseeland</t>
  </si>
  <si>
    <t>Fidschi</t>
  </si>
  <si>
    <t>Papua-Neuguinea</t>
  </si>
  <si>
    <t>Neukaledonien</t>
  </si>
  <si>
    <t>Guam</t>
  </si>
  <si>
    <t>Französisch-Polynesien</t>
  </si>
  <si>
    <t>Weitere Länder in Ozeanien</t>
  </si>
  <si>
    <t>Malawi</t>
  </si>
  <si>
    <t>Tschad</t>
  </si>
  <si>
    <t>Barbados</t>
  </si>
  <si>
    <t>Jemen</t>
  </si>
  <si>
    <t>Vatikanstadt</t>
  </si>
  <si>
    <t>Haiti</t>
  </si>
  <si>
    <t>Turks- und Caicosinseln</t>
  </si>
  <si>
    <t>Sint Maarten (Niederlande)</t>
  </si>
  <si>
    <t>Färöer</t>
  </si>
  <si>
    <t>Lesotho</t>
  </si>
  <si>
    <t>Burundi</t>
  </si>
  <si>
    <t>Botsuana</t>
  </si>
  <si>
    <t>Mayotte</t>
  </si>
  <si>
    <t>Martinique</t>
  </si>
  <si>
    <t>Kaimaninseln</t>
  </si>
  <si>
    <t>Grenada</t>
  </si>
  <si>
    <t>Guyana</t>
  </si>
  <si>
    <t>Bhutan</t>
  </si>
  <si>
    <t>Grönland</t>
  </si>
  <si>
    <t>Importe pro Region (Mio. CHF)</t>
  </si>
  <si>
    <t>Importe pro Land (Tsd. CHF)</t>
  </si>
  <si>
    <t>Eswatini</t>
  </si>
  <si>
    <t>Belize</t>
  </si>
  <si>
    <t>Jungferninseln (USA)</t>
  </si>
  <si>
    <t>St. Kitts und Nevis</t>
  </si>
  <si>
    <t>Antigua und Barbuda</t>
  </si>
  <si>
    <t>Zentralafrikanische Republik</t>
  </si>
  <si>
    <t>Somalia</t>
  </si>
  <si>
    <t>São Tomé und Príncipe</t>
  </si>
  <si>
    <t>Komoren</t>
  </si>
  <si>
    <t>Salomoninseln</t>
  </si>
  <si>
    <t>Importe und Exporte pro Land (CHF pro Jahr)</t>
  </si>
  <si>
    <t>Total 1: OHNE Edelmetalle, Edel- und Schmucksteine, Kunstgegenstände und Antiquitäten. Total 2: MIT Edelmetallen, Edel- und Schmucksteinen, Kunstgegenständen und Antiquitäten. Einige Länder sind aus Gründen des Datenschutzes zusammengefasst.</t>
  </si>
  <si>
    <t xml:space="preserve">vk  </t>
  </si>
  <si>
    <t xml:space="preserve">jahr  </t>
  </si>
  <si>
    <t xml:space="preserve">continent_desc  </t>
  </si>
  <si>
    <t xml:space="preserve">region  </t>
  </si>
  <si>
    <t xml:space="preserve">lnd_iso2  </t>
  </si>
  <si>
    <t xml:space="preserve">lnd_desc  </t>
  </si>
  <si>
    <t xml:space="preserve">tot1_chf  </t>
  </si>
  <si>
    <t xml:space="preserve">tot2_chf  </t>
  </si>
  <si>
    <t>EXP</t>
  </si>
  <si>
    <t>ZA</t>
  </si>
  <si>
    <t>EG</t>
  </si>
  <si>
    <t>DZ</t>
  </si>
  <si>
    <t>TN</t>
  </si>
  <si>
    <t>ET</t>
  </si>
  <si>
    <t>MA</t>
  </si>
  <si>
    <t>LY</t>
  </si>
  <si>
    <t>NG</t>
  </si>
  <si>
    <t>TG</t>
  </si>
  <si>
    <t>CI</t>
  </si>
  <si>
    <t>NE</t>
  </si>
  <si>
    <t>KE</t>
  </si>
  <si>
    <t>MU</t>
  </si>
  <si>
    <t>GH</t>
  </si>
  <si>
    <t>BJ</t>
  </si>
  <si>
    <t>MZ</t>
  </si>
  <si>
    <t>SN</t>
  </si>
  <si>
    <t>SD</t>
  </si>
  <si>
    <t>CM</t>
  </si>
  <si>
    <t>TZ</t>
  </si>
  <si>
    <t>AO</t>
  </si>
  <si>
    <t>LR</t>
  </si>
  <si>
    <t>CD</t>
  </si>
  <si>
    <t>ZW</t>
  </si>
  <si>
    <t>CG</t>
  </si>
  <si>
    <t>ZM</t>
  </si>
  <si>
    <t>UG</t>
  </si>
  <si>
    <t>GN</t>
  </si>
  <si>
    <t>MG</t>
  </si>
  <si>
    <t>SL</t>
  </si>
  <si>
    <t>RE</t>
  </si>
  <si>
    <t>ER</t>
  </si>
  <si>
    <t>SC</t>
  </si>
  <si>
    <t>GA</t>
  </si>
  <si>
    <t>DJ</t>
  </si>
  <si>
    <t>NA</t>
  </si>
  <si>
    <t>GM</t>
  </si>
  <si>
    <t>ML</t>
  </si>
  <si>
    <t>GQ</t>
  </si>
  <si>
    <t>BF</t>
  </si>
  <si>
    <t>RW</t>
  </si>
  <si>
    <t>SS</t>
  </si>
  <si>
    <t>CV</t>
  </si>
  <si>
    <t>MR</t>
  </si>
  <si>
    <t>BR</t>
  </si>
  <si>
    <t>CA</t>
  </si>
  <si>
    <t>MX</t>
  </si>
  <si>
    <t>AR</t>
  </si>
  <si>
    <t>CL</t>
  </si>
  <si>
    <t>GF</t>
  </si>
  <si>
    <t>CO</t>
  </si>
  <si>
    <t>PE</t>
  </si>
  <si>
    <t>VG</t>
  </si>
  <si>
    <t>EC</t>
  </si>
  <si>
    <t>DO</t>
  </si>
  <si>
    <t>GT</t>
  </si>
  <si>
    <t>UY</t>
  </si>
  <si>
    <t>CR</t>
  </si>
  <si>
    <t>CU</t>
  </si>
  <si>
    <t>SV</t>
  </si>
  <si>
    <t>PA</t>
  </si>
  <si>
    <t>BO</t>
  </si>
  <si>
    <t>VE</t>
  </si>
  <si>
    <t>HN</t>
  </si>
  <si>
    <t>PY</t>
  </si>
  <si>
    <t>TT</t>
  </si>
  <si>
    <t>BM</t>
  </si>
  <si>
    <t>SR</t>
  </si>
  <si>
    <t>BS</t>
  </si>
  <si>
    <t>NI</t>
  </si>
  <si>
    <t>LC</t>
  </si>
  <si>
    <t>GP</t>
  </si>
  <si>
    <t>JM</t>
  </si>
  <si>
    <t>AW</t>
  </si>
  <si>
    <t>CW</t>
  </si>
  <si>
    <t>CN</t>
  </si>
  <si>
    <t>KR</t>
  </si>
  <si>
    <t>IN</t>
  </si>
  <si>
    <t>HK</t>
  </si>
  <si>
    <t>AE</t>
  </si>
  <si>
    <t>JP</t>
  </si>
  <si>
    <t>SG</t>
  </si>
  <si>
    <t>SA</t>
  </si>
  <si>
    <t>IL</t>
  </si>
  <si>
    <t>TW</t>
  </si>
  <si>
    <t>MY</t>
  </si>
  <si>
    <t>VN</t>
  </si>
  <si>
    <t>ID</t>
  </si>
  <si>
    <t>TH</t>
  </si>
  <si>
    <t>PK</t>
  </si>
  <si>
    <t>OM</t>
  </si>
  <si>
    <t>IR</t>
  </si>
  <si>
    <t>BD</t>
  </si>
  <si>
    <t>QA</t>
  </si>
  <si>
    <t>PH</t>
  </si>
  <si>
    <t>UZ</t>
  </si>
  <si>
    <t>LB</t>
  </si>
  <si>
    <t>KW</t>
  </si>
  <si>
    <t>LK</t>
  </si>
  <si>
    <t>BH</t>
  </si>
  <si>
    <t>IQ</t>
  </si>
  <si>
    <t>TM</t>
  </si>
  <si>
    <t>JO</t>
  </si>
  <si>
    <t>KZ</t>
  </si>
  <si>
    <t>AZ</t>
  </si>
  <si>
    <t>SY</t>
  </si>
  <si>
    <t>KG</t>
  </si>
  <si>
    <t>TJ</t>
  </si>
  <si>
    <t>MO</t>
  </si>
  <si>
    <t>AM</t>
  </si>
  <si>
    <t>GE</t>
  </si>
  <si>
    <t>MM</t>
  </si>
  <si>
    <t>MV</t>
  </si>
  <si>
    <t>LA</t>
  </si>
  <si>
    <t>NP</t>
  </si>
  <si>
    <t>KH</t>
  </si>
  <si>
    <t>MN</t>
  </si>
  <si>
    <t>AF</t>
  </si>
  <si>
    <t>PS</t>
  </si>
  <si>
    <t>BN</t>
  </si>
  <si>
    <t>DE</t>
  </si>
  <si>
    <t>NL</t>
  </si>
  <si>
    <t>FR</t>
  </si>
  <si>
    <t>IT</t>
  </si>
  <si>
    <t>AT</t>
  </si>
  <si>
    <t>PL</t>
  </si>
  <si>
    <t>ES</t>
  </si>
  <si>
    <t>BE</t>
  </si>
  <si>
    <t>CZ</t>
  </si>
  <si>
    <t>SE</t>
  </si>
  <si>
    <t>DK</t>
  </si>
  <si>
    <t>IE</t>
  </si>
  <si>
    <t>HU</t>
  </si>
  <si>
    <t>FI</t>
  </si>
  <si>
    <t>RO</t>
  </si>
  <si>
    <t>SK</t>
  </si>
  <si>
    <t>BG</t>
  </si>
  <si>
    <t>PT</t>
  </si>
  <si>
    <t>SI</t>
  </si>
  <si>
    <t>GR</t>
  </si>
  <si>
    <t>HR</t>
  </si>
  <si>
    <t>LU</t>
  </si>
  <si>
    <t>EE</t>
  </si>
  <si>
    <t>LT</t>
  </si>
  <si>
    <t>LV</t>
  </si>
  <si>
    <t>MT</t>
  </si>
  <si>
    <t>CY</t>
  </si>
  <si>
    <t>GB</t>
  </si>
  <si>
    <t>TR</t>
  </si>
  <si>
    <t>RU</t>
  </si>
  <si>
    <t>NO</t>
  </si>
  <si>
    <t>UA</t>
  </si>
  <si>
    <t>RS</t>
  </si>
  <si>
    <t>BY</t>
  </si>
  <si>
    <t>IS</t>
  </si>
  <si>
    <t>BA</t>
  </si>
  <si>
    <t>XK</t>
  </si>
  <si>
    <t>MK</t>
  </si>
  <si>
    <t>AL</t>
  </si>
  <si>
    <t>MD</t>
  </si>
  <si>
    <t>ME</t>
  </si>
  <si>
    <t>AD</t>
  </si>
  <si>
    <t>SM</t>
  </si>
  <si>
    <t>GI</t>
  </si>
  <si>
    <t>AU</t>
  </si>
  <si>
    <t>NZ</t>
  </si>
  <si>
    <t>FJ</t>
  </si>
  <si>
    <t>PG</t>
  </si>
  <si>
    <t>NC</t>
  </si>
  <si>
    <t>GU</t>
  </si>
  <si>
    <t>PF</t>
  </si>
  <si>
    <t>MW</t>
  </si>
  <si>
    <t>TD</t>
  </si>
  <si>
    <t>BB</t>
  </si>
  <si>
    <t>YE</t>
  </si>
  <si>
    <t>VA</t>
  </si>
  <si>
    <t>HT</t>
  </si>
  <si>
    <t>TC</t>
  </si>
  <si>
    <t>SX</t>
  </si>
  <si>
    <t>FO</t>
  </si>
  <si>
    <t>LS</t>
  </si>
  <si>
    <t>BI</t>
  </si>
  <si>
    <t>BW</t>
  </si>
  <si>
    <t>YT</t>
  </si>
  <si>
    <t>MQ</t>
  </si>
  <si>
    <t>KY</t>
  </si>
  <si>
    <t>GD</t>
  </si>
  <si>
    <t>GY</t>
  </si>
  <si>
    <t>BT</t>
  </si>
  <si>
    <t>GL</t>
  </si>
  <si>
    <t>IMP</t>
  </si>
  <si>
    <t>SZ</t>
  </si>
  <si>
    <t>BZ</t>
  </si>
  <si>
    <t>VI</t>
  </si>
  <si>
    <t>KN</t>
  </si>
  <si>
    <t>AG</t>
  </si>
  <si>
    <t>CF</t>
  </si>
  <si>
    <t>SO</t>
  </si>
  <si>
    <t>ST</t>
  </si>
  <si>
    <t>KM</t>
  </si>
  <si>
    <t>SB</t>
  </si>
  <si>
    <t>Länderliste</t>
  </si>
  <si>
    <t>Britische Territorien im Indischen Ozean</t>
  </si>
  <si>
    <t>IO</t>
  </si>
  <si>
    <t>Ceuta</t>
  </si>
  <si>
    <t>XC</t>
  </si>
  <si>
    <t>Guinea-Bissau</t>
  </si>
  <si>
    <t>GW</t>
  </si>
  <si>
    <t>Kanarische Inseln</t>
  </si>
  <si>
    <t>XA</t>
  </si>
  <si>
    <t>Melilla</t>
  </si>
  <si>
    <t>XL</t>
  </si>
  <si>
    <t>St. Helena, Ascension, Tristan da Cunha</t>
  </si>
  <si>
    <t>SH</t>
  </si>
  <si>
    <t>Westsahara</t>
  </si>
  <si>
    <t>EH</t>
  </si>
  <si>
    <t>Anguilla</t>
  </si>
  <si>
    <t>AI</t>
  </si>
  <si>
    <t>Bonaire, Saint Eustatius und Saba</t>
  </si>
  <si>
    <t>BQ</t>
  </si>
  <si>
    <t>Dominica</t>
  </si>
  <si>
    <t>DM</t>
  </si>
  <si>
    <t>Falklandinseln</t>
  </si>
  <si>
    <t>FK</t>
  </si>
  <si>
    <t>Montserrat</t>
  </si>
  <si>
    <t>MS</t>
  </si>
  <si>
    <t>Puerto Rico</t>
  </si>
  <si>
    <t>PR</t>
  </si>
  <si>
    <t>Saint-Barthélemy</t>
  </si>
  <si>
    <t>BL</t>
  </si>
  <si>
    <t>Saint-Martin (Frankreich)</t>
  </si>
  <si>
    <t>MF</t>
  </si>
  <si>
    <t>St. Pierre und Miquelon</t>
  </si>
  <si>
    <t>PM</t>
  </si>
  <si>
    <t>St. Vincent und die Grenadinen</t>
  </si>
  <si>
    <t>VC</t>
  </si>
  <si>
    <t>Südgeorgien und Südliche Sandwichinseln</t>
  </si>
  <si>
    <t>GS</t>
  </si>
  <si>
    <t>Antarktis</t>
  </si>
  <si>
    <t>AQ</t>
  </si>
  <si>
    <t>Bouvetinsel</t>
  </si>
  <si>
    <t>BV</t>
  </si>
  <si>
    <t>Französische Süd- und Antarktisgebiete</t>
  </si>
  <si>
    <t>TF</t>
  </si>
  <si>
    <t>Korea (Nord-)</t>
  </si>
  <si>
    <t>KP</t>
  </si>
  <si>
    <t>Timor-Leste</t>
  </si>
  <si>
    <t>TL</t>
  </si>
  <si>
    <t>Alandinseln</t>
  </si>
  <si>
    <t>AX</t>
  </si>
  <si>
    <t>Guernsey</t>
  </si>
  <si>
    <t>GG</t>
  </si>
  <si>
    <t>Insel Man</t>
  </si>
  <si>
    <t>IM</t>
  </si>
  <si>
    <t>Jersey</t>
  </si>
  <si>
    <t>JE</t>
  </si>
  <si>
    <t>Liechtenstein</t>
  </si>
  <si>
    <t>LI</t>
  </si>
  <si>
    <t>Monaco</t>
  </si>
  <si>
    <t>MC</t>
  </si>
  <si>
    <t>Schweiz</t>
  </si>
  <si>
    <t>CH</t>
  </si>
  <si>
    <t>Svalbard und Jan Mayen</t>
  </si>
  <si>
    <t>SJ</t>
  </si>
  <si>
    <t>Amerikanisch-Samoa</t>
  </si>
  <si>
    <t>AS</t>
  </si>
  <si>
    <t>Cookinseln</t>
  </si>
  <si>
    <t>CK</t>
  </si>
  <si>
    <t>Heard und McDonaldinseln</t>
  </si>
  <si>
    <t>HM</t>
  </si>
  <si>
    <t>Johnston-/Midway-/Wakeinsel</t>
  </si>
  <si>
    <t>UM</t>
  </si>
  <si>
    <t>Kiribati</t>
  </si>
  <si>
    <t>KI</t>
  </si>
  <si>
    <t>Kokosinseln</t>
  </si>
  <si>
    <t>CC</t>
  </si>
  <si>
    <t>Marshallinseln</t>
  </si>
  <si>
    <t>MH</t>
  </si>
  <si>
    <t>Mikronesien</t>
  </si>
  <si>
    <t>FM</t>
  </si>
  <si>
    <t>Nauru</t>
  </si>
  <si>
    <t>NR</t>
  </si>
  <si>
    <t>Niue</t>
  </si>
  <si>
    <t>NU</t>
  </si>
  <si>
    <t>Norfolkinsel</t>
  </si>
  <si>
    <t>NF</t>
  </si>
  <si>
    <t>Nördliche Marianen</t>
  </si>
  <si>
    <t>MP</t>
  </si>
  <si>
    <t>Palau</t>
  </si>
  <si>
    <t>PW</t>
  </si>
  <si>
    <t>Pitcairninseln</t>
  </si>
  <si>
    <t>PN</t>
  </si>
  <si>
    <t>Samoa</t>
  </si>
  <si>
    <t>WS</t>
  </si>
  <si>
    <t>Tokelau</t>
  </si>
  <si>
    <t>TK</t>
  </si>
  <si>
    <t>Tonga</t>
  </si>
  <si>
    <t>TO</t>
  </si>
  <si>
    <t>Tuvalu</t>
  </si>
  <si>
    <t>TV</t>
  </si>
  <si>
    <t>Vanuatu</t>
  </si>
  <si>
    <t>VU</t>
  </si>
  <si>
    <t>Wallis und Futuna</t>
  </si>
  <si>
    <t>WF</t>
  </si>
  <si>
    <t>Weihnachtsinsel</t>
  </si>
  <si>
    <t>CX</t>
  </si>
  <si>
    <t>Informationen zu Quellen und Auswertungen</t>
  </si>
  <si>
    <t>Bundesamt für Zoll und Grenzssicherheit BAZG</t>
  </si>
  <si>
    <t xml:space="preserve">Warenimporte und -exporte in CHF zu laufenden Preisen (nominal). Importe und Exporte sind hier als Grenzübertritte von Waren definiert. (In der volkswirtschaftlichen Gesamtrechnung VGR ist der Eigentümerwechsel entscheidend.)
Es werden zwei Totale ausgewiesen. Edelmetalle, Edel- und Schmucksteine, Kunstgegenstände und Antiquitäten sind im Total 2 enthalten, im Total 1 hingegen nicht. Einige Länder werden aus Datenschutzgründen zu Sammelkategorien zusammengefasst. Ebenfalls aus Datenschutzgründen sind keine Angaben zum Warenverkehr mit der Antarktis enthalten. 
Siehe auch https://www.bazg.admin.ch/bazg/de/home/themen/schweizerische-aussenhandelsstatistik.html.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</si>
</sst>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rgb="FF000000"/>
      <name val="Calibri"/>
    </font>
    <font>
      <b/>
      <sz val="20"/>
      <color rgb="FF000000"/>
      <name val="Arial"/>
    </font>
    <font>
      <sz val="10"/>
      <color rgb="FF000000"/>
      <name val="Arial"/>
    </font>
    <font>
      <b/>
      <sz val="10"/>
      <color rgb="FF000000"/>
      <name val="Arial"/>
    </font>
    <font>
      <b/>
      <sz val="14"/>
      <color rgb="FF000000"/>
      <name val="Arial"/>
    </font>
    <font>
      <b/>
      <sz val="11"/>
      <color rgb="FF000000"/>
      <name val="Calibri"/>
    </font>
    <font>
      <b/>
      <sz val="12"/>
      <color rgb="FF000000"/>
      <name val="Arial"/>
    </font>
    <font>
      <u/>
      <sz val="10"/>
      <color rgb="FF0000FF"/>
      <name val="Arial"/>
    </font>
  </fonts>
  <fills count="2">
    <fill>
      <patternFill patternType="none"/>
    </fill>
    <fill>
      <patternFill patternType="gray125"/>
    </fill>
  </fills>
  <borders count="4">
    <border>
      <left/>
      <right/>
      <top/>
      <bottom/>
      <diagonal/>
    </border>
    <border>
      <left/>
      <right/>
      <top/>
      <bottom style="medium">
        <color rgb="FF009EE0"/>
      </bottom>
      <diagonal/>
    </border>
    <border>
      <left style="thin">
        <color rgb="FF009EE0"/>
      </left>
      <right/>
      <top/>
      <bottom/>
      <diagonal/>
    </border>
    <border>
      <left style="thin">
        <color rgb="FF009EE0"/>
      </left>
      <right/>
      <top/>
      <bottom style="medium">
        <color rgb="FF009EE0"/>
      </bottom>
      <diagonal/>
    </border>
  </borders>
  <cellStyleXfs count="1">
    <xf numFmtId="0" fontId="0" fillId="0" borderId="0"/>
  </cellStyleXfs>
  <cellXfs count="15">
    <xf numFmtId="0" fontId="0" fillId="0" borderId="0" xfId="0"/>
    <xf numFmtId="0" fontId="1" fillId="0" borderId="1" xfId="0" applyFont="1" applyBorder="1"/>
    <xf numFmtId="0" fontId="4" fillId="0" borderId="0" xfId="0" applyFont="1" applyAlignment="1">
      <alignment horizontal="left" vertical="top"/>
    </xf>
    <xf numFmtId="0" fontId="1" fillId="0" borderId="2" xfId="0" applyFont="1" applyBorder="1"/>
    <xf numFmtId="3" fontId="1" fillId="0" borderId="2" xfId="0" applyNumberFormat="1" applyFont="1" applyBorder="1"/>
    <xf numFmtId="3" fontId="1" fillId="0" borderId="0" xfId="0" applyNumberFormat="1" applyFont="1"/>
    <xf numFmtId="0" fontId="7" fillId="0" borderId="3" xfId="0" applyFont="1" applyBorder="1" applyAlignment="1">
      <alignment horizontal="left"/>
    </xf>
    <xf numFmtId="0" fontId="7" fillId="0" borderId="1" xfId="0" applyFont="1" applyBorder="1" applyAlignment="1">
      <alignment horizontal="left"/>
    </xf>
    <xf numFmtId="0" fontId="0" fillId="0" borderId="0" xfId="0"/>
    <xf numFmtId="0" fontId="2" fillId="0" borderId="0" xfId="0" applyFont="1" applyAlignment="1">
      <alignment horizontal="left"/>
    </xf>
    <xf numFmtId="0" fontId="3" fillId="0" borderId="0" xfId="0" applyFont="1" applyAlignment="1">
      <alignment horizontal="left" vertical="top" wrapText="1"/>
    </xf>
    <xf numFmtId="0" fontId="8" fillId="0" borderId="0" xfId="0" applyFont="1"/>
    <xf numFmtId="0" fontId="5" fillId="0" borderId="0" xfId="0" applyFont="1"/>
    <xf numFmtId="0" fontId="6" fillId="0" borderId="2" xfId="0" applyFont="1" applyBorder="1" applyAlignment="1">
      <alignment horizontal="center"/>
    </xf>
    <xf numFmtId="0" fontId="6" fillId="0" borderId="0" xfId="0"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61388" cy="719176"/>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61388" cy="719176"/>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20"/>
  <sheetViews>
    <sheetView showGridLines="0" tabSelected="1" workbookViewId="0"/>
  </sheetViews>
  <sheetFormatPr baseColWidth="10" defaultRowHeight="15" x14ac:dyDescent="0.25"/>
  <cols>
    <col min="1" max="1" width="1.7109375" customWidth="1"/>
  </cols>
  <sheetData>
    <row r="2" spans="1:22" x14ac:dyDescent="0.25">
      <c r="O2" s="8" t="s">
        <v>0</v>
      </c>
      <c r="P2" s="8"/>
      <c r="Q2" s="8"/>
      <c r="R2" s="8"/>
      <c r="S2" s="8"/>
      <c r="T2" s="8" t="s">
        <v>6</v>
      </c>
      <c r="U2" s="8"/>
      <c r="V2" s="8"/>
    </row>
    <row r="3" spans="1:22" x14ac:dyDescent="0.25">
      <c r="O3" s="8" t="s">
        <v>1</v>
      </c>
      <c r="P3" s="8"/>
      <c r="Q3" s="8"/>
      <c r="R3" s="8"/>
      <c r="S3" s="8"/>
      <c r="T3" s="8" t="s">
        <v>7</v>
      </c>
      <c r="U3" s="8"/>
      <c r="V3" s="8"/>
    </row>
    <row r="4" spans="1:22" x14ac:dyDescent="0.25">
      <c r="O4" s="8" t="s">
        <v>2</v>
      </c>
      <c r="P4" s="8"/>
      <c r="Q4" s="8"/>
      <c r="R4" s="8"/>
      <c r="S4" s="8"/>
      <c r="T4" s="8" t="s">
        <v>8</v>
      </c>
      <c r="U4" s="8"/>
      <c r="V4" s="8"/>
    </row>
    <row r="5" spans="1:22" x14ac:dyDescent="0.25">
      <c r="O5" s="8" t="s">
        <v>3</v>
      </c>
      <c r="P5" s="8"/>
      <c r="Q5" s="8"/>
      <c r="R5" s="8"/>
      <c r="S5" s="8"/>
      <c r="T5" s="8" t="s">
        <v>9</v>
      </c>
      <c r="U5" s="8"/>
      <c r="V5" s="8"/>
    </row>
    <row r="6" spans="1:22" x14ac:dyDescent="0.25">
      <c r="O6" s="8" t="s">
        <v>4</v>
      </c>
      <c r="P6" s="8"/>
      <c r="Q6" s="8"/>
      <c r="R6" s="8"/>
      <c r="S6" s="8"/>
    </row>
    <row r="7" spans="1:22" x14ac:dyDescent="0.25">
      <c r="O7" s="8" t="s">
        <v>5</v>
      </c>
      <c r="P7" s="8"/>
      <c r="Q7" s="8"/>
      <c r="R7" s="8"/>
      <c r="S7" s="8"/>
    </row>
    <row r="8" spans="1:22" x14ac:dyDescent="0.25">
      <c r="A8" s="1"/>
      <c r="B8" s="1"/>
      <c r="C8" s="1"/>
      <c r="D8" s="1"/>
      <c r="E8" s="1"/>
      <c r="F8" s="1"/>
      <c r="G8" s="1"/>
      <c r="H8" s="1"/>
      <c r="I8" s="1"/>
      <c r="J8" s="1"/>
      <c r="K8" s="1"/>
      <c r="L8" s="1"/>
      <c r="M8" s="1"/>
      <c r="N8" s="1"/>
      <c r="O8" s="1"/>
      <c r="P8" s="1"/>
      <c r="Q8" s="1"/>
      <c r="R8" s="1"/>
      <c r="S8" s="1"/>
      <c r="T8" s="1"/>
    </row>
    <row r="10" spans="1:22" ht="26.25" x14ac:dyDescent="0.4">
      <c r="C10" s="9"/>
      <c r="D10" s="8"/>
      <c r="E10" s="8"/>
      <c r="F10" s="8"/>
      <c r="G10" s="8"/>
      <c r="H10" s="8"/>
      <c r="I10" s="8"/>
      <c r="J10" s="8"/>
      <c r="K10" s="8"/>
      <c r="L10" s="8"/>
      <c r="M10" s="8"/>
      <c r="N10" s="8"/>
      <c r="O10" s="8"/>
      <c r="P10" s="8"/>
      <c r="Q10" s="8"/>
      <c r="R10" s="8"/>
    </row>
    <row r="11" spans="1:22" x14ac:dyDescent="0.25">
      <c r="C11" s="10" t="s">
        <v>0</v>
      </c>
      <c r="D11" s="8"/>
      <c r="E11" s="8"/>
      <c r="F11" s="8"/>
      <c r="G11" s="8"/>
      <c r="H11" s="8"/>
      <c r="I11" s="8"/>
      <c r="J11" s="8"/>
      <c r="K11" s="8"/>
      <c r="L11" s="8"/>
      <c r="M11" s="8"/>
      <c r="N11" s="8"/>
      <c r="O11" s="8"/>
      <c r="P11" s="8"/>
      <c r="Q11" s="8"/>
      <c r="R11" s="8"/>
    </row>
    <row r="14" spans="1:22" x14ac:dyDescent="0.25">
      <c r="C14" s="2" t="s">
        <v>10</v>
      </c>
    </row>
    <row r="15" spans="1:22" x14ac:dyDescent="0.25">
      <c r="C15" s="11" t="str">
        <f>HYPERLINK("#'Exp_Region'!A1", "Exp_Region")</f>
        <v>Exp_Region</v>
      </c>
      <c r="D15" s="8"/>
      <c r="E15" s="8"/>
      <c r="F15" s="8"/>
      <c r="G15" s="8" t="s">
        <v>11</v>
      </c>
      <c r="H15" s="8"/>
      <c r="I15" s="8"/>
      <c r="J15" s="8"/>
      <c r="K15" s="8"/>
      <c r="L15" s="8"/>
      <c r="M15" s="8"/>
      <c r="N15" s="8"/>
      <c r="O15" s="8"/>
      <c r="P15" s="8"/>
      <c r="Q15" s="8"/>
      <c r="R15" s="8"/>
      <c r="S15" s="8"/>
      <c r="T15" s="8"/>
    </row>
    <row r="16" spans="1:22" x14ac:dyDescent="0.25">
      <c r="C16" s="11" t="str">
        <f>HYPERLINK("#'Exp_Land'!A1", "Exp_Land")</f>
        <v>Exp_Land</v>
      </c>
      <c r="D16" s="8"/>
      <c r="E16" s="8"/>
      <c r="F16" s="8"/>
      <c r="G16" s="8" t="s">
        <v>42</v>
      </c>
      <c r="H16" s="8"/>
      <c r="I16" s="8"/>
      <c r="J16" s="8"/>
      <c r="K16" s="8"/>
      <c r="L16" s="8"/>
      <c r="M16" s="8"/>
      <c r="N16" s="8"/>
      <c r="O16" s="8"/>
      <c r="P16" s="8"/>
      <c r="Q16" s="8"/>
      <c r="R16" s="8"/>
      <c r="S16" s="8"/>
      <c r="T16" s="8"/>
    </row>
    <row r="17" spans="3:20" x14ac:dyDescent="0.25">
      <c r="C17" s="11" t="str">
        <f>HYPERLINK("#'Imp_Region'!A1", "Imp_Region")</f>
        <v>Imp_Region</v>
      </c>
      <c r="D17" s="8"/>
      <c r="E17" s="8"/>
      <c r="F17" s="8"/>
      <c r="G17" s="8" t="s">
        <v>245</v>
      </c>
      <c r="H17" s="8"/>
      <c r="I17" s="8"/>
      <c r="J17" s="8"/>
      <c r="K17" s="8"/>
      <c r="L17" s="8"/>
      <c r="M17" s="8"/>
      <c r="N17" s="8"/>
      <c r="O17" s="8"/>
      <c r="P17" s="8"/>
      <c r="Q17" s="8"/>
      <c r="R17" s="8"/>
      <c r="S17" s="8"/>
      <c r="T17" s="8"/>
    </row>
    <row r="18" spans="3:20" x14ac:dyDescent="0.25">
      <c r="C18" s="11" t="str">
        <f>HYPERLINK("#'Imp_Land'!A1", "Imp_Land")</f>
        <v>Imp_Land</v>
      </c>
      <c r="D18" s="8"/>
      <c r="E18" s="8"/>
      <c r="F18" s="8"/>
      <c r="G18" s="8" t="s">
        <v>246</v>
      </c>
      <c r="H18" s="8"/>
      <c r="I18" s="8"/>
      <c r="J18" s="8"/>
      <c r="K18" s="8"/>
      <c r="L18" s="8"/>
      <c r="M18" s="8"/>
      <c r="N18" s="8"/>
      <c r="O18" s="8"/>
      <c r="P18" s="8"/>
      <c r="Q18" s="8"/>
      <c r="R18" s="8"/>
      <c r="S18" s="8"/>
      <c r="T18" s="8"/>
    </row>
    <row r="19" spans="3:20" x14ac:dyDescent="0.25">
      <c r="C19" s="11" t="str">
        <f>HYPERLINK("#'Daten'!A1", "Daten")</f>
        <v>Daten</v>
      </c>
      <c r="D19" s="8"/>
      <c r="E19" s="8"/>
      <c r="F19" s="8"/>
      <c r="G19" s="8" t="s">
        <v>257</v>
      </c>
      <c r="H19" s="8"/>
      <c r="I19" s="8"/>
      <c r="J19" s="8"/>
      <c r="K19" s="8"/>
      <c r="L19" s="8"/>
      <c r="M19" s="8"/>
      <c r="N19" s="8"/>
      <c r="O19" s="8"/>
      <c r="P19" s="8"/>
      <c r="Q19" s="8"/>
      <c r="R19" s="8"/>
      <c r="S19" s="8"/>
      <c r="T19" s="8"/>
    </row>
    <row r="20" spans="3:20" x14ac:dyDescent="0.25">
      <c r="C20" s="11" t="str">
        <f>HYPERLINK("#'Laender'!A1", "Laender")</f>
        <v>Laender</v>
      </c>
      <c r="D20" s="8"/>
      <c r="E20" s="8"/>
      <c r="F20" s="8"/>
      <c r="G20" s="8" t="s">
        <v>469</v>
      </c>
      <c r="H20" s="8"/>
      <c r="I20" s="8"/>
      <c r="J20" s="8"/>
      <c r="K20" s="8"/>
      <c r="L20" s="8"/>
      <c r="M20" s="8"/>
      <c r="N20" s="8"/>
      <c r="O20" s="8"/>
      <c r="P20" s="8"/>
      <c r="Q20" s="8"/>
      <c r="R20" s="8"/>
      <c r="S20" s="8"/>
      <c r="T20" s="8"/>
    </row>
  </sheetData>
  <mergeCells count="24">
    <mergeCell ref="C18:F18"/>
    <mergeCell ref="C19:F19"/>
    <mergeCell ref="C20:F20"/>
    <mergeCell ref="G15:T15"/>
    <mergeCell ref="G16:T16"/>
    <mergeCell ref="G17:T17"/>
    <mergeCell ref="G18:T18"/>
    <mergeCell ref="G19:T19"/>
    <mergeCell ref="G20:T20"/>
    <mergeCell ref="C10:R10"/>
    <mergeCell ref="C11:R11"/>
    <mergeCell ref="C15:F15"/>
    <mergeCell ref="C16:F16"/>
    <mergeCell ref="C17:F17"/>
    <mergeCell ref="O7:S7"/>
    <mergeCell ref="T2:V2"/>
    <mergeCell ref="T3:V3"/>
    <mergeCell ref="T4:V4"/>
    <mergeCell ref="T5:V5"/>
    <mergeCell ref="O2:S2"/>
    <mergeCell ref="O3:S3"/>
    <mergeCell ref="O4:S4"/>
    <mergeCell ref="O5:S5"/>
    <mergeCell ref="O6:S6"/>
  </mergeCells>
  <pageMargins left="0.7" right="0.7" top="0.75" bottom="0.75" header="0.3" footer="0.3"/>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2"/>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RowHeight="15" x14ac:dyDescent="0.25"/>
  <cols>
    <col min="1" max="1" width="16.7109375" customWidth="1"/>
    <col min="2" max="19" width="14.7109375" customWidth="1"/>
  </cols>
  <sheetData>
    <row r="1" spans="1:19" ht="18" x14ac:dyDescent="0.25">
      <c r="A1" s="12" t="s">
        <v>11</v>
      </c>
      <c r="B1" s="8"/>
      <c r="C1" s="8"/>
      <c r="D1" s="8"/>
      <c r="E1" s="8"/>
      <c r="F1" s="8"/>
      <c r="G1" s="8"/>
      <c r="H1" s="8"/>
      <c r="I1" s="8"/>
      <c r="J1" s="8"/>
      <c r="K1" s="8"/>
      <c r="L1" s="8"/>
      <c r="M1" s="8"/>
      <c r="N1" s="8"/>
      <c r="O1" s="8"/>
      <c r="P1" s="8"/>
      <c r="Q1" s="8"/>
      <c r="R1" s="8"/>
    </row>
    <row r="3" spans="1:19" x14ac:dyDescent="0.25">
      <c r="A3" s="13" t="s">
        <v>12</v>
      </c>
      <c r="B3" s="13" t="s">
        <v>13</v>
      </c>
      <c r="C3" s="14"/>
      <c r="D3" s="14"/>
      <c r="E3" s="14"/>
      <c r="F3" s="14"/>
      <c r="G3" s="14"/>
      <c r="H3" s="14"/>
      <c r="I3" s="14"/>
      <c r="J3" s="14"/>
      <c r="K3" s="13" t="s">
        <v>14</v>
      </c>
      <c r="L3" s="14"/>
      <c r="M3" s="14"/>
      <c r="N3" s="14"/>
      <c r="O3" s="14"/>
      <c r="P3" s="14"/>
      <c r="Q3" s="14"/>
      <c r="R3" s="14"/>
      <c r="S3" s="14"/>
    </row>
    <row r="4" spans="1:19" ht="15.75" x14ac:dyDescent="0.25">
      <c r="A4" s="6" t="s">
        <v>15</v>
      </c>
      <c r="B4" s="6" t="s">
        <v>16</v>
      </c>
      <c r="C4" s="7" t="s">
        <v>17</v>
      </c>
      <c r="D4" s="7" t="s">
        <v>18</v>
      </c>
      <c r="E4" s="7" t="s">
        <v>19</v>
      </c>
      <c r="F4" s="7" t="s">
        <v>20</v>
      </c>
      <c r="G4" s="7" t="s">
        <v>21</v>
      </c>
      <c r="H4" s="7" t="s">
        <v>22</v>
      </c>
      <c r="I4" s="7" t="s">
        <v>23</v>
      </c>
      <c r="J4" s="7" t="s">
        <v>24</v>
      </c>
      <c r="K4" s="6" t="s">
        <v>25</v>
      </c>
      <c r="L4" s="7" t="s">
        <v>26</v>
      </c>
      <c r="M4" s="7" t="s">
        <v>27</v>
      </c>
      <c r="N4" s="7" t="s">
        <v>28</v>
      </c>
      <c r="O4" s="7" t="s">
        <v>29</v>
      </c>
      <c r="P4" s="7" t="s">
        <v>30</v>
      </c>
      <c r="Q4" s="7" t="s">
        <v>31</v>
      </c>
      <c r="R4" s="7" t="s">
        <v>32</v>
      </c>
      <c r="S4" s="7" t="s">
        <v>33</v>
      </c>
    </row>
    <row r="5" spans="1:19" x14ac:dyDescent="0.25">
      <c r="A5" s="3" t="s">
        <v>34</v>
      </c>
      <c r="B5" s="4">
        <v>7283.6825250000002</v>
      </c>
      <c r="C5" s="5">
        <v>7626.9136580000004</v>
      </c>
      <c r="D5" s="5">
        <v>7880.1438840000001</v>
      </c>
      <c r="E5" s="5">
        <v>8155.3969219999999</v>
      </c>
      <c r="F5" s="5">
        <v>6745.4488579999997</v>
      </c>
      <c r="G5" s="5">
        <v>8185.2875400000003</v>
      </c>
      <c r="H5" s="5">
        <v>9004.726498</v>
      </c>
      <c r="I5" s="5">
        <v>8997.6614289999998</v>
      </c>
      <c r="J5" s="5">
        <v>8588.9856500000005</v>
      </c>
      <c r="K5" s="4">
        <v>7952.1275939999996</v>
      </c>
      <c r="L5" s="5">
        <v>8047.727664</v>
      </c>
      <c r="M5" s="5">
        <v>8720.8934160000008</v>
      </c>
      <c r="N5" s="5">
        <v>10067.081125999999</v>
      </c>
      <c r="O5" s="5">
        <v>7506.8318929999996</v>
      </c>
      <c r="P5" s="5">
        <v>8842.6777719999991</v>
      </c>
      <c r="Q5" s="5">
        <v>10003.884255999999</v>
      </c>
      <c r="R5" s="5">
        <v>9808.8094039999996</v>
      </c>
      <c r="S5" s="5">
        <v>9333.1635380000007</v>
      </c>
    </row>
    <row r="6" spans="1:19" x14ac:dyDescent="0.25">
      <c r="A6" s="3" t="s">
        <v>35</v>
      </c>
      <c r="B6" s="4">
        <v>3103.0668190000001</v>
      </c>
      <c r="C6" s="5">
        <v>3177.9232029999998</v>
      </c>
      <c r="D6" s="5">
        <v>3000.1296120000002</v>
      </c>
      <c r="E6" s="5">
        <v>3037.2281579999999</v>
      </c>
      <c r="F6" s="5">
        <v>2953.5291179999999</v>
      </c>
      <c r="G6" s="5">
        <v>2875.8176400000002</v>
      </c>
      <c r="H6" s="5">
        <v>3577.6448460000001</v>
      </c>
      <c r="I6" s="5">
        <v>3241.4152949999998</v>
      </c>
      <c r="J6" s="5">
        <v>3464.4653629999998</v>
      </c>
      <c r="K6" s="4">
        <v>6954.6848669999999</v>
      </c>
      <c r="L6" s="5">
        <v>8352.5891179999999</v>
      </c>
      <c r="M6" s="5">
        <v>8826.8754320000007</v>
      </c>
      <c r="N6" s="5">
        <v>5232.9133879999999</v>
      </c>
      <c r="O6" s="5">
        <v>5955.2409010000001</v>
      </c>
      <c r="P6" s="5">
        <v>9557.1568019999995</v>
      </c>
      <c r="Q6" s="5">
        <v>13445.594515999999</v>
      </c>
      <c r="R6" s="5">
        <v>11264.651237</v>
      </c>
      <c r="S6" s="5">
        <v>10900.255031000001</v>
      </c>
    </row>
    <row r="7" spans="1:19" x14ac:dyDescent="0.25">
      <c r="A7" s="3" t="s">
        <v>36</v>
      </c>
      <c r="B7" s="4">
        <v>1254.101026</v>
      </c>
      <c r="C7" s="5">
        <v>1677.210603</v>
      </c>
      <c r="D7" s="5">
        <v>1868.6948540000001</v>
      </c>
      <c r="E7" s="5">
        <v>1791.5295390000001</v>
      </c>
      <c r="F7" s="5">
        <v>1571.0093919999999</v>
      </c>
      <c r="G7" s="5">
        <v>1845.723037</v>
      </c>
      <c r="H7" s="5">
        <v>2220.0512279999998</v>
      </c>
      <c r="I7" s="5">
        <v>1967.078632</v>
      </c>
      <c r="J7" s="5">
        <v>2327.1721240000002</v>
      </c>
      <c r="K7" s="4">
        <v>1769.375174</v>
      </c>
      <c r="L7" s="5">
        <v>1941.1826779999999</v>
      </c>
      <c r="M7" s="5">
        <v>2125.5397250000001</v>
      </c>
      <c r="N7" s="5">
        <v>1982.1301779999999</v>
      </c>
      <c r="O7" s="5">
        <v>2002.920192</v>
      </c>
      <c r="P7" s="5">
        <v>2345.2740010000002</v>
      </c>
      <c r="Q7" s="5">
        <v>2927.2200849999999</v>
      </c>
      <c r="R7" s="5">
        <v>2280.7730879999999</v>
      </c>
      <c r="S7" s="5">
        <v>3236.3463539999998</v>
      </c>
    </row>
    <row r="8" spans="1:19" x14ac:dyDescent="0.25">
      <c r="A8" s="3" t="s">
        <v>37</v>
      </c>
      <c r="B8" s="4">
        <v>950.83410600000002</v>
      </c>
      <c r="C8" s="5">
        <v>975.36394700000005</v>
      </c>
      <c r="D8" s="5">
        <v>1020.255973</v>
      </c>
      <c r="E8" s="5">
        <v>922.19932300000005</v>
      </c>
      <c r="F8" s="5">
        <v>873.82039399999996</v>
      </c>
      <c r="G8" s="5">
        <v>913.81245999999999</v>
      </c>
      <c r="H8" s="5">
        <v>800.11648000000002</v>
      </c>
      <c r="I8" s="5">
        <v>851.48578499999996</v>
      </c>
      <c r="J8" s="5">
        <v>816.34597199999996</v>
      </c>
      <c r="K8" s="4">
        <v>6675.0556130000004</v>
      </c>
      <c r="L8" s="5">
        <v>3614.2418670000002</v>
      </c>
      <c r="M8" s="5">
        <v>1645.785007</v>
      </c>
      <c r="N8" s="5">
        <v>9655.8933359999992</v>
      </c>
      <c r="O8" s="5">
        <v>6074.6099270000004</v>
      </c>
      <c r="P8" s="5">
        <v>4190.0586960000001</v>
      </c>
      <c r="Q8" s="5">
        <v>3548.8991649999998</v>
      </c>
      <c r="R8" s="5">
        <v>2883.6961070000002</v>
      </c>
      <c r="S8" s="5">
        <v>5153.564104</v>
      </c>
    </row>
    <row r="9" spans="1:19" x14ac:dyDescent="0.25">
      <c r="A9" s="3" t="s">
        <v>38</v>
      </c>
      <c r="B9" s="4">
        <v>477.530462</v>
      </c>
      <c r="C9" s="5">
        <v>441.94205099999999</v>
      </c>
      <c r="D9" s="5">
        <v>415.30444399999999</v>
      </c>
      <c r="E9" s="5">
        <v>357.087309</v>
      </c>
      <c r="F9" s="5">
        <v>371.11093599999998</v>
      </c>
      <c r="G9" s="5">
        <v>387.97131899999999</v>
      </c>
      <c r="H9" s="5">
        <v>476.44095399999998</v>
      </c>
      <c r="I9" s="5">
        <v>431.98609599999997</v>
      </c>
      <c r="J9" s="5">
        <v>382.82001400000001</v>
      </c>
      <c r="K9" s="4">
        <v>515.176466</v>
      </c>
      <c r="L9" s="5">
        <v>473.66357499999998</v>
      </c>
      <c r="M9" s="5">
        <v>419.51268800000003</v>
      </c>
      <c r="N9" s="5">
        <v>366.09605199999999</v>
      </c>
      <c r="O9" s="5">
        <v>379.26500800000002</v>
      </c>
      <c r="P9" s="5">
        <v>391.43078700000001</v>
      </c>
      <c r="Q9" s="5">
        <v>547.87364700000001</v>
      </c>
      <c r="R9" s="5">
        <v>436.79741300000001</v>
      </c>
      <c r="S9" s="5">
        <v>394.93177700000001</v>
      </c>
    </row>
    <row r="10" spans="1:19" x14ac:dyDescent="0.25">
      <c r="A10" s="3" t="s">
        <v>39</v>
      </c>
      <c r="B10" s="4">
        <v>259.36085300000002</v>
      </c>
      <c r="C10" s="5">
        <v>233.33945700000001</v>
      </c>
      <c r="D10" s="5">
        <v>204.82791499999999</v>
      </c>
      <c r="E10" s="5">
        <v>215.85056299999999</v>
      </c>
      <c r="F10" s="5">
        <v>157.50161600000001</v>
      </c>
      <c r="G10" s="5">
        <v>160.87349</v>
      </c>
      <c r="H10" s="5">
        <v>151.88353900000001</v>
      </c>
      <c r="I10" s="5">
        <v>174.93273099999999</v>
      </c>
      <c r="J10" s="5">
        <v>174.74965599999999</v>
      </c>
      <c r="K10" s="4">
        <v>278.79880300000002</v>
      </c>
      <c r="L10" s="5">
        <v>268.84079700000001</v>
      </c>
      <c r="M10" s="5">
        <v>220.66558499999999</v>
      </c>
      <c r="N10" s="5">
        <v>227.81171900000001</v>
      </c>
      <c r="O10" s="5">
        <v>178.24748099999999</v>
      </c>
      <c r="P10" s="5">
        <v>173.717747</v>
      </c>
      <c r="Q10" s="5">
        <v>173.884804</v>
      </c>
      <c r="R10" s="5">
        <v>200.47376499999999</v>
      </c>
      <c r="S10" s="5">
        <v>218.89299199999999</v>
      </c>
    </row>
    <row r="11" spans="1:19" x14ac:dyDescent="0.25">
      <c r="A11" s="3" t="s">
        <v>40</v>
      </c>
      <c r="B11" s="4">
        <v>162.67907</v>
      </c>
      <c r="C11" s="5">
        <v>145.751632</v>
      </c>
      <c r="D11" s="5">
        <v>151.10530499999999</v>
      </c>
      <c r="E11" s="5">
        <v>176.60220000000001</v>
      </c>
      <c r="F11" s="5">
        <v>128.15966700000001</v>
      </c>
      <c r="G11" s="5">
        <v>130.43860900000001</v>
      </c>
      <c r="H11" s="5">
        <v>143.603534</v>
      </c>
      <c r="I11" s="5">
        <v>129.453655</v>
      </c>
      <c r="J11" s="5">
        <v>122.07983</v>
      </c>
      <c r="K11" s="4">
        <v>164.588595</v>
      </c>
      <c r="L11" s="5">
        <v>148.389802</v>
      </c>
      <c r="M11" s="5">
        <v>154.21888899999999</v>
      </c>
      <c r="N11" s="5">
        <v>178.090373</v>
      </c>
      <c r="O11" s="5">
        <v>130.05294000000001</v>
      </c>
      <c r="P11" s="5">
        <v>132.46453500000001</v>
      </c>
      <c r="Q11" s="5">
        <v>152.25172800000001</v>
      </c>
      <c r="R11" s="5">
        <v>131.13170700000001</v>
      </c>
      <c r="S11" s="5">
        <v>124.81091600000001</v>
      </c>
    </row>
    <row r="12" spans="1:19" x14ac:dyDescent="0.25">
      <c r="A12" s="3" t="s">
        <v>41</v>
      </c>
      <c r="B12" s="4">
        <v>13491.254860999999</v>
      </c>
      <c r="C12" s="5">
        <v>14278.444551000001</v>
      </c>
      <c r="D12" s="5">
        <v>14540.461987000001</v>
      </c>
      <c r="E12" s="5">
        <v>14655.894014</v>
      </c>
      <c r="F12" s="5">
        <v>12800.579981000001</v>
      </c>
      <c r="G12" s="5">
        <v>14499.924095</v>
      </c>
      <c r="H12" s="5">
        <v>16374.467079</v>
      </c>
      <c r="I12" s="5">
        <v>15794.013623000001</v>
      </c>
      <c r="J12" s="5">
        <v>15876.618608999999</v>
      </c>
      <c r="K12" s="4">
        <v>24309.807111999999</v>
      </c>
      <c r="L12" s="5">
        <v>22846.635501000001</v>
      </c>
      <c r="M12" s="5">
        <v>22113.490742000002</v>
      </c>
      <c r="N12" s="5">
        <v>27710.016172</v>
      </c>
      <c r="O12" s="5">
        <v>22227.168342000001</v>
      </c>
      <c r="P12" s="5">
        <v>25632.780340000001</v>
      </c>
      <c r="Q12" s="5">
        <v>30799.608200999999</v>
      </c>
      <c r="R12" s="5">
        <v>27006.332720999999</v>
      </c>
      <c r="S12" s="5">
        <v>29361.964712000001</v>
      </c>
    </row>
  </sheetData>
  <mergeCells count="4">
    <mergeCell ref="A1:R1"/>
    <mergeCell ref="A3"/>
    <mergeCell ref="B3:J3"/>
    <mergeCell ref="K3:S3"/>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0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RowHeight="15" x14ac:dyDescent="0.25"/>
  <cols>
    <col min="1" max="1" width="11.7109375" customWidth="1"/>
    <col min="2" max="2" width="28.7109375" customWidth="1"/>
    <col min="3" max="20" width="14.7109375" customWidth="1"/>
  </cols>
  <sheetData>
    <row r="1" spans="1:20" ht="18" x14ac:dyDescent="0.25">
      <c r="A1" s="12" t="s">
        <v>42</v>
      </c>
      <c r="B1" s="8"/>
      <c r="C1" s="8"/>
      <c r="D1" s="8"/>
      <c r="E1" s="8"/>
      <c r="F1" s="8"/>
      <c r="G1" s="8"/>
      <c r="H1" s="8"/>
      <c r="I1" s="8"/>
      <c r="J1" s="8"/>
      <c r="K1" s="8"/>
      <c r="L1" s="8"/>
      <c r="M1" s="8"/>
      <c r="N1" s="8"/>
      <c r="O1" s="8"/>
      <c r="P1" s="8"/>
      <c r="Q1" s="8"/>
      <c r="R1" s="8"/>
    </row>
    <row r="2" spans="1:20" x14ac:dyDescent="0.25">
      <c r="A2" s="10" t="s">
        <v>43</v>
      </c>
      <c r="B2" s="8"/>
      <c r="C2" s="8"/>
      <c r="D2" s="8"/>
      <c r="E2" s="8"/>
      <c r="F2" s="8"/>
      <c r="G2" s="8"/>
      <c r="H2" s="8"/>
      <c r="I2" s="8"/>
      <c r="J2" s="8"/>
      <c r="K2" s="8"/>
      <c r="L2" s="8"/>
      <c r="M2" s="8"/>
      <c r="N2" s="8"/>
      <c r="O2" s="8"/>
      <c r="P2" s="8"/>
      <c r="Q2" s="8"/>
      <c r="R2" s="8"/>
    </row>
    <row r="3" spans="1:20" x14ac:dyDescent="0.25">
      <c r="A3" s="10" t="s">
        <v>44</v>
      </c>
      <c r="B3" s="8"/>
      <c r="C3" s="8"/>
      <c r="D3" s="8"/>
      <c r="E3" s="8"/>
      <c r="F3" s="8"/>
      <c r="G3" s="8"/>
      <c r="H3" s="8"/>
      <c r="I3" s="8"/>
      <c r="J3" s="8"/>
      <c r="K3" s="8"/>
      <c r="L3" s="8"/>
      <c r="M3" s="8"/>
      <c r="N3" s="8"/>
      <c r="O3" s="8"/>
      <c r="P3" s="8"/>
      <c r="Q3" s="8"/>
      <c r="R3" s="8"/>
    </row>
    <row r="5" spans="1:20" x14ac:dyDescent="0.25">
      <c r="A5" s="13" t="s">
        <v>12</v>
      </c>
      <c r="B5" s="14"/>
      <c r="C5" s="13" t="s">
        <v>13</v>
      </c>
      <c r="D5" s="14"/>
      <c r="E5" s="14"/>
      <c r="F5" s="14"/>
      <c r="G5" s="14"/>
      <c r="H5" s="14"/>
      <c r="I5" s="14"/>
      <c r="J5" s="14"/>
      <c r="K5" s="14"/>
      <c r="L5" s="13" t="s">
        <v>14</v>
      </c>
      <c r="M5" s="14"/>
      <c r="N5" s="14"/>
      <c r="O5" s="14"/>
      <c r="P5" s="14"/>
      <c r="Q5" s="14"/>
      <c r="R5" s="14"/>
      <c r="S5" s="14"/>
      <c r="T5" s="14"/>
    </row>
    <row r="6" spans="1:20" ht="15.75" x14ac:dyDescent="0.25">
      <c r="A6" s="6" t="s">
        <v>45</v>
      </c>
      <c r="B6" s="7" t="s">
        <v>46</v>
      </c>
      <c r="C6" s="6" t="s">
        <v>16</v>
      </c>
      <c r="D6" s="7" t="s">
        <v>17</v>
      </c>
      <c r="E6" s="7" t="s">
        <v>18</v>
      </c>
      <c r="F6" s="7" t="s">
        <v>19</v>
      </c>
      <c r="G6" s="7" t="s">
        <v>20</v>
      </c>
      <c r="H6" s="7" t="s">
        <v>21</v>
      </c>
      <c r="I6" s="7" t="s">
        <v>22</v>
      </c>
      <c r="J6" s="7" t="s">
        <v>23</v>
      </c>
      <c r="K6" s="7" t="s">
        <v>24</v>
      </c>
      <c r="L6" s="6" t="s">
        <v>25</v>
      </c>
      <c r="M6" s="7" t="s">
        <v>26</v>
      </c>
      <c r="N6" s="7" t="s">
        <v>27</v>
      </c>
      <c r="O6" s="7" t="s">
        <v>28</v>
      </c>
      <c r="P6" s="7" t="s">
        <v>29</v>
      </c>
      <c r="Q6" s="7" t="s">
        <v>30</v>
      </c>
      <c r="R6" s="7" t="s">
        <v>31</v>
      </c>
      <c r="S6" s="7" t="s">
        <v>32</v>
      </c>
      <c r="T6" s="7" t="s">
        <v>33</v>
      </c>
    </row>
    <row r="7" spans="1:20" x14ac:dyDescent="0.25">
      <c r="A7" s="3" t="s">
        <v>39</v>
      </c>
      <c r="B7" t="s">
        <v>47</v>
      </c>
      <c r="C7" s="4">
        <v>105565.5</v>
      </c>
      <c r="D7" s="5">
        <v>103848.916</v>
      </c>
      <c r="E7" s="5">
        <v>58628.665000000001</v>
      </c>
      <c r="F7" s="5">
        <v>42630.54</v>
      </c>
      <c r="G7" s="5">
        <v>30451.825000000001</v>
      </c>
      <c r="H7" s="5">
        <v>36268.800000000003</v>
      </c>
      <c r="I7" s="5">
        <v>35167.110999999997</v>
      </c>
      <c r="J7" s="5">
        <v>33376.298999999999</v>
      </c>
      <c r="K7" s="5">
        <v>36167.476999999999</v>
      </c>
      <c r="L7" s="4">
        <v>105666.83500000001</v>
      </c>
      <c r="M7" s="5">
        <v>104845.31</v>
      </c>
      <c r="N7" s="5">
        <v>58737.421999999999</v>
      </c>
      <c r="O7" s="5">
        <v>42953.936000000002</v>
      </c>
      <c r="P7" s="5">
        <v>30516.108</v>
      </c>
      <c r="Q7" s="5">
        <v>36293.203999999998</v>
      </c>
      <c r="R7" s="5">
        <v>35332.955000000002</v>
      </c>
      <c r="S7" s="5">
        <v>33390.432999999997</v>
      </c>
      <c r="T7" s="5">
        <v>36321.57</v>
      </c>
    </row>
    <row r="8" spans="1:20" x14ac:dyDescent="0.25">
      <c r="A8" s="3" t="s">
        <v>39</v>
      </c>
      <c r="B8" t="s">
        <v>48</v>
      </c>
      <c r="C8" s="4">
        <v>34449.519</v>
      </c>
      <c r="D8" s="5">
        <v>34173.131999999998</v>
      </c>
      <c r="E8" s="5">
        <v>29922.963</v>
      </c>
      <c r="F8" s="5">
        <v>43602.54</v>
      </c>
      <c r="G8" s="5">
        <v>39597.781999999999</v>
      </c>
      <c r="H8" s="5">
        <v>39574.035000000003</v>
      </c>
      <c r="I8" s="5">
        <v>42062.12</v>
      </c>
      <c r="J8" s="5">
        <v>57208.870999999999</v>
      </c>
      <c r="K8" s="5">
        <v>54574.192999999999</v>
      </c>
      <c r="L8" s="4">
        <v>34520.216999999997</v>
      </c>
      <c r="M8" s="5">
        <v>51419.394999999997</v>
      </c>
      <c r="N8" s="5">
        <v>29925.262999999999</v>
      </c>
      <c r="O8" s="5">
        <v>43609.534</v>
      </c>
      <c r="P8" s="5">
        <v>39624.745999999999</v>
      </c>
      <c r="Q8" s="5">
        <v>39574.036999999997</v>
      </c>
      <c r="R8" s="5">
        <v>42062.12</v>
      </c>
      <c r="S8" s="5">
        <v>57208.870999999999</v>
      </c>
      <c r="T8" s="5">
        <v>54704.125999999997</v>
      </c>
    </row>
    <row r="9" spans="1:20" x14ac:dyDescent="0.25">
      <c r="A9" s="3" t="s">
        <v>39</v>
      </c>
      <c r="B9" t="s">
        <v>49</v>
      </c>
      <c r="C9" s="4">
        <v>28613.219000000001</v>
      </c>
      <c r="D9" s="5">
        <v>11654.543</v>
      </c>
      <c r="E9" s="5">
        <v>19960.008999999998</v>
      </c>
      <c r="F9" s="5">
        <v>16992.065999999999</v>
      </c>
      <c r="G9" s="5">
        <v>6346.7330000000002</v>
      </c>
      <c r="H9" s="5">
        <v>13389.873</v>
      </c>
      <c r="I9" s="5">
        <v>8550.3070000000007</v>
      </c>
      <c r="J9" s="5">
        <v>15121.949000000001</v>
      </c>
      <c r="K9" s="5">
        <v>12849.156999999999</v>
      </c>
      <c r="L9" s="4">
        <v>34001.913</v>
      </c>
      <c r="M9" s="5">
        <v>11654.543</v>
      </c>
      <c r="N9" s="5">
        <v>19960.008999999998</v>
      </c>
      <c r="O9" s="5">
        <v>16992.065999999999</v>
      </c>
      <c r="P9" s="5">
        <v>6346.7330000000002</v>
      </c>
      <c r="Q9" s="5">
        <v>13389.873</v>
      </c>
      <c r="R9" s="5">
        <v>8550.3070000000007</v>
      </c>
      <c r="S9" s="5">
        <v>15121.949000000001</v>
      </c>
      <c r="T9" s="5">
        <v>12849.156999999999</v>
      </c>
    </row>
    <row r="10" spans="1:20" x14ac:dyDescent="0.25">
      <c r="A10" s="3" t="s">
        <v>39</v>
      </c>
      <c r="B10" t="s">
        <v>50</v>
      </c>
      <c r="C10" s="4">
        <v>12289.503000000001</v>
      </c>
      <c r="D10" s="5">
        <v>12205.912</v>
      </c>
      <c r="E10" s="5">
        <v>14292.243</v>
      </c>
      <c r="F10" s="5">
        <v>15249.075999999999</v>
      </c>
      <c r="G10" s="5">
        <v>12627.078</v>
      </c>
      <c r="H10" s="5">
        <v>8998.2049999999999</v>
      </c>
      <c r="I10" s="5">
        <v>9523.7489999999998</v>
      </c>
      <c r="J10" s="5">
        <v>9146.8919999999998</v>
      </c>
      <c r="K10" s="5">
        <v>9838.3610000000008</v>
      </c>
      <c r="L10" s="4">
        <v>24632.955000000002</v>
      </c>
      <c r="M10" s="5">
        <v>26688.663</v>
      </c>
      <c r="N10" s="5">
        <v>30011.010999999999</v>
      </c>
      <c r="O10" s="5">
        <v>26849.21</v>
      </c>
      <c r="P10" s="5">
        <v>33019.974999999999</v>
      </c>
      <c r="Q10" s="5">
        <v>21268.054</v>
      </c>
      <c r="R10" s="5">
        <v>31348.366000000002</v>
      </c>
      <c r="S10" s="5">
        <v>34668.597000000002</v>
      </c>
      <c r="T10" s="5">
        <v>53658.199000000001</v>
      </c>
    </row>
    <row r="11" spans="1:20" x14ac:dyDescent="0.25">
      <c r="A11" s="3" t="s">
        <v>39</v>
      </c>
      <c r="B11" t="s">
        <v>51</v>
      </c>
      <c r="C11" s="4">
        <v>10535.495999999999</v>
      </c>
      <c r="D11" s="5">
        <v>4447.6440000000002</v>
      </c>
      <c r="E11" s="5">
        <v>829.69200000000001</v>
      </c>
      <c r="F11" s="5">
        <v>1709.8489999999999</v>
      </c>
      <c r="G11" s="5">
        <v>1231.9839999999999</v>
      </c>
      <c r="H11" s="5">
        <v>924.95</v>
      </c>
      <c r="I11" s="5">
        <v>125.839</v>
      </c>
      <c r="J11" s="5">
        <v>411.38099999999997</v>
      </c>
      <c r="K11" s="5">
        <v>402.387</v>
      </c>
      <c r="L11" s="4">
        <v>10535.495999999999</v>
      </c>
      <c r="M11" s="5">
        <v>4447.652</v>
      </c>
      <c r="N11" s="5">
        <v>829.72699999999998</v>
      </c>
      <c r="O11" s="5">
        <v>1709.8489999999999</v>
      </c>
      <c r="P11" s="5">
        <v>1231.9839999999999</v>
      </c>
      <c r="Q11" s="5">
        <v>924.95</v>
      </c>
      <c r="R11" s="5">
        <v>125.839</v>
      </c>
      <c r="S11" s="5">
        <v>411.38099999999997</v>
      </c>
      <c r="T11" s="5">
        <v>402.387</v>
      </c>
    </row>
    <row r="12" spans="1:20" x14ac:dyDescent="0.25">
      <c r="A12" s="3" t="s">
        <v>39</v>
      </c>
      <c r="B12" t="s">
        <v>52</v>
      </c>
      <c r="C12" s="4">
        <v>8870.8230000000003</v>
      </c>
      <c r="D12" s="5">
        <v>7905.9920000000002</v>
      </c>
      <c r="E12" s="5">
        <v>9041.6479999999992</v>
      </c>
      <c r="F12" s="5">
        <v>20128.506000000001</v>
      </c>
      <c r="G12" s="5">
        <v>10953.521000000001</v>
      </c>
      <c r="H12" s="5">
        <v>7421.8069999999998</v>
      </c>
      <c r="I12" s="5">
        <v>7701.6559999999999</v>
      </c>
      <c r="J12" s="5">
        <v>9483.9930000000004</v>
      </c>
      <c r="K12" s="5">
        <v>8872.4120000000003</v>
      </c>
      <c r="L12" s="4">
        <v>8870.8230000000003</v>
      </c>
      <c r="M12" s="5">
        <v>7905.9920000000002</v>
      </c>
      <c r="N12" s="5">
        <v>9041.6479999999992</v>
      </c>
      <c r="O12" s="5">
        <v>20128.506000000001</v>
      </c>
      <c r="P12" s="5">
        <v>11088.707</v>
      </c>
      <c r="Q12" s="5">
        <v>7782.924</v>
      </c>
      <c r="R12" s="5">
        <v>7701.6559999999999</v>
      </c>
      <c r="S12" s="5">
        <v>9484.018</v>
      </c>
      <c r="T12" s="5">
        <v>8885.018</v>
      </c>
    </row>
    <row r="13" spans="1:20" x14ac:dyDescent="0.25">
      <c r="A13" s="3" t="s">
        <v>39</v>
      </c>
      <c r="B13" t="s">
        <v>53</v>
      </c>
      <c r="C13" s="4">
        <v>7917.4260000000004</v>
      </c>
      <c r="D13" s="5">
        <v>4295.4549999999999</v>
      </c>
      <c r="E13" s="5">
        <v>12324.43</v>
      </c>
      <c r="F13" s="5">
        <v>10377.261</v>
      </c>
      <c r="G13" s="5">
        <v>4509.9920000000002</v>
      </c>
      <c r="H13" s="5">
        <v>6757.3019999999997</v>
      </c>
      <c r="I13" s="5">
        <v>4629.259</v>
      </c>
      <c r="J13" s="5">
        <v>3725.1709999999998</v>
      </c>
      <c r="K13" s="5">
        <v>4620.1059999999998</v>
      </c>
      <c r="L13" s="4">
        <v>7917.4260000000004</v>
      </c>
      <c r="M13" s="5">
        <v>4295.4549999999999</v>
      </c>
      <c r="N13" s="5">
        <v>12327.057000000001</v>
      </c>
      <c r="O13" s="5">
        <v>10385.846</v>
      </c>
      <c r="P13" s="5">
        <v>4509.9920000000002</v>
      </c>
      <c r="Q13" s="5">
        <v>6757.3019999999997</v>
      </c>
      <c r="R13" s="5">
        <v>4629.259</v>
      </c>
      <c r="S13" s="5">
        <v>3725.1709999999998</v>
      </c>
      <c r="T13" s="5">
        <v>4620.1059999999998</v>
      </c>
    </row>
    <row r="14" spans="1:20" x14ac:dyDescent="0.25">
      <c r="A14" s="3" t="s">
        <v>39</v>
      </c>
      <c r="B14" t="s">
        <v>54</v>
      </c>
      <c r="C14" s="4">
        <v>7726.549</v>
      </c>
      <c r="D14" s="5">
        <v>7909.7569999999996</v>
      </c>
      <c r="E14" s="5">
        <v>15497.395</v>
      </c>
      <c r="F14" s="5">
        <v>10845.052</v>
      </c>
      <c r="G14" s="5">
        <v>8366.1980000000003</v>
      </c>
      <c r="H14" s="5">
        <v>12015.22</v>
      </c>
      <c r="I14" s="5">
        <v>8514.4740000000002</v>
      </c>
      <c r="J14" s="5">
        <v>8214.3729999999996</v>
      </c>
      <c r="K14" s="5">
        <v>10872.264999999999</v>
      </c>
      <c r="L14" s="4">
        <v>7726.549</v>
      </c>
      <c r="M14" s="5">
        <v>7910.2569999999996</v>
      </c>
      <c r="N14" s="5">
        <v>15497.395</v>
      </c>
      <c r="O14" s="5">
        <v>10867.099</v>
      </c>
      <c r="P14" s="5">
        <v>8366.1980000000003</v>
      </c>
      <c r="Q14" s="5">
        <v>12015.22</v>
      </c>
      <c r="R14" s="5">
        <v>8514.4740000000002</v>
      </c>
      <c r="S14" s="5">
        <v>8214.3729999999996</v>
      </c>
      <c r="T14" s="5">
        <v>10877.066999999999</v>
      </c>
    </row>
    <row r="15" spans="1:20" x14ac:dyDescent="0.25">
      <c r="A15" s="3" t="s">
        <v>39</v>
      </c>
      <c r="B15" t="s">
        <v>55</v>
      </c>
      <c r="C15" s="4">
        <v>7132.9579999999996</v>
      </c>
      <c r="D15" s="5">
        <v>8390.6260000000002</v>
      </c>
      <c r="E15" s="5">
        <v>6023.13</v>
      </c>
      <c r="F15" s="5">
        <v>5236.3440000000001</v>
      </c>
      <c r="G15" s="5">
        <v>4693.2039999999997</v>
      </c>
      <c r="H15" s="5">
        <v>3846.6089999999999</v>
      </c>
      <c r="I15" s="5">
        <v>2658.529</v>
      </c>
      <c r="J15" s="5">
        <v>1942.86</v>
      </c>
      <c r="K15" s="5">
        <v>2277.3029999999999</v>
      </c>
      <c r="L15" s="4">
        <v>7132.9579999999996</v>
      </c>
      <c r="M15" s="5">
        <v>8390.6260000000002</v>
      </c>
      <c r="N15" s="5">
        <v>6023.13</v>
      </c>
      <c r="O15" s="5">
        <v>5236.3440000000001</v>
      </c>
      <c r="P15" s="5">
        <v>4693.2039999999997</v>
      </c>
      <c r="Q15" s="5">
        <v>3846.6089999999999</v>
      </c>
      <c r="R15" s="5">
        <v>2658.529</v>
      </c>
      <c r="S15" s="5">
        <v>1942.86</v>
      </c>
      <c r="T15" s="5">
        <v>2277.3029999999999</v>
      </c>
    </row>
    <row r="16" spans="1:20" x14ac:dyDescent="0.25">
      <c r="A16" s="3" t="s">
        <v>39</v>
      </c>
      <c r="B16" t="s">
        <v>56</v>
      </c>
      <c r="C16" s="4">
        <v>6255.3530000000001</v>
      </c>
      <c r="D16" s="5">
        <v>4969.29</v>
      </c>
      <c r="E16" s="5">
        <v>4307.53</v>
      </c>
      <c r="F16" s="5">
        <v>4255.2730000000001</v>
      </c>
      <c r="G16" s="5">
        <v>6876.8639999999996</v>
      </c>
      <c r="H16" s="5">
        <v>5037.8270000000002</v>
      </c>
      <c r="I16" s="5">
        <v>5150.5959999999995</v>
      </c>
      <c r="J16" s="5">
        <v>4645.884</v>
      </c>
      <c r="K16" s="5">
        <v>5791.6049999999996</v>
      </c>
      <c r="L16" s="4">
        <v>6255.3530000000001</v>
      </c>
      <c r="M16" s="5">
        <v>4969.29</v>
      </c>
      <c r="N16" s="5">
        <v>4307.53</v>
      </c>
      <c r="O16" s="5">
        <v>4255.2730000000001</v>
      </c>
      <c r="P16" s="5">
        <v>6876.8639999999996</v>
      </c>
      <c r="Q16" s="5">
        <v>5223.4610000000002</v>
      </c>
      <c r="R16" s="5">
        <v>5150.5959999999995</v>
      </c>
      <c r="S16" s="5">
        <v>4645.884</v>
      </c>
      <c r="T16" s="5">
        <v>5791.6049999999996</v>
      </c>
    </row>
    <row r="17" spans="1:20" x14ac:dyDescent="0.25">
      <c r="A17" s="3" t="s">
        <v>39</v>
      </c>
      <c r="B17" t="s">
        <v>57</v>
      </c>
      <c r="C17" s="4">
        <v>4611.5550000000003</v>
      </c>
      <c r="D17" s="5">
        <v>6700.28</v>
      </c>
      <c r="E17" s="5">
        <v>6870.9830000000002</v>
      </c>
      <c r="F17" s="5">
        <v>6872.09</v>
      </c>
      <c r="G17" s="5">
        <v>4995.66</v>
      </c>
      <c r="H17" s="5">
        <v>4751.9560000000001</v>
      </c>
      <c r="I17" s="5">
        <v>5228.4369999999999</v>
      </c>
      <c r="J17" s="5">
        <v>3264.8150000000001</v>
      </c>
      <c r="K17" s="5">
        <v>1263.2570000000001</v>
      </c>
      <c r="L17" s="4">
        <v>4611.5550000000003</v>
      </c>
      <c r="M17" s="5">
        <v>6700.28</v>
      </c>
      <c r="N17" s="5">
        <v>6870.9830000000002</v>
      </c>
      <c r="O17" s="5">
        <v>6872.09</v>
      </c>
      <c r="P17" s="5">
        <v>4995.66</v>
      </c>
      <c r="Q17" s="5">
        <v>4751.9560000000001</v>
      </c>
      <c r="R17" s="5">
        <v>5228.4369999999999</v>
      </c>
      <c r="S17" s="5">
        <v>3264.8150000000001</v>
      </c>
      <c r="T17" s="5">
        <v>1263.2570000000001</v>
      </c>
    </row>
    <row r="18" spans="1:20" x14ac:dyDescent="0.25">
      <c r="A18" s="3" t="s">
        <v>39</v>
      </c>
      <c r="B18" t="s">
        <v>58</v>
      </c>
      <c r="C18" s="4">
        <v>3263.0349999999999</v>
      </c>
      <c r="D18" s="5">
        <v>4148.2309999999998</v>
      </c>
      <c r="E18" s="5">
        <v>2141.3870000000002</v>
      </c>
      <c r="F18" s="5">
        <v>2339.8200000000002</v>
      </c>
      <c r="G18" s="5">
        <v>2146.5479999999998</v>
      </c>
      <c r="H18" s="5">
        <v>1859.1669999999999</v>
      </c>
      <c r="I18" s="5">
        <v>1300.587</v>
      </c>
      <c r="J18" s="5">
        <v>3893.38</v>
      </c>
      <c r="K18" s="5">
        <v>1590.16</v>
      </c>
      <c r="L18" s="4">
        <v>3263.0349999999999</v>
      </c>
      <c r="M18" s="5">
        <v>4148.2309999999998</v>
      </c>
      <c r="N18" s="5">
        <v>2141.3870000000002</v>
      </c>
      <c r="O18" s="5">
        <v>2339.8200000000002</v>
      </c>
      <c r="P18" s="5">
        <v>2146.5479999999998</v>
      </c>
      <c r="Q18" s="5">
        <v>1859.1669999999999</v>
      </c>
      <c r="R18" s="5">
        <v>1300.587</v>
      </c>
      <c r="S18" s="5">
        <v>3893.38</v>
      </c>
      <c r="T18" s="5">
        <v>1590.16</v>
      </c>
    </row>
    <row r="19" spans="1:20" x14ac:dyDescent="0.25">
      <c r="A19" s="3" t="s">
        <v>39</v>
      </c>
      <c r="B19" t="s">
        <v>59</v>
      </c>
      <c r="C19" s="4">
        <v>2746.2190000000001</v>
      </c>
      <c r="D19" s="5">
        <v>1947.252</v>
      </c>
      <c r="E19" s="5">
        <v>2444.0070000000001</v>
      </c>
      <c r="F19" s="5">
        <v>7484.402</v>
      </c>
      <c r="G19" s="5">
        <v>1303.1120000000001</v>
      </c>
      <c r="H19" s="5">
        <v>1262.9770000000001</v>
      </c>
      <c r="I19" s="5">
        <v>1309.5889999999999</v>
      </c>
      <c r="J19" s="5">
        <v>1757.8109999999999</v>
      </c>
      <c r="K19" s="5">
        <v>2100.0439999999999</v>
      </c>
      <c r="L19" s="4">
        <v>4220.4219999999996</v>
      </c>
      <c r="M19" s="5">
        <v>4722.6760000000004</v>
      </c>
      <c r="N19" s="5">
        <v>2444.0070000000001</v>
      </c>
      <c r="O19" s="5">
        <v>7484.402</v>
      </c>
      <c r="P19" s="5">
        <v>1303.1949999999999</v>
      </c>
      <c r="Q19" s="5">
        <v>1266.058</v>
      </c>
      <c r="R19" s="5">
        <v>1313.393</v>
      </c>
      <c r="S19" s="5">
        <v>1762.981</v>
      </c>
      <c r="T19" s="5">
        <v>2120.7660000000001</v>
      </c>
    </row>
    <row r="20" spans="1:20" x14ac:dyDescent="0.25">
      <c r="A20" s="3" t="s">
        <v>39</v>
      </c>
      <c r="B20" t="s">
        <v>60</v>
      </c>
      <c r="C20" s="4">
        <v>2222.2849999999999</v>
      </c>
      <c r="D20" s="5">
        <v>4902.4970000000003</v>
      </c>
      <c r="E20" s="5">
        <v>1814.258</v>
      </c>
      <c r="F20" s="5">
        <v>1424.6120000000001</v>
      </c>
      <c r="G20" s="5">
        <v>1609.778</v>
      </c>
      <c r="H20" s="5">
        <v>1657.0989999999999</v>
      </c>
      <c r="I20" s="5">
        <v>1043.2660000000001</v>
      </c>
      <c r="J20" s="5">
        <v>1615.124</v>
      </c>
      <c r="K20" s="5">
        <v>1282.7850000000001</v>
      </c>
      <c r="L20" s="4">
        <v>2222.2849999999999</v>
      </c>
      <c r="M20" s="5">
        <v>4902.4970000000003</v>
      </c>
      <c r="N20" s="5">
        <v>1814.258</v>
      </c>
      <c r="O20" s="5">
        <v>1424.6120000000001</v>
      </c>
      <c r="P20" s="5">
        <v>1609.778</v>
      </c>
      <c r="Q20" s="5">
        <v>1657.0989999999999</v>
      </c>
      <c r="R20" s="5">
        <v>1043.2660000000001</v>
      </c>
      <c r="S20" s="5">
        <v>1615.124</v>
      </c>
      <c r="T20" s="5">
        <v>1283.0360000000001</v>
      </c>
    </row>
    <row r="21" spans="1:20" x14ac:dyDescent="0.25">
      <c r="A21" s="3" t="s">
        <v>39</v>
      </c>
      <c r="B21" t="s">
        <v>61</v>
      </c>
      <c r="C21" s="4">
        <v>1991.039</v>
      </c>
      <c r="D21" s="5">
        <v>1316.4559999999999</v>
      </c>
      <c r="E21" s="5">
        <v>483.24599999999998</v>
      </c>
      <c r="F21" s="5">
        <v>608.74900000000002</v>
      </c>
      <c r="G21" s="5">
        <v>178.08199999999999</v>
      </c>
      <c r="H21" s="5">
        <v>484.50599999999997</v>
      </c>
      <c r="I21" s="5">
        <v>501.00299999999999</v>
      </c>
      <c r="J21" s="5">
        <v>1489.751</v>
      </c>
      <c r="K21" s="5">
        <v>1980.1279999999999</v>
      </c>
      <c r="L21" s="4">
        <v>1991.039</v>
      </c>
      <c r="M21" s="5">
        <v>1316.4559999999999</v>
      </c>
      <c r="N21" s="5">
        <v>483.24599999999998</v>
      </c>
      <c r="O21" s="5">
        <v>608.74900000000002</v>
      </c>
      <c r="P21" s="5">
        <v>178.08199999999999</v>
      </c>
      <c r="Q21" s="5">
        <v>484.50599999999997</v>
      </c>
      <c r="R21" s="5">
        <v>501.00299999999999</v>
      </c>
      <c r="S21" s="5">
        <v>1489.751</v>
      </c>
      <c r="T21" s="5">
        <v>1980.1279999999999</v>
      </c>
    </row>
    <row r="22" spans="1:20" x14ac:dyDescent="0.25">
      <c r="A22" s="3" t="s">
        <v>39</v>
      </c>
      <c r="B22" t="s">
        <v>62</v>
      </c>
      <c r="C22" s="4">
        <v>1738.615</v>
      </c>
      <c r="D22" s="5">
        <v>1344.5219999999999</v>
      </c>
      <c r="E22" s="5">
        <v>4683.9579999999996</v>
      </c>
      <c r="F22" s="5">
        <v>1182.9069999999999</v>
      </c>
      <c r="G22" s="5">
        <v>4118.4629999999997</v>
      </c>
      <c r="H22" s="5">
        <v>1079.3599999999999</v>
      </c>
      <c r="I22" s="5">
        <v>1047.1759999999999</v>
      </c>
      <c r="J22" s="5">
        <v>2324.6550000000002</v>
      </c>
      <c r="K22" s="5">
        <v>516.83900000000006</v>
      </c>
      <c r="L22" s="4">
        <v>1738.615</v>
      </c>
      <c r="M22" s="5">
        <v>1344.5219999999999</v>
      </c>
      <c r="N22" s="5">
        <v>4683.9579999999996</v>
      </c>
      <c r="O22" s="5">
        <v>1182.9069999999999</v>
      </c>
      <c r="P22" s="5">
        <v>4118.4629999999997</v>
      </c>
      <c r="Q22" s="5">
        <v>1079.3599999999999</v>
      </c>
      <c r="R22" s="5">
        <v>1047.1759999999999</v>
      </c>
      <c r="S22" s="5">
        <v>2324.6550000000002</v>
      </c>
      <c r="T22" s="5">
        <v>516.83900000000006</v>
      </c>
    </row>
    <row r="23" spans="1:20" x14ac:dyDescent="0.25">
      <c r="A23" s="3" t="s">
        <v>39</v>
      </c>
      <c r="B23" t="s">
        <v>63</v>
      </c>
      <c r="C23" s="4">
        <v>1692.355</v>
      </c>
      <c r="D23" s="5">
        <v>1812.4059999999999</v>
      </c>
      <c r="E23" s="5">
        <v>1816.6410000000001</v>
      </c>
      <c r="F23" s="5">
        <v>1835.38</v>
      </c>
      <c r="G23" s="5">
        <v>1727.1279999999999</v>
      </c>
      <c r="H23" s="5">
        <v>2217.701</v>
      </c>
      <c r="I23" s="5">
        <v>1299.1469999999999</v>
      </c>
      <c r="J23" s="5">
        <v>1413.729</v>
      </c>
      <c r="K23" s="5">
        <v>2329.7089999999998</v>
      </c>
      <c r="L23" s="4">
        <v>1692.355</v>
      </c>
      <c r="M23" s="5">
        <v>1812.4059999999999</v>
      </c>
      <c r="N23" s="5">
        <v>1821.8240000000001</v>
      </c>
      <c r="O23" s="5">
        <v>1835.38</v>
      </c>
      <c r="P23" s="5">
        <v>1727.1279999999999</v>
      </c>
      <c r="Q23" s="5">
        <v>2217.701</v>
      </c>
      <c r="R23" s="5">
        <v>1299.1469999999999</v>
      </c>
      <c r="S23" s="5">
        <v>1413.729</v>
      </c>
      <c r="T23" s="5">
        <v>2329.7089999999998</v>
      </c>
    </row>
    <row r="24" spans="1:20" x14ac:dyDescent="0.25">
      <c r="A24" s="3" t="s">
        <v>39</v>
      </c>
      <c r="B24" t="s">
        <v>64</v>
      </c>
      <c r="C24" s="4">
        <v>1373.912</v>
      </c>
      <c r="D24" s="5">
        <v>2187.192</v>
      </c>
      <c r="E24" s="5">
        <v>1222.1569999999999</v>
      </c>
      <c r="F24" s="5">
        <v>1356.8150000000001</v>
      </c>
      <c r="G24" s="5">
        <v>405.94299999999998</v>
      </c>
      <c r="H24" s="5">
        <v>402.18799999999999</v>
      </c>
      <c r="I24" s="5">
        <v>654.62</v>
      </c>
      <c r="J24" s="5">
        <v>2548.1320000000001</v>
      </c>
      <c r="K24" s="5">
        <v>492.71800000000002</v>
      </c>
      <c r="L24" s="4">
        <v>1373.912</v>
      </c>
      <c r="M24" s="5">
        <v>2187.192</v>
      </c>
      <c r="N24" s="5">
        <v>1222.1569999999999</v>
      </c>
      <c r="O24" s="5">
        <v>1356.8150000000001</v>
      </c>
      <c r="P24" s="5">
        <v>405.94299999999998</v>
      </c>
      <c r="Q24" s="5">
        <v>402.18799999999999</v>
      </c>
      <c r="R24" s="5">
        <v>654.62</v>
      </c>
      <c r="S24" s="5">
        <v>2548.1320000000001</v>
      </c>
      <c r="T24" s="5">
        <v>492.71800000000002</v>
      </c>
    </row>
    <row r="25" spans="1:20" x14ac:dyDescent="0.25">
      <c r="A25" s="3" t="s">
        <v>39</v>
      </c>
      <c r="B25" t="s">
        <v>65</v>
      </c>
      <c r="C25" s="4">
        <v>1110.7670000000001</v>
      </c>
      <c r="D25" s="5">
        <v>1095.1410000000001</v>
      </c>
      <c r="E25" s="5">
        <v>1115.9069999999999</v>
      </c>
      <c r="F25" s="5">
        <v>4900.366</v>
      </c>
      <c r="G25" s="5">
        <v>1417.18</v>
      </c>
      <c r="H25" s="5">
        <v>2853.1320000000001</v>
      </c>
      <c r="I25" s="5">
        <v>165.542</v>
      </c>
      <c r="J25" s="5">
        <v>0</v>
      </c>
      <c r="K25" s="5">
        <v>0</v>
      </c>
      <c r="L25" s="4">
        <v>1110.7670000000001</v>
      </c>
      <c r="M25" s="5">
        <v>1095.1410000000001</v>
      </c>
      <c r="N25" s="5">
        <v>1115.9069999999999</v>
      </c>
      <c r="O25" s="5">
        <v>4900.366</v>
      </c>
      <c r="P25" s="5">
        <v>1417.18</v>
      </c>
      <c r="Q25" s="5">
        <v>2853.1320000000001</v>
      </c>
      <c r="R25" s="5">
        <v>172.542</v>
      </c>
      <c r="S25" s="5">
        <v>0</v>
      </c>
      <c r="T25" s="5">
        <v>0</v>
      </c>
    </row>
    <row r="26" spans="1:20" x14ac:dyDescent="0.25">
      <c r="A26" s="3" t="s">
        <v>39</v>
      </c>
      <c r="B26" t="s">
        <v>66</v>
      </c>
      <c r="C26" s="4">
        <v>1100.3889999999999</v>
      </c>
      <c r="D26" s="5">
        <v>1100.1780000000001</v>
      </c>
      <c r="E26" s="5">
        <v>734.69399999999996</v>
      </c>
      <c r="F26" s="5">
        <v>830.803</v>
      </c>
      <c r="G26" s="5">
        <v>2338.9380000000001</v>
      </c>
      <c r="H26" s="5">
        <v>758.33600000000001</v>
      </c>
      <c r="I26" s="5">
        <v>396.21100000000001</v>
      </c>
      <c r="J26" s="5">
        <v>412.03199999999998</v>
      </c>
      <c r="K26" s="5">
        <v>975.41800000000001</v>
      </c>
      <c r="L26" s="4">
        <v>1100.3889999999999</v>
      </c>
      <c r="M26" s="5">
        <v>1100.1780000000001</v>
      </c>
      <c r="N26" s="5">
        <v>734.69399999999996</v>
      </c>
      <c r="O26" s="5">
        <v>830.803</v>
      </c>
      <c r="P26" s="5">
        <v>2338.9580000000001</v>
      </c>
      <c r="Q26" s="5">
        <v>758.33600000000001</v>
      </c>
      <c r="R26" s="5">
        <v>396.21100000000001</v>
      </c>
      <c r="S26" s="5">
        <v>412.03199999999998</v>
      </c>
      <c r="T26" s="5">
        <v>975.41800000000001</v>
      </c>
    </row>
    <row r="27" spans="1:20" x14ac:dyDescent="0.25">
      <c r="A27" s="3" t="s">
        <v>39</v>
      </c>
      <c r="B27" t="s">
        <v>67</v>
      </c>
      <c r="C27" s="4">
        <v>1094.248</v>
      </c>
      <c r="D27" s="5">
        <v>974.18899999999996</v>
      </c>
      <c r="E27" s="5">
        <v>1199.2260000000001</v>
      </c>
      <c r="F27" s="5">
        <v>4271.3829999999998</v>
      </c>
      <c r="G27" s="5">
        <v>2054.2579999999998</v>
      </c>
      <c r="H27" s="5">
        <v>1107.02</v>
      </c>
      <c r="I27" s="5">
        <v>2197.7840000000001</v>
      </c>
      <c r="J27" s="5">
        <v>1859.6310000000001</v>
      </c>
      <c r="K27" s="5">
        <v>1073.7719999999999</v>
      </c>
      <c r="L27" s="4">
        <v>1094.248</v>
      </c>
      <c r="M27" s="5">
        <v>974.18899999999996</v>
      </c>
      <c r="N27" s="5">
        <v>1199.2260000000001</v>
      </c>
      <c r="O27" s="5">
        <v>4271.3829999999998</v>
      </c>
      <c r="P27" s="5">
        <v>2054.2579999999998</v>
      </c>
      <c r="Q27" s="5">
        <v>1107.02</v>
      </c>
      <c r="R27" s="5">
        <v>2197.7840000000001</v>
      </c>
      <c r="S27" s="5">
        <v>1859.6310000000001</v>
      </c>
      <c r="T27" s="5">
        <v>1073.7719999999999</v>
      </c>
    </row>
    <row r="28" spans="1:20" x14ac:dyDescent="0.25">
      <c r="A28" s="3" t="s">
        <v>39</v>
      </c>
      <c r="B28" t="s">
        <v>68</v>
      </c>
      <c r="C28" s="4">
        <v>966.33199999999999</v>
      </c>
      <c r="D28" s="5">
        <v>383.88499999999999</v>
      </c>
      <c r="E28" s="5">
        <v>3003.6460000000002</v>
      </c>
      <c r="F28" s="5">
        <v>1582.8430000000001</v>
      </c>
      <c r="G28" s="5">
        <v>1614.4870000000001</v>
      </c>
      <c r="H28" s="5">
        <v>1544.528</v>
      </c>
      <c r="I28" s="5">
        <v>2076.6370000000002</v>
      </c>
      <c r="J28" s="5">
        <v>1832.6690000000001</v>
      </c>
      <c r="K28" s="5">
        <v>166.79400000000001</v>
      </c>
      <c r="L28" s="4">
        <v>966.33199999999999</v>
      </c>
      <c r="M28" s="5">
        <v>383.88499999999999</v>
      </c>
      <c r="N28" s="5">
        <v>3003.6460000000002</v>
      </c>
      <c r="O28" s="5">
        <v>1582.8430000000001</v>
      </c>
      <c r="P28" s="5">
        <v>1614.4870000000001</v>
      </c>
      <c r="Q28" s="5">
        <v>1544.528</v>
      </c>
      <c r="R28" s="5">
        <v>2076.6370000000002</v>
      </c>
      <c r="S28" s="5">
        <v>1832.6690000000001</v>
      </c>
      <c r="T28" s="5">
        <v>166.79400000000001</v>
      </c>
    </row>
    <row r="29" spans="1:20" x14ac:dyDescent="0.25">
      <c r="A29" s="3" t="s">
        <v>39</v>
      </c>
      <c r="B29" t="s">
        <v>69</v>
      </c>
      <c r="C29" s="4">
        <v>849.81700000000001</v>
      </c>
      <c r="D29" s="5">
        <v>0</v>
      </c>
      <c r="E29" s="5">
        <v>67.283000000000001</v>
      </c>
      <c r="F29" s="5">
        <v>0</v>
      </c>
      <c r="G29" s="5">
        <v>56.225000000000001</v>
      </c>
      <c r="H29" s="5">
        <v>0</v>
      </c>
      <c r="I29" s="5">
        <v>0</v>
      </c>
      <c r="J29" s="5">
        <v>298.70800000000003</v>
      </c>
      <c r="K29" s="5">
        <v>0</v>
      </c>
      <c r="L29" s="4">
        <v>909.38499999999999</v>
      </c>
      <c r="M29" s="5">
        <v>0</v>
      </c>
      <c r="N29" s="5">
        <v>67.283000000000001</v>
      </c>
      <c r="O29" s="5">
        <v>0</v>
      </c>
      <c r="P29" s="5">
        <v>56.225000000000001</v>
      </c>
      <c r="Q29" s="5">
        <v>0</v>
      </c>
      <c r="R29" s="5">
        <v>0</v>
      </c>
      <c r="S29" s="5">
        <v>298.70800000000003</v>
      </c>
      <c r="T29" s="5">
        <v>0</v>
      </c>
    </row>
    <row r="30" spans="1:20" x14ac:dyDescent="0.25">
      <c r="A30" s="3" t="s">
        <v>39</v>
      </c>
      <c r="B30" t="s">
        <v>70</v>
      </c>
      <c r="C30" s="4">
        <v>770.14</v>
      </c>
      <c r="D30" s="5">
        <v>571.36</v>
      </c>
      <c r="E30" s="5">
        <v>679.88</v>
      </c>
      <c r="F30" s="5">
        <v>1261.1220000000001</v>
      </c>
      <c r="G30" s="5">
        <v>1300.4359999999999</v>
      </c>
      <c r="H30" s="5">
        <v>954.54300000000001</v>
      </c>
      <c r="I30" s="5">
        <v>2573.125</v>
      </c>
      <c r="J30" s="5">
        <v>4645.5020000000004</v>
      </c>
      <c r="K30" s="5">
        <v>3346.1529999999998</v>
      </c>
      <c r="L30" s="4">
        <v>770.14</v>
      </c>
      <c r="M30" s="5">
        <v>571.36</v>
      </c>
      <c r="N30" s="5">
        <v>679.88</v>
      </c>
      <c r="O30" s="5">
        <v>1261.1220000000001</v>
      </c>
      <c r="P30" s="5">
        <v>1300.4359999999999</v>
      </c>
      <c r="Q30" s="5">
        <v>954.54300000000001</v>
      </c>
      <c r="R30" s="5">
        <v>2573.125</v>
      </c>
      <c r="S30" s="5">
        <v>4645.5020000000004</v>
      </c>
      <c r="T30" s="5">
        <v>3346.1529999999998</v>
      </c>
    </row>
    <row r="31" spans="1:20" x14ac:dyDescent="0.25">
      <c r="A31" s="3" t="s">
        <v>39</v>
      </c>
      <c r="B31" t="s">
        <v>71</v>
      </c>
      <c r="C31" s="4">
        <v>621.05899999999997</v>
      </c>
      <c r="D31" s="5">
        <v>645.29499999999996</v>
      </c>
      <c r="E31" s="5">
        <v>300.40100000000001</v>
      </c>
      <c r="F31" s="5">
        <v>104.91800000000001</v>
      </c>
      <c r="G31" s="5">
        <v>214.02500000000001</v>
      </c>
      <c r="H31" s="5">
        <v>92.486000000000004</v>
      </c>
      <c r="I31" s="5">
        <v>70.674999999999997</v>
      </c>
      <c r="J31" s="5">
        <v>330.39100000000002</v>
      </c>
      <c r="K31" s="5">
        <v>180.667</v>
      </c>
      <c r="L31" s="4">
        <v>621.05899999999997</v>
      </c>
      <c r="M31" s="5">
        <v>645.29499999999996</v>
      </c>
      <c r="N31" s="5">
        <v>300.40100000000001</v>
      </c>
      <c r="O31" s="5">
        <v>104.91800000000001</v>
      </c>
      <c r="P31" s="5">
        <v>214.02500000000001</v>
      </c>
      <c r="Q31" s="5">
        <v>92.486000000000004</v>
      </c>
      <c r="R31" s="5">
        <v>70.674999999999997</v>
      </c>
      <c r="S31" s="5">
        <v>330.39100000000002</v>
      </c>
      <c r="T31" s="5">
        <v>180.667</v>
      </c>
    </row>
    <row r="32" spans="1:20" x14ac:dyDescent="0.25">
      <c r="A32" s="3" t="s">
        <v>39</v>
      </c>
      <c r="B32" t="s">
        <v>72</v>
      </c>
      <c r="C32" s="4">
        <v>520.94799999999998</v>
      </c>
      <c r="D32" s="5">
        <v>273.27100000000002</v>
      </c>
      <c r="E32" s="5">
        <v>330.91699999999997</v>
      </c>
      <c r="F32" s="5">
        <v>221.256</v>
      </c>
      <c r="G32" s="5">
        <v>117.88</v>
      </c>
      <c r="H32" s="5">
        <v>231.24799999999999</v>
      </c>
      <c r="I32" s="5">
        <v>176.87899999999999</v>
      </c>
      <c r="J32" s="5">
        <v>0</v>
      </c>
      <c r="K32" s="5">
        <v>259.24200000000002</v>
      </c>
      <c r="L32" s="4">
        <v>520.94799999999998</v>
      </c>
      <c r="M32" s="5">
        <v>273.27100000000002</v>
      </c>
      <c r="N32" s="5">
        <v>330.91699999999997</v>
      </c>
      <c r="O32" s="5">
        <v>221.256</v>
      </c>
      <c r="P32" s="5">
        <v>117.88</v>
      </c>
      <c r="Q32" s="5">
        <v>231.24799999999999</v>
      </c>
      <c r="R32" s="5">
        <v>176.87899999999999</v>
      </c>
      <c r="S32" s="5">
        <v>0</v>
      </c>
      <c r="T32" s="5">
        <v>259.83300000000003</v>
      </c>
    </row>
    <row r="33" spans="1:20" x14ac:dyDescent="0.25">
      <c r="A33" s="3" t="s">
        <v>39</v>
      </c>
      <c r="B33" t="s">
        <v>73</v>
      </c>
      <c r="C33" s="4">
        <v>475.81400000000002</v>
      </c>
      <c r="D33" s="5">
        <v>433.30900000000003</v>
      </c>
      <c r="E33" s="5">
        <v>239.376</v>
      </c>
      <c r="F33" s="5">
        <v>300.06900000000002</v>
      </c>
      <c r="G33" s="5">
        <v>248.09200000000001</v>
      </c>
      <c r="H33" s="5">
        <v>196.97800000000001</v>
      </c>
      <c r="I33" s="5">
        <v>510.988</v>
      </c>
      <c r="J33" s="5">
        <v>0</v>
      </c>
      <c r="K33" s="5">
        <v>4539.8059999999996</v>
      </c>
      <c r="L33" s="4">
        <v>475.81400000000002</v>
      </c>
      <c r="M33" s="5">
        <v>433.30900000000003</v>
      </c>
      <c r="N33" s="5">
        <v>239.376</v>
      </c>
      <c r="O33" s="5">
        <v>300.06900000000002</v>
      </c>
      <c r="P33" s="5">
        <v>248.09200000000001</v>
      </c>
      <c r="Q33" s="5">
        <v>196.97800000000001</v>
      </c>
      <c r="R33" s="5">
        <v>510.988</v>
      </c>
      <c r="S33" s="5">
        <v>0</v>
      </c>
      <c r="T33" s="5">
        <v>4539.8059999999996</v>
      </c>
    </row>
    <row r="34" spans="1:20" x14ac:dyDescent="0.25">
      <c r="A34" s="3" t="s">
        <v>39</v>
      </c>
      <c r="B34" t="s">
        <v>74</v>
      </c>
      <c r="C34" s="4">
        <v>465.62799999999999</v>
      </c>
      <c r="D34" s="5">
        <v>1010.87</v>
      </c>
      <c r="E34" s="5">
        <v>652.41099999999994</v>
      </c>
      <c r="F34" s="5">
        <v>395.05500000000001</v>
      </c>
      <c r="G34" s="5">
        <v>464.96</v>
      </c>
      <c r="H34" s="5">
        <v>1035.364</v>
      </c>
      <c r="I34" s="5">
        <v>516.36900000000003</v>
      </c>
      <c r="J34" s="5">
        <v>1008.409</v>
      </c>
      <c r="K34" s="5">
        <v>452.9</v>
      </c>
      <c r="L34" s="4">
        <v>465.62799999999999</v>
      </c>
      <c r="M34" s="5">
        <v>1010.87</v>
      </c>
      <c r="N34" s="5">
        <v>652.41099999999994</v>
      </c>
      <c r="O34" s="5">
        <v>395.05500000000001</v>
      </c>
      <c r="P34" s="5">
        <v>464.96</v>
      </c>
      <c r="Q34" s="5">
        <v>1035.364</v>
      </c>
      <c r="R34" s="5">
        <v>516.36900000000003</v>
      </c>
      <c r="S34" s="5">
        <v>1008.409</v>
      </c>
      <c r="T34" s="5">
        <v>452.9</v>
      </c>
    </row>
    <row r="35" spans="1:20" x14ac:dyDescent="0.25">
      <c r="A35" s="3" t="s">
        <v>39</v>
      </c>
      <c r="B35" t="s">
        <v>75</v>
      </c>
      <c r="C35" s="4">
        <v>421</v>
      </c>
      <c r="D35" s="5">
        <v>339.10300000000001</v>
      </c>
      <c r="E35" s="5">
        <v>610.95699999999999</v>
      </c>
      <c r="F35" s="5">
        <v>348.40800000000002</v>
      </c>
      <c r="G35" s="5">
        <v>371.666</v>
      </c>
      <c r="H35" s="5">
        <v>308.33300000000003</v>
      </c>
      <c r="I35" s="5">
        <v>261.91800000000001</v>
      </c>
      <c r="J35" s="5">
        <v>193.68799999999999</v>
      </c>
      <c r="K35" s="5">
        <v>195.11099999999999</v>
      </c>
      <c r="L35" s="4">
        <v>421</v>
      </c>
      <c r="M35" s="5">
        <v>339.10300000000001</v>
      </c>
      <c r="N35" s="5">
        <v>610.95699999999999</v>
      </c>
      <c r="O35" s="5">
        <v>348.40800000000002</v>
      </c>
      <c r="P35" s="5">
        <v>371.666</v>
      </c>
      <c r="Q35" s="5">
        <v>308.33300000000003</v>
      </c>
      <c r="R35" s="5">
        <v>261.91800000000001</v>
      </c>
      <c r="S35" s="5">
        <v>193.68799999999999</v>
      </c>
      <c r="T35" s="5">
        <v>195.11099999999999</v>
      </c>
    </row>
    <row r="36" spans="1:20" x14ac:dyDescent="0.25">
      <c r="A36" s="3" t="s">
        <v>39</v>
      </c>
      <c r="B36" t="s">
        <v>76</v>
      </c>
      <c r="C36" s="4">
        <v>370.63900000000001</v>
      </c>
      <c r="D36" s="5">
        <v>172.17099999999999</v>
      </c>
      <c r="E36" s="5">
        <v>166.84</v>
      </c>
      <c r="F36" s="5">
        <v>238.46700000000001</v>
      </c>
      <c r="G36" s="5">
        <v>144.45599999999999</v>
      </c>
      <c r="H36" s="5">
        <v>223.91499999999999</v>
      </c>
      <c r="I36" s="5">
        <v>1442.1389999999999</v>
      </c>
      <c r="J36" s="5">
        <v>101.996</v>
      </c>
      <c r="K36" s="5">
        <v>84.79</v>
      </c>
      <c r="L36" s="4">
        <v>370.63900000000001</v>
      </c>
      <c r="M36" s="5">
        <v>172.17099999999999</v>
      </c>
      <c r="N36" s="5">
        <v>166.84</v>
      </c>
      <c r="O36" s="5">
        <v>238.46700000000001</v>
      </c>
      <c r="P36" s="5">
        <v>144.45599999999999</v>
      </c>
      <c r="Q36" s="5">
        <v>223.91499999999999</v>
      </c>
      <c r="R36" s="5">
        <v>1442.1389999999999</v>
      </c>
      <c r="S36" s="5">
        <v>101.996</v>
      </c>
      <c r="T36" s="5">
        <v>84.79</v>
      </c>
    </row>
    <row r="37" spans="1:20" x14ac:dyDescent="0.25">
      <c r="A37" s="3" t="s">
        <v>39</v>
      </c>
      <c r="B37" t="s">
        <v>77</v>
      </c>
      <c r="C37" s="4">
        <v>254.69800000000001</v>
      </c>
      <c r="D37" s="5">
        <v>35.756999999999998</v>
      </c>
      <c r="E37" s="5">
        <v>257.01799999999997</v>
      </c>
      <c r="F37" s="5">
        <v>534.60199999999998</v>
      </c>
      <c r="G37" s="5">
        <v>882.846</v>
      </c>
      <c r="H37" s="5">
        <v>2126.973</v>
      </c>
      <c r="I37" s="5">
        <v>1679.9459999999999</v>
      </c>
      <c r="J37" s="5">
        <v>0</v>
      </c>
      <c r="K37" s="5">
        <v>1678.4939999999999</v>
      </c>
      <c r="L37" s="4">
        <v>254.69800000000001</v>
      </c>
      <c r="M37" s="5">
        <v>35.756999999999998</v>
      </c>
      <c r="N37" s="5">
        <v>257.01799999999997</v>
      </c>
      <c r="O37" s="5">
        <v>534.60199999999998</v>
      </c>
      <c r="P37" s="5">
        <v>882.846</v>
      </c>
      <c r="Q37" s="5">
        <v>2126.973</v>
      </c>
      <c r="R37" s="5">
        <v>1679.9459999999999</v>
      </c>
      <c r="S37" s="5">
        <v>0</v>
      </c>
      <c r="T37" s="5">
        <v>1678.4939999999999</v>
      </c>
    </row>
    <row r="38" spans="1:20" x14ac:dyDescent="0.25">
      <c r="A38" s="3" t="s">
        <v>39</v>
      </c>
      <c r="B38" t="s">
        <v>78</v>
      </c>
      <c r="C38" s="4">
        <v>245.61199999999999</v>
      </c>
      <c r="D38" s="5">
        <v>420.9</v>
      </c>
      <c r="E38" s="5">
        <v>409.90100000000001</v>
      </c>
      <c r="F38" s="5">
        <v>431.48</v>
      </c>
      <c r="G38" s="5">
        <v>293.27600000000001</v>
      </c>
      <c r="H38" s="5">
        <v>283.33800000000002</v>
      </c>
      <c r="I38" s="5">
        <v>322.80900000000003</v>
      </c>
      <c r="J38" s="5">
        <v>396.27499999999998</v>
      </c>
      <c r="K38" s="5">
        <v>310.16300000000001</v>
      </c>
      <c r="L38" s="4">
        <v>245.61199999999999</v>
      </c>
      <c r="M38" s="5">
        <v>420.9</v>
      </c>
      <c r="N38" s="5">
        <v>409.90100000000001</v>
      </c>
      <c r="O38" s="5">
        <v>431.48</v>
      </c>
      <c r="P38" s="5">
        <v>295.86900000000003</v>
      </c>
      <c r="Q38" s="5">
        <v>283.33800000000002</v>
      </c>
      <c r="R38" s="5">
        <v>322.80900000000003</v>
      </c>
      <c r="S38" s="5">
        <v>396.27499999999998</v>
      </c>
      <c r="T38" s="5">
        <v>310.66300000000001</v>
      </c>
    </row>
    <row r="39" spans="1:20" x14ac:dyDescent="0.25">
      <c r="A39" s="3" t="s">
        <v>39</v>
      </c>
      <c r="B39" t="s">
        <v>79</v>
      </c>
      <c r="C39" s="4">
        <v>136.68199999999999</v>
      </c>
      <c r="D39" s="5">
        <v>0</v>
      </c>
      <c r="E39" s="5">
        <v>0</v>
      </c>
      <c r="F39" s="5">
        <v>0</v>
      </c>
      <c r="G39" s="5">
        <v>0</v>
      </c>
      <c r="H39" s="5">
        <v>0</v>
      </c>
      <c r="I39" s="5">
        <v>0</v>
      </c>
      <c r="J39" s="5">
        <v>0</v>
      </c>
      <c r="K39" s="5">
        <v>0</v>
      </c>
      <c r="L39" s="4">
        <v>136.68199999999999</v>
      </c>
      <c r="M39" s="5">
        <v>0</v>
      </c>
      <c r="N39" s="5">
        <v>0</v>
      </c>
      <c r="O39" s="5">
        <v>0</v>
      </c>
      <c r="P39" s="5">
        <v>0</v>
      </c>
      <c r="Q39" s="5">
        <v>0</v>
      </c>
      <c r="R39" s="5">
        <v>0</v>
      </c>
      <c r="S39" s="5">
        <v>0</v>
      </c>
      <c r="T39" s="5">
        <v>0</v>
      </c>
    </row>
    <row r="40" spans="1:20" x14ac:dyDescent="0.25">
      <c r="A40" s="3" t="s">
        <v>39</v>
      </c>
      <c r="B40" t="s">
        <v>80</v>
      </c>
      <c r="C40" s="4">
        <v>131.55199999999999</v>
      </c>
      <c r="D40" s="5">
        <v>415.72199999999998</v>
      </c>
      <c r="E40" s="5">
        <v>173.65100000000001</v>
      </c>
      <c r="F40" s="5">
        <v>1232.7239999999999</v>
      </c>
      <c r="G40" s="5">
        <v>73.528000000000006</v>
      </c>
      <c r="H40" s="5">
        <v>468.84399999999999</v>
      </c>
      <c r="I40" s="5">
        <v>1241.96</v>
      </c>
      <c r="J40" s="5">
        <v>156.363</v>
      </c>
      <c r="K40" s="5">
        <v>89.977000000000004</v>
      </c>
      <c r="L40" s="4">
        <v>131.55199999999999</v>
      </c>
      <c r="M40" s="5">
        <v>415.72199999999998</v>
      </c>
      <c r="N40" s="5">
        <v>173.65100000000001</v>
      </c>
      <c r="O40" s="5">
        <v>1232.7239999999999</v>
      </c>
      <c r="P40" s="5">
        <v>197.36699999999999</v>
      </c>
      <c r="Q40" s="5">
        <v>468.84399999999999</v>
      </c>
      <c r="R40" s="5">
        <v>1241.96</v>
      </c>
      <c r="S40" s="5">
        <v>156.363</v>
      </c>
      <c r="T40" s="5">
        <v>89.977000000000004</v>
      </c>
    </row>
    <row r="41" spans="1:20" x14ac:dyDescent="0.25">
      <c r="A41" s="3" t="s">
        <v>39</v>
      </c>
      <c r="B41" t="s">
        <v>81</v>
      </c>
      <c r="C41" s="4">
        <v>125.68</v>
      </c>
      <c r="D41" s="5">
        <v>146.89500000000001</v>
      </c>
      <c r="E41" s="5">
        <v>388.41300000000001</v>
      </c>
      <c r="F41" s="5">
        <v>397.21199999999999</v>
      </c>
      <c r="G41" s="5">
        <v>49.08</v>
      </c>
      <c r="H41" s="5">
        <v>20.879000000000001</v>
      </c>
      <c r="I41" s="5">
        <v>0</v>
      </c>
      <c r="J41" s="5">
        <v>98.438999999999993</v>
      </c>
      <c r="K41" s="5">
        <v>0</v>
      </c>
      <c r="L41" s="4">
        <v>125.68</v>
      </c>
      <c r="M41" s="5">
        <v>146.89500000000001</v>
      </c>
      <c r="N41" s="5">
        <v>388.41300000000001</v>
      </c>
      <c r="O41" s="5">
        <v>397.21199999999999</v>
      </c>
      <c r="P41" s="5">
        <v>49.08</v>
      </c>
      <c r="Q41" s="5">
        <v>20.879000000000001</v>
      </c>
      <c r="R41" s="5">
        <v>0</v>
      </c>
      <c r="S41" s="5">
        <v>98.438999999999993</v>
      </c>
      <c r="T41" s="5">
        <v>0</v>
      </c>
    </row>
    <row r="42" spans="1:20" x14ac:dyDescent="0.25">
      <c r="A42" s="3" t="s">
        <v>39</v>
      </c>
      <c r="B42" t="s">
        <v>82</v>
      </c>
      <c r="C42" s="4">
        <v>116.063</v>
      </c>
      <c r="D42" s="5">
        <v>0</v>
      </c>
      <c r="E42" s="5">
        <v>0</v>
      </c>
      <c r="F42" s="5">
        <v>0</v>
      </c>
      <c r="G42" s="5">
        <v>0</v>
      </c>
      <c r="H42" s="5">
        <v>0</v>
      </c>
      <c r="I42" s="5">
        <v>0</v>
      </c>
      <c r="J42" s="5">
        <v>0</v>
      </c>
      <c r="K42" s="5">
        <v>0</v>
      </c>
      <c r="L42" s="4">
        <v>116.063</v>
      </c>
      <c r="M42" s="5">
        <v>0</v>
      </c>
      <c r="N42" s="5">
        <v>0</v>
      </c>
      <c r="O42" s="5">
        <v>0</v>
      </c>
      <c r="P42" s="5">
        <v>0</v>
      </c>
      <c r="Q42" s="5">
        <v>0</v>
      </c>
      <c r="R42" s="5">
        <v>0</v>
      </c>
      <c r="S42" s="5">
        <v>0</v>
      </c>
      <c r="T42" s="5">
        <v>0</v>
      </c>
    </row>
    <row r="43" spans="1:20" x14ac:dyDescent="0.25">
      <c r="A43" s="3" t="s">
        <v>39</v>
      </c>
      <c r="B43" t="s">
        <v>83</v>
      </c>
      <c r="C43" s="4">
        <v>115.30800000000001</v>
      </c>
      <c r="D43" s="5">
        <v>142.29400000000001</v>
      </c>
      <c r="E43" s="5">
        <v>409.89499999999998</v>
      </c>
      <c r="F43" s="5">
        <v>3744.9690000000001</v>
      </c>
      <c r="G43" s="5">
        <v>2412.2190000000001</v>
      </c>
      <c r="H43" s="5">
        <v>99.436999999999998</v>
      </c>
      <c r="I43" s="5">
        <v>1583.9590000000001</v>
      </c>
      <c r="J43" s="5">
        <v>1663.21</v>
      </c>
      <c r="K43" s="5">
        <v>53.786999999999999</v>
      </c>
      <c r="L43" s="4">
        <v>115.30800000000001</v>
      </c>
      <c r="M43" s="5">
        <v>142.29400000000001</v>
      </c>
      <c r="N43" s="5">
        <v>409.89499999999998</v>
      </c>
      <c r="O43" s="5">
        <v>3744.9690000000001</v>
      </c>
      <c r="P43" s="5">
        <v>2412.2190000000001</v>
      </c>
      <c r="Q43" s="5">
        <v>99.606999999999999</v>
      </c>
      <c r="R43" s="5">
        <v>1583.9590000000001</v>
      </c>
      <c r="S43" s="5">
        <v>1663.21</v>
      </c>
      <c r="T43" s="5">
        <v>53.786999999999999</v>
      </c>
    </row>
    <row r="44" spans="1:20" x14ac:dyDescent="0.25">
      <c r="A44" s="3" t="s">
        <v>39</v>
      </c>
      <c r="B44" t="s">
        <v>84</v>
      </c>
      <c r="C44" s="4">
        <v>111.102</v>
      </c>
      <c r="D44" s="5">
        <v>304.36700000000002</v>
      </c>
      <c r="E44" s="5">
        <v>473.26299999999998</v>
      </c>
      <c r="F44" s="5">
        <v>243.86199999999999</v>
      </c>
      <c r="G44" s="5">
        <v>161.37100000000001</v>
      </c>
      <c r="H44" s="5">
        <v>71.456999999999994</v>
      </c>
      <c r="I44" s="5">
        <v>0</v>
      </c>
      <c r="J44" s="5">
        <v>0</v>
      </c>
      <c r="K44" s="5">
        <v>0</v>
      </c>
      <c r="L44" s="4">
        <v>111.102</v>
      </c>
      <c r="M44" s="5">
        <v>304.36700000000002</v>
      </c>
      <c r="N44" s="5">
        <v>473.26299999999998</v>
      </c>
      <c r="O44" s="5">
        <v>243.86199999999999</v>
      </c>
      <c r="P44" s="5">
        <v>161.37100000000001</v>
      </c>
      <c r="Q44" s="5">
        <v>71.456999999999994</v>
      </c>
      <c r="R44" s="5">
        <v>0</v>
      </c>
      <c r="S44" s="5">
        <v>0</v>
      </c>
      <c r="T44" s="5">
        <v>0</v>
      </c>
    </row>
    <row r="45" spans="1:20" x14ac:dyDescent="0.25">
      <c r="A45" s="3" t="s">
        <v>39</v>
      </c>
      <c r="B45" t="s">
        <v>85</v>
      </c>
      <c r="C45" s="4">
        <v>95.754999999999995</v>
      </c>
      <c r="D45" s="5">
        <v>121.685</v>
      </c>
      <c r="E45" s="5">
        <v>175.27699999999999</v>
      </c>
      <c r="F45" s="5">
        <v>189.08199999999999</v>
      </c>
      <c r="G45" s="5">
        <v>471.57100000000003</v>
      </c>
      <c r="H45" s="5">
        <v>111.726</v>
      </c>
      <c r="I45" s="5">
        <v>0</v>
      </c>
      <c r="J45" s="5">
        <v>0</v>
      </c>
      <c r="K45" s="5">
        <v>0</v>
      </c>
      <c r="L45" s="4">
        <v>95.754999999999995</v>
      </c>
      <c r="M45" s="5">
        <v>121.685</v>
      </c>
      <c r="N45" s="5">
        <v>175.27699999999999</v>
      </c>
      <c r="O45" s="5">
        <v>189.08199999999999</v>
      </c>
      <c r="P45" s="5">
        <v>471.57100000000003</v>
      </c>
      <c r="Q45" s="5">
        <v>111.726</v>
      </c>
      <c r="R45" s="5">
        <v>0</v>
      </c>
      <c r="S45" s="5">
        <v>0</v>
      </c>
      <c r="T45" s="5">
        <v>0</v>
      </c>
    </row>
    <row r="46" spans="1:20" x14ac:dyDescent="0.25">
      <c r="A46" s="3" t="s">
        <v>39</v>
      </c>
      <c r="B46" t="s">
        <v>86</v>
      </c>
      <c r="C46" s="4">
        <v>83.724999999999994</v>
      </c>
      <c r="D46" s="5">
        <v>20.283999999999999</v>
      </c>
      <c r="E46" s="5">
        <v>0</v>
      </c>
      <c r="F46" s="5">
        <v>0</v>
      </c>
      <c r="G46" s="5">
        <v>7.8380000000000001</v>
      </c>
      <c r="H46" s="5">
        <v>0</v>
      </c>
      <c r="I46" s="5">
        <v>0</v>
      </c>
      <c r="J46" s="5">
        <v>0</v>
      </c>
      <c r="K46" s="5">
        <v>0</v>
      </c>
      <c r="L46" s="4">
        <v>83.724999999999994</v>
      </c>
      <c r="M46" s="5">
        <v>20.283999999999999</v>
      </c>
      <c r="N46" s="5">
        <v>0</v>
      </c>
      <c r="O46" s="5">
        <v>0</v>
      </c>
      <c r="P46" s="5">
        <v>7.8380000000000001</v>
      </c>
      <c r="Q46" s="5">
        <v>0</v>
      </c>
      <c r="R46" s="5">
        <v>0</v>
      </c>
      <c r="S46" s="5">
        <v>0</v>
      </c>
      <c r="T46" s="5">
        <v>0</v>
      </c>
    </row>
    <row r="47" spans="1:20" x14ac:dyDescent="0.25">
      <c r="A47" s="3" t="s">
        <v>39</v>
      </c>
      <c r="B47" t="s">
        <v>87</v>
      </c>
      <c r="C47" s="4">
        <v>78.488</v>
      </c>
      <c r="D47" s="5">
        <v>375.49900000000002</v>
      </c>
      <c r="E47" s="5">
        <v>133.435</v>
      </c>
      <c r="F47" s="5">
        <v>151.97399999999999</v>
      </c>
      <c r="G47" s="5">
        <v>243.03399999999999</v>
      </c>
      <c r="H47" s="5">
        <v>90.218000000000004</v>
      </c>
      <c r="I47" s="5">
        <v>109.63800000000001</v>
      </c>
      <c r="J47" s="5">
        <v>39.75</v>
      </c>
      <c r="K47" s="5">
        <v>41.834000000000003</v>
      </c>
      <c r="L47" s="4">
        <v>78.488</v>
      </c>
      <c r="M47" s="5">
        <v>375.49900000000002</v>
      </c>
      <c r="N47" s="5">
        <v>133.435</v>
      </c>
      <c r="O47" s="5">
        <v>151.97399999999999</v>
      </c>
      <c r="P47" s="5">
        <v>243.03399999999999</v>
      </c>
      <c r="Q47" s="5">
        <v>90.218000000000004</v>
      </c>
      <c r="R47" s="5">
        <v>109.63800000000001</v>
      </c>
      <c r="S47" s="5">
        <v>39.75</v>
      </c>
      <c r="T47" s="5">
        <v>41.834000000000003</v>
      </c>
    </row>
    <row r="48" spans="1:20" x14ac:dyDescent="0.25">
      <c r="A48" s="3" t="s">
        <v>39</v>
      </c>
      <c r="B48" t="s">
        <v>88</v>
      </c>
      <c r="C48" s="4">
        <v>45.709000000000003</v>
      </c>
      <c r="D48" s="5">
        <v>17.698</v>
      </c>
      <c r="E48" s="5">
        <v>436.23399999999998</v>
      </c>
      <c r="F48" s="5">
        <v>56.851999999999997</v>
      </c>
      <c r="G48" s="5">
        <v>186.084</v>
      </c>
      <c r="H48" s="5">
        <v>40.988999999999997</v>
      </c>
      <c r="I48" s="5">
        <v>0</v>
      </c>
      <c r="J48" s="5">
        <v>201.023</v>
      </c>
      <c r="K48" s="5">
        <v>0</v>
      </c>
      <c r="L48" s="4">
        <v>45.709000000000003</v>
      </c>
      <c r="M48" s="5">
        <v>17.698</v>
      </c>
      <c r="N48" s="5">
        <v>436.23399999999998</v>
      </c>
      <c r="O48" s="5">
        <v>56.851999999999997</v>
      </c>
      <c r="P48" s="5">
        <v>186.084</v>
      </c>
      <c r="Q48" s="5">
        <v>40.988999999999997</v>
      </c>
      <c r="R48" s="5">
        <v>0</v>
      </c>
      <c r="S48" s="5">
        <v>201.023</v>
      </c>
      <c r="T48" s="5">
        <v>0</v>
      </c>
    </row>
    <row r="49" spans="1:20" x14ac:dyDescent="0.25">
      <c r="A49" s="3" t="s">
        <v>39</v>
      </c>
      <c r="B49" t="s">
        <v>89</v>
      </c>
      <c r="C49" s="4">
        <v>25.32</v>
      </c>
      <c r="D49" s="5">
        <v>0</v>
      </c>
      <c r="E49" s="5">
        <v>0</v>
      </c>
      <c r="F49" s="5">
        <v>0</v>
      </c>
      <c r="G49" s="5">
        <v>0</v>
      </c>
      <c r="H49" s="5">
        <v>0</v>
      </c>
      <c r="I49" s="5">
        <v>0</v>
      </c>
      <c r="J49" s="5">
        <v>0</v>
      </c>
      <c r="K49" s="5">
        <v>0</v>
      </c>
      <c r="L49" s="4">
        <v>25.32</v>
      </c>
      <c r="M49" s="5">
        <v>0</v>
      </c>
      <c r="N49" s="5">
        <v>0</v>
      </c>
      <c r="O49" s="5">
        <v>0</v>
      </c>
      <c r="P49" s="5">
        <v>0</v>
      </c>
      <c r="Q49" s="5">
        <v>0</v>
      </c>
      <c r="R49" s="5">
        <v>0</v>
      </c>
      <c r="S49" s="5">
        <v>0</v>
      </c>
      <c r="T49" s="5">
        <v>0</v>
      </c>
    </row>
    <row r="50" spans="1:20" x14ac:dyDescent="0.25">
      <c r="A50" s="3" t="s">
        <v>39</v>
      </c>
      <c r="B50" t="s">
        <v>90</v>
      </c>
      <c r="C50" s="4">
        <v>18.134</v>
      </c>
      <c r="D50" s="5">
        <v>0</v>
      </c>
      <c r="E50" s="5">
        <v>13.669</v>
      </c>
      <c r="F50" s="5">
        <v>0</v>
      </c>
      <c r="G50" s="5">
        <v>0</v>
      </c>
      <c r="H50" s="5">
        <v>36.232999999999997</v>
      </c>
      <c r="I50" s="5">
        <v>33.502000000000002</v>
      </c>
      <c r="J50" s="5">
        <v>0</v>
      </c>
      <c r="K50" s="5">
        <v>0</v>
      </c>
      <c r="L50" s="4">
        <v>18.134</v>
      </c>
      <c r="M50" s="5">
        <v>0</v>
      </c>
      <c r="N50" s="5">
        <v>13.669</v>
      </c>
      <c r="O50" s="5">
        <v>0</v>
      </c>
      <c r="P50" s="5">
        <v>0</v>
      </c>
      <c r="Q50" s="5">
        <v>36.232999999999997</v>
      </c>
      <c r="R50" s="5">
        <v>33.502000000000002</v>
      </c>
      <c r="S50" s="5">
        <v>0</v>
      </c>
      <c r="T50" s="5">
        <v>0</v>
      </c>
    </row>
    <row r="51" spans="1:20" x14ac:dyDescent="0.25">
      <c r="A51" s="3" t="s">
        <v>39</v>
      </c>
      <c r="B51" t="s">
        <v>91</v>
      </c>
      <c r="C51" s="4">
        <v>14.882999999999999</v>
      </c>
      <c r="D51" s="5">
        <v>126.929</v>
      </c>
      <c r="E51" s="5">
        <v>526.779</v>
      </c>
      <c r="F51" s="5">
        <v>176.15199999999999</v>
      </c>
      <c r="G51" s="5">
        <v>159.98500000000001</v>
      </c>
      <c r="H51" s="5">
        <v>132.27600000000001</v>
      </c>
      <c r="I51" s="5">
        <v>47.898000000000003</v>
      </c>
      <c r="J51" s="5">
        <v>28.449000000000002</v>
      </c>
      <c r="K51" s="5">
        <v>3479.8420000000001</v>
      </c>
      <c r="L51" s="4">
        <v>14.882999999999999</v>
      </c>
      <c r="M51" s="5">
        <v>126.929</v>
      </c>
      <c r="N51" s="5">
        <v>526.779</v>
      </c>
      <c r="O51" s="5">
        <v>176.15199999999999</v>
      </c>
      <c r="P51" s="5">
        <v>159.98500000000001</v>
      </c>
      <c r="Q51" s="5">
        <v>132.27600000000001</v>
      </c>
      <c r="R51" s="5">
        <v>47.898000000000003</v>
      </c>
      <c r="S51" s="5">
        <v>28.449000000000002</v>
      </c>
      <c r="T51" s="5">
        <v>3479.8420000000001</v>
      </c>
    </row>
    <row r="52" spans="1:20" x14ac:dyDescent="0.25">
      <c r="A52" s="3" t="s">
        <v>92</v>
      </c>
      <c r="B52" t="s">
        <v>93</v>
      </c>
      <c r="C52" s="4">
        <v>1254101.0260000001</v>
      </c>
      <c r="D52" s="5">
        <v>1677210.6029999999</v>
      </c>
      <c r="E52" s="5">
        <v>1868694.8540000001</v>
      </c>
      <c r="F52" s="5">
        <v>1791529.5390000001</v>
      </c>
      <c r="G52" s="5">
        <v>1571009.392</v>
      </c>
      <c r="H52" s="5">
        <v>1845723.037</v>
      </c>
      <c r="I52" s="5">
        <v>2220051.2280000001</v>
      </c>
      <c r="J52" s="5">
        <v>1967078.632</v>
      </c>
      <c r="K52" s="5">
        <v>2327172.1239999998</v>
      </c>
      <c r="L52" s="4">
        <v>1769375.1740000001</v>
      </c>
      <c r="M52" s="5">
        <v>1941182.6780000001</v>
      </c>
      <c r="N52" s="5">
        <v>2125539.7250000001</v>
      </c>
      <c r="O52" s="5">
        <v>1982130.1780000001</v>
      </c>
      <c r="P52" s="5">
        <v>2002920.192</v>
      </c>
      <c r="Q52" s="5">
        <v>2345274.0010000002</v>
      </c>
      <c r="R52" s="5">
        <v>2927220.085</v>
      </c>
      <c r="S52" s="5">
        <v>2280773.088</v>
      </c>
      <c r="T52" s="5">
        <v>3236346.3539999998</v>
      </c>
    </row>
    <row r="53" spans="1:20" x14ac:dyDescent="0.25">
      <c r="A53" s="3" t="s">
        <v>92</v>
      </c>
      <c r="B53" t="s">
        <v>94</v>
      </c>
      <c r="C53" s="4">
        <v>144656.905</v>
      </c>
      <c r="D53" s="5">
        <v>115266.065</v>
      </c>
      <c r="E53" s="5">
        <v>71876.532000000007</v>
      </c>
      <c r="F53" s="5">
        <v>67375.637000000002</v>
      </c>
      <c r="G53" s="5">
        <v>87694.767000000007</v>
      </c>
      <c r="H53" s="5">
        <v>56627.379000000001</v>
      </c>
      <c r="I53" s="5">
        <v>70883.391000000003</v>
      </c>
      <c r="J53" s="5">
        <v>71887.67</v>
      </c>
      <c r="K53" s="5">
        <v>85957.19</v>
      </c>
      <c r="L53" s="4">
        <v>144756.997</v>
      </c>
      <c r="M53" s="5">
        <v>115429.12699999999</v>
      </c>
      <c r="N53" s="5">
        <v>72049.66</v>
      </c>
      <c r="O53" s="5">
        <v>68666.683999999994</v>
      </c>
      <c r="P53" s="5">
        <v>87695.312000000005</v>
      </c>
      <c r="Q53" s="5">
        <v>56714.385000000002</v>
      </c>
      <c r="R53" s="5">
        <v>71150.429000000004</v>
      </c>
      <c r="S53" s="5">
        <v>71988.634999999995</v>
      </c>
      <c r="T53" s="5">
        <v>85994.107999999993</v>
      </c>
    </row>
    <row r="54" spans="1:20" x14ac:dyDescent="0.25">
      <c r="A54" s="3" t="s">
        <v>92</v>
      </c>
      <c r="B54" t="s">
        <v>95</v>
      </c>
      <c r="C54" s="4">
        <v>102740.193</v>
      </c>
      <c r="D54" s="5">
        <v>116361.66</v>
      </c>
      <c r="E54" s="5">
        <v>118951.77</v>
      </c>
      <c r="F54" s="5">
        <v>120120.535</v>
      </c>
      <c r="G54" s="5">
        <v>111180.804</v>
      </c>
      <c r="H54" s="5">
        <v>137467.17499999999</v>
      </c>
      <c r="I54" s="5">
        <v>153044.22500000001</v>
      </c>
      <c r="J54" s="5">
        <v>128000.611</v>
      </c>
      <c r="K54" s="5">
        <v>135302.80499999999</v>
      </c>
      <c r="L54" s="4">
        <v>107625.151</v>
      </c>
      <c r="M54" s="5">
        <v>117756.711</v>
      </c>
      <c r="N54" s="5">
        <v>120329.859</v>
      </c>
      <c r="O54" s="5">
        <v>121235.211</v>
      </c>
      <c r="P54" s="5">
        <v>115076.461</v>
      </c>
      <c r="Q54" s="5">
        <v>140133.538</v>
      </c>
      <c r="R54" s="5">
        <v>189549.37</v>
      </c>
      <c r="S54" s="5">
        <v>128925.43700000001</v>
      </c>
      <c r="T54" s="5">
        <v>146842.48199999999</v>
      </c>
    </row>
    <row r="55" spans="1:20" x14ac:dyDescent="0.25">
      <c r="A55" s="3" t="s">
        <v>92</v>
      </c>
      <c r="B55" t="s">
        <v>96</v>
      </c>
      <c r="C55" s="4">
        <v>73848.032000000007</v>
      </c>
      <c r="D55" s="5">
        <v>58930.991000000002</v>
      </c>
      <c r="E55" s="5">
        <v>72828.157999999996</v>
      </c>
      <c r="F55" s="5">
        <v>58862.785000000003</v>
      </c>
      <c r="G55" s="5">
        <v>60699.042999999998</v>
      </c>
      <c r="H55" s="5">
        <v>73062.785999999993</v>
      </c>
      <c r="I55" s="5">
        <v>108784.935</v>
      </c>
      <c r="J55" s="5">
        <v>124332.565</v>
      </c>
      <c r="K55" s="5">
        <v>78541.021999999997</v>
      </c>
      <c r="L55" s="4">
        <v>74120.010999999999</v>
      </c>
      <c r="M55" s="5">
        <v>59257.536</v>
      </c>
      <c r="N55" s="5">
        <v>72928.009000000005</v>
      </c>
      <c r="O55" s="5">
        <v>59022.879000000001</v>
      </c>
      <c r="P55" s="5">
        <v>62415.724999999999</v>
      </c>
      <c r="Q55" s="5">
        <v>73256.887000000002</v>
      </c>
      <c r="R55" s="5">
        <v>108938.02800000001</v>
      </c>
      <c r="S55" s="5">
        <v>124363.90399999999</v>
      </c>
      <c r="T55" s="5">
        <v>78587.072</v>
      </c>
    </row>
    <row r="56" spans="1:20" x14ac:dyDescent="0.25">
      <c r="A56" s="3" t="s">
        <v>92</v>
      </c>
      <c r="B56" t="s">
        <v>97</v>
      </c>
      <c r="C56" s="4">
        <v>37395.347000000002</v>
      </c>
      <c r="D56" s="5">
        <v>32897.226999999999</v>
      </c>
      <c r="E56" s="5">
        <v>28048.309000000001</v>
      </c>
      <c r="F56" s="5">
        <v>17382.175999999999</v>
      </c>
      <c r="G56" s="5">
        <v>18068.287</v>
      </c>
      <c r="H56" s="5">
        <v>16487.743999999999</v>
      </c>
      <c r="I56" s="5">
        <v>11789.227999999999</v>
      </c>
      <c r="J56" s="5">
        <v>15263.699000000001</v>
      </c>
      <c r="K56" s="5">
        <v>15620.535</v>
      </c>
      <c r="L56" s="4">
        <v>37515.512000000002</v>
      </c>
      <c r="M56" s="5">
        <v>32957.616999999998</v>
      </c>
      <c r="N56" s="5">
        <v>28048.309000000001</v>
      </c>
      <c r="O56" s="5">
        <v>17385.938999999998</v>
      </c>
      <c r="P56" s="5">
        <v>18092.224999999999</v>
      </c>
      <c r="Q56" s="5">
        <v>16547.066999999999</v>
      </c>
      <c r="R56" s="5">
        <v>11803.002</v>
      </c>
      <c r="S56" s="5">
        <v>15311.028</v>
      </c>
      <c r="T56" s="5">
        <v>15647.43</v>
      </c>
    </row>
    <row r="57" spans="1:20" x14ac:dyDescent="0.25">
      <c r="A57" s="3" t="s">
        <v>92</v>
      </c>
      <c r="B57" t="s">
        <v>98</v>
      </c>
      <c r="C57" s="4">
        <v>26370.562999999998</v>
      </c>
      <c r="D57" s="5">
        <v>14614.608</v>
      </c>
      <c r="E57" s="5">
        <v>22664.726999999999</v>
      </c>
      <c r="F57" s="5">
        <v>15315.347</v>
      </c>
      <c r="G57" s="5">
        <v>24329.957999999999</v>
      </c>
      <c r="H57" s="5">
        <v>15752.768</v>
      </c>
      <c r="I57" s="5">
        <v>22226.053</v>
      </c>
      <c r="J57" s="5">
        <v>15502.98</v>
      </c>
      <c r="K57" s="5">
        <v>11033.856</v>
      </c>
      <c r="L57" s="4">
        <v>26392.368999999999</v>
      </c>
      <c r="M57" s="5">
        <v>14624.84</v>
      </c>
      <c r="N57" s="5">
        <v>22703.26</v>
      </c>
      <c r="O57" s="5">
        <v>15369.561</v>
      </c>
      <c r="P57" s="5">
        <v>24329.957999999999</v>
      </c>
      <c r="Q57" s="5">
        <v>15867.870999999999</v>
      </c>
      <c r="R57" s="5">
        <v>22405.186000000002</v>
      </c>
      <c r="S57" s="5">
        <v>15733.438</v>
      </c>
      <c r="T57" s="5">
        <v>11064.368</v>
      </c>
    </row>
    <row r="58" spans="1:20" x14ac:dyDescent="0.25">
      <c r="A58" s="3" t="s">
        <v>92</v>
      </c>
      <c r="B58" t="s">
        <v>99</v>
      </c>
      <c r="C58" s="4">
        <v>16325.722</v>
      </c>
      <c r="D58" s="5">
        <v>27455.061000000002</v>
      </c>
      <c r="E58" s="5">
        <v>28142.242999999999</v>
      </c>
      <c r="F58" s="5">
        <v>10275.416999999999</v>
      </c>
      <c r="G58" s="5">
        <v>2532.585</v>
      </c>
      <c r="H58" s="5">
        <v>17107.350999999999</v>
      </c>
      <c r="I58" s="5">
        <v>45787.627</v>
      </c>
      <c r="J58" s="5">
        <v>5178.018</v>
      </c>
      <c r="K58" s="5">
        <v>8235.0010000000002</v>
      </c>
      <c r="L58" s="4">
        <v>16325.722</v>
      </c>
      <c r="M58" s="5">
        <v>27455.061000000002</v>
      </c>
      <c r="N58" s="5">
        <v>28142.242999999999</v>
      </c>
      <c r="O58" s="5">
        <v>10275.416999999999</v>
      </c>
      <c r="P58" s="5">
        <v>2532.585</v>
      </c>
      <c r="Q58" s="5">
        <v>17107.350999999999</v>
      </c>
      <c r="R58" s="5">
        <v>45787.627</v>
      </c>
      <c r="S58" s="5">
        <v>5178.018</v>
      </c>
      <c r="T58" s="5">
        <v>8235.0010000000002</v>
      </c>
    </row>
    <row r="59" spans="1:20" x14ac:dyDescent="0.25">
      <c r="A59" s="3" t="s">
        <v>92</v>
      </c>
      <c r="B59" t="s">
        <v>100</v>
      </c>
      <c r="C59" s="4">
        <v>15254.168</v>
      </c>
      <c r="D59" s="5">
        <v>16686.088</v>
      </c>
      <c r="E59" s="5">
        <v>15013.880999999999</v>
      </c>
      <c r="F59" s="5">
        <v>12224.146000000001</v>
      </c>
      <c r="G59" s="5">
        <v>12675.967000000001</v>
      </c>
      <c r="H59" s="5">
        <v>19857.059000000001</v>
      </c>
      <c r="I59" s="5">
        <v>17781.856</v>
      </c>
      <c r="J59" s="5">
        <v>18796.934000000001</v>
      </c>
      <c r="K59" s="5">
        <v>7875.3230000000003</v>
      </c>
      <c r="L59" s="4">
        <v>15316.48</v>
      </c>
      <c r="M59" s="5">
        <v>16686.245999999999</v>
      </c>
      <c r="N59" s="5">
        <v>15017.547</v>
      </c>
      <c r="O59" s="5">
        <v>12230.661</v>
      </c>
      <c r="P59" s="5">
        <v>12729.637000000001</v>
      </c>
      <c r="Q59" s="5">
        <v>19857.059000000001</v>
      </c>
      <c r="R59" s="5">
        <v>18006.535</v>
      </c>
      <c r="S59" s="5">
        <v>18798.638999999999</v>
      </c>
      <c r="T59" s="5">
        <v>7876.9430000000002</v>
      </c>
    </row>
    <row r="60" spans="1:20" x14ac:dyDescent="0.25">
      <c r="A60" s="3" t="s">
        <v>92</v>
      </c>
      <c r="B60" t="s">
        <v>101</v>
      </c>
      <c r="C60" s="4">
        <v>8497.4920000000002</v>
      </c>
      <c r="D60" s="5">
        <v>13849.784</v>
      </c>
      <c r="E60" s="5">
        <v>10388.975</v>
      </c>
      <c r="F60" s="5">
        <v>11474.918</v>
      </c>
      <c r="G60" s="5">
        <v>6043.5249999999996</v>
      </c>
      <c r="H60" s="5">
        <v>5083.4589999999998</v>
      </c>
      <c r="I60" s="5">
        <v>4899.6639999999998</v>
      </c>
      <c r="J60" s="5">
        <v>5342.5039999999999</v>
      </c>
      <c r="K60" s="5">
        <v>3450.9920000000002</v>
      </c>
      <c r="L60" s="4">
        <v>8522.3880000000008</v>
      </c>
      <c r="M60" s="5">
        <v>13869.502</v>
      </c>
      <c r="N60" s="5">
        <v>10490.851000000001</v>
      </c>
      <c r="O60" s="5">
        <v>11479.687</v>
      </c>
      <c r="P60" s="5">
        <v>6047.7749999999996</v>
      </c>
      <c r="Q60" s="5">
        <v>5084.9759999999997</v>
      </c>
      <c r="R60" s="5">
        <v>4901.0069999999996</v>
      </c>
      <c r="S60" s="5">
        <v>5343.7380000000003</v>
      </c>
      <c r="T60" s="5">
        <v>3460.558</v>
      </c>
    </row>
    <row r="61" spans="1:20" x14ac:dyDescent="0.25">
      <c r="A61" s="3" t="s">
        <v>92</v>
      </c>
      <c r="B61" t="s">
        <v>102</v>
      </c>
      <c r="C61" s="4">
        <v>7025.6459999999997</v>
      </c>
      <c r="D61" s="5">
        <v>681.11</v>
      </c>
      <c r="E61" s="5">
        <v>7007.6310000000003</v>
      </c>
      <c r="F61" s="5">
        <v>4913.232</v>
      </c>
      <c r="G61" s="5">
        <v>0</v>
      </c>
      <c r="H61" s="5">
        <v>0</v>
      </c>
      <c r="I61" s="5">
        <v>320.846</v>
      </c>
      <c r="J61" s="5">
        <v>0</v>
      </c>
      <c r="K61" s="5">
        <v>455.88799999999998</v>
      </c>
      <c r="L61" s="4">
        <v>15958.723</v>
      </c>
      <c r="M61" s="5">
        <v>3133.83</v>
      </c>
      <c r="N61" s="5">
        <v>7007.6310000000003</v>
      </c>
      <c r="O61" s="5">
        <v>7467.8630000000003</v>
      </c>
      <c r="P61" s="5">
        <v>0</v>
      </c>
      <c r="Q61" s="5">
        <v>0</v>
      </c>
      <c r="R61" s="5">
        <v>17112.762999999999</v>
      </c>
      <c r="S61" s="5">
        <v>0</v>
      </c>
      <c r="T61" s="5">
        <v>685.40700000000004</v>
      </c>
    </row>
    <row r="62" spans="1:20" x14ac:dyDescent="0.25">
      <c r="A62" s="3" t="s">
        <v>92</v>
      </c>
      <c r="B62" t="s">
        <v>103</v>
      </c>
      <c r="C62" s="4">
        <v>6411.5889999999999</v>
      </c>
      <c r="D62" s="5">
        <v>7634.1940000000004</v>
      </c>
      <c r="E62" s="5">
        <v>5997.3860000000004</v>
      </c>
      <c r="F62" s="5">
        <v>6051.1120000000001</v>
      </c>
      <c r="G62" s="5">
        <v>4849.6469999999999</v>
      </c>
      <c r="H62" s="5">
        <v>5124.9750000000004</v>
      </c>
      <c r="I62" s="5">
        <v>4369.2470000000003</v>
      </c>
      <c r="J62" s="5">
        <v>4573.1239999999998</v>
      </c>
      <c r="K62" s="5">
        <v>4065.4279999999999</v>
      </c>
      <c r="L62" s="4">
        <v>6414.3190000000004</v>
      </c>
      <c r="M62" s="5">
        <v>7634.1940000000004</v>
      </c>
      <c r="N62" s="5">
        <v>5997.3860000000004</v>
      </c>
      <c r="O62" s="5">
        <v>6057.3789999999999</v>
      </c>
      <c r="P62" s="5">
        <v>4849.6469999999999</v>
      </c>
      <c r="Q62" s="5">
        <v>5124.9750000000004</v>
      </c>
      <c r="R62" s="5">
        <v>4369.2470000000003</v>
      </c>
      <c r="S62" s="5">
        <v>4573.1239999999998</v>
      </c>
      <c r="T62" s="5">
        <v>4065.4279999999999</v>
      </c>
    </row>
    <row r="63" spans="1:20" x14ac:dyDescent="0.25">
      <c r="A63" s="3" t="s">
        <v>92</v>
      </c>
      <c r="B63" t="s">
        <v>104</v>
      </c>
      <c r="C63" s="4">
        <v>6404.9170000000004</v>
      </c>
      <c r="D63" s="5">
        <v>5412.8360000000002</v>
      </c>
      <c r="E63" s="5">
        <v>885.36800000000005</v>
      </c>
      <c r="F63" s="5">
        <v>1719.2629999999999</v>
      </c>
      <c r="G63" s="5">
        <v>18449.157999999999</v>
      </c>
      <c r="H63" s="5">
        <v>1658.8240000000001</v>
      </c>
      <c r="I63" s="5">
        <v>2790.4940000000001</v>
      </c>
      <c r="J63" s="5">
        <v>4463.2030000000004</v>
      </c>
      <c r="K63" s="5">
        <v>166.09200000000001</v>
      </c>
      <c r="L63" s="4">
        <v>6457.1180000000004</v>
      </c>
      <c r="M63" s="5">
        <v>5786.3410000000003</v>
      </c>
      <c r="N63" s="5">
        <v>887.36699999999996</v>
      </c>
      <c r="O63" s="5">
        <v>3907.7440000000001</v>
      </c>
      <c r="P63" s="5">
        <v>18745.477999999999</v>
      </c>
      <c r="Q63" s="5">
        <v>1735.9390000000001</v>
      </c>
      <c r="R63" s="5">
        <v>2797.4009999999998</v>
      </c>
      <c r="S63" s="5">
        <v>4463.2030000000004</v>
      </c>
      <c r="T63" s="5">
        <v>172.18</v>
      </c>
    </row>
    <row r="64" spans="1:20" x14ac:dyDescent="0.25">
      <c r="A64" s="3" t="s">
        <v>92</v>
      </c>
      <c r="B64" t="s">
        <v>105</v>
      </c>
      <c r="C64" s="4">
        <v>4851.3530000000001</v>
      </c>
      <c r="D64" s="5">
        <v>3896.9079999999999</v>
      </c>
      <c r="E64" s="5">
        <v>4677.8280000000004</v>
      </c>
      <c r="F64" s="5">
        <v>4266.8900000000003</v>
      </c>
      <c r="G64" s="5">
        <v>3763.826</v>
      </c>
      <c r="H64" s="5">
        <v>7452.3850000000002</v>
      </c>
      <c r="I64" s="5">
        <v>5273.5230000000001</v>
      </c>
      <c r="J64" s="5">
        <v>4514.5709999999999</v>
      </c>
      <c r="K64" s="5">
        <v>8855.6890000000003</v>
      </c>
      <c r="L64" s="4">
        <v>4854.9110000000001</v>
      </c>
      <c r="M64" s="5">
        <v>3896.9079999999999</v>
      </c>
      <c r="N64" s="5">
        <v>4677.8280000000004</v>
      </c>
      <c r="O64" s="5">
        <v>4266.8900000000003</v>
      </c>
      <c r="P64" s="5">
        <v>3763.826</v>
      </c>
      <c r="Q64" s="5">
        <v>7452.3850000000002</v>
      </c>
      <c r="R64" s="5">
        <v>5273.88</v>
      </c>
      <c r="S64" s="5">
        <v>4514.5709999999999</v>
      </c>
      <c r="T64" s="5">
        <v>8869.8169999999991</v>
      </c>
    </row>
    <row r="65" spans="1:20" x14ac:dyDescent="0.25">
      <c r="A65" s="3" t="s">
        <v>92</v>
      </c>
      <c r="B65" t="s">
        <v>106</v>
      </c>
      <c r="C65" s="4">
        <v>4394.0569999999998</v>
      </c>
      <c r="D65" s="5">
        <v>2282.6039999999998</v>
      </c>
      <c r="E65" s="5">
        <v>3236.51</v>
      </c>
      <c r="F65" s="5">
        <v>3975.8440000000001</v>
      </c>
      <c r="G65" s="5">
        <v>2453.31</v>
      </c>
      <c r="H65" s="5">
        <v>8868.7049999999999</v>
      </c>
      <c r="I65" s="5">
        <v>3007.64</v>
      </c>
      <c r="J65" s="5">
        <v>4147.0290000000005</v>
      </c>
      <c r="K65" s="5">
        <v>2886.951</v>
      </c>
      <c r="L65" s="4">
        <v>4394.0569999999998</v>
      </c>
      <c r="M65" s="5">
        <v>2282.6039999999998</v>
      </c>
      <c r="N65" s="5">
        <v>3236.51</v>
      </c>
      <c r="O65" s="5">
        <v>3975.8440000000001</v>
      </c>
      <c r="P65" s="5">
        <v>2453.31</v>
      </c>
      <c r="Q65" s="5">
        <v>8868.7049999999999</v>
      </c>
      <c r="R65" s="5">
        <v>3007.64</v>
      </c>
      <c r="S65" s="5">
        <v>4147.0290000000005</v>
      </c>
      <c r="T65" s="5">
        <v>2886.951</v>
      </c>
    </row>
    <row r="66" spans="1:20" x14ac:dyDescent="0.25">
      <c r="A66" s="3" t="s">
        <v>92</v>
      </c>
      <c r="B66" t="s">
        <v>107</v>
      </c>
      <c r="C66" s="4">
        <v>4248.4279999999999</v>
      </c>
      <c r="D66" s="5">
        <v>4825.1170000000002</v>
      </c>
      <c r="E66" s="5">
        <v>2522.6080000000002</v>
      </c>
      <c r="F66" s="5">
        <v>2390.1460000000002</v>
      </c>
      <c r="G66" s="5">
        <v>3404.625</v>
      </c>
      <c r="H66" s="5">
        <v>3167.518</v>
      </c>
      <c r="I66" s="5">
        <v>1944.229</v>
      </c>
      <c r="J66" s="5">
        <v>3021.3629999999998</v>
      </c>
      <c r="K66" s="5">
        <v>4166.8140000000003</v>
      </c>
      <c r="L66" s="4">
        <v>4259.3829999999998</v>
      </c>
      <c r="M66" s="5">
        <v>4826.9840000000004</v>
      </c>
      <c r="N66" s="5">
        <v>2522.6080000000002</v>
      </c>
      <c r="O66" s="5">
        <v>2397.5279999999998</v>
      </c>
      <c r="P66" s="5">
        <v>3404.625</v>
      </c>
      <c r="Q66" s="5">
        <v>3202.0880000000002</v>
      </c>
      <c r="R66" s="5">
        <v>2031.5319999999999</v>
      </c>
      <c r="S66" s="5">
        <v>6203.741</v>
      </c>
      <c r="T66" s="5">
        <v>4233.2449999999999</v>
      </c>
    </row>
    <row r="67" spans="1:20" x14ac:dyDescent="0.25">
      <c r="A67" s="3" t="s">
        <v>92</v>
      </c>
      <c r="B67" t="s">
        <v>108</v>
      </c>
      <c r="C67" s="4">
        <v>3384.3470000000002</v>
      </c>
      <c r="D67" s="5">
        <v>2923.5569999999998</v>
      </c>
      <c r="E67" s="5">
        <v>4198.6779999999999</v>
      </c>
      <c r="F67" s="5">
        <v>1779.566</v>
      </c>
      <c r="G67" s="5">
        <v>4301.4129999999996</v>
      </c>
      <c r="H67" s="5">
        <v>8199.4809999999998</v>
      </c>
      <c r="I67" s="5">
        <v>3035.7779999999998</v>
      </c>
      <c r="J67" s="5">
        <v>7933.6530000000002</v>
      </c>
      <c r="K67" s="5">
        <v>3151.7359999999999</v>
      </c>
      <c r="L67" s="4">
        <v>3392.4</v>
      </c>
      <c r="M67" s="5">
        <v>2923.5569999999998</v>
      </c>
      <c r="N67" s="5">
        <v>4212.3190000000004</v>
      </c>
      <c r="O67" s="5">
        <v>1787.36</v>
      </c>
      <c r="P67" s="5">
        <v>4301.4129999999996</v>
      </c>
      <c r="Q67" s="5">
        <v>8202.9709999999995</v>
      </c>
      <c r="R67" s="5">
        <v>3040.1010000000001</v>
      </c>
      <c r="S67" s="5">
        <v>7936.36</v>
      </c>
      <c r="T67" s="5">
        <v>3156.2249999999999</v>
      </c>
    </row>
    <row r="68" spans="1:20" x14ac:dyDescent="0.25">
      <c r="A68" s="3" t="s">
        <v>92</v>
      </c>
      <c r="B68" t="s">
        <v>109</v>
      </c>
      <c r="C68" s="4">
        <v>2771.3820000000001</v>
      </c>
      <c r="D68" s="5">
        <v>3108.8159999999998</v>
      </c>
      <c r="E68" s="5">
        <v>1123.6279999999999</v>
      </c>
      <c r="F68" s="5">
        <v>968.38900000000001</v>
      </c>
      <c r="G68" s="5">
        <v>105.358</v>
      </c>
      <c r="H68" s="5">
        <v>384.416</v>
      </c>
      <c r="I68" s="5">
        <v>635.84199999999998</v>
      </c>
      <c r="J68" s="5">
        <v>581.79</v>
      </c>
      <c r="K68" s="5">
        <v>446.71199999999999</v>
      </c>
      <c r="L68" s="4">
        <v>2771.3820000000001</v>
      </c>
      <c r="M68" s="5">
        <v>3190.8040000000001</v>
      </c>
      <c r="N68" s="5">
        <v>1123.6279999999999</v>
      </c>
      <c r="O68" s="5">
        <v>978.17700000000002</v>
      </c>
      <c r="P68" s="5">
        <v>105.358</v>
      </c>
      <c r="Q68" s="5">
        <v>384.416</v>
      </c>
      <c r="R68" s="5">
        <v>635.84199999999998</v>
      </c>
      <c r="S68" s="5">
        <v>581.79</v>
      </c>
      <c r="T68" s="5">
        <v>446.71199999999999</v>
      </c>
    </row>
    <row r="69" spans="1:20" x14ac:dyDescent="0.25">
      <c r="A69" s="3" t="s">
        <v>92</v>
      </c>
      <c r="B69" t="s">
        <v>110</v>
      </c>
      <c r="C69" s="4">
        <v>2563.5140000000001</v>
      </c>
      <c r="D69" s="5">
        <v>2764.1930000000002</v>
      </c>
      <c r="E69" s="5">
        <v>3382.0709999999999</v>
      </c>
      <c r="F69" s="5">
        <v>1983.7570000000001</v>
      </c>
      <c r="G69" s="5">
        <v>2248.9349999999999</v>
      </c>
      <c r="H69" s="5">
        <v>2274.0680000000002</v>
      </c>
      <c r="I69" s="5">
        <v>1602.5319999999999</v>
      </c>
      <c r="J69" s="5">
        <v>2099.7829999999999</v>
      </c>
      <c r="K69" s="5">
        <v>2054.4789999999998</v>
      </c>
      <c r="L69" s="4">
        <v>2563.5140000000001</v>
      </c>
      <c r="M69" s="5">
        <v>2764.1930000000002</v>
      </c>
      <c r="N69" s="5">
        <v>3382.0709999999999</v>
      </c>
      <c r="O69" s="5">
        <v>1983.7570000000001</v>
      </c>
      <c r="P69" s="5">
        <v>2248.9349999999999</v>
      </c>
      <c r="Q69" s="5">
        <v>2274.0680000000002</v>
      </c>
      <c r="R69" s="5">
        <v>1602.5319999999999</v>
      </c>
      <c r="S69" s="5">
        <v>2099.7829999999999</v>
      </c>
      <c r="T69" s="5">
        <v>2054.4789999999998</v>
      </c>
    </row>
    <row r="70" spans="1:20" x14ac:dyDescent="0.25">
      <c r="A70" s="3" t="s">
        <v>92</v>
      </c>
      <c r="B70" t="s">
        <v>111</v>
      </c>
      <c r="C70" s="4">
        <v>2302.1640000000002</v>
      </c>
      <c r="D70" s="5">
        <v>2218.1759999999999</v>
      </c>
      <c r="E70" s="5">
        <v>2213.0479999999998</v>
      </c>
      <c r="F70" s="5">
        <v>2664.3629999999998</v>
      </c>
      <c r="G70" s="5">
        <v>1311.482</v>
      </c>
      <c r="H70" s="5">
        <v>1085.7249999999999</v>
      </c>
      <c r="I70" s="5">
        <v>1201.9670000000001</v>
      </c>
      <c r="J70" s="5">
        <v>1478.944</v>
      </c>
      <c r="K70" s="5">
        <v>1012.3049999999999</v>
      </c>
      <c r="L70" s="4">
        <v>3096.7629999999999</v>
      </c>
      <c r="M70" s="5">
        <v>3174.357</v>
      </c>
      <c r="N70" s="5">
        <v>4526.1400000000003</v>
      </c>
      <c r="O70" s="5">
        <v>3734.28</v>
      </c>
      <c r="P70" s="5">
        <v>1457.682</v>
      </c>
      <c r="Q70" s="5">
        <v>1085.7249999999999</v>
      </c>
      <c r="R70" s="5">
        <v>1539.3240000000001</v>
      </c>
      <c r="S70" s="5">
        <v>1478.944</v>
      </c>
      <c r="T70" s="5">
        <v>1024.98</v>
      </c>
    </row>
    <row r="71" spans="1:20" x14ac:dyDescent="0.25">
      <c r="A71" s="3" t="s">
        <v>92</v>
      </c>
      <c r="B71" t="s">
        <v>112</v>
      </c>
      <c r="C71" s="4">
        <v>1853.181</v>
      </c>
      <c r="D71" s="5">
        <v>1126.826</v>
      </c>
      <c r="E71" s="5">
        <v>2080.4450000000002</v>
      </c>
      <c r="F71" s="5">
        <v>2150.558</v>
      </c>
      <c r="G71" s="5">
        <v>2290.8110000000001</v>
      </c>
      <c r="H71" s="5">
        <v>1932.364</v>
      </c>
      <c r="I71" s="5">
        <v>1189.3389999999999</v>
      </c>
      <c r="J71" s="5">
        <v>1295.7719999999999</v>
      </c>
      <c r="K71" s="5">
        <v>621.49699999999996</v>
      </c>
      <c r="L71" s="4">
        <v>1853.181</v>
      </c>
      <c r="M71" s="5">
        <v>1126.826</v>
      </c>
      <c r="N71" s="5">
        <v>2080.4450000000002</v>
      </c>
      <c r="O71" s="5">
        <v>2150.558</v>
      </c>
      <c r="P71" s="5">
        <v>2290.8110000000001</v>
      </c>
      <c r="Q71" s="5">
        <v>1932.364</v>
      </c>
      <c r="R71" s="5">
        <v>1189.3389999999999</v>
      </c>
      <c r="S71" s="5">
        <v>1295.7719999999999</v>
      </c>
      <c r="T71" s="5">
        <v>621.49699999999996</v>
      </c>
    </row>
    <row r="72" spans="1:20" x14ac:dyDescent="0.25">
      <c r="A72" s="3" t="s">
        <v>92</v>
      </c>
      <c r="B72" t="s">
        <v>113</v>
      </c>
      <c r="C72" s="4">
        <v>1364.414</v>
      </c>
      <c r="D72" s="5">
        <v>1466.1289999999999</v>
      </c>
      <c r="E72" s="5">
        <v>1015.8440000000001</v>
      </c>
      <c r="F72" s="5">
        <v>255.553</v>
      </c>
      <c r="G72" s="5">
        <v>188.822</v>
      </c>
      <c r="H72" s="5">
        <v>477.06799999999998</v>
      </c>
      <c r="I72" s="5">
        <v>613.38599999999997</v>
      </c>
      <c r="J72" s="5">
        <v>4273.1850000000004</v>
      </c>
      <c r="K72" s="5">
        <v>1172.232</v>
      </c>
      <c r="L72" s="4">
        <v>1364.414</v>
      </c>
      <c r="M72" s="5">
        <v>1466.1289999999999</v>
      </c>
      <c r="N72" s="5">
        <v>1016.904</v>
      </c>
      <c r="O72" s="5">
        <v>257.77699999999999</v>
      </c>
      <c r="P72" s="5">
        <v>188.822</v>
      </c>
      <c r="Q72" s="5">
        <v>477.06799999999998</v>
      </c>
      <c r="R72" s="5">
        <v>613.38599999999997</v>
      </c>
      <c r="S72" s="5">
        <v>4273.1850000000004</v>
      </c>
      <c r="T72" s="5">
        <v>1220.0889999999999</v>
      </c>
    </row>
    <row r="73" spans="1:20" x14ac:dyDescent="0.25">
      <c r="A73" s="3" t="s">
        <v>92</v>
      </c>
      <c r="B73" t="s">
        <v>114</v>
      </c>
      <c r="C73" s="4">
        <v>1224.989</v>
      </c>
      <c r="D73" s="5">
        <v>2064.268</v>
      </c>
      <c r="E73" s="5">
        <v>4956.59</v>
      </c>
      <c r="F73" s="5">
        <v>7423.1149999999998</v>
      </c>
      <c r="G73" s="5">
        <v>1452.2280000000001</v>
      </c>
      <c r="H73" s="5">
        <v>2426.819</v>
      </c>
      <c r="I73" s="5">
        <v>4040.8470000000002</v>
      </c>
      <c r="J73" s="5">
        <v>3000.0889999999999</v>
      </c>
      <c r="K73" s="5">
        <v>3279.404</v>
      </c>
      <c r="L73" s="4">
        <v>1224.989</v>
      </c>
      <c r="M73" s="5">
        <v>2065.453</v>
      </c>
      <c r="N73" s="5">
        <v>4956.59</v>
      </c>
      <c r="O73" s="5">
        <v>7429.0559999999996</v>
      </c>
      <c r="P73" s="5">
        <v>1454.3810000000001</v>
      </c>
      <c r="Q73" s="5">
        <v>2426.819</v>
      </c>
      <c r="R73" s="5">
        <v>4040.8470000000002</v>
      </c>
      <c r="S73" s="5">
        <v>3000.0889999999999</v>
      </c>
      <c r="T73" s="5">
        <v>3282.0880000000002</v>
      </c>
    </row>
    <row r="74" spans="1:20" x14ac:dyDescent="0.25">
      <c r="A74" s="3" t="s">
        <v>92</v>
      </c>
      <c r="B74" t="s">
        <v>115</v>
      </c>
      <c r="C74" s="4">
        <v>1004.39</v>
      </c>
      <c r="D74" s="5">
        <v>1070.4390000000001</v>
      </c>
      <c r="E74" s="5">
        <v>927.27300000000002</v>
      </c>
      <c r="F74" s="5">
        <v>1299.4290000000001</v>
      </c>
      <c r="G74" s="5">
        <v>597.69100000000003</v>
      </c>
      <c r="H74" s="5">
        <v>843.37900000000002</v>
      </c>
      <c r="I74" s="5">
        <v>7789.5770000000002</v>
      </c>
      <c r="J74" s="5">
        <v>1684.896</v>
      </c>
      <c r="K74" s="5">
        <v>1125.181</v>
      </c>
      <c r="L74" s="4">
        <v>1004.39</v>
      </c>
      <c r="M74" s="5">
        <v>1070.4390000000001</v>
      </c>
      <c r="N74" s="5">
        <v>927.27300000000002</v>
      </c>
      <c r="O74" s="5">
        <v>1299.4290000000001</v>
      </c>
      <c r="P74" s="5">
        <v>597.69100000000003</v>
      </c>
      <c r="Q74" s="5">
        <v>843.37900000000002</v>
      </c>
      <c r="R74" s="5">
        <v>7789.5770000000002</v>
      </c>
      <c r="S74" s="5">
        <v>1684.896</v>
      </c>
      <c r="T74" s="5">
        <v>1125.181</v>
      </c>
    </row>
    <row r="75" spans="1:20" x14ac:dyDescent="0.25">
      <c r="A75" s="3" t="s">
        <v>92</v>
      </c>
      <c r="B75" t="s">
        <v>116</v>
      </c>
      <c r="C75" s="4">
        <v>684.98800000000006</v>
      </c>
      <c r="D75" s="5">
        <v>437.63799999999998</v>
      </c>
      <c r="E75" s="5">
        <v>928.67399999999998</v>
      </c>
      <c r="F75" s="5">
        <v>872.46100000000001</v>
      </c>
      <c r="G75" s="5">
        <v>469</v>
      </c>
      <c r="H75" s="5">
        <v>620.875</v>
      </c>
      <c r="I75" s="5">
        <v>869.88499999999999</v>
      </c>
      <c r="J75" s="5">
        <v>633.98400000000004</v>
      </c>
      <c r="K75" s="5">
        <v>799.6</v>
      </c>
      <c r="L75" s="4">
        <v>684.98800000000006</v>
      </c>
      <c r="M75" s="5">
        <v>437.63799999999998</v>
      </c>
      <c r="N75" s="5">
        <v>928.67399999999998</v>
      </c>
      <c r="O75" s="5">
        <v>875.27700000000004</v>
      </c>
      <c r="P75" s="5">
        <v>469</v>
      </c>
      <c r="Q75" s="5">
        <v>620.875</v>
      </c>
      <c r="R75" s="5">
        <v>869.88499999999999</v>
      </c>
      <c r="S75" s="5">
        <v>633.98400000000004</v>
      </c>
      <c r="T75" s="5">
        <v>799.6</v>
      </c>
    </row>
    <row r="76" spans="1:20" x14ac:dyDescent="0.25">
      <c r="A76" s="3" t="s">
        <v>92</v>
      </c>
      <c r="B76" t="s">
        <v>117</v>
      </c>
      <c r="C76" s="4">
        <v>674.17399999999998</v>
      </c>
      <c r="D76" s="5">
        <v>604.14300000000003</v>
      </c>
      <c r="E76" s="5">
        <v>665.51800000000003</v>
      </c>
      <c r="F76" s="5">
        <v>137.495</v>
      </c>
      <c r="G76" s="5">
        <v>203.95099999999999</v>
      </c>
      <c r="H76" s="5">
        <v>24.236000000000001</v>
      </c>
      <c r="I76" s="5">
        <v>131.24700000000001</v>
      </c>
      <c r="J76" s="5">
        <v>154.20099999999999</v>
      </c>
      <c r="K76" s="5">
        <v>45.954000000000001</v>
      </c>
      <c r="L76" s="4">
        <v>703.98400000000004</v>
      </c>
      <c r="M76" s="5">
        <v>635.68499999999995</v>
      </c>
      <c r="N76" s="5">
        <v>665.51800000000003</v>
      </c>
      <c r="O76" s="5">
        <v>137.495</v>
      </c>
      <c r="P76" s="5">
        <v>203.95099999999999</v>
      </c>
      <c r="Q76" s="5">
        <v>68.953000000000003</v>
      </c>
      <c r="R76" s="5">
        <v>131.24700000000001</v>
      </c>
      <c r="S76" s="5">
        <v>154.20099999999999</v>
      </c>
      <c r="T76" s="5">
        <v>45.954000000000001</v>
      </c>
    </row>
    <row r="77" spans="1:20" x14ac:dyDescent="0.25">
      <c r="A77" s="3" t="s">
        <v>92</v>
      </c>
      <c r="B77" t="s">
        <v>118</v>
      </c>
      <c r="C77" s="4">
        <v>290.76100000000002</v>
      </c>
      <c r="D77" s="5">
        <v>175.78399999999999</v>
      </c>
      <c r="E77" s="5">
        <v>202.22200000000001</v>
      </c>
      <c r="F77" s="5">
        <v>178.93799999999999</v>
      </c>
      <c r="G77" s="5">
        <v>0</v>
      </c>
      <c r="H77" s="5">
        <v>164.21100000000001</v>
      </c>
      <c r="I77" s="5">
        <v>276.54899999999998</v>
      </c>
      <c r="J77" s="5">
        <v>300.54199999999997</v>
      </c>
      <c r="K77" s="5">
        <v>212.11500000000001</v>
      </c>
      <c r="L77" s="4">
        <v>290.76100000000002</v>
      </c>
      <c r="M77" s="5">
        <v>175.78399999999999</v>
      </c>
      <c r="N77" s="5">
        <v>202.22200000000001</v>
      </c>
      <c r="O77" s="5">
        <v>178.93799999999999</v>
      </c>
      <c r="P77" s="5">
        <v>0</v>
      </c>
      <c r="Q77" s="5">
        <v>164.21100000000001</v>
      </c>
      <c r="R77" s="5">
        <v>276.54899999999998</v>
      </c>
      <c r="S77" s="5">
        <v>300.54199999999997</v>
      </c>
      <c r="T77" s="5">
        <v>212.11500000000001</v>
      </c>
    </row>
    <row r="78" spans="1:20" x14ac:dyDescent="0.25">
      <c r="A78" s="3" t="s">
        <v>92</v>
      </c>
      <c r="B78" t="s">
        <v>119</v>
      </c>
      <c r="C78" s="4">
        <v>226.024</v>
      </c>
      <c r="D78" s="5">
        <v>126.705</v>
      </c>
      <c r="E78" s="5">
        <v>59.924999999999997</v>
      </c>
      <c r="F78" s="5">
        <v>56.652000000000001</v>
      </c>
      <c r="G78" s="5">
        <v>642.91300000000001</v>
      </c>
      <c r="H78" s="5">
        <v>38.027999999999999</v>
      </c>
      <c r="I78" s="5">
        <v>499.887</v>
      </c>
      <c r="J78" s="5">
        <v>61.652999999999999</v>
      </c>
      <c r="K78" s="5">
        <v>107.78100000000001</v>
      </c>
      <c r="L78" s="4">
        <v>22550.837</v>
      </c>
      <c r="M78" s="5">
        <v>25974.084999999999</v>
      </c>
      <c r="N78" s="5">
        <v>143.23400000000001</v>
      </c>
      <c r="O78" s="5">
        <v>575.07600000000002</v>
      </c>
      <c r="P78" s="5">
        <v>2657.57</v>
      </c>
      <c r="Q78" s="5">
        <v>136.12299999999999</v>
      </c>
      <c r="R78" s="5">
        <v>4543.6850000000004</v>
      </c>
      <c r="S78" s="5">
        <v>350.029</v>
      </c>
      <c r="T78" s="5">
        <v>144.435</v>
      </c>
    </row>
    <row r="79" spans="1:20" x14ac:dyDescent="0.25">
      <c r="A79" s="3" t="s">
        <v>92</v>
      </c>
      <c r="B79" t="s">
        <v>120</v>
      </c>
      <c r="C79" s="4">
        <v>219.173</v>
      </c>
      <c r="D79" s="5">
        <v>284.08999999999997</v>
      </c>
      <c r="E79" s="5">
        <v>212.077</v>
      </c>
      <c r="F79" s="5">
        <v>352.32400000000001</v>
      </c>
      <c r="G79" s="5">
        <v>264.327</v>
      </c>
      <c r="H79" s="5">
        <v>785.54100000000005</v>
      </c>
      <c r="I79" s="5">
        <v>574.476</v>
      </c>
      <c r="J79" s="5">
        <v>2070.9229999999998</v>
      </c>
      <c r="K79" s="5">
        <v>302.24</v>
      </c>
      <c r="L79" s="4">
        <v>219.173</v>
      </c>
      <c r="M79" s="5">
        <v>284.08999999999997</v>
      </c>
      <c r="N79" s="5">
        <v>212.077</v>
      </c>
      <c r="O79" s="5">
        <v>352.32400000000001</v>
      </c>
      <c r="P79" s="5">
        <v>264.327</v>
      </c>
      <c r="Q79" s="5">
        <v>785.54100000000005</v>
      </c>
      <c r="R79" s="5">
        <v>574.476</v>
      </c>
      <c r="S79" s="5">
        <v>2070.9229999999998</v>
      </c>
      <c r="T79" s="5">
        <v>302.24</v>
      </c>
    </row>
    <row r="80" spans="1:20" x14ac:dyDescent="0.25">
      <c r="A80" s="3" t="s">
        <v>92</v>
      </c>
      <c r="B80" t="s">
        <v>121</v>
      </c>
      <c r="C80" s="4">
        <v>205.59899999999999</v>
      </c>
      <c r="D80" s="5">
        <v>0</v>
      </c>
      <c r="E80" s="5">
        <v>0</v>
      </c>
      <c r="F80" s="5">
        <v>0</v>
      </c>
      <c r="G80" s="5">
        <v>0</v>
      </c>
      <c r="H80" s="5">
        <v>0</v>
      </c>
      <c r="I80" s="5">
        <v>0</v>
      </c>
      <c r="J80" s="5">
        <v>0</v>
      </c>
      <c r="K80" s="5">
        <v>0</v>
      </c>
      <c r="L80" s="4">
        <v>205.59899999999999</v>
      </c>
      <c r="M80" s="5">
        <v>0</v>
      </c>
      <c r="N80" s="5">
        <v>0</v>
      </c>
      <c r="O80" s="5">
        <v>0</v>
      </c>
      <c r="P80" s="5">
        <v>0</v>
      </c>
      <c r="Q80" s="5">
        <v>0</v>
      </c>
      <c r="R80" s="5">
        <v>0</v>
      </c>
      <c r="S80" s="5">
        <v>0</v>
      </c>
      <c r="T80" s="5">
        <v>0</v>
      </c>
    </row>
    <row r="81" spans="1:20" x14ac:dyDescent="0.25">
      <c r="A81" s="3" t="s">
        <v>92</v>
      </c>
      <c r="B81" t="s">
        <v>122</v>
      </c>
      <c r="C81" s="4">
        <v>147.28</v>
      </c>
      <c r="D81" s="5">
        <v>256.64299999999997</v>
      </c>
      <c r="E81" s="5">
        <v>313.952</v>
      </c>
      <c r="F81" s="5">
        <v>334.851</v>
      </c>
      <c r="G81" s="5">
        <v>266.447</v>
      </c>
      <c r="H81" s="5">
        <v>461.85</v>
      </c>
      <c r="I81" s="5">
        <v>366.80099999999999</v>
      </c>
      <c r="J81" s="5">
        <v>192.33199999999999</v>
      </c>
      <c r="K81" s="5">
        <v>136.911</v>
      </c>
      <c r="L81" s="4">
        <v>147.28</v>
      </c>
      <c r="M81" s="5">
        <v>256.64299999999997</v>
      </c>
      <c r="N81" s="5">
        <v>313.952</v>
      </c>
      <c r="O81" s="5">
        <v>334.851</v>
      </c>
      <c r="P81" s="5">
        <v>266.447</v>
      </c>
      <c r="Q81" s="5">
        <v>461.85</v>
      </c>
      <c r="R81" s="5">
        <v>366.80099999999999</v>
      </c>
      <c r="S81" s="5">
        <v>192.33199999999999</v>
      </c>
      <c r="T81" s="5">
        <v>136.911</v>
      </c>
    </row>
    <row r="82" spans="1:20" x14ac:dyDescent="0.25">
      <c r="A82" s="3" t="s">
        <v>92</v>
      </c>
      <c r="B82" t="s">
        <v>123</v>
      </c>
      <c r="C82" s="4">
        <v>80.082999999999998</v>
      </c>
      <c r="D82" s="5">
        <v>103.604</v>
      </c>
      <c r="E82" s="5">
        <v>525.81700000000001</v>
      </c>
      <c r="F82" s="5">
        <v>226.68799999999999</v>
      </c>
      <c r="G82" s="5">
        <v>266.46499999999997</v>
      </c>
      <c r="H82" s="5">
        <v>147.44399999999999</v>
      </c>
      <c r="I82" s="5">
        <v>102.571</v>
      </c>
      <c r="J82" s="5">
        <v>93.703000000000003</v>
      </c>
      <c r="K82" s="5">
        <v>169.75200000000001</v>
      </c>
      <c r="L82" s="4">
        <v>80.082999999999998</v>
      </c>
      <c r="M82" s="5">
        <v>103.604</v>
      </c>
      <c r="N82" s="5">
        <v>525.81700000000001</v>
      </c>
      <c r="O82" s="5">
        <v>226.68799999999999</v>
      </c>
      <c r="P82" s="5">
        <v>266.46499999999997</v>
      </c>
      <c r="Q82" s="5">
        <v>147.44399999999999</v>
      </c>
      <c r="R82" s="5">
        <v>102.571</v>
      </c>
      <c r="S82" s="5">
        <v>93.703000000000003</v>
      </c>
      <c r="T82" s="5">
        <v>169.75200000000001</v>
      </c>
    </row>
    <row r="83" spans="1:20" x14ac:dyDescent="0.25">
      <c r="A83" s="3" t="s">
        <v>92</v>
      </c>
      <c r="B83" t="s">
        <v>124</v>
      </c>
      <c r="C83" s="4">
        <v>63.557000000000002</v>
      </c>
      <c r="D83" s="5">
        <v>134.65199999999999</v>
      </c>
      <c r="E83" s="5">
        <v>68.915999999999997</v>
      </c>
      <c r="F83" s="5">
        <v>55.722000000000001</v>
      </c>
      <c r="G83" s="5">
        <v>0</v>
      </c>
      <c r="H83" s="5">
        <v>79.792000000000002</v>
      </c>
      <c r="I83" s="5">
        <v>72.722999999999999</v>
      </c>
      <c r="J83" s="5">
        <v>48.25</v>
      </c>
      <c r="K83" s="5">
        <v>85.204999999999998</v>
      </c>
      <c r="L83" s="4">
        <v>63.557000000000002</v>
      </c>
      <c r="M83" s="5">
        <v>134.65199999999999</v>
      </c>
      <c r="N83" s="5">
        <v>68.915999999999997</v>
      </c>
      <c r="O83" s="5">
        <v>55.722000000000001</v>
      </c>
      <c r="P83" s="5">
        <v>0</v>
      </c>
      <c r="Q83" s="5">
        <v>79.792000000000002</v>
      </c>
      <c r="R83" s="5">
        <v>72.722999999999999</v>
      </c>
      <c r="S83" s="5">
        <v>48.25</v>
      </c>
      <c r="T83" s="5">
        <v>85.204999999999998</v>
      </c>
    </row>
    <row r="84" spans="1:20" x14ac:dyDescent="0.25">
      <c r="A84" s="3" t="s">
        <v>92</v>
      </c>
      <c r="B84" t="s">
        <v>125</v>
      </c>
      <c r="C84" s="4">
        <v>46.03</v>
      </c>
      <c r="D84" s="5">
        <v>0</v>
      </c>
      <c r="E84" s="5">
        <v>22.484999999999999</v>
      </c>
      <c r="F84" s="5">
        <v>0</v>
      </c>
      <c r="G84" s="5">
        <v>95.78</v>
      </c>
      <c r="H84" s="5">
        <v>54.99</v>
      </c>
      <c r="I84" s="5">
        <v>0</v>
      </c>
      <c r="J84" s="5">
        <v>233.03700000000001</v>
      </c>
      <c r="K84" s="5">
        <v>58.258000000000003</v>
      </c>
      <c r="L84" s="4">
        <v>46.03</v>
      </c>
      <c r="M84" s="5">
        <v>0</v>
      </c>
      <c r="N84" s="5">
        <v>22.484999999999999</v>
      </c>
      <c r="O84" s="5">
        <v>0</v>
      </c>
      <c r="P84" s="5">
        <v>95.78</v>
      </c>
      <c r="Q84" s="5">
        <v>54.99</v>
      </c>
      <c r="R84" s="5">
        <v>0</v>
      </c>
      <c r="S84" s="5">
        <v>233.03700000000001</v>
      </c>
      <c r="T84" s="5">
        <v>58.258000000000003</v>
      </c>
    </row>
    <row r="85" spans="1:20" x14ac:dyDescent="0.25">
      <c r="A85" s="3" t="s">
        <v>35</v>
      </c>
      <c r="B85" t="s">
        <v>126</v>
      </c>
      <c r="C85" s="4">
        <v>735696.21699999995</v>
      </c>
      <c r="D85" s="5">
        <v>786876.51399999997</v>
      </c>
      <c r="E85" s="5">
        <v>878094.19299999997</v>
      </c>
      <c r="F85" s="5">
        <v>968134.06</v>
      </c>
      <c r="G85" s="5">
        <v>954093.93799999997</v>
      </c>
      <c r="H85" s="5">
        <v>899972.92700000003</v>
      </c>
      <c r="I85" s="5">
        <v>1074368.0589999999</v>
      </c>
      <c r="J85" s="5">
        <v>1089709.706</v>
      </c>
      <c r="K85" s="5">
        <v>1254835.7830000001</v>
      </c>
      <c r="L85" s="4">
        <v>3118974.7059999998</v>
      </c>
      <c r="M85" s="5">
        <v>2931202.324</v>
      </c>
      <c r="N85" s="5">
        <v>4148398.469</v>
      </c>
      <c r="O85" s="5">
        <v>2188975.5159999998</v>
      </c>
      <c r="P85" s="5">
        <v>1083028.382</v>
      </c>
      <c r="Q85" s="5">
        <v>4549890.84</v>
      </c>
      <c r="R85" s="5">
        <v>8574598.9470000006</v>
      </c>
      <c r="S85" s="5">
        <v>6713041.4189999998</v>
      </c>
      <c r="T85" s="5">
        <v>6204500.273</v>
      </c>
    </row>
    <row r="86" spans="1:20" x14ac:dyDescent="0.25">
      <c r="A86" s="3" t="s">
        <v>35</v>
      </c>
      <c r="B86" t="s">
        <v>127</v>
      </c>
      <c r="C86" s="4">
        <v>247908.902</v>
      </c>
      <c r="D86" s="5">
        <v>238498.96100000001</v>
      </c>
      <c r="E86" s="5">
        <v>199339.753</v>
      </c>
      <c r="F86" s="5">
        <v>195531.96299999999</v>
      </c>
      <c r="G86" s="5">
        <v>225390.75099999999</v>
      </c>
      <c r="H86" s="5">
        <v>203601.63399999999</v>
      </c>
      <c r="I86" s="5">
        <v>250986.14300000001</v>
      </c>
      <c r="J86" s="5">
        <v>232198.565</v>
      </c>
      <c r="K86" s="5">
        <v>257066.155</v>
      </c>
      <c r="L86" s="4">
        <v>248474.08499999999</v>
      </c>
      <c r="M86" s="5">
        <v>248814.41200000001</v>
      </c>
      <c r="N86" s="5">
        <v>200092.31599999999</v>
      </c>
      <c r="O86" s="5">
        <v>196766.42600000001</v>
      </c>
      <c r="P86" s="5">
        <v>227457.85800000001</v>
      </c>
      <c r="Q86" s="5">
        <v>204225.91699999999</v>
      </c>
      <c r="R86" s="5">
        <v>256581.21799999999</v>
      </c>
      <c r="S86" s="5">
        <v>235302.84</v>
      </c>
      <c r="T86" s="5">
        <v>261905.367</v>
      </c>
    </row>
    <row r="87" spans="1:20" x14ac:dyDescent="0.25">
      <c r="A87" s="3" t="s">
        <v>35</v>
      </c>
      <c r="B87" t="s">
        <v>128</v>
      </c>
      <c r="C87" s="4">
        <v>238255.527</v>
      </c>
      <c r="D87" s="5">
        <v>222095.152</v>
      </c>
      <c r="E87" s="5">
        <v>201805.04</v>
      </c>
      <c r="F87" s="5">
        <v>215274.98199999999</v>
      </c>
      <c r="G87" s="5">
        <v>151425.299</v>
      </c>
      <c r="H87" s="5">
        <v>198387.179</v>
      </c>
      <c r="I87" s="5">
        <v>224553.00399999999</v>
      </c>
      <c r="J87" s="5">
        <v>225921.89300000001</v>
      </c>
      <c r="K87" s="5">
        <v>257142.68100000001</v>
      </c>
      <c r="L87" s="4">
        <v>538387.19299999997</v>
      </c>
      <c r="M87" s="5">
        <v>1290789.1129999999</v>
      </c>
      <c r="N87" s="5">
        <v>829929.37199999997</v>
      </c>
      <c r="O87" s="5">
        <v>673843.92200000002</v>
      </c>
      <c r="P87" s="5">
        <v>1468831.524</v>
      </c>
      <c r="Q87" s="5">
        <v>2681677.9500000002</v>
      </c>
      <c r="R87" s="5">
        <v>1215115.5759999999</v>
      </c>
      <c r="S87" s="5">
        <v>668809.45499999996</v>
      </c>
      <c r="T87" s="5">
        <v>532147.53300000005</v>
      </c>
    </row>
    <row r="88" spans="1:20" x14ac:dyDescent="0.25">
      <c r="A88" s="3" t="s">
        <v>35</v>
      </c>
      <c r="B88" t="s">
        <v>129</v>
      </c>
      <c r="C88" s="4">
        <v>224163.74400000001</v>
      </c>
      <c r="D88" s="5">
        <v>230916.22700000001</v>
      </c>
      <c r="E88" s="5">
        <v>213462.21900000001</v>
      </c>
      <c r="F88" s="5">
        <v>223404.58499999999</v>
      </c>
      <c r="G88" s="5">
        <v>209971.921</v>
      </c>
      <c r="H88" s="5">
        <v>232888.674</v>
      </c>
      <c r="I88" s="5">
        <v>244574.639</v>
      </c>
      <c r="J88" s="5">
        <v>249602.43299999999</v>
      </c>
      <c r="K88" s="5">
        <v>264060.56</v>
      </c>
      <c r="L88" s="4">
        <v>456667.45199999999</v>
      </c>
      <c r="M88" s="5">
        <v>1036845.949</v>
      </c>
      <c r="N88" s="5">
        <v>940247.36699999997</v>
      </c>
      <c r="O88" s="5">
        <v>412572.58600000001</v>
      </c>
      <c r="P88" s="5">
        <v>662381.95499999996</v>
      </c>
      <c r="Q88" s="5">
        <v>368657.451</v>
      </c>
      <c r="R88" s="5">
        <v>337841.37900000002</v>
      </c>
      <c r="S88" s="5">
        <v>1267862.1610000001</v>
      </c>
      <c r="T88" s="5">
        <v>1591660.1329999999</v>
      </c>
    </row>
    <row r="89" spans="1:20" x14ac:dyDescent="0.25">
      <c r="A89" s="3" t="s">
        <v>35</v>
      </c>
      <c r="B89" t="s">
        <v>130</v>
      </c>
      <c r="C89" s="4">
        <v>211480.08</v>
      </c>
      <c r="D89" s="5">
        <v>120863.086</v>
      </c>
      <c r="E89" s="5">
        <v>104556.811</v>
      </c>
      <c r="F89" s="5">
        <v>84029.082999999999</v>
      </c>
      <c r="G89" s="5">
        <v>72549.159</v>
      </c>
      <c r="H89" s="5">
        <v>107872.29</v>
      </c>
      <c r="I89" s="5">
        <v>109128.43399999999</v>
      </c>
      <c r="J89" s="5">
        <v>155045.136</v>
      </c>
      <c r="K89" s="5">
        <v>170398.973</v>
      </c>
      <c r="L89" s="4">
        <v>581266.17000000004</v>
      </c>
      <c r="M89" s="5">
        <v>575815.36499999999</v>
      </c>
      <c r="N89" s="5">
        <v>941377.11800000002</v>
      </c>
      <c r="O89" s="5">
        <v>237928.14799999999</v>
      </c>
      <c r="P89" s="5">
        <v>126063.46</v>
      </c>
      <c r="Q89" s="5">
        <v>240070.38800000001</v>
      </c>
      <c r="R89" s="5">
        <v>472301.77600000001</v>
      </c>
      <c r="S89" s="5">
        <v>512978.75099999999</v>
      </c>
      <c r="T89" s="5">
        <v>328838.31199999998</v>
      </c>
    </row>
    <row r="90" spans="1:20" x14ac:dyDescent="0.25">
      <c r="A90" s="3" t="s">
        <v>35</v>
      </c>
      <c r="B90" t="s">
        <v>131</v>
      </c>
      <c r="C90" s="4">
        <v>211453.61499999999</v>
      </c>
      <c r="D90" s="5">
        <v>288799.837</v>
      </c>
      <c r="E90" s="5">
        <v>324685.728</v>
      </c>
      <c r="F90" s="5">
        <v>290342.67099999997</v>
      </c>
      <c r="G90" s="5">
        <v>260810.19099999999</v>
      </c>
      <c r="H90" s="5">
        <v>241229.084</v>
      </c>
      <c r="I90" s="5">
        <v>273159.16800000001</v>
      </c>
      <c r="J90" s="5">
        <v>270364.23100000003</v>
      </c>
      <c r="K90" s="5">
        <v>221985.86799999999</v>
      </c>
      <c r="L90" s="4">
        <v>253397.22399999999</v>
      </c>
      <c r="M90" s="5">
        <v>305185.24800000002</v>
      </c>
      <c r="N90" s="5">
        <v>372801.663</v>
      </c>
      <c r="O90" s="5">
        <v>295751.48100000003</v>
      </c>
      <c r="P90" s="5">
        <v>290034.72600000002</v>
      </c>
      <c r="Q90" s="5">
        <v>271881.86700000003</v>
      </c>
      <c r="R90" s="5">
        <v>292257.54399999999</v>
      </c>
      <c r="S90" s="5">
        <v>292454.59600000002</v>
      </c>
      <c r="T90" s="5">
        <v>235642.046</v>
      </c>
    </row>
    <row r="91" spans="1:20" x14ac:dyDescent="0.25">
      <c r="A91" s="3" t="s">
        <v>35</v>
      </c>
      <c r="B91" t="s">
        <v>132</v>
      </c>
      <c r="C91" s="4">
        <v>203879.10800000001</v>
      </c>
      <c r="D91" s="5">
        <v>255939.78</v>
      </c>
      <c r="E91" s="5">
        <v>166396.136</v>
      </c>
      <c r="F91" s="5">
        <v>122034.895</v>
      </c>
      <c r="G91" s="5">
        <v>151099.04399999999</v>
      </c>
      <c r="H91" s="5">
        <v>124367.595</v>
      </c>
      <c r="I91" s="5">
        <v>157292.31299999999</v>
      </c>
      <c r="J91" s="5">
        <v>126351.93799999999</v>
      </c>
      <c r="K91" s="5">
        <v>131028.992</v>
      </c>
      <c r="L91" s="4">
        <v>479791.11800000002</v>
      </c>
      <c r="M91" s="5">
        <v>710319.02</v>
      </c>
      <c r="N91" s="5">
        <v>266625.47200000001</v>
      </c>
      <c r="O91" s="5">
        <v>162105.378</v>
      </c>
      <c r="P91" s="5">
        <v>547012.56700000004</v>
      </c>
      <c r="Q91" s="5">
        <v>234587.07800000001</v>
      </c>
      <c r="R91" s="5">
        <v>509392.10700000002</v>
      </c>
      <c r="S91" s="5">
        <v>242450.995</v>
      </c>
      <c r="T91" s="5">
        <v>497250.24300000002</v>
      </c>
    </row>
    <row r="92" spans="1:20" x14ac:dyDescent="0.25">
      <c r="A92" s="3" t="s">
        <v>35</v>
      </c>
      <c r="B92" t="s">
        <v>133</v>
      </c>
      <c r="C92" s="4">
        <v>122367.56</v>
      </c>
      <c r="D92" s="5">
        <v>91856.312000000005</v>
      </c>
      <c r="E92" s="5">
        <v>68941.540999999997</v>
      </c>
      <c r="F92" s="5">
        <v>86757.688999999998</v>
      </c>
      <c r="G92" s="5">
        <v>104772.111</v>
      </c>
      <c r="H92" s="5">
        <v>134339.44200000001</v>
      </c>
      <c r="I92" s="5">
        <v>212985.342</v>
      </c>
      <c r="J92" s="5">
        <v>182732.21900000001</v>
      </c>
      <c r="K92" s="5">
        <v>175831.41699999999</v>
      </c>
      <c r="L92" s="4">
        <v>122392.489</v>
      </c>
      <c r="M92" s="5">
        <v>91888.175000000003</v>
      </c>
      <c r="N92" s="5">
        <v>68942.786999999997</v>
      </c>
      <c r="O92" s="5">
        <v>86797.755999999994</v>
      </c>
      <c r="P92" s="5">
        <v>104782.417</v>
      </c>
      <c r="Q92" s="5">
        <v>134352.94399999999</v>
      </c>
      <c r="R92" s="5">
        <v>213009.62700000001</v>
      </c>
      <c r="S92" s="5">
        <v>188520.429</v>
      </c>
      <c r="T92" s="5">
        <v>175876.367</v>
      </c>
    </row>
    <row r="93" spans="1:20" x14ac:dyDescent="0.25">
      <c r="A93" s="3" t="s">
        <v>35</v>
      </c>
      <c r="B93" t="s">
        <v>134</v>
      </c>
      <c r="C93" s="4">
        <v>93866.069000000003</v>
      </c>
      <c r="D93" s="5">
        <v>68250.623999999996</v>
      </c>
      <c r="E93" s="5">
        <v>95393.941000000006</v>
      </c>
      <c r="F93" s="5">
        <v>61058.578999999998</v>
      </c>
      <c r="G93" s="5">
        <v>93473.534</v>
      </c>
      <c r="H93" s="5">
        <v>78431.953999999998</v>
      </c>
      <c r="I93" s="5">
        <v>82389.296000000002</v>
      </c>
      <c r="J93" s="5">
        <v>71678.296000000002</v>
      </c>
      <c r="K93" s="5">
        <v>64625.648999999998</v>
      </c>
      <c r="L93" s="4">
        <v>112030.742</v>
      </c>
      <c r="M93" s="5">
        <v>74704.716</v>
      </c>
      <c r="N93" s="5">
        <v>101732.352</v>
      </c>
      <c r="O93" s="5">
        <v>71744.990000000005</v>
      </c>
      <c r="P93" s="5">
        <v>95677.264999999999</v>
      </c>
      <c r="Q93" s="5">
        <v>80226.292000000001</v>
      </c>
      <c r="R93" s="5">
        <v>92010.595000000001</v>
      </c>
      <c r="S93" s="5">
        <v>74631.107999999993</v>
      </c>
      <c r="T93" s="5">
        <v>68005.182000000001</v>
      </c>
    </row>
    <row r="94" spans="1:20" x14ac:dyDescent="0.25">
      <c r="A94" s="3" t="s">
        <v>35</v>
      </c>
      <c r="B94" t="s">
        <v>135</v>
      </c>
      <c r="C94" s="4">
        <v>89440.989000000001</v>
      </c>
      <c r="D94" s="5">
        <v>93690.337</v>
      </c>
      <c r="E94" s="5">
        <v>71337.535000000003</v>
      </c>
      <c r="F94" s="5">
        <v>69069.043999999994</v>
      </c>
      <c r="G94" s="5">
        <v>89413.892999999996</v>
      </c>
      <c r="H94" s="5">
        <v>94139.911999999997</v>
      </c>
      <c r="I94" s="5">
        <v>93763.245999999999</v>
      </c>
      <c r="J94" s="5">
        <v>81743.648000000001</v>
      </c>
      <c r="K94" s="5">
        <v>101553.82799999999</v>
      </c>
      <c r="L94" s="4">
        <v>235441.666</v>
      </c>
      <c r="M94" s="5">
        <v>161852.639</v>
      </c>
      <c r="N94" s="5">
        <v>164129.93400000001</v>
      </c>
      <c r="O94" s="5">
        <v>87551.673999999999</v>
      </c>
      <c r="P94" s="5">
        <v>326149.01</v>
      </c>
      <c r="Q94" s="5">
        <v>106985.45299999999</v>
      </c>
      <c r="R94" s="5">
        <v>290085.56099999999</v>
      </c>
      <c r="S94" s="5">
        <v>120208.08100000001</v>
      </c>
      <c r="T94" s="5">
        <v>393584.23200000002</v>
      </c>
    </row>
    <row r="95" spans="1:20" x14ac:dyDescent="0.25">
      <c r="A95" s="3" t="s">
        <v>35</v>
      </c>
      <c r="B95" t="s">
        <v>136</v>
      </c>
      <c r="C95" s="4">
        <v>88664.505999999994</v>
      </c>
      <c r="D95" s="5">
        <v>89844.615999999995</v>
      </c>
      <c r="E95" s="5">
        <v>82444.645000000004</v>
      </c>
      <c r="F95" s="5">
        <v>68798.968999999997</v>
      </c>
      <c r="G95" s="5">
        <v>56692.425999999999</v>
      </c>
      <c r="H95" s="5">
        <v>79206.48</v>
      </c>
      <c r="I95" s="5">
        <v>101201.715</v>
      </c>
      <c r="J95" s="5">
        <v>64563.29</v>
      </c>
      <c r="K95" s="5">
        <v>74722.543000000005</v>
      </c>
      <c r="L95" s="4">
        <v>88673.384999999995</v>
      </c>
      <c r="M95" s="5">
        <v>89851.744000000006</v>
      </c>
      <c r="N95" s="5">
        <v>82445.819000000003</v>
      </c>
      <c r="O95" s="5">
        <v>68851.150999999998</v>
      </c>
      <c r="P95" s="5">
        <v>56692.425999999999</v>
      </c>
      <c r="Q95" s="5">
        <v>79210.641000000003</v>
      </c>
      <c r="R95" s="5">
        <v>101207.99099999999</v>
      </c>
      <c r="S95" s="5">
        <v>64563.370999999999</v>
      </c>
      <c r="T95" s="5">
        <v>74725.986999999994</v>
      </c>
    </row>
    <row r="96" spans="1:20" x14ac:dyDescent="0.25">
      <c r="A96" s="3" t="s">
        <v>35</v>
      </c>
      <c r="B96" t="s">
        <v>137</v>
      </c>
      <c r="C96" s="4">
        <v>83258.607999999993</v>
      </c>
      <c r="D96" s="5">
        <v>101636.677</v>
      </c>
      <c r="E96" s="5">
        <v>105276.618</v>
      </c>
      <c r="F96" s="5">
        <v>151389.83199999999</v>
      </c>
      <c r="G96" s="5">
        <v>118731.12</v>
      </c>
      <c r="H96" s="5">
        <v>141468.37100000001</v>
      </c>
      <c r="I96" s="5">
        <v>136894.61499999999</v>
      </c>
      <c r="J96" s="5">
        <v>131920.666</v>
      </c>
      <c r="K96" s="5">
        <v>129700.61199999999</v>
      </c>
      <c r="L96" s="4">
        <v>83258.607999999993</v>
      </c>
      <c r="M96" s="5">
        <v>101636.677</v>
      </c>
      <c r="N96" s="5">
        <v>105277.212</v>
      </c>
      <c r="O96" s="5">
        <v>151391.82699999999</v>
      </c>
      <c r="P96" s="5">
        <v>118731.12</v>
      </c>
      <c r="Q96" s="5">
        <v>141468.37100000001</v>
      </c>
      <c r="R96" s="5">
        <v>136914.72099999999</v>
      </c>
      <c r="S96" s="5">
        <v>131920.666</v>
      </c>
      <c r="T96" s="5">
        <v>129703.685</v>
      </c>
    </row>
    <row r="97" spans="1:20" x14ac:dyDescent="0.25">
      <c r="A97" s="3" t="s">
        <v>35</v>
      </c>
      <c r="B97" t="s">
        <v>138</v>
      </c>
      <c r="C97" s="4">
        <v>75023.436000000002</v>
      </c>
      <c r="D97" s="5">
        <v>46825.127999999997</v>
      </c>
      <c r="E97" s="5">
        <v>47763.116000000002</v>
      </c>
      <c r="F97" s="5">
        <v>45306.625</v>
      </c>
      <c r="G97" s="5">
        <v>158655.13200000001</v>
      </c>
      <c r="H97" s="5">
        <v>37246.53</v>
      </c>
      <c r="I97" s="5">
        <v>51379.629000000001</v>
      </c>
      <c r="J97" s="5">
        <v>36052.805999999997</v>
      </c>
      <c r="K97" s="5">
        <v>34952.985000000001</v>
      </c>
      <c r="L97" s="4">
        <v>75023.509999999995</v>
      </c>
      <c r="M97" s="5">
        <v>46825.127999999997</v>
      </c>
      <c r="N97" s="5">
        <v>48244.453999999998</v>
      </c>
      <c r="O97" s="5">
        <v>45389.756999999998</v>
      </c>
      <c r="P97" s="5">
        <v>158655.13200000001</v>
      </c>
      <c r="Q97" s="5">
        <v>37248.788</v>
      </c>
      <c r="R97" s="5">
        <v>51394.629000000001</v>
      </c>
      <c r="S97" s="5">
        <v>36052.805999999997</v>
      </c>
      <c r="T97" s="5">
        <v>34984.035000000003</v>
      </c>
    </row>
    <row r="98" spans="1:20" x14ac:dyDescent="0.25">
      <c r="A98" s="3" t="s">
        <v>35</v>
      </c>
      <c r="B98" t="s">
        <v>139</v>
      </c>
      <c r="C98" s="4">
        <v>74549.718999999997</v>
      </c>
      <c r="D98" s="5">
        <v>160451.728</v>
      </c>
      <c r="E98" s="5">
        <v>103281.243</v>
      </c>
      <c r="F98" s="5">
        <v>101712.694</v>
      </c>
      <c r="G98" s="5">
        <v>64566.453999999998</v>
      </c>
      <c r="H98" s="5">
        <v>70375.551999999996</v>
      </c>
      <c r="I98" s="5">
        <v>90279.411999999997</v>
      </c>
      <c r="J98" s="5">
        <v>73982.403000000006</v>
      </c>
      <c r="K98" s="5">
        <v>97996.691000000006</v>
      </c>
      <c r="L98" s="4">
        <v>74759.523000000001</v>
      </c>
      <c r="M98" s="5">
        <v>241231.258</v>
      </c>
      <c r="N98" s="5">
        <v>105817.43799999999</v>
      </c>
      <c r="O98" s="5">
        <v>102775.274</v>
      </c>
      <c r="P98" s="5">
        <v>380868.50599999999</v>
      </c>
      <c r="Q98" s="5">
        <v>70623.710999999996</v>
      </c>
      <c r="R98" s="5">
        <v>295523.94900000002</v>
      </c>
      <c r="S98" s="5">
        <v>341640.15600000002</v>
      </c>
      <c r="T98" s="5">
        <v>122747.052</v>
      </c>
    </row>
    <row r="99" spans="1:20" x14ac:dyDescent="0.25">
      <c r="A99" s="3" t="s">
        <v>35</v>
      </c>
      <c r="B99" t="s">
        <v>140</v>
      </c>
      <c r="C99" s="4">
        <v>62974.277999999998</v>
      </c>
      <c r="D99" s="5">
        <v>56439.298000000003</v>
      </c>
      <c r="E99" s="5">
        <v>49983.767</v>
      </c>
      <c r="F99" s="5">
        <v>59436.142999999996</v>
      </c>
      <c r="G99" s="5">
        <v>29181.64</v>
      </c>
      <c r="H99" s="5">
        <v>26924.058000000001</v>
      </c>
      <c r="I99" s="5">
        <v>25200.746999999999</v>
      </c>
      <c r="J99" s="5">
        <v>20248.256000000001</v>
      </c>
      <c r="K99" s="5">
        <v>15029.635</v>
      </c>
      <c r="L99" s="4">
        <v>62974.277999999998</v>
      </c>
      <c r="M99" s="5">
        <v>56439.298000000003</v>
      </c>
      <c r="N99" s="5">
        <v>49983.767</v>
      </c>
      <c r="O99" s="5">
        <v>59436.142999999996</v>
      </c>
      <c r="P99" s="5">
        <v>29181.64</v>
      </c>
      <c r="Q99" s="5">
        <v>26927.43</v>
      </c>
      <c r="R99" s="5">
        <v>25200.746999999999</v>
      </c>
      <c r="S99" s="5">
        <v>20253.685000000001</v>
      </c>
      <c r="T99" s="5">
        <v>15033.501</v>
      </c>
    </row>
    <row r="100" spans="1:20" x14ac:dyDescent="0.25">
      <c r="A100" s="3" t="s">
        <v>35</v>
      </c>
      <c r="B100" t="s">
        <v>141</v>
      </c>
      <c r="C100" s="4">
        <v>60752.523000000001</v>
      </c>
      <c r="D100" s="5">
        <v>47658.434999999998</v>
      </c>
      <c r="E100" s="5">
        <v>18173.530999999999</v>
      </c>
      <c r="F100" s="5">
        <v>21553.519</v>
      </c>
      <c r="G100" s="5">
        <v>18270.972000000002</v>
      </c>
      <c r="H100" s="5">
        <v>18963.370999999999</v>
      </c>
      <c r="I100" s="5">
        <v>19717.243999999999</v>
      </c>
      <c r="J100" s="5">
        <v>12636.245999999999</v>
      </c>
      <c r="K100" s="5">
        <v>17142.192999999999</v>
      </c>
      <c r="L100" s="4">
        <v>60752.53</v>
      </c>
      <c r="M100" s="5">
        <v>47674.462</v>
      </c>
      <c r="N100" s="5">
        <v>18175.774000000001</v>
      </c>
      <c r="O100" s="5">
        <v>21643.187000000002</v>
      </c>
      <c r="P100" s="5">
        <v>18270.972000000002</v>
      </c>
      <c r="Q100" s="5">
        <v>18963.370999999999</v>
      </c>
      <c r="R100" s="5">
        <v>19717.73</v>
      </c>
      <c r="S100" s="5">
        <v>12636.245999999999</v>
      </c>
      <c r="T100" s="5">
        <v>17240.624</v>
      </c>
    </row>
    <row r="101" spans="1:20" x14ac:dyDescent="0.25">
      <c r="A101" s="3" t="s">
        <v>35</v>
      </c>
      <c r="B101" t="s">
        <v>142</v>
      </c>
      <c r="C101" s="4">
        <v>43651.500999999997</v>
      </c>
      <c r="D101" s="5">
        <v>59148.237000000001</v>
      </c>
      <c r="E101" s="5">
        <v>70250.119000000006</v>
      </c>
      <c r="F101" s="5">
        <v>18605.490000000002</v>
      </c>
      <c r="G101" s="5">
        <v>11652.037</v>
      </c>
      <c r="H101" s="5">
        <v>8006.5839999999998</v>
      </c>
      <c r="I101" s="5">
        <v>11217.813</v>
      </c>
      <c r="J101" s="5">
        <v>16584.670999999998</v>
      </c>
      <c r="K101" s="5">
        <v>7334.15</v>
      </c>
      <c r="L101" s="4">
        <v>45773.650999999998</v>
      </c>
      <c r="M101" s="5">
        <v>61233.262000000002</v>
      </c>
      <c r="N101" s="5">
        <v>70535.206999999995</v>
      </c>
      <c r="O101" s="5">
        <v>18605.490000000002</v>
      </c>
      <c r="P101" s="5">
        <v>11652.037</v>
      </c>
      <c r="Q101" s="5">
        <v>8006.5839999999998</v>
      </c>
      <c r="R101" s="5">
        <v>11217.813</v>
      </c>
      <c r="S101" s="5">
        <v>16584.670999999998</v>
      </c>
      <c r="T101" s="5">
        <v>7426.4920000000002</v>
      </c>
    </row>
    <row r="102" spans="1:20" x14ac:dyDescent="0.25">
      <c r="A102" s="3" t="s">
        <v>35</v>
      </c>
      <c r="B102" t="s">
        <v>143</v>
      </c>
      <c r="C102" s="4">
        <v>42541.243000000002</v>
      </c>
      <c r="D102" s="5">
        <v>29939.006000000001</v>
      </c>
      <c r="E102" s="5">
        <v>35447.875</v>
      </c>
      <c r="F102" s="5">
        <v>77496.025999999998</v>
      </c>
      <c r="G102" s="5">
        <v>13606.713</v>
      </c>
      <c r="H102" s="5">
        <v>12336.53</v>
      </c>
      <c r="I102" s="5">
        <v>23495.246999999999</v>
      </c>
      <c r="J102" s="5">
        <v>20896.949000000001</v>
      </c>
      <c r="K102" s="5">
        <v>14069.936</v>
      </c>
      <c r="L102" s="4">
        <v>42541.243000000002</v>
      </c>
      <c r="M102" s="5">
        <v>29939.006000000001</v>
      </c>
      <c r="N102" s="5">
        <v>35447.875</v>
      </c>
      <c r="O102" s="5">
        <v>77496.025999999998</v>
      </c>
      <c r="P102" s="5">
        <v>13606.713</v>
      </c>
      <c r="Q102" s="5">
        <v>12336.53</v>
      </c>
      <c r="R102" s="5">
        <v>23495.246999999999</v>
      </c>
      <c r="S102" s="5">
        <v>20896.949000000001</v>
      </c>
      <c r="T102" s="5">
        <v>14069.936</v>
      </c>
    </row>
    <row r="103" spans="1:20" x14ac:dyDescent="0.25">
      <c r="A103" s="3" t="s">
        <v>35</v>
      </c>
      <c r="B103" t="s">
        <v>144</v>
      </c>
      <c r="C103" s="4">
        <v>38421.646999999997</v>
      </c>
      <c r="D103" s="5">
        <v>27177.142</v>
      </c>
      <c r="E103" s="5">
        <v>22004.585999999999</v>
      </c>
      <c r="F103" s="5">
        <v>19334.978999999999</v>
      </c>
      <c r="G103" s="5">
        <v>17228.421999999999</v>
      </c>
      <c r="H103" s="5">
        <v>18983.151000000002</v>
      </c>
      <c r="I103" s="5">
        <v>245759.106</v>
      </c>
      <c r="J103" s="5">
        <v>32203.413</v>
      </c>
      <c r="K103" s="5">
        <v>22911.115000000002</v>
      </c>
      <c r="L103" s="4">
        <v>38906.061999999998</v>
      </c>
      <c r="M103" s="5">
        <v>27319.159</v>
      </c>
      <c r="N103" s="5">
        <v>22013.188999999998</v>
      </c>
      <c r="O103" s="5">
        <v>67931.755000000005</v>
      </c>
      <c r="P103" s="5">
        <v>43945.898999999998</v>
      </c>
      <c r="Q103" s="5">
        <v>93554.99</v>
      </c>
      <c r="R103" s="5">
        <v>249729.40900000001</v>
      </c>
      <c r="S103" s="5">
        <v>32287.512999999999</v>
      </c>
      <c r="T103" s="5">
        <v>24359.120999999999</v>
      </c>
    </row>
    <row r="104" spans="1:20" x14ac:dyDescent="0.25">
      <c r="A104" s="3" t="s">
        <v>35</v>
      </c>
      <c r="B104" t="s">
        <v>145</v>
      </c>
      <c r="C104" s="4">
        <v>36358.050000000003</v>
      </c>
      <c r="D104" s="5">
        <v>34760.707999999999</v>
      </c>
      <c r="E104" s="5">
        <v>26680.276999999998</v>
      </c>
      <c r="F104" s="5">
        <v>31124.536</v>
      </c>
      <c r="G104" s="5">
        <v>42792.091999999997</v>
      </c>
      <c r="H104" s="5">
        <v>44320.966999999997</v>
      </c>
      <c r="I104" s="5">
        <v>62343.945</v>
      </c>
      <c r="J104" s="5">
        <v>52618.307999999997</v>
      </c>
      <c r="K104" s="5">
        <v>50543.375999999997</v>
      </c>
      <c r="L104" s="4">
        <v>36362.031999999999</v>
      </c>
      <c r="M104" s="5">
        <v>34760.707999999999</v>
      </c>
      <c r="N104" s="5">
        <v>26680.276999999998</v>
      </c>
      <c r="O104" s="5">
        <v>31129.013999999999</v>
      </c>
      <c r="P104" s="5">
        <v>42799.887999999999</v>
      </c>
      <c r="Q104" s="5">
        <v>44417.031999999999</v>
      </c>
      <c r="R104" s="5">
        <v>62347.243000000002</v>
      </c>
      <c r="S104" s="5">
        <v>52626.803</v>
      </c>
      <c r="T104" s="5">
        <v>50547.375999999997</v>
      </c>
    </row>
    <row r="105" spans="1:20" x14ac:dyDescent="0.25">
      <c r="A105" s="3" t="s">
        <v>35</v>
      </c>
      <c r="B105" t="s">
        <v>146</v>
      </c>
      <c r="C105" s="4">
        <v>21269.625</v>
      </c>
      <c r="D105" s="5">
        <v>35261.353999999999</v>
      </c>
      <c r="E105" s="5">
        <v>37340.620999999999</v>
      </c>
      <c r="F105" s="5">
        <v>34506.546000000002</v>
      </c>
      <c r="G105" s="5">
        <v>15463.317999999999</v>
      </c>
      <c r="H105" s="5">
        <v>7041.125</v>
      </c>
      <c r="I105" s="5">
        <v>9941.3790000000008</v>
      </c>
      <c r="J105" s="5">
        <v>11341.572</v>
      </c>
      <c r="K105" s="5">
        <v>11283.504000000001</v>
      </c>
      <c r="L105" s="4">
        <v>21269.625</v>
      </c>
      <c r="M105" s="5">
        <v>35261.353999999999</v>
      </c>
      <c r="N105" s="5">
        <v>37340.620999999999</v>
      </c>
      <c r="O105" s="5">
        <v>34506.546000000002</v>
      </c>
      <c r="P105" s="5">
        <v>15463.317999999999</v>
      </c>
      <c r="Q105" s="5">
        <v>7041.125</v>
      </c>
      <c r="R105" s="5">
        <v>9941.3790000000008</v>
      </c>
      <c r="S105" s="5">
        <v>11341.572</v>
      </c>
      <c r="T105" s="5">
        <v>11283.504000000001</v>
      </c>
    </row>
    <row r="106" spans="1:20" x14ac:dyDescent="0.25">
      <c r="A106" s="3" t="s">
        <v>35</v>
      </c>
      <c r="B106" t="s">
        <v>147</v>
      </c>
      <c r="C106" s="4">
        <v>17817.058000000001</v>
      </c>
      <c r="D106" s="5">
        <v>11778.315000000001</v>
      </c>
      <c r="E106" s="5">
        <v>10891.834999999999</v>
      </c>
      <c r="F106" s="5">
        <v>10804.434999999999</v>
      </c>
      <c r="G106" s="5">
        <v>4597.7269999999999</v>
      </c>
      <c r="H106" s="5">
        <v>3657.9259999999999</v>
      </c>
      <c r="I106" s="5">
        <v>4347.1189999999997</v>
      </c>
      <c r="J106" s="5">
        <v>4354.6109999999999</v>
      </c>
      <c r="K106" s="5">
        <v>4769.4470000000001</v>
      </c>
      <c r="L106" s="4">
        <v>36276.199999999997</v>
      </c>
      <c r="M106" s="5">
        <v>43632.017</v>
      </c>
      <c r="N106" s="5">
        <v>76631.127999999997</v>
      </c>
      <c r="O106" s="5">
        <v>38073.161999999997</v>
      </c>
      <c r="P106" s="5">
        <v>30282.312999999998</v>
      </c>
      <c r="Q106" s="5">
        <v>31734.359</v>
      </c>
      <c r="R106" s="5">
        <v>30656.77</v>
      </c>
      <c r="S106" s="5">
        <v>119730.68700000001</v>
      </c>
      <c r="T106" s="5">
        <v>21805.612000000001</v>
      </c>
    </row>
    <row r="107" spans="1:20" x14ac:dyDescent="0.25">
      <c r="A107" s="3" t="s">
        <v>35</v>
      </c>
      <c r="B107" t="s">
        <v>148</v>
      </c>
      <c r="C107" s="4">
        <v>12808.212</v>
      </c>
      <c r="D107" s="5">
        <v>15731.16</v>
      </c>
      <c r="E107" s="5">
        <v>12327.356</v>
      </c>
      <c r="F107" s="5">
        <v>15444.050999999999</v>
      </c>
      <c r="G107" s="5">
        <v>12458.234</v>
      </c>
      <c r="H107" s="5">
        <v>18972.135999999999</v>
      </c>
      <c r="I107" s="5">
        <v>17987.342000000001</v>
      </c>
      <c r="J107" s="5">
        <v>14224.427</v>
      </c>
      <c r="K107" s="5">
        <v>25252.305</v>
      </c>
      <c r="L107" s="4">
        <v>12809.323</v>
      </c>
      <c r="M107" s="5">
        <v>15742.468999999999</v>
      </c>
      <c r="N107" s="5">
        <v>12327.356</v>
      </c>
      <c r="O107" s="5">
        <v>15446.197</v>
      </c>
      <c r="P107" s="5">
        <v>12617.065000000001</v>
      </c>
      <c r="Q107" s="5">
        <v>19047.059000000001</v>
      </c>
      <c r="R107" s="5">
        <v>18004.256000000001</v>
      </c>
      <c r="S107" s="5">
        <v>14230.846</v>
      </c>
      <c r="T107" s="5">
        <v>25387.013999999999</v>
      </c>
    </row>
    <row r="108" spans="1:20" x14ac:dyDescent="0.25">
      <c r="A108" s="3" t="s">
        <v>35</v>
      </c>
      <c r="B108" t="s">
        <v>149</v>
      </c>
      <c r="C108" s="4">
        <v>11081.923000000001</v>
      </c>
      <c r="D108" s="5">
        <v>9282.2350000000006</v>
      </c>
      <c r="E108" s="5">
        <v>9865.1640000000007</v>
      </c>
      <c r="F108" s="5">
        <v>6732.8789999999999</v>
      </c>
      <c r="G108" s="5">
        <v>6480.4179999999997</v>
      </c>
      <c r="H108" s="5">
        <v>6156.1239999999998</v>
      </c>
      <c r="I108" s="5">
        <v>6094.232</v>
      </c>
      <c r="J108" s="5">
        <v>4995.2780000000002</v>
      </c>
      <c r="K108" s="5">
        <v>4500.0050000000001</v>
      </c>
      <c r="L108" s="4">
        <v>11083.071</v>
      </c>
      <c r="M108" s="5">
        <v>9282.2459999999992</v>
      </c>
      <c r="N108" s="5">
        <v>9865.1640000000007</v>
      </c>
      <c r="O108" s="5">
        <v>6967.56</v>
      </c>
      <c r="P108" s="5">
        <v>6556.3509999999997</v>
      </c>
      <c r="Q108" s="5">
        <v>6175.1869999999999</v>
      </c>
      <c r="R108" s="5">
        <v>6094.232</v>
      </c>
      <c r="S108" s="5">
        <v>4995.2780000000002</v>
      </c>
      <c r="T108" s="5">
        <v>4500.0050000000001</v>
      </c>
    </row>
    <row r="109" spans="1:20" x14ac:dyDescent="0.25">
      <c r="A109" s="3" t="s">
        <v>35</v>
      </c>
      <c r="B109" t="s">
        <v>150</v>
      </c>
      <c r="C109" s="4">
        <v>9071.8410000000003</v>
      </c>
      <c r="D109" s="5">
        <v>16982.852999999999</v>
      </c>
      <c r="E109" s="5">
        <v>9433.5490000000009</v>
      </c>
      <c r="F109" s="5">
        <v>16285.829</v>
      </c>
      <c r="G109" s="5">
        <v>10603.225</v>
      </c>
      <c r="H109" s="5">
        <v>9478.9940000000006</v>
      </c>
      <c r="I109" s="5">
        <v>8494.9429999999993</v>
      </c>
      <c r="J109" s="5">
        <v>8818.3189999999995</v>
      </c>
      <c r="K109" s="5">
        <v>9268.6569999999992</v>
      </c>
      <c r="L109" s="4">
        <v>9071.8410000000003</v>
      </c>
      <c r="M109" s="5">
        <v>16995.422999999999</v>
      </c>
      <c r="N109" s="5">
        <v>9433.5490000000009</v>
      </c>
      <c r="O109" s="5">
        <v>16285.829</v>
      </c>
      <c r="P109" s="5">
        <v>10607.248</v>
      </c>
      <c r="Q109" s="5">
        <v>9492.94</v>
      </c>
      <c r="R109" s="5">
        <v>8498.0849999999991</v>
      </c>
      <c r="S109" s="5">
        <v>8821.3109999999997</v>
      </c>
      <c r="T109" s="5">
        <v>9475.6689999999999</v>
      </c>
    </row>
    <row r="110" spans="1:20" x14ac:dyDescent="0.25">
      <c r="A110" s="3" t="s">
        <v>35</v>
      </c>
      <c r="B110" t="s">
        <v>151</v>
      </c>
      <c r="C110" s="4">
        <v>8640.7690000000002</v>
      </c>
      <c r="D110" s="5">
        <v>7523.3410000000003</v>
      </c>
      <c r="E110" s="5">
        <v>6928.5450000000001</v>
      </c>
      <c r="F110" s="5">
        <v>4447.75</v>
      </c>
      <c r="G110" s="5">
        <v>19377.606</v>
      </c>
      <c r="H110" s="5">
        <v>11056.272999999999</v>
      </c>
      <c r="I110" s="5">
        <v>5427.7830000000004</v>
      </c>
      <c r="J110" s="5">
        <v>7595.1409999999996</v>
      </c>
      <c r="K110" s="5">
        <v>8085.0969999999998</v>
      </c>
      <c r="L110" s="4">
        <v>8641.5429999999997</v>
      </c>
      <c r="M110" s="5">
        <v>7529.57</v>
      </c>
      <c r="N110" s="5">
        <v>6930.6319999999996</v>
      </c>
      <c r="O110" s="5">
        <v>4447.75</v>
      </c>
      <c r="P110" s="5">
        <v>19408.507000000001</v>
      </c>
      <c r="Q110" s="5">
        <v>11056.272999999999</v>
      </c>
      <c r="R110" s="5">
        <v>5427.7830000000004</v>
      </c>
      <c r="S110" s="5">
        <v>7595.1409999999996</v>
      </c>
      <c r="T110" s="5">
        <v>8085.0969999999998</v>
      </c>
    </row>
    <row r="111" spans="1:20" x14ac:dyDescent="0.25">
      <c r="A111" s="3" t="s">
        <v>35</v>
      </c>
      <c r="B111" t="s">
        <v>152</v>
      </c>
      <c r="C111" s="4">
        <v>7642.1210000000001</v>
      </c>
      <c r="D111" s="5">
        <v>802.36</v>
      </c>
      <c r="E111" s="5">
        <v>608.42100000000005</v>
      </c>
      <c r="F111" s="5">
        <v>2075.8449999999998</v>
      </c>
      <c r="G111" s="5">
        <v>2573.8139999999999</v>
      </c>
      <c r="H111" s="5">
        <v>689.70100000000002</v>
      </c>
      <c r="I111" s="5">
        <v>2622.7530000000002</v>
      </c>
      <c r="J111" s="5">
        <v>2663.4830000000002</v>
      </c>
      <c r="K111" s="5">
        <v>674.96500000000003</v>
      </c>
      <c r="L111" s="4">
        <v>7642.1210000000001</v>
      </c>
      <c r="M111" s="5">
        <v>802.36</v>
      </c>
      <c r="N111" s="5">
        <v>608.42100000000005</v>
      </c>
      <c r="O111" s="5">
        <v>2075.8449999999998</v>
      </c>
      <c r="P111" s="5">
        <v>2573.8139999999999</v>
      </c>
      <c r="Q111" s="5">
        <v>689.70100000000002</v>
      </c>
      <c r="R111" s="5">
        <v>2622.7530000000002</v>
      </c>
      <c r="S111" s="5">
        <v>2663.4830000000002</v>
      </c>
      <c r="T111" s="5">
        <v>674.96500000000003</v>
      </c>
    </row>
    <row r="112" spans="1:20" x14ac:dyDescent="0.25">
      <c r="A112" s="3" t="s">
        <v>35</v>
      </c>
      <c r="B112" t="s">
        <v>153</v>
      </c>
      <c r="C112" s="4">
        <v>5258.6559999999999</v>
      </c>
      <c r="D112" s="5">
        <v>4503.0889999999999</v>
      </c>
      <c r="E112" s="5">
        <v>5828.3819999999996</v>
      </c>
      <c r="F112" s="5">
        <v>14913.637000000001</v>
      </c>
      <c r="G112" s="5">
        <v>6767.1319999999996</v>
      </c>
      <c r="H112" s="5">
        <v>13819.681</v>
      </c>
      <c r="I112" s="5">
        <v>5416.5590000000002</v>
      </c>
      <c r="J112" s="5">
        <v>7322.3230000000003</v>
      </c>
      <c r="K112" s="5">
        <v>8368.8089999999993</v>
      </c>
      <c r="L112" s="4">
        <v>55826.16</v>
      </c>
      <c r="M112" s="5">
        <v>10451.728999999999</v>
      </c>
      <c r="N112" s="5">
        <v>25275.108</v>
      </c>
      <c r="O112" s="5">
        <v>14913.637000000001</v>
      </c>
      <c r="P112" s="5">
        <v>20959.805</v>
      </c>
      <c r="Q112" s="5">
        <v>28783.223999999998</v>
      </c>
      <c r="R112" s="5">
        <v>96594.096000000005</v>
      </c>
      <c r="S112" s="5">
        <v>15840.796</v>
      </c>
      <c r="T112" s="5">
        <v>8369.1489999999994</v>
      </c>
    </row>
    <row r="113" spans="1:20" x14ac:dyDescent="0.25">
      <c r="A113" s="3" t="s">
        <v>35</v>
      </c>
      <c r="B113" t="s">
        <v>154</v>
      </c>
      <c r="C113" s="4">
        <v>5179.3639999999996</v>
      </c>
      <c r="D113" s="5">
        <v>6109.1750000000002</v>
      </c>
      <c r="E113" s="5">
        <v>5761.6409999999996</v>
      </c>
      <c r="F113" s="5">
        <v>3581.5770000000002</v>
      </c>
      <c r="G113" s="5">
        <v>10037.974</v>
      </c>
      <c r="H113" s="5">
        <v>3860.8829999999998</v>
      </c>
      <c r="I113" s="5">
        <v>6540.5659999999998</v>
      </c>
      <c r="J113" s="5">
        <v>9219.4120000000003</v>
      </c>
      <c r="K113" s="5">
        <v>6500.6390000000001</v>
      </c>
      <c r="L113" s="4">
        <v>5241.7950000000001</v>
      </c>
      <c r="M113" s="5">
        <v>6109.1750000000002</v>
      </c>
      <c r="N113" s="5">
        <v>5761.6409999999996</v>
      </c>
      <c r="O113" s="5">
        <v>3581.5770000000002</v>
      </c>
      <c r="P113" s="5">
        <v>10037.974</v>
      </c>
      <c r="Q113" s="5">
        <v>3860.8829999999998</v>
      </c>
      <c r="R113" s="5">
        <v>6540.5659999999998</v>
      </c>
      <c r="S113" s="5">
        <v>9219.4120000000003</v>
      </c>
      <c r="T113" s="5">
        <v>6500.6390000000001</v>
      </c>
    </row>
    <row r="114" spans="1:20" x14ac:dyDescent="0.25">
      <c r="A114" s="3" t="s">
        <v>35</v>
      </c>
      <c r="B114" t="s">
        <v>155</v>
      </c>
      <c r="C114" s="4">
        <v>2992.6320000000001</v>
      </c>
      <c r="D114" s="5">
        <v>7143.9880000000003</v>
      </c>
      <c r="E114" s="5">
        <v>3334.9079999999999</v>
      </c>
      <c r="F114" s="5">
        <v>6317.8029999999999</v>
      </c>
      <c r="G114" s="5">
        <v>4933.2240000000002</v>
      </c>
      <c r="H114" s="5">
        <v>16554.578000000001</v>
      </c>
      <c r="I114" s="5">
        <v>7900.8829999999998</v>
      </c>
      <c r="J114" s="5">
        <v>8603.8080000000009</v>
      </c>
      <c r="K114" s="5">
        <v>3742.7179999999998</v>
      </c>
      <c r="L114" s="4">
        <v>2992.6320000000001</v>
      </c>
      <c r="M114" s="5">
        <v>7143.9880000000003</v>
      </c>
      <c r="N114" s="5">
        <v>3334.9079999999999</v>
      </c>
      <c r="O114" s="5">
        <v>6317.8029999999999</v>
      </c>
      <c r="P114" s="5">
        <v>4933.2240000000002</v>
      </c>
      <c r="Q114" s="5">
        <v>16554.902999999998</v>
      </c>
      <c r="R114" s="5">
        <v>7900.8829999999998</v>
      </c>
      <c r="S114" s="5">
        <v>8603.8080000000009</v>
      </c>
      <c r="T114" s="5">
        <v>4166.5680000000002</v>
      </c>
    </row>
    <row r="115" spans="1:20" x14ac:dyDescent="0.25">
      <c r="A115" s="3" t="s">
        <v>35</v>
      </c>
      <c r="B115" t="s">
        <v>156</v>
      </c>
      <c r="C115" s="4">
        <v>2866.2069999999999</v>
      </c>
      <c r="D115" s="5">
        <v>2459.92</v>
      </c>
      <c r="E115" s="5">
        <v>3180.7080000000001</v>
      </c>
      <c r="F115" s="5">
        <v>3239.3519999999999</v>
      </c>
      <c r="G115" s="5">
        <v>3305.3069999999998</v>
      </c>
      <c r="H115" s="5">
        <v>0</v>
      </c>
      <c r="I115" s="5">
        <v>0</v>
      </c>
      <c r="J115" s="5">
        <v>0</v>
      </c>
      <c r="K115" s="5">
        <v>0</v>
      </c>
      <c r="L115" s="4">
        <v>2866.2069999999999</v>
      </c>
      <c r="M115" s="5">
        <v>2459.92</v>
      </c>
      <c r="N115" s="5">
        <v>3180.7080000000001</v>
      </c>
      <c r="O115" s="5">
        <v>3239.3519999999999</v>
      </c>
      <c r="P115" s="5">
        <v>3305.3069999999998</v>
      </c>
      <c r="Q115" s="5">
        <v>0</v>
      </c>
      <c r="R115" s="5">
        <v>0</v>
      </c>
      <c r="S115" s="5">
        <v>0</v>
      </c>
      <c r="T115" s="5">
        <v>0</v>
      </c>
    </row>
    <row r="116" spans="1:20" x14ac:dyDescent="0.25">
      <c r="A116" s="3" t="s">
        <v>35</v>
      </c>
      <c r="B116" t="s">
        <v>157</v>
      </c>
      <c r="C116" s="4">
        <v>2684.752</v>
      </c>
      <c r="D116" s="5">
        <v>460.93299999999999</v>
      </c>
      <c r="E116" s="5">
        <v>214.68199999999999</v>
      </c>
      <c r="F116" s="5">
        <v>136.77799999999999</v>
      </c>
      <c r="G116" s="5">
        <v>89.617000000000004</v>
      </c>
      <c r="H116" s="5">
        <v>145.40799999999999</v>
      </c>
      <c r="I116" s="5">
        <v>248.85900000000001</v>
      </c>
      <c r="J116" s="5">
        <v>421.01900000000001</v>
      </c>
      <c r="K116" s="5">
        <v>1450.13</v>
      </c>
      <c r="L116" s="4">
        <v>2684.752</v>
      </c>
      <c r="M116" s="5">
        <v>518.24099999999999</v>
      </c>
      <c r="N116" s="5">
        <v>214.68199999999999</v>
      </c>
      <c r="O116" s="5">
        <v>136.77799999999999</v>
      </c>
      <c r="P116" s="5">
        <v>89.617000000000004</v>
      </c>
      <c r="Q116" s="5">
        <v>145.40799999999999</v>
      </c>
      <c r="R116" s="5">
        <v>248.85900000000001</v>
      </c>
      <c r="S116" s="5">
        <v>421.01900000000001</v>
      </c>
      <c r="T116" s="5">
        <v>1450.13</v>
      </c>
    </row>
    <row r="117" spans="1:20" x14ac:dyDescent="0.25">
      <c r="A117" s="3" t="s">
        <v>35</v>
      </c>
      <c r="B117" t="s">
        <v>158</v>
      </c>
      <c r="C117" s="4">
        <v>2332.2620000000002</v>
      </c>
      <c r="D117" s="5">
        <v>51.091000000000001</v>
      </c>
      <c r="E117" s="5">
        <v>551.13599999999997</v>
      </c>
      <c r="F117" s="5">
        <v>0</v>
      </c>
      <c r="G117" s="5">
        <v>0</v>
      </c>
      <c r="H117" s="5">
        <v>523.09699999999998</v>
      </c>
      <c r="I117" s="5">
        <v>60.831000000000003</v>
      </c>
      <c r="J117" s="5">
        <v>417.00400000000002</v>
      </c>
      <c r="K117" s="5">
        <v>7377.7529999999997</v>
      </c>
      <c r="L117" s="4">
        <v>2332.2620000000002</v>
      </c>
      <c r="M117" s="5">
        <v>51.091000000000001</v>
      </c>
      <c r="N117" s="5">
        <v>551.13599999999997</v>
      </c>
      <c r="O117" s="5">
        <v>0</v>
      </c>
      <c r="P117" s="5">
        <v>0</v>
      </c>
      <c r="Q117" s="5">
        <v>523.09699999999998</v>
      </c>
      <c r="R117" s="5">
        <v>60.831000000000003</v>
      </c>
      <c r="S117" s="5">
        <v>417.00400000000002</v>
      </c>
      <c r="T117" s="5">
        <v>7377.7529999999997</v>
      </c>
    </row>
    <row r="118" spans="1:20" x14ac:dyDescent="0.25">
      <c r="A118" s="3" t="s">
        <v>35</v>
      </c>
      <c r="B118" t="s">
        <v>159</v>
      </c>
      <c r="C118" s="4">
        <v>1408.0809999999999</v>
      </c>
      <c r="D118" s="5">
        <v>1896.992</v>
      </c>
      <c r="E118" s="5">
        <v>1167.0999999999999</v>
      </c>
      <c r="F118" s="5">
        <v>956.89599999999996</v>
      </c>
      <c r="G118" s="5">
        <v>1404.1079999999999</v>
      </c>
      <c r="H118" s="5">
        <v>3145.6379999999999</v>
      </c>
      <c r="I118" s="5">
        <v>2318.3069999999998</v>
      </c>
      <c r="J118" s="5">
        <v>2697.2150000000001</v>
      </c>
      <c r="K118" s="5">
        <v>2049.7510000000002</v>
      </c>
      <c r="L118" s="4">
        <v>1517.181</v>
      </c>
      <c r="M118" s="5">
        <v>1981.915</v>
      </c>
      <c r="N118" s="5">
        <v>1185.06</v>
      </c>
      <c r="O118" s="5">
        <v>986.96199999999999</v>
      </c>
      <c r="P118" s="5">
        <v>1522.296</v>
      </c>
      <c r="Q118" s="5">
        <v>4165.4129999999996</v>
      </c>
      <c r="R118" s="5">
        <v>3136.8150000000001</v>
      </c>
      <c r="S118" s="5">
        <v>3210.8960000000002</v>
      </c>
      <c r="T118" s="5">
        <v>2468.7559999999999</v>
      </c>
    </row>
    <row r="119" spans="1:20" x14ac:dyDescent="0.25">
      <c r="A119" s="3" t="s">
        <v>35</v>
      </c>
      <c r="B119" t="s">
        <v>160</v>
      </c>
      <c r="C119" s="4">
        <v>1378.66</v>
      </c>
      <c r="D119" s="5">
        <v>384.048</v>
      </c>
      <c r="E119" s="5">
        <v>795.99400000000003</v>
      </c>
      <c r="F119" s="5">
        <v>773.66499999999996</v>
      </c>
      <c r="G119" s="5">
        <v>349.221</v>
      </c>
      <c r="H119" s="5">
        <v>602.40800000000002</v>
      </c>
      <c r="I119" s="5">
        <v>1332.7919999999999</v>
      </c>
      <c r="J119" s="5">
        <v>1537.9390000000001</v>
      </c>
      <c r="K119" s="5">
        <v>1515.011</v>
      </c>
      <c r="L119" s="4">
        <v>1379.7670000000001</v>
      </c>
      <c r="M119" s="5">
        <v>384.048</v>
      </c>
      <c r="N119" s="5">
        <v>795.99400000000003</v>
      </c>
      <c r="O119" s="5">
        <v>773.66499999999996</v>
      </c>
      <c r="P119" s="5">
        <v>349.221</v>
      </c>
      <c r="Q119" s="5">
        <v>602.40800000000002</v>
      </c>
      <c r="R119" s="5">
        <v>1334.88</v>
      </c>
      <c r="S119" s="5">
        <v>1687.327</v>
      </c>
      <c r="T119" s="5">
        <v>1752.394</v>
      </c>
    </row>
    <row r="120" spans="1:20" x14ac:dyDescent="0.25">
      <c r="A120" s="3" t="s">
        <v>35</v>
      </c>
      <c r="B120" t="s">
        <v>161</v>
      </c>
      <c r="C120" s="4">
        <v>1351.5150000000001</v>
      </c>
      <c r="D120" s="5">
        <v>274.8</v>
      </c>
      <c r="E120" s="5">
        <v>426.86</v>
      </c>
      <c r="F120" s="5">
        <v>332.11200000000002</v>
      </c>
      <c r="G120" s="5">
        <v>2055.9609999999998</v>
      </c>
      <c r="H120" s="5">
        <v>1318.29</v>
      </c>
      <c r="I120" s="5">
        <v>2541.3879999999999</v>
      </c>
      <c r="J120" s="5">
        <v>1887.923</v>
      </c>
      <c r="K120" s="5">
        <v>372.43</v>
      </c>
      <c r="L120" s="4">
        <v>1351.5150000000001</v>
      </c>
      <c r="M120" s="5">
        <v>274.8</v>
      </c>
      <c r="N120" s="5">
        <v>426.86</v>
      </c>
      <c r="O120" s="5">
        <v>332.11200000000002</v>
      </c>
      <c r="P120" s="5">
        <v>2055.9609999999998</v>
      </c>
      <c r="Q120" s="5">
        <v>1318.29</v>
      </c>
      <c r="R120" s="5">
        <v>2541.3879999999999</v>
      </c>
      <c r="S120" s="5">
        <v>1887.923</v>
      </c>
      <c r="T120" s="5">
        <v>372.43</v>
      </c>
    </row>
    <row r="121" spans="1:20" x14ac:dyDescent="0.25">
      <c r="A121" s="3" t="s">
        <v>35</v>
      </c>
      <c r="B121" t="s">
        <v>162</v>
      </c>
      <c r="C121" s="4">
        <v>863.678</v>
      </c>
      <c r="D121" s="5">
        <v>1875.1579999999999</v>
      </c>
      <c r="E121" s="5">
        <v>1187.884</v>
      </c>
      <c r="F121" s="5">
        <v>2235.3919999999998</v>
      </c>
      <c r="G121" s="5">
        <v>1309.644</v>
      </c>
      <c r="H121" s="5">
        <v>2863.7420000000002</v>
      </c>
      <c r="I121" s="5">
        <v>3200.93</v>
      </c>
      <c r="J121" s="5">
        <v>5661.92</v>
      </c>
      <c r="K121" s="5">
        <v>4081.7890000000002</v>
      </c>
      <c r="L121" s="4">
        <v>863.678</v>
      </c>
      <c r="M121" s="5">
        <v>1875.1579999999999</v>
      </c>
      <c r="N121" s="5">
        <v>1187.884</v>
      </c>
      <c r="O121" s="5">
        <v>2235.3919999999998</v>
      </c>
      <c r="P121" s="5">
        <v>1309.644</v>
      </c>
      <c r="Q121" s="5">
        <v>2863.7420000000002</v>
      </c>
      <c r="R121" s="5">
        <v>3200.93</v>
      </c>
      <c r="S121" s="5">
        <v>5661.92</v>
      </c>
      <c r="T121" s="5">
        <v>4081.7890000000002</v>
      </c>
    </row>
    <row r="122" spans="1:20" x14ac:dyDescent="0.25">
      <c r="A122" s="3" t="s">
        <v>35</v>
      </c>
      <c r="B122" t="s">
        <v>163</v>
      </c>
      <c r="C122" s="4">
        <v>842.79300000000001</v>
      </c>
      <c r="D122" s="5">
        <v>635.59</v>
      </c>
      <c r="E122" s="5">
        <v>1227.17</v>
      </c>
      <c r="F122" s="5">
        <v>347.63600000000002</v>
      </c>
      <c r="G122" s="5">
        <v>300.75299999999999</v>
      </c>
      <c r="H122" s="5">
        <v>117.28400000000001</v>
      </c>
      <c r="I122" s="5">
        <v>85.091999999999999</v>
      </c>
      <c r="J122" s="5">
        <v>24.382999999999999</v>
      </c>
      <c r="K122" s="5">
        <v>26.675000000000001</v>
      </c>
      <c r="L122" s="4">
        <v>842.79300000000001</v>
      </c>
      <c r="M122" s="5">
        <v>635.59</v>
      </c>
      <c r="N122" s="5">
        <v>1227.17</v>
      </c>
      <c r="O122" s="5">
        <v>347.63600000000002</v>
      </c>
      <c r="P122" s="5">
        <v>300.75299999999999</v>
      </c>
      <c r="Q122" s="5">
        <v>117.28400000000001</v>
      </c>
      <c r="R122" s="5">
        <v>85.091999999999999</v>
      </c>
      <c r="S122" s="5">
        <v>24.382999999999999</v>
      </c>
      <c r="T122" s="5">
        <v>26.675000000000001</v>
      </c>
    </row>
    <row r="123" spans="1:20" x14ac:dyDescent="0.25">
      <c r="A123" s="3" t="s">
        <v>35</v>
      </c>
      <c r="B123" t="s">
        <v>164</v>
      </c>
      <c r="C123" s="4">
        <v>682.40800000000002</v>
      </c>
      <c r="D123" s="5">
        <v>470.375</v>
      </c>
      <c r="E123" s="5">
        <v>372.41899999999998</v>
      </c>
      <c r="F123" s="5">
        <v>491.755</v>
      </c>
      <c r="G123" s="5">
        <v>429.84100000000001</v>
      </c>
      <c r="H123" s="5">
        <v>560.20399999999995</v>
      </c>
      <c r="I123" s="5">
        <v>687.09500000000003</v>
      </c>
      <c r="J123" s="5">
        <v>629.13900000000001</v>
      </c>
      <c r="K123" s="5">
        <v>696.404</v>
      </c>
      <c r="L123" s="4">
        <v>682.40800000000002</v>
      </c>
      <c r="M123" s="5">
        <v>470.375</v>
      </c>
      <c r="N123" s="5">
        <v>372.41899999999998</v>
      </c>
      <c r="O123" s="5">
        <v>491.755</v>
      </c>
      <c r="P123" s="5">
        <v>429.84100000000001</v>
      </c>
      <c r="Q123" s="5">
        <v>560.20399999999995</v>
      </c>
      <c r="R123" s="5">
        <v>687.09500000000003</v>
      </c>
      <c r="S123" s="5">
        <v>629.13900000000001</v>
      </c>
      <c r="T123" s="5">
        <v>696.404</v>
      </c>
    </row>
    <row r="124" spans="1:20" x14ac:dyDescent="0.25">
      <c r="A124" s="3" t="s">
        <v>35</v>
      </c>
      <c r="B124" t="s">
        <v>165</v>
      </c>
      <c r="C124" s="4">
        <v>486.39299999999997</v>
      </c>
      <c r="D124" s="5">
        <v>198.29900000000001</v>
      </c>
      <c r="E124" s="5">
        <v>55.347000000000001</v>
      </c>
      <c r="F124" s="5">
        <v>49.72</v>
      </c>
      <c r="G124" s="5">
        <v>2963.8780000000002</v>
      </c>
      <c r="H124" s="5">
        <v>0</v>
      </c>
      <c r="I124" s="5">
        <v>123.673</v>
      </c>
      <c r="J124" s="5">
        <v>145.614</v>
      </c>
      <c r="K124" s="5">
        <v>0</v>
      </c>
      <c r="L124" s="4">
        <v>486.39299999999997</v>
      </c>
      <c r="M124" s="5">
        <v>198.29900000000001</v>
      </c>
      <c r="N124" s="5">
        <v>55.347000000000001</v>
      </c>
      <c r="O124" s="5">
        <v>49.72</v>
      </c>
      <c r="P124" s="5">
        <v>2963.8780000000002</v>
      </c>
      <c r="Q124" s="5">
        <v>0</v>
      </c>
      <c r="R124" s="5">
        <v>123.673</v>
      </c>
      <c r="S124" s="5">
        <v>145.614</v>
      </c>
      <c r="T124" s="5">
        <v>0</v>
      </c>
    </row>
    <row r="125" spans="1:20" x14ac:dyDescent="0.25">
      <c r="A125" s="3" t="s">
        <v>35</v>
      </c>
      <c r="B125" t="s">
        <v>166</v>
      </c>
      <c r="C125" s="4">
        <v>462.93900000000002</v>
      </c>
      <c r="D125" s="5">
        <v>214.422</v>
      </c>
      <c r="E125" s="5">
        <v>1271.5070000000001</v>
      </c>
      <c r="F125" s="5">
        <v>239.28800000000001</v>
      </c>
      <c r="G125" s="5">
        <v>325.17399999999998</v>
      </c>
      <c r="H125" s="5">
        <v>485.55599999999998</v>
      </c>
      <c r="I125" s="5">
        <v>316.64499999999998</v>
      </c>
      <c r="J125" s="5">
        <v>1080.145</v>
      </c>
      <c r="K125" s="5">
        <v>316.19</v>
      </c>
      <c r="L125" s="4">
        <v>11720.3</v>
      </c>
      <c r="M125" s="5">
        <v>24215.58</v>
      </c>
      <c r="N125" s="5">
        <v>29032.222000000002</v>
      </c>
      <c r="O125" s="5">
        <v>20097.760999999999</v>
      </c>
      <c r="P125" s="5">
        <v>325.17399999999998</v>
      </c>
      <c r="Q125" s="5">
        <v>5400.3270000000002</v>
      </c>
      <c r="R125" s="5">
        <v>10680.728999999999</v>
      </c>
      <c r="S125" s="5">
        <v>1081.43</v>
      </c>
      <c r="T125" s="5">
        <v>316.19</v>
      </c>
    </row>
    <row r="126" spans="1:20" x14ac:dyDescent="0.25">
      <c r="A126" s="3" t="s">
        <v>35</v>
      </c>
      <c r="B126" t="s">
        <v>167</v>
      </c>
      <c r="C126" s="4">
        <v>431.53199999999998</v>
      </c>
      <c r="D126" s="5">
        <v>303.55399999999997</v>
      </c>
      <c r="E126" s="5">
        <v>244.38200000000001</v>
      </c>
      <c r="F126" s="5">
        <v>564.125</v>
      </c>
      <c r="G126" s="5">
        <v>455.46600000000001</v>
      </c>
      <c r="H126" s="5">
        <v>299.62099999999998</v>
      </c>
      <c r="I126" s="5">
        <v>530.92899999999997</v>
      </c>
      <c r="J126" s="5">
        <v>446.351</v>
      </c>
      <c r="K126" s="5">
        <v>405.30599999999998</v>
      </c>
      <c r="L126" s="4">
        <v>431.53199999999998</v>
      </c>
      <c r="M126" s="5">
        <v>333.76100000000002</v>
      </c>
      <c r="N126" s="5">
        <v>444.233</v>
      </c>
      <c r="O126" s="5">
        <v>564.125</v>
      </c>
      <c r="P126" s="5">
        <v>455.46600000000001</v>
      </c>
      <c r="Q126" s="5">
        <v>299.62099999999998</v>
      </c>
      <c r="R126" s="5">
        <v>533.98299999999995</v>
      </c>
      <c r="S126" s="5">
        <v>446.351</v>
      </c>
      <c r="T126" s="5">
        <v>405.30599999999998</v>
      </c>
    </row>
    <row r="127" spans="1:20" x14ac:dyDescent="0.25">
      <c r="A127" s="3" t="s">
        <v>35</v>
      </c>
      <c r="B127" t="s">
        <v>168</v>
      </c>
      <c r="C127" s="4">
        <v>330.654</v>
      </c>
      <c r="D127" s="5">
        <v>209.70500000000001</v>
      </c>
      <c r="E127" s="5">
        <v>348.27300000000002</v>
      </c>
      <c r="F127" s="5">
        <v>293.971</v>
      </c>
      <c r="G127" s="5">
        <v>87.37</v>
      </c>
      <c r="H127" s="5">
        <v>195.99199999999999</v>
      </c>
      <c r="I127" s="5">
        <v>182.339</v>
      </c>
      <c r="J127" s="5">
        <v>176.64599999999999</v>
      </c>
      <c r="K127" s="5">
        <v>374.149</v>
      </c>
      <c r="L127" s="4">
        <v>348.67899999999997</v>
      </c>
      <c r="M127" s="5">
        <v>209.70500000000001</v>
      </c>
      <c r="N127" s="5">
        <v>348.27300000000002</v>
      </c>
      <c r="O127" s="5">
        <v>293.971</v>
      </c>
      <c r="P127" s="5">
        <v>87.37</v>
      </c>
      <c r="Q127" s="5">
        <v>201.03200000000001</v>
      </c>
      <c r="R127" s="5">
        <v>182.339</v>
      </c>
      <c r="S127" s="5">
        <v>176.64599999999999</v>
      </c>
      <c r="T127" s="5">
        <v>374.149</v>
      </c>
    </row>
    <row r="128" spans="1:20" x14ac:dyDescent="0.25">
      <c r="A128" s="3" t="s">
        <v>35</v>
      </c>
      <c r="B128" t="s">
        <v>169</v>
      </c>
      <c r="C128" s="4">
        <v>201.29900000000001</v>
      </c>
      <c r="D128" s="5">
        <v>250.505</v>
      </c>
      <c r="E128" s="5">
        <v>232.37799999999999</v>
      </c>
      <c r="F128" s="5">
        <v>793.94799999999998</v>
      </c>
      <c r="G128" s="5">
        <v>1713.3219999999999</v>
      </c>
      <c r="H128" s="5">
        <v>651.81399999999996</v>
      </c>
      <c r="I128" s="5">
        <v>0</v>
      </c>
      <c r="J128" s="5">
        <v>0</v>
      </c>
      <c r="K128" s="5">
        <v>162.54300000000001</v>
      </c>
      <c r="L128" s="4">
        <v>201.29900000000001</v>
      </c>
      <c r="M128" s="5">
        <v>250.505</v>
      </c>
      <c r="N128" s="5">
        <v>232.37799999999999</v>
      </c>
      <c r="O128" s="5">
        <v>793.94799999999998</v>
      </c>
      <c r="P128" s="5">
        <v>1713.3219999999999</v>
      </c>
      <c r="Q128" s="5">
        <v>651.81399999999996</v>
      </c>
      <c r="R128" s="5">
        <v>0</v>
      </c>
      <c r="S128" s="5">
        <v>0</v>
      </c>
      <c r="T128" s="5">
        <v>162.54300000000001</v>
      </c>
    </row>
    <row r="129" spans="1:20" x14ac:dyDescent="0.25">
      <c r="A129" s="3" t="s">
        <v>35</v>
      </c>
      <c r="B129" t="s">
        <v>170</v>
      </c>
      <c r="C129" s="4">
        <v>182.45400000000001</v>
      </c>
      <c r="D129" s="5">
        <v>0</v>
      </c>
      <c r="E129" s="5">
        <v>0</v>
      </c>
      <c r="F129" s="5">
        <v>0</v>
      </c>
      <c r="G129" s="5">
        <v>0</v>
      </c>
      <c r="H129" s="5">
        <v>0</v>
      </c>
      <c r="I129" s="5">
        <v>252.70400000000001</v>
      </c>
      <c r="J129" s="5">
        <v>0</v>
      </c>
      <c r="K129" s="5">
        <v>0</v>
      </c>
      <c r="L129" s="4">
        <v>182.45400000000001</v>
      </c>
      <c r="M129" s="5">
        <v>0</v>
      </c>
      <c r="N129" s="5">
        <v>0</v>
      </c>
      <c r="O129" s="5">
        <v>0</v>
      </c>
      <c r="P129" s="5">
        <v>0</v>
      </c>
      <c r="Q129" s="5">
        <v>0</v>
      </c>
      <c r="R129" s="5">
        <v>252.70400000000001</v>
      </c>
      <c r="S129" s="5">
        <v>0</v>
      </c>
      <c r="T129" s="5">
        <v>0</v>
      </c>
    </row>
    <row r="130" spans="1:20" x14ac:dyDescent="0.25">
      <c r="A130" s="3" t="s">
        <v>35</v>
      </c>
      <c r="B130" t="s">
        <v>171</v>
      </c>
      <c r="C130" s="4">
        <v>91.668999999999997</v>
      </c>
      <c r="D130" s="5">
        <v>0</v>
      </c>
      <c r="E130" s="5">
        <v>99.183000000000007</v>
      </c>
      <c r="F130" s="5">
        <v>0</v>
      </c>
      <c r="G130" s="5">
        <v>8.4740000000000002</v>
      </c>
      <c r="H130" s="5">
        <v>32.741999999999997</v>
      </c>
      <c r="I130" s="5">
        <v>0</v>
      </c>
      <c r="J130" s="5">
        <v>0</v>
      </c>
      <c r="K130" s="5">
        <v>43.276000000000003</v>
      </c>
      <c r="L130" s="4">
        <v>91.668999999999997</v>
      </c>
      <c r="M130" s="5">
        <v>0</v>
      </c>
      <c r="N130" s="5">
        <v>99.183000000000007</v>
      </c>
      <c r="O130" s="5">
        <v>0</v>
      </c>
      <c r="P130" s="5">
        <v>8.4740000000000002</v>
      </c>
      <c r="Q130" s="5">
        <v>32.741999999999997</v>
      </c>
      <c r="R130" s="5">
        <v>0</v>
      </c>
      <c r="S130" s="5">
        <v>0</v>
      </c>
      <c r="T130" s="5">
        <v>60.125</v>
      </c>
    </row>
    <row r="131" spans="1:20" x14ac:dyDescent="0.25">
      <c r="A131" s="3" t="s">
        <v>172</v>
      </c>
      <c r="B131" t="s">
        <v>173</v>
      </c>
      <c r="C131" s="4">
        <v>3408982.5359999998</v>
      </c>
      <c r="D131" s="5">
        <v>3769496.8509999998</v>
      </c>
      <c r="E131" s="5">
        <v>3825764.1469999999</v>
      </c>
      <c r="F131" s="5">
        <v>3850094.6469999999</v>
      </c>
      <c r="G131" s="5">
        <v>3272612.051</v>
      </c>
      <c r="H131" s="5">
        <v>3651243.7749999999</v>
      </c>
      <c r="I131" s="5">
        <v>3950669.0729999999</v>
      </c>
      <c r="J131" s="5">
        <v>3959393.335</v>
      </c>
      <c r="K131" s="5">
        <v>3685506.1669999999</v>
      </c>
      <c r="L131" s="4">
        <v>3726853.6869999999</v>
      </c>
      <c r="M131" s="5">
        <v>3978396.6540000001</v>
      </c>
      <c r="N131" s="5">
        <v>4010769.69</v>
      </c>
      <c r="O131" s="5">
        <v>4165313.108</v>
      </c>
      <c r="P131" s="5">
        <v>3737311.628</v>
      </c>
      <c r="Q131" s="5">
        <v>3953802.0819999999</v>
      </c>
      <c r="R131" s="5">
        <v>4238293.8269999996</v>
      </c>
      <c r="S131" s="5">
        <v>4331238.6940000001</v>
      </c>
      <c r="T131" s="5">
        <v>3808117.3289999999</v>
      </c>
    </row>
    <row r="132" spans="1:20" x14ac:dyDescent="0.25">
      <c r="A132" s="3" t="s">
        <v>172</v>
      </c>
      <c r="B132" t="s">
        <v>174</v>
      </c>
      <c r="C132" s="4">
        <v>715869.92299999995</v>
      </c>
      <c r="D132" s="5">
        <v>690153.38300000003</v>
      </c>
      <c r="E132" s="5">
        <v>799204.76100000006</v>
      </c>
      <c r="F132" s="5">
        <v>949639.84</v>
      </c>
      <c r="G132" s="5">
        <v>629771.50600000005</v>
      </c>
      <c r="H132" s="5">
        <v>1312153.4509999999</v>
      </c>
      <c r="I132" s="5">
        <v>1537999.5719999999</v>
      </c>
      <c r="J132" s="5">
        <v>1439162.125</v>
      </c>
      <c r="K132" s="5">
        <v>1259476.287</v>
      </c>
      <c r="L132" s="4">
        <v>718812.80099999998</v>
      </c>
      <c r="M132" s="5">
        <v>702441.09900000005</v>
      </c>
      <c r="N132" s="5">
        <v>802291.49899999995</v>
      </c>
      <c r="O132" s="5">
        <v>951713.86300000001</v>
      </c>
      <c r="P132" s="5">
        <v>633078.45700000005</v>
      </c>
      <c r="Q132" s="5">
        <v>1317527.085</v>
      </c>
      <c r="R132" s="5">
        <v>1556249.5290000001</v>
      </c>
      <c r="S132" s="5">
        <v>1444017.388</v>
      </c>
      <c r="T132" s="5">
        <v>1265813.8570000001</v>
      </c>
    </row>
    <row r="133" spans="1:20" x14ac:dyDescent="0.25">
      <c r="A133" s="3" t="s">
        <v>172</v>
      </c>
      <c r="B133" t="s">
        <v>175</v>
      </c>
      <c r="C133" s="4">
        <v>699506.60199999996</v>
      </c>
      <c r="D133" s="5">
        <v>656045.80900000001</v>
      </c>
      <c r="E133" s="5">
        <v>667433.04599999997</v>
      </c>
      <c r="F133" s="5">
        <v>673751.38100000005</v>
      </c>
      <c r="G133" s="5">
        <v>553462.95700000005</v>
      </c>
      <c r="H133" s="5">
        <v>631915.55799999996</v>
      </c>
      <c r="I133" s="5">
        <v>747284.78399999999</v>
      </c>
      <c r="J133" s="5">
        <v>753598.22699999996</v>
      </c>
      <c r="K133" s="5">
        <v>730563.1</v>
      </c>
      <c r="L133" s="4">
        <v>735252.39199999999</v>
      </c>
      <c r="M133" s="5">
        <v>693699.06200000003</v>
      </c>
      <c r="N133" s="5">
        <v>1138750.476</v>
      </c>
      <c r="O133" s="5">
        <v>2120210.6310000001</v>
      </c>
      <c r="P133" s="5">
        <v>701653.93599999999</v>
      </c>
      <c r="Q133" s="5">
        <v>808864.91700000002</v>
      </c>
      <c r="R133" s="5">
        <v>894504.77899999998</v>
      </c>
      <c r="S133" s="5">
        <v>827927.15599999996</v>
      </c>
      <c r="T133" s="5">
        <v>741811.22100000002</v>
      </c>
    </row>
    <row r="134" spans="1:20" x14ac:dyDescent="0.25">
      <c r="A134" s="3" t="s">
        <v>172</v>
      </c>
      <c r="B134" t="s">
        <v>176</v>
      </c>
      <c r="C134" s="4">
        <v>671298.46400000004</v>
      </c>
      <c r="D134" s="5">
        <v>490833.98800000001</v>
      </c>
      <c r="E134" s="5">
        <v>574529.53500000003</v>
      </c>
      <c r="F134" s="5">
        <v>563006.46400000004</v>
      </c>
      <c r="G134" s="5">
        <v>527689.59900000005</v>
      </c>
      <c r="H134" s="5">
        <v>603195.51</v>
      </c>
      <c r="I134" s="5">
        <v>617505.07700000005</v>
      </c>
      <c r="J134" s="5">
        <v>638962.78099999996</v>
      </c>
      <c r="K134" s="5">
        <v>655979.26100000006</v>
      </c>
      <c r="L134" s="4">
        <v>858433.10499999998</v>
      </c>
      <c r="M134" s="5">
        <v>547096.4</v>
      </c>
      <c r="N134" s="5">
        <v>689001.81700000004</v>
      </c>
      <c r="O134" s="5">
        <v>627568.66500000004</v>
      </c>
      <c r="P134" s="5">
        <v>562313.90899999999</v>
      </c>
      <c r="Q134" s="5">
        <v>691860.39199999999</v>
      </c>
      <c r="R134" s="5">
        <v>1053886.0819999999</v>
      </c>
      <c r="S134" s="5">
        <v>946243.50899999996</v>
      </c>
      <c r="T134" s="5">
        <v>1200676.835</v>
      </c>
    </row>
    <row r="135" spans="1:20" x14ac:dyDescent="0.25">
      <c r="A135" s="3" t="s">
        <v>172</v>
      </c>
      <c r="B135" t="s">
        <v>177</v>
      </c>
      <c r="C135" s="4">
        <v>544433.72900000005</v>
      </c>
      <c r="D135" s="5">
        <v>533820.16700000002</v>
      </c>
      <c r="E135" s="5">
        <v>536943.804</v>
      </c>
      <c r="F135" s="5">
        <v>524138.12300000002</v>
      </c>
      <c r="G135" s="5">
        <v>479588.15100000001</v>
      </c>
      <c r="H135" s="5">
        <v>460678.087</v>
      </c>
      <c r="I135" s="5">
        <v>471304.01299999998</v>
      </c>
      <c r="J135" s="5">
        <v>503041.03399999999</v>
      </c>
      <c r="K135" s="5">
        <v>457037.32400000002</v>
      </c>
      <c r="L135" s="4">
        <v>6256039.2450000001</v>
      </c>
      <c r="M135" s="5">
        <v>2825076.3569999998</v>
      </c>
      <c r="N135" s="5">
        <v>1090860.3</v>
      </c>
      <c r="O135" s="5">
        <v>9107466.5250000004</v>
      </c>
      <c r="P135" s="5">
        <v>5478783.4249999998</v>
      </c>
      <c r="Q135" s="5">
        <v>3626103.5490000001</v>
      </c>
      <c r="R135" s="5">
        <v>2532892.787</v>
      </c>
      <c r="S135" s="5">
        <v>1614423.578</v>
      </c>
      <c r="T135" s="5">
        <v>4064154.432</v>
      </c>
    </row>
    <row r="136" spans="1:20" x14ac:dyDescent="0.25">
      <c r="A136" s="3" t="s">
        <v>172</v>
      </c>
      <c r="B136" t="s">
        <v>178</v>
      </c>
      <c r="C136" s="4">
        <v>376850.04700000002</v>
      </c>
      <c r="D136" s="5">
        <v>514319.40399999998</v>
      </c>
      <c r="E136" s="5">
        <v>407380.71100000001</v>
      </c>
      <c r="F136" s="5">
        <v>541304.56400000001</v>
      </c>
      <c r="G136" s="5">
        <v>364160.60700000002</v>
      </c>
      <c r="H136" s="5">
        <v>392144.25799999997</v>
      </c>
      <c r="I136" s="5">
        <v>430076.08500000002</v>
      </c>
      <c r="J136" s="5">
        <v>422571.63900000002</v>
      </c>
      <c r="K136" s="5">
        <v>443352.739</v>
      </c>
      <c r="L136" s="4">
        <v>382040.41399999999</v>
      </c>
      <c r="M136" s="5">
        <v>518213.70600000001</v>
      </c>
      <c r="N136" s="5">
        <v>421643.05099999998</v>
      </c>
      <c r="O136" s="5">
        <v>545160.74800000002</v>
      </c>
      <c r="P136" s="5">
        <v>368348.78600000002</v>
      </c>
      <c r="Q136" s="5">
        <v>403896.73300000001</v>
      </c>
      <c r="R136" s="5">
        <v>440415.837</v>
      </c>
      <c r="S136" s="5">
        <v>433692.304</v>
      </c>
      <c r="T136" s="5">
        <v>462604.23200000002</v>
      </c>
    </row>
    <row r="137" spans="1:20" x14ac:dyDescent="0.25">
      <c r="A137" s="3" t="s">
        <v>172</v>
      </c>
      <c r="B137" t="s">
        <v>179</v>
      </c>
      <c r="C137" s="4">
        <v>226511.497</v>
      </c>
      <c r="D137" s="5">
        <v>227779.33100000001</v>
      </c>
      <c r="E137" s="5">
        <v>285921.73800000001</v>
      </c>
      <c r="F137" s="5">
        <v>275757.18</v>
      </c>
      <c r="G137" s="5">
        <v>258857.40900000001</v>
      </c>
      <c r="H137" s="5">
        <v>327628.04499999998</v>
      </c>
      <c r="I137" s="5">
        <v>294343.12099999998</v>
      </c>
      <c r="J137" s="5">
        <v>298647.467</v>
      </c>
      <c r="K137" s="5">
        <v>321129.03999999998</v>
      </c>
      <c r="L137" s="4">
        <v>226761.05100000001</v>
      </c>
      <c r="M137" s="5">
        <v>228248.18900000001</v>
      </c>
      <c r="N137" s="5">
        <v>286598.63299999997</v>
      </c>
      <c r="O137" s="5">
        <v>276105.38299999997</v>
      </c>
      <c r="P137" s="5">
        <v>259036.27</v>
      </c>
      <c r="Q137" s="5">
        <v>328305.52600000001</v>
      </c>
      <c r="R137" s="5">
        <v>308587.39899999998</v>
      </c>
      <c r="S137" s="5">
        <v>299316.70699999999</v>
      </c>
      <c r="T137" s="5">
        <v>321606.06199999998</v>
      </c>
    </row>
    <row r="138" spans="1:20" x14ac:dyDescent="0.25">
      <c r="A138" s="3" t="s">
        <v>172</v>
      </c>
      <c r="B138" t="s">
        <v>180</v>
      </c>
      <c r="C138" s="4">
        <v>194258.29399999999</v>
      </c>
      <c r="D138" s="5">
        <v>206927.41200000001</v>
      </c>
      <c r="E138" s="5">
        <v>222532.899</v>
      </c>
      <c r="F138" s="5">
        <v>198307.01500000001</v>
      </c>
      <c r="G138" s="5">
        <v>189070.027</v>
      </c>
      <c r="H138" s="5">
        <v>206267.82199999999</v>
      </c>
      <c r="I138" s="5">
        <v>256036.31299999999</v>
      </c>
      <c r="J138" s="5">
        <v>289040.45400000003</v>
      </c>
      <c r="K138" s="5">
        <v>297933.35399999999</v>
      </c>
      <c r="L138" s="4">
        <v>196820.06299999999</v>
      </c>
      <c r="M138" s="5">
        <v>218248.87700000001</v>
      </c>
      <c r="N138" s="5">
        <v>224107.742</v>
      </c>
      <c r="O138" s="5">
        <v>201046.976</v>
      </c>
      <c r="P138" s="5">
        <v>220133.15599999999</v>
      </c>
      <c r="Q138" s="5">
        <v>224272.03400000001</v>
      </c>
      <c r="R138" s="5">
        <v>266889.26</v>
      </c>
      <c r="S138" s="5">
        <v>299104.72899999999</v>
      </c>
      <c r="T138" s="5">
        <v>301862.27399999998</v>
      </c>
    </row>
    <row r="139" spans="1:20" x14ac:dyDescent="0.25">
      <c r="A139" s="3" t="s">
        <v>172</v>
      </c>
      <c r="B139" t="s">
        <v>181</v>
      </c>
      <c r="C139" s="4">
        <v>184049.992</v>
      </c>
      <c r="D139" s="5">
        <v>204435.64199999999</v>
      </c>
      <c r="E139" s="5">
        <v>190838.454</v>
      </c>
      <c r="F139" s="5">
        <v>186760.24799999999</v>
      </c>
      <c r="G139" s="5">
        <v>186106.66200000001</v>
      </c>
      <c r="H139" s="5">
        <v>179456.144</v>
      </c>
      <c r="I139" s="5">
        <v>189192.53899999999</v>
      </c>
      <c r="J139" s="5">
        <v>200933.63699999999</v>
      </c>
      <c r="K139" s="5">
        <v>257310.91699999999</v>
      </c>
      <c r="L139" s="4">
        <v>243208.83199999999</v>
      </c>
      <c r="M139" s="5">
        <v>243865.342</v>
      </c>
      <c r="N139" s="5">
        <v>214258.69200000001</v>
      </c>
      <c r="O139" s="5">
        <v>216352.63200000001</v>
      </c>
      <c r="P139" s="5">
        <v>216481.13399999999</v>
      </c>
      <c r="Q139" s="5">
        <v>191345.82800000001</v>
      </c>
      <c r="R139" s="5">
        <v>205964.32500000001</v>
      </c>
      <c r="S139" s="5">
        <v>214644.97099999999</v>
      </c>
      <c r="T139" s="5">
        <v>268806.19699999999</v>
      </c>
    </row>
    <row r="140" spans="1:20" x14ac:dyDescent="0.25">
      <c r="A140" s="3" t="s">
        <v>172</v>
      </c>
      <c r="B140" t="s">
        <v>182</v>
      </c>
      <c r="C140" s="4">
        <v>146638.353</v>
      </c>
      <c r="D140" s="5">
        <v>162361.734</v>
      </c>
      <c r="E140" s="5">
        <v>145982.16899999999</v>
      </c>
      <c r="F140" s="5">
        <v>103775.281</v>
      </c>
      <c r="G140" s="5">
        <v>112178.894</v>
      </c>
      <c r="H140" s="5">
        <v>116892.20600000001</v>
      </c>
      <c r="I140" s="5">
        <v>119947.137</v>
      </c>
      <c r="J140" s="5">
        <v>148112.18799999999</v>
      </c>
      <c r="K140" s="5">
        <v>128761.855</v>
      </c>
      <c r="L140" s="4">
        <v>152219.242</v>
      </c>
      <c r="M140" s="5">
        <v>481320.21600000001</v>
      </c>
      <c r="N140" s="5">
        <v>197814.45</v>
      </c>
      <c r="O140" s="5">
        <v>243665.19200000001</v>
      </c>
      <c r="P140" s="5">
        <v>302888.337</v>
      </c>
      <c r="Q140" s="5">
        <v>192254.106</v>
      </c>
      <c r="R140" s="5">
        <v>795040.34900000005</v>
      </c>
      <c r="S140" s="5">
        <v>1062481.6950000001</v>
      </c>
      <c r="T140" s="5">
        <v>853643.93299999996</v>
      </c>
    </row>
    <row r="141" spans="1:20" x14ac:dyDescent="0.25">
      <c r="A141" s="3" t="s">
        <v>172</v>
      </c>
      <c r="B141" t="s">
        <v>183</v>
      </c>
      <c r="C141" s="4">
        <v>127821.11500000001</v>
      </c>
      <c r="D141" s="5">
        <v>139415.12</v>
      </c>
      <c r="E141" s="5">
        <v>144561.70300000001</v>
      </c>
      <c r="F141" s="5">
        <v>136617.17800000001</v>
      </c>
      <c r="G141" s="5">
        <v>113020.74400000001</v>
      </c>
      <c r="H141" s="5">
        <v>146409.54800000001</v>
      </c>
      <c r="I141" s="5">
        <v>158974.27499999999</v>
      </c>
      <c r="J141" s="5">
        <v>154786.421</v>
      </c>
      <c r="K141" s="5">
        <v>156365.842</v>
      </c>
      <c r="L141" s="4">
        <v>128930.348</v>
      </c>
      <c r="M141" s="5">
        <v>141187.80100000001</v>
      </c>
      <c r="N141" s="5">
        <v>145593.03899999999</v>
      </c>
      <c r="O141" s="5">
        <v>137377.274</v>
      </c>
      <c r="P141" s="5">
        <v>117878.554</v>
      </c>
      <c r="Q141" s="5">
        <v>150978.867</v>
      </c>
      <c r="R141" s="5">
        <v>161030.60399999999</v>
      </c>
      <c r="S141" s="5">
        <v>155956.745</v>
      </c>
      <c r="T141" s="5">
        <v>156959.35399999999</v>
      </c>
    </row>
    <row r="142" spans="1:20" x14ac:dyDescent="0.25">
      <c r="A142" s="3" t="s">
        <v>172</v>
      </c>
      <c r="B142" t="s">
        <v>184</v>
      </c>
      <c r="C142" s="4">
        <v>125738.827</v>
      </c>
      <c r="D142" s="5">
        <v>147201.41899999999</v>
      </c>
      <c r="E142" s="5">
        <v>152815.29800000001</v>
      </c>
      <c r="F142" s="5">
        <v>130023.227</v>
      </c>
      <c r="G142" s="5">
        <v>120702.05499999999</v>
      </c>
      <c r="H142" s="5">
        <v>151506.01</v>
      </c>
      <c r="I142" s="5">
        <v>150698.47500000001</v>
      </c>
      <c r="J142" s="5">
        <v>163611.71400000001</v>
      </c>
      <c r="K142" s="5">
        <v>140479.25099999999</v>
      </c>
      <c r="L142" s="4">
        <v>131744.538</v>
      </c>
      <c r="M142" s="5">
        <v>151003.02299999999</v>
      </c>
      <c r="N142" s="5">
        <v>155352.21299999999</v>
      </c>
      <c r="O142" s="5">
        <v>130790.913</v>
      </c>
      <c r="P142" s="5">
        <v>121183.292</v>
      </c>
      <c r="Q142" s="5">
        <v>152563.516</v>
      </c>
      <c r="R142" s="5">
        <v>151430.747</v>
      </c>
      <c r="S142" s="5">
        <v>164154.851</v>
      </c>
      <c r="T142" s="5">
        <v>150247.78899999999</v>
      </c>
    </row>
    <row r="143" spans="1:20" x14ac:dyDescent="0.25">
      <c r="A143" s="3" t="s">
        <v>172</v>
      </c>
      <c r="B143" t="s">
        <v>185</v>
      </c>
      <c r="C143" s="4">
        <v>119951.429</v>
      </c>
      <c r="D143" s="5">
        <v>136355.179</v>
      </c>
      <c r="E143" s="5">
        <v>179104.429</v>
      </c>
      <c r="F143" s="5">
        <v>168475.383</v>
      </c>
      <c r="G143" s="5">
        <v>161481.91500000001</v>
      </c>
      <c r="H143" s="5">
        <v>183241.29</v>
      </c>
      <c r="I143" s="5">
        <v>85626.035000000003</v>
      </c>
      <c r="J143" s="5">
        <v>48026.014000000003</v>
      </c>
      <c r="K143" s="5">
        <v>35300.714</v>
      </c>
      <c r="L143" s="4">
        <v>124164.03</v>
      </c>
      <c r="M143" s="5">
        <v>147586.46299999999</v>
      </c>
      <c r="N143" s="5">
        <v>185299.88399999999</v>
      </c>
      <c r="O143" s="5">
        <v>173128.59299999999</v>
      </c>
      <c r="P143" s="5">
        <v>164070.89300000001</v>
      </c>
      <c r="Q143" s="5">
        <v>214322.69500000001</v>
      </c>
      <c r="R143" s="5">
        <v>89535.347999999998</v>
      </c>
      <c r="S143" s="5">
        <v>48031.370999999999</v>
      </c>
      <c r="T143" s="5">
        <v>35300.714</v>
      </c>
    </row>
    <row r="144" spans="1:20" x14ac:dyDescent="0.25">
      <c r="A144" s="3" t="s">
        <v>172</v>
      </c>
      <c r="B144" t="s">
        <v>186</v>
      </c>
      <c r="C144" s="4">
        <v>103216.23</v>
      </c>
      <c r="D144" s="5">
        <v>72015.706000000006</v>
      </c>
      <c r="E144" s="5">
        <v>89971.517000000007</v>
      </c>
      <c r="F144" s="5">
        <v>83393.72</v>
      </c>
      <c r="G144" s="5">
        <v>72415.763000000006</v>
      </c>
      <c r="H144" s="5">
        <v>82582.005000000005</v>
      </c>
      <c r="I144" s="5">
        <v>101958.268</v>
      </c>
      <c r="J144" s="5">
        <v>103687.23</v>
      </c>
      <c r="K144" s="5">
        <v>94088.790999999997</v>
      </c>
      <c r="L144" s="4">
        <v>103422.397</v>
      </c>
      <c r="M144" s="5">
        <v>72209.202999999994</v>
      </c>
      <c r="N144" s="5">
        <v>90263.532999999996</v>
      </c>
      <c r="O144" s="5">
        <v>83896.921000000002</v>
      </c>
      <c r="P144" s="5">
        <v>74442.706000000006</v>
      </c>
      <c r="Q144" s="5">
        <v>82791.320999999996</v>
      </c>
      <c r="R144" s="5">
        <v>102398.933</v>
      </c>
      <c r="S144" s="5">
        <v>103927.91</v>
      </c>
      <c r="T144" s="5">
        <v>95043.012000000002</v>
      </c>
    </row>
    <row r="145" spans="1:20" x14ac:dyDescent="0.25">
      <c r="A145" s="3" t="s">
        <v>172</v>
      </c>
      <c r="B145" t="s">
        <v>187</v>
      </c>
      <c r="C145" s="4">
        <v>92669.883000000002</v>
      </c>
      <c r="D145" s="5">
        <v>112679.053</v>
      </c>
      <c r="E145" s="5">
        <v>78152.62</v>
      </c>
      <c r="F145" s="5">
        <v>92722.244999999995</v>
      </c>
      <c r="G145" s="5">
        <v>43934.663999999997</v>
      </c>
      <c r="H145" s="5">
        <v>41180.985999999997</v>
      </c>
      <c r="I145" s="5">
        <v>74441.626999999993</v>
      </c>
      <c r="J145" s="5">
        <v>83609.243000000002</v>
      </c>
      <c r="K145" s="5">
        <v>66347.148000000001</v>
      </c>
      <c r="L145" s="4">
        <v>93454.562999999995</v>
      </c>
      <c r="M145" s="5">
        <v>112683.64200000001</v>
      </c>
      <c r="N145" s="5">
        <v>78159.057000000001</v>
      </c>
      <c r="O145" s="5">
        <v>100092.819</v>
      </c>
      <c r="P145" s="5">
        <v>44197.351999999999</v>
      </c>
      <c r="Q145" s="5">
        <v>41335.826000000001</v>
      </c>
      <c r="R145" s="5">
        <v>74525.994000000006</v>
      </c>
      <c r="S145" s="5">
        <v>83776.459000000003</v>
      </c>
      <c r="T145" s="5">
        <v>66455.407000000007</v>
      </c>
    </row>
    <row r="146" spans="1:20" x14ac:dyDescent="0.25">
      <c r="A146" s="3" t="s">
        <v>172</v>
      </c>
      <c r="B146" t="s">
        <v>188</v>
      </c>
      <c r="C146" s="4">
        <v>80555.612999999998</v>
      </c>
      <c r="D146" s="5">
        <v>69929.493000000002</v>
      </c>
      <c r="E146" s="5">
        <v>80390.381999999998</v>
      </c>
      <c r="F146" s="5">
        <v>54732.726000000002</v>
      </c>
      <c r="G146" s="5">
        <v>44789.45</v>
      </c>
      <c r="H146" s="5">
        <v>64560.656999999999</v>
      </c>
      <c r="I146" s="5">
        <v>56247.781999999999</v>
      </c>
      <c r="J146" s="5">
        <v>79511.877999999997</v>
      </c>
      <c r="K146" s="5">
        <v>115433.80100000001</v>
      </c>
      <c r="L146" s="4">
        <v>82730.710000000006</v>
      </c>
      <c r="M146" s="5">
        <v>75182.653000000006</v>
      </c>
      <c r="N146" s="5">
        <v>84186.59</v>
      </c>
      <c r="O146" s="5">
        <v>56388.688999999998</v>
      </c>
      <c r="P146" s="5">
        <v>44988.877999999997</v>
      </c>
      <c r="Q146" s="5">
        <v>67769.478000000003</v>
      </c>
      <c r="R146" s="5">
        <v>59388.296999999999</v>
      </c>
      <c r="S146" s="5">
        <v>81406.087</v>
      </c>
      <c r="T146" s="5">
        <v>119847.435</v>
      </c>
    </row>
    <row r="147" spans="1:20" x14ac:dyDescent="0.25">
      <c r="A147" s="3" t="s">
        <v>172</v>
      </c>
      <c r="B147" t="s">
        <v>189</v>
      </c>
      <c r="C147" s="4">
        <v>73208.316000000006</v>
      </c>
      <c r="D147" s="5">
        <v>87504.75</v>
      </c>
      <c r="E147" s="5">
        <v>91016.203999999998</v>
      </c>
      <c r="F147" s="5">
        <v>101614.439</v>
      </c>
      <c r="G147" s="5">
        <v>106307.46799999999</v>
      </c>
      <c r="H147" s="5">
        <v>115308.823</v>
      </c>
      <c r="I147" s="5">
        <v>117202.54300000001</v>
      </c>
      <c r="J147" s="5">
        <v>100738.429</v>
      </c>
      <c r="K147" s="5">
        <v>100043.07</v>
      </c>
      <c r="L147" s="4">
        <v>73245.063999999998</v>
      </c>
      <c r="M147" s="5">
        <v>87558.614000000001</v>
      </c>
      <c r="N147" s="5">
        <v>91162.788</v>
      </c>
      <c r="O147" s="5">
        <v>101812.704</v>
      </c>
      <c r="P147" s="5">
        <v>106343.98699999999</v>
      </c>
      <c r="Q147" s="5">
        <v>115641.185</v>
      </c>
      <c r="R147" s="5">
        <v>117571.781</v>
      </c>
      <c r="S147" s="5">
        <v>100833.06200000001</v>
      </c>
      <c r="T147" s="5">
        <v>100186.70299999999</v>
      </c>
    </row>
    <row r="148" spans="1:20" x14ac:dyDescent="0.25">
      <c r="A148" s="3" t="s">
        <v>172</v>
      </c>
      <c r="B148" t="s">
        <v>190</v>
      </c>
      <c r="C148" s="4">
        <v>49307.105000000003</v>
      </c>
      <c r="D148" s="5">
        <v>55410.845999999998</v>
      </c>
      <c r="E148" s="5">
        <v>69073.373000000007</v>
      </c>
      <c r="F148" s="5">
        <v>64237.163</v>
      </c>
      <c r="G148" s="5">
        <v>47538.313999999998</v>
      </c>
      <c r="H148" s="5">
        <v>46490.915999999997</v>
      </c>
      <c r="I148" s="5">
        <v>54947.673999999999</v>
      </c>
      <c r="J148" s="5">
        <v>38729.697</v>
      </c>
      <c r="K148" s="5">
        <v>41322.228999999999</v>
      </c>
      <c r="L148" s="4">
        <v>63509.826000000001</v>
      </c>
      <c r="M148" s="5">
        <v>67518.938999999998</v>
      </c>
      <c r="N148" s="5">
        <v>76598.581000000006</v>
      </c>
      <c r="O148" s="5">
        <v>75584.490999999995</v>
      </c>
      <c r="P148" s="5">
        <v>71962.055999999997</v>
      </c>
      <c r="Q148" s="5">
        <v>66553.714999999997</v>
      </c>
      <c r="R148" s="5">
        <v>91200.616999999998</v>
      </c>
      <c r="S148" s="5">
        <v>47949.923999999999</v>
      </c>
      <c r="T148" s="5">
        <v>41347.379000000001</v>
      </c>
    </row>
    <row r="149" spans="1:20" x14ac:dyDescent="0.25">
      <c r="A149" s="3" t="s">
        <v>172</v>
      </c>
      <c r="B149" t="s">
        <v>191</v>
      </c>
      <c r="C149" s="4">
        <v>39126.498</v>
      </c>
      <c r="D149" s="5">
        <v>39805.991999999998</v>
      </c>
      <c r="E149" s="5">
        <v>51817.807999999997</v>
      </c>
      <c r="F149" s="5">
        <v>46908.091</v>
      </c>
      <c r="G149" s="5">
        <v>48112.76</v>
      </c>
      <c r="H149" s="5">
        <v>49382.853999999999</v>
      </c>
      <c r="I149" s="5">
        <v>55150.192999999999</v>
      </c>
      <c r="J149" s="5">
        <v>59814.811999999998</v>
      </c>
      <c r="K149" s="5">
        <v>59233.659</v>
      </c>
      <c r="L149" s="4">
        <v>40426.190999999999</v>
      </c>
      <c r="M149" s="5">
        <v>40745.184999999998</v>
      </c>
      <c r="N149" s="5">
        <v>52525.470999999998</v>
      </c>
      <c r="O149" s="5">
        <v>47604.233</v>
      </c>
      <c r="P149" s="5">
        <v>48168.148999999998</v>
      </c>
      <c r="Q149" s="5">
        <v>50176.12</v>
      </c>
      <c r="R149" s="5">
        <v>55371.711000000003</v>
      </c>
      <c r="S149" s="5">
        <v>60121.120999999999</v>
      </c>
      <c r="T149" s="5">
        <v>59550.637999999999</v>
      </c>
    </row>
    <row r="150" spans="1:20" x14ac:dyDescent="0.25">
      <c r="A150" s="3" t="s">
        <v>172</v>
      </c>
      <c r="B150" t="s">
        <v>192</v>
      </c>
      <c r="C150" s="4">
        <v>32557.861000000001</v>
      </c>
      <c r="D150" s="5">
        <v>32776.661999999997</v>
      </c>
      <c r="E150" s="5">
        <v>42269.821000000004</v>
      </c>
      <c r="F150" s="5">
        <v>46832.56</v>
      </c>
      <c r="G150" s="5">
        <v>34302.968999999997</v>
      </c>
      <c r="H150" s="5">
        <v>44228.767999999996</v>
      </c>
      <c r="I150" s="5">
        <v>46829.249000000003</v>
      </c>
      <c r="J150" s="5">
        <v>53134.584000000003</v>
      </c>
      <c r="K150" s="5">
        <v>65388.99</v>
      </c>
      <c r="L150" s="4">
        <v>33328.427000000003</v>
      </c>
      <c r="M150" s="5">
        <v>33668.538999999997</v>
      </c>
      <c r="N150" s="5">
        <v>49082.735999999997</v>
      </c>
      <c r="O150" s="5">
        <v>46851.749000000003</v>
      </c>
      <c r="P150" s="5">
        <v>35129.502999999997</v>
      </c>
      <c r="Q150" s="5">
        <v>50597.080999999998</v>
      </c>
      <c r="R150" s="5">
        <v>49467.036999999997</v>
      </c>
      <c r="S150" s="5">
        <v>53214.546999999999</v>
      </c>
      <c r="T150" s="5">
        <v>65413.786</v>
      </c>
    </row>
    <row r="151" spans="1:20" x14ac:dyDescent="0.25">
      <c r="A151" s="3" t="s">
        <v>172</v>
      </c>
      <c r="B151" t="s">
        <v>193</v>
      </c>
      <c r="C151" s="4">
        <v>32349.941999999999</v>
      </c>
      <c r="D151" s="5">
        <v>36855.203000000001</v>
      </c>
      <c r="E151" s="5">
        <v>43760.385999999999</v>
      </c>
      <c r="F151" s="5">
        <v>44801.623</v>
      </c>
      <c r="G151" s="5">
        <v>40182.555</v>
      </c>
      <c r="H151" s="5">
        <v>43624.983</v>
      </c>
      <c r="I151" s="5">
        <v>66984.903000000006</v>
      </c>
      <c r="J151" s="5">
        <v>71945.915999999997</v>
      </c>
      <c r="K151" s="5">
        <v>45941.309000000001</v>
      </c>
      <c r="L151" s="4">
        <v>37169.231</v>
      </c>
      <c r="M151" s="5">
        <v>37054.290999999997</v>
      </c>
      <c r="N151" s="5">
        <v>43781.762000000002</v>
      </c>
      <c r="O151" s="5">
        <v>44988.788999999997</v>
      </c>
      <c r="P151" s="5">
        <v>40199.415000000001</v>
      </c>
      <c r="Q151" s="5">
        <v>43767.559000000001</v>
      </c>
      <c r="R151" s="5">
        <v>67041.822</v>
      </c>
      <c r="S151" s="5">
        <v>72055.5</v>
      </c>
      <c r="T151" s="5">
        <v>46264.074000000001</v>
      </c>
    </row>
    <row r="152" spans="1:20" x14ac:dyDescent="0.25">
      <c r="A152" s="3" t="s">
        <v>172</v>
      </c>
      <c r="B152" t="s">
        <v>194</v>
      </c>
      <c r="C152" s="4">
        <v>28607.196</v>
      </c>
      <c r="D152" s="5">
        <v>27941.626</v>
      </c>
      <c r="E152" s="5">
        <v>28855.967000000001</v>
      </c>
      <c r="F152" s="5">
        <v>35515.116000000002</v>
      </c>
      <c r="G152" s="5">
        <v>27304.52</v>
      </c>
      <c r="H152" s="5">
        <v>27430.595000000001</v>
      </c>
      <c r="I152" s="5">
        <v>31226.725999999999</v>
      </c>
      <c r="J152" s="5">
        <v>33569.773000000001</v>
      </c>
      <c r="K152" s="5">
        <v>29904.330999999998</v>
      </c>
      <c r="L152" s="4">
        <v>28768.753000000001</v>
      </c>
      <c r="M152" s="5">
        <v>28336.046999999999</v>
      </c>
      <c r="N152" s="5">
        <v>28982.596000000001</v>
      </c>
      <c r="O152" s="5">
        <v>35905.748</v>
      </c>
      <c r="P152" s="5">
        <v>27701.727999999999</v>
      </c>
      <c r="Q152" s="5">
        <v>28466.441999999999</v>
      </c>
      <c r="R152" s="5">
        <v>31512.972000000002</v>
      </c>
      <c r="S152" s="5">
        <v>33851.536999999997</v>
      </c>
      <c r="T152" s="5">
        <v>30493.293000000001</v>
      </c>
    </row>
    <row r="153" spans="1:20" x14ac:dyDescent="0.25">
      <c r="A153" s="3" t="s">
        <v>172</v>
      </c>
      <c r="B153" t="s">
        <v>195</v>
      </c>
      <c r="C153" s="4">
        <v>22853.016</v>
      </c>
      <c r="D153" s="5">
        <v>27078.537</v>
      </c>
      <c r="E153" s="5">
        <v>25761.577000000001</v>
      </c>
      <c r="F153" s="5">
        <v>26370.812000000002</v>
      </c>
      <c r="G153" s="5">
        <v>20491.206999999999</v>
      </c>
      <c r="H153" s="5">
        <v>34041.328999999998</v>
      </c>
      <c r="I153" s="5">
        <v>34382.906000000003</v>
      </c>
      <c r="J153" s="5">
        <v>27786.323</v>
      </c>
      <c r="K153" s="5">
        <v>33649.769</v>
      </c>
      <c r="L153" s="4">
        <v>22854.646000000001</v>
      </c>
      <c r="M153" s="5">
        <v>27079.960999999999</v>
      </c>
      <c r="N153" s="5">
        <v>25784.266</v>
      </c>
      <c r="O153" s="5">
        <v>26379.937999999998</v>
      </c>
      <c r="P153" s="5">
        <v>20527.594000000001</v>
      </c>
      <c r="Q153" s="5">
        <v>34071.237999999998</v>
      </c>
      <c r="R153" s="5">
        <v>34387.966</v>
      </c>
      <c r="S153" s="5">
        <v>27797.327000000001</v>
      </c>
      <c r="T153" s="5">
        <v>33657.324999999997</v>
      </c>
    </row>
    <row r="154" spans="1:20" x14ac:dyDescent="0.25">
      <c r="A154" s="3" t="s">
        <v>172</v>
      </c>
      <c r="B154" t="s">
        <v>196</v>
      </c>
      <c r="C154" s="4">
        <v>17426.112000000001</v>
      </c>
      <c r="D154" s="5">
        <v>16261.362999999999</v>
      </c>
      <c r="E154" s="5">
        <v>27423.396000000001</v>
      </c>
      <c r="F154" s="5">
        <v>24997.133000000002</v>
      </c>
      <c r="G154" s="5">
        <v>24282.41</v>
      </c>
      <c r="H154" s="5">
        <v>22558.165000000001</v>
      </c>
      <c r="I154" s="5">
        <v>14866.495999999999</v>
      </c>
      <c r="J154" s="5">
        <v>14154.181</v>
      </c>
      <c r="K154" s="5">
        <v>16932.010999999999</v>
      </c>
      <c r="L154" s="4">
        <v>17593.304</v>
      </c>
      <c r="M154" s="5">
        <v>18747.691999999999</v>
      </c>
      <c r="N154" s="5">
        <v>29392.812999999998</v>
      </c>
      <c r="O154" s="5">
        <v>25584.18</v>
      </c>
      <c r="P154" s="5">
        <v>24390.240000000002</v>
      </c>
      <c r="Q154" s="5">
        <v>23593.914000000001</v>
      </c>
      <c r="R154" s="5">
        <v>15100.838</v>
      </c>
      <c r="S154" s="5">
        <v>14512.294</v>
      </c>
      <c r="T154" s="5">
        <v>17470.082999999999</v>
      </c>
    </row>
    <row r="155" spans="1:20" x14ac:dyDescent="0.25">
      <c r="A155" s="3" t="s">
        <v>172</v>
      </c>
      <c r="B155" t="s">
        <v>197</v>
      </c>
      <c r="C155" s="4">
        <v>17167.784</v>
      </c>
      <c r="D155" s="5">
        <v>17477.433000000001</v>
      </c>
      <c r="E155" s="5">
        <v>18295.294999999998</v>
      </c>
      <c r="F155" s="5">
        <v>18499.34</v>
      </c>
      <c r="G155" s="5">
        <v>19571.080000000002</v>
      </c>
      <c r="H155" s="5">
        <v>19410.656999999999</v>
      </c>
      <c r="I155" s="5">
        <v>22720.595000000001</v>
      </c>
      <c r="J155" s="5">
        <v>25727.583999999999</v>
      </c>
      <c r="K155" s="5">
        <v>26250.713</v>
      </c>
      <c r="L155" s="4">
        <v>19459.826000000001</v>
      </c>
      <c r="M155" s="5">
        <v>18897.821</v>
      </c>
      <c r="N155" s="5">
        <v>18874.16</v>
      </c>
      <c r="O155" s="5">
        <v>18665.91</v>
      </c>
      <c r="P155" s="5">
        <v>19662.726999999999</v>
      </c>
      <c r="Q155" s="5">
        <v>20270.758000000002</v>
      </c>
      <c r="R155" s="5">
        <v>24466.789000000001</v>
      </c>
      <c r="S155" s="5">
        <v>27023.82</v>
      </c>
      <c r="T155" s="5">
        <v>27410.976999999999</v>
      </c>
    </row>
    <row r="156" spans="1:20" x14ac:dyDescent="0.25">
      <c r="A156" s="3" t="s">
        <v>172</v>
      </c>
      <c r="B156" t="s">
        <v>198</v>
      </c>
      <c r="C156" s="4">
        <v>13482.236999999999</v>
      </c>
      <c r="D156" s="5">
        <v>16998.716</v>
      </c>
      <c r="E156" s="5">
        <v>14266.674999999999</v>
      </c>
      <c r="F156" s="5">
        <v>17305.741000000002</v>
      </c>
      <c r="G156" s="5">
        <v>19678.307000000001</v>
      </c>
      <c r="H156" s="5">
        <v>24723.47</v>
      </c>
      <c r="I156" s="5">
        <v>21619.195</v>
      </c>
      <c r="J156" s="5">
        <v>25367.27</v>
      </c>
      <c r="K156" s="5">
        <v>32527.39</v>
      </c>
      <c r="L156" s="4">
        <v>13516.1</v>
      </c>
      <c r="M156" s="5">
        <v>17016.334999999999</v>
      </c>
      <c r="N156" s="5">
        <v>14285.074000000001</v>
      </c>
      <c r="O156" s="5">
        <v>17365.839</v>
      </c>
      <c r="P156" s="5">
        <v>19695.905999999999</v>
      </c>
      <c r="Q156" s="5">
        <v>24773.260999999999</v>
      </c>
      <c r="R156" s="5">
        <v>21709.084999999999</v>
      </c>
      <c r="S156" s="5">
        <v>25437.078000000001</v>
      </c>
      <c r="T156" s="5">
        <v>32534.289000000001</v>
      </c>
    </row>
    <row r="157" spans="1:20" x14ac:dyDescent="0.25">
      <c r="A157" s="3" t="s">
        <v>172</v>
      </c>
      <c r="B157" t="s">
        <v>199</v>
      </c>
      <c r="C157" s="4">
        <v>13278.837</v>
      </c>
      <c r="D157" s="5">
        <v>12796.833000000001</v>
      </c>
      <c r="E157" s="5">
        <v>12939.707</v>
      </c>
      <c r="F157" s="5">
        <v>16009.353999999999</v>
      </c>
      <c r="G157" s="5">
        <v>7293.6809999999996</v>
      </c>
      <c r="H157" s="5">
        <v>10174.146000000001</v>
      </c>
      <c r="I157" s="5">
        <v>9925.36</v>
      </c>
      <c r="J157" s="5">
        <v>10909.255999999999</v>
      </c>
      <c r="K157" s="5">
        <v>9048.8590000000004</v>
      </c>
      <c r="L157" s="4">
        <v>37284.813000000002</v>
      </c>
      <c r="M157" s="5">
        <v>41033.319000000003</v>
      </c>
      <c r="N157" s="5">
        <v>19054.3</v>
      </c>
      <c r="O157" s="5">
        <v>39821.313999999998</v>
      </c>
      <c r="P157" s="5">
        <v>13614.644</v>
      </c>
      <c r="Q157" s="5">
        <v>15833.069</v>
      </c>
      <c r="R157" s="5">
        <v>19362.428</v>
      </c>
      <c r="S157" s="5">
        <v>14129.502</v>
      </c>
      <c r="T157" s="5">
        <v>17678.919999999998</v>
      </c>
    </row>
    <row r="158" spans="1:20" x14ac:dyDescent="0.25">
      <c r="A158" s="3" t="s">
        <v>172</v>
      </c>
      <c r="B158" t="s">
        <v>200</v>
      </c>
      <c r="C158" s="4">
        <v>12411.243</v>
      </c>
      <c r="D158" s="5">
        <v>15364.066000000001</v>
      </c>
      <c r="E158" s="5">
        <v>21033.488000000001</v>
      </c>
      <c r="F158" s="5">
        <v>17200.934000000001</v>
      </c>
      <c r="G158" s="5">
        <v>19086.117999999999</v>
      </c>
      <c r="H158" s="5">
        <v>22191.603999999999</v>
      </c>
      <c r="I158" s="5">
        <v>17736.446</v>
      </c>
      <c r="J158" s="5">
        <v>22564.074000000001</v>
      </c>
      <c r="K158" s="5">
        <v>23702.893</v>
      </c>
      <c r="L158" s="4">
        <v>12411.286</v>
      </c>
      <c r="M158" s="5">
        <v>15364.066000000001</v>
      </c>
      <c r="N158" s="5">
        <v>21033.488000000001</v>
      </c>
      <c r="O158" s="5">
        <v>17202.170999999998</v>
      </c>
      <c r="P158" s="5">
        <v>19141.370999999999</v>
      </c>
      <c r="Q158" s="5">
        <v>22191.603999999999</v>
      </c>
      <c r="R158" s="5">
        <v>17736.446</v>
      </c>
      <c r="S158" s="5">
        <v>22565.706999999999</v>
      </c>
      <c r="T158" s="5">
        <v>23704.897000000001</v>
      </c>
    </row>
    <row r="159" spans="1:20" x14ac:dyDescent="0.25">
      <c r="A159" s="3" t="s">
        <v>172</v>
      </c>
      <c r="B159" t="s">
        <v>201</v>
      </c>
      <c r="C159" s="4">
        <v>11557.316000000001</v>
      </c>
      <c r="D159" s="5">
        <v>15067.771000000001</v>
      </c>
      <c r="E159" s="5">
        <v>12989.41</v>
      </c>
      <c r="F159" s="5">
        <v>21834.1</v>
      </c>
      <c r="G159" s="5">
        <v>16113.852000000001</v>
      </c>
      <c r="H159" s="5">
        <v>10187.852000000001</v>
      </c>
      <c r="I159" s="5">
        <v>7600.4449999999997</v>
      </c>
      <c r="J159" s="5">
        <v>8678.1129999999994</v>
      </c>
      <c r="K159" s="5">
        <v>12445.33</v>
      </c>
      <c r="L159" s="4">
        <v>12187.562</v>
      </c>
      <c r="M159" s="5">
        <v>15130.788</v>
      </c>
      <c r="N159" s="5">
        <v>13008.356</v>
      </c>
      <c r="O159" s="5">
        <v>21951.184000000001</v>
      </c>
      <c r="P159" s="5">
        <v>16113.852000000001</v>
      </c>
      <c r="Q159" s="5">
        <v>10193.781999999999</v>
      </c>
      <c r="R159" s="5">
        <v>7657.6559999999999</v>
      </c>
      <c r="S159" s="5">
        <v>8683.0560000000005</v>
      </c>
      <c r="T159" s="5">
        <v>12445.33</v>
      </c>
    </row>
    <row r="160" spans="1:20" x14ac:dyDescent="0.25">
      <c r="A160" s="3" t="s">
        <v>172</v>
      </c>
      <c r="B160" t="s">
        <v>202</v>
      </c>
      <c r="C160" s="4">
        <v>11317.192999999999</v>
      </c>
      <c r="D160" s="5">
        <v>20590.598000000002</v>
      </c>
      <c r="E160" s="5">
        <v>8386.4719999999998</v>
      </c>
      <c r="F160" s="5">
        <v>7125.2160000000003</v>
      </c>
      <c r="G160" s="5">
        <v>13212.880999999999</v>
      </c>
      <c r="H160" s="5">
        <v>17556.983</v>
      </c>
      <c r="I160" s="5">
        <v>5368.1559999999999</v>
      </c>
      <c r="J160" s="5">
        <v>6470.6729999999998</v>
      </c>
      <c r="K160" s="5">
        <v>5769.2740000000003</v>
      </c>
      <c r="L160" s="4">
        <v>11410.362999999999</v>
      </c>
      <c r="M160" s="5">
        <v>20590.598000000002</v>
      </c>
      <c r="N160" s="5">
        <v>8388.1630000000005</v>
      </c>
      <c r="O160" s="5">
        <v>7135.9110000000001</v>
      </c>
      <c r="P160" s="5">
        <v>13212.880999999999</v>
      </c>
      <c r="Q160" s="5">
        <v>17556.983</v>
      </c>
      <c r="R160" s="5">
        <v>5368.1559999999999</v>
      </c>
      <c r="S160" s="5">
        <v>6470.6729999999998</v>
      </c>
      <c r="T160" s="5">
        <v>5769.2740000000003</v>
      </c>
    </row>
    <row r="161" spans="1:20" x14ac:dyDescent="0.25">
      <c r="A161" s="3" t="s">
        <v>172</v>
      </c>
      <c r="B161" t="s">
        <v>203</v>
      </c>
      <c r="C161" s="4">
        <v>11154.494000000001</v>
      </c>
      <c r="D161" s="5">
        <v>10753.739</v>
      </c>
      <c r="E161" s="5">
        <v>13101.804</v>
      </c>
      <c r="F161" s="5">
        <v>13268.129000000001</v>
      </c>
      <c r="G161" s="5">
        <v>12715.029</v>
      </c>
      <c r="H161" s="5">
        <v>20067.434000000001</v>
      </c>
      <c r="I161" s="5">
        <v>13050.157999999999</v>
      </c>
      <c r="J161" s="5">
        <v>20537.86</v>
      </c>
      <c r="K161" s="5">
        <v>14134.485000000001</v>
      </c>
      <c r="L161" s="4">
        <v>11154.494000000001</v>
      </c>
      <c r="M161" s="5">
        <v>10755.683999999999</v>
      </c>
      <c r="N161" s="5">
        <v>13142.439</v>
      </c>
      <c r="O161" s="5">
        <v>13273.411</v>
      </c>
      <c r="P161" s="5">
        <v>12755.477000000001</v>
      </c>
      <c r="Q161" s="5">
        <v>20164.797999999999</v>
      </c>
      <c r="R161" s="5">
        <v>13113.489</v>
      </c>
      <c r="S161" s="5">
        <v>20547.113000000001</v>
      </c>
      <c r="T161" s="5">
        <v>14212.348</v>
      </c>
    </row>
    <row r="162" spans="1:20" x14ac:dyDescent="0.25">
      <c r="A162" s="3" t="s">
        <v>172</v>
      </c>
      <c r="B162" t="s">
        <v>204</v>
      </c>
      <c r="C162" s="4">
        <v>5738.9930000000004</v>
      </c>
      <c r="D162" s="5">
        <v>7600.9269999999997</v>
      </c>
      <c r="E162" s="5">
        <v>8572.3829999999998</v>
      </c>
      <c r="F162" s="5">
        <v>9488.5229999999992</v>
      </c>
      <c r="G162" s="5">
        <v>8403.1200000000008</v>
      </c>
      <c r="H162" s="5">
        <v>8254.7090000000007</v>
      </c>
      <c r="I162" s="5">
        <v>8265.8359999999993</v>
      </c>
      <c r="J162" s="5">
        <v>7951.81</v>
      </c>
      <c r="K162" s="5">
        <v>6282.6549999999997</v>
      </c>
      <c r="L162" s="4">
        <v>6634.74</v>
      </c>
      <c r="M162" s="5">
        <v>8040.799</v>
      </c>
      <c r="N162" s="5">
        <v>9411.8439999999991</v>
      </c>
      <c r="O162" s="5">
        <v>9717.9459999999999</v>
      </c>
      <c r="P162" s="5">
        <v>8479.4320000000007</v>
      </c>
      <c r="Q162" s="5">
        <v>8265.8719999999994</v>
      </c>
      <c r="R162" s="5">
        <v>8318.5370000000003</v>
      </c>
      <c r="S162" s="5">
        <v>8107.3329999999996</v>
      </c>
      <c r="T162" s="5">
        <v>6360.6559999999999</v>
      </c>
    </row>
    <row r="163" spans="1:20" x14ac:dyDescent="0.25">
      <c r="A163" s="3" t="s">
        <v>172</v>
      </c>
      <c r="B163" t="s">
        <v>205</v>
      </c>
      <c r="C163" s="4">
        <v>4305.5230000000001</v>
      </c>
      <c r="D163" s="5">
        <v>4512.5420000000004</v>
      </c>
      <c r="E163" s="5">
        <v>3402.1109999999999</v>
      </c>
      <c r="F163" s="5">
        <v>3597.1480000000001</v>
      </c>
      <c r="G163" s="5">
        <v>2954.5189999999998</v>
      </c>
      <c r="H163" s="5">
        <v>3058.9960000000001</v>
      </c>
      <c r="I163" s="5">
        <v>6117.8630000000003</v>
      </c>
      <c r="J163" s="5">
        <v>4657.0889999999999</v>
      </c>
      <c r="K163" s="5">
        <v>11097.904</v>
      </c>
      <c r="L163" s="4">
        <v>4305.5230000000001</v>
      </c>
      <c r="M163" s="5">
        <v>4512.5420000000004</v>
      </c>
      <c r="N163" s="5">
        <v>3412.6779999999999</v>
      </c>
      <c r="O163" s="5">
        <v>3597.1480000000001</v>
      </c>
      <c r="P163" s="5">
        <v>2954.5189999999998</v>
      </c>
      <c r="Q163" s="5">
        <v>3086.2280000000001</v>
      </c>
      <c r="R163" s="5">
        <v>6117.8630000000003</v>
      </c>
      <c r="S163" s="5">
        <v>4670.8519999999999</v>
      </c>
      <c r="T163" s="5">
        <v>11156.404</v>
      </c>
    </row>
    <row r="164" spans="1:20" x14ac:dyDescent="0.25">
      <c r="A164" s="3" t="s">
        <v>172</v>
      </c>
      <c r="B164" t="s">
        <v>206</v>
      </c>
      <c r="C164" s="4">
        <v>3957.3649999999998</v>
      </c>
      <c r="D164" s="5">
        <v>5124.2449999999999</v>
      </c>
      <c r="E164" s="5">
        <v>6581.9939999999997</v>
      </c>
      <c r="F164" s="5">
        <v>6312.652</v>
      </c>
      <c r="G164" s="5">
        <v>4330.933</v>
      </c>
      <c r="H164" s="5">
        <v>5363.48</v>
      </c>
      <c r="I164" s="5">
        <v>5958.0110000000004</v>
      </c>
      <c r="J164" s="5">
        <v>6309.8770000000004</v>
      </c>
      <c r="K164" s="5">
        <v>6346.18</v>
      </c>
      <c r="L164" s="4">
        <v>3957.3649999999998</v>
      </c>
      <c r="M164" s="5">
        <v>5124.2449999999999</v>
      </c>
      <c r="N164" s="5">
        <v>6581.9939999999997</v>
      </c>
      <c r="O164" s="5">
        <v>6312.652</v>
      </c>
      <c r="P164" s="5">
        <v>4330.933</v>
      </c>
      <c r="Q164" s="5">
        <v>5365.3770000000004</v>
      </c>
      <c r="R164" s="5">
        <v>5986.8109999999997</v>
      </c>
      <c r="S164" s="5">
        <v>6309.8770000000004</v>
      </c>
      <c r="T164" s="5">
        <v>6346.18</v>
      </c>
    </row>
    <row r="165" spans="1:20" x14ac:dyDescent="0.25">
      <c r="A165" s="3" t="s">
        <v>172</v>
      </c>
      <c r="B165" t="s">
        <v>207</v>
      </c>
      <c r="C165" s="4">
        <v>3874.259</v>
      </c>
      <c r="D165" s="5">
        <v>4762.5730000000003</v>
      </c>
      <c r="E165" s="5">
        <v>6478.2219999999998</v>
      </c>
      <c r="F165" s="5">
        <v>7592.5379999999996</v>
      </c>
      <c r="G165" s="5">
        <v>4420.0709999999999</v>
      </c>
      <c r="H165" s="5">
        <v>3905.4520000000002</v>
      </c>
      <c r="I165" s="5">
        <v>4208.616</v>
      </c>
      <c r="J165" s="5">
        <v>3279.9430000000002</v>
      </c>
      <c r="K165" s="5">
        <v>2720.998</v>
      </c>
      <c r="L165" s="4">
        <v>3927.5450000000001</v>
      </c>
      <c r="M165" s="5">
        <v>4812.3419999999996</v>
      </c>
      <c r="N165" s="5">
        <v>6558.9849999999997</v>
      </c>
      <c r="O165" s="5">
        <v>7686.5259999999998</v>
      </c>
      <c r="P165" s="5">
        <v>4486.3180000000002</v>
      </c>
      <c r="Q165" s="5">
        <v>3936.1619999999998</v>
      </c>
      <c r="R165" s="5">
        <v>4271.2</v>
      </c>
      <c r="S165" s="5">
        <v>3391.4290000000001</v>
      </c>
      <c r="T165" s="5">
        <v>2725.6529999999998</v>
      </c>
    </row>
    <row r="166" spans="1:20" x14ac:dyDescent="0.25">
      <c r="A166" s="3" t="s">
        <v>172</v>
      </c>
      <c r="B166" t="s">
        <v>208</v>
      </c>
      <c r="C166" s="4">
        <v>2727.0219999999999</v>
      </c>
      <c r="D166" s="5">
        <v>2839.7170000000001</v>
      </c>
      <c r="E166" s="5">
        <v>3928.3470000000002</v>
      </c>
      <c r="F166" s="5">
        <v>3940.4490000000001</v>
      </c>
      <c r="G166" s="5">
        <v>4042.4180000000001</v>
      </c>
      <c r="H166" s="5">
        <v>5573.4290000000001</v>
      </c>
      <c r="I166" s="5">
        <v>6403.7439999999997</v>
      </c>
      <c r="J166" s="5">
        <v>5765.3289999999997</v>
      </c>
      <c r="K166" s="5">
        <v>6108.52</v>
      </c>
      <c r="L166" s="4">
        <v>2727.0219999999999</v>
      </c>
      <c r="M166" s="5">
        <v>2839.7170000000001</v>
      </c>
      <c r="N166" s="5">
        <v>3928.3470000000002</v>
      </c>
      <c r="O166" s="5">
        <v>3940.4490000000001</v>
      </c>
      <c r="P166" s="5">
        <v>4042.4180000000001</v>
      </c>
      <c r="Q166" s="5">
        <v>5573.4290000000001</v>
      </c>
      <c r="R166" s="5">
        <v>6403.7439999999997</v>
      </c>
      <c r="S166" s="5">
        <v>5765.3289999999997</v>
      </c>
      <c r="T166" s="5">
        <v>6108.52</v>
      </c>
    </row>
    <row r="167" spans="1:20" x14ac:dyDescent="0.25">
      <c r="A167" s="3" t="s">
        <v>172</v>
      </c>
      <c r="B167" t="s">
        <v>209</v>
      </c>
      <c r="C167" s="4">
        <v>2645.261</v>
      </c>
      <c r="D167" s="5">
        <v>2778.9319999999998</v>
      </c>
      <c r="E167" s="5">
        <v>1838.8230000000001</v>
      </c>
      <c r="F167" s="5">
        <v>3741.6840000000002</v>
      </c>
      <c r="G167" s="5">
        <v>1209.8810000000001</v>
      </c>
      <c r="H167" s="5">
        <v>2372.44</v>
      </c>
      <c r="I167" s="5">
        <v>1432.89</v>
      </c>
      <c r="J167" s="5">
        <v>1485.7860000000001</v>
      </c>
      <c r="K167" s="5">
        <v>1559.9659999999999</v>
      </c>
      <c r="L167" s="4">
        <v>2926.1849999999999</v>
      </c>
      <c r="M167" s="5">
        <v>2786.002</v>
      </c>
      <c r="N167" s="5">
        <v>1850.616</v>
      </c>
      <c r="O167" s="5">
        <v>3841.4110000000001</v>
      </c>
      <c r="P167" s="5">
        <v>5931.9250000000002</v>
      </c>
      <c r="Q167" s="5">
        <v>2422.6030000000001</v>
      </c>
      <c r="R167" s="5">
        <v>4253.8500000000004</v>
      </c>
      <c r="S167" s="5">
        <v>1665.6320000000001</v>
      </c>
      <c r="T167" s="5">
        <v>2878.598</v>
      </c>
    </row>
    <row r="168" spans="1:20" x14ac:dyDescent="0.25">
      <c r="A168" s="3" t="s">
        <v>172</v>
      </c>
      <c r="B168" t="s">
        <v>210</v>
      </c>
      <c r="C168" s="4">
        <v>2465.2930000000001</v>
      </c>
      <c r="D168" s="5">
        <v>2529.64</v>
      </c>
      <c r="E168" s="5">
        <v>2564.8029999999999</v>
      </c>
      <c r="F168" s="5">
        <v>2915.808</v>
      </c>
      <c r="G168" s="5">
        <v>3225.86</v>
      </c>
      <c r="H168" s="5">
        <v>4913.335</v>
      </c>
      <c r="I168" s="5">
        <v>4880.1790000000001</v>
      </c>
      <c r="J168" s="5">
        <v>8143.259</v>
      </c>
      <c r="K168" s="5">
        <v>4089.1889999999999</v>
      </c>
      <c r="L168" s="4">
        <v>2465.2930000000001</v>
      </c>
      <c r="M168" s="5">
        <v>2529.64</v>
      </c>
      <c r="N168" s="5">
        <v>2566.4009999999998</v>
      </c>
      <c r="O168" s="5">
        <v>2915.808</v>
      </c>
      <c r="P168" s="5">
        <v>3225.86</v>
      </c>
      <c r="Q168" s="5">
        <v>4913.335</v>
      </c>
      <c r="R168" s="5">
        <v>4880.1790000000001</v>
      </c>
      <c r="S168" s="5">
        <v>8143.259</v>
      </c>
      <c r="T168" s="5">
        <v>4089.1889999999999</v>
      </c>
    </row>
    <row r="169" spans="1:20" x14ac:dyDescent="0.25">
      <c r="A169" s="3" t="s">
        <v>172</v>
      </c>
      <c r="B169" t="s">
        <v>211</v>
      </c>
      <c r="C169" s="4">
        <v>1536.136</v>
      </c>
      <c r="D169" s="5">
        <v>1563.87</v>
      </c>
      <c r="E169" s="5">
        <v>1097.143</v>
      </c>
      <c r="F169" s="5">
        <v>1259.175</v>
      </c>
      <c r="G169" s="5">
        <v>1759.4970000000001</v>
      </c>
      <c r="H169" s="5">
        <v>4024.7420000000002</v>
      </c>
      <c r="I169" s="5">
        <v>2937.915</v>
      </c>
      <c r="J169" s="5">
        <v>1890.88</v>
      </c>
      <c r="K169" s="5">
        <v>2169.114</v>
      </c>
      <c r="L169" s="4">
        <v>1662.3440000000001</v>
      </c>
      <c r="M169" s="5">
        <v>1563.884</v>
      </c>
      <c r="N169" s="5">
        <v>1097.143</v>
      </c>
      <c r="O169" s="5">
        <v>1261.903</v>
      </c>
      <c r="P169" s="5">
        <v>1760.57</v>
      </c>
      <c r="Q169" s="5">
        <v>4033.1390000000001</v>
      </c>
      <c r="R169" s="5">
        <v>2950.7570000000001</v>
      </c>
      <c r="S169" s="5">
        <v>1890.88</v>
      </c>
      <c r="T169" s="5">
        <v>2169.114</v>
      </c>
    </row>
    <row r="170" spans="1:20" x14ac:dyDescent="0.25">
      <c r="A170" s="3" t="s">
        <v>172</v>
      </c>
      <c r="B170" t="s">
        <v>212</v>
      </c>
      <c r="C170" s="4">
        <v>1117.97</v>
      </c>
      <c r="D170" s="5">
        <v>1873.9079999999999</v>
      </c>
      <c r="E170" s="5">
        <v>1852.979</v>
      </c>
      <c r="F170" s="5">
        <v>2576.89</v>
      </c>
      <c r="G170" s="5">
        <v>1950.8820000000001</v>
      </c>
      <c r="H170" s="5">
        <v>2109.1410000000001</v>
      </c>
      <c r="I170" s="5">
        <v>1361.616</v>
      </c>
      <c r="J170" s="5">
        <v>1569.6980000000001</v>
      </c>
      <c r="K170" s="5">
        <v>1679.57</v>
      </c>
      <c r="L170" s="4">
        <v>1117.97</v>
      </c>
      <c r="M170" s="5">
        <v>1873.9079999999999</v>
      </c>
      <c r="N170" s="5">
        <v>1852.979</v>
      </c>
      <c r="O170" s="5">
        <v>2576.89</v>
      </c>
      <c r="P170" s="5">
        <v>1950.8820000000001</v>
      </c>
      <c r="Q170" s="5">
        <v>2109.1410000000001</v>
      </c>
      <c r="R170" s="5">
        <v>1361.616</v>
      </c>
      <c r="S170" s="5">
        <v>1569.6980000000001</v>
      </c>
      <c r="T170" s="5">
        <v>1679.57</v>
      </c>
    </row>
    <row r="171" spans="1:20" x14ac:dyDescent="0.25">
      <c r="A171" s="3" t="s">
        <v>172</v>
      </c>
      <c r="B171" t="s">
        <v>213</v>
      </c>
      <c r="C171" s="4">
        <v>640.51599999999996</v>
      </c>
      <c r="D171" s="5">
        <v>428.87099999999998</v>
      </c>
      <c r="E171" s="5">
        <v>462.52300000000002</v>
      </c>
      <c r="F171" s="5">
        <v>474.50599999999997</v>
      </c>
      <c r="G171" s="5">
        <v>597.78700000000003</v>
      </c>
      <c r="H171" s="5">
        <v>599.66200000000003</v>
      </c>
      <c r="I171" s="5">
        <v>608.80899999999997</v>
      </c>
      <c r="J171" s="5">
        <v>870.82399999999996</v>
      </c>
      <c r="K171" s="5">
        <v>1069.3309999999999</v>
      </c>
      <c r="L171" s="4">
        <v>640.51599999999996</v>
      </c>
      <c r="M171" s="5">
        <v>428.87099999999998</v>
      </c>
      <c r="N171" s="5">
        <v>462.52300000000002</v>
      </c>
      <c r="O171" s="5">
        <v>474.50599999999997</v>
      </c>
      <c r="P171" s="5">
        <v>597.78700000000003</v>
      </c>
      <c r="Q171" s="5">
        <v>599.66200000000003</v>
      </c>
      <c r="R171" s="5">
        <v>608.80899999999997</v>
      </c>
      <c r="S171" s="5">
        <v>870.82399999999996</v>
      </c>
      <c r="T171" s="5">
        <v>1069.3309999999999</v>
      </c>
    </row>
    <row r="172" spans="1:20" x14ac:dyDescent="0.25">
      <c r="A172" s="3" t="s">
        <v>172</v>
      </c>
      <c r="B172" t="s">
        <v>214</v>
      </c>
      <c r="C172" s="4">
        <v>629.67399999999998</v>
      </c>
      <c r="D172" s="5">
        <v>1113.616</v>
      </c>
      <c r="E172" s="5">
        <v>515.36800000000005</v>
      </c>
      <c r="F172" s="5">
        <v>282.86799999999999</v>
      </c>
      <c r="G172" s="5">
        <v>111.01900000000001</v>
      </c>
      <c r="H172" s="5">
        <v>149.012</v>
      </c>
      <c r="I172" s="5">
        <v>0</v>
      </c>
      <c r="J172" s="5">
        <v>47.715000000000003</v>
      </c>
      <c r="K172" s="5">
        <v>136.34399999999999</v>
      </c>
      <c r="L172" s="4">
        <v>718.08</v>
      </c>
      <c r="M172" s="5">
        <v>1520.184</v>
      </c>
      <c r="N172" s="5">
        <v>752.68499999999995</v>
      </c>
      <c r="O172" s="5">
        <v>282.86799999999999</v>
      </c>
      <c r="P172" s="5">
        <v>111.01900000000001</v>
      </c>
      <c r="Q172" s="5">
        <v>171.11699999999999</v>
      </c>
      <c r="R172" s="5">
        <v>0</v>
      </c>
      <c r="S172" s="5">
        <v>47.715000000000003</v>
      </c>
      <c r="T172" s="5">
        <v>136.34399999999999</v>
      </c>
    </row>
    <row r="173" spans="1:20" x14ac:dyDescent="0.25">
      <c r="A173" s="3" t="s">
        <v>172</v>
      </c>
      <c r="B173" t="s">
        <v>215</v>
      </c>
      <c r="C173" s="4">
        <v>260.67700000000002</v>
      </c>
      <c r="D173" s="5">
        <v>9.8580000000000005</v>
      </c>
      <c r="E173" s="5">
        <v>181.488</v>
      </c>
      <c r="F173" s="5">
        <v>320.13499999999999</v>
      </c>
      <c r="G173" s="5">
        <v>45.701000000000001</v>
      </c>
      <c r="H173" s="5">
        <v>28.818000000000001</v>
      </c>
      <c r="I173" s="5">
        <v>164.12799999999999</v>
      </c>
      <c r="J173" s="5">
        <v>3.8010000000000002</v>
      </c>
      <c r="K173" s="5">
        <v>146.54</v>
      </c>
      <c r="L173" s="4">
        <v>426.803</v>
      </c>
      <c r="M173" s="5">
        <v>9.8580000000000005</v>
      </c>
      <c r="N173" s="5">
        <v>7730.6710000000003</v>
      </c>
      <c r="O173" s="5">
        <v>3882.614</v>
      </c>
      <c r="P173" s="5">
        <v>7949.3329999999996</v>
      </c>
      <c r="Q173" s="5">
        <v>65.358999999999995</v>
      </c>
      <c r="R173" s="5">
        <v>4487.4279999999999</v>
      </c>
      <c r="S173" s="5">
        <v>4121.7780000000002</v>
      </c>
      <c r="T173" s="5">
        <v>146.54</v>
      </c>
    </row>
    <row r="174" spans="1:20" x14ac:dyDescent="0.25">
      <c r="A174" s="3" t="s">
        <v>172</v>
      </c>
      <c r="B174" t="s">
        <v>216</v>
      </c>
      <c r="C174" s="4">
        <v>239.27</v>
      </c>
      <c r="D174" s="5">
        <v>178.541</v>
      </c>
      <c r="E174" s="5">
        <v>169.27500000000001</v>
      </c>
      <c r="F174" s="5">
        <v>0</v>
      </c>
      <c r="G174" s="5">
        <v>109.935</v>
      </c>
      <c r="H174" s="5">
        <v>143.38</v>
      </c>
      <c r="I174" s="5">
        <v>246.24600000000001</v>
      </c>
      <c r="J174" s="5">
        <v>114.465</v>
      </c>
      <c r="K174" s="5">
        <v>360.85500000000002</v>
      </c>
      <c r="L174" s="4">
        <v>245.529</v>
      </c>
      <c r="M174" s="5">
        <v>381.71600000000001</v>
      </c>
      <c r="N174" s="5">
        <v>185.893</v>
      </c>
      <c r="O174" s="5">
        <v>0</v>
      </c>
      <c r="P174" s="5">
        <v>138.55699999999999</v>
      </c>
      <c r="Q174" s="5">
        <v>180.107</v>
      </c>
      <c r="R174" s="5">
        <v>697.83299999999997</v>
      </c>
      <c r="S174" s="5">
        <v>181.684</v>
      </c>
      <c r="T174" s="5">
        <v>567.59100000000001</v>
      </c>
    </row>
    <row r="175" spans="1:20" x14ac:dyDescent="0.25">
      <c r="A175" s="3" t="s">
        <v>172</v>
      </c>
      <c r="B175" t="s">
        <v>217</v>
      </c>
      <c r="C175" s="4">
        <v>220.988</v>
      </c>
      <c r="D175" s="5">
        <v>433.11399999999998</v>
      </c>
      <c r="E175" s="5">
        <v>186.40700000000001</v>
      </c>
      <c r="F175" s="5">
        <v>74.896000000000001</v>
      </c>
      <c r="G175" s="5">
        <v>62.392000000000003</v>
      </c>
      <c r="H175" s="5">
        <v>169.47300000000001</v>
      </c>
      <c r="I175" s="5">
        <v>341.904</v>
      </c>
      <c r="J175" s="5">
        <v>232.80600000000001</v>
      </c>
      <c r="K175" s="5">
        <v>204.553</v>
      </c>
      <c r="L175" s="4">
        <v>220.988</v>
      </c>
      <c r="M175" s="5">
        <v>433.11399999999998</v>
      </c>
      <c r="N175" s="5">
        <v>188.61</v>
      </c>
      <c r="O175" s="5">
        <v>77.236999999999995</v>
      </c>
      <c r="P175" s="5">
        <v>62.392000000000003</v>
      </c>
      <c r="Q175" s="5">
        <v>169.47300000000001</v>
      </c>
      <c r="R175" s="5">
        <v>341.904</v>
      </c>
      <c r="S175" s="5">
        <v>232.80600000000001</v>
      </c>
      <c r="T175" s="5">
        <v>204.553</v>
      </c>
    </row>
    <row r="176" spans="1:20" x14ac:dyDescent="0.25">
      <c r="A176" s="3" t="s">
        <v>40</v>
      </c>
      <c r="B176" t="s">
        <v>218</v>
      </c>
      <c r="C176" s="4">
        <v>147588.73000000001</v>
      </c>
      <c r="D176" s="5">
        <v>129644.93799999999</v>
      </c>
      <c r="E176" s="5">
        <v>134197.81700000001</v>
      </c>
      <c r="F176" s="5">
        <v>140009.60000000001</v>
      </c>
      <c r="G176" s="5">
        <v>118327.571</v>
      </c>
      <c r="H176" s="5">
        <v>118919.49800000001</v>
      </c>
      <c r="I176" s="5">
        <v>130204.262</v>
      </c>
      <c r="J176" s="5">
        <v>118388.969</v>
      </c>
      <c r="K176" s="5">
        <v>109258.818</v>
      </c>
      <c r="L176" s="4">
        <v>149033.48000000001</v>
      </c>
      <c r="M176" s="5">
        <v>132273.84400000001</v>
      </c>
      <c r="N176" s="5">
        <v>136849.109</v>
      </c>
      <c r="O176" s="5">
        <v>141447.29300000001</v>
      </c>
      <c r="P176" s="5">
        <v>119019.576</v>
      </c>
      <c r="Q176" s="5">
        <v>120908.527</v>
      </c>
      <c r="R176" s="5">
        <v>134688.13800000001</v>
      </c>
      <c r="S176" s="5">
        <v>120043.606</v>
      </c>
      <c r="T176" s="5">
        <v>111921.448</v>
      </c>
    </row>
    <row r="177" spans="1:20" x14ac:dyDescent="0.25">
      <c r="A177" s="3" t="s">
        <v>40</v>
      </c>
      <c r="B177" t="s">
        <v>219</v>
      </c>
      <c r="C177" s="4">
        <v>13411.239</v>
      </c>
      <c r="D177" s="5">
        <v>14847.466</v>
      </c>
      <c r="E177" s="5">
        <v>16185.614</v>
      </c>
      <c r="F177" s="5">
        <v>16090.931</v>
      </c>
      <c r="G177" s="5">
        <v>9244.3449999999993</v>
      </c>
      <c r="H177" s="5">
        <v>10563.626</v>
      </c>
      <c r="I177" s="5">
        <v>13016.950999999999</v>
      </c>
      <c r="J177" s="5">
        <v>10680.513000000001</v>
      </c>
      <c r="K177" s="5">
        <v>10785.162</v>
      </c>
      <c r="L177" s="4">
        <v>13440.493</v>
      </c>
      <c r="M177" s="5">
        <v>14856.73</v>
      </c>
      <c r="N177" s="5">
        <v>16643.620999999999</v>
      </c>
      <c r="O177" s="5">
        <v>16126.591</v>
      </c>
      <c r="P177" s="5">
        <v>10324.509</v>
      </c>
      <c r="Q177" s="5">
        <v>10600.522999999999</v>
      </c>
      <c r="R177" s="5">
        <v>17181.269</v>
      </c>
      <c r="S177" s="5">
        <v>10691.678</v>
      </c>
      <c r="T177" s="5">
        <v>10840.244000000001</v>
      </c>
    </row>
    <row r="178" spans="1:20" x14ac:dyDescent="0.25">
      <c r="A178" s="3" t="s">
        <v>40</v>
      </c>
      <c r="B178" t="s">
        <v>220</v>
      </c>
      <c r="C178" s="4">
        <v>1076.6559999999999</v>
      </c>
      <c r="D178" s="5">
        <v>381.40499999999997</v>
      </c>
      <c r="E178" s="5">
        <v>0</v>
      </c>
      <c r="F178" s="5">
        <v>38.387</v>
      </c>
      <c r="G178" s="5">
        <v>37.889000000000003</v>
      </c>
      <c r="H178" s="5">
        <v>0</v>
      </c>
      <c r="I178" s="5">
        <v>0</v>
      </c>
      <c r="J178" s="5">
        <v>0</v>
      </c>
      <c r="K178" s="5">
        <v>0</v>
      </c>
      <c r="L178" s="4">
        <v>1076.6559999999999</v>
      </c>
      <c r="M178" s="5">
        <v>381.40499999999997</v>
      </c>
      <c r="N178" s="5">
        <v>0</v>
      </c>
      <c r="O178" s="5">
        <v>38.387</v>
      </c>
      <c r="P178" s="5">
        <v>37.889000000000003</v>
      </c>
      <c r="Q178" s="5">
        <v>0</v>
      </c>
      <c r="R178" s="5">
        <v>0</v>
      </c>
      <c r="S178" s="5">
        <v>0</v>
      </c>
      <c r="T178" s="5">
        <v>0</v>
      </c>
    </row>
    <row r="179" spans="1:20" x14ac:dyDescent="0.25">
      <c r="A179" s="3" t="s">
        <v>40</v>
      </c>
      <c r="B179" t="s">
        <v>221</v>
      </c>
      <c r="C179" s="4">
        <v>258.96600000000001</v>
      </c>
      <c r="D179" s="5">
        <v>0</v>
      </c>
      <c r="E179" s="5">
        <v>0</v>
      </c>
      <c r="F179" s="5">
        <v>0</v>
      </c>
      <c r="G179" s="5">
        <v>26.568999999999999</v>
      </c>
      <c r="H179" s="5">
        <v>0</v>
      </c>
      <c r="I179" s="5">
        <v>7.532</v>
      </c>
      <c r="J179" s="5">
        <v>0</v>
      </c>
      <c r="K179" s="5">
        <v>0</v>
      </c>
      <c r="L179" s="4">
        <v>258.96600000000001</v>
      </c>
      <c r="M179" s="5">
        <v>0</v>
      </c>
      <c r="N179" s="5">
        <v>0</v>
      </c>
      <c r="O179" s="5">
        <v>0</v>
      </c>
      <c r="P179" s="5">
        <v>26.568999999999999</v>
      </c>
      <c r="Q179" s="5">
        <v>0</v>
      </c>
      <c r="R179" s="5">
        <v>7.532</v>
      </c>
      <c r="S179" s="5">
        <v>0</v>
      </c>
      <c r="T179" s="5">
        <v>0</v>
      </c>
    </row>
    <row r="180" spans="1:20" x14ac:dyDescent="0.25">
      <c r="A180" s="3" t="s">
        <v>40</v>
      </c>
      <c r="B180" t="s">
        <v>222</v>
      </c>
      <c r="C180" s="4">
        <v>143.6</v>
      </c>
      <c r="D180" s="5">
        <v>141.44300000000001</v>
      </c>
      <c r="E180" s="5">
        <v>87.566999999999993</v>
      </c>
      <c r="F180" s="5">
        <v>212.07599999999999</v>
      </c>
      <c r="G180" s="5">
        <v>433.31799999999998</v>
      </c>
      <c r="H180" s="5">
        <v>610.55399999999997</v>
      </c>
      <c r="I180" s="5">
        <v>55.322000000000003</v>
      </c>
      <c r="J180" s="5">
        <v>151.35499999999999</v>
      </c>
      <c r="K180" s="5">
        <v>69.918999999999997</v>
      </c>
      <c r="L180" s="4">
        <v>150.20599999999999</v>
      </c>
      <c r="M180" s="5">
        <v>141.44300000000001</v>
      </c>
      <c r="N180" s="5">
        <v>87.566999999999993</v>
      </c>
      <c r="O180" s="5">
        <v>212.07599999999999</v>
      </c>
      <c r="P180" s="5">
        <v>433.31799999999998</v>
      </c>
      <c r="Q180" s="5">
        <v>610.55399999999997</v>
      </c>
      <c r="R180" s="5">
        <v>55.322000000000003</v>
      </c>
      <c r="S180" s="5">
        <v>163.60499999999999</v>
      </c>
      <c r="T180" s="5">
        <v>69.918999999999997</v>
      </c>
    </row>
    <row r="181" spans="1:20" x14ac:dyDescent="0.25">
      <c r="A181" s="3" t="s">
        <v>40</v>
      </c>
      <c r="B181" t="s">
        <v>223</v>
      </c>
      <c r="C181" s="4">
        <v>90.67</v>
      </c>
      <c r="D181" s="5">
        <v>195.89699999999999</v>
      </c>
      <c r="E181" s="5">
        <v>35.405000000000001</v>
      </c>
      <c r="F181" s="5">
        <v>0</v>
      </c>
      <c r="G181" s="5">
        <v>0</v>
      </c>
      <c r="H181" s="5">
        <v>0</v>
      </c>
      <c r="I181" s="5">
        <v>161.708</v>
      </c>
      <c r="J181" s="5">
        <v>0</v>
      </c>
      <c r="K181" s="5">
        <v>0</v>
      </c>
      <c r="L181" s="4">
        <v>90.67</v>
      </c>
      <c r="M181" s="5">
        <v>195.89699999999999</v>
      </c>
      <c r="N181" s="5">
        <v>35.405000000000001</v>
      </c>
      <c r="O181" s="5">
        <v>0</v>
      </c>
      <c r="P181" s="5">
        <v>0</v>
      </c>
      <c r="Q181" s="5">
        <v>0</v>
      </c>
      <c r="R181" s="5">
        <v>161.708</v>
      </c>
      <c r="S181" s="5">
        <v>0</v>
      </c>
      <c r="T181" s="5">
        <v>0</v>
      </c>
    </row>
    <row r="182" spans="1:20" x14ac:dyDescent="0.25">
      <c r="A182" s="3" t="s">
        <v>40</v>
      </c>
      <c r="B182" t="s">
        <v>224</v>
      </c>
      <c r="C182" s="4">
        <v>70.914000000000001</v>
      </c>
      <c r="D182" s="5">
        <v>144.83799999999999</v>
      </c>
      <c r="E182" s="5">
        <v>176.697</v>
      </c>
      <c r="F182" s="5">
        <v>307.62299999999999</v>
      </c>
      <c r="G182" s="5">
        <v>49.533999999999999</v>
      </c>
      <c r="H182" s="5">
        <v>114.08499999999999</v>
      </c>
      <c r="I182" s="5">
        <v>115.35599999999999</v>
      </c>
      <c r="J182" s="5">
        <v>126.387</v>
      </c>
      <c r="K182" s="5">
        <v>33.908999999999999</v>
      </c>
      <c r="L182" s="4">
        <v>70.914000000000001</v>
      </c>
      <c r="M182" s="5">
        <v>144.83799999999999</v>
      </c>
      <c r="N182" s="5">
        <v>176.697</v>
      </c>
      <c r="O182" s="5">
        <v>307.62299999999999</v>
      </c>
      <c r="P182" s="5">
        <v>49.533999999999999</v>
      </c>
      <c r="Q182" s="5">
        <v>114.08499999999999</v>
      </c>
      <c r="R182" s="5">
        <v>115.35599999999999</v>
      </c>
      <c r="S182" s="5">
        <v>126.387</v>
      </c>
      <c r="T182" s="5">
        <v>33.908999999999999</v>
      </c>
    </row>
    <row r="183" spans="1:20" x14ac:dyDescent="0.25">
      <c r="A183" s="3" t="s">
        <v>40</v>
      </c>
      <c r="B183" t="s">
        <v>225</v>
      </c>
      <c r="C183" s="4">
        <v>38.295000000000002</v>
      </c>
      <c r="D183" s="5">
        <v>395.64499999999998</v>
      </c>
      <c r="E183" s="5">
        <v>422.20499999999998</v>
      </c>
      <c r="F183" s="5">
        <v>19943.582999999999</v>
      </c>
      <c r="G183" s="5">
        <v>40.441000000000003</v>
      </c>
      <c r="H183" s="5">
        <v>230.846</v>
      </c>
      <c r="I183" s="5">
        <v>42.402999999999999</v>
      </c>
      <c r="J183" s="5">
        <v>106.431</v>
      </c>
      <c r="K183" s="5">
        <v>1932.0219999999999</v>
      </c>
      <c r="L183" s="4">
        <v>467.21</v>
      </c>
      <c r="M183" s="5">
        <v>395.64499999999998</v>
      </c>
      <c r="N183" s="5">
        <v>426.49</v>
      </c>
      <c r="O183" s="5">
        <v>19958.402999999998</v>
      </c>
      <c r="P183" s="5">
        <v>161.54499999999999</v>
      </c>
      <c r="Q183" s="5">
        <v>230.846</v>
      </c>
      <c r="R183" s="5">
        <v>42.402999999999999</v>
      </c>
      <c r="S183" s="5">
        <v>106.431</v>
      </c>
      <c r="T183" s="5">
        <v>1945.396</v>
      </c>
    </row>
    <row r="184" spans="1:20" x14ac:dyDescent="0.25">
      <c r="A184" s="3" t="s">
        <v>39</v>
      </c>
      <c r="B184" t="s">
        <v>226</v>
      </c>
      <c r="C184" s="4">
        <v>0</v>
      </c>
      <c r="D184" s="5">
        <v>27.859000000000002</v>
      </c>
      <c r="E184" s="5">
        <v>24.5</v>
      </c>
      <c r="F184" s="5">
        <v>55.804000000000002</v>
      </c>
      <c r="G184" s="5">
        <v>0</v>
      </c>
      <c r="H184" s="5">
        <v>72.176000000000002</v>
      </c>
      <c r="I184" s="5">
        <v>0</v>
      </c>
      <c r="J184" s="5">
        <v>0</v>
      </c>
      <c r="K184" s="5">
        <v>0</v>
      </c>
      <c r="L184" s="4">
        <v>0</v>
      </c>
      <c r="M184" s="5">
        <v>27.859000000000002</v>
      </c>
      <c r="N184" s="5">
        <v>24.5</v>
      </c>
      <c r="O184" s="5">
        <v>55.804000000000002</v>
      </c>
      <c r="P184" s="5">
        <v>0</v>
      </c>
      <c r="Q184" s="5">
        <v>72.176000000000002</v>
      </c>
      <c r="R184" s="5">
        <v>0</v>
      </c>
      <c r="S184" s="5">
        <v>0</v>
      </c>
      <c r="T184" s="5">
        <v>0</v>
      </c>
    </row>
    <row r="185" spans="1:20" x14ac:dyDescent="0.25">
      <c r="A185" s="3" t="s">
        <v>39</v>
      </c>
      <c r="B185" t="s">
        <v>227</v>
      </c>
      <c r="C185" s="4">
        <v>0</v>
      </c>
      <c r="D185" s="5">
        <v>24.693000000000001</v>
      </c>
      <c r="E185" s="5">
        <v>0</v>
      </c>
      <c r="F185" s="5">
        <v>0</v>
      </c>
      <c r="G185" s="5">
        <v>19.117999999999999</v>
      </c>
      <c r="H185" s="5">
        <v>21.369</v>
      </c>
      <c r="I185" s="5">
        <v>8.0950000000000006</v>
      </c>
      <c r="J185" s="5">
        <v>0</v>
      </c>
      <c r="K185" s="5">
        <v>0</v>
      </c>
      <c r="L185" s="4">
        <v>0</v>
      </c>
      <c r="M185" s="5">
        <v>24.693000000000001</v>
      </c>
      <c r="N185" s="5">
        <v>0</v>
      </c>
      <c r="O185" s="5">
        <v>0</v>
      </c>
      <c r="P185" s="5">
        <v>19.117999999999999</v>
      </c>
      <c r="Q185" s="5">
        <v>21.369</v>
      </c>
      <c r="R185" s="5">
        <v>8.0950000000000006</v>
      </c>
      <c r="S185" s="5">
        <v>0</v>
      </c>
      <c r="T185" s="5">
        <v>0</v>
      </c>
    </row>
    <row r="186" spans="1:20" x14ac:dyDescent="0.25">
      <c r="A186" s="3" t="s">
        <v>92</v>
      </c>
      <c r="B186" t="s">
        <v>228</v>
      </c>
      <c r="C186" s="4">
        <v>0</v>
      </c>
      <c r="D186" s="5">
        <v>2282.1350000000002</v>
      </c>
      <c r="E186" s="5">
        <v>44.720999999999997</v>
      </c>
      <c r="F186" s="5">
        <v>0</v>
      </c>
      <c r="G186" s="5">
        <v>40.835000000000001</v>
      </c>
      <c r="H186" s="5">
        <v>35.198</v>
      </c>
      <c r="I186" s="5">
        <v>29.241</v>
      </c>
      <c r="J186" s="5">
        <v>0</v>
      </c>
      <c r="K186" s="5">
        <v>0</v>
      </c>
      <c r="L186" s="4">
        <v>0</v>
      </c>
      <c r="M186" s="5">
        <v>2282.1350000000002</v>
      </c>
      <c r="N186" s="5">
        <v>44.720999999999997</v>
      </c>
      <c r="O186" s="5">
        <v>0</v>
      </c>
      <c r="P186" s="5">
        <v>40.835000000000001</v>
      </c>
      <c r="Q186" s="5">
        <v>35.198</v>
      </c>
      <c r="R186" s="5">
        <v>29.241</v>
      </c>
      <c r="S186" s="5">
        <v>0</v>
      </c>
      <c r="T186" s="5">
        <v>0</v>
      </c>
    </row>
    <row r="187" spans="1:20" x14ac:dyDescent="0.25">
      <c r="A187" s="3" t="s">
        <v>35</v>
      </c>
      <c r="B187" t="s">
        <v>229</v>
      </c>
      <c r="C187" s="4">
        <v>0</v>
      </c>
      <c r="D187" s="5">
        <v>1452.136</v>
      </c>
      <c r="E187" s="5">
        <v>1115.4929999999999</v>
      </c>
      <c r="F187" s="5">
        <v>1266.8040000000001</v>
      </c>
      <c r="G187" s="5">
        <v>1061.461</v>
      </c>
      <c r="H187" s="5">
        <v>526.13800000000003</v>
      </c>
      <c r="I187" s="5">
        <v>300.58600000000001</v>
      </c>
      <c r="J187" s="5">
        <v>0</v>
      </c>
      <c r="K187" s="5">
        <v>0</v>
      </c>
      <c r="L187" s="4">
        <v>0</v>
      </c>
      <c r="M187" s="5">
        <v>1452.136</v>
      </c>
      <c r="N187" s="5">
        <v>1115.4929999999999</v>
      </c>
      <c r="O187" s="5">
        <v>1266.8040000000001</v>
      </c>
      <c r="P187" s="5">
        <v>1061.461</v>
      </c>
      <c r="Q187" s="5">
        <v>526.13800000000003</v>
      </c>
      <c r="R187" s="5">
        <v>300.58600000000001</v>
      </c>
      <c r="S187" s="5">
        <v>0</v>
      </c>
      <c r="T187" s="5">
        <v>0</v>
      </c>
    </row>
    <row r="188" spans="1:20" x14ac:dyDescent="0.25">
      <c r="A188" s="3" t="s">
        <v>172</v>
      </c>
      <c r="B188" t="s">
        <v>230</v>
      </c>
      <c r="C188" s="4">
        <v>0</v>
      </c>
      <c r="D188" s="5">
        <v>73.424999999999997</v>
      </c>
      <c r="E188" s="5">
        <v>0</v>
      </c>
      <c r="F188" s="5">
        <v>0</v>
      </c>
      <c r="G188" s="5">
        <v>0</v>
      </c>
      <c r="H188" s="5">
        <v>0</v>
      </c>
      <c r="I188" s="5">
        <v>0</v>
      </c>
      <c r="J188" s="5">
        <v>0</v>
      </c>
      <c r="K188" s="5">
        <v>0</v>
      </c>
      <c r="L188" s="4">
        <v>0</v>
      </c>
      <c r="M188" s="5">
        <v>9156.143</v>
      </c>
      <c r="N188" s="5">
        <v>0</v>
      </c>
      <c r="O188" s="5">
        <v>0</v>
      </c>
      <c r="P188" s="5">
        <v>0</v>
      </c>
      <c r="Q188" s="5">
        <v>0</v>
      </c>
      <c r="R188" s="5">
        <v>0</v>
      </c>
      <c r="S188" s="5">
        <v>0</v>
      </c>
      <c r="T188" s="5">
        <v>0</v>
      </c>
    </row>
    <row r="189" spans="1:20" x14ac:dyDescent="0.25">
      <c r="A189" s="3" t="s">
        <v>92</v>
      </c>
      <c r="B189" t="s">
        <v>231</v>
      </c>
      <c r="C189" s="4">
        <v>0</v>
      </c>
      <c r="D189" s="5">
        <v>0</v>
      </c>
      <c r="E189" s="5">
        <v>54.054000000000002</v>
      </c>
      <c r="F189" s="5">
        <v>0</v>
      </c>
      <c r="G189" s="5">
        <v>137.87299999999999</v>
      </c>
      <c r="H189" s="5">
        <v>71.802999999999997</v>
      </c>
      <c r="I189" s="5">
        <v>0</v>
      </c>
      <c r="J189" s="5">
        <v>0</v>
      </c>
      <c r="K189" s="5">
        <v>0</v>
      </c>
      <c r="L189" s="4">
        <v>0</v>
      </c>
      <c r="M189" s="5">
        <v>0</v>
      </c>
      <c r="N189" s="5">
        <v>54.054000000000002</v>
      </c>
      <c r="O189" s="5">
        <v>0</v>
      </c>
      <c r="P189" s="5">
        <v>137.87299999999999</v>
      </c>
      <c r="Q189" s="5">
        <v>71.802999999999997</v>
      </c>
      <c r="R189" s="5">
        <v>0</v>
      </c>
      <c r="S189" s="5">
        <v>0</v>
      </c>
      <c r="T189" s="5">
        <v>0</v>
      </c>
    </row>
    <row r="190" spans="1:20" x14ac:dyDescent="0.25">
      <c r="A190" s="3" t="s">
        <v>92</v>
      </c>
      <c r="B190" t="s">
        <v>232</v>
      </c>
      <c r="C190" s="4">
        <v>0</v>
      </c>
      <c r="D190" s="5">
        <v>0</v>
      </c>
      <c r="E190" s="5">
        <v>34.185000000000002</v>
      </c>
      <c r="F190" s="5">
        <v>0</v>
      </c>
      <c r="G190" s="5">
        <v>0</v>
      </c>
      <c r="H190" s="5">
        <v>0</v>
      </c>
      <c r="I190" s="5">
        <v>0</v>
      </c>
      <c r="J190" s="5">
        <v>0</v>
      </c>
      <c r="K190" s="5">
        <v>0</v>
      </c>
      <c r="L190" s="4">
        <v>0</v>
      </c>
      <c r="M190" s="5">
        <v>0</v>
      </c>
      <c r="N190" s="5">
        <v>34.185000000000002</v>
      </c>
      <c r="O190" s="5">
        <v>0</v>
      </c>
      <c r="P190" s="5">
        <v>0</v>
      </c>
      <c r="Q190" s="5">
        <v>0</v>
      </c>
      <c r="R190" s="5">
        <v>0</v>
      </c>
      <c r="S190" s="5">
        <v>0</v>
      </c>
      <c r="T190" s="5">
        <v>0</v>
      </c>
    </row>
    <row r="191" spans="1:20" x14ac:dyDescent="0.25">
      <c r="A191" s="3" t="s">
        <v>92</v>
      </c>
      <c r="B191" t="s">
        <v>233</v>
      </c>
      <c r="C191" s="4">
        <v>0</v>
      </c>
      <c r="D191" s="5">
        <v>0</v>
      </c>
      <c r="E191" s="5">
        <v>32.395000000000003</v>
      </c>
      <c r="F191" s="5">
        <v>0</v>
      </c>
      <c r="G191" s="5">
        <v>0</v>
      </c>
      <c r="H191" s="5">
        <v>30.638000000000002</v>
      </c>
      <c r="I191" s="5">
        <v>0</v>
      </c>
      <c r="J191" s="5">
        <v>0</v>
      </c>
      <c r="K191" s="5">
        <v>124.598</v>
      </c>
      <c r="L191" s="4">
        <v>0</v>
      </c>
      <c r="M191" s="5">
        <v>0</v>
      </c>
      <c r="N191" s="5">
        <v>32.395000000000003</v>
      </c>
      <c r="O191" s="5">
        <v>0</v>
      </c>
      <c r="P191" s="5">
        <v>0</v>
      </c>
      <c r="Q191" s="5">
        <v>30.638000000000002</v>
      </c>
      <c r="R191" s="5">
        <v>0</v>
      </c>
      <c r="S191" s="5">
        <v>0</v>
      </c>
      <c r="T191" s="5">
        <v>124.598</v>
      </c>
    </row>
    <row r="192" spans="1:20" x14ac:dyDescent="0.25">
      <c r="A192" s="3" t="s">
        <v>172</v>
      </c>
      <c r="B192" t="s">
        <v>234</v>
      </c>
      <c r="C192" s="4">
        <v>0</v>
      </c>
      <c r="D192" s="5">
        <v>0</v>
      </c>
      <c r="E192" s="5">
        <v>49.395000000000003</v>
      </c>
      <c r="F192" s="5">
        <v>0</v>
      </c>
      <c r="G192" s="5">
        <v>9.6319999999999997</v>
      </c>
      <c r="H192" s="5">
        <v>0</v>
      </c>
      <c r="I192" s="5">
        <v>0</v>
      </c>
      <c r="J192" s="5">
        <v>0</v>
      </c>
      <c r="K192" s="5">
        <v>0</v>
      </c>
      <c r="L192" s="4">
        <v>0</v>
      </c>
      <c r="M192" s="5">
        <v>0</v>
      </c>
      <c r="N192" s="5">
        <v>49.395000000000003</v>
      </c>
      <c r="O192" s="5">
        <v>0</v>
      </c>
      <c r="P192" s="5">
        <v>9.6319999999999997</v>
      </c>
      <c r="Q192" s="5">
        <v>0</v>
      </c>
      <c r="R192" s="5">
        <v>0</v>
      </c>
      <c r="S192" s="5">
        <v>0</v>
      </c>
      <c r="T192" s="5">
        <v>0</v>
      </c>
    </row>
    <row r="193" spans="1:20" x14ac:dyDescent="0.25">
      <c r="A193" s="3" t="s">
        <v>39</v>
      </c>
      <c r="B193" t="s">
        <v>235</v>
      </c>
      <c r="C193" s="4">
        <v>0</v>
      </c>
      <c r="D193" s="5">
        <v>0</v>
      </c>
      <c r="E193" s="5">
        <v>0</v>
      </c>
      <c r="F193" s="5">
        <v>24.556000000000001</v>
      </c>
      <c r="G193" s="5">
        <v>0</v>
      </c>
      <c r="H193" s="5">
        <v>42.11</v>
      </c>
      <c r="I193" s="5">
        <v>0</v>
      </c>
      <c r="J193" s="5">
        <v>81.126000000000005</v>
      </c>
      <c r="K193" s="5">
        <v>0</v>
      </c>
      <c r="L193" s="4">
        <v>0</v>
      </c>
      <c r="M193" s="5">
        <v>0</v>
      </c>
      <c r="N193" s="5">
        <v>0</v>
      </c>
      <c r="O193" s="5">
        <v>24.556000000000001</v>
      </c>
      <c r="P193" s="5">
        <v>0</v>
      </c>
      <c r="Q193" s="5">
        <v>42.11</v>
      </c>
      <c r="R193" s="5">
        <v>0</v>
      </c>
      <c r="S193" s="5">
        <v>81.126000000000005</v>
      </c>
      <c r="T193" s="5">
        <v>0</v>
      </c>
    </row>
    <row r="194" spans="1:20" x14ac:dyDescent="0.25">
      <c r="A194" s="3" t="s">
        <v>39</v>
      </c>
      <c r="B194" t="s">
        <v>236</v>
      </c>
      <c r="C194" s="4">
        <v>0</v>
      </c>
      <c r="D194" s="5">
        <v>0</v>
      </c>
      <c r="E194" s="5">
        <v>0</v>
      </c>
      <c r="F194" s="5">
        <v>17.437000000000001</v>
      </c>
      <c r="G194" s="5">
        <v>0</v>
      </c>
      <c r="H194" s="5">
        <v>0</v>
      </c>
      <c r="I194" s="5">
        <v>0</v>
      </c>
      <c r="J194" s="5">
        <v>0</v>
      </c>
      <c r="K194" s="5">
        <v>0</v>
      </c>
      <c r="L194" s="4">
        <v>0</v>
      </c>
      <c r="M194" s="5">
        <v>0</v>
      </c>
      <c r="N194" s="5">
        <v>0</v>
      </c>
      <c r="O194" s="5">
        <v>17.437000000000001</v>
      </c>
      <c r="P194" s="5">
        <v>0</v>
      </c>
      <c r="Q194" s="5">
        <v>0</v>
      </c>
      <c r="R194" s="5">
        <v>0</v>
      </c>
      <c r="S194" s="5">
        <v>0</v>
      </c>
      <c r="T194" s="5">
        <v>0</v>
      </c>
    </row>
    <row r="195" spans="1:20" x14ac:dyDescent="0.25">
      <c r="A195" s="3" t="s">
        <v>39</v>
      </c>
      <c r="B195" t="s">
        <v>237</v>
      </c>
      <c r="C195" s="4">
        <v>0</v>
      </c>
      <c r="D195" s="5">
        <v>0</v>
      </c>
      <c r="E195" s="5">
        <v>0</v>
      </c>
      <c r="F195" s="5">
        <v>7.8849999999999998</v>
      </c>
      <c r="G195" s="5">
        <v>0</v>
      </c>
      <c r="H195" s="5">
        <v>0</v>
      </c>
      <c r="I195" s="5">
        <v>0</v>
      </c>
      <c r="J195" s="5">
        <v>0</v>
      </c>
      <c r="K195" s="5">
        <v>0</v>
      </c>
      <c r="L195" s="4">
        <v>0</v>
      </c>
      <c r="M195" s="5">
        <v>0</v>
      </c>
      <c r="N195" s="5">
        <v>0</v>
      </c>
      <c r="O195" s="5">
        <v>7.8849999999999998</v>
      </c>
      <c r="P195" s="5">
        <v>0</v>
      </c>
      <c r="Q195" s="5">
        <v>0</v>
      </c>
      <c r="R195" s="5">
        <v>0</v>
      </c>
      <c r="S195" s="5">
        <v>0</v>
      </c>
      <c r="T195" s="5">
        <v>0</v>
      </c>
    </row>
    <row r="196" spans="1:20" x14ac:dyDescent="0.25">
      <c r="A196" s="3" t="s">
        <v>39</v>
      </c>
      <c r="B196" t="s">
        <v>238</v>
      </c>
      <c r="C196" s="4">
        <v>0</v>
      </c>
      <c r="D196" s="5">
        <v>0</v>
      </c>
      <c r="E196" s="5">
        <v>0</v>
      </c>
      <c r="F196" s="5">
        <v>0</v>
      </c>
      <c r="G196" s="5">
        <v>59.167999999999999</v>
      </c>
      <c r="H196" s="5">
        <v>0</v>
      </c>
      <c r="I196" s="5">
        <v>0</v>
      </c>
      <c r="J196" s="5">
        <v>0</v>
      </c>
      <c r="K196" s="5">
        <v>0</v>
      </c>
      <c r="L196" s="4">
        <v>0</v>
      </c>
      <c r="M196" s="5">
        <v>0</v>
      </c>
      <c r="N196" s="5">
        <v>0</v>
      </c>
      <c r="O196" s="5">
        <v>0</v>
      </c>
      <c r="P196" s="5">
        <v>59.167999999999999</v>
      </c>
      <c r="Q196" s="5">
        <v>0</v>
      </c>
      <c r="R196" s="5">
        <v>0</v>
      </c>
      <c r="S196" s="5">
        <v>0</v>
      </c>
      <c r="T196" s="5">
        <v>0</v>
      </c>
    </row>
    <row r="197" spans="1:20" x14ac:dyDescent="0.25">
      <c r="A197" s="3" t="s">
        <v>92</v>
      </c>
      <c r="B197" t="s">
        <v>239</v>
      </c>
      <c r="C197" s="4">
        <v>0</v>
      </c>
      <c r="D197" s="5">
        <v>0</v>
      </c>
      <c r="E197" s="5">
        <v>0</v>
      </c>
      <c r="F197" s="5">
        <v>0</v>
      </c>
      <c r="G197" s="5">
        <v>81.102999999999994</v>
      </c>
      <c r="H197" s="5">
        <v>102.613</v>
      </c>
      <c r="I197" s="5">
        <v>308.91300000000001</v>
      </c>
      <c r="J197" s="5">
        <v>825.08799999999997</v>
      </c>
      <c r="K197" s="5">
        <v>73.057000000000002</v>
      </c>
      <c r="L197" s="4">
        <v>0</v>
      </c>
      <c r="M197" s="5">
        <v>0</v>
      </c>
      <c r="N197" s="5">
        <v>0</v>
      </c>
      <c r="O197" s="5">
        <v>0</v>
      </c>
      <c r="P197" s="5">
        <v>81.102999999999994</v>
      </c>
      <c r="Q197" s="5">
        <v>104.431</v>
      </c>
      <c r="R197" s="5">
        <v>308.91300000000001</v>
      </c>
      <c r="S197" s="5">
        <v>825.08799999999997</v>
      </c>
      <c r="T197" s="5">
        <v>73.057000000000002</v>
      </c>
    </row>
    <row r="198" spans="1:20" x14ac:dyDescent="0.25">
      <c r="A198" s="3" t="s">
        <v>92</v>
      </c>
      <c r="B198" t="s">
        <v>240</v>
      </c>
      <c r="C198" s="4">
        <v>0</v>
      </c>
      <c r="D198" s="5">
        <v>0</v>
      </c>
      <c r="E198" s="5">
        <v>0</v>
      </c>
      <c r="F198" s="5">
        <v>0</v>
      </c>
      <c r="G198" s="5">
        <v>0</v>
      </c>
      <c r="H198" s="5">
        <v>7.173</v>
      </c>
      <c r="I198" s="5">
        <v>160.07</v>
      </c>
      <c r="J198" s="5">
        <v>0</v>
      </c>
      <c r="K198" s="5">
        <v>1053.0250000000001</v>
      </c>
      <c r="L198" s="4">
        <v>0</v>
      </c>
      <c r="M198" s="5">
        <v>0</v>
      </c>
      <c r="N198" s="5">
        <v>0</v>
      </c>
      <c r="O198" s="5">
        <v>0</v>
      </c>
      <c r="P198" s="5">
        <v>0</v>
      </c>
      <c r="Q198" s="5">
        <v>83.423000000000002</v>
      </c>
      <c r="R198" s="5">
        <v>12976.596</v>
      </c>
      <c r="S198" s="5">
        <v>0</v>
      </c>
      <c r="T198" s="5">
        <v>1053.0250000000001</v>
      </c>
    </row>
    <row r="199" spans="1:20" x14ac:dyDescent="0.25">
      <c r="A199" s="3" t="s">
        <v>92</v>
      </c>
      <c r="B199" t="s">
        <v>241</v>
      </c>
      <c r="C199" s="4">
        <v>0</v>
      </c>
      <c r="D199" s="5">
        <v>0</v>
      </c>
      <c r="E199" s="5">
        <v>0</v>
      </c>
      <c r="F199" s="5">
        <v>0</v>
      </c>
      <c r="G199" s="5">
        <v>0</v>
      </c>
      <c r="H199" s="5">
        <v>5.4790000000000001</v>
      </c>
      <c r="I199" s="5">
        <v>0</v>
      </c>
      <c r="J199" s="5">
        <v>0</v>
      </c>
      <c r="K199" s="5">
        <v>0</v>
      </c>
      <c r="L199" s="4">
        <v>0</v>
      </c>
      <c r="M199" s="5">
        <v>0</v>
      </c>
      <c r="N199" s="5">
        <v>0</v>
      </c>
      <c r="O199" s="5">
        <v>0</v>
      </c>
      <c r="P199" s="5">
        <v>0</v>
      </c>
      <c r="Q199" s="5">
        <v>5.4790000000000001</v>
      </c>
      <c r="R199" s="5">
        <v>0</v>
      </c>
      <c r="S199" s="5">
        <v>0</v>
      </c>
      <c r="T199" s="5">
        <v>0</v>
      </c>
    </row>
    <row r="200" spans="1:20" x14ac:dyDescent="0.25">
      <c r="A200" s="3" t="s">
        <v>92</v>
      </c>
      <c r="B200" t="s">
        <v>242</v>
      </c>
      <c r="C200" s="4">
        <v>0</v>
      </c>
      <c r="D200" s="5">
        <v>0</v>
      </c>
      <c r="E200" s="5">
        <v>0</v>
      </c>
      <c r="F200" s="5">
        <v>0</v>
      </c>
      <c r="G200" s="5">
        <v>0</v>
      </c>
      <c r="H200" s="5">
        <v>0</v>
      </c>
      <c r="I200" s="5">
        <v>36.365000000000002</v>
      </c>
      <c r="J200" s="5">
        <v>0</v>
      </c>
      <c r="K200" s="5">
        <v>0</v>
      </c>
      <c r="L200" s="4">
        <v>0</v>
      </c>
      <c r="M200" s="5">
        <v>0</v>
      </c>
      <c r="N200" s="5">
        <v>0</v>
      </c>
      <c r="O200" s="5">
        <v>0</v>
      </c>
      <c r="P200" s="5">
        <v>0</v>
      </c>
      <c r="Q200" s="5">
        <v>0</v>
      </c>
      <c r="R200" s="5">
        <v>36.365000000000002</v>
      </c>
      <c r="S200" s="5">
        <v>0</v>
      </c>
      <c r="T200" s="5">
        <v>0</v>
      </c>
    </row>
    <row r="201" spans="1:20" x14ac:dyDescent="0.25">
      <c r="A201" s="3" t="s">
        <v>35</v>
      </c>
      <c r="B201" t="s">
        <v>243</v>
      </c>
      <c r="C201" s="4">
        <v>0</v>
      </c>
      <c r="D201" s="5">
        <v>0</v>
      </c>
      <c r="E201" s="5">
        <v>0</v>
      </c>
      <c r="F201" s="5">
        <v>0</v>
      </c>
      <c r="G201" s="5">
        <v>0</v>
      </c>
      <c r="H201" s="5">
        <v>0</v>
      </c>
      <c r="I201" s="5">
        <v>0</v>
      </c>
      <c r="J201" s="5">
        <v>96.55</v>
      </c>
      <c r="K201" s="5">
        <v>214.66800000000001</v>
      </c>
      <c r="L201" s="4">
        <v>0</v>
      </c>
      <c r="M201" s="5">
        <v>0</v>
      </c>
      <c r="N201" s="5">
        <v>0</v>
      </c>
      <c r="O201" s="5">
        <v>0</v>
      </c>
      <c r="P201" s="5">
        <v>0</v>
      </c>
      <c r="Q201" s="5">
        <v>0</v>
      </c>
      <c r="R201" s="5">
        <v>0</v>
      </c>
      <c r="S201" s="5">
        <v>96.55</v>
      </c>
      <c r="T201" s="5">
        <v>214.66800000000001</v>
      </c>
    </row>
    <row r="202" spans="1:20" x14ac:dyDescent="0.25">
      <c r="A202" s="3" t="s">
        <v>92</v>
      </c>
      <c r="B202" t="s">
        <v>244</v>
      </c>
      <c r="C202" s="4">
        <v>0</v>
      </c>
      <c r="D202" s="5">
        <v>0</v>
      </c>
      <c r="E202" s="5">
        <v>0</v>
      </c>
      <c r="F202" s="5">
        <v>0</v>
      </c>
      <c r="G202" s="5">
        <v>0</v>
      </c>
      <c r="H202" s="5">
        <v>0</v>
      </c>
      <c r="I202" s="5">
        <v>0</v>
      </c>
      <c r="J202" s="5">
        <v>0</v>
      </c>
      <c r="K202" s="5">
        <v>174.386</v>
      </c>
      <c r="L202" s="4">
        <v>0</v>
      </c>
      <c r="M202" s="5">
        <v>0</v>
      </c>
      <c r="N202" s="5">
        <v>0</v>
      </c>
      <c r="O202" s="5">
        <v>0</v>
      </c>
      <c r="P202" s="5">
        <v>0</v>
      </c>
      <c r="Q202" s="5">
        <v>0</v>
      </c>
      <c r="R202" s="5">
        <v>0</v>
      </c>
      <c r="S202" s="5">
        <v>0</v>
      </c>
      <c r="T202" s="5">
        <v>174.386</v>
      </c>
    </row>
  </sheetData>
  <mergeCells count="6">
    <mergeCell ref="A1:R1"/>
    <mergeCell ref="A2:R2"/>
    <mergeCell ref="A3:R3"/>
    <mergeCell ref="A5:B5"/>
    <mergeCell ref="C5:K5"/>
    <mergeCell ref="L5:T5"/>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2"/>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RowHeight="15" x14ac:dyDescent="0.25"/>
  <cols>
    <col min="1" max="1" width="16.7109375" customWidth="1"/>
    <col min="2" max="19" width="14.7109375" customWidth="1"/>
  </cols>
  <sheetData>
    <row r="1" spans="1:19" ht="18" x14ac:dyDescent="0.25">
      <c r="A1" s="12" t="s">
        <v>245</v>
      </c>
      <c r="B1" s="8"/>
      <c r="C1" s="8"/>
      <c r="D1" s="8"/>
      <c r="E1" s="8"/>
      <c r="F1" s="8"/>
      <c r="G1" s="8"/>
      <c r="H1" s="8"/>
      <c r="I1" s="8"/>
      <c r="J1" s="8"/>
      <c r="K1" s="8"/>
      <c r="L1" s="8"/>
      <c r="M1" s="8"/>
      <c r="N1" s="8"/>
      <c r="O1" s="8"/>
      <c r="P1" s="8"/>
      <c r="Q1" s="8"/>
      <c r="R1" s="8"/>
    </row>
    <row r="3" spans="1:19" x14ac:dyDescent="0.25">
      <c r="A3" s="13" t="s">
        <v>12</v>
      </c>
      <c r="B3" s="13" t="s">
        <v>13</v>
      </c>
      <c r="C3" s="14"/>
      <c r="D3" s="14"/>
      <c r="E3" s="14"/>
      <c r="F3" s="14"/>
      <c r="G3" s="14"/>
      <c r="H3" s="14"/>
      <c r="I3" s="14"/>
      <c r="J3" s="14"/>
      <c r="K3" s="13" t="s">
        <v>14</v>
      </c>
      <c r="L3" s="14"/>
      <c r="M3" s="14"/>
      <c r="N3" s="14"/>
      <c r="O3" s="14"/>
      <c r="P3" s="14"/>
      <c r="Q3" s="14"/>
      <c r="R3" s="14"/>
      <c r="S3" s="14"/>
    </row>
    <row r="4" spans="1:19" ht="15.75" x14ac:dyDescent="0.25">
      <c r="A4" s="6" t="s">
        <v>15</v>
      </c>
      <c r="B4" s="6" t="s">
        <v>16</v>
      </c>
      <c r="C4" s="7" t="s">
        <v>17</v>
      </c>
      <c r="D4" s="7" t="s">
        <v>18</v>
      </c>
      <c r="E4" s="7" t="s">
        <v>19</v>
      </c>
      <c r="F4" s="7" t="s">
        <v>20</v>
      </c>
      <c r="G4" s="7" t="s">
        <v>21</v>
      </c>
      <c r="H4" s="7" t="s">
        <v>22</v>
      </c>
      <c r="I4" s="7" t="s">
        <v>23</v>
      </c>
      <c r="J4" s="7" t="s">
        <v>24</v>
      </c>
      <c r="K4" s="6" t="s">
        <v>25</v>
      </c>
      <c r="L4" s="7" t="s">
        <v>26</v>
      </c>
      <c r="M4" s="7" t="s">
        <v>27</v>
      </c>
      <c r="N4" s="7" t="s">
        <v>28</v>
      </c>
      <c r="O4" s="7" t="s">
        <v>29</v>
      </c>
      <c r="P4" s="7" t="s">
        <v>30</v>
      </c>
      <c r="Q4" s="7" t="s">
        <v>31</v>
      </c>
      <c r="R4" s="7" t="s">
        <v>32</v>
      </c>
      <c r="S4" s="7" t="s">
        <v>33</v>
      </c>
    </row>
    <row r="5" spans="1:19" x14ac:dyDescent="0.25">
      <c r="A5" s="3" t="s">
        <v>34</v>
      </c>
      <c r="B5" s="4">
        <v>21853.751828</v>
      </c>
      <c r="C5" s="5">
        <v>22524.06208</v>
      </c>
      <c r="D5" s="5">
        <v>23715.840703000002</v>
      </c>
      <c r="E5" s="5">
        <v>23943.588815999999</v>
      </c>
      <c r="F5" s="5">
        <v>21582.085863</v>
      </c>
      <c r="G5" s="5">
        <v>22662.710610999999</v>
      </c>
      <c r="H5" s="5">
        <v>26925.24238</v>
      </c>
      <c r="I5" s="5">
        <v>25239.909770999999</v>
      </c>
      <c r="J5" s="5">
        <v>24118.150838000001</v>
      </c>
      <c r="K5" s="4">
        <v>22501.744791000001</v>
      </c>
      <c r="L5" s="5">
        <v>23089.585650000001</v>
      </c>
      <c r="M5" s="5">
        <v>24284.157152</v>
      </c>
      <c r="N5" s="5">
        <v>25666.109909999999</v>
      </c>
      <c r="O5" s="5">
        <v>25595.922771000001</v>
      </c>
      <c r="P5" s="5">
        <v>24513.968044000001</v>
      </c>
      <c r="Q5" s="5">
        <v>28119.947958000001</v>
      </c>
      <c r="R5" s="5">
        <v>26459.086507</v>
      </c>
      <c r="S5" s="5">
        <v>25413.960776</v>
      </c>
    </row>
    <row r="6" spans="1:19" x14ac:dyDescent="0.25">
      <c r="A6" s="3" t="s">
        <v>35</v>
      </c>
      <c r="B6" s="4">
        <v>6658.75414</v>
      </c>
      <c r="C6" s="5">
        <v>7587.8295850000004</v>
      </c>
      <c r="D6" s="5">
        <v>8000.6267079999998</v>
      </c>
      <c r="E6" s="5">
        <v>8265.9677780000002</v>
      </c>
      <c r="F6" s="5">
        <v>8318.9291069999999</v>
      </c>
      <c r="G6" s="5">
        <v>9598.521573</v>
      </c>
      <c r="H6" s="5">
        <v>10915.740333</v>
      </c>
      <c r="I6" s="5">
        <v>9438.5879089999999</v>
      </c>
      <c r="J6" s="5">
        <v>8811.9043500000007</v>
      </c>
      <c r="K6" s="4">
        <v>10455.51261</v>
      </c>
      <c r="L6" s="5">
        <v>12662.671542</v>
      </c>
      <c r="M6" s="5">
        <v>10646.227265</v>
      </c>
      <c r="N6" s="5">
        <v>11367.445218999999</v>
      </c>
      <c r="O6" s="5">
        <v>11267.810076</v>
      </c>
      <c r="P6" s="5">
        <v>12923.622416</v>
      </c>
      <c r="Q6" s="5">
        <v>16906.88294</v>
      </c>
      <c r="R6" s="5">
        <v>16619.297102</v>
      </c>
      <c r="S6" s="5">
        <v>17010.043831999999</v>
      </c>
    </row>
    <row r="7" spans="1:19" x14ac:dyDescent="0.25">
      <c r="A7" s="3" t="s">
        <v>36</v>
      </c>
      <c r="B7" s="4">
        <v>3919.0951399999999</v>
      </c>
      <c r="C7" s="5">
        <v>2802.8415169999998</v>
      </c>
      <c r="D7" s="5">
        <v>2772.59539</v>
      </c>
      <c r="E7" s="5">
        <v>3272.0435849999999</v>
      </c>
      <c r="F7" s="5">
        <v>1941.2870330000001</v>
      </c>
      <c r="G7" s="5">
        <v>1832.5815829999999</v>
      </c>
      <c r="H7" s="5">
        <v>2179.5405959999998</v>
      </c>
      <c r="I7" s="5">
        <v>2250.1849820000002</v>
      </c>
      <c r="J7" s="5">
        <v>2149.0260389999999</v>
      </c>
      <c r="K7" s="4">
        <v>4448.6208649999999</v>
      </c>
      <c r="L7" s="5">
        <v>3017.4596329999999</v>
      </c>
      <c r="M7" s="5">
        <v>3221.226909</v>
      </c>
      <c r="N7" s="5">
        <v>3401.6020400000002</v>
      </c>
      <c r="O7" s="5">
        <v>4306.823359</v>
      </c>
      <c r="P7" s="5">
        <v>4840.4609099999998</v>
      </c>
      <c r="Q7" s="5">
        <v>6400.1471929999998</v>
      </c>
      <c r="R7" s="5">
        <v>7592.5141370000001</v>
      </c>
      <c r="S7" s="5">
        <v>5172.2510970000003</v>
      </c>
    </row>
    <row r="8" spans="1:19" x14ac:dyDescent="0.25">
      <c r="A8" s="3" t="s">
        <v>37</v>
      </c>
      <c r="B8" s="4">
        <v>1271.625806</v>
      </c>
      <c r="C8" s="5">
        <v>1358.2894249999999</v>
      </c>
      <c r="D8" s="5">
        <v>1458.228818</v>
      </c>
      <c r="E8" s="5">
        <v>1429.5148879999999</v>
      </c>
      <c r="F8" s="5">
        <v>1378.8357619999999</v>
      </c>
      <c r="G8" s="5">
        <v>1413.095716</v>
      </c>
      <c r="H8" s="5">
        <v>1560.975911</v>
      </c>
      <c r="I8" s="5">
        <v>1450.147504</v>
      </c>
      <c r="J8" s="5">
        <v>1462.1790040000001</v>
      </c>
      <c r="K8" s="4">
        <v>5484.5996139999997</v>
      </c>
      <c r="L8" s="5">
        <v>5239.1992030000001</v>
      </c>
      <c r="M8" s="5">
        <v>12294.081344</v>
      </c>
      <c r="N8" s="5">
        <v>7096.3092470000001</v>
      </c>
      <c r="O8" s="5">
        <v>7287.6464109999997</v>
      </c>
      <c r="P8" s="5">
        <v>21705.668476999999</v>
      </c>
      <c r="Q8" s="5">
        <v>5724.9854020000002</v>
      </c>
      <c r="R8" s="5">
        <v>3588.8327760000002</v>
      </c>
      <c r="S8" s="5">
        <v>4382.7068639999998</v>
      </c>
    </row>
    <row r="9" spans="1:19" x14ac:dyDescent="0.25">
      <c r="A9" s="3" t="s">
        <v>38</v>
      </c>
      <c r="B9" s="4">
        <v>591.07028100000002</v>
      </c>
      <c r="C9" s="5">
        <v>1113.983174</v>
      </c>
      <c r="D9" s="5">
        <v>1404.1916839999999</v>
      </c>
      <c r="E9" s="5">
        <v>629.54475400000001</v>
      </c>
      <c r="F9" s="5">
        <v>554.43010000000004</v>
      </c>
      <c r="G9" s="5">
        <v>740.60217999999998</v>
      </c>
      <c r="H9" s="5">
        <v>526.96209999999996</v>
      </c>
      <c r="I9" s="5">
        <v>548.67367200000001</v>
      </c>
      <c r="J9" s="5">
        <v>656.85925299999997</v>
      </c>
      <c r="K9" s="4">
        <v>649.27350300000001</v>
      </c>
      <c r="L9" s="5">
        <v>1389.99848</v>
      </c>
      <c r="M9" s="5">
        <v>1423.0121200000001</v>
      </c>
      <c r="N9" s="5">
        <v>636.02790800000002</v>
      </c>
      <c r="O9" s="5">
        <v>563.17510500000003</v>
      </c>
      <c r="P9" s="5">
        <v>1096.0127090000001</v>
      </c>
      <c r="Q9" s="5">
        <v>3659.7629529999999</v>
      </c>
      <c r="R9" s="5">
        <v>2950.3020240000001</v>
      </c>
      <c r="S9" s="5">
        <v>2662.9156410000001</v>
      </c>
    </row>
    <row r="10" spans="1:19" x14ac:dyDescent="0.25">
      <c r="A10" s="3" t="s">
        <v>39</v>
      </c>
      <c r="B10" s="4">
        <v>288.15889800000002</v>
      </c>
      <c r="C10" s="5">
        <v>294.36223999999999</v>
      </c>
      <c r="D10" s="5">
        <v>328.00464699999998</v>
      </c>
      <c r="E10" s="5">
        <v>380.62074799999999</v>
      </c>
      <c r="F10" s="5">
        <v>323.49780500000003</v>
      </c>
      <c r="G10" s="5">
        <v>355.248265</v>
      </c>
      <c r="H10" s="5">
        <v>415.18144000000001</v>
      </c>
      <c r="I10" s="5">
        <v>425.82703600000002</v>
      </c>
      <c r="J10" s="5">
        <v>405.59056399999997</v>
      </c>
      <c r="K10" s="4">
        <v>834.53039899999999</v>
      </c>
      <c r="L10" s="5">
        <v>629.61203699999999</v>
      </c>
      <c r="M10" s="5">
        <v>608.89612699999998</v>
      </c>
      <c r="N10" s="5">
        <v>470.35528799999997</v>
      </c>
      <c r="O10" s="5">
        <v>1462.3698400000001</v>
      </c>
      <c r="P10" s="5">
        <v>712.85329300000001</v>
      </c>
      <c r="Q10" s="5">
        <v>1719.312921</v>
      </c>
      <c r="R10" s="5">
        <v>1835.371967</v>
      </c>
      <c r="S10" s="5">
        <v>1377.0466759999999</v>
      </c>
    </row>
    <row r="11" spans="1:19" x14ac:dyDescent="0.25">
      <c r="A11" s="3" t="s">
        <v>40</v>
      </c>
      <c r="B11" s="4">
        <v>24.641767999999999</v>
      </c>
      <c r="C11" s="5">
        <v>31.728877000000001</v>
      </c>
      <c r="D11" s="5">
        <v>30.068294000000002</v>
      </c>
      <c r="E11" s="5">
        <v>32.769716000000003</v>
      </c>
      <c r="F11" s="5">
        <v>19.296576999999999</v>
      </c>
      <c r="G11" s="5">
        <v>26.23657</v>
      </c>
      <c r="H11" s="5">
        <v>27.118703</v>
      </c>
      <c r="I11" s="5">
        <v>24.709697999999999</v>
      </c>
      <c r="J11" s="5">
        <v>25.411207000000001</v>
      </c>
      <c r="K11" s="4">
        <v>28.867982000000001</v>
      </c>
      <c r="L11" s="5">
        <v>93.116825000000006</v>
      </c>
      <c r="M11" s="5">
        <v>31.003012999999999</v>
      </c>
      <c r="N11" s="5">
        <v>33.577736000000002</v>
      </c>
      <c r="O11" s="5">
        <v>293.92183799999998</v>
      </c>
      <c r="P11" s="5">
        <v>27.591609999999999</v>
      </c>
      <c r="Q11" s="5">
        <v>631.08281899999997</v>
      </c>
      <c r="R11" s="5">
        <v>1760.0676599999999</v>
      </c>
      <c r="S11" s="5">
        <v>2086.3461430000002</v>
      </c>
    </row>
    <row r="12" spans="1:19" x14ac:dyDescent="0.25">
      <c r="A12" s="3" t="s">
        <v>41</v>
      </c>
      <c r="B12" s="4">
        <v>34607.097861000002</v>
      </c>
      <c r="C12" s="5">
        <v>35713.096898000003</v>
      </c>
      <c r="D12" s="5">
        <v>37709.556243999999</v>
      </c>
      <c r="E12" s="5">
        <v>37954.050284999998</v>
      </c>
      <c r="F12" s="5">
        <v>34118.362246999997</v>
      </c>
      <c r="G12" s="5">
        <v>36628.996498</v>
      </c>
      <c r="H12" s="5">
        <v>42550.761463000003</v>
      </c>
      <c r="I12" s="5">
        <v>39378.040571999998</v>
      </c>
      <c r="J12" s="5">
        <v>37629.121254999998</v>
      </c>
      <c r="K12" s="4">
        <v>44403.149764000002</v>
      </c>
      <c r="L12" s="5">
        <v>46121.643369999998</v>
      </c>
      <c r="M12" s="5">
        <v>52508.603929999997</v>
      </c>
      <c r="N12" s="5">
        <v>48671.427347999997</v>
      </c>
      <c r="O12" s="5">
        <v>50777.669399999999</v>
      </c>
      <c r="P12" s="5">
        <v>65820.177458999999</v>
      </c>
      <c r="Q12" s="5">
        <v>63162.122186000001</v>
      </c>
      <c r="R12" s="5">
        <v>60805.472173000002</v>
      </c>
      <c r="S12" s="5">
        <v>58105.271029000003</v>
      </c>
    </row>
  </sheetData>
  <mergeCells count="4">
    <mergeCell ref="A1:R1"/>
    <mergeCell ref="A3"/>
    <mergeCell ref="B3:J3"/>
    <mergeCell ref="K3:S3"/>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84"/>
  <sheetViews>
    <sheetView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RowHeight="15" x14ac:dyDescent="0.25"/>
  <cols>
    <col min="1" max="1" width="11.7109375" customWidth="1"/>
    <col min="2" max="2" width="28.7109375" customWidth="1"/>
    <col min="3" max="20" width="14.7109375" customWidth="1"/>
  </cols>
  <sheetData>
    <row r="1" spans="1:20" ht="18" x14ac:dyDescent="0.25">
      <c r="A1" s="12" t="s">
        <v>246</v>
      </c>
      <c r="B1" s="8"/>
      <c r="C1" s="8"/>
      <c r="D1" s="8"/>
      <c r="E1" s="8"/>
      <c r="F1" s="8"/>
      <c r="G1" s="8"/>
      <c r="H1" s="8"/>
      <c r="I1" s="8"/>
      <c r="J1" s="8"/>
      <c r="K1" s="8"/>
      <c r="L1" s="8"/>
      <c r="M1" s="8"/>
      <c r="N1" s="8"/>
      <c r="O1" s="8"/>
      <c r="P1" s="8"/>
      <c r="Q1" s="8"/>
      <c r="R1" s="8"/>
    </row>
    <row r="2" spans="1:20" x14ac:dyDescent="0.25">
      <c r="A2" s="10" t="s">
        <v>43</v>
      </c>
      <c r="B2" s="8"/>
      <c r="C2" s="8"/>
      <c r="D2" s="8"/>
      <c r="E2" s="8"/>
      <c r="F2" s="8"/>
      <c r="G2" s="8"/>
      <c r="H2" s="8"/>
      <c r="I2" s="8"/>
      <c r="J2" s="8"/>
      <c r="K2" s="8"/>
      <c r="L2" s="8"/>
      <c r="M2" s="8"/>
      <c r="N2" s="8"/>
      <c r="O2" s="8"/>
      <c r="P2" s="8"/>
      <c r="Q2" s="8"/>
      <c r="R2" s="8"/>
    </row>
    <row r="3" spans="1:20" x14ac:dyDescent="0.25">
      <c r="A3" s="10" t="s">
        <v>44</v>
      </c>
      <c r="B3" s="8"/>
      <c r="C3" s="8"/>
      <c r="D3" s="8"/>
      <c r="E3" s="8"/>
      <c r="F3" s="8"/>
      <c r="G3" s="8"/>
      <c r="H3" s="8"/>
      <c r="I3" s="8"/>
      <c r="J3" s="8"/>
      <c r="K3" s="8"/>
      <c r="L3" s="8"/>
      <c r="M3" s="8"/>
      <c r="N3" s="8"/>
      <c r="O3" s="8"/>
      <c r="P3" s="8"/>
      <c r="Q3" s="8"/>
      <c r="R3" s="8"/>
    </row>
    <row r="5" spans="1:20" x14ac:dyDescent="0.25">
      <c r="A5" s="13" t="s">
        <v>12</v>
      </c>
      <c r="B5" s="14"/>
      <c r="C5" s="13" t="s">
        <v>13</v>
      </c>
      <c r="D5" s="14"/>
      <c r="E5" s="14"/>
      <c r="F5" s="14"/>
      <c r="G5" s="14"/>
      <c r="H5" s="14"/>
      <c r="I5" s="14"/>
      <c r="J5" s="14"/>
      <c r="K5" s="14"/>
      <c r="L5" s="13" t="s">
        <v>14</v>
      </c>
      <c r="M5" s="14"/>
      <c r="N5" s="14"/>
      <c r="O5" s="14"/>
      <c r="P5" s="14"/>
      <c r="Q5" s="14"/>
      <c r="R5" s="14"/>
      <c r="S5" s="14"/>
      <c r="T5" s="14"/>
    </row>
    <row r="6" spans="1:20" ht="15.75" x14ac:dyDescent="0.25">
      <c r="A6" s="6" t="s">
        <v>45</v>
      </c>
      <c r="B6" s="7" t="s">
        <v>46</v>
      </c>
      <c r="C6" s="6" t="s">
        <v>16</v>
      </c>
      <c r="D6" s="7" t="s">
        <v>17</v>
      </c>
      <c r="E6" s="7" t="s">
        <v>18</v>
      </c>
      <c r="F6" s="7" t="s">
        <v>19</v>
      </c>
      <c r="G6" s="7" t="s">
        <v>20</v>
      </c>
      <c r="H6" s="7" t="s">
        <v>21</v>
      </c>
      <c r="I6" s="7" t="s">
        <v>22</v>
      </c>
      <c r="J6" s="7" t="s">
        <v>23</v>
      </c>
      <c r="K6" s="7" t="s">
        <v>24</v>
      </c>
      <c r="L6" s="6" t="s">
        <v>25</v>
      </c>
      <c r="M6" s="7" t="s">
        <v>26</v>
      </c>
      <c r="N6" s="7" t="s">
        <v>27</v>
      </c>
      <c r="O6" s="7" t="s">
        <v>28</v>
      </c>
      <c r="P6" s="7" t="s">
        <v>29</v>
      </c>
      <c r="Q6" s="7" t="s">
        <v>30</v>
      </c>
      <c r="R6" s="7" t="s">
        <v>31</v>
      </c>
      <c r="S6" s="7" t="s">
        <v>32</v>
      </c>
      <c r="T6" s="7" t="s">
        <v>33</v>
      </c>
    </row>
    <row r="7" spans="1:20" x14ac:dyDescent="0.25">
      <c r="A7" s="3" t="s">
        <v>39</v>
      </c>
      <c r="B7" t="s">
        <v>47</v>
      </c>
      <c r="C7" s="4">
        <v>99752.794999999998</v>
      </c>
      <c r="D7" s="5">
        <v>72772.148000000001</v>
      </c>
      <c r="E7" s="5">
        <v>113831.375</v>
      </c>
      <c r="F7" s="5">
        <v>166981.198</v>
      </c>
      <c r="G7" s="5">
        <v>121937.387</v>
      </c>
      <c r="H7" s="5">
        <v>140578.42800000001</v>
      </c>
      <c r="I7" s="5">
        <v>162756.83900000001</v>
      </c>
      <c r="J7" s="5">
        <v>166104.41399999999</v>
      </c>
      <c r="K7" s="5">
        <v>117660.02</v>
      </c>
      <c r="L7" s="4">
        <v>240113.87400000001</v>
      </c>
      <c r="M7" s="5">
        <v>143886.989</v>
      </c>
      <c r="N7" s="5">
        <v>319243.39899999998</v>
      </c>
      <c r="O7" s="5">
        <v>255868.13500000001</v>
      </c>
      <c r="P7" s="5">
        <v>1239416.9469999999</v>
      </c>
      <c r="Q7" s="5">
        <v>496776.82699999999</v>
      </c>
      <c r="R7" s="5">
        <v>1457730.121</v>
      </c>
      <c r="S7" s="5">
        <v>1571194.433</v>
      </c>
      <c r="T7" s="5">
        <v>1086170.6259999999</v>
      </c>
    </row>
    <row r="8" spans="1:20" x14ac:dyDescent="0.25">
      <c r="A8" s="3" t="s">
        <v>39</v>
      </c>
      <c r="B8" t="s">
        <v>52</v>
      </c>
      <c r="C8" s="4">
        <v>47918.461000000003</v>
      </c>
      <c r="D8" s="5">
        <v>58846.665000000001</v>
      </c>
      <c r="E8" s="5">
        <v>65044.338000000003</v>
      </c>
      <c r="F8" s="5">
        <v>65409.375</v>
      </c>
      <c r="G8" s="5">
        <v>69201.899999999994</v>
      </c>
      <c r="H8" s="5">
        <v>62427.33</v>
      </c>
      <c r="I8" s="5">
        <v>84209.849000000002</v>
      </c>
      <c r="J8" s="5">
        <v>95782.947</v>
      </c>
      <c r="K8" s="5">
        <v>102436.129</v>
      </c>
      <c r="L8" s="4">
        <v>47918.692000000003</v>
      </c>
      <c r="M8" s="5">
        <v>58847.400999999998</v>
      </c>
      <c r="N8" s="5">
        <v>65049.514000000003</v>
      </c>
      <c r="O8" s="5">
        <v>65409.387000000002</v>
      </c>
      <c r="P8" s="5">
        <v>69207.304000000004</v>
      </c>
      <c r="Q8" s="5">
        <v>62447.199999999997</v>
      </c>
      <c r="R8" s="5">
        <v>84209.849000000002</v>
      </c>
      <c r="S8" s="5">
        <v>95797.645000000004</v>
      </c>
      <c r="T8" s="5">
        <v>102438.12300000001</v>
      </c>
    </row>
    <row r="9" spans="1:20" x14ac:dyDescent="0.25">
      <c r="A9" s="3" t="s">
        <v>39</v>
      </c>
      <c r="B9" t="s">
        <v>60</v>
      </c>
      <c r="C9" s="4">
        <v>43532.633999999998</v>
      </c>
      <c r="D9" s="5">
        <v>46398.213000000003</v>
      </c>
      <c r="E9" s="5">
        <v>40510.999000000003</v>
      </c>
      <c r="F9" s="5">
        <v>41203.580999999998</v>
      </c>
      <c r="G9" s="5">
        <v>40511.904000000002</v>
      </c>
      <c r="H9" s="5">
        <v>52518.22</v>
      </c>
      <c r="I9" s="5">
        <v>49354.89</v>
      </c>
      <c r="J9" s="5">
        <v>42516.652000000002</v>
      </c>
      <c r="K9" s="5">
        <v>54226.915999999997</v>
      </c>
      <c r="L9" s="4">
        <v>43532.633999999998</v>
      </c>
      <c r="M9" s="5">
        <v>46398.213000000003</v>
      </c>
      <c r="N9" s="5">
        <v>40510.999000000003</v>
      </c>
      <c r="O9" s="5">
        <v>41207.587</v>
      </c>
      <c r="P9" s="5">
        <v>40517.141000000003</v>
      </c>
      <c r="Q9" s="5">
        <v>52518.22</v>
      </c>
      <c r="R9" s="5">
        <v>49354.89</v>
      </c>
      <c r="S9" s="5">
        <v>42516.652000000002</v>
      </c>
      <c r="T9" s="5">
        <v>54226.915999999997</v>
      </c>
    </row>
    <row r="10" spans="1:20" x14ac:dyDescent="0.25">
      <c r="A10" s="3" t="s">
        <v>39</v>
      </c>
      <c r="B10" t="s">
        <v>50</v>
      </c>
      <c r="C10" s="4">
        <v>41352.131000000001</v>
      </c>
      <c r="D10" s="5">
        <v>54289.267999999996</v>
      </c>
      <c r="E10" s="5">
        <v>53342.258999999998</v>
      </c>
      <c r="F10" s="5">
        <v>48003.489000000001</v>
      </c>
      <c r="G10" s="5">
        <v>45968.550999999999</v>
      </c>
      <c r="H10" s="5">
        <v>52501.697999999997</v>
      </c>
      <c r="I10" s="5">
        <v>68361.599000000002</v>
      </c>
      <c r="J10" s="5">
        <v>60553.855000000003</v>
      </c>
      <c r="K10" s="5">
        <v>62918.65</v>
      </c>
      <c r="L10" s="4">
        <v>41352.167000000001</v>
      </c>
      <c r="M10" s="5">
        <v>54294.402999999998</v>
      </c>
      <c r="N10" s="5">
        <v>53343.610999999997</v>
      </c>
      <c r="O10" s="5">
        <v>48003.489000000001</v>
      </c>
      <c r="P10" s="5">
        <v>45968.550999999999</v>
      </c>
      <c r="Q10" s="5">
        <v>52507.197999999997</v>
      </c>
      <c r="R10" s="5">
        <v>70274.883000000002</v>
      </c>
      <c r="S10" s="5">
        <v>60959.017999999996</v>
      </c>
      <c r="T10" s="5">
        <v>63070.773000000001</v>
      </c>
    </row>
    <row r="11" spans="1:20" x14ac:dyDescent="0.25">
      <c r="A11" s="3" t="s">
        <v>39</v>
      </c>
      <c r="B11" t="s">
        <v>76</v>
      </c>
      <c r="C11" s="4">
        <v>14724.54</v>
      </c>
      <c r="D11" s="5">
        <v>19829.577000000001</v>
      </c>
      <c r="E11" s="5">
        <v>21071.537</v>
      </c>
      <c r="F11" s="5">
        <v>14977.621999999999</v>
      </c>
      <c r="G11" s="5">
        <v>13694.981</v>
      </c>
      <c r="H11" s="5">
        <v>13236.450999999999</v>
      </c>
      <c r="I11" s="5">
        <v>12475.906999999999</v>
      </c>
      <c r="J11" s="5">
        <v>8740.2870000000003</v>
      </c>
      <c r="K11" s="5">
        <v>12334.261</v>
      </c>
      <c r="L11" s="4">
        <v>14771.352000000001</v>
      </c>
      <c r="M11" s="5">
        <v>19831.990000000002</v>
      </c>
      <c r="N11" s="5">
        <v>21071.537</v>
      </c>
      <c r="O11" s="5">
        <v>14977.621999999999</v>
      </c>
      <c r="P11" s="5">
        <v>13696.29</v>
      </c>
      <c r="Q11" s="5">
        <v>13392.084999999999</v>
      </c>
      <c r="R11" s="5">
        <v>12534.329</v>
      </c>
      <c r="S11" s="5">
        <v>8747.8819999999996</v>
      </c>
      <c r="T11" s="5">
        <v>12344.376</v>
      </c>
    </row>
    <row r="12" spans="1:20" x14ac:dyDescent="0.25">
      <c r="A12" s="3" t="s">
        <v>39</v>
      </c>
      <c r="B12" t="s">
        <v>48</v>
      </c>
      <c r="C12" s="4">
        <v>10750.41</v>
      </c>
      <c r="D12" s="5">
        <v>11439.91</v>
      </c>
      <c r="E12" s="5">
        <v>11164.887000000001</v>
      </c>
      <c r="F12" s="5">
        <v>10989.651</v>
      </c>
      <c r="G12" s="5">
        <v>11227.289000000001</v>
      </c>
      <c r="H12" s="5">
        <v>13037.465</v>
      </c>
      <c r="I12" s="5">
        <v>13088.08</v>
      </c>
      <c r="J12" s="5">
        <v>18306.055</v>
      </c>
      <c r="K12" s="5">
        <v>20329.241999999998</v>
      </c>
      <c r="L12" s="4">
        <v>414488.674</v>
      </c>
      <c r="M12" s="5">
        <v>273430.989</v>
      </c>
      <c r="N12" s="5">
        <v>86463.009000000005</v>
      </c>
      <c r="O12" s="5">
        <v>11014.661</v>
      </c>
      <c r="P12" s="5">
        <v>32552.216</v>
      </c>
      <c r="Q12" s="5">
        <v>13367.419</v>
      </c>
      <c r="R12" s="5">
        <v>13795.748</v>
      </c>
      <c r="S12" s="5">
        <v>19199.994999999999</v>
      </c>
      <c r="T12" s="5">
        <v>21346.126</v>
      </c>
    </row>
    <row r="13" spans="1:20" x14ac:dyDescent="0.25">
      <c r="A13" s="3" t="s">
        <v>39</v>
      </c>
      <c r="B13" t="s">
        <v>58</v>
      </c>
      <c r="C13" s="4">
        <v>9609.0889999999999</v>
      </c>
      <c r="D13" s="5">
        <v>8537.5930000000008</v>
      </c>
      <c r="E13" s="5">
        <v>8214.473</v>
      </c>
      <c r="F13" s="5">
        <v>8238.1610000000001</v>
      </c>
      <c r="G13" s="5">
        <v>7541.7640000000001</v>
      </c>
      <c r="H13" s="5">
        <v>8183.8059999999996</v>
      </c>
      <c r="I13" s="5">
        <v>8831.9979999999996</v>
      </c>
      <c r="J13" s="5">
        <v>10619.098</v>
      </c>
      <c r="K13" s="5">
        <v>8690.5069999999996</v>
      </c>
      <c r="L13" s="4">
        <v>9609.0889999999999</v>
      </c>
      <c r="M13" s="5">
        <v>8537.5930000000008</v>
      </c>
      <c r="N13" s="5">
        <v>8214.473</v>
      </c>
      <c r="O13" s="5">
        <v>8239.8140000000003</v>
      </c>
      <c r="P13" s="5">
        <v>7542.9920000000002</v>
      </c>
      <c r="Q13" s="5">
        <v>8184.5259999999998</v>
      </c>
      <c r="R13" s="5">
        <v>8842.2019999999993</v>
      </c>
      <c r="S13" s="5">
        <v>10623.630999999999</v>
      </c>
      <c r="T13" s="5">
        <v>8788.1610000000001</v>
      </c>
    </row>
    <row r="14" spans="1:20" x14ac:dyDescent="0.25">
      <c r="A14" s="3" t="s">
        <v>39</v>
      </c>
      <c r="B14" t="s">
        <v>59</v>
      </c>
      <c r="C14" s="4">
        <v>5910.674</v>
      </c>
      <c r="D14" s="5">
        <v>6415.19</v>
      </c>
      <c r="E14" s="5">
        <v>2460.7269999999999</v>
      </c>
      <c r="F14" s="5">
        <v>2462.163</v>
      </c>
      <c r="G14" s="5">
        <v>3032.029</v>
      </c>
      <c r="H14" s="5">
        <v>2026.835</v>
      </c>
      <c r="I14" s="5">
        <v>2166.4810000000002</v>
      </c>
      <c r="J14" s="5">
        <v>1871.644</v>
      </c>
      <c r="K14" s="5">
        <v>1549.82</v>
      </c>
      <c r="L14" s="4">
        <v>8002.03</v>
      </c>
      <c r="M14" s="5">
        <v>8550.7829999999994</v>
      </c>
      <c r="N14" s="5">
        <v>2460.7269999999999</v>
      </c>
      <c r="O14" s="5">
        <v>2462.163</v>
      </c>
      <c r="P14" s="5">
        <v>3032.029</v>
      </c>
      <c r="Q14" s="5">
        <v>2026.835</v>
      </c>
      <c r="R14" s="5">
        <v>2166.4810000000002</v>
      </c>
      <c r="S14" s="5">
        <v>1890.248</v>
      </c>
      <c r="T14" s="5">
        <v>1549.82</v>
      </c>
    </row>
    <row r="15" spans="1:20" x14ac:dyDescent="0.25">
      <c r="A15" s="3" t="s">
        <v>39</v>
      </c>
      <c r="B15" t="s">
        <v>51</v>
      </c>
      <c r="C15" s="4">
        <v>5506.366</v>
      </c>
      <c r="D15" s="5">
        <v>3064.5880000000002</v>
      </c>
      <c r="E15" s="5">
        <v>2543.9810000000002</v>
      </c>
      <c r="F15" s="5">
        <v>9260.6579999999994</v>
      </c>
      <c r="G15" s="5">
        <v>2054.2049999999999</v>
      </c>
      <c r="H15" s="5">
        <v>2124.3870000000002</v>
      </c>
      <c r="I15" s="5">
        <v>1861.2819999999999</v>
      </c>
      <c r="J15" s="5">
        <v>2070.19</v>
      </c>
      <c r="K15" s="5">
        <v>2262.0700000000002</v>
      </c>
      <c r="L15" s="4">
        <v>5506.366</v>
      </c>
      <c r="M15" s="5">
        <v>3064.5880000000002</v>
      </c>
      <c r="N15" s="5">
        <v>2543.9810000000002</v>
      </c>
      <c r="O15" s="5">
        <v>9260.7639999999992</v>
      </c>
      <c r="P15" s="5">
        <v>2054.2049999999999</v>
      </c>
      <c r="Q15" s="5">
        <v>2124.3870000000002</v>
      </c>
      <c r="R15" s="5">
        <v>1894.172</v>
      </c>
      <c r="S15" s="5">
        <v>2202.4459999999999</v>
      </c>
      <c r="T15" s="5">
        <v>2263.5700000000002</v>
      </c>
    </row>
    <row r="16" spans="1:20" x14ac:dyDescent="0.25">
      <c r="A16" s="3" t="s">
        <v>39</v>
      </c>
      <c r="B16" t="s">
        <v>64</v>
      </c>
      <c r="C16" s="4">
        <v>4999.1930000000002</v>
      </c>
      <c r="D16" s="5">
        <v>4615.4229999999998</v>
      </c>
      <c r="E16" s="5">
        <v>4051.3560000000002</v>
      </c>
      <c r="F16" s="5">
        <v>6209.3180000000002</v>
      </c>
      <c r="G16" s="5">
        <v>5362.777</v>
      </c>
      <c r="H16" s="5">
        <v>2130.4470000000001</v>
      </c>
      <c r="I16" s="5">
        <v>674.05</v>
      </c>
      <c r="J16" s="5">
        <v>591.33000000000004</v>
      </c>
      <c r="K16" s="5">
        <v>1068.0530000000001</v>
      </c>
      <c r="L16" s="4">
        <v>5118.3010000000004</v>
      </c>
      <c r="M16" s="5">
        <v>4615.4229999999998</v>
      </c>
      <c r="N16" s="5">
        <v>4071.7379999999998</v>
      </c>
      <c r="O16" s="5">
        <v>6980.5550000000003</v>
      </c>
      <c r="P16" s="5">
        <v>5388.0389999999998</v>
      </c>
      <c r="Q16" s="5">
        <v>2941.6179999999999</v>
      </c>
      <c r="R16" s="5">
        <v>1433.625</v>
      </c>
      <c r="S16" s="5">
        <v>1769.951</v>
      </c>
      <c r="T16" s="5">
        <v>1356.2139999999999</v>
      </c>
    </row>
    <row r="17" spans="1:20" x14ac:dyDescent="0.25">
      <c r="A17" s="3" t="s">
        <v>39</v>
      </c>
      <c r="B17" t="s">
        <v>49</v>
      </c>
      <c r="C17" s="4">
        <v>930.202</v>
      </c>
      <c r="D17" s="5">
        <v>349.84</v>
      </c>
      <c r="E17" s="5">
        <v>259.59699999999998</v>
      </c>
      <c r="F17" s="5">
        <v>296.10199999999998</v>
      </c>
      <c r="G17" s="5">
        <v>67.180999999999997</v>
      </c>
      <c r="H17" s="5">
        <v>324.58800000000002</v>
      </c>
      <c r="I17" s="5">
        <v>1308.3689999999999</v>
      </c>
      <c r="J17" s="5">
        <v>2891.232</v>
      </c>
      <c r="K17" s="5">
        <v>1172.0989999999999</v>
      </c>
      <c r="L17" s="4">
        <v>930.202</v>
      </c>
      <c r="M17" s="5">
        <v>349.84</v>
      </c>
      <c r="N17" s="5">
        <v>259.59699999999998</v>
      </c>
      <c r="O17" s="5">
        <v>296.10199999999998</v>
      </c>
      <c r="P17" s="5">
        <v>67.180999999999997</v>
      </c>
      <c r="Q17" s="5">
        <v>324.58800000000002</v>
      </c>
      <c r="R17" s="5">
        <v>1308.3689999999999</v>
      </c>
      <c r="S17" s="5">
        <v>2898.4969999999998</v>
      </c>
      <c r="T17" s="5">
        <v>1180.5989999999999</v>
      </c>
    </row>
    <row r="18" spans="1:20" x14ac:dyDescent="0.25">
      <c r="A18" s="3" t="s">
        <v>39</v>
      </c>
      <c r="B18" t="s">
        <v>71</v>
      </c>
      <c r="C18" s="4">
        <v>495.32499999999999</v>
      </c>
      <c r="D18" s="5">
        <v>173.55699999999999</v>
      </c>
      <c r="E18" s="5">
        <v>418.24799999999999</v>
      </c>
      <c r="F18" s="5">
        <v>199.83799999999999</v>
      </c>
      <c r="G18" s="5">
        <v>149.346</v>
      </c>
      <c r="H18" s="5">
        <v>115.366</v>
      </c>
      <c r="I18" s="5">
        <v>163.57300000000001</v>
      </c>
      <c r="J18" s="5">
        <v>208.226</v>
      </c>
      <c r="K18" s="5">
        <v>382.28199999999998</v>
      </c>
      <c r="L18" s="4">
        <v>495.32499999999999</v>
      </c>
      <c r="M18" s="5">
        <v>173.55699999999999</v>
      </c>
      <c r="N18" s="5">
        <v>418.24799999999999</v>
      </c>
      <c r="O18" s="5">
        <v>199.845</v>
      </c>
      <c r="P18" s="5">
        <v>149.346</v>
      </c>
      <c r="Q18" s="5">
        <v>119.813</v>
      </c>
      <c r="R18" s="5">
        <v>5787.8950000000004</v>
      </c>
      <c r="S18" s="5">
        <v>1623.711</v>
      </c>
      <c r="T18" s="5">
        <v>1001.955</v>
      </c>
    </row>
    <row r="19" spans="1:20" x14ac:dyDescent="0.25">
      <c r="A19" s="3" t="s">
        <v>39</v>
      </c>
      <c r="B19" t="s">
        <v>87</v>
      </c>
      <c r="C19" s="4">
        <v>475.86200000000002</v>
      </c>
      <c r="D19" s="5">
        <v>760.55799999999999</v>
      </c>
      <c r="E19" s="5">
        <v>442.97899999999998</v>
      </c>
      <c r="F19" s="5">
        <v>378.69</v>
      </c>
      <c r="G19" s="5">
        <v>337.74</v>
      </c>
      <c r="H19" s="5">
        <v>663.15599999999995</v>
      </c>
      <c r="I19" s="5">
        <v>629.24900000000002</v>
      </c>
      <c r="J19" s="5">
        <v>824.99099999999999</v>
      </c>
      <c r="K19" s="5">
        <v>1759.8810000000001</v>
      </c>
      <c r="L19" s="4">
        <v>476.77699999999999</v>
      </c>
      <c r="M19" s="5">
        <v>760.55799999999999</v>
      </c>
      <c r="N19" s="5">
        <v>442.97899999999998</v>
      </c>
      <c r="O19" s="5">
        <v>378.69</v>
      </c>
      <c r="P19" s="5">
        <v>337.74</v>
      </c>
      <c r="Q19" s="5">
        <v>663.15599999999995</v>
      </c>
      <c r="R19" s="5">
        <v>629.24900000000002</v>
      </c>
      <c r="S19" s="5">
        <v>824.99099999999999</v>
      </c>
      <c r="T19" s="5">
        <v>1759.8810000000001</v>
      </c>
    </row>
    <row r="20" spans="1:20" x14ac:dyDescent="0.25">
      <c r="A20" s="3" t="s">
        <v>39</v>
      </c>
      <c r="B20" t="s">
        <v>67</v>
      </c>
      <c r="C20" s="4">
        <v>349.26799999999997</v>
      </c>
      <c r="D20" s="5">
        <v>348.58800000000002</v>
      </c>
      <c r="E20" s="5">
        <v>556.29999999999995</v>
      </c>
      <c r="F20" s="5">
        <v>510.94099999999997</v>
      </c>
      <c r="G20" s="5">
        <v>131.53700000000001</v>
      </c>
      <c r="H20" s="5">
        <v>174.73099999999999</v>
      </c>
      <c r="I20" s="5">
        <v>238.809</v>
      </c>
      <c r="J20" s="5">
        <v>718.43600000000004</v>
      </c>
      <c r="K20" s="5">
        <v>342.81799999999998</v>
      </c>
      <c r="L20" s="4">
        <v>349.26799999999997</v>
      </c>
      <c r="M20" s="5">
        <v>348.58800000000002</v>
      </c>
      <c r="N20" s="5">
        <v>701.71500000000003</v>
      </c>
      <c r="O20" s="5">
        <v>529.32500000000005</v>
      </c>
      <c r="P20" s="5">
        <v>131.53700000000001</v>
      </c>
      <c r="Q20" s="5">
        <v>174.73099999999999</v>
      </c>
      <c r="R20" s="5">
        <v>241.07400000000001</v>
      </c>
      <c r="S20" s="5">
        <v>718.43600000000004</v>
      </c>
      <c r="T20" s="5">
        <v>347.54899999999998</v>
      </c>
    </row>
    <row r="21" spans="1:20" x14ac:dyDescent="0.25">
      <c r="A21" s="3" t="s">
        <v>39</v>
      </c>
      <c r="B21" t="s">
        <v>74</v>
      </c>
      <c r="C21" s="4">
        <v>336.38099999999997</v>
      </c>
      <c r="D21" s="5">
        <v>373.404</v>
      </c>
      <c r="E21" s="5">
        <v>480.286</v>
      </c>
      <c r="F21" s="5">
        <v>524.51499999999999</v>
      </c>
      <c r="G21" s="5">
        <v>479.08199999999999</v>
      </c>
      <c r="H21" s="5">
        <v>514.495</v>
      </c>
      <c r="I21" s="5">
        <v>427.59100000000001</v>
      </c>
      <c r="J21" s="5">
        <v>469.721</v>
      </c>
      <c r="K21" s="5">
        <v>407.358</v>
      </c>
      <c r="L21" s="4">
        <v>336.38099999999997</v>
      </c>
      <c r="M21" s="5">
        <v>373.404</v>
      </c>
      <c r="N21" s="5">
        <v>480.286</v>
      </c>
      <c r="O21" s="5">
        <v>524.51499999999999</v>
      </c>
      <c r="P21" s="5">
        <v>502.09899999999999</v>
      </c>
      <c r="Q21" s="5">
        <v>514.495</v>
      </c>
      <c r="R21" s="5">
        <v>428.072</v>
      </c>
      <c r="S21" s="5">
        <v>469.721</v>
      </c>
      <c r="T21" s="5">
        <v>407.358</v>
      </c>
    </row>
    <row r="22" spans="1:20" x14ac:dyDescent="0.25">
      <c r="A22" s="3" t="s">
        <v>39</v>
      </c>
      <c r="B22" t="s">
        <v>56</v>
      </c>
      <c r="C22" s="4">
        <v>320.01499999999999</v>
      </c>
      <c r="D22" s="5">
        <v>1499.0740000000001</v>
      </c>
      <c r="E22" s="5">
        <v>710.78800000000001</v>
      </c>
      <c r="F22" s="5">
        <v>836.00099999999998</v>
      </c>
      <c r="G22" s="5">
        <v>408.33800000000002</v>
      </c>
      <c r="H22" s="5">
        <v>1867.0239999999999</v>
      </c>
      <c r="I22" s="5">
        <v>2453.9850000000001</v>
      </c>
      <c r="J22" s="5">
        <v>5640.22</v>
      </c>
      <c r="K22" s="5">
        <v>7992.415</v>
      </c>
      <c r="L22" s="4">
        <v>320.01499999999999</v>
      </c>
      <c r="M22" s="5">
        <v>1499.0740000000001</v>
      </c>
      <c r="N22" s="5">
        <v>718.18499999999995</v>
      </c>
      <c r="O22" s="5">
        <v>836.00099999999998</v>
      </c>
      <c r="P22" s="5">
        <v>408.33800000000002</v>
      </c>
      <c r="Q22" s="5">
        <v>1867.9549999999999</v>
      </c>
      <c r="R22" s="5">
        <v>2456.1709999999998</v>
      </c>
      <c r="S22" s="5">
        <v>5640.22</v>
      </c>
      <c r="T22" s="5">
        <v>7995.8590000000004</v>
      </c>
    </row>
    <row r="23" spans="1:20" x14ac:dyDescent="0.25">
      <c r="A23" s="3" t="s">
        <v>39</v>
      </c>
      <c r="B23" t="s">
        <v>63</v>
      </c>
      <c r="C23" s="4">
        <v>250.72</v>
      </c>
      <c r="D23" s="5">
        <v>390.01299999999998</v>
      </c>
      <c r="E23" s="5">
        <v>277.89400000000001</v>
      </c>
      <c r="F23" s="5">
        <v>125.554</v>
      </c>
      <c r="G23" s="5">
        <v>165.34100000000001</v>
      </c>
      <c r="H23" s="5">
        <v>268.03300000000002</v>
      </c>
      <c r="I23" s="5">
        <v>351.26299999999998</v>
      </c>
      <c r="J23" s="5">
        <v>428.76400000000001</v>
      </c>
      <c r="K23" s="5">
        <v>271.00400000000002</v>
      </c>
      <c r="L23" s="4">
        <v>250.72</v>
      </c>
      <c r="M23" s="5">
        <v>390.01299999999998</v>
      </c>
      <c r="N23" s="5">
        <v>277.89400000000001</v>
      </c>
      <c r="O23" s="5">
        <v>128.76300000000001</v>
      </c>
      <c r="P23" s="5">
        <v>165.34100000000001</v>
      </c>
      <c r="Q23" s="5">
        <v>268.03300000000002</v>
      </c>
      <c r="R23" s="5">
        <v>351.26299999999998</v>
      </c>
      <c r="S23" s="5">
        <v>429.27800000000002</v>
      </c>
      <c r="T23" s="5">
        <v>275.137</v>
      </c>
    </row>
    <row r="24" spans="1:20" x14ac:dyDescent="0.25">
      <c r="A24" s="3" t="s">
        <v>39</v>
      </c>
      <c r="B24" t="s">
        <v>247</v>
      </c>
      <c r="C24" s="4">
        <v>247.49</v>
      </c>
      <c r="D24" s="5">
        <v>52.152999999999999</v>
      </c>
      <c r="E24" s="5">
        <v>166.06800000000001</v>
      </c>
      <c r="F24" s="5">
        <v>201.15700000000001</v>
      </c>
      <c r="G24" s="5">
        <v>139.40799999999999</v>
      </c>
      <c r="H24" s="5">
        <v>139.38999999999999</v>
      </c>
      <c r="I24" s="5">
        <v>268.86500000000001</v>
      </c>
      <c r="J24" s="5">
        <v>326.39999999999998</v>
      </c>
      <c r="K24" s="5">
        <v>459.79599999999999</v>
      </c>
      <c r="L24" s="4">
        <v>247.49</v>
      </c>
      <c r="M24" s="5">
        <v>52.152999999999999</v>
      </c>
      <c r="N24" s="5">
        <v>166.06800000000001</v>
      </c>
      <c r="O24" s="5">
        <v>201.15700000000001</v>
      </c>
      <c r="P24" s="5">
        <v>139.40799999999999</v>
      </c>
      <c r="Q24" s="5">
        <v>139.38999999999999</v>
      </c>
      <c r="R24" s="5">
        <v>268.86500000000001</v>
      </c>
      <c r="S24" s="5">
        <v>326.39999999999998</v>
      </c>
      <c r="T24" s="5">
        <v>489.358</v>
      </c>
    </row>
    <row r="25" spans="1:20" x14ac:dyDescent="0.25">
      <c r="A25" s="3" t="s">
        <v>39</v>
      </c>
      <c r="B25" t="s">
        <v>66</v>
      </c>
      <c r="C25" s="4">
        <v>206.10499999999999</v>
      </c>
      <c r="D25" s="5">
        <v>1234.567</v>
      </c>
      <c r="E25" s="5">
        <v>610.69200000000001</v>
      </c>
      <c r="F25" s="5">
        <v>883.01599999999996</v>
      </c>
      <c r="G25" s="5">
        <v>315.71899999999999</v>
      </c>
      <c r="H25" s="5">
        <v>596.44200000000001</v>
      </c>
      <c r="I25" s="5">
        <v>2121.4299999999998</v>
      </c>
      <c r="J25" s="5">
        <v>3388.62</v>
      </c>
      <c r="K25" s="5">
        <v>3918.1239999999998</v>
      </c>
      <c r="L25" s="4">
        <v>206.10499999999999</v>
      </c>
      <c r="M25" s="5">
        <v>1234.567</v>
      </c>
      <c r="N25" s="5">
        <v>610.69200000000001</v>
      </c>
      <c r="O25" s="5">
        <v>883.01599999999996</v>
      </c>
      <c r="P25" s="5">
        <v>315.71899999999999</v>
      </c>
      <c r="Q25" s="5">
        <v>596.44200000000001</v>
      </c>
      <c r="R25" s="5">
        <v>2121.4299999999998</v>
      </c>
      <c r="S25" s="5">
        <v>3388.62</v>
      </c>
      <c r="T25" s="5">
        <v>3954.6219999999998</v>
      </c>
    </row>
    <row r="26" spans="1:20" x14ac:dyDescent="0.25">
      <c r="A26" s="3" t="s">
        <v>39</v>
      </c>
      <c r="B26" t="s">
        <v>83</v>
      </c>
      <c r="C26" s="4">
        <v>115.898</v>
      </c>
      <c r="D26" s="5">
        <v>243.63300000000001</v>
      </c>
      <c r="E26" s="5">
        <v>153.881</v>
      </c>
      <c r="F26" s="5">
        <v>34.503999999999998</v>
      </c>
      <c r="G26" s="5">
        <v>104.22</v>
      </c>
      <c r="H26" s="5">
        <v>286.18200000000002</v>
      </c>
      <c r="I26" s="5">
        <v>174.57599999999999</v>
      </c>
      <c r="J26" s="5">
        <v>169.81800000000001</v>
      </c>
      <c r="K26" s="5">
        <v>192.035</v>
      </c>
      <c r="L26" s="4">
        <v>116.047</v>
      </c>
      <c r="M26" s="5">
        <v>243.63300000000001</v>
      </c>
      <c r="N26" s="5">
        <v>153.881</v>
      </c>
      <c r="O26" s="5">
        <v>34.503999999999998</v>
      </c>
      <c r="P26" s="5">
        <v>109.584</v>
      </c>
      <c r="Q26" s="5">
        <v>286.18200000000002</v>
      </c>
      <c r="R26" s="5">
        <v>178.88499999999999</v>
      </c>
      <c r="S26" s="5">
        <v>270.68299999999999</v>
      </c>
      <c r="T26" s="5">
        <v>324.30099999999999</v>
      </c>
    </row>
    <row r="27" spans="1:20" x14ac:dyDescent="0.25">
      <c r="A27" s="3" t="s">
        <v>39</v>
      </c>
      <c r="B27" t="s">
        <v>57</v>
      </c>
      <c r="C27" s="4">
        <v>113.276</v>
      </c>
      <c r="D27" s="5">
        <v>147.291</v>
      </c>
      <c r="E27" s="5">
        <v>62.795000000000002</v>
      </c>
      <c r="F27" s="5">
        <v>102.58499999999999</v>
      </c>
      <c r="G27" s="5">
        <v>120.547</v>
      </c>
      <c r="H27" s="5">
        <v>116.431</v>
      </c>
      <c r="I27" s="5">
        <v>264.39299999999997</v>
      </c>
      <c r="J27" s="5">
        <v>104.58</v>
      </c>
      <c r="K27" s="5">
        <v>46.445999999999998</v>
      </c>
      <c r="L27" s="4">
        <v>113.276</v>
      </c>
      <c r="M27" s="5">
        <v>147.291</v>
      </c>
      <c r="N27" s="5">
        <v>62.892000000000003</v>
      </c>
      <c r="O27" s="5">
        <v>102.66200000000001</v>
      </c>
      <c r="P27" s="5">
        <v>120.60599999999999</v>
      </c>
      <c r="Q27" s="5">
        <v>116.431</v>
      </c>
      <c r="R27" s="5">
        <v>264.39299999999997</v>
      </c>
      <c r="S27" s="5">
        <v>104.58</v>
      </c>
      <c r="T27" s="5">
        <v>46.445999999999998</v>
      </c>
    </row>
    <row r="28" spans="1:20" x14ac:dyDescent="0.25">
      <c r="A28" s="3" t="s">
        <v>39</v>
      </c>
      <c r="B28" t="s">
        <v>62</v>
      </c>
      <c r="C28" s="4">
        <v>57.685000000000002</v>
      </c>
      <c r="D28" s="5">
        <v>46.896999999999998</v>
      </c>
      <c r="E28" s="5">
        <v>38.927</v>
      </c>
      <c r="F28" s="5">
        <v>37.963000000000001</v>
      </c>
      <c r="G28" s="5">
        <v>50.539000000000001</v>
      </c>
      <c r="H28" s="5">
        <v>82.105999999999995</v>
      </c>
      <c r="I28" s="5">
        <v>127.741</v>
      </c>
      <c r="J28" s="5">
        <v>101.306</v>
      </c>
      <c r="K28" s="5">
        <v>237.49700000000001</v>
      </c>
      <c r="L28" s="4">
        <v>70.835999999999999</v>
      </c>
      <c r="M28" s="5">
        <v>46.896999999999998</v>
      </c>
      <c r="N28" s="5">
        <v>38.927</v>
      </c>
      <c r="O28" s="5">
        <v>37.963000000000001</v>
      </c>
      <c r="P28" s="5">
        <v>51.207000000000001</v>
      </c>
      <c r="Q28" s="5">
        <v>82.405000000000001</v>
      </c>
      <c r="R28" s="5">
        <v>154.82300000000001</v>
      </c>
      <c r="S28" s="5">
        <v>254.339</v>
      </c>
      <c r="T28" s="5">
        <v>701.49099999999999</v>
      </c>
    </row>
    <row r="29" spans="1:20" x14ac:dyDescent="0.25">
      <c r="A29" s="3" t="s">
        <v>39</v>
      </c>
      <c r="B29" t="s">
        <v>85</v>
      </c>
      <c r="C29" s="4">
        <v>50.523000000000003</v>
      </c>
      <c r="D29" s="5">
        <v>10.259</v>
      </c>
      <c r="E29" s="5">
        <v>0</v>
      </c>
      <c r="F29" s="5">
        <v>18.581</v>
      </c>
      <c r="G29" s="5">
        <v>56.850999999999999</v>
      </c>
      <c r="H29" s="5">
        <v>49.93</v>
      </c>
      <c r="I29" s="5">
        <v>40.673999999999999</v>
      </c>
      <c r="J29" s="5">
        <v>39.517000000000003</v>
      </c>
      <c r="K29" s="5">
        <v>33.274999999999999</v>
      </c>
      <c r="L29" s="4">
        <v>50.523000000000003</v>
      </c>
      <c r="M29" s="5">
        <v>10.259</v>
      </c>
      <c r="N29" s="5">
        <v>0</v>
      </c>
      <c r="O29" s="5">
        <v>18.581</v>
      </c>
      <c r="P29" s="5">
        <v>56.850999999999999</v>
      </c>
      <c r="Q29" s="5">
        <v>99.695999999999998</v>
      </c>
      <c r="R29" s="5">
        <v>41.085999999999999</v>
      </c>
      <c r="S29" s="5">
        <v>43.607999999999997</v>
      </c>
      <c r="T29" s="5">
        <v>37.305</v>
      </c>
    </row>
    <row r="30" spans="1:20" x14ac:dyDescent="0.25">
      <c r="A30" s="3" t="s">
        <v>39</v>
      </c>
      <c r="B30" t="s">
        <v>78</v>
      </c>
      <c r="C30" s="4">
        <v>47.131</v>
      </c>
      <c r="D30" s="5">
        <v>57.88</v>
      </c>
      <c r="E30" s="5">
        <v>0</v>
      </c>
      <c r="F30" s="5">
        <v>50.45</v>
      </c>
      <c r="G30" s="5">
        <v>83.378</v>
      </c>
      <c r="H30" s="5">
        <v>221.86500000000001</v>
      </c>
      <c r="I30" s="5">
        <v>33.356999999999999</v>
      </c>
      <c r="J30" s="5">
        <v>20.977</v>
      </c>
      <c r="K30" s="5">
        <v>25.533000000000001</v>
      </c>
      <c r="L30" s="4">
        <v>47.131</v>
      </c>
      <c r="M30" s="5">
        <v>57.88</v>
      </c>
      <c r="N30" s="5">
        <v>0</v>
      </c>
      <c r="O30" s="5">
        <v>50.45</v>
      </c>
      <c r="P30" s="5">
        <v>83.378</v>
      </c>
      <c r="Q30" s="5">
        <v>221.86500000000001</v>
      </c>
      <c r="R30" s="5">
        <v>33.356999999999999</v>
      </c>
      <c r="S30" s="5">
        <v>20.977</v>
      </c>
      <c r="T30" s="5">
        <v>25.533000000000001</v>
      </c>
    </row>
    <row r="31" spans="1:20" x14ac:dyDescent="0.25">
      <c r="A31" s="3" t="s">
        <v>39</v>
      </c>
      <c r="B31" t="s">
        <v>70</v>
      </c>
      <c r="C31" s="4">
        <v>44.808</v>
      </c>
      <c r="D31" s="5">
        <v>12.544</v>
      </c>
      <c r="E31" s="5">
        <v>0</v>
      </c>
      <c r="F31" s="5">
        <v>0</v>
      </c>
      <c r="G31" s="5">
        <v>9.484</v>
      </c>
      <c r="H31" s="5">
        <v>120.501</v>
      </c>
      <c r="I31" s="5">
        <v>57.41</v>
      </c>
      <c r="J31" s="5">
        <v>754.06600000000003</v>
      </c>
      <c r="K31" s="5">
        <v>1251.7439999999999</v>
      </c>
      <c r="L31" s="4">
        <v>44.808</v>
      </c>
      <c r="M31" s="5">
        <v>12.544</v>
      </c>
      <c r="N31" s="5">
        <v>0</v>
      </c>
      <c r="O31" s="5">
        <v>0</v>
      </c>
      <c r="P31" s="5">
        <v>9.484</v>
      </c>
      <c r="Q31" s="5">
        <v>127.773</v>
      </c>
      <c r="R31" s="5">
        <v>57.41</v>
      </c>
      <c r="S31" s="5">
        <v>825.06600000000003</v>
      </c>
      <c r="T31" s="5">
        <v>1261.6500000000001</v>
      </c>
    </row>
    <row r="32" spans="1:20" x14ac:dyDescent="0.25">
      <c r="A32" s="3" t="s">
        <v>39</v>
      </c>
      <c r="B32" t="s">
        <v>91</v>
      </c>
      <c r="C32" s="4">
        <v>41.523000000000003</v>
      </c>
      <c r="D32" s="5">
        <v>213.43899999999999</v>
      </c>
      <c r="E32" s="5">
        <v>187</v>
      </c>
      <c r="F32" s="5">
        <v>41.610999999999997</v>
      </c>
      <c r="G32" s="5">
        <v>36.281999999999996</v>
      </c>
      <c r="H32" s="5">
        <v>36.427999999999997</v>
      </c>
      <c r="I32" s="5">
        <v>51.411000000000001</v>
      </c>
      <c r="J32" s="5">
        <v>76.814999999999998</v>
      </c>
      <c r="K32" s="5">
        <v>136.71700000000001</v>
      </c>
      <c r="L32" s="4">
        <v>41.523000000000003</v>
      </c>
      <c r="M32" s="5">
        <v>213.43899999999999</v>
      </c>
      <c r="N32" s="5">
        <v>187</v>
      </c>
      <c r="O32" s="5">
        <v>41.610999999999997</v>
      </c>
      <c r="P32" s="5">
        <v>36.281999999999996</v>
      </c>
      <c r="Q32" s="5">
        <v>36.427999999999997</v>
      </c>
      <c r="R32" s="5">
        <v>51.411000000000001</v>
      </c>
      <c r="S32" s="5">
        <v>76.814999999999998</v>
      </c>
      <c r="T32" s="5">
        <v>136.71700000000001</v>
      </c>
    </row>
    <row r="33" spans="1:20" x14ac:dyDescent="0.25">
      <c r="A33" s="3" t="s">
        <v>39</v>
      </c>
      <c r="B33" t="s">
        <v>54</v>
      </c>
      <c r="C33" s="4">
        <v>20.393000000000001</v>
      </c>
      <c r="D33" s="5">
        <v>2095.2020000000002</v>
      </c>
      <c r="E33" s="5">
        <v>1228.03</v>
      </c>
      <c r="F33" s="5">
        <v>189.65899999999999</v>
      </c>
      <c r="G33" s="5">
        <v>93.442999999999998</v>
      </c>
      <c r="H33" s="5">
        <v>282.71600000000001</v>
      </c>
      <c r="I33" s="5">
        <v>805.73599999999999</v>
      </c>
      <c r="J33" s="5">
        <v>684.65099999999995</v>
      </c>
      <c r="K33" s="5">
        <v>843.58100000000002</v>
      </c>
      <c r="L33" s="4">
        <v>20.792999999999999</v>
      </c>
      <c r="M33" s="5">
        <v>2095.2020000000002</v>
      </c>
      <c r="N33" s="5">
        <v>1229.5450000000001</v>
      </c>
      <c r="O33" s="5">
        <v>213.56100000000001</v>
      </c>
      <c r="P33" s="5">
        <v>93.442999999999998</v>
      </c>
      <c r="Q33" s="5">
        <v>300.09399999999999</v>
      </c>
      <c r="R33" s="5">
        <v>818.30700000000002</v>
      </c>
      <c r="S33" s="5">
        <v>727.9</v>
      </c>
      <c r="T33" s="5">
        <v>882.07399999999996</v>
      </c>
    </row>
    <row r="34" spans="1:20" x14ac:dyDescent="0.25">
      <c r="A34" s="3" t="s">
        <v>92</v>
      </c>
      <c r="B34" t="s">
        <v>93</v>
      </c>
      <c r="C34" s="4">
        <v>3919095.14</v>
      </c>
      <c r="D34" s="5">
        <v>2802841.517</v>
      </c>
      <c r="E34" s="5">
        <v>2772595.39</v>
      </c>
      <c r="F34" s="5">
        <v>3272043.585</v>
      </c>
      <c r="G34" s="5">
        <v>1941287.0330000001</v>
      </c>
      <c r="H34" s="5">
        <v>1832581.5830000001</v>
      </c>
      <c r="I34" s="5">
        <v>2179540.5959999999</v>
      </c>
      <c r="J34" s="5">
        <v>2250184.9819999998</v>
      </c>
      <c r="K34" s="5">
        <v>2149026.0389999999</v>
      </c>
      <c r="L34" s="4">
        <v>4448620.8650000002</v>
      </c>
      <c r="M34" s="5">
        <v>3017459.6329999999</v>
      </c>
      <c r="N34" s="5">
        <v>3221226.909</v>
      </c>
      <c r="O34" s="5">
        <v>3401602.04</v>
      </c>
      <c r="P34" s="5">
        <v>4306823.3590000002</v>
      </c>
      <c r="Q34" s="5">
        <v>4840460.91</v>
      </c>
      <c r="R34" s="5">
        <v>6400147.193</v>
      </c>
      <c r="S34" s="5">
        <v>7592514.1370000001</v>
      </c>
      <c r="T34" s="5">
        <v>5172251.0970000001</v>
      </c>
    </row>
    <row r="35" spans="1:20" x14ac:dyDescent="0.25">
      <c r="A35" s="3" t="s">
        <v>92</v>
      </c>
      <c r="B35" t="s">
        <v>95</v>
      </c>
      <c r="C35" s="4">
        <v>296289.09399999998</v>
      </c>
      <c r="D35" s="5">
        <v>759453.28200000001</v>
      </c>
      <c r="E35" s="5">
        <v>981383.37600000005</v>
      </c>
      <c r="F35" s="5">
        <v>194750.18900000001</v>
      </c>
      <c r="G35" s="5">
        <v>57205.959000000003</v>
      </c>
      <c r="H35" s="5">
        <v>189866.527</v>
      </c>
      <c r="I35" s="5">
        <v>95234.494999999995</v>
      </c>
      <c r="J35" s="5">
        <v>122540.01</v>
      </c>
      <c r="K35" s="5">
        <v>166589.413</v>
      </c>
      <c r="L35" s="4">
        <v>337475.21799999999</v>
      </c>
      <c r="M35" s="5">
        <v>990832.66599999997</v>
      </c>
      <c r="N35" s="5">
        <v>995583.11699999997</v>
      </c>
      <c r="O35" s="5">
        <v>197576.96299999999</v>
      </c>
      <c r="P35" s="5">
        <v>63365.487999999998</v>
      </c>
      <c r="Q35" s="5">
        <v>538984.63699999999</v>
      </c>
      <c r="R35" s="5">
        <v>2719042.4709999999</v>
      </c>
      <c r="S35" s="5">
        <v>1790814.716</v>
      </c>
      <c r="T35" s="5">
        <v>2010072.11</v>
      </c>
    </row>
    <row r="36" spans="1:20" x14ac:dyDescent="0.25">
      <c r="A36" s="3" t="s">
        <v>92</v>
      </c>
      <c r="B36" t="s">
        <v>96</v>
      </c>
      <c r="C36" s="4">
        <v>89875.047000000006</v>
      </c>
      <c r="D36" s="5">
        <v>161871.33600000001</v>
      </c>
      <c r="E36" s="5">
        <v>216377.304</v>
      </c>
      <c r="F36" s="5">
        <v>194496.63</v>
      </c>
      <c r="G36" s="5">
        <v>202060.946</v>
      </c>
      <c r="H36" s="5">
        <v>192481.41500000001</v>
      </c>
      <c r="I36" s="5">
        <v>225673.02600000001</v>
      </c>
      <c r="J36" s="5">
        <v>229236.59400000001</v>
      </c>
      <c r="K36" s="5">
        <v>231791.97899999999</v>
      </c>
      <c r="L36" s="4">
        <v>90181.66</v>
      </c>
      <c r="M36" s="5">
        <v>176849.14799999999</v>
      </c>
      <c r="N36" s="5">
        <v>216739.72899999999</v>
      </c>
      <c r="O36" s="5">
        <v>194682.125</v>
      </c>
      <c r="P36" s="5">
        <v>202240.58600000001</v>
      </c>
      <c r="Q36" s="5">
        <v>192581.783</v>
      </c>
      <c r="R36" s="5">
        <v>569695.17299999995</v>
      </c>
      <c r="S36" s="5">
        <v>781588.64</v>
      </c>
      <c r="T36" s="5">
        <v>368311.28399999999</v>
      </c>
    </row>
    <row r="37" spans="1:20" x14ac:dyDescent="0.25">
      <c r="A37" s="3" t="s">
        <v>92</v>
      </c>
      <c r="B37" t="s">
        <v>94</v>
      </c>
      <c r="C37" s="4">
        <v>69348.603000000003</v>
      </c>
      <c r="D37" s="5">
        <v>63106.457999999999</v>
      </c>
      <c r="E37" s="5">
        <v>81979.7</v>
      </c>
      <c r="F37" s="5">
        <v>127513.48699999999</v>
      </c>
      <c r="G37" s="5">
        <v>182588.035</v>
      </c>
      <c r="H37" s="5">
        <v>240001.91899999999</v>
      </c>
      <c r="I37" s="5">
        <v>60655.898000000001</v>
      </c>
      <c r="J37" s="5">
        <v>49966.260999999999</v>
      </c>
      <c r="K37" s="5">
        <v>66946.278999999995</v>
      </c>
      <c r="L37" s="4">
        <v>69857.414000000004</v>
      </c>
      <c r="M37" s="5">
        <v>69946.78</v>
      </c>
      <c r="N37" s="5">
        <v>84659.115000000005</v>
      </c>
      <c r="O37" s="5">
        <v>127993.10400000001</v>
      </c>
      <c r="P37" s="5">
        <v>183806.92499999999</v>
      </c>
      <c r="Q37" s="5">
        <v>240671.614</v>
      </c>
      <c r="R37" s="5">
        <v>224545.71299999999</v>
      </c>
      <c r="S37" s="5">
        <v>229527.91099999999</v>
      </c>
      <c r="T37" s="5">
        <v>91785.08</v>
      </c>
    </row>
    <row r="38" spans="1:20" x14ac:dyDescent="0.25">
      <c r="A38" s="3" t="s">
        <v>92</v>
      </c>
      <c r="B38" t="s">
        <v>103</v>
      </c>
      <c r="C38" s="4">
        <v>28146.853999999999</v>
      </c>
      <c r="D38" s="5">
        <v>27663.298999999999</v>
      </c>
      <c r="E38" s="5">
        <v>24956.053</v>
      </c>
      <c r="F38" s="5">
        <v>25088.314999999999</v>
      </c>
      <c r="G38" s="5">
        <v>29060.473999999998</v>
      </c>
      <c r="H38" s="5">
        <v>34804.101000000002</v>
      </c>
      <c r="I38" s="5">
        <v>33618.697</v>
      </c>
      <c r="J38" s="5">
        <v>34684.383000000002</v>
      </c>
      <c r="K38" s="5">
        <v>32475.85</v>
      </c>
      <c r="L38" s="4">
        <v>28146.853999999999</v>
      </c>
      <c r="M38" s="5">
        <v>27663.298999999999</v>
      </c>
      <c r="N38" s="5">
        <v>24956.053</v>
      </c>
      <c r="O38" s="5">
        <v>25094.581999999999</v>
      </c>
      <c r="P38" s="5">
        <v>29060.473999999998</v>
      </c>
      <c r="Q38" s="5">
        <v>34804.101000000002</v>
      </c>
      <c r="R38" s="5">
        <v>33618.697</v>
      </c>
      <c r="S38" s="5">
        <v>34823.883000000002</v>
      </c>
      <c r="T38" s="5">
        <v>32476.05</v>
      </c>
    </row>
    <row r="39" spans="1:20" x14ac:dyDescent="0.25">
      <c r="A39" s="3" t="s">
        <v>92</v>
      </c>
      <c r="B39" t="s">
        <v>108</v>
      </c>
      <c r="C39" s="4">
        <v>23565.782999999999</v>
      </c>
      <c r="D39" s="5">
        <v>24254.073</v>
      </c>
      <c r="E39" s="5">
        <v>21076.464</v>
      </c>
      <c r="F39" s="5">
        <v>19089.974999999999</v>
      </c>
      <c r="G39" s="5">
        <v>15664.9</v>
      </c>
      <c r="H39" s="5">
        <v>7571.3879999999999</v>
      </c>
      <c r="I39" s="5">
        <v>7889.6949999999997</v>
      </c>
      <c r="J39" s="5">
        <v>9080.2440000000006</v>
      </c>
      <c r="K39" s="5">
        <v>11527.579</v>
      </c>
      <c r="L39" s="4">
        <v>23565.787</v>
      </c>
      <c r="M39" s="5">
        <v>24304.413</v>
      </c>
      <c r="N39" s="5">
        <v>21108.187999999998</v>
      </c>
      <c r="O39" s="5">
        <v>19089.974999999999</v>
      </c>
      <c r="P39" s="5">
        <v>15664.9</v>
      </c>
      <c r="Q39" s="5">
        <v>7571.3879999999999</v>
      </c>
      <c r="R39" s="5">
        <v>7892.8879999999999</v>
      </c>
      <c r="S39" s="5">
        <v>9081.6440000000002</v>
      </c>
      <c r="T39" s="5">
        <v>11537.31</v>
      </c>
    </row>
    <row r="40" spans="1:20" x14ac:dyDescent="0.25">
      <c r="A40" s="3" t="s">
        <v>92</v>
      </c>
      <c r="B40" t="s">
        <v>101</v>
      </c>
      <c r="C40" s="4">
        <v>22786.097000000002</v>
      </c>
      <c r="D40" s="5">
        <v>17030.315999999999</v>
      </c>
      <c r="E40" s="5">
        <v>17017.829000000002</v>
      </c>
      <c r="F40" s="5">
        <v>8898.0010000000002</v>
      </c>
      <c r="G40" s="5">
        <v>11096.906999999999</v>
      </c>
      <c r="H40" s="5">
        <v>13304.093999999999</v>
      </c>
      <c r="I40" s="5">
        <v>19494.223000000002</v>
      </c>
      <c r="J40" s="5">
        <v>19119.771000000001</v>
      </c>
      <c r="K40" s="5">
        <v>29304.198</v>
      </c>
      <c r="L40" s="4">
        <v>22786.146000000001</v>
      </c>
      <c r="M40" s="5">
        <v>17030.315999999999</v>
      </c>
      <c r="N40" s="5">
        <v>17017.829000000002</v>
      </c>
      <c r="O40" s="5">
        <v>8898.08</v>
      </c>
      <c r="P40" s="5">
        <v>11096.906999999999</v>
      </c>
      <c r="Q40" s="5">
        <v>13340.481</v>
      </c>
      <c r="R40" s="5">
        <v>19495.405999999999</v>
      </c>
      <c r="S40" s="5">
        <v>19268.982</v>
      </c>
      <c r="T40" s="5">
        <v>29429.723000000002</v>
      </c>
    </row>
    <row r="41" spans="1:20" x14ac:dyDescent="0.25">
      <c r="A41" s="3" t="s">
        <v>92</v>
      </c>
      <c r="B41" t="s">
        <v>97</v>
      </c>
      <c r="C41" s="4">
        <v>11845.058000000001</v>
      </c>
      <c r="D41" s="5">
        <v>12323.955</v>
      </c>
      <c r="E41" s="5">
        <v>13860.466</v>
      </c>
      <c r="F41" s="5">
        <v>12111.856</v>
      </c>
      <c r="G41" s="5">
        <v>8311.3359999999993</v>
      </c>
      <c r="H41" s="5">
        <v>9703.0450000000001</v>
      </c>
      <c r="I41" s="5">
        <v>11972.73</v>
      </c>
      <c r="J41" s="5">
        <v>8188.6660000000002</v>
      </c>
      <c r="K41" s="5">
        <v>16703.857</v>
      </c>
      <c r="L41" s="4">
        <v>12195.290999999999</v>
      </c>
      <c r="M41" s="5">
        <v>12351.985000000001</v>
      </c>
      <c r="N41" s="5">
        <v>13860.466</v>
      </c>
      <c r="O41" s="5">
        <v>12172.659</v>
      </c>
      <c r="P41" s="5">
        <v>8516.4969999999994</v>
      </c>
      <c r="Q41" s="5">
        <v>10028.358</v>
      </c>
      <c r="R41" s="5">
        <v>11972.73</v>
      </c>
      <c r="S41" s="5">
        <v>8295.2849999999999</v>
      </c>
      <c r="T41" s="5">
        <v>16704.213</v>
      </c>
    </row>
    <row r="42" spans="1:20" x14ac:dyDescent="0.25">
      <c r="A42" s="3" t="s">
        <v>92</v>
      </c>
      <c r="B42" t="s">
        <v>100</v>
      </c>
      <c r="C42" s="4">
        <v>11222.278</v>
      </c>
      <c r="D42" s="5">
        <v>12950.612999999999</v>
      </c>
      <c r="E42" s="5">
        <v>13890.284</v>
      </c>
      <c r="F42" s="5">
        <v>12156.511</v>
      </c>
      <c r="G42" s="5">
        <v>13620.474</v>
      </c>
      <c r="H42" s="5">
        <v>13361.514999999999</v>
      </c>
      <c r="I42" s="5">
        <v>15189.773999999999</v>
      </c>
      <c r="J42" s="5">
        <v>12743.576999999999</v>
      </c>
      <c r="K42" s="5">
        <v>12932.297</v>
      </c>
      <c r="L42" s="4">
        <v>11222.278</v>
      </c>
      <c r="M42" s="5">
        <v>13015.06</v>
      </c>
      <c r="N42" s="5">
        <v>14647.008</v>
      </c>
      <c r="O42" s="5">
        <v>12209.142</v>
      </c>
      <c r="P42" s="5">
        <v>14010.913</v>
      </c>
      <c r="Q42" s="5">
        <v>13846.911</v>
      </c>
      <c r="R42" s="5">
        <v>15323.210999999999</v>
      </c>
      <c r="S42" s="5">
        <v>13059.554</v>
      </c>
      <c r="T42" s="5">
        <v>13510.352999999999</v>
      </c>
    </row>
    <row r="43" spans="1:20" x14ac:dyDescent="0.25">
      <c r="A43" s="3" t="s">
        <v>92</v>
      </c>
      <c r="B43" t="s">
        <v>98</v>
      </c>
      <c r="C43" s="4">
        <v>7226.9960000000001</v>
      </c>
      <c r="D43" s="5">
        <v>7039.2730000000001</v>
      </c>
      <c r="E43" s="5">
        <v>6888.92</v>
      </c>
      <c r="F43" s="5">
        <v>6936.0240000000003</v>
      </c>
      <c r="G43" s="5">
        <v>7148.576</v>
      </c>
      <c r="H43" s="5">
        <v>7644.9319999999998</v>
      </c>
      <c r="I43" s="5">
        <v>6295.2089999999998</v>
      </c>
      <c r="J43" s="5">
        <v>5190.22</v>
      </c>
      <c r="K43" s="5">
        <v>6073.991</v>
      </c>
      <c r="L43" s="4">
        <v>7226.9960000000001</v>
      </c>
      <c r="M43" s="5">
        <v>7042.28</v>
      </c>
      <c r="N43" s="5">
        <v>6888.92</v>
      </c>
      <c r="O43" s="5">
        <v>6940.0429999999997</v>
      </c>
      <c r="P43" s="5">
        <v>7148.576</v>
      </c>
      <c r="Q43" s="5">
        <v>7715.3159999999998</v>
      </c>
      <c r="R43" s="5">
        <v>6295.2089999999998</v>
      </c>
      <c r="S43" s="5">
        <v>5265.97</v>
      </c>
      <c r="T43" s="5">
        <v>6167.7929999999997</v>
      </c>
    </row>
    <row r="44" spans="1:20" x14ac:dyDescent="0.25">
      <c r="A44" s="3" t="s">
        <v>92</v>
      </c>
      <c r="B44" t="s">
        <v>105</v>
      </c>
      <c r="C44" s="4">
        <v>6517.7129999999997</v>
      </c>
      <c r="D44" s="5">
        <v>4974.4139999999998</v>
      </c>
      <c r="E44" s="5">
        <v>5316.0349999999999</v>
      </c>
      <c r="F44" s="5">
        <v>8016.1310000000003</v>
      </c>
      <c r="G44" s="5">
        <v>8479.5499999999993</v>
      </c>
      <c r="H44" s="5">
        <v>11054.768</v>
      </c>
      <c r="I44" s="5">
        <v>19574.293000000001</v>
      </c>
      <c r="J44" s="5">
        <v>31176.633000000002</v>
      </c>
      <c r="K44" s="5">
        <v>52317.099000000002</v>
      </c>
      <c r="L44" s="4">
        <v>6517.7129999999997</v>
      </c>
      <c r="M44" s="5">
        <v>4974.4139999999998</v>
      </c>
      <c r="N44" s="5">
        <v>5316.0349999999999</v>
      </c>
      <c r="O44" s="5">
        <v>8076.1390000000001</v>
      </c>
      <c r="P44" s="5">
        <v>8634.3680000000004</v>
      </c>
      <c r="Q44" s="5">
        <v>11057.424000000001</v>
      </c>
      <c r="R44" s="5">
        <v>19575.239000000001</v>
      </c>
      <c r="S44" s="5">
        <v>31176.633000000002</v>
      </c>
      <c r="T44" s="5">
        <v>52317.898999999998</v>
      </c>
    </row>
    <row r="45" spans="1:20" x14ac:dyDescent="0.25">
      <c r="A45" s="3" t="s">
        <v>92</v>
      </c>
      <c r="B45" t="s">
        <v>115</v>
      </c>
      <c r="C45" s="4">
        <v>5047.1009999999997</v>
      </c>
      <c r="D45" s="5">
        <v>4290.7240000000002</v>
      </c>
      <c r="E45" s="5">
        <v>4782.5559999999996</v>
      </c>
      <c r="F45" s="5">
        <v>3551.1289999999999</v>
      </c>
      <c r="G45" s="5">
        <v>2402.576</v>
      </c>
      <c r="H45" s="5">
        <v>2478.7020000000002</v>
      </c>
      <c r="I45" s="5">
        <v>3311.078</v>
      </c>
      <c r="J45" s="5">
        <v>2580.7539999999999</v>
      </c>
      <c r="K45" s="5">
        <v>2867.5680000000002</v>
      </c>
      <c r="L45" s="4">
        <v>5047.1009999999997</v>
      </c>
      <c r="M45" s="5">
        <v>4290.7240000000002</v>
      </c>
      <c r="N45" s="5">
        <v>4782.5559999999996</v>
      </c>
      <c r="O45" s="5">
        <v>3695.5050000000001</v>
      </c>
      <c r="P45" s="5">
        <v>2402.576</v>
      </c>
      <c r="Q45" s="5">
        <v>2478.7020000000002</v>
      </c>
      <c r="R45" s="5">
        <v>3311.078</v>
      </c>
      <c r="S45" s="5">
        <v>2580.7539999999999</v>
      </c>
      <c r="T45" s="5">
        <v>2867.5680000000002</v>
      </c>
    </row>
    <row r="46" spans="1:20" x14ac:dyDescent="0.25">
      <c r="A46" s="3" t="s">
        <v>92</v>
      </c>
      <c r="B46" t="s">
        <v>109</v>
      </c>
      <c r="C46" s="4">
        <v>3547.931</v>
      </c>
      <c r="D46" s="5">
        <v>4135.3249999999998</v>
      </c>
      <c r="E46" s="5">
        <v>3466.9349999999999</v>
      </c>
      <c r="F46" s="5">
        <v>2939.192</v>
      </c>
      <c r="G46" s="5">
        <v>2876.1280000000002</v>
      </c>
      <c r="H46" s="5">
        <v>2540.2379999999998</v>
      </c>
      <c r="I46" s="5">
        <v>3968.491</v>
      </c>
      <c r="J46" s="5">
        <v>2020.56</v>
      </c>
      <c r="K46" s="5">
        <v>2469.8440000000001</v>
      </c>
      <c r="L46" s="4">
        <v>4112.2070000000003</v>
      </c>
      <c r="M46" s="5">
        <v>4655.6629999999996</v>
      </c>
      <c r="N46" s="5">
        <v>3649.8519999999999</v>
      </c>
      <c r="O46" s="5">
        <v>3289.125</v>
      </c>
      <c r="P46" s="5">
        <v>3229.8589999999999</v>
      </c>
      <c r="Q46" s="5">
        <v>2582.6509999999998</v>
      </c>
      <c r="R46" s="5">
        <v>3983.491</v>
      </c>
      <c r="S46" s="5">
        <v>2028.87</v>
      </c>
      <c r="T46" s="5">
        <v>2472.3440000000001</v>
      </c>
    </row>
    <row r="47" spans="1:20" x14ac:dyDescent="0.25">
      <c r="A47" s="3" t="s">
        <v>92</v>
      </c>
      <c r="B47" t="s">
        <v>111</v>
      </c>
      <c r="C47" s="4">
        <v>3333.6590000000001</v>
      </c>
      <c r="D47" s="5">
        <v>2864.03</v>
      </c>
      <c r="E47" s="5">
        <v>1622.136</v>
      </c>
      <c r="F47" s="5">
        <v>2658.5650000000001</v>
      </c>
      <c r="G47" s="5">
        <v>3280.1149999999998</v>
      </c>
      <c r="H47" s="5">
        <v>1090.414</v>
      </c>
      <c r="I47" s="5">
        <v>914.55200000000002</v>
      </c>
      <c r="J47" s="5">
        <v>1985.095</v>
      </c>
      <c r="K47" s="5">
        <v>1814.2560000000001</v>
      </c>
      <c r="L47" s="4">
        <v>3411.1590000000001</v>
      </c>
      <c r="M47" s="5">
        <v>2864.03</v>
      </c>
      <c r="N47" s="5">
        <v>1622.136</v>
      </c>
      <c r="O47" s="5">
        <v>2663.0459999999998</v>
      </c>
      <c r="P47" s="5">
        <v>3280.1149999999998</v>
      </c>
      <c r="Q47" s="5">
        <v>1090.414</v>
      </c>
      <c r="R47" s="5">
        <v>929.83900000000006</v>
      </c>
      <c r="S47" s="5">
        <v>1985.095</v>
      </c>
      <c r="T47" s="5">
        <v>1814.36</v>
      </c>
    </row>
    <row r="48" spans="1:20" x14ac:dyDescent="0.25">
      <c r="A48" s="3" t="s">
        <v>92</v>
      </c>
      <c r="B48" t="s">
        <v>112</v>
      </c>
      <c r="C48" s="4">
        <v>3332.1260000000002</v>
      </c>
      <c r="D48" s="5">
        <v>1725.337</v>
      </c>
      <c r="E48" s="5">
        <v>1484.3720000000001</v>
      </c>
      <c r="F48" s="5">
        <v>1369.174</v>
      </c>
      <c r="G48" s="5">
        <v>1946.8119999999999</v>
      </c>
      <c r="H48" s="5">
        <v>1414.2750000000001</v>
      </c>
      <c r="I48" s="5">
        <v>2127.6219999999998</v>
      </c>
      <c r="J48" s="5">
        <v>1172.7280000000001</v>
      </c>
      <c r="K48" s="5">
        <v>1995.19</v>
      </c>
      <c r="L48" s="4">
        <v>3332.1260000000002</v>
      </c>
      <c r="M48" s="5">
        <v>1725.337</v>
      </c>
      <c r="N48" s="5">
        <v>1484.3720000000001</v>
      </c>
      <c r="O48" s="5">
        <v>1369.174</v>
      </c>
      <c r="P48" s="5">
        <v>1946.8119999999999</v>
      </c>
      <c r="Q48" s="5">
        <v>1414.2750000000001</v>
      </c>
      <c r="R48" s="5">
        <v>2127.6219999999998</v>
      </c>
      <c r="S48" s="5">
        <v>1229.22</v>
      </c>
      <c r="T48" s="5">
        <v>2027.19</v>
      </c>
    </row>
    <row r="49" spans="1:20" x14ac:dyDescent="0.25">
      <c r="A49" s="3" t="s">
        <v>92</v>
      </c>
      <c r="B49" t="s">
        <v>107</v>
      </c>
      <c r="C49" s="4">
        <v>3097.7530000000002</v>
      </c>
      <c r="D49" s="5">
        <v>1636.963</v>
      </c>
      <c r="E49" s="5">
        <v>1936.29</v>
      </c>
      <c r="F49" s="5">
        <v>1534.952</v>
      </c>
      <c r="G49" s="5">
        <v>932.62400000000002</v>
      </c>
      <c r="H49" s="5">
        <v>1634.7619999999999</v>
      </c>
      <c r="I49" s="5">
        <v>2026.472</v>
      </c>
      <c r="J49" s="5">
        <v>1961.857</v>
      </c>
      <c r="K49" s="5">
        <v>1911.8789999999999</v>
      </c>
      <c r="L49" s="4">
        <v>3097.7530000000002</v>
      </c>
      <c r="M49" s="5">
        <v>1636.963</v>
      </c>
      <c r="N49" s="5">
        <v>1946.18</v>
      </c>
      <c r="O49" s="5">
        <v>1535.7819999999999</v>
      </c>
      <c r="P49" s="5">
        <v>933.92100000000005</v>
      </c>
      <c r="Q49" s="5">
        <v>1637.8150000000001</v>
      </c>
      <c r="R49" s="5">
        <v>2026.472</v>
      </c>
      <c r="S49" s="5">
        <v>1962.3409999999999</v>
      </c>
      <c r="T49" s="5">
        <v>1911.9469999999999</v>
      </c>
    </row>
    <row r="50" spans="1:20" x14ac:dyDescent="0.25">
      <c r="A50" s="3" t="s">
        <v>92</v>
      </c>
      <c r="B50" t="s">
        <v>106</v>
      </c>
      <c r="C50" s="4">
        <v>1654.029</v>
      </c>
      <c r="D50" s="5">
        <v>1465.396</v>
      </c>
      <c r="E50" s="5">
        <v>1617.9179999999999</v>
      </c>
      <c r="F50" s="5">
        <v>1700.2329999999999</v>
      </c>
      <c r="G50" s="5">
        <v>1508.5150000000001</v>
      </c>
      <c r="H50" s="5">
        <v>2309.6660000000002</v>
      </c>
      <c r="I50" s="5">
        <v>3612.6509999999998</v>
      </c>
      <c r="J50" s="5">
        <v>2964.8510000000001</v>
      </c>
      <c r="K50" s="5">
        <v>2193.846</v>
      </c>
      <c r="L50" s="4">
        <v>1674.692</v>
      </c>
      <c r="M50" s="5">
        <v>1465.396</v>
      </c>
      <c r="N50" s="5">
        <v>1617.9179999999999</v>
      </c>
      <c r="O50" s="5">
        <v>1714.4749999999999</v>
      </c>
      <c r="P50" s="5">
        <v>1508.5150000000001</v>
      </c>
      <c r="Q50" s="5">
        <v>2313.1350000000002</v>
      </c>
      <c r="R50" s="5">
        <v>3686.57</v>
      </c>
      <c r="S50" s="5">
        <v>3036.8409999999999</v>
      </c>
      <c r="T50" s="5">
        <v>2199.846</v>
      </c>
    </row>
    <row r="51" spans="1:20" x14ac:dyDescent="0.25">
      <c r="A51" s="3" t="s">
        <v>92</v>
      </c>
      <c r="B51" t="s">
        <v>120</v>
      </c>
      <c r="C51" s="4">
        <v>1122.6959999999999</v>
      </c>
      <c r="D51" s="5">
        <v>857.05</v>
      </c>
      <c r="E51" s="5">
        <v>1464.9849999999999</v>
      </c>
      <c r="F51" s="5">
        <v>1727.0930000000001</v>
      </c>
      <c r="G51" s="5">
        <v>2497.0509999999999</v>
      </c>
      <c r="H51" s="5">
        <v>2417.7080000000001</v>
      </c>
      <c r="I51" s="5">
        <v>2519.375</v>
      </c>
      <c r="J51" s="5">
        <v>2428.6149999999998</v>
      </c>
      <c r="K51" s="5">
        <v>2458.348</v>
      </c>
      <c r="L51" s="4">
        <v>1122.6959999999999</v>
      </c>
      <c r="M51" s="5">
        <v>857.05</v>
      </c>
      <c r="N51" s="5">
        <v>1464.9849999999999</v>
      </c>
      <c r="O51" s="5">
        <v>1727.0930000000001</v>
      </c>
      <c r="P51" s="5">
        <v>2497.0509999999999</v>
      </c>
      <c r="Q51" s="5">
        <v>2417.7080000000001</v>
      </c>
      <c r="R51" s="5">
        <v>2519.375</v>
      </c>
      <c r="S51" s="5">
        <v>2428.6149999999998</v>
      </c>
      <c r="T51" s="5">
        <v>2458.348</v>
      </c>
    </row>
    <row r="52" spans="1:20" x14ac:dyDescent="0.25">
      <c r="A52" s="3" t="s">
        <v>92</v>
      </c>
      <c r="B52" t="s">
        <v>114</v>
      </c>
      <c r="C52" s="4">
        <v>779.80799999999999</v>
      </c>
      <c r="D52" s="5">
        <v>982.19</v>
      </c>
      <c r="E52" s="5">
        <v>983.13699999999994</v>
      </c>
      <c r="F52" s="5">
        <v>1105.9970000000001</v>
      </c>
      <c r="G52" s="5">
        <v>897.65800000000002</v>
      </c>
      <c r="H52" s="5">
        <v>3674.8620000000001</v>
      </c>
      <c r="I52" s="5">
        <v>7355.3280000000004</v>
      </c>
      <c r="J52" s="5">
        <v>6532.8959999999997</v>
      </c>
      <c r="K52" s="5">
        <v>3849.203</v>
      </c>
      <c r="L52" s="4">
        <v>779.80799999999999</v>
      </c>
      <c r="M52" s="5">
        <v>982.19</v>
      </c>
      <c r="N52" s="5">
        <v>983.40800000000002</v>
      </c>
      <c r="O52" s="5">
        <v>1105.9970000000001</v>
      </c>
      <c r="P52" s="5">
        <v>897.65800000000002</v>
      </c>
      <c r="Q52" s="5">
        <v>3674.8620000000001</v>
      </c>
      <c r="R52" s="5">
        <v>7355.6710000000003</v>
      </c>
      <c r="S52" s="5">
        <v>6562.6459999999997</v>
      </c>
      <c r="T52" s="5">
        <v>3849.203</v>
      </c>
    </row>
    <row r="53" spans="1:20" x14ac:dyDescent="0.25">
      <c r="A53" s="3" t="s">
        <v>92</v>
      </c>
      <c r="B53" t="s">
        <v>110</v>
      </c>
      <c r="C53" s="4">
        <v>690.70100000000002</v>
      </c>
      <c r="D53" s="5">
        <v>579.09400000000005</v>
      </c>
      <c r="E53" s="5">
        <v>776.42899999999997</v>
      </c>
      <c r="F53" s="5">
        <v>729.40099999999995</v>
      </c>
      <c r="G53" s="5">
        <v>579.625</v>
      </c>
      <c r="H53" s="5">
        <v>683.85500000000002</v>
      </c>
      <c r="I53" s="5">
        <v>1585.7629999999999</v>
      </c>
      <c r="J53" s="5">
        <v>1928.827</v>
      </c>
      <c r="K53" s="5">
        <v>1135.691</v>
      </c>
      <c r="L53" s="4">
        <v>690.70100000000002</v>
      </c>
      <c r="M53" s="5">
        <v>579.09400000000005</v>
      </c>
      <c r="N53" s="5">
        <v>776.42899999999997</v>
      </c>
      <c r="O53" s="5">
        <v>729.40099999999995</v>
      </c>
      <c r="P53" s="5">
        <v>579.625</v>
      </c>
      <c r="Q53" s="5">
        <v>683.85500000000002</v>
      </c>
      <c r="R53" s="5">
        <v>1585.7629999999999</v>
      </c>
      <c r="S53" s="5">
        <v>1955.827</v>
      </c>
      <c r="T53" s="5">
        <v>1135.691</v>
      </c>
    </row>
    <row r="54" spans="1:20" x14ac:dyDescent="0.25">
      <c r="A54" s="3" t="s">
        <v>92</v>
      </c>
      <c r="B54" t="s">
        <v>231</v>
      </c>
      <c r="C54" s="4">
        <v>657.303</v>
      </c>
      <c r="D54" s="5">
        <v>947.52800000000002</v>
      </c>
      <c r="E54" s="5">
        <v>2072.5909999999999</v>
      </c>
      <c r="F54" s="5">
        <v>1272.097</v>
      </c>
      <c r="G54" s="5">
        <v>1136.6199999999999</v>
      </c>
      <c r="H54" s="5">
        <v>573.90599999999995</v>
      </c>
      <c r="I54" s="5">
        <v>1110.3399999999999</v>
      </c>
      <c r="J54" s="5">
        <v>1286.4110000000001</v>
      </c>
      <c r="K54" s="5">
        <v>1937.193</v>
      </c>
      <c r="L54" s="4">
        <v>657.303</v>
      </c>
      <c r="M54" s="5">
        <v>947.52800000000002</v>
      </c>
      <c r="N54" s="5">
        <v>2072.5909999999999</v>
      </c>
      <c r="O54" s="5">
        <v>1272.097</v>
      </c>
      <c r="P54" s="5">
        <v>1136.6199999999999</v>
      </c>
      <c r="Q54" s="5">
        <v>573.90599999999995</v>
      </c>
      <c r="R54" s="5">
        <v>1110.3399999999999</v>
      </c>
      <c r="S54" s="5">
        <v>1336.4110000000001</v>
      </c>
      <c r="T54" s="5">
        <v>1937.193</v>
      </c>
    </row>
    <row r="55" spans="1:20" x14ac:dyDescent="0.25">
      <c r="A55" s="3" t="s">
        <v>92</v>
      </c>
      <c r="B55" t="s">
        <v>113</v>
      </c>
      <c r="C55" s="4">
        <v>464.61200000000002</v>
      </c>
      <c r="D55" s="5">
        <v>490.08699999999999</v>
      </c>
      <c r="E55" s="5">
        <v>288.964</v>
      </c>
      <c r="F55" s="5">
        <v>203.72800000000001</v>
      </c>
      <c r="G55" s="5">
        <v>60.521999999999998</v>
      </c>
      <c r="H55" s="5">
        <v>56.917999999999999</v>
      </c>
      <c r="I55" s="5">
        <v>61.158000000000001</v>
      </c>
      <c r="J55" s="5">
        <v>308.45400000000001</v>
      </c>
      <c r="K55" s="5">
        <v>674.76199999999994</v>
      </c>
      <c r="L55" s="4">
        <v>464.61200000000002</v>
      </c>
      <c r="M55" s="5">
        <v>490.08699999999999</v>
      </c>
      <c r="N55" s="5">
        <v>288.964</v>
      </c>
      <c r="O55" s="5">
        <v>203.72800000000001</v>
      </c>
      <c r="P55" s="5">
        <v>60.521999999999998</v>
      </c>
      <c r="Q55" s="5">
        <v>66.906000000000006</v>
      </c>
      <c r="R55" s="5">
        <v>61.158000000000001</v>
      </c>
      <c r="S55" s="5">
        <v>310.45400000000001</v>
      </c>
      <c r="T55" s="5">
        <v>674.76199999999994</v>
      </c>
    </row>
    <row r="56" spans="1:20" x14ac:dyDescent="0.25">
      <c r="A56" s="3" t="s">
        <v>92</v>
      </c>
      <c r="B56" t="s">
        <v>104</v>
      </c>
      <c r="C56" s="4">
        <v>142.64400000000001</v>
      </c>
      <c r="D56" s="5">
        <v>1629.23</v>
      </c>
      <c r="E56" s="5">
        <v>384.78300000000002</v>
      </c>
      <c r="F56" s="5">
        <v>1280.9849999999999</v>
      </c>
      <c r="G56" s="5">
        <v>567.21600000000001</v>
      </c>
      <c r="H56" s="5">
        <v>1126.864</v>
      </c>
      <c r="I56" s="5">
        <v>1290.78</v>
      </c>
      <c r="J56" s="5">
        <v>233.52099999999999</v>
      </c>
      <c r="K56" s="5">
        <v>4656.9279999999999</v>
      </c>
      <c r="L56" s="4">
        <v>15317.478999999999</v>
      </c>
      <c r="M56" s="5">
        <v>4019.2370000000001</v>
      </c>
      <c r="N56" s="5">
        <v>982.11199999999997</v>
      </c>
      <c r="O56" s="5">
        <v>2410.0540000000001</v>
      </c>
      <c r="P56" s="5">
        <v>648.71600000000001</v>
      </c>
      <c r="Q56" s="5">
        <v>1592.8620000000001</v>
      </c>
      <c r="R56" s="5">
        <v>2026.6320000000001</v>
      </c>
      <c r="S56" s="5">
        <v>364.02100000000002</v>
      </c>
      <c r="T56" s="5">
        <v>4936.9279999999999</v>
      </c>
    </row>
    <row r="57" spans="1:20" x14ac:dyDescent="0.25">
      <c r="A57" s="3" t="s">
        <v>92</v>
      </c>
      <c r="B57" t="s">
        <v>122</v>
      </c>
      <c r="C57" s="4">
        <v>110.054</v>
      </c>
      <c r="D57" s="5">
        <v>0</v>
      </c>
      <c r="E57" s="5">
        <v>83.537999999999997</v>
      </c>
      <c r="F57" s="5">
        <v>0</v>
      </c>
      <c r="G57" s="5">
        <v>0</v>
      </c>
      <c r="H57" s="5">
        <v>0</v>
      </c>
      <c r="I57" s="5">
        <v>0</v>
      </c>
      <c r="J57" s="5">
        <v>200.68100000000001</v>
      </c>
      <c r="K57" s="5">
        <v>0</v>
      </c>
      <c r="L57" s="4">
        <v>110.054</v>
      </c>
      <c r="M57" s="5">
        <v>0</v>
      </c>
      <c r="N57" s="5">
        <v>83.537999999999997</v>
      </c>
      <c r="O57" s="5">
        <v>0</v>
      </c>
      <c r="P57" s="5">
        <v>0</v>
      </c>
      <c r="Q57" s="5">
        <v>0</v>
      </c>
      <c r="R57" s="5">
        <v>0</v>
      </c>
      <c r="S57" s="5">
        <v>256.18099999999998</v>
      </c>
      <c r="T57" s="5">
        <v>0</v>
      </c>
    </row>
    <row r="58" spans="1:20" x14ac:dyDescent="0.25">
      <c r="A58" s="3" t="s">
        <v>92</v>
      </c>
      <c r="B58" t="s">
        <v>118</v>
      </c>
      <c r="C58" s="4">
        <v>101.66200000000001</v>
      </c>
      <c r="D58" s="5">
        <v>23.559000000000001</v>
      </c>
      <c r="E58" s="5">
        <v>55.841999999999999</v>
      </c>
      <c r="F58" s="5">
        <v>8.7910000000000004</v>
      </c>
      <c r="G58" s="5">
        <v>27.332000000000001</v>
      </c>
      <c r="H58" s="5">
        <v>27.434999999999999</v>
      </c>
      <c r="I58" s="5">
        <v>22.428000000000001</v>
      </c>
      <c r="J58" s="5">
        <v>30.815999999999999</v>
      </c>
      <c r="K58" s="5">
        <v>37.572000000000003</v>
      </c>
      <c r="L58" s="4">
        <v>101.66200000000001</v>
      </c>
      <c r="M58" s="5">
        <v>23.559000000000001</v>
      </c>
      <c r="N58" s="5">
        <v>55.841999999999999</v>
      </c>
      <c r="O58" s="5">
        <v>8.7910000000000004</v>
      </c>
      <c r="P58" s="5">
        <v>27.332000000000001</v>
      </c>
      <c r="Q58" s="5">
        <v>27.434999999999999</v>
      </c>
      <c r="R58" s="5">
        <v>22.428000000000001</v>
      </c>
      <c r="S58" s="5">
        <v>30.815999999999999</v>
      </c>
      <c r="T58" s="5">
        <v>37.572000000000003</v>
      </c>
    </row>
    <row r="59" spans="1:20" x14ac:dyDescent="0.25">
      <c r="A59" s="3" t="s">
        <v>92</v>
      </c>
      <c r="B59" t="s">
        <v>123</v>
      </c>
      <c r="C59" s="4">
        <v>79.063999999999993</v>
      </c>
      <c r="D59" s="5">
        <v>61.457000000000001</v>
      </c>
      <c r="E59" s="5">
        <v>42.411999999999999</v>
      </c>
      <c r="F59" s="5">
        <v>14.869</v>
      </c>
      <c r="G59" s="5">
        <v>60.843000000000004</v>
      </c>
      <c r="H59" s="5">
        <v>187.392</v>
      </c>
      <c r="I59" s="5">
        <v>141.78299999999999</v>
      </c>
      <c r="J59" s="5">
        <v>65.039000000000001</v>
      </c>
      <c r="K59" s="5">
        <v>86.576999999999998</v>
      </c>
      <c r="L59" s="4">
        <v>79.063999999999993</v>
      </c>
      <c r="M59" s="5">
        <v>61.457000000000001</v>
      </c>
      <c r="N59" s="5">
        <v>42.411999999999999</v>
      </c>
      <c r="O59" s="5">
        <v>14.869</v>
      </c>
      <c r="P59" s="5">
        <v>60.843000000000004</v>
      </c>
      <c r="Q59" s="5">
        <v>187.392</v>
      </c>
      <c r="R59" s="5">
        <v>141.78299999999999</v>
      </c>
      <c r="S59" s="5">
        <v>181.03899999999999</v>
      </c>
      <c r="T59" s="5">
        <v>86.576999999999998</v>
      </c>
    </row>
    <row r="60" spans="1:20" x14ac:dyDescent="0.25">
      <c r="A60" s="3" t="s">
        <v>92</v>
      </c>
      <c r="B60" t="s">
        <v>119</v>
      </c>
      <c r="C60" s="4">
        <v>65.23</v>
      </c>
      <c r="D60" s="5">
        <v>1298.6289999999999</v>
      </c>
      <c r="E60" s="5">
        <v>0</v>
      </c>
      <c r="F60" s="5">
        <v>0</v>
      </c>
      <c r="G60" s="5">
        <v>0</v>
      </c>
      <c r="H60" s="5">
        <v>11.523999999999999</v>
      </c>
      <c r="I60" s="5">
        <v>12.577</v>
      </c>
      <c r="J60" s="5">
        <v>10.484999999999999</v>
      </c>
      <c r="K60" s="5">
        <v>13.227</v>
      </c>
      <c r="L60" s="4">
        <v>79.343999999999994</v>
      </c>
      <c r="M60" s="5">
        <v>21060.248</v>
      </c>
      <c r="N60" s="5">
        <v>0</v>
      </c>
      <c r="O60" s="5">
        <v>0</v>
      </c>
      <c r="P60" s="5">
        <v>0</v>
      </c>
      <c r="Q60" s="5">
        <v>11.523999999999999</v>
      </c>
      <c r="R60" s="5">
        <v>12.577</v>
      </c>
      <c r="S60" s="5">
        <v>10.484999999999999</v>
      </c>
      <c r="T60" s="5">
        <v>13.227</v>
      </c>
    </row>
    <row r="61" spans="1:20" x14ac:dyDescent="0.25">
      <c r="A61" s="3" t="s">
        <v>92</v>
      </c>
      <c r="B61" t="s">
        <v>248</v>
      </c>
      <c r="C61" s="4">
        <v>20.385000000000002</v>
      </c>
      <c r="D61" s="5">
        <v>147.27099999999999</v>
      </c>
      <c r="E61" s="5">
        <v>187.114</v>
      </c>
      <c r="F61" s="5">
        <v>19.963999999999999</v>
      </c>
      <c r="G61" s="5">
        <v>18.856999999999999</v>
      </c>
      <c r="H61" s="5">
        <v>38.978000000000002</v>
      </c>
      <c r="I61" s="5">
        <v>23.827000000000002</v>
      </c>
      <c r="J61" s="5">
        <v>0</v>
      </c>
      <c r="K61" s="5">
        <v>0</v>
      </c>
      <c r="L61" s="4">
        <v>20.385000000000002</v>
      </c>
      <c r="M61" s="5">
        <v>147.27099999999999</v>
      </c>
      <c r="N61" s="5">
        <v>187.114</v>
      </c>
      <c r="O61" s="5">
        <v>19.963999999999999</v>
      </c>
      <c r="P61" s="5">
        <v>18.856999999999999</v>
      </c>
      <c r="Q61" s="5">
        <v>38.978000000000002</v>
      </c>
      <c r="R61" s="5">
        <v>23.827000000000002</v>
      </c>
      <c r="S61" s="5">
        <v>0</v>
      </c>
      <c r="T61" s="5">
        <v>0</v>
      </c>
    </row>
    <row r="62" spans="1:20" x14ac:dyDescent="0.25">
      <c r="A62" s="3" t="s">
        <v>35</v>
      </c>
      <c r="B62" t="s">
        <v>126</v>
      </c>
      <c r="C62" s="4">
        <v>3913738.281</v>
      </c>
      <c r="D62" s="5">
        <v>4493565.5659999996</v>
      </c>
      <c r="E62" s="5">
        <v>4833042.8550000004</v>
      </c>
      <c r="F62" s="5">
        <v>5021237.6540000001</v>
      </c>
      <c r="G62" s="5">
        <v>5266024.284</v>
      </c>
      <c r="H62" s="5">
        <v>5976661.9460000005</v>
      </c>
      <c r="I62" s="5">
        <v>6847394.9100000001</v>
      </c>
      <c r="J62" s="5">
        <v>5835719.71</v>
      </c>
      <c r="K62" s="5">
        <v>5085337.4579999996</v>
      </c>
      <c r="L62" s="4">
        <v>3915192.0619999999</v>
      </c>
      <c r="M62" s="5">
        <v>4494574.8480000002</v>
      </c>
      <c r="N62" s="5">
        <v>4849524.983</v>
      </c>
      <c r="O62" s="5">
        <v>5023837.8899999997</v>
      </c>
      <c r="P62" s="5">
        <v>5268678.3600000003</v>
      </c>
      <c r="Q62" s="5">
        <v>5978990.2319999998</v>
      </c>
      <c r="R62" s="5">
        <v>6948949.4230000004</v>
      </c>
      <c r="S62" s="5">
        <v>5867325.1430000002</v>
      </c>
      <c r="T62" s="5">
        <v>5119446.5880000005</v>
      </c>
    </row>
    <row r="63" spans="1:20" x14ac:dyDescent="0.25">
      <c r="A63" s="3" t="s">
        <v>35</v>
      </c>
      <c r="B63" t="s">
        <v>137</v>
      </c>
      <c r="C63" s="4">
        <v>554982.527</v>
      </c>
      <c r="D63" s="5">
        <v>674444.90800000005</v>
      </c>
      <c r="E63" s="5">
        <v>652557.00399999996</v>
      </c>
      <c r="F63" s="5">
        <v>634310.41599999997</v>
      </c>
      <c r="G63" s="5">
        <v>601155.92099999997</v>
      </c>
      <c r="H63" s="5">
        <v>684196.12</v>
      </c>
      <c r="I63" s="5">
        <v>746599.92500000005</v>
      </c>
      <c r="J63" s="5">
        <v>555640.94400000002</v>
      </c>
      <c r="K63" s="5">
        <v>703413.70200000005</v>
      </c>
      <c r="L63" s="4">
        <v>554982.60699999996</v>
      </c>
      <c r="M63" s="5">
        <v>674445.478</v>
      </c>
      <c r="N63" s="5">
        <v>652557.00399999996</v>
      </c>
      <c r="O63" s="5">
        <v>634321.41099999996</v>
      </c>
      <c r="P63" s="5">
        <v>601157.19499999995</v>
      </c>
      <c r="Q63" s="5">
        <v>684211.56499999994</v>
      </c>
      <c r="R63" s="5">
        <v>746601.91399999999</v>
      </c>
      <c r="S63" s="5">
        <v>555958.96</v>
      </c>
      <c r="T63" s="5">
        <v>703444.22199999995</v>
      </c>
    </row>
    <row r="64" spans="1:20" x14ac:dyDescent="0.25">
      <c r="A64" s="3" t="s">
        <v>35</v>
      </c>
      <c r="B64" t="s">
        <v>131</v>
      </c>
      <c r="C64" s="4">
        <v>530980.18700000003</v>
      </c>
      <c r="D64" s="5">
        <v>613532.55700000003</v>
      </c>
      <c r="E64" s="5">
        <v>586379.98400000005</v>
      </c>
      <c r="F64" s="5">
        <v>549424.28399999999</v>
      </c>
      <c r="G64" s="5">
        <v>482913.14</v>
      </c>
      <c r="H64" s="5">
        <v>524450.17500000005</v>
      </c>
      <c r="I64" s="5">
        <v>526557.67599999998</v>
      </c>
      <c r="J64" s="5">
        <v>526333.85100000002</v>
      </c>
      <c r="K64" s="5">
        <v>487074.58899999998</v>
      </c>
      <c r="L64" s="4">
        <v>685178.20700000005</v>
      </c>
      <c r="M64" s="5">
        <v>668376.89099999995</v>
      </c>
      <c r="N64" s="5">
        <v>598880.299</v>
      </c>
      <c r="O64" s="5">
        <v>641025.66700000002</v>
      </c>
      <c r="P64" s="5">
        <v>622414.549</v>
      </c>
      <c r="Q64" s="5">
        <v>583382.51399999997</v>
      </c>
      <c r="R64" s="5">
        <v>1035584.507</v>
      </c>
      <c r="S64" s="5">
        <v>902777.16799999995</v>
      </c>
      <c r="T64" s="5">
        <v>622333.97499999998</v>
      </c>
    </row>
    <row r="65" spans="1:20" x14ac:dyDescent="0.25">
      <c r="A65" s="3" t="s">
        <v>35</v>
      </c>
      <c r="B65" t="s">
        <v>128</v>
      </c>
      <c r="C65" s="4">
        <v>240366.212</v>
      </c>
      <c r="D65" s="5">
        <v>252595.85500000001</v>
      </c>
      <c r="E65" s="5">
        <v>266458.38</v>
      </c>
      <c r="F65" s="5">
        <v>278962.848</v>
      </c>
      <c r="G65" s="5">
        <v>240281.99299999999</v>
      </c>
      <c r="H65" s="5">
        <v>267308.25099999999</v>
      </c>
      <c r="I65" s="5">
        <v>515622.77799999999</v>
      </c>
      <c r="J65" s="5">
        <v>484345.27899999998</v>
      </c>
      <c r="K65" s="5">
        <v>389605.804</v>
      </c>
      <c r="L65" s="4">
        <v>243825.921</v>
      </c>
      <c r="M65" s="5">
        <v>254574.427</v>
      </c>
      <c r="N65" s="5">
        <v>270903.57500000001</v>
      </c>
      <c r="O65" s="5">
        <v>282154.65899999999</v>
      </c>
      <c r="P65" s="5">
        <v>243225.65900000001</v>
      </c>
      <c r="Q65" s="5">
        <v>270709.31199999998</v>
      </c>
      <c r="R65" s="5">
        <v>520905.66899999999</v>
      </c>
      <c r="S65" s="5">
        <v>539712.85600000003</v>
      </c>
      <c r="T65" s="5">
        <v>428014.85</v>
      </c>
    </row>
    <row r="66" spans="1:20" x14ac:dyDescent="0.25">
      <c r="A66" s="3" t="s">
        <v>35</v>
      </c>
      <c r="B66" t="s">
        <v>139</v>
      </c>
      <c r="C66" s="4">
        <v>238416.247</v>
      </c>
      <c r="D66" s="5">
        <v>229378.696</v>
      </c>
      <c r="E66" s="5">
        <v>249887.087</v>
      </c>
      <c r="F66" s="5">
        <v>245758.2</v>
      </c>
      <c r="G66" s="5">
        <v>250095.55100000001</v>
      </c>
      <c r="H66" s="5">
        <v>290410.84100000001</v>
      </c>
      <c r="I66" s="5">
        <v>342980.99200000003</v>
      </c>
      <c r="J66" s="5">
        <v>309742.25599999999</v>
      </c>
      <c r="K66" s="5">
        <v>348370.15399999998</v>
      </c>
      <c r="L66" s="4">
        <v>238774.764</v>
      </c>
      <c r="M66" s="5">
        <v>336247.06099999999</v>
      </c>
      <c r="N66" s="5">
        <v>250249.788</v>
      </c>
      <c r="O66" s="5">
        <v>246156.01</v>
      </c>
      <c r="P66" s="5">
        <v>250551.11900000001</v>
      </c>
      <c r="Q66" s="5">
        <v>291030.69799999997</v>
      </c>
      <c r="R66" s="5">
        <v>344892.56699999998</v>
      </c>
      <c r="S66" s="5">
        <v>311200.951</v>
      </c>
      <c r="T66" s="5">
        <v>348814.47200000001</v>
      </c>
    </row>
    <row r="67" spans="1:20" x14ac:dyDescent="0.25">
      <c r="A67" s="3" t="s">
        <v>35</v>
      </c>
      <c r="B67" t="s">
        <v>135</v>
      </c>
      <c r="C67" s="4">
        <v>218759.139</v>
      </c>
      <c r="D67" s="5">
        <v>247768.75399999999</v>
      </c>
      <c r="E67" s="5">
        <v>260321.606</v>
      </c>
      <c r="F67" s="5">
        <v>287936.12699999998</v>
      </c>
      <c r="G67" s="5">
        <v>273036.83600000001</v>
      </c>
      <c r="H67" s="5">
        <v>372003.63199999998</v>
      </c>
      <c r="I67" s="5">
        <v>376439.576</v>
      </c>
      <c r="J67" s="5">
        <v>307389.55699999997</v>
      </c>
      <c r="K67" s="5">
        <v>316390.57199999999</v>
      </c>
      <c r="L67" s="4">
        <v>218765.215</v>
      </c>
      <c r="M67" s="5">
        <v>247771.73199999999</v>
      </c>
      <c r="N67" s="5">
        <v>260379.34700000001</v>
      </c>
      <c r="O67" s="5">
        <v>288030.13</v>
      </c>
      <c r="P67" s="5">
        <v>273373.42</v>
      </c>
      <c r="Q67" s="5">
        <v>372084.82900000003</v>
      </c>
      <c r="R67" s="5">
        <v>376765.163</v>
      </c>
      <c r="S67" s="5">
        <v>312317.31599999999</v>
      </c>
      <c r="T67" s="5">
        <v>316395.99599999998</v>
      </c>
    </row>
    <row r="68" spans="1:20" x14ac:dyDescent="0.25">
      <c r="A68" s="3" t="s">
        <v>35</v>
      </c>
      <c r="B68" t="s">
        <v>127</v>
      </c>
      <c r="C68" s="4">
        <v>195190.351</v>
      </c>
      <c r="D68" s="5">
        <v>261349.883</v>
      </c>
      <c r="E68" s="5">
        <v>262478.26400000002</v>
      </c>
      <c r="F68" s="5">
        <v>266266.40100000001</v>
      </c>
      <c r="G68" s="5">
        <v>253661.981</v>
      </c>
      <c r="H68" s="5">
        <v>293291.88900000002</v>
      </c>
      <c r="I68" s="5">
        <v>327326.22600000002</v>
      </c>
      <c r="J68" s="5">
        <v>389524.46100000001</v>
      </c>
      <c r="K68" s="5">
        <v>402319.766</v>
      </c>
      <c r="L68" s="4">
        <v>195415.56700000001</v>
      </c>
      <c r="M68" s="5">
        <v>261559.003</v>
      </c>
      <c r="N68" s="5">
        <v>262548.375</v>
      </c>
      <c r="O68" s="5">
        <v>266282.03700000001</v>
      </c>
      <c r="P68" s="5">
        <v>253766.16099999999</v>
      </c>
      <c r="Q68" s="5">
        <v>294875.90299999999</v>
      </c>
      <c r="R68" s="5">
        <v>327408.47399999999</v>
      </c>
      <c r="S68" s="5">
        <v>390359.86900000001</v>
      </c>
      <c r="T68" s="5">
        <v>403237.29599999997</v>
      </c>
    </row>
    <row r="69" spans="1:20" x14ac:dyDescent="0.25">
      <c r="A69" s="3" t="s">
        <v>35</v>
      </c>
      <c r="B69" t="s">
        <v>136</v>
      </c>
      <c r="C69" s="4">
        <v>185119.58600000001</v>
      </c>
      <c r="D69" s="5">
        <v>195699.98300000001</v>
      </c>
      <c r="E69" s="5">
        <v>207300.26699999999</v>
      </c>
      <c r="F69" s="5">
        <v>229483.06700000001</v>
      </c>
      <c r="G69" s="5">
        <v>241337.56099999999</v>
      </c>
      <c r="H69" s="5">
        <v>263308.24300000002</v>
      </c>
      <c r="I69" s="5">
        <v>257755.66399999999</v>
      </c>
      <c r="J69" s="5">
        <v>226536.92</v>
      </c>
      <c r="K69" s="5">
        <v>235955.02900000001</v>
      </c>
      <c r="L69" s="4">
        <v>185119.60500000001</v>
      </c>
      <c r="M69" s="5">
        <v>195699.98300000001</v>
      </c>
      <c r="N69" s="5">
        <v>207300.26699999999</v>
      </c>
      <c r="O69" s="5">
        <v>229483.18700000001</v>
      </c>
      <c r="P69" s="5">
        <v>241342.77</v>
      </c>
      <c r="Q69" s="5">
        <v>263308.28999999998</v>
      </c>
      <c r="R69" s="5">
        <v>257755.66399999999</v>
      </c>
      <c r="S69" s="5">
        <v>226583.92</v>
      </c>
      <c r="T69" s="5">
        <v>235959.18299999999</v>
      </c>
    </row>
    <row r="70" spans="1:20" x14ac:dyDescent="0.25">
      <c r="A70" s="3" t="s">
        <v>35</v>
      </c>
      <c r="B70" t="s">
        <v>138</v>
      </c>
      <c r="C70" s="4">
        <v>114431.95299999999</v>
      </c>
      <c r="D70" s="5">
        <v>111507.09</v>
      </c>
      <c r="E70" s="5">
        <v>92480.142000000007</v>
      </c>
      <c r="F70" s="5">
        <v>92310.307000000001</v>
      </c>
      <c r="G70" s="5">
        <v>93701.706999999995</v>
      </c>
      <c r="H70" s="5">
        <v>90279.385999999999</v>
      </c>
      <c r="I70" s="5">
        <v>86259.981</v>
      </c>
      <c r="J70" s="5">
        <v>74371.868000000002</v>
      </c>
      <c r="K70" s="5">
        <v>89155.432000000001</v>
      </c>
      <c r="L70" s="4">
        <v>114451.46</v>
      </c>
      <c r="M70" s="5">
        <v>111511.47199999999</v>
      </c>
      <c r="N70" s="5">
        <v>92493.582999999999</v>
      </c>
      <c r="O70" s="5">
        <v>92332.67</v>
      </c>
      <c r="P70" s="5">
        <v>93706.86</v>
      </c>
      <c r="Q70" s="5">
        <v>90309.171000000002</v>
      </c>
      <c r="R70" s="5">
        <v>86322.604000000007</v>
      </c>
      <c r="S70" s="5">
        <v>74442.638000000006</v>
      </c>
      <c r="T70" s="5">
        <v>89185.714000000007</v>
      </c>
    </row>
    <row r="71" spans="1:20" x14ac:dyDescent="0.25">
      <c r="A71" s="3" t="s">
        <v>35</v>
      </c>
      <c r="B71" t="s">
        <v>143</v>
      </c>
      <c r="C71" s="4">
        <v>101696.322</v>
      </c>
      <c r="D71" s="5">
        <v>116104.28599999999</v>
      </c>
      <c r="E71" s="5">
        <v>136656.68400000001</v>
      </c>
      <c r="F71" s="5">
        <v>146662.114</v>
      </c>
      <c r="G71" s="5">
        <v>164164.08199999999</v>
      </c>
      <c r="H71" s="5">
        <v>194482.47700000001</v>
      </c>
      <c r="I71" s="5">
        <v>218174.06599999999</v>
      </c>
      <c r="J71" s="5">
        <v>219573.40100000001</v>
      </c>
      <c r="K71" s="5">
        <v>225411.66500000001</v>
      </c>
      <c r="L71" s="4">
        <v>101696.322</v>
      </c>
      <c r="M71" s="5">
        <v>116104.28599999999</v>
      </c>
      <c r="N71" s="5">
        <v>136661.39799999999</v>
      </c>
      <c r="O71" s="5">
        <v>146662.114</v>
      </c>
      <c r="P71" s="5">
        <v>164164.08199999999</v>
      </c>
      <c r="Q71" s="5">
        <v>194482.47700000001</v>
      </c>
      <c r="R71" s="5">
        <v>218174.06599999999</v>
      </c>
      <c r="S71" s="5">
        <v>219573.40100000001</v>
      </c>
      <c r="T71" s="5">
        <v>225411.66500000001</v>
      </c>
    </row>
    <row r="72" spans="1:20" x14ac:dyDescent="0.25">
      <c r="A72" s="3" t="s">
        <v>35</v>
      </c>
      <c r="B72" t="s">
        <v>132</v>
      </c>
      <c r="C72" s="4">
        <v>81062.497000000003</v>
      </c>
      <c r="D72" s="5">
        <v>69414.657999999996</v>
      </c>
      <c r="E72" s="5">
        <v>103378.412</v>
      </c>
      <c r="F72" s="5">
        <v>92063.042000000001</v>
      </c>
      <c r="G72" s="5">
        <v>79943.221999999994</v>
      </c>
      <c r="H72" s="5">
        <v>98161.23</v>
      </c>
      <c r="I72" s="5">
        <v>104038.048</v>
      </c>
      <c r="J72" s="5">
        <v>93531.278000000006</v>
      </c>
      <c r="K72" s="5">
        <v>90027.072</v>
      </c>
      <c r="L72" s="4">
        <v>310761.80099999998</v>
      </c>
      <c r="M72" s="5">
        <v>371626.12699999998</v>
      </c>
      <c r="N72" s="5">
        <v>110705.844</v>
      </c>
      <c r="O72" s="5">
        <v>109753.855</v>
      </c>
      <c r="P72" s="5">
        <v>189366.49900000001</v>
      </c>
      <c r="Q72" s="5">
        <v>269929.40399999998</v>
      </c>
      <c r="R72" s="5">
        <v>254004.09899999999</v>
      </c>
      <c r="S72" s="5">
        <v>264511.37599999999</v>
      </c>
      <c r="T72" s="5">
        <v>540382.99600000004</v>
      </c>
    </row>
    <row r="73" spans="1:20" x14ac:dyDescent="0.25">
      <c r="A73" s="3" t="s">
        <v>35</v>
      </c>
      <c r="B73" t="s">
        <v>145</v>
      </c>
      <c r="C73" s="4">
        <v>58111.754000000001</v>
      </c>
      <c r="D73" s="5">
        <v>73863.111000000004</v>
      </c>
      <c r="E73" s="5">
        <v>79457.998000000007</v>
      </c>
      <c r="F73" s="5">
        <v>94642.697</v>
      </c>
      <c r="G73" s="5">
        <v>80122.221000000005</v>
      </c>
      <c r="H73" s="5">
        <v>80890.808000000005</v>
      </c>
      <c r="I73" s="5">
        <v>112751.79399999999</v>
      </c>
      <c r="J73" s="5">
        <v>78922.017000000007</v>
      </c>
      <c r="K73" s="5">
        <v>82451.372000000003</v>
      </c>
      <c r="L73" s="4">
        <v>58115.141000000003</v>
      </c>
      <c r="M73" s="5">
        <v>73863.270999999993</v>
      </c>
      <c r="N73" s="5">
        <v>79481.157000000007</v>
      </c>
      <c r="O73" s="5">
        <v>94649.126999999993</v>
      </c>
      <c r="P73" s="5">
        <v>80122.327000000005</v>
      </c>
      <c r="Q73" s="5">
        <v>80891.774999999994</v>
      </c>
      <c r="R73" s="5">
        <v>741850.49800000002</v>
      </c>
      <c r="S73" s="5">
        <v>405804.29200000002</v>
      </c>
      <c r="T73" s="5">
        <v>192332.32</v>
      </c>
    </row>
    <row r="74" spans="1:20" x14ac:dyDescent="0.25">
      <c r="A74" s="3" t="s">
        <v>35</v>
      </c>
      <c r="B74" t="s">
        <v>129</v>
      </c>
      <c r="C74" s="4">
        <v>54085.627</v>
      </c>
      <c r="D74" s="5">
        <v>65350.909</v>
      </c>
      <c r="E74" s="5">
        <v>60716.595000000001</v>
      </c>
      <c r="F74" s="5">
        <v>48247.324999999997</v>
      </c>
      <c r="G74" s="5">
        <v>37820.548999999999</v>
      </c>
      <c r="H74" s="5">
        <v>55987.487000000001</v>
      </c>
      <c r="I74" s="5">
        <v>65426.762000000002</v>
      </c>
      <c r="J74" s="5">
        <v>53068.677000000003</v>
      </c>
      <c r="K74" s="5">
        <v>36006.769999999997</v>
      </c>
      <c r="L74" s="4">
        <v>933323.005</v>
      </c>
      <c r="M74" s="5">
        <v>1056605.308</v>
      </c>
      <c r="N74" s="5">
        <v>71882.054000000004</v>
      </c>
      <c r="O74" s="5">
        <v>66320.008000000002</v>
      </c>
      <c r="P74" s="5">
        <v>1994072.0260000001</v>
      </c>
      <c r="Q74" s="5">
        <v>212042.389</v>
      </c>
      <c r="R74" s="5">
        <v>1021313.192</v>
      </c>
      <c r="S74" s="5">
        <v>800498.196</v>
      </c>
      <c r="T74" s="5">
        <v>1359749.0519999999</v>
      </c>
    </row>
    <row r="75" spans="1:20" x14ac:dyDescent="0.25">
      <c r="A75" s="3" t="s">
        <v>35</v>
      </c>
      <c r="B75" t="s">
        <v>134</v>
      </c>
      <c r="C75" s="4">
        <v>37237.105000000003</v>
      </c>
      <c r="D75" s="5">
        <v>31103.762999999999</v>
      </c>
      <c r="E75" s="5">
        <v>41103.802000000003</v>
      </c>
      <c r="F75" s="5">
        <v>42741.012000000002</v>
      </c>
      <c r="G75" s="5">
        <v>36504.292999999998</v>
      </c>
      <c r="H75" s="5">
        <v>41940.841</v>
      </c>
      <c r="I75" s="5">
        <v>43480.409</v>
      </c>
      <c r="J75" s="5">
        <v>42744.925000000003</v>
      </c>
      <c r="K75" s="5">
        <v>37965.716999999997</v>
      </c>
      <c r="L75" s="4">
        <v>47290.415999999997</v>
      </c>
      <c r="M75" s="5">
        <v>41300.879000000001</v>
      </c>
      <c r="N75" s="5">
        <v>47834.733999999997</v>
      </c>
      <c r="O75" s="5">
        <v>56494.281000000003</v>
      </c>
      <c r="P75" s="5">
        <v>41275.767999999996</v>
      </c>
      <c r="Q75" s="5">
        <v>48467.220999999998</v>
      </c>
      <c r="R75" s="5">
        <v>58190.981</v>
      </c>
      <c r="S75" s="5">
        <v>50928.557000000001</v>
      </c>
      <c r="T75" s="5">
        <v>44928.572</v>
      </c>
    </row>
    <row r="76" spans="1:20" x14ac:dyDescent="0.25">
      <c r="A76" s="3" t="s">
        <v>35</v>
      </c>
      <c r="B76" t="s">
        <v>167</v>
      </c>
      <c r="C76" s="4">
        <v>31309.243999999999</v>
      </c>
      <c r="D76" s="5">
        <v>35018.141000000003</v>
      </c>
      <c r="E76" s="5">
        <v>40033.963000000003</v>
      </c>
      <c r="F76" s="5">
        <v>42353.595000000001</v>
      </c>
      <c r="G76" s="5">
        <v>39938.584000000003</v>
      </c>
      <c r="H76" s="5">
        <v>40028.250999999997</v>
      </c>
      <c r="I76" s="5">
        <v>46963.243999999999</v>
      </c>
      <c r="J76" s="5">
        <v>52658.555999999997</v>
      </c>
      <c r="K76" s="5">
        <v>54009.692000000003</v>
      </c>
      <c r="L76" s="4">
        <v>31309.243999999999</v>
      </c>
      <c r="M76" s="5">
        <v>35048.847999999998</v>
      </c>
      <c r="N76" s="5">
        <v>40034.404000000002</v>
      </c>
      <c r="O76" s="5">
        <v>42353.595000000001</v>
      </c>
      <c r="P76" s="5">
        <v>39950.368999999999</v>
      </c>
      <c r="Q76" s="5">
        <v>40028.250999999997</v>
      </c>
      <c r="R76" s="5">
        <v>46963.243999999999</v>
      </c>
      <c r="S76" s="5">
        <v>52700.055999999997</v>
      </c>
      <c r="T76" s="5">
        <v>54039.906000000003</v>
      </c>
    </row>
    <row r="77" spans="1:20" x14ac:dyDescent="0.25">
      <c r="A77" s="3" t="s">
        <v>35</v>
      </c>
      <c r="B77" t="s">
        <v>140</v>
      </c>
      <c r="C77" s="4">
        <v>25638.330999999998</v>
      </c>
      <c r="D77" s="5">
        <v>28332.026000000002</v>
      </c>
      <c r="E77" s="5">
        <v>33862.021000000001</v>
      </c>
      <c r="F77" s="5">
        <v>40532.423999999999</v>
      </c>
      <c r="G77" s="5">
        <v>47999.703999999998</v>
      </c>
      <c r="H77" s="5">
        <v>49414.849000000002</v>
      </c>
      <c r="I77" s="5">
        <v>48247.972999999998</v>
      </c>
      <c r="J77" s="5">
        <v>51446.7</v>
      </c>
      <c r="K77" s="5">
        <v>55439.593000000001</v>
      </c>
      <c r="L77" s="4">
        <v>25639.955999999998</v>
      </c>
      <c r="M77" s="5">
        <v>28335.367999999999</v>
      </c>
      <c r="N77" s="5">
        <v>33911.733</v>
      </c>
      <c r="O77" s="5">
        <v>40532.423999999999</v>
      </c>
      <c r="P77" s="5">
        <v>48024.212</v>
      </c>
      <c r="Q77" s="5">
        <v>49419.743000000002</v>
      </c>
      <c r="R77" s="5">
        <v>48299.415999999997</v>
      </c>
      <c r="S77" s="5">
        <v>51550.775999999998</v>
      </c>
      <c r="T77" s="5">
        <v>55491.767999999996</v>
      </c>
    </row>
    <row r="78" spans="1:20" x14ac:dyDescent="0.25">
      <c r="A78" s="3" t="s">
        <v>35</v>
      </c>
      <c r="B78" t="s">
        <v>130</v>
      </c>
      <c r="C78" s="4">
        <v>22786.069</v>
      </c>
      <c r="D78" s="5">
        <v>14013.781000000001</v>
      </c>
      <c r="E78" s="5">
        <v>12199.040999999999</v>
      </c>
      <c r="F78" s="5">
        <v>34913.116999999998</v>
      </c>
      <c r="G78" s="5">
        <v>14858.493</v>
      </c>
      <c r="H78" s="5">
        <v>76558.826000000001</v>
      </c>
      <c r="I78" s="5">
        <v>93417.650999999998</v>
      </c>
      <c r="J78" s="5">
        <v>37829.357000000004</v>
      </c>
      <c r="K78" s="5">
        <v>45212.732000000004</v>
      </c>
      <c r="L78" s="4">
        <v>123372.189</v>
      </c>
      <c r="M78" s="5">
        <v>217393.372</v>
      </c>
      <c r="N78" s="5">
        <v>242610.867</v>
      </c>
      <c r="O78" s="5">
        <v>75344.979000000007</v>
      </c>
      <c r="P78" s="5">
        <v>46479.436999999998</v>
      </c>
      <c r="Q78" s="5">
        <v>83303.937999999995</v>
      </c>
      <c r="R78" s="5">
        <v>99507.574999999997</v>
      </c>
      <c r="S78" s="5">
        <v>39918.139000000003</v>
      </c>
      <c r="T78" s="5">
        <v>48055.834999999999</v>
      </c>
    </row>
    <row r="79" spans="1:20" x14ac:dyDescent="0.25">
      <c r="A79" s="3" t="s">
        <v>35</v>
      </c>
      <c r="B79" t="s">
        <v>149</v>
      </c>
      <c r="C79" s="4">
        <v>22061.57</v>
      </c>
      <c r="D79" s="5">
        <v>24796.455000000002</v>
      </c>
      <c r="E79" s="5">
        <v>24706.956999999999</v>
      </c>
      <c r="F79" s="5">
        <v>27217.651999999998</v>
      </c>
      <c r="G79" s="5">
        <v>27109.718000000001</v>
      </c>
      <c r="H79" s="5">
        <v>30697.494999999999</v>
      </c>
      <c r="I79" s="5">
        <v>36239.917000000001</v>
      </c>
      <c r="J79" s="5">
        <v>29500.592000000001</v>
      </c>
      <c r="K79" s="5">
        <v>30042.112000000001</v>
      </c>
      <c r="L79" s="4">
        <v>22068.531999999999</v>
      </c>
      <c r="M79" s="5">
        <v>24811.107</v>
      </c>
      <c r="N79" s="5">
        <v>24786.008999999998</v>
      </c>
      <c r="O79" s="5">
        <v>27509.547999999999</v>
      </c>
      <c r="P79" s="5">
        <v>27204.504000000001</v>
      </c>
      <c r="Q79" s="5">
        <v>30747.571</v>
      </c>
      <c r="R79" s="5">
        <v>36272.218000000001</v>
      </c>
      <c r="S79" s="5">
        <v>29582.803</v>
      </c>
      <c r="T79" s="5">
        <v>30538.9</v>
      </c>
    </row>
    <row r="80" spans="1:20" x14ac:dyDescent="0.25">
      <c r="A80" s="3" t="s">
        <v>35</v>
      </c>
      <c r="B80" t="s">
        <v>133</v>
      </c>
      <c r="C80" s="4">
        <v>6443.42</v>
      </c>
      <c r="D80" s="5">
        <v>12352.694</v>
      </c>
      <c r="E80" s="5">
        <v>12152.762000000001</v>
      </c>
      <c r="F80" s="5">
        <v>29070.51</v>
      </c>
      <c r="G80" s="5">
        <v>17253.257000000001</v>
      </c>
      <c r="H80" s="5">
        <v>86521.790999999997</v>
      </c>
      <c r="I80" s="5">
        <v>33544.160000000003</v>
      </c>
      <c r="J80" s="5">
        <v>2010.9970000000001</v>
      </c>
      <c r="K80" s="5">
        <v>20039.868999999999</v>
      </c>
      <c r="L80" s="4">
        <v>6443.42</v>
      </c>
      <c r="M80" s="5">
        <v>12352.694</v>
      </c>
      <c r="N80" s="5">
        <v>20637.494999999999</v>
      </c>
      <c r="O80" s="5">
        <v>29389.385999999999</v>
      </c>
      <c r="P80" s="5">
        <v>17253.321</v>
      </c>
      <c r="Q80" s="5">
        <v>86522.403000000006</v>
      </c>
      <c r="R80" s="5">
        <v>33544.410000000003</v>
      </c>
      <c r="S80" s="5">
        <v>2169.7860000000001</v>
      </c>
      <c r="T80" s="5">
        <v>20488.560000000001</v>
      </c>
    </row>
    <row r="81" spans="1:20" x14ac:dyDescent="0.25">
      <c r="A81" s="3" t="s">
        <v>35</v>
      </c>
      <c r="B81" t="s">
        <v>163</v>
      </c>
      <c r="C81" s="4">
        <v>4416.5379999999996</v>
      </c>
      <c r="D81" s="5">
        <v>10738.379000000001</v>
      </c>
      <c r="E81" s="5">
        <v>17732.016</v>
      </c>
      <c r="F81" s="5">
        <v>21375.743999999999</v>
      </c>
      <c r="G81" s="5">
        <v>24982.218000000001</v>
      </c>
      <c r="H81" s="5">
        <v>21223.727999999999</v>
      </c>
      <c r="I81" s="5">
        <v>24536.856</v>
      </c>
      <c r="J81" s="5">
        <v>28302.32</v>
      </c>
      <c r="K81" s="5">
        <v>24103.602999999999</v>
      </c>
      <c r="L81" s="4">
        <v>4448.0959999999995</v>
      </c>
      <c r="M81" s="5">
        <v>10738.540999999999</v>
      </c>
      <c r="N81" s="5">
        <v>17769.635999999999</v>
      </c>
      <c r="O81" s="5">
        <v>21389.442999999999</v>
      </c>
      <c r="P81" s="5">
        <v>24982.218000000001</v>
      </c>
      <c r="Q81" s="5">
        <v>21223.727999999999</v>
      </c>
      <c r="R81" s="5">
        <v>24536.856</v>
      </c>
      <c r="S81" s="5">
        <v>28308.22</v>
      </c>
      <c r="T81" s="5">
        <v>24155.696</v>
      </c>
    </row>
    <row r="82" spans="1:20" x14ac:dyDescent="0.25">
      <c r="A82" s="3" t="s">
        <v>35</v>
      </c>
      <c r="B82" t="s">
        <v>142</v>
      </c>
      <c r="C82" s="4">
        <v>3841.5120000000002</v>
      </c>
      <c r="D82" s="5">
        <v>2905.18</v>
      </c>
      <c r="E82" s="5">
        <v>4626.3190000000004</v>
      </c>
      <c r="F82" s="5">
        <v>3260.1390000000001</v>
      </c>
      <c r="G82" s="5">
        <v>2124.4050000000002</v>
      </c>
      <c r="H82" s="5">
        <v>2312.7510000000002</v>
      </c>
      <c r="I82" s="5">
        <v>3153</v>
      </c>
      <c r="J82" s="5">
        <v>3536.8110000000001</v>
      </c>
      <c r="K82" s="5">
        <v>3024.627</v>
      </c>
      <c r="L82" s="4">
        <v>3841.5120000000002</v>
      </c>
      <c r="M82" s="5">
        <v>2908.0360000000001</v>
      </c>
      <c r="N82" s="5">
        <v>4673.9759999999997</v>
      </c>
      <c r="O82" s="5">
        <v>3260.1390000000001</v>
      </c>
      <c r="P82" s="5">
        <v>2480.125</v>
      </c>
      <c r="Q82" s="5">
        <v>2321.0770000000002</v>
      </c>
      <c r="R82" s="5">
        <v>3264.0390000000002</v>
      </c>
      <c r="S82" s="5">
        <v>3928.64</v>
      </c>
      <c r="T82" s="5">
        <v>5776.183</v>
      </c>
    </row>
    <row r="83" spans="1:20" x14ac:dyDescent="0.25">
      <c r="A83" s="3" t="s">
        <v>35</v>
      </c>
      <c r="B83" t="s">
        <v>155</v>
      </c>
      <c r="C83" s="4">
        <v>3495.1460000000002</v>
      </c>
      <c r="D83" s="5">
        <v>184.60400000000001</v>
      </c>
      <c r="E83" s="5">
        <v>83.248999999999995</v>
      </c>
      <c r="F83" s="5">
        <v>30.945</v>
      </c>
      <c r="G83" s="5">
        <v>28.007999999999999</v>
      </c>
      <c r="H83" s="5">
        <v>331.28399999999999</v>
      </c>
      <c r="I83" s="5">
        <v>1002.446</v>
      </c>
      <c r="J83" s="5">
        <v>2230.1080000000002</v>
      </c>
      <c r="K83" s="5">
        <v>3057.424</v>
      </c>
      <c r="L83" s="4">
        <v>3495.1460000000002</v>
      </c>
      <c r="M83" s="5">
        <v>184.60400000000001</v>
      </c>
      <c r="N83" s="5">
        <v>83.248999999999995</v>
      </c>
      <c r="O83" s="5">
        <v>30.945</v>
      </c>
      <c r="P83" s="5">
        <v>28.007999999999999</v>
      </c>
      <c r="Q83" s="5">
        <v>331.28399999999999</v>
      </c>
      <c r="R83" s="5">
        <v>1002.446</v>
      </c>
      <c r="S83" s="5">
        <v>2231.4290000000001</v>
      </c>
      <c r="T83" s="5">
        <v>3057.424</v>
      </c>
    </row>
    <row r="84" spans="1:20" x14ac:dyDescent="0.25">
      <c r="A84" s="3" t="s">
        <v>35</v>
      </c>
      <c r="B84" t="s">
        <v>166</v>
      </c>
      <c r="C84" s="4">
        <v>2037.903</v>
      </c>
      <c r="D84" s="5">
        <v>2396.7249999999999</v>
      </c>
      <c r="E84" s="5">
        <v>2430.761</v>
      </c>
      <c r="F84" s="5">
        <v>2217.0630000000001</v>
      </c>
      <c r="G84" s="5">
        <v>1751.846</v>
      </c>
      <c r="H84" s="5">
        <v>2068.8029999999999</v>
      </c>
      <c r="I84" s="5">
        <v>2890.491</v>
      </c>
      <c r="J84" s="5">
        <v>3087.7469999999998</v>
      </c>
      <c r="K84" s="5">
        <v>2697.24</v>
      </c>
      <c r="L84" s="4">
        <v>2066.2040000000002</v>
      </c>
      <c r="M84" s="5">
        <v>2413.6010000000001</v>
      </c>
      <c r="N84" s="5">
        <v>2430.761</v>
      </c>
      <c r="O84" s="5">
        <v>2217.0630000000001</v>
      </c>
      <c r="P84" s="5">
        <v>1751.8630000000001</v>
      </c>
      <c r="Q84" s="5">
        <v>2068.83</v>
      </c>
      <c r="R84" s="5">
        <v>2931.7950000000001</v>
      </c>
      <c r="S84" s="5">
        <v>3134.5230000000001</v>
      </c>
      <c r="T84" s="5">
        <v>2703.3519999999999</v>
      </c>
    </row>
    <row r="85" spans="1:20" x14ac:dyDescent="0.25">
      <c r="A85" s="3" t="s">
        <v>35</v>
      </c>
      <c r="B85" t="s">
        <v>141</v>
      </c>
      <c r="C85" s="4">
        <v>1753.864</v>
      </c>
      <c r="D85" s="5">
        <v>310.99599999999998</v>
      </c>
      <c r="E85" s="5">
        <v>571.50599999999997</v>
      </c>
      <c r="F85" s="5">
        <v>251.90600000000001</v>
      </c>
      <c r="G85" s="5">
        <v>952.91399999999999</v>
      </c>
      <c r="H85" s="5">
        <v>2016.6869999999999</v>
      </c>
      <c r="I85" s="5">
        <v>290.58999999999997</v>
      </c>
      <c r="J85" s="5">
        <v>3616.1779999999999</v>
      </c>
      <c r="K85" s="5">
        <v>12078.18</v>
      </c>
      <c r="L85" s="4">
        <v>1753.864</v>
      </c>
      <c r="M85" s="5">
        <v>310.99599999999998</v>
      </c>
      <c r="N85" s="5">
        <v>571.50599999999997</v>
      </c>
      <c r="O85" s="5">
        <v>251.90600000000001</v>
      </c>
      <c r="P85" s="5">
        <v>952.91399999999999</v>
      </c>
      <c r="Q85" s="5">
        <v>2016.7719999999999</v>
      </c>
      <c r="R85" s="5">
        <v>294.39</v>
      </c>
      <c r="S85" s="5">
        <v>3620.6120000000001</v>
      </c>
      <c r="T85" s="5">
        <v>12078.18</v>
      </c>
    </row>
    <row r="86" spans="1:20" x14ac:dyDescent="0.25">
      <c r="A86" s="3" t="s">
        <v>35</v>
      </c>
      <c r="B86" t="s">
        <v>159</v>
      </c>
      <c r="C86" s="4">
        <v>1732.6859999999999</v>
      </c>
      <c r="D86" s="5">
        <v>1024.3219999999999</v>
      </c>
      <c r="E86" s="5">
        <v>461.738</v>
      </c>
      <c r="F86" s="5">
        <v>390.44200000000001</v>
      </c>
      <c r="G86" s="5">
        <v>361.70100000000002</v>
      </c>
      <c r="H86" s="5">
        <v>206.21899999999999</v>
      </c>
      <c r="I86" s="5">
        <v>517.54899999999998</v>
      </c>
      <c r="J86" s="5">
        <v>584.26199999999994</v>
      </c>
      <c r="K86" s="5">
        <v>269.19400000000002</v>
      </c>
      <c r="L86" s="4">
        <v>1732.6859999999999</v>
      </c>
      <c r="M86" s="5">
        <v>1024.3219999999999</v>
      </c>
      <c r="N86" s="5">
        <v>461.738</v>
      </c>
      <c r="O86" s="5">
        <v>390.44200000000001</v>
      </c>
      <c r="P86" s="5">
        <v>361.70100000000002</v>
      </c>
      <c r="Q86" s="5">
        <v>206.21899999999999</v>
      </c>
      <c r="R86" s="5">
        <v>518.399</v>
      </c>
      <c r="S86" s="5">
        <v>584.26199999999994</v>
      </c>
      <c r="T86" s="5">
        <v>269.19400000000002</v>
      </c>
    </row>
    <row r="87" spans="1:20" x14ac:dyDescent="0.25">
      <c r="A87" s="3" t="s">
        <v>35</v>
      </c>
      <c r="B87" t="s">
        <v>165</v>
      </c>
      <c r="C87" s="4">
        <v>1687.008</v>
      </c>
      <c r="D87" s="5">
        <v>1835.402</v>
      </c>
      <c r="E87" s="5">
        <v>2552.41</v>
      </c>
      <c r="F87" s="5">
        <v>3373.2530000000002</v>
      </c>
      <c r="G87" s="5">
        <v>4639.7110000000002</v>
      </c>
      <c r="H87" s="5">
        <v>5962.4520000000002</v>
      </c>
      <c r="I87" s="5">
        <v>7245.4260000000004</v>
      </c>
      <c r="J87" s="5">
        <v>8199.991</v>
      </c>
      <c r="K87" s="5">
        <v>5882.2969999999996</v>
      </c>
      <c r="L87" s="4">
        <v>1687.008</v>
      </c>
      <c r="M87" s="5">
        <v>1835.402</v>
      </c>
      <c r="N87" s="5">
        <v>2552.41</v>
      </c>
      <c r="O87" s="5">
        <v>3373.2530000000002</v>
      </c>
      <c r="P87" s="5">
        <v>4646.8280000000004</v>
      </c>
      <c r="Q87" s="5">
        <v>5962.4520000000002</v>
      </c>
      <c r="R87" s="5">
        <v>7277.8519999999999</v>
      </c>
      <c r="S87" s="5">
        <v>8199.991</v>
      </c>
      <c r="T87" s="5">
        <v>5883.8360000000002</v>
      </c>
    </row>
    <row r="88" spans="1:20" x14ac:dyDescent="0.25">
      <c r="A88" s="3" t="s">
        <v>35</v>
      </c>
      <c r="B88" t="s">
        <v>161</v>
      </c>
      <c r="C88" s="4">
        <v>1253.884</v>
      </c>
      <c r="D88" s="5">
        <v>2926.0050000000001</v>
      </c>
      <c r="E88" s="5">
        <v>224.92099999999999</v>
      </c>
      <c r="F88" s="5">
        <v>2681.2130000000002</v>
      </c>
      <c r="G88" s="5">
        <v>1778.1569999999999</v>
      </c>
      <c r="H88" s="5">
        <v>48.509</v>
      </c>
      <c r="I88" s="5">
        <v>413.64800000000002</v>
      </c>
      <c r="J88" s="5">
        <v>28.643999999999998</v>
      </c>
      <c r="K88" s="5">
        <v>760.08100000000002</v>
      </c>
      <c r="L88" s="4">
        <v>2393364.7250000001</v>
      </c>
      <c r="M88" s="5">
        <v>2926.0050000000001</v>
      </c>
      <c r="N88" s="5">
        <v>224.92099999999999</v>
      </c>
      <c r="O88" s="5">
        <v>2681.2130000000002</v>
      </c>
      <c r="P88" s="5">
        <v>1778.1569999999999</v>
      </c>
      <c r="Q88" s="5">
        <v>55.363999999999997</v>
      </c>
      <c r="R88" s="5">
        <v>860.19799999999998</v>
      </c>
      <c r="S88" s="5">
        <v>123.46899999999999</v>
      </c>
      <c r="T88" s="5">
        <v>811.28399999999999</v>
      </c>
    </row>
    <row r="89" spans="1:20" x14ac:dyDescent="0.25">
      <c r="A89" s="3" t="s">
        <v>35</v>
      </c>
      <c r="B89" t="s">
        <v>150</v>
      </c>
      <c r="C89" s="4">
        <v>1173.999</v>
      </c>
      <c r="D89" s="5">
        <v>8165.2929999999997</v>
      </c>
      <c r="E89" s="5">
        <v>1880.2270000000001</v>
      </c>
      <c r="F89" s="5">
        <v>19925.93</v>
      </c>
      <c r="G89" s="5">
        <v>25492</v>
      </c>
      <c r="H89" s="5">
        <v>35099.139000000003</v>
      </c>
      <c r="I89" s="5">
        <v>30389.156999999999</v>
      </c>
      <c r="J89" s="5">
        <v>1400.143</v>
      </c>
      <c r="K89" s="5">
        <v>5363.8829999999998</v>
      </c>
      <c r="L89" s="4">
        <v>1202.453</v>
      </c>
      <c r="M89" s="5">
        <v>10888.422</v>
      </c>
      <c r="N89" s="5">
        <v>1880.2570000000001</v>
      </c>
      <c r="O89" s="5">
        <v>19925.93</v>
      </c>
      <c r="P89" s="5">
        <v>25492</v>
      </c>
      <c r="Q89" s="5">
        <v>35100.409</v>
      </c>
      <c r="R89" s="5">
        <v>30389.156999999999</v>
      </c>
      <c r="S89" s="5">
        <v>1400.143</v>
      </c>
      <c r="T89" s="5">
        <v>5563.4539999999997</v>
      </c>
    </row>
    <row r="90" spans="1:20" x14ac:dyDescent="0.25">
      <c r="A90" s="3" t="s">
        <v>35</v>
      </c>
      <c r="B90" t="s">
        <v>162</v>
      </c>
      <c r="C90" s="4">
        <v>1136.2180000000001</v>
      </c>
      <c r="D90" s="5">
        <v>1336.18</v>
      </c>
      <c r="E90" s="5">
        <v>1622.3810000000001</v>
      </c>
      <c r="F90" s="5">
        <v>1545.6890000000001</v>
      </c>
      <c r="G90" s="5">
        <v>2913.4029999999998</v>
      </c>
      <c r="H90" s="5">
        <v>3364.74</v>
      </c>
      <c r="I90" s="5">
        <v>3306.95</v>
      </c>
      <c r="J90" s="5">
        <v>4743.8010000000004</v>
      </c>
      <c r="K90" s="5">
        <v>3111.288</v>
      </c>
      <c r="L90" s="4">
        <v>1136.2180000000001</v>
      </c>
      <c r="M90" s="5">
        <v>1336.18</v>
      </c>
      <c r="N90" s="5">
        <v>1625.7429999999999</v>
      </c>
      <c r="O90" s="5">
        <v>1545.6890000000001</v>
      </c>
      <c r="P90" s="5">
        <v>2913.4029999999998</v>
      </c>
      <c r="Q90" s="5">
        <v>3391.21</v>
      </c>
      <c r="R90" s="5">
        <v>3306.95</v>
      </c>
      <c r="S90" s="5">
        <v>4747.049</v>
      </c>
      <c r="T90" s="5">
        <v>3111.288</v>
      </c>
    </row>
    <row r="91" spans="1:20" x14ac:dyDescent="0.25">
      <c r="A91" s="3" t="s">
        <v>35</v>
      </c>
      <c r="B91" t="s">
        <v>147</v>
      </c>
      <c r="C91" s="4">
        <v>1126.4949999999999</v>
      </c>
      <c r="D91" s="5">
        <v>1716.5429999999999</v>
      </c>
      <c r="E91" s="5">
        <v>1436.059</v>
      </c>
      <c r="F91" s="5">
        <v>2064.85</v>
      </c>
      <c r="G91" s="5">
        <v>1742.9259999999999</v>
      </c>
      <c r="H91" s="5">
        <v>1182.5909999999999</v>
      </c>
      <c r="I91" s="5">
        <v>1431.5930000000001</v>
      </c>
      <c r="J91" s="5">
        <v>1467.575</v>
      </c>
      <c r="K91" s="5">
        <v>1445.191</v>
      </c>
      <c r="L91" s="4">
        <v>26071.585999999999</v>
      </c>
      <c r="M91" s="5">
        <v>51056.483999999997</v>
      </c>
      <c r="N91" s="5">
        <v>21947.055</v>
      </c>
      <c r="O91" s="5">
        <v>314842.299</v>
      </c>
      <c r="P91" s="5">
        <v>329323.00799999997</v>
      </c>
      <c r="Q91" s="5">
        <v>67246.756999999998</v>
      </c>
      <c r="R91" s="5">
        <v>1572.999</v>
      </c>
      <c r="S91" s="5">
        <v>5863.4380000000001</v>
      </c>
      <c r="T91" s="5">
        <v>2498.5030000000002</v>
      </c>
    </row>
    <row r="92" spans="1:20" x14ac:dyDescent="0.25">
      <c r="A92" s="3" t="s">
        <v>35</v>
      </c>
      <c r="B92" t="s">
        <v>144</v>
      </c>
      <c r="C92" s="4">
        <v>877.22900000000004</v>
      </c>
      <c r="D92" s="5">
        <v>1156.4580000000001</v>
      </c>
      <c r="E92" s="5">
        <v>1494.2819999999999</v>
      </c>
      <c r="F92" s="5">
        <v>690.024</v>
      </c>
      <c r="G92" s="5">
        <v>516.16700000000003</v>
      </c>
      <c r="H92" s="5">
        <v>571.43499999999995</v>
      </c>
      <c r="I92" s="5">
        <v>3131.2089999999998</v>
      </c>
      <c r="J92" s="5">
        <v>3088.62</v>
      </c>
      <c r="K92" s="5">
        <v>5546.7849999999999</v>
      </c>
      <c r="L92" s="4">
        <v>973.029</v>
      </c>
      <c r="M92" s="5">
        <v>2723.9940000000001</v>
      </c>
      <c r="N92" s="5">
        <v>1494.2819999999999</v>
      </c>
      <c r="O92" s="5">
        <v>690.024</v>
      </c>
      <c r="P92" s="5">
        <v>516.16700000000003</v>
      </c>
      <c r="Q92" s="5">
        <v>571.43499999999995</v>
      </c>
      <c r="R92" s="5">
        <v>3135.212</v>
      </c>
      <c r="S92" s="5">
        <v>3123.643</v>
      </c>
      <c r="T92" s="5">
        <v>5546.7849999999999</v>
      </c>
    </row>
    <row r="93" spans="1:20" x14ac:dyDescent="0.25">
      <c r="A93" s="3" t="s">
        <v>35</v>
      </c>
      <c r="B93" t="s">
        <v>148</v>
      </c>
      <c r="C93" s="4">
        <v>647.65499999999997</v>
      </c>
      <c r="D93" s="5">
        <v>277.80399999999997</v>
      </c>
      <c r="E93" s="5">
        <v>183.88499999999999</v>
      </c>
      <c r="F93" s="5">
        <v>114.23699999999999</v>
      </c>
      <c r="G93" s="5">
        <v>83.561000000000007</v>
      </c>
      <c r="H93" s="5">
        <v>200.96299999999999</v>
      </c>
      <c r="I93" s="5">
        <v>346.327</v>
      </c>
      <c r="J93" s="5">
        <v>35.26</v>
      </c>
      <c r="K93" s="5">
        <v>561.56899999999996</v>
      </c>
      <c r="L93" s="4">
        <v>647.65499999999997</v>
      </c>
      <c r="M93" s="5">
        <v>277.80399999999997</v>
      </c>
      <c r="N93" s="5">
        <v>183.88499999999999</v>
      </c>
      <c r="O93" s="5">
        <v>383.178</v>
      </c>
      <c r="P93" s="5">
        <v>83.561000000000007</v>
      </c>
      <c r="Q93" s="5">
        <v>200.96299999999999</v>
      </c>
      <c r="R93" s="5">
        <v>346.327</v>
      </c>
      <c r="S93" s="5">
        <v>35.26</v>
      </c>
      <c r="T93" s="5">
        <v>561.56899999999996</v>
      </c>
    </row>
    <row r="94" spans="1:20" x14ac:dyDescent="0.25">
      <c r="A94" s="3" t="s">
        <v>35</v>
      </c>
      <c r="B94" t="s">
        <v>153</v>
      </c>
      <c r="C94" s="4">
        <v>370.892</v>
      </c>
      <c r="D94" s="5">
        <v>1124.2539999999999</v>
      </c>
      <c r="E94" s="5">
        <v>1468.835</v>
      </c>
      <c r="F94" s="5">
        <v>1844.643</v>
      </c>
      <c r="G94" s="5">
        <v>1372.2940000000001</v>
      </c>
      <c r="H94" s="5">
        <v>3068.442</v>
      </c>
      <c r="I94" s="5">
        <v>2370.3209999999999</v>
      </c>
      <c r="J94" s="5">
        <v>2889.2860000000001</v>
      </c>
      <c r="K94" s="5">
        <v>3078.8420000000001</v>
      </c>
      <c r="L94" s="4">
        <v>370.892</v>
      </c>
      <c r="M94" s="5">
        <v>1124.2539999999999</v>
      </c>
      <c r="N94" s="5">
        <v>1468.835</v>
      </c>
      <c r="O94" s="5">
        <v>29996.081999999999</v>
      </c>
      <c r="P94" s="5">
        <v>126841.238</v>
      </c>
      <c r="Q94" s="5">
        <v>3068.442</v>
      </c>
      <c r="R94" s="5">
        <v>2370.5459999999998</v>
      </c>
      <c r="S94" s="5">
        <v>2890.6019999999999</v>
      </c>
      <c r="T94" s="5">
        <v>3107.68</v>
      </c>
    </row>
    <row r="95" spans="1:20" x14ac:dyDescent="0.25">
      <c r="A95" s="3" t="s">
        <v>35</v>
      </c>
      <c r="B95" t="s">
        <v>154</v>
      </c>
      <c r="C95" s="4">
        <v>267.19799999999998</v>
      </c>
      <c r="D95" s="5">
        <v>576.17100000000005</v>
      </c>
      <c r="E95" s="5">
        <v>4591.1210000000001</v>
      </c>
      <c r="F95" s="5">
        <v>638.10299999999995</v>
      </c>
      <c r="G95" s="5">
        <v>769.16600000000005</v>
      </c>
      <c r="H95" s="5">
        <v>1098.29</v>
      </c>
      <c r="I95" s="5">
        <v>1084.9079999999999</v>
      </c>
      <c r="J95" s="5">
        <v>879.36599999999999</v>
      </c>
      <c r="K95" s="5">
        <v>1668.74</v>
      </c>
      <c r="L95" s="4">
        <v>476.61099999999999</v>
      </c>
      <c r="M95" s="5">
        <v>576.17100000000005</v>
      </c>
      <c r="N95" s="5">
        <v>4591.1210000000001</v>
      </c>
      <c r="O95" s="5">
        <v>638.10299999999995</v>
      </c>
      <c r="P95" s="5">
        <v>769.16600000000005</v>
      </c>
      <c r="Q95" s="5">
        <v>2160.2139999999999</v>
      </c>
      <c r="R95" s="5">
        <v>1792023.8130000001</v>
      </c>
      <c r="S95" s="5">
        <v>1846198.21</v>
      </c>
      <c r="T95" s="5">
        <v>1193049.6910000001</v>
      </c>
    </row>
    <row r="96" spans="1:20" x14ac:dyDescent="0.25">
      <c r="A96" s="3" t="s">
        <v>35</v>
      </c>
      <c r="B96" t="s">
        <v>160</v>
      </c>
      <c r="C96" s="4">
        <v>188.90799999999999</v>
      </c>
      <c r="D96" s="5">
        <v>232.14099999999999</v>
      </c>
      <c r="E96" s="5">
        <v>439.72899999999998</v>
      </c>
      <c r="F96" s="5">
        <v>800.42700000000002</v>
      </c>
      <c r="G96" s="5">
        <v>949.80799999999999</v>
      </c>
      <c r="H96" s="5">
        <v>383.18400000000003</v>
      </c>
      <c r="I96" s="5">
        <v>1244.242</v>
      </c>
      <c r="J96" s="5">
        <v>1006.9160000000001</v>
      </c>
      <c r="K96" s="5">
        <v>972.29399999999998</v>
      </c>
      <c r="L96" s="4">
        <v>188.90799999999999</v>
      </c>
      <c r="M96" s="5">
        <v>232.14099999999999</v>
      </c>
      <c r="N96" s="5">
        <v>441.71899999999999</v>
      </c>
      <c r="O96" s="5">
        <v>825.21799999999996</v>
      </c>
      <c r="P96" s="5">
        <v>949.80799999999999</v>
      </c>
      <c r="Q96" s="5">
        <v>384.86200000000002</v>
      </c>
      <c r="R96" s="5">
        <v>1248.693</v>
      </c>
      <c r="S96" s="5">
        <v>1016.664</v>
      </c>
      <c r="T96" s="5">
        <v>972.29399999999998</v>
      </c>
    </row>
    <row r="97" spans="1:20" x14ac:dyDescent="0.25">
      <c r="A97" s="3" t="s">
        <v>35</v>
      </c>
      <c r="B97" t="s">
        <v>168</v>
      </c>
      <c r="C97" s="4">
        <v>186.018</v>
      </c>
      <c r="D97" s="5">
        <v>89.394999999999996</v>
      </c>
      <c r="E97" s="5">
        <v>120.377</v>
      </c>
      <c r="F97" s="5">
        <v>104.55800000000001</v>
      </c>
      <c r="G97" s="5">
        <v>56.712000000000003</v>
      </c>
      <c r="H97" s="5">
        <v>49.293999999999997</v>
      </c>
      <c r="I97" s="5">
        <v>221.58699999999999</v>
      </c>
      <c r="J97" s="5">
        <v>680.62099999999998</v>
      </c>
      <c r="K97" s="5">
        <v>433.42099999999999</v>
      </c>
      <c r="L97" s="4">
        <v>186.018</v>
      </c>
      <c r="M97" s="5">
        <v>89.394999999999996</v>
      </c>
      <c r="N97" s="5">
        <v>120.377</v>
      </c>
      <c r="O97" s="5">
        <v>104.55800000000001</v>
      </c>
      <c r="P97" s="5">
        <v>56.712000000000003</v>
      </c>
      <c r="Q97" s="5">
        <v>52.054000000000002</v>
      </c>
      <c r="R97" s="5">
        <v>221.58699999999999</v>
      </c>
      <c r="S97" s="5">
        <v>680.62099999999998</v>
      </c>
      <c r="T97" s="5">
        <v>433.42099999999999</v>
      </c>
    </row>
    <row r="98" spans="1:20" x14ac:dyDescent="0.25">
      <c r="A98" s="3" t="s">
        <v>35</v>
      </c>
      <c r="B98" t="s">
        <v>156</v>
      </c>
      <c r="C98" s="4">
        <v>93.013000000000005</v>
      </c>
      <c r="D98" s="5">
        <v>0</v>
      </c>
      <c r="E98" s="5">
        <v>66.84</v>
      </c>
      <c r="F98" s="5">
        <v>0</v>
      </c>
      <c r="G98" s="5">
        <v>0</v>
      </c>
      <c r="H98" s="5">
        <v>0</v>
      </c>
      <c r="I98" s="5">
        <v>0</v>
      </c>
      <c r="J98" s="5">
        <v>0</v>
      </c>
      <c r="K98" s="5">
        <v>0</v>
      </c>
      <c r="L98" s="4">
        <v>93.013000000000005</v>
      </c>
      <c r="M98" s="5">
        <v>0</v>
      </c>
      <c r="N98" s="5">
        <v>66.84</v>
      </c>
      <c r="O98" s="5">
        <v>0</v>
      </c>
      <c r="P98" s="5">
        <v>0</v>
      </c>
      <c r="Q98" s="5">
        <v>0</v>
      </c>
      <c r="R98" s="5">
        <v>0</v>
      </c>
      <c r="S98" s="5">
        <v>0</v>
      </c>
      <c r="T98" s="5">
        <v>0</v>
      </c>
    </row>
    <row r="99" spans="1:20" x14ac:dyDescent="0.25">
      <c r="A99" s="3" t="s">
        <v>35</v>
      </c>
      <c r="B99" t="s">
        <v>158</v>
      </c>
      <c r="C99" s="4">
        <v>35.063000000000002</v>
      </c>
      <c r="D99" s="5">
        <v>19.364999999999998</v>
      </c>
      <c r="E99" s="5">
        <v>26.951000000000001</v>
      </c>
      <c r="F99" s="5">
        <v>22.72</v>
      </c>
      <c r="G99" s="5">
        <v>181.905</v>
      </c>
      <c r="H99" s="5">
        <v>48.265000000000001</v>
      </c>
      <c r="I99" s="5">
        <v>51.514000000000003</v>
      </c>
      <c r="J99" s="5">
        <v>112.29600000000001</v>
      </c>
      <c r="K99" s="5">
        <v>39.511000000000003</v>
      </c>
      <c r="L99" s="4">
        <v>35.063000000000002</v>
      </c>
      <c r="M99" s="5">
        <v>19.364999999999998</v>
      </c>
      <c r="N99" s="5">
        <v>26.951000000000001</v>
      </c>
      <c r="O99" s="5">
        <v>22.72</v>
      </c>
      <c r="P99" s="5">
        <v>247420.03899999999</v>
      </c>
      <c r="Q99" s="5">
        <v>48.265000000000001</v>
      </c>
      <c r="R99" s="5">
        <v>51.514000000000003</v>
      </c>
      <c r="S99" s="5">
        <v>127.29600000000001</v>
      </c>
      <c r="T99" s="5">
        <v>32920.978000000003</v>
      </c>
    </row>
    <row r="100" spans="1:20" x14ac:dyDescent="0.25">
      <c r="A100" s="3" t="s">
        <v>35</v>
      </c>
      <c r="B100" t="s">
        <v>169</v>
      </c>
      <c r="C100" s="4">
        <v>16.489000000000001</v>
      </c>
      <c r="D100" s="5">
        <v>352.77600000000001</v>
      </c>
      <c r="E100" s="5">
        <v>219.91499999999999</v>
      </c>
      <c r="F100" s="5">
        <v>129.31</v>
      </c>
      <c r="G100" s="5">
        <v>104.02</v>
      </c>
      <c r="H100" s="5">
        <v>130.56</v>
      </c>
      <c r="I100" s="5">
        <v>199.26400000000001</v>
      </c>
      <c r="J100" s="5">
        <v>171.172</v>
      </c>
      <c r="K100" s="5">
        <v>1180.8510000000001</v>
      </c>
      <c r="L100" s="4">
        <v>16.489000000000001</v>
      </c>
      <c r="M100" s="5">
        <v>352.77600000000001</v>
      </c>
      <c r="N100" s="5">
        <v>220.61699999999999</v>
      </c>
      <c r="O100" s="5">
        <v>135.369</v>
      </c>
      <c r="P100" s="5">
        <v>129.434</v>
      </c>
      <c r="Q100" s="5">
        <v>168.84800000000001</v>
      </c>
      <c r="R100" s="5">
        <v>233.23599999999999</v>
      </c>
      <c r="S100" s="5">
        <v>205.727</v>
      </c>
      <c r="T100" s="5">
        <v>1436.078</v>
      </c>
    </row>
    <row r="101" spans="1:20" x14ac:dyDescent="0.25">
      <c r="A101" s="3" t="s">
        <v>172</v>
      </c>
      <c r="B101" t="s">
        <v>173</v>
      </c>
      <c r="C101" s="4">
        <v>10465022.169</v>
      </c>
      <c r="D101" s="5">
        <v>11059776.164000001</v>
      </c>
      <c r="E101" s="5">
        <v>11272262.944</v>
      </c>
      <c r="F101" s="5">
        <v>11375369.421</v>
      </c>
      <c r="G101" s="5">
        <v>10063430.986</v>
      </c>
      <c r="H101" s="5">
        <v>10705965.503</v>
      </c>
      <c r="I101" s="5">
        <v>13068073.822000001</v>
      </c>
      <c r="J101" s="5">
        <v>11417009.657</v>
      </c>
      <c r="K101" s="5">
        <v>11093013.052999999</v>
      </c>
      <c r="L101" s="4">
        <v>10665102.528999999</v>
      </c>
      <c r="M101" s="5">
        <v>11194229.563999999</v>
      </c>
      <c r="N101" s="5">
        <v>11374843.58</v>
      </c>
      <c r="O101" s="5">
        <v>11521006.177999999</v>
      </c>
      <c r="P101" s="5">
        <v>10337018.497</v>
      </c>
      <c r="Q101" s="5">
        <v>10908721.441</v>
      </c>
      <c r="R101" s="5">
        <v>13361161.301000001</v>
      </c>
      <c r="S101" s="5">
        <v>11655152.036</v>
      </c>
      <c r="T101" s="5">
        <v>11655084.33</v>
      </c>
    </row>
    <row r="102" spans="1:20" x14ac:dyDescent="0.25">
      <c r="A102" s="3" t="s">
        <v>172</v>
      </c>
      <c r="B102" t="s">
        <v>176</v>
      </c>
      <c r="C102" s="4">
        <v>2217417.9130000002</v>
      </c>
      <c r="D102" s="5">
        <v>2334025.8790000002</v>
      </c>
      <c r="E102" s="5">
        <v>2504095.3139999998</v>
      </c>
      <c r="F102" s="5">
        <v>2421603.801</v>
      </c>
      <c r="G102" s="5">
        <v>2295646.3289999999</v>
      </c>
      <c r="H102" s="5">
        <v>2441964.0860000001</v>
      </c>
      <c r="I102" s="5">
        <v>2856516.105</v>
      </c>
      <c r="J102" s="5">
        <v>2627940.608</v>
      </c>
      <c r="K102" s="5">
        <v>2505561.648</v>
      </c>
      <c r="L102" s="4">
        <v>2531098.906</v>
      </c>
      <c r="M102" s="5">
        <v>2482290.4789999998</v>
      </c>
      <c r="N102" s="5">
        <v>2822647.966</v>
      </c>
      <c r="O102" s="5">
        <v>3809713.111</v>
      </c>
      <c r="P102" s="5">
        <v>5196098.79</v>
      </c>
      <c r="Q102" s="5">
        <v>3795816.6949999998</v>
      </c>
      <c r="R102" s="5">
        <v>3434335.656</v>
      </c>
      <c r="S102" s="5">
        <v>3069290.1749999998</v>
      </c>
      <c r="T102" s="5">
        <v>2901299.5389999999</v>
      </c>
    </row>
    <row r="103" spans="1:20" x14ac:dyDescent="0.25">
      <c r="A103" s="3" t="s">
        <v>172</v>
      </c>
      <c r="B103" t="s">
        <v>175</v>
      </c>
      <c r="C103" s="4">
        <v>1849881.689</v>
      </c>
      <c r="D103" s="5">
        <v>1702851.425</v>
      </c>
      <c r="E103" s="5">
        <v>1810490.12</v>
      </c>
      <c r="F103" s="5">
        <v>1831960.8019999999</v>
      </c>
      <c r="G103" s="5">
        <v>1633337.49</v>
      </c>
      <c r="H103" s="5">
        <v>1744571.182</v>
      </c>
      <c r="I103" s="5">
        <v>2627981.8169999998</v>
      </c>
      <c r="J103" s="5">
        <v>2330073.7489999998</v>
      </c>
      <c r="K103" s="5">
        <v>2120580.108</v>
      </c>
      <c r="L103" s="4">
        <v>1867635.3119999999</v>
      </c>
      <c r="M103" s="5">
        <v>1750690.142</v>
      </c>
      <c r="N103" s="5">
        <v>1842789.9680000001</v>
      </c>
      <c r="O103" s="5">
        <v>1847481.584</v>
      </c>
      <c r="P103" s="5">
        <v>2352902.037</v>
      </c>
      <c r="Q103" s="5">
        <v>1930300.659</v>
      </c>
      <c r="R103" s="5">
        <v>2722850.2829999998</v>
      </c>
      <c r="S103" s="5">
        <v>2404778.909</v>
      </c>
      <c r="T103" s="5">
        <v>2146312.1439999999</v>
      </c>
    </row>
    <row r="104" spans="1:20" x14ac:dyDescent="0.25">
      <c r="A104" s="3" t="s">
        <v>172</v>
      </c>
      <c r="B104" t="s">
        <v>174</v>
      </c>
      <c r="C104" s="4">
        <v>1207884.7290000001</v>
      </c>
      <c r="D104" s="5">
        <v>1148829.0260000001</v>
      </c>
      <c r="E104" s="5">
        <v>1299821.763</v>
      </c>
      <c r="F104" s="5">
        <v>1139401.2790000001</v>
      </c>
      <c r="G104" s="5">
        <v>1067307.8559999999</v>
      </c>
      <c r="H104" s="5">
        <v>1178487.361</v>
      </c>
      <c r="I104" s="5">
        <v>1177631.4620000001</v>
      </c>
      <c r="J104" s="5">
        <v>1522843.8810000001</v>
      </c>
      <c r="K104" s="5">
        <v>1152721.2879999999</v>
      </c>
      <c r="L104" s="4">
        <v>1210114.74</v>
      </c>
      <c r="M104" s="5">
        <v>1152256.808</v>
      </c>
      <c r="N104" s="5">
        <v>1304430.112</v>
      </c>
      <c r="O104" s="5">
        <v>1145244.9010000001</v>
      </c>
      <c r="P104" s="5">
        <v>1069030.422</v>
      </c>
      <c r="Q104" s="5">
        <v>1179411.8829999999</v>
      </c>
      <c r="R104" s="5">
        <v>1181874.7690000001</v>
      </c>
      <c r="S104" s="5">
        <v>1530088.9180000001</v>
      </c>
      <c r="T104" s="5">
        <v>1157479.888</v>
      </c>
    </row>
    <row r="105" spans="1:20" x14ac:dyDescent="0.25">
      <c r="A105" s="3" t="s">
        <v>172</v>
      </c>
      <c r="B105" t="s">
        <v>178</v>
      </c>
      <c r="C105" s="4">
        <v>985251.647</v>
      </c>
      <c r="D105" s="5">
        <v>1019323.63</v>
      </c>
      <c r="E105" s="5">
        <v>1025100.551</v>
      </c>
      <c r="F105" s="5">
        <v>1074926.263</v>
      </c>
      <c r="G105" s="5">
        <v>965582.53899999999</v>
      </c>
      <c r="H105" s="5">
        <v>966113.77399999998</v>
      </c>
      <c r="I105" s="5">
        <v>1293059.17</v>
      </c>
      <c r="J105" s="5">
        <v>1238155.892</v>
      </c>
      <c r="K105" s="5">
        <v>1120683.9720000001</v>
      </c>
      <c r="L105" s="4">
        <v>1014447.409</v>
      </c>
      <c r="M105" s="5">
        <v>1037013.802</v>
      </c>
      <c r="N105" s="5">
        <v>1056261.5900000001</v>
      </c>
      <c r="O105" s="5">
        <v>1120168.736</v>
      </c>
      <c r="P105" s="5">
        <v>1003405.517</v>
      </c>
      <c r="Q105" s="5">
        <v>989266.19</v>
      </c>
      <c r="R105" s="5">
        <v>1331788.3030000001</v>
      </c>
      <c r="S105" s="5">
        <v>1275287.362</v>
      </c>
      <c r="T105" s="5">
        <v>1140291.8929999999</v>
      </c>
    </row>
    <row r="106" spans="1:20" x14ac:dyDescent="0.25">
      <c r="A106" s="3" t="s">
        <v>172</v>
      </c>
      <c r="B106" t="s">
        <v>180</v>
      </c>
      <c r="C106" s="4">
        <v>956538.73300000001</v>
      </c>
      <c r="D106" s="5">
        <v>947338.35800000001</v>
      </c>
      <c r="E106" s="5">
        <v>979417.57</v>
      </c>
      <c r="F106" s="5">
        <v>1021071.738</v>
      </c>
      <c r="G106" s="5">
        <v>889004.60400000005</v>
      </c>
      <c r="H106" s="5">
        <v>861340.15500000003</v>
      </c>
      <c r="I106" s="5">
        <v>904694.277</v>
      </c>
      <c r="J106" s="5">
        <v>954478.41299999994</v>
      </c>
      <c r="K106" s="5">
        <v>1000033.215</v>
      </c>
      <c r="L106" s="4">
        <v>957169.32</v>
      </c>
      <c r="M106" s="5">
        <v>961647.53300000005</v>
      </c>
      <c r="N106" s="5">
        <v>989392.83</v>
      </c>
      <c r="O106" s="5">
        <v>1026945.629</v>
      </c>
      <c r="P106" s="5">
        <v>902524.549</v>
      </c>
      <c r="Q106" s="5">
        <v>865187.62399999995</v>
      </c>
      <c r="R106" s="5">
        <v>929792.98800000001</v>
      </c>
      <c r="S106" s="5">
        <v>1298657.51</v>
      </c>
      <c r="T106" s="5">
        <v>1217376.9920000001</v>
      </c>
    </row>
    <row r="107" spans="1:20" x14ac:dyDescent="0.25">
      <c r="A107" s="3" t="s">
        <v>172</v>
      </c>
      <c r="B107" t="s">
        <v>181</v>
      </c>
      <c r="C107" s="4">
        <v>778337.68299999996</v>
      </c>
      <c r="D107" s="5">
        <v>719470.36399999994</v>
      </c>
      <c r="E107" s="5">
        <v>703218.91799999995</v>
      </c>
      <c r="F107" s="5">
        <v>798585.36</v>
      </c>
      <c r="G107" s="5">
        <v>683602.79200000002</v>
      </c>
      <c r="H107" s="5">
        <v>693651.01100000006</v>
      </c>
      <c r="I107" s="5">
        <v>753861.94499999995</v>
      </c>
      <c r="J107" s="5">
        <v>665263.10400000005</v>
      </c>
      <c r="K107" s="5">
        <v>608788.29700000002</v>
      </c>
      <c r="L107" s="4">
        <v>787506.99</v>
      </c>
      <c r="M107" s="5">
        <v>734546.72</v>
      </c>
      <c r="N107" s="5">
        <v>722457.98</v>
      </c>
      <c r="O107" s="5">
        <v>844072.69499999995</v>
      </c>
      <c r="P107" s="5">
        <v>743322.56400000001</v>
      </c>
      <c r="Q107" s="5">
        <v>764672.49399999995</v>
      </c>
      <c r="R107" s="5">
        <v>883002.90399999998</v>
      </c>
      <c r="S107" s="5">
        <v>677754.81499999994</v>
      </c>
      <c r="T107" s="5">
        <v>618073.97400000005</v>
      </c>
    </row>
    <row r="108" spans="1:20" x14ac:dyDescent="0.25">
      <c r="A108" s="3" t="s">
        <v>172</v>
      </c>
      <c r="B108" t="s">
        <v>177</v>
      </c>
      <c r="C108" s="4">
        <v>756671.66399999999</v>
      </c>
      <c r="D108" s="5">
        <v>767961.39199999999</v>
      </c>
      <c r="E108" s="5">
        <v>793749.88800000004</v>
      </c>
      <c r="F108" s="5">
        <v>786462.26899999997</v>
      </c>
      <c r="G108" s="5">
        <v>731739.86800000002</v>
      </c>
      <c r="H108" s="5">
        <v>692853.70600000001</v>
      </c>
      <c r="I108" s="5">
        <v>780534.54700000002</v>
      </c>
      <c r="J108" s="5">
        <v>655416.125</v>
      </c>
      <c r="K108" s="5">
        <v>657480.89300000004</v>
      </c>
      <c r="L108" s="4">
        <v>3887363.8480000002</v>
      </c>
      <c r="M108" s="5">
        <v>4174136.5189999999</v>
      </c>
      <c r="N108" s="5">
        <v>11472422.117000001</v>
      </c>
      <c r="O108" s="5">
        <v>6406982.9759999998</v>
      </c>
      <c r="P108" s="5">
        <v>6570274.2819999997</v>
      </c>
      <c r="Q108" s="5">
        <v>20682953.302000001</v>
      </c>
      <c r="R108" s="5">
        <v>2376282.1329999999</v>
      </c>
      <c r="S108" s="5">
        <v>1816132.125</v>
      </c>
      <c r="T108" s="5">
        <v>3000569.3309999998</v>
      </c>
    </row>
    <row r="109" spans="1:20" x14ac:dyDescent="0.25">
      <c r="A109" s="3" t="s">
        <v>172</v>
      </c>
      <c r="B109" t="s">
        <v>183</v>
      </c>
      <c r="C109" s="4">
        <v>701427.88199999998</v>
      </c>
      <c r="D109" s="5">
        <v>761345.81700000004</v>
      </c>
      <c r="E109" s="5">
        <v>843807.96</v>
      </c>
      <c r="F109" s="5">
        <v>896085.66599999997</v>
      </c>
      <c r="G109" s="5">
        <v>684885.45400000003</v>
      </c>
      <c r="H109" s="5">
        <v>633464.77599999995</v>
      </c>
      <c r="I109" s="5">
        <v>710828.59600000002</v>
      </c>
      <c r="J109" s="5">
        <v>689604.57</v>
      </c>
      <c r="K109" s="5">
        <v>749268.86300000001</v>
      </c>
      <c r="L109" s="4">
        <v>702950.75300000003</v>
      </c>
      <c r="M109" s="5">
        <v>762431.46600000001</v>
      </c>
      <c r="N109" s="5">
        <v>843938.87899999996</v>
      </c>
      <c r="O109" s="5">
        <v>896161.64199999999</v>
      </c>
      <c r="P109" s="5">
        <v>684925.554</v>
      </c>
      <c r="Q109" s="5">
        <v>634099.41799999995</v>
      </c>
      <c r="R109" s="5">
        <v>712832.81</v>
      </c>
      <c r="S109" s="5">
        <v>691896.56599999999</v>
      </c>
      <c r="T109" s="5">
        <v>753622.42299999995</v>
      </c>
    </row>
    <row r="110" spans="1:20" x14ac:dyDescent="0.25">
      <c r="A110" s="3" t="s">
        <v>172</v>
      </c>
      <c r="B110" t="s">
        <v>179</v>
      </c>
      <c r="C110" s="4">
        <v>467186.28399999999</v>
      </c>
      <c r="D110" s="5">
        <v>532316.12300000002</v>
      </c>
      <c r="E110" s="5">
        <v>646740.60199999996</v>
      </c>
      <c r="F110" s="5">
        <v>599608.91099999996</v>
      </c>
      <c r="G110" s="5">
        <v>556320.11899999995</v>
      </c>
      <c r="H110" s="5">
        <v>586785.47699999996</v>
      </c>
      <c r="I110" s="5">
        <v>675636.56299999997</v>
      </c>
      <c r="J110" s="5">
        <v>689453.34</v>
      </c>
      <c r="K110" s="5">
        <v>702229.571</v>
      </c>
      <c r="L110" s="4">
        <v>485037.41200000001</v>
      </c>
      <c r="M110" s="5">
        <v>548846.26399999997</v>
      </c>
      <c r="N110" s="5">
        <v>646881.79700000002</v>
      </c>
      <c r="O110" s="5">
        <v>647634.598</v>
      </c>
      <c r="P110" s="5">
        <v>556355.02599999995</v>
      </c>
      <c r="Q110" s="5">
        <v>587002.62699999998</v>
      </c>
      <c r="R110" s="5">
        <v>675895.429</v>
      </c>
      <c r="S110" s="5">
        <v>691279.31799999997</v>
      </c>
      <c r="T110" s="5">
        <v>709061.527</v>
      </c>
    </row>
    <row r="111" spans="1:20" x14ac:dyDescent="0.25">
      <c r="A111" s="3" t="s">
        <v>172</v>
      </c>
      <c r="B111" t="s">
        <v>182</v>
      </c>
      <c r="C111" s="4">
        <v>370505.78399999999</v>
      </c>
      <c r="D111" s="5">
        <v>413933.25699999998</v>
      </c>
      <c r="E111" s="5">
        <v>455308.15399999998</v>
      </c>
      <c r="F111" s="5">
        <v>433224.87900000002</v>
      </c>
      <c r="G111" s="5">
        <v>447218.66499999998</v>
      </c>
      <c r="H111" s="5">
        <v>488092.49599999998</v>
      </c>
      <c r="I111" s="5">
        <v>518145.22</v>
      </c>
      <c r="J111" s="5">
        <v>559011.10400000005</v>
      </c>
      <c r="K111" s="5">
        <v>549132.94499999995</v>
      </c>
      <c r="L111" s="4">
        <v>798883.58900000004</v>
      </c>
      <c r="M111" s="5">
        <v>426383.94900000002</v>
      </c>
      <c r="N111" s="5">
        <v>548372.22400000005</v>
      </c>
      <c r="O111" s="5">
        <v>434160.804</v>
      </c>
      <c r="P111" s="5">
        <v>448296.57500000001</v>
      </c>
      <c r="Q111" s="5">
        <v>490025.75599999999</v>
      </c>
      <c r="R111" s="5">
        <v>570564.64</v>
      </c>
      <c r="S111" s="5">
        <v>642356.04599999997</v>
      </c>
      <c r="T111" s="5">
        <v>729309.21900000004</v>
      </c>
    </row>
    <row r="112" spans="1:20" x14ac:dyDescent="0.25">
      <c r="A112" s="3" t="s">
        <v>172</v>
      </c>
      <c r="B112" t="s">
        <v>184</v>
      </c>
      <c r="C112" s="4">
        <v>362870.43800000002</v>
      </c>
      <c r="D112" s="5">
        <v>419335.53600000002</v>
      </c>
      <c r="E112" s="5">
        <v>455280.77899999998</v>
      </c>
      <c r="F112" s="5">
        <v>475085.576</v>
      </c>
      <c r="G112" s="5">
        <v>469019.39600000001</v>
      </c>
      <c r="H112" s="5">
        <v>534162.53799999994</v>
      </c>
      <c r="I112" s="5">
        <v>456252.79800000001</v>
      </c>
      <c r="J112" s="5">
        <v>423431.89399999997</v>
      </c>
      <c r="K112" s="5">
        <v>404981.66600000003</v>
      </c>
      <c r="L112" s="4">
        <v>363259.71100000001</v>
      </c>
      <c r="M112" s="5">
        <v>427304.97200000001</v>
      </c>
      <c r="N112" s="5">
        <v>455483.77399999998</v>
      </c>
      <c r="O112" s="5">
        <v>475716.22499999998</v>
      </c>
      <c r="P112" s="5">
        <v>469146.43599999999</v>
      </c>
      <c r="Q112" s="5">
        <v>534678.97199999995</v>
      </c>
      <c r="R112" s="5">
        <v>467300.565</v>
      </c>
      <c r="S112" s="5">
        <v>436359.13099999999</v>
      </c>
      <c r="T112" s="5">
        <v>409045.35700000002</v>
      </c>
    </row>
    <row r="113" spans="1:20" x14ac:dyDescent="0.25">
      <c r="A113" s="3" t="s">
        <v>172</v>
      </c>
      <c r="B113" t="s">
        <v>192</v>
      </c>
      <c r="C113" s="4">
        <v>354434.30099999998</v>
      </c>
      <c r="D113" s="5">
        <v>334073.24200000003</v>
      </c>
      <c r="E113" s="5">
        <v>353544.41600000003</v>
      </c>
      <c r="F113" s="5">
        <v>290338.01400000002</v>
      </c>
      <c r="G113" s="5">
        <v>318113.30499999999</v>
      </c>
      <c r="H113" s="5">
        <v>307508</v>
      </c>
      <c r="I113" s="5">
        <v>236626.15299999999</v>
      </c>
      <c r="J113" s="5">
        <v>424848.16100000002</v>
      </c>
      <c r="K113" s="5">
        <v>445487.212</v>
      </c>
      <c r="L113" s="4">
        <v>355276.05</v>
      </c>
      <c r="M113" s="5">
        <v>334492.46000000002</v>
      </c>
      <c r="N113" s="5">
        <v>353831.88299999997</v>
      </c>
      <c r="O113" s="5">
        <v>290861.84600000002</v>
      </c>
      <c r="P113" s="5">
        <v>318442.33299999998</v>
      </c>
      <c r="Q113" s="5">
        <v>308018.897</v>
      </c>
      <c r="R113" s="5">
        <v>237297.06899999999</v>
      </c>
      <c r="S113" s="5">
        <v>425080.51899999997</v>
      </c>
      <c r="T113" s="5">
        <v>449537.31099999999</v>
      </c>
    </row>
    <row r="114" spans="1:20" x14ac:dyDescent="0.25">
      <c r="A114" s="3" t="s">
        <v>172</v>
      </c>
      <c r="B114" t="s">
        <v>187</v>
      </c>
      <c r="C114" s="4">
        <v>334333.40899999999</v>
      </c>
      <c r="D114" s="5">
        <v>313834.97499999998</v>
      </c>
      <c r="E114" s="5">
        <v>317614.83600000001</v>
      </c>
      <c r="F114" s="5">
        <v>364319.01899999997</v>
      </c>
      <c r="G114" s="5">
        <v>383021.75</v>
      </c>
      <c r="H114" s="5">
        <v>441717.495</v>
      </c>
      <c r="I114" s="5">
        <v>418634.54599999997</v>
      </c>
      <c r="J114" s="5">
        <v>357733.21</v>
      </c>
      <c r="K114" s="5">
        <v>296606.42599999998</v>
      </c>
      <c r="L114" s="4">
        <v>334411.98700000002</v>
      </c>
      <c r="M114" s="5">
        <v>313856.91200000001</v>
      </c>
      <c r="N114" s="5">
        <v>317808.76400000002</v>
      </c>
      <c r="O114" s="5">
        <v>364337.565</v>
      </c>
      <c r="P114" s="5">
        <v>383033.29599999997</v>
      </c>
      <c r="Q114" s="5">
        <v>441731.40299999999</v>
      </c>
      <c r="R114" s="5">
        <v>418644.848</v>
      </c>
      <c r="S114" s="5">
        <v>357857.05900000001</v>
      </c>
      <c r="T114" s="5">
        <v>296669.59600000002</v>
      </c>
    </row>
    <row r="115" spans="1:20" x14ac:dyDescent="0.25">
      <c r="A115" s="3" t="s">
        <v>172</v>
      </c>
      <c r="B115" t="s">
        <v>189</v>
      </c>
      <c r="C115" s="4">
        <v>324324.81199999998</v>
      </c>
      <c r="D115" s="5">
        <v>346217.26</v>
      </c>
      <c r="E115" s="5">
        <v>433769.08799999999</v>
      </c>
      <c r="F115" s="5">
        <v>505955.77399999998</v>
      </c>
      <c r="G115" s="5">
        <v>492139.37199999997</v>
      </c>
      <c r="H115" s="5">
        <v>464830.78200000001</v>
      </c>
      <c r="I115" s="5">
        <v>464013.26299999998</v>
      </c>
      <c r="J115" s="5">
        <v>426881.359</v>
      </c>
      <c r="K115" s="5">
        <v>403574.973</v>
      </c>
      <c r="L115" s="4">
        <v>324329.65999999997</v>
      </c>
      <c r="M115" s="5">
        <v>346217.72700000001</v>
      </c>
      <c r="N115" s="5">
        <v>433782.77</v>
      </c>
      <c r="O115" s="5">
        <v>506048.12</v>
      </c>
      <c r="P115" s="5">
        <v>492213.3</v>
      </c>
      <c r="Q115" s="5">
        <v>465728.641</v>
      </c>
      <c r="R115" s="5">
        <v>464069.61599999998</v>
      </c>
      <c r="S115" s="5">
        <v>426979.47200000001</v>
      </c>
      <c r="T115" s="5">
        <v>406992.71899999998</v>
      </c>
    </row>
    <row r="116" spans="1:20" x14ac:dyDescent="0.25">
      <c r="A116" s="3" t="s">
        <v>172</v>
      </c>
      <c r="B116" t="s">
        <v>186</v>
      </c>
      <c r="C116" s="4">
        <v>186229.94</v>
      </c>
      <c r="D116" s="5">
        <v>185063.69200000001</v>
      </c>
      <c r="E116" s="5">
        <v>221120.122</v>
      </c>
      <c r="F116" s="5">
        <v>245229.196</v>
      </c>
      <c r="G116" s="5">
        <v>293943.52399999998</v>
      </c>
      <c r="H116" s="5">
        <v>283801.92700000003</v>
      </c>
      <c r="I116" s="5">
        <v>316227.34899999999</v>
      </c>
      <c r="J116" s="5">
        <v>384780.64600000001</v>
      </c>
      <c r="K116" s="5">
        <v>436256.72</v>
      </c>
      <c r="L116" s="4">
        <v>186543.71400000001</v>
      </c>
      <c r="M116" s="5">
        <v>185165.87400000001</v>
      </c>
      <c r="N116" s="5">
        <v>221364.77600000001</v>
      </c>
      <c r="O116" s="5">
        <v>246072.63399999999</v>
      </c>
      <c r="P116" s="5">
        <v>294053.09499999997</v>
      </c>
      <c r="Q116" s="5">
        <v>283981.22700000001</v>
      </c>
      <c r="R116" s="5">
        <v>316395.90999999997</v>
      </c>
      <c r="S116" s="5">
        <v>385058.53100000002</v>
      </c>
      <c r="T116" s="5">
        <v>436448.29</v>
      </c>
    </row>
    <row r="117" spans="1:20" x14ac:dyDescent="0.25">
      <c r="A117" s="3" t="s">
        <v>172</v>
      </c>
      <c r="B117" t="s">
        <v>194</v>
      </c>
      <c r="C117" s="4">
        <v>165284.69500000001</v>
      </c>
      <c r="D117" s="5">
        <v>172182.52799999999</v>
      </c>
      <c r="E117" s="5">
        <v>228965.033</v>
      </c>
      <c r="F117" s="5">
        <v>249523.52900000001</v>
      </c>
      <c r="G117" s="5">
        <v>191777.04699999999</v>
      </c>
      <c r="H117" s="5">
        <v>164245.18599999999</v>
      </c>
      <c r="I117" s="5">
        <v>179695.16</v>
      </c>
      <c r="J117" s="5">
        <v>271804.69099999999</v>
      </c>
      <c r="K117" s="5">
        <v>233388.45699999999</v>
      </c>
      <c r="L117" s="4">
        <v>165893.75399999999</v>
      </c>
      <c r="M117" s="5">
        <v>172214.717</v>
      </c>
      <c r="N117" s="5">
        <v>231005.264</v>
      </c>
      <c r="O117" s="5">
        <v>249880.473</v>
      </c>
      <c r="P117" s="5">
        <v>192158.503</v>
      </c>
      <c r="Q117" s="5">
        <v>164309.09599999999</v>
      </c>
      <c r="R117" s="5">
        <v>179716.23699999999</v>
      </c>
      <c r="S117" s="5">
        <v>272418.19400000002</v>
      </c>
      <c r="T117" s="5">
        <v>233897.61</v>
      </c>
    </row>
    <row r="118" spans="1:20" x14ac:dyDescent="0.25">
      <c r="A118" s="3" t="s">
        <v>172</v>
      </c>
      <c r="B118" t="s">
        <v>191</v>
      </c>
      <c r="C118" s="4">
        <v>137576.06700000001</v>
      </c>
      <c r="D118" s="5">
        <v>141920.29199999999</v>
      </c>
      <c r="E118" s="5">
        <v>184929.96900000001</v>
      </c>
      <c r="F118" s="5">
        <v>167030.962</v>
      </c>
      <c r="G118" s="5">
        <v>167470.97399999999</v>
      </c>
      <c r="H118" s="5">
        <v>182954.54300000001</v>
      </c>
      <c r="I118" s="5">
        <v>233756.68299999999</v>
      </c>
      <c r="J118" s="5">
        <v>261019.37700000001</v>
      </c>
      <c r="K118" s="5">
        <v>283134.67700000003</v>
      </c>
      <c r="L118" s="4">
        <v>137576.98499999999</v>
      </c>
      <c r="M118" s="5">
        <v>141935.64799999999</v>
      </c>
      <c r="N118" s="5">
        <v>184994.19500000001</v>
      </c>
      <c r="O118" s="5">
        <v>168463.31899999999</v>
      </c>
      <c r="P118" s="5">
        <v>167738.408</v>
      </c>
      <c r="Q118" s="5">
        <v>183775.516</v>
      </c>
      <c r="R118" s="5">
        <v>239997.14300000001</v>
      </c>
      <c r="S118" s="5">
        <v>276514.674</v>
      </c>
      <c r="T118" s="5">
        <v>285663.36900000001</v>
      </c>
    </row>
    <row r="119" spans="1:20" x14ac:dyDescent="0.25">
      <c r="A119" s="3" t="s">
        <v>172</v>
      </c>
      <c r="B119" t="s">
        <v>190</v>
      </c>
      <c r="C119" s="4">
        <v>106796.299</v>
      </c>
      <c r="D119" s="5">
        <v>118475.893</v>
      </c>
      <c r="E119" s="5">
        <v>137219.08499999999</v>
      </c>
      <c r="F119" s="5">
        <v>192926.20199999999</v>
      </c>
      <c r="G119" s="5">
        <v>120781.211</v>
      </c>
      <c r="H119" s="5">
        <v>134062.65700000001</v>
      </c>
      <c r="I119" s="5">
        <v>158666.89300000001</v>
      </c>
      <c r="J119" s="5">
        <v>151419.64799999999</v>
      </c>
      <c r="K119" s="5">
        <v>128818.318</v>
      </c>
      <c r="L119" s="4">
        <v>106837.012</v>
      </c>
      <c r="M119" s="5">
        <v>118486.689</v>
      </c>
      <c r="N119" s="5">
        <v>137272.96599999999</v>
      </c>
      <c r="O119" s="5">
        <v>193768.81</v>
      </c>
      <c r="P119" s="5">
        <v>120791.099</v>
      </c>
      <c r="Q119" s="5">
        <v>134123.943</v>
      </c>
      <c r="R119" s="5">
        <v>158725.09400000001</v>
      </c>
      <c r="S119" s="5">
        <v>155242.981</v>
      </c>
      <c r="T119" s="5">
        <v>128893.743</v>
      </c>
    </row>
    <row r="120" spans="1:20" x14ac:dyDescent="0.25">
      <c r="A120" s="3" t="s">
        <v>172</v>
      </c>
      <c r="B120" t="s">
        <v>193</v>
      </c>
      <c r="C120" s="4">
        <v>59288.892999999996</v>
      </c>
      <c r="D120" s="5">
        <v>65059.641000000003</v>
      </c>
      <c r="E120" s="5">
        <v>72113.764999999999</v>
      </c>
      <c r="F120" s="5">
        <v>76044.188999999998</v>
      </c>
      <c r="G120" s="5">
        <v>79999.812999999995</v>
      </c>
      <c r="H120" s="5">
        <v>89467.429000000004</v>
      </c>
      <c r="I120" s="5">
        <v>121334.321</v>
      </c>
      <c r="J120" s="5">
        <v>116035.556</v>
      </c>
      <c r="K120" s="5">
        <v>131812.76300000001</v>
      </c>
      <c r="L120" s="4">
        <v>59289.034</v>
      </c>
      <c r="M120" s="5">
        <v>65059.641000000003</v>
      </c>
      <c r="N120" s="5">
        <v>72113.764999999999</v>
      </c>
      <c r="O120" s="5">
        <v>76058.426999999996</v>
      </c>
      <c r="P120" s="5">
        <v>80005.232999999993</v>
      </c>
      <c r="Q120" s="5">
        <v>89513.790999999997</v>
      </c>
      <c r="R120" s="5">
        <v>121718.486</v>
      </c>
      <c r="S120" s="5">
        <v>116156.633</v>
      </c>
      <c r="T120" s="5">
        <v>132001.97200000001</v>
      </c>
    </row>
    <row r="121" spans="1:20" x14ac:dyDescent="0.25">
      <c r="A121" s="3" t="s">
        <v>172</v>
      </c>
      <c r="B121" t="s">
        <v>195</v>
      </c>
      <c r="C121" s="4">
        <v>51215.163999999997</v>
      </c>
      <c r="D121" s="5">
        <v>58685.476999999999</v>
      </c>
      <c r="E121" s="5">
        <v>68918.241999999998</v>
      </c>
      <c r="F121" s="5">
        <v>74244.55</v>
      </c>
      <c r="G121" s="5">
        <v>68439.61</v>
      </c>
      <c r="H121" s="5">
        <v>69470.394</v>
      </c>
      <c r="I121" s="5">
        <v>61907.048000000003</v>
      </c>
      <c r="J121" s="5">
        <v>70058.657000000007</v>
      </c>
      <c r="K121" s="5">
        <v>74049.554000000004</v>
      </c>
      <c r="L121" s="4">
        <v>51215.173999999999</v>
      </c>
      <c r="M121" s="5">
        <v>58685.476999999999</v>
      </c>
      <c r="N121" s="5">
        <v>69318.548999999999</v>
      </c>
      <c r="O121" s="5">
        <v>74357.229000000007</v>
      </c>
      <c r="P121" s="5">
        <v>68455.743000000002</v>
      </c>
      <c r="Q121" s="5">
        <v>69496.407999999996</v>
      </c>
      <c r="R121" s="5">
        <v>61953.906999999999</v>
      </c>
      <c r="S121" s="5">
        <v>70060.423999999999</v>
      </c>
      <c r="T121" s="5">
        <v>74056.953999999998</v>
      </c>
    </row>
    <row r="122" spans="1:20" x14ac:dyDescent="0.25">
      <c r="A122" s="3" t="s">
        <v>172</v>
      </c>
      <c r="B122" t="s">
        <v>199</v>
      </c>
      <c r="C122" s="4">
        <v>51130.644999999997</v>
      </c>
      <c r="D122" s="5">
        <v>50562.366999999998</v>
      </c>
      <c r="E122" s="5">
        <v>54630.313000000002</v>
      </c>
      <c r="F122" s="5">
        <v>43827.46</v>
      </c>
      <c r="G122" s="5">
        <v>40004.004000000001</v>
      </c>
      <c r="H122" s="5">
        <v>40391.093000000001</v>
      </c>
      <c r="I122" s="5">
        <v>44683.724000000002</v>
      </c>
      <c r="J122" s="5">
        <v>49132.074999999997</v>
      </c>
      <c r="K122" s="5">
        <v>52482.932000000001</v>
      </c>
      <c r="L122" s="4">
        <v>101704.057</v>
      </c>
      <c r="M122" s="5">
        <v>206167.424</v>
      </c>
      <c r="N122" s="5">
        <v>98114.417000000001</v>
      </c>
      <c r="O122" s="5">
        <v>60387.451999999997</v>
      </c>
      <c r="P122" s="5">
        <v>43214.535000000003</v>
      </c>
      <c r="Q122" s="5">
        <v>45221.254000000001</v>
      </c>
      <c r="R122" s="5">
        <v>47084.254999999997</v>
      </c>
      <c r="S122" s="5">
        <v>68246.990999999995</v>
      </c>
      <c r="T122" s="5">
        <v>79699.225999999995</v>
      </c>
    </row>
    <row r="123" spans="1:20" x14ac:dyDescent="0.25">
      <c r="A123" s="3" t="s">
        <v>172</v>
      </c>
      <c r="B123" t="s">
        <v>188</v>
      </c>
      <c r="C123" s="4">
        <v>41886.03</v>
      </c>
      <c r="D123" s="5">
        <v>56180.243999999999</v>
      </c>
      <c r="E123" s="5">
        <v>61588.292999999998</v>
      </c>
      <c r="F123" s="5">
        <v>60692.175000000003</v>
      </c>
      <c r="G123" s="5">
        <v>55204.178999999996</v>
      </c>
      <c r="H123" s="5">
        <v>49492.120999999999</v>
      </c>
      <c r="I123" s="5">
        <v>92706.403000000006</v>
      </c>
      <c r="J123" s="5">
        <v>70930.702000000005</v>
      </c>
      <c r="K123" s="5">
        <v>54378.006999999998</v>
      </c>
      <c r="L123" s="4">
        <v>42634.726999999999</v>
      </c>
      <c r="M123" s="5">
        <v>60832.158000000003</v>
      </c>
      <c r="N123" s="5">
        <v>61828.232000000004</v>
      </c>
      <c r="O123" s="5">
        <v>60734.637999999999</v>
      </c>
      <c r="P123" s="5">
        <v>55255.853999999999</v>
      </c>
      <c r="Q123" s="5">
        <v>49566.375</v>
      </c>
      <c r="R123" s="5">
        <v>93004.714999999997</v>
      </c>
      <c r="S123" s="5">
        <v>70962.008000000002</v>
      </c>
      <c r="T123" s="5">
        <v>55366.542999999998</v>
      </c>
    </row>
    <row r="124" spans="1:20" x14ac:dyDescent="0.25">
      <c r="A124" s="3" t="s">
        <v>172</v>
      </c>
      <c r="B124" t="s">
        <v>200</v>
      </c>
      <c r="C124" s="4">
        <v>27626.955999999998</v>
      </c>
      <c r="D124" s="5">
        <v>29566.132000000001</v>
      </c>
      <c r="E124" s="5">
        <v>31224.79</v>
      </c>
      <c r="F124" s="5">
        <v>33401.845000000001</v>
      </c>
      <c r="G124" s="5">
        <v>38916.586000000003</v>
      </c>
      <c r="H124" s="5">
        <v>41470.209000000003</v>
      </c>
      <c r="I124" s="5">
        <v>57895.006999999998</v>
      </c>
      <c r="J124" s="5">
        <v>65410.86</v>
      </c>
      <c r="K124" s="5">
        <v>72666.650999999998</v>
      </c>
      <c r="L124" s="4">
        <v>27626.955999999998</v>
      </c>
      <c r="M124" s="5">
        <v>29579.831999999999</v>
      </c>
      <c r="N124" s="5">
        <v>31230.326000000001</v>
      </c>
      <c r="O124" s="5">
        <v>33474.622000000003</v>
      </c>
      <c r="P124" s="5">
        <v>38916.71</v>
      </c>
      <c r="Q124" s="5">
        <v>41499.038</v>
      </c>
      <c r="R124" s="5">
        <v>57926.277000000002</v>
      </c>
      <c r="S124" s="5">
        <v>65538.312999999995</v>
      </c>
      <c r="T124" s="5">
        <v>72727.58</v>
      </c>
    </row>
    <row r="125" spans="1:20" x14ac:dyDescent="0.25">
      <c r="A125" s="3" t="s">
        <v>172</v>
      </c>
      <c r="B125" t="s">
        <v>197</v>
      </c>
      <c r="C125" s="4">
        <v>21379.292000000001</v>
      </c>
      <c r="D125" s="5">
        <v>22793.149000000001</v>
      </c>
      <c r="E125" s="5">
        <v>25059.081999999999</v>
      </c>
      <c r="F125" s="5">
        <v>24686.166000000001</v>
      </c>
      <c r="G125" s="5">
        <v>30524.775000000001</v>
      </c>
      <c r="H125" s="5">
        <v>37170.940999999999</v>
      </c>
      <c r="I125" s="5">
        <v>40926.879000000001</v>
      </c>
      <c r="J125" s="5">
        <v>38304.220999999998</v>
      </c>
      <c r="K125" s="5">
        <v>38434.154000000002</v>
      </c>
      <c r="L125" s="4">
        <v>22082.57</v>
      </c>
      <c r="M125" s="5">
        <v>25186.262999999999</v>
      </c>
      <c r="N125" s="5">
        <v>25588.273000000001</v>
      </c>
      <c r="O125" s="5">
        <v>25377.941999999999</v>
      </c>
      <c r="P125" s="5">
        <v>33205.947999999997</v>
      </c>
      <c r="Q125" s="5">
        <v>38225.588000000003</v>
      </c>
      <c r="R125" s="5">
        <v>48224.498</v>
      </c>
      <c r="S125" s="5">
        <v>43999.114000000001</v>
      </c>
      <c r="T125" s="5">
        <v>45075.665999999997</v>
      </c>
    </row>
    <row r="126" spans="1:20" x14ac:dyDescent="0.25">
      <c r="A126" s="3" t="s">
        <v>172</v>
      </c>
      <c r="B126" t="s">
        <v>198</v>
      </c>
      <c r="C126" s="4">
        <v>19959.608</v>
      </c>
      <c r="D126" s="5">
        <v>25283.788</v>
      </c>
      <c r="E126" s="5">
        <v>27553.45</v>
      </c>
      <c r="F126" s="5">
        <v>24145.441999999999</v>
      </c>
      <c r="G126" s="5">
        <v>24052.55</v>
      </c>
      <c r="H126" s="5">
        <v>26448.573</v>
      </c>
      <c r="I126" s="5">
        <v>29244.303</v>
      </c>
      <c r="J126" s="5">
        <v>29568.692999999999</v>
      </c>
      <c r="K126" s="5">
        <v>32954.622000000003</v>
      </c>
      <c r="L126" s="4">
        <v>19982.876</v>
      </c>
      <c r="M126" s="5">
        <v>25290.992999999999</v>
      </c>
      <c r="N126" s="5">
        <v>27553.521000000001</v>
      </c>
      <c r="O126" s="5">
        <v>24204.307000000001</v>
      </c>
      <c r="P126" s="5">
        <v>24058.294000000002</v>
      </c>
      <c r="Q126" s="5">
        <v>26452.585999999999</v>
      </c>
      <c r="R126" s="5">
        <v>30043.581999999999</v>
      </c>
      <c r="S126" s="5">
        <v>30374.712</v>
      </c>
      <c r="T126" s="5">
        <v>33567.273000000001</v>
      </c>
    </row>
    <row r="127" spans="1:20" x14ac:dyDescent="0.25">
      <c r="A127" s="3" t="s">
        <v>172</v>
      </c>
      <c r="B127" t="s">
        <v>185</v>
      </c>
      <c r="C127" s="4">
        <v>19319.332999999999</v>
      </c>
      <c r="D127" s="5">
        <v>32954.661</v>
      </c>
      <c r="E127" s="5">
        <v>48036.286999999997</v>
      </c>
      <c r="F127" s="5">
        <v>46597</v>
      </c>
      <c r="G127" s="5">
        <v>37579.425999999999</v>
      </c>
      <c r="H127" s="5">
        <v>56922.038999999997</v>
      </c>
      <c r="I127" s="5">
        <v>38852.762999999999</v>
      </c>
      <c r="J127" s="5">
        <v>12694.291999999999</v>
      </c>
      <c r="K127" s="5">
        <v>6790.05</v>
      </c>
      <c r="L127" s="4">
        <v>672438.53599999996</v>
      </c>
      <c r="M127" s="5">
        <v>487847.83500000002</v>
      </c>
      <c r="N127" s="5">
        <v>111393.742</v>
      </c>
      <c r="O127" s="5">
        <v>91598.047000000006</v>
      </c>
      <c r="P127" s="5">
        <v>106555.126</v>
      </c>
      <c r="Q127" s="5">
        <v>357197.40700000001</v>
      </c>
      <c r="R127" s="5">
        <v>2553958.139</v>
      </c>
      <c r="S127" s="5">
        <v>905376.60600000003</v>
      </c>
      <c r="T127" s="5">
        <v>402670.80599999998</v>
      </c>
    </row>
    <row r="128" spans="1:20" x14ac:dyDescent="0.25">
      <c r="A128" s="3" t="s">
        <v>172</v>
      </c>
      <c r="B128" t="s">
        <v>204</v>
      </c>
      <c r="C128" s="4">
        <v>17377.503000000001</v>
      </c>
      <c r="D128" s="5">
        <v>12511.661</v>
      </c>
      <c r="E128" s="5">
        <v>17758.36</v>
      </c>
      <c r="F128" s="5">
        <v>18107.774000000001</v>
      </c>
      <c r="G128" s="5">
        <v>21390.034</v>
      </c>
      <c r="H128" s="5">
        <v>19894.685000000001</v>
      </c>
      <c r="I128" s="5">
        <v>24067.098999999998</v>
      </c>
      <c r="J128" s="5">
        <v>23736.054</v>
      </c>
      <c r="K128" s="5">
        <v>23678.294999999998</v>
      </c>
      <c r="L128" s="4">
        <v>18983.231</v>
      </c>
      <c r="M128" s="5">
        <v>12781.552</v>
      </c>
      <c r="N128" s="5">
        <v>17804.55</v>
      </c>
      <c r="O128" s="5">
        <v>18621.763999999999</v>
      </c>
      <c r="P128" s="5">
        <v>21509.844000000001</v>
      </c>
      <c r="Q128" s="5">
        <v>19975.870999999999</v>
      </c>
      <c r="R128" s="5">
        <v>24226.394</v>
      </c>
      <c r="S128" s="5">
        <v>23736.754000000001</v>
      </c>
      <c r="T128" s="5">
        <v>23688.294999999998</v>
      </c>
    </row>
    <row r="129" spans="1:20" x14ac:dyDescent="0.25">
      <c r="A129" s="3" t="s">
        <v>172</v>
      </c>
      <c r="B129" t="s">
        <v>210</v>
      </c>
      <c r="C129" s="4">
        <v>15708.736999999999</v>
      </c>
      <c r="D129" s="5">
        <v>15321.272999999999</v>
      </c>
      <c r="E129" s="5">
        <v>16457.838</v>
      </c>
      <c r="F129" s="5">
        <v>15455.475</v>
      </c>
      <c r="G129" s="5">
        <v>15121.501</v>
      </c>
      <c r="H129" s="5">
        <v>16181.232</v>
      </c>
      <c r="I129" s="5">
        <v>15254.334999999999</v>
      </c>
      <c r="J129" s="5">
        <v>16573.809000000001</v>
      </c>
      <c r="K129" s="5">
        <v>15954.53</v>
      </c>
      <c r="L129" s="4">
        <v>15708.736999999999</v>
      </c>
      <c r="M129" s="5">
        <v>15321.272999999999</v>
      </c>
      <c r="N129" s="5">
        <v>16457.838</v>
      </c>
      <c r="O129" s="5">
        <v>15455.475</v>
      </c>
      <c r="P129" s="5">
        <v>15121.501</v>
      </c>
      <c r="Q129" s="5">
        <v>16187.635</v>
      </c>
      <c r="R129" s="5">
        <v>15257.625</v>
      </c>
      <c r="S129" s="5">
        <v>16588.011999999999</v>
      </c>
      <c r="T129" s="5">
        <v>15954.53</v>
      </c>
    </row>
    <row r="130" spans="1:20" x14ac:dyDescent="0.25">
      <c r="A130" s="3" t="s">
        <v>172</v>
      </c>
      <c r="B130" t="s">
        <v>203</v>
      </c>
      <c r="C130" s="4">
        <v>15615.585999999999</v>
      </c>
      <c r="D130" s="5">
        <v>16287.503000000001</v>
      </c>
      <c r="E130" s="5">
        <v>16086.295</v>
      </c>
      <c r="F130" s="5">
        <v>18884.96</v>
      </c>
      <c r="G130" s="5">
        <v>26201.868999999999</v>
      </c>
      <c r="H130" s="5">
        <v>34972.1</v>
      </c>
      <c r="I130" s="5">
        <v>40297.771000000001</v>
      </c>
      <c r="J130" s="5">
        <v>43346.928999999996</v>
      </c>
      <c r="K130" s="5">
        <v>44378.154000000002</v>
      </c>
      <c r="L130" s="4">
        <v>15695.293</v>
      </c>
      <c r="M130" s="5">
        <v>16288.233</v>
      </c>
      <c r="N130" s="5">
        <v>16086.295</v>
      </c>
      <c r="O130" s="5">
        <v>18890.838</v>
      </c>
      <c r="P130" s="5">
        <v>26202.165000000001</v>
      </c>
      <c r="Q130" s="5">
        <v>34972.957000000002</v>
      </c>
      <c r="R130" s="5">
        <v>40302.178999999996</v>
      </c>
      <c r="S130" s="5">
        <v>43358.563999999998</v>
      </c>
      <c r="T130" s="5">
        <v>44391.004999999997</v>
      </c>
    </row>
    <row r="131" spans="1:20" x14ac:dyDescent="0.25">
      <c r="A131" s="3" t="s">
        <v>172</v>
      </c>
      <c r="B131" t="s">
        <v>196</v>
      </c>
      <c r="C131" s="4">
        <v>13928.162</v>
      </c>
      <c r="D131" s="5">
        <v>14050.325000000001</v>
      </c>
      <c r="E131" s="5">
        <v>20571.257000000001</v>
      </c>
      <c r="F131" s="5">
        <v>24445.364000000001</v>
      </c>
      <c r="G131" s="5">
        <v>21444.94</v>
      </c>
      <c r="H131" s="5">
        <v>31117.776000000002</v>
      </c>
      <c r="I131" s="5">
        <v>19024.694</v>
      </c>
      <c r="J131" s="5">
        <v>15540.26</v>
      </c>
      <c r="K131" s="5">
        <v>15118.380999999999</v>
      </c>
      <c r="L131" s="4">
        <v>13928.59</v>
      </c>
      <c r="M131" s="5">
        <v>16602.939999999999</v>
      </c>
      <c r="N131" s="5">
        <v>20572.510999999999</v>
      </c>
      <c r="O131" s="5">
        <v>24568.675999999999</v>
      </c>
      <c r="P131" s="5">
        <v>21452.121999999999</v>
      </c>
      <c r="Q131" s="5">
        <v>31204.987000000001</v>
      </c>
      <c r="R131" s="5">
        <v>19274.93</v>
      </c>
      <c r="S131" s="5">
        <v>17230.027999999998</v>
      </c>
      <c r="T131" s="5">
        <v>15280.932000000001</v>
      </c>
    </row>
    <row r="132" spans="1:20" x14ac:dyDescent="0.25">
      <c r="A132" s="3" t="s">
        <v>172</v>
      </c>
      <c r="B132" t="s">
        <v>206</v>
      </c>
      <c r="C132" s="4">
        <v>13024.406000000001</v>
      </c>
      <c r="D132" s="5">
        <v>14357.852999999999</v>
      </c>
      <c r="E132" s="5">
        <v>13694.92</v>
      </c>
      <c r="F132" s="5">
        <v>14321.242</v>
      </c>
      <c r="G132" s="5">
        <v>15221.46</v>
      </c>
      <c r="H132" s="5">
        <v>18717.289000000001</v>
      </c>
      <c r="I132" s="5">
        <v>18189.87</v>
      </c>
      <c r="J132" s="5">
        <v>18071.125</v>
      </c>
      <c r="K132" s="5">
        <v>19048.712</v>
      </c>
      <c r="L132" s="4">
        <v>13024.406000000001</v>
      </c>
      <c r="M132" s="5">
        <v>14357.852999999999</v>
      </c>
      <c r="N132" s="5">
        <v>13694.92</v>
      </c>
      <c r="O132" s="5">
        <v>14321.242</v>
      </c>
      <c r="P132" s="5">
        <v>15221.46</v>
      </c>
      <c r="Q132" s="5">
        <v>18717.289000000001</v>
      </c>
      <c r="R132" s="5">
        <v>18190.691999999999</v>
      </c>
      <c r="S132" s="5">
        <v>18071.125</v>
      </c>
      <c r="T132" s="5">
        <v>19048.712</v>
      </c>
    </row>
    <row r="133" spans="1:20" x14ac:dyDescent="0.25">
      <c r="A133" s="3" t="s">
        <v>172</v>
      </c>
      <c r="B133" t="s">
        <v>201</v>
      </c>
      <c r="C133" s="4">
        <v>11232.157999999999</v>
      </c>
      <c r="D133" s="5">
        <v>14121.637000000001</v>
      </c>
      <c r="E133" s="5">
        <v>10929.835999999999</v>
      </c>
      <c r="F133" s="5">
        <v>11570.665000000001</v>
      </c>
      <c r="G133" s="5">
        <v>11587.62</v>
      </c>
      <c r="H133" s="5">
        <v>15547.975</v>
      </c>
      <c r="I133" s="5">
        <v>18145.614000000001</v>
      </c>
      <c r="J133" s="5">
        <v>23290.12</v>
      </c>
      <c r="K133" s="5">
        <v>29426.330999999998</v>
      </c>
      <c r="L133" s="4">
        <v>11255.966</v>
      </c>
      <c r="M133" s="5">
        <v>14121.637000000001</v>
      </c>
      <c r="N133" s="5">
        <v>10929.835999999999</v>
      </c>
      <c r="O133" s="5">
        <v>11577.388000000001</v>
      </c>
      <c r="P133" s="5">
        <v>11607.54</v>
      </c>
      <c r="Q133" s="5">
        <v>15548.987999999999</v>
      </c>
      <c r="R133" s="5">
        <v>18152.556</v>
      </c>
      <c r="S133" s="5">
        <v>23290.12</v>
      </c>
      <c r="T133" s="5">
        <v>29663.903999999999</v>
      </c>
    </row>
    <row r="134" spans="1:20" x14ac:dyDescent="0.25">
      <c r="A134" s="3" t="s">
        <v>172</v>
      </c>
      <c r="B134" t="s">
        <v>207</v>
      </c>
      <c r="C134" s="4">
        <v>5156.442</v>
      </c>
      <c r="D134" s="5">
        <v>1867.0239999999999</v>
      </c>
      <c r="E134" s="5">
        <v>3722.9</v>
      </c>
      <c r="F134" s="5">
        <v>1708.2629999999999</v>
      </c>
      <c r="G134" s="5">
        <v>1428.269</v>
      </c>
      <c r="H134" s="5">
        <v>1812.749</v>
      </c>
      <c r="I134" s="5">
        <v>10524.795</v>
      </c>
      <c r="J134" s="5">
        <v>2245.377</v>
      </c>
      <c r="K134" s="5">
        <v>1964.6559999999999</v>
      </c>
      <c r="L134" s="4">
        <v>5191.232</v>
      </c>
      <c r="M134" s="5">
        <v>1867.0239999999999</v>
      </c>
      <c r="N134" s="5">
        <v>3722.9</v>
      </c>
      <c r="O134" s="5">
        <v>1708.2629999999999</v>
      </c>
      <c r="P134" s="5">
        <v>1430.922</v>
      </c>
      <c r="Q134" s="5">
        <v>1822.4559999999999</v>
      </c>
      <c r="R134" s="5">
        <v>10525.721</v>
      </c>
      <c r="S134" s="5">
        <v>2586.732</v>
      </c>
      <c r="T134" s="5">
        <v>1967.1559999999999</v>
      </c>
    </row>
    <row r="135" spans="1:20" x14ac:dyDescent="0.25">
      <c r="A135" s="3" t="s">
        <v>172</v>
      </c>
      <c r="B135" t="s">
        <v>211</v>
      </c>
      <c r="C135" s="4">
        <v>2886.59</v>
      </c>
      <c r="D135" s="5">
        <v>3344.29</v>
      </c>
      <c r="E135" s="5">
        <v>3721.9380000000001</v>
      </c>
      <c r="F135" s="5">
        <v>3568.384</v>
      </c>
      <c r="G135" s="5">
        <v>3077.9670000000001</v>
      </c>
      <c r="H135" s="5">
        <v>3397.24</v>
      </c>
      <c r="I135" s="5">
        <v>4302.6890000000003</v>
      </c>
      <c r="J135" s="5">
        <v>5265.0209999999997</v>
      </c>
      <c r="K135" s="5">
        <v>5669.8090000000002</v>
      </c>
      <c r="L135" s="4">
        <v>2886.59</v>
      </c>
      <c r="M135" s="5">
        <v>3351.7570000000001</v>
      </c>
      <c r="N135" s="5">
        <v>3721.9380000000001</v>
      </c>
      <c r="O135" s="5">
        <v>3568.384</v>
      </c>
      <c r="P135" s="5">
        <v>3077.9670000000001</v>
      </c>
      <c r="Q135" s="5">
        <v>3397.24</v>
      </c>
      <c r="R135" s="5">
        <v>4316.3990000000003</v>
      </c>
      <c r="S135" s="5">
        <v>5295.5910000000003</v>
      </c>
      <c r="T135" s="5">
        <v>5673.3850000000002</v>
      </c>
    </row>
    <row r="136" spans="1:20" x14ac:dyDescent="0.25">
      <c r="A136" s="3" t="s">
        <v>172</v>
      </c>
      <c r="B136" t="s">
        <v>213</v>
      </c>
      <c r="C136" s="4">
        <v>2504.1509999999998</v>
      </c>
      <c r="D136" s="5">
        <v>373.911</v>
      </c>
      <c r="E136" s="5">
        <v>630.05999999999995</v>
      </c>
      <c r="F136" s="5">
        <v>437.69799999999998</v>
      </c>
      <c r="G136" s="5">
        <v>281.37599999999998</v>
      </c>
      <c r="H136" s="5">
        <v>338.791</v>
      </c>
      <c r="I136" s="5">
        <v>261.42899999999997</v>
      </c>
      <c r="J136" s="5">
        <v>121.745</v>
      </c>
      <c r="K136" s="5">
        <v>501.35300000000001</v>
      </c>
      <c r="L136" s="4">
        <v>2504.1509999999998</v>
      </c>
      <c r="M136" s="5">
        <v>373.911</v>
      </c>
      <c r="N136" s="5">
        <v>630.05999999999995</v>
      </c>
      <c r="O136" s="5">
        <v>437.69799999999998</v>
      </c>
      <c r="P136" s="5">
        <v>281.37599999999998</v>
      </c>
      <c r="Q136" s="5">
        <v>338.791</v>
      </c>
      <c r="R136" s="5">
        <v>261.42899999999997</v>
      </c>
      <c r="S136" s="5">
        <v>122.345</v>
      </c>
      <c r="T136" s="5">
        <v>504.61200000000002</v>
      </c>
    </row>
    <row r="137" spans="1:20" x14ac:dyDescent="0.25">
      <c r="A137" s="3" t="s">
        <v>172</v>
      </c>
      <c r="B137" t="s">
        <v>212</v>
      </c>
      <c r="C137" s="4">
        <v>2333.4920000000002</v>
      </c>
      <c r="D137" s="5">
        <v>2466.558</v>
      </c>
      <c r="E137" s="5">
        <v>3077.1</v>
      </c>
      <c r="F137" s="5">
        <v>2549.721</v>
      </c>
      <c r="G137" s="5">
        <v>2471.0590000000002</v>
      </c>
      <c r="H137" s="5">
        <v>3160.3850000000002</v>
      </c>
      <c r="I137" s="5">
        <v>3992.6480000000001</v>
      </c>
      <c r="J137" s="5">
        <v>2849.6170000000002</v>
      </c>
      <c r="K137" s="5">
        <v>3489.6320000000001</v>
      </c>
      <c r="L137" s="4">
        <v>2333.4920000000002</v>
      </c>
      <c r="M137" s="5">
        <v>2466.558</v>
      </c>
      <c r="N137" s="5">
        <v>3077.1</v>
      </c>
      <c r="O137" s="5">
        <v>2549.721</v>
      </c>
      <c r="P137" s="5">
        <v>2471.0590000000002</v>
      </c>
      <c r="Q137" s="5">
        <v>3160.3850000000002</v>
      </c>
      <c r="R137" s="5">
        <v>3992.848</v>
      </c>
      <c r="S137" s="5">
        <v>2849.6170000000002</v>
      </c>
      <c r="T137" s="5">
        <v>3489.6320000000001</v>
      </c>
    </row>
    <row r="138" spans="1:20" x14ac:dyDescent="0.25">
      <c r="A138" s="3" t="s">
        <v>172</v>
      </c>
      <c r="B138" t="s">
        <v>202</v>
      </c>
      <c r="C138" s="4">
        <v>2281.1959999999999</v>
      </c>
      <c r="D138" s="5">
        <v>2056.7420000000002</v>
      </c>
      <c r="E138" s="5">
        <v>2851.703</v>
      </c>
      <c r="F138" s="5">
        <v>3343.17</v>
      </c>
      <c r="G138" s="5">
        <v>4445.5590000000002</v>
      </c>
      <c r="H138" s="5">
        <v>4040.7260000000001</v>
      </c>
      <c r="I138" s="5">
        <v>3191.3139999999999</v>
      </c>
      <c r="J138" s="5">
        <v>891.12800000000004</v>
      </c>
      <c r="K138" s="5">
        <v>538.22500000000002</v>
      </c>
      <c r="L138" s="4">
        <v>2281.1959999999999</v>
      </c>
      <c r="M138" s="5">
        <v>2056.7420000000002</v>
      </c>
      <c r="N138" s="5">
        <v>2851.703</v>
      </c>
      <c r="O138" s="5">
        <v>3343.17</v>
      </c>
      <c r="P138" s="5">
        <v>4557.7250000000004</v>
      </c>
      <c r="Q138" s="5">
        <v>4042.7260000000001</v>
      </c>
      <c r="R138" s="5">
        <v>3191.3139999999999</v>
      </c>
      <c r="S138" s="5">
        <v>891.12800000000004</v>
      </c>
      <c r="T138" s="5">
        <v>540.125</v>
      </c>
    </row>
    <row r="139" spans="1:20" x14ac:dyDescent="0.25">
      <c r="A139" s="3" t="s">
        <v>172</v>
      </c>
      <c r="B139" t="s">
        <v>208</v>
      </c>
      <c r="C139" s="4">
        <v>1263.9739999999999</v>
      </c>
      <c r="D139" s="5">
        <v>4300.0360000000001</v>
      </c>
      <c r="E139" s="5">
        <v>6037.7</v>
      </c>
      <c r="F139" s="5">
        <v>3789.74</v>
      </c>
      <c r="G139" s="5">
        <v>4703.21</v>
      </c>
      <c r="H139" s="5">
        <v>5237.5820000000003</v>
      </c>
      <c r="I139" s="5">
        <v>5484.42</v>
      </c>
      <c r="J139" s="5">
        <v>9013.4660000000003</v>
      </c>
      <c r="K139" s="5">
        <v>10909.215</v>
      </c>
      <c r="L139" s="4">
        <v>1263.9739999999999</v>
      </c>
      <c r="M139" s="5">
        <v>4300.0529999999999</v>
      </c>
      <c r="N139" s="5">
        <v>6037.7</v>
      </c>
      <c r="O139" s="5">
        <v>3818.7150000000001</v>
      </c>
      <c r="P139" s="5">
        <v>4754.6880000000001</v>
      </c>
      <c r="Q139" s="5">
        <v>5302.8829999999998</v>
      </c>
      <c r="R139" s="5">
        <v>5484.42</v>
      </c>
      <c r="S139" s="5">
        <v>9013.4660000000003</v>
      </c>
      <c r="T139" s="5">
        <v>10909.215</v>
      </c>
    </row>
    <row r="140" spans="1:20" x14ac:dyDescent="0.25">
      <c r="A140" s="3" t="s">
        <v>172</v>
      </c>
      <c r="B140" t="s">
        <v>205</v>
      </c>
      <c r="C140" s="4">
        <v>835.52800000000002</v>
      </c>
      <c r="D140" s="5">
        <v>864.63800000000003</v>
      </c>
      <c r="E140" s="5">
        <v>739.14200000000005</v>
      </c>
      <c r="F140" s="5">
        <v>615.80899999999997</v>
      </c>
      <c r="G140" s="5">
        <v>733.12199999999996</v>
      </c>
      <c r="H140" s="5">
        <v>1235.654</v>
      </c>
      <c r="I140" s="5">
        <v>1667.741</v>
      </c>
      <c r="J140" s="5">
        <v>16767.912</v>
      </c>
      <c r="K140" s="5">
        <v>48836.970999999998</v>
      </c>
      <c r="L140" s="4">
        <v>835.52800000000002</v>
      </c>
      <c r="M140" s="5">
        <v>1029.71</v>
      </c>
      <c r="N140" s="5">
        <v>1244.932</v>
      </c>
      <c r="O140" s="5">
        <v>684.96199999999999</v>
      </c>
      <c r="P140" s="5">
        <v>733.12199999999996</v>
      </c>
      <c r="Q140" s="5">
        <v>1236.193</v>
      </c>
      <c r="R140" s="5">
        <v>1682.0219999999999</v>
      </c>
      <c r="S140" s="5">
        <v>16768.616999999998</v>
      </c>
      <c r="T140" s="5">
        <v>48996.669000000002</v>
      </c>
    </row>
    <row r="141" spans="1:20" x14ac:dyDescent="0.25">
      <c r="A141" s="3" t="s">
        <v>172</v>
      </c>
      <c r="B141" t="s">
        <v>209</v>
      </c>
      <c r="C141" s="4">
        <v>597.84699999999998</v>
      </c>
      <c r="D141" s="5">
        <v>509.62900000000002</v>
      </c>
      <c r="E141" s="5">
        <v>1669.39</v>
      </c>
      <c r="F141" s="5">
        <v>1347.8340000000001</v>
      </c>
      <c r="G141" s="5">
        <v>3072.5709999999999</v>
      </c>
      <c r="H141" s="5">
        <v>1908.2190000000001</v>
      </c>
      <c r="I141" s="5">
        <v>1954.2239999999999</v>
      </c>
      <c r="J141" s="5">
        <v>7449.8890000000001</v>
      </c>
      <c r="K141" s="5">
        <v>3840.913</v>
      </c>
      <c r="L141" s="4">
        <v>1153.114</v>
      </c>
      <c r="M141" s="5">
        <v>509.62900000000002</v>
      </c>
      <c r="N141" s="5">
        <v>3735.9520000000002</v>
      </c>
      <c r="O141" s="5">
        <v>1348.2339999999999</v>
      </c>
      <c r="P141" s="5">
        <v>3073.1210000000001</v>
      </c>
      <c r="Q141" s="5">
        <v>1911.4190000000001</v>
      </c>
      <c r="R141" s="5">
        <v>2035.4549999999999</v>
      </c>
      <c r="S141" s="5">
        <v>7580.2929999999997</v>
      </c>
      <c r="T141" s="5">
        <v>4098.62</v>
      </c>
    </row>
    <row r="142" spans="1:20" x14ac:dyDescent="0.25">
      <c r="A142" s="3" t="s">
        <v>172</v>
      </c>
      <c r="B142" t="s">
        <v>234</v>
      </c>
      <c r="C142" s="4">
        <v>590.19500000000005</v>
      </c>
      <c r="D142" s="5">
        <v>0</v>
      </c>
      <c r="E142" s="5">
        <v>0</v>
      </c>
      <c r="F142" s="5">
        <v>0</v>
      </c>
      <c r="G142" s="5">
        <v>0</v>
      </c>
      <c r="H142" s="5">
        <v>699.21500000000003</v>
      </c>
      <c r="I142" s="5">
        <v>1009.684</v>
      </c>
      <c r="J142" s="5">
        <v>0</v>
      </c>
      <c r="K142" s="5">
        <v>0</v>
      </c>
      <c r="L142" s="4">
        <v>590.19500000000005</v>
      </c>
      <c r="M142" s="5">
        <v>0</v>
      </c>
      <c r="N142" s="5">
        <v>0</v>
      </c>
      <c r="O142" s="5">
        <v>0</v>
      </c>
      <c r="P142" s="5">
        <v>0</v>
      </c>
      <c r="Q142" s="5">
        <v>699.21500000000003</v>
      </c>
      <c r="R142" s="5">
        <v>1009.684</v>
      </c>
      <c r="S142" s="5">
        <v>0</v>
      </c>
      <c r="T142" s="5">
        <v>0</v>
      </c>
    </row>
    <row r="143" spans="1:20" x14ac:dyDescent="0.25">
      <c r="A143" s="3" t="s">
        <v>172</v>
      </c>
      <c r="B143" t="s">
        <v>216</v>
      </c>
      <c r="C143" s="4">
        <v>205.374</v>
      </c>
      <c r="D143" s="5">
        <v>144.48500000000001</v>
      </c>
      <c r="E143" s="5">
        <v>216.41</v>
      </c>
      <c r="F143" s="5">
        <v>149.19200000000001</v>
      </c>
      <c r="G143" s="5">
        <v>111.875</v>
      </c>
      <c r="H143" s="5">
        <v>96.64</v>
      </c>
      <c r="I143" s="5">
        <v>132.36199999999999</v>
      </c>
      <c r="J143" s="5">
        <v>180.79400000000001</v>
      </c>
      <c r="K143" s="5">
        <v>68.078999999999994</v>
      </c>
      <c r="L143" s="4">
        <v>238.26300000000001</v>
      </c>
      <c r="M143" s="5">
        <v>144.48500000000001</v>
      </c>
      <c r="N143" s="5">
        <v>222.66300000000001</v>
      </c>
      <c r="O143" s="5">
        <v>149.19200000000001</v>
      </c>
      <c r="P143" s="5">
        <v>111.875</v>
      </c>
      <c r="Q143" s="5">
        <v>96.64</v>
      </c>
      <c r="R143" s="5">
        <v>171.321</v>
      </c>
      <c r="S143" s="5">
        <v>187.75899999999999</v>
      </c>
      <c r="T143" s="5">
        <v>70.022000000000006</v>
      </c>
    </row>
    <row r="144" spans="1:20" x14ac:dyDescent="0.25">
      <c r="A144" s="3" t="s">
        <v>172</v>
      </c>
      <c r="B144" t="s">
        <v>214</v>
      </c>
      <c r="C144" s="4">
        <v>49.771000000000001</v>
      </c>
      <c r="D144" s="5">
        <v>25.009</v>
      </c>
      <c r="E144" s="5">
        <v>185.28299999999999</v>
      </c>
      <c r="F144" s="5">
        <v>405.89699999999999</v>
      </c>
      <c r="G144" s="5">
        <v>12.590999999999999</v>
      </c>
      <c r="H144" s="5">
        <v>21.895</v>
      </c>
      <c r="I144" s="5">
        <v>217.35400000000001</v>
      </c>
      <c r="J144" s="5">
        <v>21.373000000000001</v>
      </c>
      <c r="K144" s="5">
        <v>105.21</v>
      </c>
      <c r="L144" s="4">
        <v>52.372999999999998</v>
      </c>
      <c r="M144" s="5">
        <v>25.009</v>
      </c>
      <c r="N144" s="5">
        <v>185.28299999999999</v>
      </c>
      <c r="O144" s="5">
        <v>405.89699999999999</v>
      </c>
      <c r="P144" s="5">
        <v>12.590999999999999</v>
      </c>
      <c r="Q144" s="5">
        <v>21.895</v>
      </c>
      <c r="R144" s="5">
        <v>217.35400000000001</v>
      </c>
      <c r="S144" s="5">
        <v>21.373000000000001</v>
      </c>
      <c r="T144" s="5">
        <v>105.21</v>
      </c>
    </row>
    <row r="145" spans="1:20" x14ac:dyDescent="0.25">
      <c r="A145" s="3" t="s">
        <v>172</v>
      </c>
      <c r="B145" t="s">
        <v>215</v>
      </c>
      <c r="C145" s="4">
        <v>4.4630000000000001</v>
      </c>
      <c r="D145" s="5">
        <v>388.61900000000003</v>
      </c>
      <c r="E145" s="5">
        <v>138.05500000000001</v>
      </c>
      <c r="F145" s="5">
        <v>55.027999999999999</v>
      </c>
      <c r="G145" s="5">
        <v>552.37800000000004</v>
      </c>
      <c r="H145" s="5">
        <v>20.72</v>
      </c>
      <c r="I145" s="5">
        <v>113.431</v>
      </c>
      <c r="J145" s="5">
        <v>1388.171</v>
      </c>
      <c r="K145" s="5">
        <v>1490.3409999999999</v>
      </c>
      <c r="L145" s="4">
        <v>4.4630000000000001</v>
      </c>
      <c r="M145" s="5">
        <v>388.61900000000003</v>
      </c>
      <c r="N145" s="5">
        <v>138.05500000000001</v>
      </c>
      <c r="O145" s="5">
        <v>55.027999999999999</v>
      </c>
      <c r="P145" s="5">
        <v>552.37800000000004</v>
      </c>
      <c r="Q145" s="5">
        <v>20.72</v>
      </c>
      <c r="R145" s="5">
        <v>199.46</v>
      </c>
      <c r="S145" s="5">
        <v>1428.617</v>
      </c>
      <c r="T145" s="5">
        <v>1490.3409999999999</v>
      </c>
    </row>
    <row r="146" spans="1:20" x14ac:dyDescent="0.25">
      <c r="A146" s="3" t="s">
        <v>40</v>
      </c>
      <c r="B146" t="s">
        <v>218</v>
      </c>
      <c r="C146" s="4">
        <v>14537.003000000001</v>
      </c>
      <c r="D146" s="5">
        <v>22255.786</v>
      </c>
      <c r="E146" s="5">
        <v>18193.807000000001</v>
      </c>
      <c r="F146" s="5">
        <v>22641.687000000002</v>
      </c>
      <c r="G146" s="5">
        <v>11281.161</v>
      </c>
      <c r="H146" s="5">
        <v>14676.163</v>
      </c>
      <c r="I146" s="5">
        <v>16700.964</v>
      </c>
      <c r="J146" s="5">
        <v>16741.316999999999</v>
      </c>
      <c r="K146" s="5">
        <v>16570.974999999999</v>
      </c>
      <c r="L146" s="4">
        <v>18341.573</v>
      </c>
      <c r="M146" s="5">
        <v>82996.584000000003</v>
      </c>
      <c r="N146" s="5">
        <v>18925.036</v>
      </c>
      <c r="O146" s="5">
        <v>23306.881000000001</v>
      </c>
      <c r="P146" s="5">
        <v>285870.36599999998</v>
      </c>
      <c r="Q146" s="5">
        <v>15815.788</v>
      </c>
      <c r="R146" s="5">
        <v>620405.28599999996</v>
      </c>
      <c r="S146" s="5">
        <v>1752011.4509999999</v>
      </c>
      <c r="T146" s="5">
        <v>2077311.7709999999</v>
      </c>
    </row>
    <row r="147" spans="1:20" x14ac:dyDescent="0.25">
      <c r="A147" s="3" t="s">
        <v>40</v>
      </c>
      <c r="B147" t="s">
        <v>219</v>
      </c>
      <c r="C147" s="4">
        <v>9978.1440000000002</v>
      </c>
      <c r="D147" s="5">
        <v>8626.2960000000003</v>
      </c>
      <c r="E147" s="5">
        <v>11736.759</v>
      </c>
      <c r="F147" s="5">
        <v>9838.7029999999995</v>
      </c>
      <c r="G147" s="5">
        <v>7702.8860000000004</v>
      </c>
      <c r="H147" s="5">
        <v>11350.045</v>
      </c>
      <c r="I147" s="5">
        <v>9293.5409999999993</v>
      </c>
      <c r="J147" s="5">
        <v>7597.5259999999998</v>
      </c>
      <c r="K147" s="5">
        <v>8669.0049999999992</v>
      </c>
      <c r="L147" s="4">
        <v>10063.936</v>
      </c>
      <c r="M147" s="5">
        <v>8962.018</v>
      </c>
      <c r="N147" s="5">
        <v>11839.601000000001</v>
      </c>
      <c r="O147" s="5">
        <v>9883.5319999999992</v>
      </c>
      <c r="P147" s="5">
        <v>7713.6490000000003</v>
      </c>
      <c r="Q147" s="5">
        <v>11352.874</v>
      </c>
      <c r="R147" s="5">
        <v>9320.8619999999992</v>
      </c>
      <c r="S147" s="5">
        <v>7611.3469999999998</v>
      </c>
      <c r="T147" s="5">
        <v>8669.6990000000005</v>
      </c>
    </row>
    <row r="148" spans="1:20" x14ac:dyDescent="0.25">
      <c r="A148" s="3" t="s">
        <v>40</v>
      </c>
      <c r="B148" t="s">
        <v>225</v>
      </c>
      <c r="C148" s="4">
        <v>78.92</v>
      </c>
      <c r="D148" s="5">
        <v>179.95400000000001</v>
      </c>
      <c r="E148" s="5">
        <v>137.72800000000001</v>
      </c>
      <c r="F148" s="5">
        <v>236.017</v>
      </c>
      <c r="G148" s="5">
        <v>38.445999999999998</v>
      </c>
      <c r="H148" s="5">
        <v>68.341999999999999</v>
      </c>
      <c r="I148" s="5">
        <v>945.15099999999995</v>
      </c>
      <c r="J148" s="5">
        <v>115.40300000000001</v>
      </c>
      <c r="K148" s="5">
        <v>33.237000000000002</v>
      </c>
      <c r="L148" s="4">
        <v>78.92</v>
      </c>
      <c r="M148" s="5">
        <v>243.70599999999999</v>
      </c>
      <c r="N148" s="5">
        <v>238.376</v>
      </c>
      <c r="O148" s="5">
        <v>240.16900000000001</v>
      </c>
      <c r="P148" s="5">
        <v>40.511000000000003</v>
      </c>
      <c r="Q148" s="5">
        <v>89.716999999999999</v>
      </c>
      <c r="R148" s="5">
        <v>1002.77</v>
      </c>
      <c r="S148" s="5">
        <v>115.40300000000001</v>
      </c>
      <c r="T148" s="5">
        <v>33.237000000000002</v>
      </c>
    </row>
    <row r="149" spans="1:20" x14ac:dyDescent="0.25">
      <c r="A149" s="3" t="s">
        <v>40</v>
      </c>
      <c r="B149" t="s">
        <v>224</v>
      </c>
      <c r="C149" s="4">
        <v>47.701000000000001</v>
      </c>
      <c r="D149" s="5">
        <v>666.84100000000001</v>
      </c>
      <c r="E149" s="5">
        <v>0</v>
      </c>
      <c r="F149" s="5">
        <v>53.308999999999997</v>
      </c>
      <c r="G149" s="5">
        <v>48.863</v>
      </c>
      <c r="H149" s="5">
        <v>28.128</v>
      </c>
      <c r="I149" s="5">
        <v>15.858000000000001</v>
      </c>
      <c r="J149" s="5">
        <v>25.456</v>
      </c>
      <c r="K149" s="5">
        <v>20.318999999999999</v>
      </c>
      <c r="L149" s="4">
        <v>383.553</v>
      </c>
      <c r="M149" s="5">
        <v>914.51700000000005</v>
      </c>
      <c r="N149" s="5">
        <v>0</v>
      </c>
      <c r="O149" s="5">
        <v>147.154</v>
      </c>
      <c r="P149" s="5">
        <v>69.108999999999995</v>
      </c>
      <c r="Q149" s="5">
        <v>214.60599999999999</v>
      </c>
      <c r="R149" s="5">
        <v>188.78</v>
      </c>
      <c r="S149" s="5">
        <v>97.555000000000007</v>
      </c>
      <c r="T149" s="5">
        <v>53.24</v>
      </c>
    </row>
    <row r="150" spans="1:20" x14ac:dyDescent="0.25">
      <c r="A150" s="3" t="s">
        <v>39</v>
      </c>
      <c r="B150" t="s">
        <v>55</v>
      </c>
      <c r="C150" s="4">
        <v>0</v>
      </c>
      <c r="D150" s="5">
        <v>118.578</v>
      </c>
      <c r="E150" s="5">
        <v>175.23</v>
      </c>
      <c r="F150" s="5">
        <v>71.546999999999997</v>
      </c>
      <c r="G150" s="5">
        <v>126.136</v>
      </c>
      <c r="H150" s="5">
        <v>204.458</v>
      </c>
      <c r="I150" s="5">
        <v>300.66500000000002</v>
      </c>
      <c r="J150" s="5">
        <v>216.501</v>
      </c>
      <c r="K150" s="5">
        <v>330.35599999999999</v>
      </c>
      <c r="L150" s="4">
        <v>0</v>
      </c>
      <c r="M150" s="5">
        <v>118.578</v>
      </c>
      <c r="N150" s="5">
        <v>175.23</v>
      </c>
      <c r="O150" s="5">
        <v>71.546999999999997</v>
      </c>
      <c r="P150" s="5">
        <v>126.136</v>
      </c>
      <c r="Q150" s="5">
        <v>204.458</v>
      </c>
      <c r="R150" s="5">
        <v>300.66500000000002</v>
      </c>
      <c r="S150" s="5">
        <v>216.501</v>
      </c>
      <c r="T150" s="5">
        <v>330.35599999999999</v>
      </c>
    </row>
    <row r="151" spans="1:20" x14ac:dyDescent="0.25">
      <c r="A151" s="3" t="s">
        <v>39</v>
      </c>
      <c r="B151" t="s">
        <v>75</v>
      </c>
      <c r="C151" s="4">
        <v>0</v>
      </c>
      <c r="D151" s="5">
        <v>26.187999999999999</v>
      </c>
      <c r="E151" s="5">
        <v>0</v>
      </c>
      <c r="F151" s="5">
        <v>0</v>
      </c>
      <c r="G151" s="5">
        <v>0</v>
      </c>
      <c r="H151" s="5">
        <v>16.231999999999999</v>
      </c>
      <c r="I151" s="5">
        <v>63.896000000000001</v>
      </c>
      <c r="J151" s="5">
        <v>304.13200000000001</v>
      </c>
      <c r="K151" s="5">
        <v>22.434999999999999</v>
      </c>
      <c r="L151" s="4">
        <v>0</v>
      </c>
      <c r="M151" s="5">
        <v>26.187999999999999</v>
      </c>
      <c r="N151" s="5">
        <v>0</v>
      </c>
      <c r="O151" s="5">
        <v>0</v>
      </c>
      <c r="P151" s="5">
        <v>0</v>
      </c>
      <c r="Q151" s="5">
        <v>16.231999999999999</v>
      </c>
      <c r="R151" s="5">
        <v>63.896000000000001</v>
      </c>
      <c r="S151" s="5">
        <v>304.13200000000001</v>
      </c>
      <c r="T151" s="5">
        <v>22.434999999999999</v>
      </c>
    </row>
    <row r="152" spans="1:20" x14ac:dyDescent="0.25">
      <c r="A152" s="3" t="s">
        <v>92</v>
      </c>
      <c r="B152" t="s">
        <v>116</v>
      </c>
      <c r="C152" s="4">
        <v>0</v>
      </c>
      <c r="D152" s="5">
        <v>177.75299999999999</v>
      </c>
      <c r="E152" s="5">
        <v>0</v>
      </c>
      <c r="F152" s="5">
        <v>177.542</v>
      </c>
      <c r="G152" s="5">
        <v>34.475000000000001</v>
      </c>
      <c r="H152" s="5">
        <v>43.173000000000002</v>
      </c>
      <c r="I152" s="5">
        <v>44.104999999999997</v>
      </c>
      <c r="J152" s="5">
        <v>75.241</v>
      </c>
      <c r="K152" s="5">
        <v>84.742999999999995</v>
      </c>
      <c r="L152" s="4">
        <v>0</v>
      </c>
      <c r="M152" s="5">
        <v>177.75299999999999</v>
      </c>
      <c r="N152" s="5">
        <v>0</v>
      </c>
      <c r="O152" s="5">
        <v>177.542</v>
      </c>
      <c r="P152" s="5">
        <v>34.475000000000001</v>
      </c>
      <c r="Q152" s="5">
        <v>43.173000000000002</v>
      </c>
      <c r="R152" s="5">
        <v>44.104999999999997</v>
      </c>
      <c r="S152" s="5">
        <v>77.741</v>
      </c>
      <c r="T152" s="5">
        <v>84.742999999999995</v>
      </c>
    </row>
    <row r="153" spans="1:20" x14ac:dyDescent="0.25">
      <c r="A153" s="3" t="s">
        <v>92</v>
      </c>
      <c r="B153" t="s">
        <v>249</v>
      </c>
      <c r="C153" s="4">
        <v>0</v>
      </c>
      <c r="D153" s="5">
        <v>4.532</v>
      </c>
      <c r="E153" s="5">
        <v>10.205</v>
      </c>
      <c r="F153" s="5">
        <v>14.367000000000001</v>
      </c>
      <c r="G153" s="5">
        <v>14.413</v>
      </c>
      <c r="H153" s="5">
        <v>44.85</v>
      </c>
      <c r="I153" s="5">
        <v>30.638999999999999</v>
      </c>
      <c r="J153" s="5">
        <v>79.36</v>
      </c>
      <c r="K153" s="5">
        <v>689.99900000000002</v>
      </c>
      <c r="L153" s="4">
        <v>0</v>
      </c>
      <c r="M153" s="5">
        <v>4.532</v>
      </c>
      <c r="N153" s="5">
        <v>10.205</v>
      </c>
      <c r="O153" s="5">
        <v>14.367000000000001</v>
      </c>
      <c r="P153" s="5">
        <v>14.413</v>
      </c>
      <c r="Q153" s="5">
        <v>103.77800000000001</v>
      </c>
      <c r="R153" s="5">
        <v>30.638999999999999</v>
      </c>
      <c r="S153" s="5">
        <v>79.36</v>
      </c>
      <c r="T153" s="5">
        <v>689.99900000000002</v>
      </c>
    </row>
    <row r="154" spans="1:20" x14ac:dyDescent="0.25">
      <c r="A154" s="3" t="s">
        <v>35</v>
      </c>
      <c r="B154" t="s">
        <v>157</v>
      </c>
      <c r="C154" s="4">
        <v>0</v>
      </c>
      <c r="D154" s="5">
        <v>108.685</v>
      </c>
      <c r="E154" s="5">
        <v>31.303999999999998</v>
      </c>
      <c r="F154" s="5">
        <v>27.835000000000001</v>
      </c>
      <c r="G154" s="5">
        <v>0</v>
      </c>
      <c r="H154" s="5">
        <v>47.993000000000002</v>
      </c>
      <c r="I154" s="5">
        <v>16.309000000000001</v>
      </c>
      <c r="J154" s="5">
        <v>4.4379999999999997</v>
      </c>
      <c r="K154" s="5">
        <v>23.57</v>
      </c>
      <c r="L154" s="4">
        <v>0</v>
      </c>
      <c r="M154" s="5">
        <v>235712.503</v>
      </c>
      <c r="N154" s="5">
        <v>31.303999999999998</v>
      </c>
      <c r="O154" s="5">
        <v>27.835000000000001</v>
      </c>
      <c r="P154" s="5">
        <v>0</v>
      </c>
      <c r="Q154" s="5">
        <v>832921.37899999996</v>
      </c>
      <c r="R154" s="5">
        <v>16553.154999999999</v>
      </c>
      <c r="S154" s="5">
        <v>762065.43799999997</v>
      </c>
      <c r="T154" s="5">
        <v>1208048.936</v>
      </c>
    </row>
    <row r="155" spans="1:20" x14ac:dyDescent="0.25">
      <c r="A155" s="3" t="s">
        <v>35</v>
      </c>
      <c r="B155" t="s">
        <v>146</v>
      </c>
      <c r="C155" s="4">
        <v>0</v>
      </c>
      <c r="D155" s="5">
        <v>82.081999999999994</v>
      </c>
      <c r="E155" s="5">
        <v>98.46</v>
      </c>
      <c r="F155" s="5">
        <v>300.67700000000002</v>
      </c>
      <c r="G155" s="5">
        <v>162.02799999999999</v>
      </c>
      <c r="H155" s="5">
        <v>297.82900000000001</v>
      </c>
      <c r="I155" s="5">
        <v>241.03800000000001</v>
      </c>
      <c r="J155" s="5">
        <v>118.90900000000001</v>
      </c>
      <c r="K155" s="5">
        <v>388.46899999999999</v>
      </c>
      <c r="L155" s="4">
        <v>0</v>
      </c>
      <c r="M155" s="5">
        <v>3113660.682</v>
      </c>
      <c r="N155" s="5">
        <v>2326887.568</v>
      </c>
      <c r="O155" s="5">
        <v>2572035.554</v>
      </c>
      <c r="P155" s="5">
        <v>162.02799999999999</v>
      </c>
      <c r="Q155" s="5">
        <v>2017008.35</v>
      </c>
      <c r="R155" s="5">
        <v>1809003.936</v>
      </c>
      <c r="S155" s="5">
        <v>2841377.7379999999</v>
      </c>
      <c r="T155" s="5">
        <v>3657817.946</v>
      </c>
    </row>
    <row r="156" spans="1:20" x14ac:dyDescent="0.25">
      <c r="A156" s="3" t="s">
        <v>35</v>
      </c>
      <c r="B156" t="s">
        <v>171</v>
      </c>
      <c r="C156" s="4">
        <v>0</v>
      </c>
      <c r="D156" s="5">
        <v>77.709000000000003</v>
      </c>
      <c r="E156" s="5">
        <v>123.99299999999999</v>
      </c>
      <c r="F156" s="5">
        <v>45.277999999999999</v>
      </c>
      <c r="G156" s="5">
        <v>8.1300000000000008</v>
      </c>
      <c r="H156" s="5">
        <v>7.4420000000000002</v>
      </c>
      <c r="I156" s="5">
        <v>13.321999999999999</v>
      </c>
      <c r="J156" s="5">
        <v>28.35</v>
      </c>
      <c r="K156" s="5">
        <v>52.167000000000002</v>
      </c>
      <c r="L156" s="4">
        <v>0</v>
      </c>
      <c r="M156" s="5">
        <v>77.709000000000003</v>
      </c>
      <c r="N156" s="5">
        <v>123.99299999999999</v>
      </c>
      <c r="O156" s="5">
        <v>45.277999999999999</v>
      </c>
      <c r="P156" s="5">
        <v>8.1300000000000008</v>
      </c>
      <c r="Q156" s="5">
        <v>7.4420000000000002</v>
      </c>
      <c r="R156" s="5">
        <v>13.321999999999999</v>
      </c>
      <c r="S156" s="5">
        <v>28.35</v>
      </c>
      <c r="T156" s="5">
        <v>52.167000000000002</v>
      </c>
    </row>
    <row r="157" spans="1:20" x14ac:dyDescent="0.25">
      <c r="A157" s="3" t="s">
        <v>92</v>
      </c>
      <c r="B157" t="s">
        <v>228</v>
      </c>
      <c r="C157" s="4">
        <v>0</v>
      </c>
      <c r="D157" s="5">
        <v>0</v>
      </c>
      <c r="E157" s="5">
        <v>94.69</v>
      </c>
      <c r="F157" s="5">
        <v>76.347999999999999</v>
      </c>
      <c r="G157" s="5">
        <v>114.071</v>
      </c>
      <c r="H157" s="5">
        <v>154.62899999999999</v>
      </c>
      <c r="I157" s="5">
        <v>154.51400000000001</v>
      </c>
      <c r="J157" s="5">
        <v>80.903999999999996</v>
      </c>
      <c r="K157" s="5">
        <v>125.62</v>
      </c>
      <c r="L157" s="4">
        <v>0</v>
      </c>
      <c r="M157" s="5">
        <v>0</v>
      </c>
      <c r="N157" s="5">
        <v>94.69</v>
      </c>
      <c r="O157" s="5">
        <v>76.347999999999999</v>
      </c>
      <c r="P157" s="5">
        <v>114.071</v>
      </c>
      <c r="Q157" s="5">
        <v>155.58600000000001</v>
      </c>
      <c r="R157" s="5">
        <v>158.23500000000001</v>
      </c>
      <c r="S157" s="5">
        <v>80.903999999999996</v>
      </c>
      <c r="T157" s="5">
        <v>125.62</v>
      </c>
    </row>
    <row r="158" spans="1:20" x14ac:dyDescent="0.25">
      <c r="A158" s="3" t="s">
        <v>92</v>
      </c>
      <c r="B158" t="s">
        <v>250</v>
      </c>
      <c r="C158" s="4">
        <v>0</v>
      </c>
      <c r="D158" s="5">
        <v>0</v>
      </c>
      <c r="E158" s="5">
        <v>90.355999999999995</v>
      </c>
      <c r="F158" s="5">
        <v>0</v>
      </c>
      <c r="G158" s="5">
        <v>0</v>
      </c>
      <c r="H158" s="5">
        <v>161.36199999999999</v>
      </c>
      <c r="I158" s="5">
        <v>169.63800000000001</v>
      </c>
      <c r="J158" s="5">
        <v>169.84200000000001</v>
      </c>
      <c r="K158" s="5">
        <v>100.71</v>
      </c>
      <c r="L158" s="4">
        <v>0</v>
      </c>
      <c r="M158" s="5">
        <v>0</v>
      </c>
      <c r="N158" s="5">
        <v>90.355999999999995</v>
      </c>
      <c r="O158" s="5">
        <v>0</v>
      </c>
      <c r="P158" s="5">
        <v>0</v>
      </c>
      <c r="Q158" s="5">
        <v>161.36199999999999</v>
      </c>
      <c r="R158" s="5">
        <v>169.63800000000001</v>
      </c>
      <c r="S158" s="5">
        <v>169.84200000000001</v>
      </c>
      <c r="T158" s="5">
        <v>100.71</v>
      </c>
    </row>
    <row r="159" spans="1:20" x14ac:dyDescent="0.25">
      <c r="A159" s="3" t="s">
        <v>35</v>
      </c>
      <c r="B159" t="s">
        <v>164</v>
      </c>
      <c r="C159" s="4">
        <v>0</v>
      </c>
      <c r="D159" s="5">
        <v>0</v>
      </c>
      <c r="E159" s="5">
        <v>2965.605</v>
      </c>
      <c r="F159" s="5">
        <v>0</v>
      </c>
      <c r="G159" s="5">
        <v>0</v>
      </c>
      <c r="H159" s="5">
        <v>1686.941</v>
      </c>
      <c r="I159" s="5">
        <v>2420.8339999999998</v>
      </c>
      <c r="J159" s="5">
        <v>1215.05</v>
      </c>
      <c r="K159" s="5">
        <v>1453.365</v>
      </c>
      <c r="L159" s="4">
        <v>0</v>
      </c>
      <c r="M159" s="5">
        <v>0</v>
      </c>
      <c r="N159" s="5">
        <v>2965.605</v>
      </c>
      <c r="O159" s="5">
        <v>0</v>
      </c>
      <c r="P159" s="5">
        <v>0</v>
      </c>
      <c r="Q159" s="5">
        <v>1686.941</v>
      </c>
      <c r="R159" s="5">
        <v>2420.8339999999998</v>
      </c>
      <c r="S159" s="5">
        <v>1215.05</v>
      </c>
      <c r="T159" s="5">
        <v>1453.365</v>
      </c>
    </row>
    <row r="160" spans="1:20" x14ac:dyDescent="0.25">
      <c r="A160" s="3" t="s">
        <v>39</v>
      </c>
      <c r="B160" t="s">
        <v>80</v>
      </c>
      <c r="C160" s="4">
        <v>0</v>
      </c>
      <c r="D160" s="5">
        <v>0</v>
      </c>
      <c r="E160" s="5">
        <v>0</v>
      </c>
      <c r="F160" s="5">
        <v>2276.6170000000002</v>
      </c>
      <c r="G160" s="5">
        <v>0</v>
      </c>
      <c r="H160" s="5">
        <v>70.305999999999997</v>
      </c>
      <c r="I160" s="5">
        <v>12.436</v>
      </c>
      <c r="J160" s="5">
        <v>7.4960000000000004</v>
      </c>
      <c r="K160" s="5">
        <v>21.651</v>
      </c>
      <c r="L160" s="4">
        <v>0</v>
      </c>
      <c r="M160" s="5">
        <v>0</v>
      </c>
      <c r="N160" s="5">
        <v>0</v>
      </c>
      <c r="O160" s="5">
        <v>2276.6170000000002</v>
      </c>
      <c r="P160" s="5">
        <v>0</v>
      </c>
      <c r="Q160" s="5">
        <v>70.305999999999997</v>
      </c>
      <c r="R160" s="5">
        <v>12.438000000000001</v>
      </c>
      <c r="S160" s="5">
        <v>7.4960000000000004</v>
      </c>
      <c r="T160" s="5">
        <v>21.651</v>
      </c>
    </row>
    <row r="161" spans="1:20" x14ac:dyDescent="0.25">
      <c r="A161" s="3" t="s">
        <v>39</v>
      </c>
      <c r="B161" t="s">
        <v>61</v>
      </c>
      <c r="C161" s="4">
        <v>0</v>
      </c>
      <c r="D161" s="5">
        <v>0</v>
      </c>
      <c r="E161" s="5">
        <v>0</v>
      </c>
      <c r="F161" s="5">
        <v>106.20099999999999</v>
      </c>
      <c r="G161" s="5">
        <v>0</v>
      </c>
      <c r="H161" s="5">
        <v>145.459</v>
      </c>
      <c r="I161" s="5">
        <v>0</v>
      </c>
      <c r="J161" s="5">
        <v>0</v>
      </c>
      <c r="K161" s="5">
        <v>253.39</v>
      </c>
      <c r="L161" s="4">
        <v>0</v>
      </c>
      <c r="M161" s="5">
        <v>0</v>
      </c>
      <c r="N161" s="5">
        <v>0</v>
      </c>
      <c r="O161" s="5">
        <v>106.20099999999999</v>
      </c>
      <c r="P161" s="5">
        <v>0</v>
      </c>
      <c r="Q161" s="5">
        <v>145.459</v>
      </c>
      <c r="R161" s="5">
        <v>0</v>
      </c>
      <c r="S161" s="5">
        <v>0</v>
      </c>
      <c r="T161" s="5">
        <v>253.39</v>
      </c>
    </row>
    <row r="162" spans="1:20" x14ac:dyDescent="0.25">
      <c r="A162" s="3" t="s">
        <v>92</v>
      </c>
      <c r="B162" t="s">
        <v>102</v>
      </c>
      <c r="C162" s="4">
        <v>0</v>
      </c>
      <c r="D162" s="5">
        <v>0</v>
      </c>
      <c r="E162" s="5">
        <v>0</v>
      </c>
      <c r="F162" s="5">
        <v>103.208</v>
      </c>
      <c r="G162" s="5">
        <v>10.967000000000001</v>
      </c>
      <c r="H162" s="5">
        <v>3.621</v>
      </c>
      <c r="I162" s="5">
        <v>805.86199999999997</v>
      </c>
      <c r="J162" s="5">
        <v>17.134</v>
      </c>
      <c r="K162" s="5">
        <v>391.22399999999999</v>
      </c>
      <c r="L162" s="4">
        <v>0</v>
      </c>
      <c r="M162" s="5">
        <v>0</v>
      </c>
      <c r="N162" s="5">
        <v>0</v>
      </c>
      <c r="O162" s="5">
        <v>1267.7380000000001</v>
      </c>
      <c r="P162" s="5">
        <v>10.967000000000001</v>
      </c>
      <c r="Q162" s="5">
        <v>189.79499999999999</v>
      </c>
      <c r="R162" s="5">
        <v>903.89599999999996</v>
      </c>
      <c r="S162" s="5">
        <v>17.134</v>
      </c>
      <c r="T162" s="5">
        <v>461.58499999999998</v>
      </c>
    </row>
    <row r="163" spans="1:20" x14ac:dyDescent="0.25">
      <c r="A163" s="3" t="s">
        <v>39</v>
      </c>
      <c r="B163" t="s">
        <v>88</v>
      </c>
      <c r="C163" s="4">
        <v>0</v>
      </c>
      <c r="D163" s="5">
        <v>0</v>
      </c>
      <c r="E163" s="5">
        <v>0</v>
      </c>
      <c r="F163" s="5">
        <v>0</v>
      </c>
      <c r="G163" s="5">
        <v>90.445999999999998</v>
      </c>
      <c r="H163" s="5">
        <v>0</v>
      </c>
      <c r="I163" s="5">
        <v>28.134</v>
      </c>
      <c r="J163" s="5">
        <v>290.51400000000001</v>
      </c>
      <c r="K163" s="5">
        <v>0</v>
      </c>
      <c r="L163" s="4">
        <v>0</v>
      </c>
      <c r="M163" s="5">
        <v>0</v>
      </c>
      <c r="N163" s="5">
        <v>0</v>
      </c>
      <c r="O163" s="5">
        <v>0</v>
      </c>
      <c r="P163" s="5">
        <v>90.445999999999998</v>
      </c>
      <c r="Q163" s="5">
        <v>0</v>
      </c>
      <c r="R163" s="5">
        <v>28.134</v>
      </c>
      <c r="S163" s="5">
        <v>290.51400000000001</v>
      </c>
      <c r="T163" s="5">
        <v>0</v>
      </c>
    </row>
    <row r="164" spans="1:20" x14ac:dyDescent="0.25">
      <c r="A164" s="3" t="s">
        <v>92</v>
      </c>
      <c r="B164" t="s">
        <v>251</v>
      </c>
      <c r="C164" s="4">
        <v>0</v>
      </c>
      <c r="D164" s="5">
        <v>0</v>
      </c>
      <c r="E164" s="5">
        <v>0</v>
      </c>
      <c r="F164" s="5">
        <v>0</v>
      </c>
      <c r="G164" s="5">
        <v>95.352999999999994</v>
      </c>
      <c r="H164" s="5">
        <v>24.975000000000001</v>
      </c>
      <c r="I164" s="5">
        <v>13.750999999999999</v>
      </c>
      <c r="J164" s="5">
        <v>44.484000000000002</v>
      </c>
      <c r="K164" s="5">
        <v>45.133000000000003</v>
      </c>
      <c r="L164" s="4">
        <v>0</v>
      </c>
      <c r="M164" s="5">
        <v>0</v>
      </c>
      <c r="N164" s="5">
        <v>0</v>
      </c>
      <c r="O164" s="5">
        <v>0</v>
      </c>
      <c r="P164" s="5">
        <v>95.352999999999994</v>
      </c>
      <c r="Q164" s="5">
        <v>24.975000000000001</v>
      </c>
      <c r="R164" s="5">
        <v>13.750999999999999</v>
      </c>
      <c r="S164" s="5">
        <v>44.484000000000002</v>
      </c>
      <c r="T164" s="5">
        <v>45.133000000000003</v>
      </c>
    </row>
    <row r="165" spans="1:20" x14ac:dyDescent="0.25">
      <c r="A165" s="3" t="s">
        <v>92</v>
      </c>
      <c r="B165" t="s">
        <v>117</v>
      </c>
      <c r="C165" s="4">
        <v>0</v>
      </c>
      <c r="D165" s="5">
        <v>0</v>
      </c>
      <c r="E165" s="5">
        <v>0</v>
      </c>
      <c r="F165" s="5">
        <v>0</v>
      </c>
      <c r="G165" s="5">
        <v>60.307000000000002</v>
      </c>
      <c r="H165" s="5">
        <v>78.510000000000005</v>
      </c>
      <c r="I165" s="5">
        <v>20.713000000000001</v>
      </c>
      <c r="J165" s="5">
        <v>28.652999999999999</v>
      </c>
      <c r="K165" s="5">
        <v>17.596</v>
      </c>
      <c r="L165" s="4">
        <v>0</v>
      </c>
      <c r="M165" s="5">
        <v>0</v>
      </c>
      <c r="N165" s="5">
        <v>0</v>
      </c>
      <c r="O165" s="5">
        <v>0</v>
      </c>
      <c r="P165" s="5">
        <v>60.307000000000002</v>
      </c>
      <c r="Q165" s="5">
        <v>3909.75</v>
      </c>
      <c r="R165" s="5">
        <v>20.713000000000001</v>
      </c>
      <c r="S165" s="5">
        <v>28.652999999999999</v>
      </c>
      <c r="T165" s="5">
        <v>33.677999999999997</v>
      </c>
    </row>
    <row r="166" spans="1:20" x14ac:dyDescent="0.25">
      <c r="A166" s="3" t="s">
        <v>92</v>
      </c>
      <c r="B166" t="s">
        <v>239</v>
      </c>
      <c r="C166" s="4">
        <v>0</v>
      </c>
      <c r="D166" s="5">
        <v>0</v>
      </c>
      <c r="E166" s="5">
        <v>0</v>
      </c>
      <c r="F166" s="5">
        <v>0</v>
      </c>
      <c r="G166" s="5">
        <v>46.875</v>
      </c>
      <c r="H166" s="5">
        <v>0</v>
      </c>
      <c r="I166" s="5">
        <v>0</v>
      </c>
      <c r="J166" s="5">
        <v>0</v>
      </c>
      <c r="K166" s="5">
        <v>0</v>
      </c>
      <c r="L166" s="4">
        <v>0</v>
      </c>
      <c r="M166" s="5">
        <v>0</v>
      </c>
      <c r="N166" s="5">
        <v>0</v>
      </c>
      <c r="O166" s="5">
        <v>0</v>
      </c>
      <c r="P166" s="5">
        <v>46.875</v>
      </c>
      <c r="Q166" s="5">
        <v>0</v>
      </c>
      <c r="R166" s="5">
        <v>0</v>
      </c>
      <c r="S166" s="5">
        <v>0</v>
      </c>
      <c r="T166" s="5">
        <v>0</v>
      </c>
    </row>
    <row r="167" spans="1:20" x14ac:dyDescent="0.25">
      <c r="A167" s="3" t="s">
        <v>92</v>
      </c>
      <c r="B167" t="s">
        <v>242</v>
      </c>
      <c r="C167" s="4">
        <v>0</v>
      </c>
      <c r="D167" s="5">
        <v>0</v>
      </c>
      <c r="E167" s="5">
        <v>0</v>
      </c>
      <c r="F167" s="5">
        <v>0</v>
      </c>
      <c r="G167" s="5">
        <v>23.988</v>
      </c>
      <c r="H167" s="5">
        <v>29.856999999999999</v>
      </c>
      <c r="I167" s="5">
        <v>40.613</v>
      </c>
      <c r="J167" s="5">
        <v>35.463000000000001</v>
      </c>
      <c r="K167" s="5">
        <v>13.554</v>
      </c>
      <c r="L167" s="4">
        <v>0</v>
      </c>
      <c r="M167" s="5">
        <v>0</v>
      </c>
      <c r="N167" s="5">
        <v>0</v>
      </c>
      <c r="O167" s="5">
        <v>0</v>
      </c>
      <c r="P167" s="5">
        <v>23.988</v>
      </c>
      <c r="Q167" s="5">
        <v>29.856999999999999</v>
      </c>
      <c r="R167" s="5">
        <v>40.613</v>
      </c>
      <c r="S167" s="5">
        <v>110.563</v>
      </c>
      <c r="T167" s="5">
        <v>13.554</v>
      </c>
    </row>
    <row r="168" spans="1:20" x14ac:dyDescent="0.25">
      <c r="A168" s="3" t="s">
        <v>35</v>
      </c>
      <c r="B168" t="s">
        <v>152</v>
      </c>
      <c r="C168" s="4">
        <v>0</v>
      </c>
      <c r="D168" s="5">
        <v>0</v>
      </c>
      <c r="E168" s="5">
        <v>0</v>
      </c>
      <c r="F168" s="5">
        <v>0</v>
      </c>
      <c r="G168" s="5">
        <v>34.93</v>
      </c>
      <c r="H168" s="5">
        <v>0</v>
      </c>
      <c r="I168" s="5">
        <v>0</v>
      </c>
      <c r="J168" s="5">
        <v>2.6720000000000002</v>
      </c>
      <c r="K168" s="5">
        <v>0</v>
      </c>
      <c r="L168" s="4">
        <v>0</v>
      </c>
      <c r="M168" s="5">
        <v>0</v>
      </c>
      <c r="N168" s="5">
        <v>0</v>
      </c>
      <c r="O168" s="5">
        <v>0</v>
      </c>
      <c r="P168" s="5">
        <v>34.93</v>
      </c>
      <c r="Q168" s="5">
        <v>0</v>
      </c>
      <c r="R168" s="5">
        <v>0</v>
      </c>
      <c r="S168" s="5">
        <v>8.1969999999999992</v>
      </c>
      <c r="T168" s="5">
        <v>0</v>
      </c>
    </row>
    <row r="169" spans="1:20" x14ac:dyDescent="0.25">
      <c r="A169" s="3" t="s">
        <v>40</v>
      </c>
      <c r="B169" t="s">
        <v>221</v>
      </c>
      <c r="C169" s="4">
        <v>0</v>
      </c>
      <c r="D169" s="5">
        <v>0</v>
      </c>
      <c r="E169" s="5">
        <v>0</v>
      </c>
      <c r="F169" s="5">
        <v>0</v>
      </c>
      <c r="G169" s="5">
        <v>225.221</v>
      </c>
      <c r="H169" s="5">
        <v>113.892</v>
      </c>
      <c r="I169" s="5">
        <v>163.18899999999999</v>
      </c>
      <c r="J169" s="5">
        <v>127.84099999999999</v>
      </c>
      <c r="K169" s="5">
        <v>56.067</v>
      </c>
      <c r="L169" s="4">
        <v>0</v>
      </c>
      <c r="M169" s="5">
        <v>0</v>
      </c>
      <c r="N169" s="5">
        <v>0</v>
      </c>
      <c r="O169" s="5">
        <v>0</v>
      </c>
      <c r="P169" s="5">
        <v>228.203</v>
      </c>
      <c r="Q169" s="5">
        <v>118.625</v>
      </c>
      <c r="R169" s="5">
        <v>165.12100000000001</v>
      </c>
      <c r="S169" s="5">
        <v>127.84099999999999</v>
      </c>
      <c r="T169" s="5">
        <v>213.82900000000001</v>
      </c>
    </row>
    <row r="170" spans="1:20" x14ac:dyDescent="0.25">
      <c r="A170" s="3" t="s">
        <v>39</v>
      </c>
      <c r="B170" t="s">
        <v>72</v>
      </c>
      <c r="C170" s="4">
        <v>0</v>
      </c>
      <c r="D170" s="5">
        <v>0</v>
      </c>
      <c r="E170" s="5">
        <v>0</v>
      </c>
      <c r="F170" s="5">
        <v>0</v>
      </c>
      <c r="G170" s="5">
        <v>0</v>
      </c>
      <c r="H170" s="5">
        <v>96.885999999999996</v>
      </c>
      <c r="I170" s="5">
        <v>0</v>
      </c>
      <c r="J170" s="5">
        <v>0</v>
      </c>
      <c r="K170" s="5">
        <v>308.54500000000002</v>
      </c>
      <c r="L170" s="4">
        <v>0</v>
      </c>
      <c r="M170" s="5">
        <v>0</v>
      </c>
      <c r="N170" s="5">
        <v>0</v>
      </c>
      <c r="O170" s="5">
        <v>0</v>
      </c>
      <c r="P170" s="5">
        <v>0</v>
      </c>
      <c r="Q170" s="5">
        <v>100.57299999999999</v>
      </c>
      <c r="R170" s="5">
        <v>0</v>
      </c>
      <c r="S170" s="5">
        <v>0</v>
      </c>
      <c r="T170" s="5">
        <v>311.83100000000002</v>
      </c>
    </row>
    <row r="171" spans="1:20" x14ac:dyDescent="0.25">
      <c r="A171" s="3" t="s">
        <v>39</v>
      </c>
      <c r="B171" t="s">
        <v>65</v>
      </c>
      <c r="C171" s="4">
        <v>0</v>
      </c>
      <c r="D171" s="5">
        <v>0</v>
      </c>
      <c r="E171" s="5">
        <v>0</v>
      </c>
      <c r="F171" s="5">
        <v>0</v>
      </c>
      <c r="G171" s="5">
        <v>0</v>
      </c>
      <c r="H171" s="5">
        <v>65.600999999999999</v>
      </c>
      <c r="I171" s="5">
        <v>10.68</v>
      </c>
      <c r="J171" s="5">
        <v>14.872999999999999</v>
      </c>
      <c r="K171" s="5">
        <v>10.205</v>
      </c>
      <c r="L171" s="4">
        <v>0</v>
      </c>
      <c r="M171" s="5">
        <v>0</v>
      </c>
      <c r="N171" s="5">
        <v>0</v>
      </c>
      <c r="O171" s="5">
        <v>0</v>
      </c>
      <c r="P171" s="5">
        <v>0</v>
      </c>
      <c r="Q171" s="5">
        <v>65.600999999999999</v>
      </c>
      <c r="R171" s="5">
        <v>10.68</v>
      </c>
      <c r="S171" s="5">
        <v>14.872999999999999</v>
      </c>
      <c r="T171" s="5">
        <v>10.205</v>
      </c>
    </row>
    <row r="172" spans="1:20" x14ac:dyDescent="0.25">
      <c r="A172" s="3" t="s">
        <v>39</v>
      </c>
      <c r="B172" t="s">
        <v>236</v>
      </c>
      <c r="C172" s="4">
        <v>0</v>
      </c>
      <c r="D172" s="5">
        <v>0</v>
      </c>
      <c r="E172" s="5">
        <v>0</v>
      </c>
      <c r="F172" s="5">
        <v>0</v>
      </c>
      <c r="G172" s="5">
        <v>0</v>
      </c>
      <c r="H172" s="5">
        <v>11.974</v>
      </c>
      <c r="I172" s="5">
        <v>0</v>
      </c>
      <c r="J172" s="5">
        <v>33.210999999999999</v>
      </c>
      <c r="K172" s="5">
        <v>0</v>
      </c>
      <c r="L172" s="4">
        <v>0</v>
      </c>
      <c r="M172" s="5">
        <v>0</v>
      </c>
      <c r="N172" s="5">
        <v>0</v>
      </c>
      <c r="O172" s="5">
        <v>0</v>
      </c>
      <c r="P172" s="5">
        <v>0</v>
      </c>
      <c r="Q172" s="5">
        <v>11.974</v>
      </c>
      <c r="R172" s="5">
        <v>0</v>
      </c>
      <c r="S172" s="5">
        <v>37.210999999999999</v>
      </c>
      <c r="T172" s="5">
        <v>0</v>
      </c>
    </row>
    <row r="173" spans="1:20" x14ac:dyDescent="0.25">
      <c r="A173" s="3" t="s">
        <v>39</v>
      </c>
      <c r="B173" t="s">
        <v>252</v>
      </c>
      <c r="C173" s="4">
        <v>0</v>
      </c>
      <c r="D173" s="5">
        <v>0</v>
      </c>
      <c r="E173" s="5">
        <v>0</v>
      </c>
      <c r="F173" s="5">
        <v>0</v>
      </c>
      <c r="G173" s="5">
        <v>0</v>
      </c>
      <c r="H173" s="5">
        <v>11.032</v>
      </c>
      <c r="I173" s="5">
        <v>29.036999999999999</v>
      </c>
      <c r="J173" s="5">
        <v>0</v>
      </c>
      <c r="K173" s="5">
        <v>5.3220000000000001</v>
      </c>
      <c r="L173" s="4">
        <v>0</v>
      </c>
      <c r="M173" s="5">
        <v>0</v>
      </c>
      <c r="N173" s="5">
        <v>0</v>
      </c>
      <c r="O173" s="5">
        <v>0</v>
      </c>
      <c r="P173" s="5">
        <v>0</v>
      </c>
      <c r="Q173" s="5">
        <v>11.032</v>
      </c>
      <c r="R173" s="5">
        <v>31.463000000000001</v>
      </c>
      <c r="S173" s="5">
        <v>0</v>
      </c>
      <c r="T173" s="5">
        <v>5.3220000000000001</v>
      </c>
    </row>
    <row r="174" spans="1:20" x14ac:dyDescent="0.25">
      <c r="A174" s="3" t="s">
        <v>39</v>
      </c>
      <c r="B174" t="s">
        <v>253</v>
      </c>
      <c r="C174" s="4">
        <v>0</v>
      </c>
      <c r="D174" s="5">
        <v>0</v>
      </c>
      <c r="E174" s="5">
        <v>0</v>
      </c>
      <c r="F174" s="5">
        <v>0</v>
      </c>
      <c r="G174" s="5">
        <v>0</v>
      </c>
      <c r="H174" s="5">
        <v>1.8660000000000001</v>
      </c>
      <c r="I174" s="5">
        <v>18.372</v>
      </c>
      <c r="J174" s="5">
        <v>4.3490000000000002</v>
      </c>
      <c r="K174" s="5">
        <v>0</v>
      </c>
      <c r="L174" s="4">
        <v>0</v>
      </c>
      <c r="M174" s="5">
        <v>0</v>
      </c>
      <c r="N174" s="5">
        <v>0</v>
      </c>
      <c r="O174" s="5">
        <v>0</v>
      </c>
      <c r="P174" s="5">
        <v>0</v>
      </c>
      <c r="Q174" s="5">
        <v>1.8660000000000001</v>
      </c>
      <c r="R174" s="5">
        <v>18.472000000000001</v>
      </c>
      <c r="S174" s="5">
        <v>4.3490000000000002</v>
      </c>
      <c r="T174" s="5">
        <v>0</v>
      </c>
    </row>
    <row r="175" spans="1:20" x14ac:dyDescent="0.25">
      <c r="A175" s="3" t="s">
        <v>35</v>
      </c>
      <c r="B175" t="s">
        <v>170</v>
      </c>
      <c r="C175" s="4">
        <v>0</v>
      </c>
      <c r="D175" s="5">
        <v>0</v>
      </c>
      <c r="E175" s="5">
        <v>0</v>
      </c>
      <c r="F175" s="5">
        <v>0</v>
      </c>
      <c r="G175" s="5">
        <v>0</v>
      </c>
      <c r="H175" s="5">
        <v>519.49400000000003</v>
      </c>
      <c r="I175" s="5">
        <v>0</v>
      </c>
      <c r="J175" s="5">
        <v>266.02699999999999</v>
      </c>
      <c r="K175" s="5">
        <v>482.65800000000002</v>
      </c>
      <c r="L175" s="4">
        <v>0</v>
      </c>
      <c r="M175" s="5">
        <v>0</v>
      </c>
      <c r="N175" s="5">
        <v>0</v>
      </c>
      <c r="O175" s="5">
        <v>0</v>
      </c>
      <c r="P175" s="5">
        <v>0</v>
      </c>
      <c r="Q175" s="5">
        <v>681.43299999999999</v>
      </c>
      <c r="R175" s="5">
        <v>0</v>
      </c>
      <c r="S175" s="5">
        <v>266.327</v>
      </c>
      <c r="T175" s="5">
        <v>482.65800000000002</v>
      </c>
    </row>
    <row r="176" spans="1:20" x14ac:dyDescent="0.25">
      <c r="A176" s="3" t="s">
        <v>39</v>
      </c>
      <c r="B176" t="s">
        <v>254</v>
      </c>
      <c r="C176" s="4">
        <v>0</v>
      </c>
      <c r="D176" s="5">
        <v>0</v>
      </c>
      <c r="E176" s="5">
        <v>0</v>
      </c>
      <c r="F176" s="5">
        <v>0</v>
      </c>
      <c r="G176" s="5">
        <v>0</v>
      </c>
      <c r="H176" s="5">
        <v>0</v>
      </c>
      <c r="I176" s="5">
        <v>1351.539</v>
      </c>
      <c r="J176" s="5">
        <v>906.27300000000002</v>
      </c>
      <c r="K176" s="5">
        <v>1533.009</v>
      </c>
      <c r="L176" s="4">
        <v>0</v>
      </c>
      <c r="M176" s="5">
        <v>0</v>
      </c>
      <c r="N176" s="5">
        <v>0</v>
      </c>
      <c r="O176" s="5">
        <v>0</v>
      </c>
      <c r="P176" s="5">
        <v>0</v>
      </c>
      <c r="Q176" s="5">
        <v>0</v>
      </c>
      <c r="R176" s="5">
        <v>1351.539</v>
      </c>
      <c r="S176" s="5">
        <v>906.27300000000002</v>
      </c>
      <c r="T176" s="5">
        <v>1533.009</v>
      </c>
    </row>
    <row r="177" spans="1:20" x14ac:dyDescent="0.25">
      <c r="A177" s="3" t="s">
        <v>39</v>
      </c>
      <c r="B177" t="s">
        <v>226</v>
      </c>
      <c r="C177" s="4">
        <v>0</v>
      </c>
      <c r="D177" s="5">
        <v>0</v>
      </c>
      <c r="E177" s="5">
        <v>0</v>
      </c>
      <c r="F177" s="5">
        <v>0</v>
      </c>
      <c r="G177" s="5">
        <v>0</v>
      </c>
      <c r="H177" s="5">
        <v>0</v>
      </c>
      <c r="I177" s="5">
        <v>38.341000000000001</v>
      </c>
      <c r="J177" s="5">
        <v>16.756</v>
      </c>
      <c r="K177" s="5">
        <v>19.622</v>
      </c>
      <c r="L177" s="4">
        <v>0</v>
      </c>
      <c r="M177" s="5">
        <v>0</v>
      </c>
      <c r="N177" s="5">
        <v>0</v>
      </c>
      <c r="O177" s="5">
        <v>0</v>
      </c>
      <c r="P177" s="5">
        <v>0</v>
      </c>
      <c r="Q177" s="5">
        <v>0</v>
      </c>
      <c r="R177" s="5">
        <v>38.341000000000001</v>
      </c>
      <c r="S177" s="5">
        <v>16.756</v>
      </c>
      <c r="T177" s="5">
        <v>19.622</v>
      </c>
    </row>
    <row r="178" spans="1:20" x14ac:dyDescent="0.25">
      <c r="A178" s="3" t="s">
        <v>39</v>
      </c>
      <c r="B178" t="s">
        <v>81</v>
      </c>
      <c r="C178" s="4">
        <v>0</v>
      </c>
      <c r="D178" s="5">
        <v>0</v>
      </c>
      <c r="E178" s="5">
        <v>0</v>
      </c>
      <c r="F178" s="5">
        <v>0</v>
      </c>
      <c r="G178" s="5">
        <v>0</v>
      </c>
      <c r="H178" s="5">
        <v>0</v>
      </c>
      <c r="I178" s="5">
        <v>28.933</v>
      </c>
      <c r="J178" s="5">
        <v>0</v>
      </c>
      <c r="K178" s="5">
        <v>0</v>
      </c>
      <c r="L178" s="4">
        <v>0</v>
      </c>
      <c r="M178" s="5">
        <v>0</v>
      </c>
      <c r="N178" s="5">
        <v>0</v>
      </c>
      <c r="O178" s="5">
        <v>0</v>
      </c>
      <c r="P178" s="5">
        <v>0</v>
      </c>
      <c r="Q178" s="5">
        <v>0</v>
      </c>
      <c r="R178" s="5">
        <v>28.933</v>
      </c>
      <c r="S178" s="5">
        <v>0</v>
      </c>
      <c r="T178" s="5">
        <v>0</v>
      </c>
    </row>
    <row r="179" spans="1:20" x14ac:dyDescent="0.25">
      <c r="A179" s="3" t="s">
        <v>39</v>
      </c>
      <c r="B179" t="s">
        <v>73</v>
      </c>
      <c r="C179" s="4">
        <v>0</v>
      </c>
      <c r="D179" s="5">
        <v>0</v>
      </c>
      <c r="E179" s="5">
        <v>0</v>
      </c>
      <c r="F179" s="5">
        <v>0</v>
      </c>
      <c r="G179" s="5">
        <v>0</v>
      </c>
      <c r="H179" s="5">
        <v>0</v>
      </c>
      <c r="I179" s="5">
        <v>0</v>
      </c>
      <c r="J179" s="5">
        <v>28.119</v>
      </c>
      <c r="K179" s="5">
        <v>29.286000000000001</v>
      </c>
      <c r="L179" s="4">
        <v>0</v>
      </c>
      <c r="M179" s="5">
        <v>0</v>
      </c>
      <c r="N179" s="5">
        <v>0</v>
      </c>
      <c r="O179" s="5">
        <v>0</v>
      </c>
      <c r="P179" s="5">
        <v>0</v>
      </c>
      <c r="Q179" s="5">
        <v>0</v>
      </c>
      <c r="R179" s="5">
        <v>0</v>
      </c>
      <c r="S179" s="5">
        <v>28.119</v>
      </c>
      <c r="T179" s="5">
        <v>47.844999999999999</v>
      </c>
    </row>
    <row r="180" spans="1:20" x14ac:dyDescent="0.25">
      <c r="A180" s="3" t="s">
        <v>92</v>
      </c>
      <c r="B180" t="s">
        <v>244</v>
      </c>
      <c r="C180" s="4">
        <v>0</v>
      </c>
      <c r="D180" s="5">
        <v>0</v>
      </c>
      <c r="E180" s="5">
        <v>0</v>
      </c>
      <c r="F180" s="5">
        <v>0</v>
      </c>
      <c r="G180" s="5">
        <v>0</v>
      </c>
      <c r="H180" s="5">
        <v>0</v>
      </c>
      <c r="I180" s="5">
        <v>0</v>
      </c>
      <c r="J180" s="5">
        <v>494.79300000000001</v>
      </c>
      <c r="K180" s="5">
        <v>626.048</v>
      </c>
      <c r="L180" s="4">
        <v>0</v>
      </c>
      <c r="M180" s="5">
        <v>0</v>
      </c>
      <c r="N180" s="5">
        <v>0</v>
      </c>
      <c r="O180" s="5">
        <v>0</v>
      </c>
      <c r="P180" s="5">
        <v>0</v>
      </c>
      <c r="Q180" s="5">
        <v>0</v>
      </c>
      <c r="R180" s="5">
        <v>0</v>
      </c>
      <c r="S180" s="5">
        <v>505.66</v>
      </c>
      <c r="T180" s="5">
        <v>626.048</v>
      </c>
    </row>
    <row r="181" spans="1:20" x14ac:dyDescent="0.25">
      <c r="A181" s="3" t="s">
        <v>92</v>
      </c>
      <c r="B181" t="s">
        <v>241</v>
      </c>
      <c r="C181" s="4">
        <v>0</v>
      </c>
      <c r="D181" s="5">
        <v>0</v>
      </c>
      <c r="E181" s="5">
        <v>0</v>
      </c>
      <c r="F181" s="5">
        <v>0</v>
      </c>
      <c r="G181" s="5">
        <v>0</v>
      </c>
      <c r="H181" s="5">
        <v>0</v>
      </c>
      <c r="I181" s="5">
        <v>0</v>
      </c>
      <c r="J181" s="5">
        <v>9.8490000000000002</v>
      </c>
      <c r="K181" s="5">
        <v>0</v>
      </c>
      <c r="L181" s="4">
        <v>0</v>
      </c>
      <c r="M181" s="5">
        <v>0</v>
      </c>
      <c r="N181" s="5">
        <v>0</v>
      </c>
      <c r="O181" s="5">
        <v>0</v>
      </c>
      <c r="P181" s="5">
        <v>0</v>
      </c>
      <c r="Q181" s="5">
        <v>0</v>
      </c>
      <c r="R181" s="5">
        <v>0</v>
      </c>
      <c r="S181" s="5">
        <v>24.849</v>
      </c>
      <c r="T181" s="5">
        <v>0</v>
      </c>
    </row>
    <row r="182" spans="1:20" x14ac:dyDescent="0.25">
      <c r="A182" s="3" t="s">
        <v>40</v>
      </c>
      <c r="B182" t="s">
        <v>220</v>
      </c>
      <c r="C182" s="4">
        <v>0</v>
      </c>
      <c r="D182" s="5">
        <v>0</v>
      </c>
      <c r="E182" s="5">
        <v>0</v>
      </c>
      <c r="F182" s="5">
        <v>0</v>
      </c>
      <c r="G182" s="5">
        <v>0</v>
      </c>
      <c r="H182" s="5">
        <v>0</v>
      </c>
      <c r="I182" s="5">
        <v>0</v>
      </c>
      <c r="J182" s="5">
        <v>102.155</v>
      </c>
      <c r="K182" s="5">
        <v>34.761000000000003</v>
      </c>
      <c r="L182" s="4">
        <v>0</v>
      </c>
      <c r="M182" s="5">
        <v>0</v>
      </c>
      <c r="N182" s="5">
        <v>0</v>
      </c>
      <c r="O182" s="5">
        <v>0</v>
      </c>
      <c r="P182" s="5">
        <v>0</v>
      </c>
      <c r="Q182" s="5">
        <v>0</v>
      </c>
      <c r="R182" s="5">
        <v>0</v>
      </c>
      <c r="S182" s="5">
        <v>104.063</v>
      </c>
      <c r="T182" s="5">
        <v>37.524000000000001</v>
      </c>
    </row>
    <row r="183" spans="1:20" x14ac:dyDescent="0.25">
      <c r="A183" s="3" t="s">
        <v>39</v>
      </c>
      <c r="B183" t="s">
        <v>255</v>
      </c>
      <c r="C183" s="4">
        <v>0</v>
      </c>
      <c r="D183" s="5">
        <v>0</v>
      </c>
      <c r="E183" s="5">
        <v>0</v>
      </c>
      <c r="F183" s="5">
        <v>0</v>
      </c>
      <c r="G183" s="5">
        <v>0</v>
      </c>
      <c r="H183" s="5">
        <v>0</v>
      </c>
      <c r="I183" s="5">
        <v>0</v>
      </c>
      <c r="J183" s="5">
        <v>0</v>
      </c>
      <c r="K183" s="5">
        <v>108.47</v>
      </c>
      <c r="L183" s="4">
        <v>0</v>
      </c>
      <c r="M183" s="5">
        <v>0</v>
      </c>
      <c r="N183" s="5">
        <v>0</v>
      </c>
      <c r="O183" s="5">
        <v>0</v>
      </c>
      <c r="P183" s="5">
        <v>0</v>
      </c>
      <c r="Q183" s="5">
        <v>0</v>
      </c>
      <c r="R183" s="5">
        <v>0</v>
      </c>
      <c r="S183" s="5">
        <v>0</v>
      </c>
      <c r="T183" s="5">
        <v>108.47</v>
      </c>
    </row>
    <row r="184" spans="1:20" x14ac:dyDescent="0.25">
      <c r="A184" s="3" t="s">
        <v>40</v>
      </c>
      <c r="B184" t="s">
        <v>256</v>
      </c>
      <c r="C184" s="4">
        <v>0</v>
      </c>
      <c r="D184" s="5">
        <v>0</v>
      </c>
      <c r="E184" s="5">
        <v>0</v>
      </c>
      <c r="F184" s="5">
        <v>0</v>
      </c>
      <c r="G184" s="5">
        <v>0</v>
      </c>
      <c r="H184" s="5">
        <v>0</v>
      </c>
      <c r="I184" s="5">
        <v>0</v>
      </c>
      <c r="J184" s="5">
        <v>0</v>
      </c>
      <c r="K184" s="5">
        <v>26.843</v>
      </c>
      <c r="L184" s="4">
        <v>0</v>
      </c>
      <c r="M184" s="5">
        <v>0</v>
      </c>
      <c r="N184" s="5">
        <v>0</v>
      </c>
      <c r="O184" s="5">
        <v>0</v>
      </c>
      <c r="P184" s="5">
        <v>0</v>
      </c>
      <c r="Q184" s="5">
        <v>0</v>
      </c>
      <c r="R184" s="5">
        <v>0</v>
      </c>
      <c r="S184" s="5">
        <v>0</v>
      </c>
      <c r="T184" s="5">
        <v>26.843</v>
      </c>
    </row>
  </sheetData>
  <mergeCells count="6">
    <mergeCell ref="A1:R1"/>
    <mergeCell ref="A2:R2"/>
    <mergeCell ref="A3:R3"/>
    <mergeCell ref="A5:B5"/>
    <mergeCell ref="C5:K5"/>
    <mergeCell ref="L5:T5"/>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935"/>
  <sheetViews>
    <sheetView workbookViewId="0">
      <selection sqref="A1:R1"/>
    </sheetView>
  </sheetViews>
  <sheetFormatPr baseColWidth="10" defaultRowHeight="15" x14ac:dyDescent="0.25"/>
  <cols>
    <col min="1" max="1" width="5.7109375" customWidth="1"/>
    <col min="2" max="2" width="6.7109375" customWidth="1"/>
    <col min="3" max="4" width="16.7109375" customWidth="1"/>
    <col min="5" max="5" width="10.7109375" customWidth="1"/>
    <col min="6" max="6" width="28.7109375" customWidth="1"/>
    <col min="7" max="8" width="11.7109375" customWidth="1"/>
  </cols>
  <sheetData>
    <row r="1" spans="1:18" ht="18" x14ac:dyDescent="0.25">
      <c r="A1" s="12" t="s">
        <v>257</v>
      </c>
      <c r="B1" s="8"/>
      <c r="C1" s="8"/>
      <c r="D1" s="8"/>
      <c r="E1" s="8"/>
      <c r="F1" s="8"/>
      <c r="G1" s="8"/>
      <c r="H1" s="8"/>
      <c r="I1" s="8"/>
      <c r="J1" s="8"/>
      <c r="K1" s="8"/>
      <c r="L1" s="8"/>
      <c r="M1" s="8"/>
      <c r="N1" s="8"/>
      <c r="O1" s="8"/>
      <c r="P1" s="8"/>
      <c r="Q1" s="8"/>
      <c r="R1" s="8"/>
    </row>
    <row r="2" spans="1:18" x14ac:dyDescent="0.25">
      <c r="A2" s="10" t="s">
        <v>43</v>
      </c>
      <c r="B2" s="8"/>
      <c r="C2" s="8"/>
      <c r="D2" s="8"/>
      <c r="E2" s="8"/>
      <c r="F2" s="8"/>
      <c r="G2" s="8"/>
      <c r="H2" s="8"/>
      <c r="I2" s="8"/>
      <c r="J2" s="8"/>
      <c r="K2" s="8"/>
      <c r="L2" s="8"/>
      <c r="M2" s="8"/>
      <c r="N2" s="8"/>
      <c r="O2" s="8"/>
      <c r="P2" s="8"/>
      <c r="Q2" s="8"/>
      <c r="R2" s="8"/>
    </row>
    <row r="3" spans="1:18" x14ac:dyDescent="0.25">
      <c r="A3" s="10" t="s">
        <v>258</v>
      </c>
      <c r="B3" s="8"/>
      <c r="C3" s="8"/>
      <c r="D3" s="8"/>
      <c r="E3" s="8"/>
      <c r="F3" s="8"/>
      <c r="G3" s="8"/>
      <c r="H3" s="8"/>
      <c r="I3" s="8"/>
      <c r="J3" s="8"/>
      <c r="K3" s="8"/>
      <c r="L3" s="8"/>
      <c r="M3" s="8"/>
      <c r="N3" s="8"/>
      <c r="O3" s="8"/>
      <c r="P3" s="8"/>
      <c r="Q3" s="8"/>
      <c r="R3" s="8"/>
    </row>
    <row r="5" spans="1:18" ht="15.75" x14ac:dyDescent="0.25">
      <c r="A5" s="7" t="s">
        <v>259</v>
      </c>
      <c r="B5" s="7" t="s">
        <v>260</v>
      </c>
      <c r="C5" s="7" t="s">
        <v>261</v>
      </c>
      <c r="D5" s="7" t="s">
        <v>262</v>
      </c>
      <c r="E5" s="7" t="s">
        <v>263</v>
      </c>
      <c r="F5" s="7" t="s">
        <v>264</v>
      </c>
      <c r="G5" s="7" t="s">
        <v>265</v>
      </c>
      <c r="H5" s="7" t="s">
        <v>266</v>
      </c>
    </row>
    <row r="6" spans="1:18" x14ac:dyDescent="0.25">
      <c r="A6" t="s">
        <v>267</v>
      </c>
      <c r="B6">
        <v>2016</v>
      </c>
      <c r="C6" t="s">
        <v>39</v>
      </c>
      <c r="D6" t="s">
        <v>39</v>
      </c>
      <c r="E6" t="s">
        <v>268</v>
      </c>
      <c r="F6" t="s">
        <v>47</v>
      </c>
      <c r="G6" s="5">
        <v>105565500</v>
      </c>
      <c r="H6" s="5">
        <v>105666835</v>
      </c>
    </row>
    <row r="7" spans="1:18" x14ac:dyDescent="0.25">
      <c r="A7" t="s">
        <v>267</v>
      </c>
      <c r="B7">
        <v>2016</v>
      </c>
      <c r="C7" t="s">
        <v>39</v>
      </c>
      <c r="D7" t="s">
        <v>39</v>
      </c>
      <c r="E7" t="s">
        <v>269</v>
      </c>
      <c r="F7" t="s">
        <v>48</v>
      </c>
      <c r="G7" s="5">
        <v>34449519</v>
      </c>
      <c r="H7" s="5">
        <v>34520217</v>
      </c>
    </row>
    <row r="8" spans="1:18" x14ac:dyDescent="0.25">
      <c r="A8" t="s">
        <v>267</v>
      </c>
      <c r="B8">
        <v>2016</v>
      </c>
      <c r="C8" t="s">
        <v>39</v>
      </c>
      <c r="D8" t="s">
        <v>39</v>
      </c>
      <c r="E8" t="s">
        <v>270</v>
      </c>
      <c r="F8" t="s">
        <v>49</v>
      </c>
      <c r="G8" s="5">
        <v>28613219</v>
      </c>
      <c r="H8" s="5">
        <v>34001913</v>
      </c>
    </row>
    <row r="9" spans="1:18" x14ac:dyDescent="0.25">
      <c r="A9" t="s">
        <v>267</v>
      </c>
      <c r="B9">
        <v>2016</v>
      </c>
      <c r="C9" t="s">
        <v>39</v>
      </c>
      <c r="D9" t="s">
        <v>39</v>
      </c>
      <c r="E9" t="s">
        <v>271</v>
      </c>
      <c r="F9" t="s">
        <v>50</v>
      </c>
      <c r="G9" s="5">
        <v>12289503</v>
      </c>
      <c r="H9" s="5">
        <v>24632955</v>
      </c>
    </row>
    <row r="10" spans="1:18" x14ac:dyDescent="0.25">
      <c r="A10" t="s">
        <v>267</v>
      </c>
      <c r="B10">
        <v>2016</v>
      </c>
      <c r="C10" t="s">
        <v>39</v>
      </c>
      <c r="D10" t="s">
        <v>39</v>
      </c>
      <c r="E10" t="s">
        <v>272</v>
      </c>
      <c r="F10" t="s">
        <v>51</v>
      </c>
      <c r="G10" s="5">
        <v>10535496</v>
      </c>
      <c r="H10" s="5">
        <v>10535496</v>
      </c>
    </row>
    <row r="11" spans="1:18" x14ac:dyDescent="0.25">
      <c r="A11" t="s">
        <v>267</v>
      </c>
      <c r="B11">
        <v>2016</v>
      </c>
      <c r="C11" t="s">
        <v>39</v>
      </c>
      <c r="D11" t="s">
        <v>39</v>
      </c>
      <c r="E11" t="s">
        <v>273</v>
      </c>
      <c r="F11" t="s">
        <v>52</v>
      </c>
      <c r="G11" s="5">
        <v>8870823</v>
      </c>
      <c r="H11" s="5">
        <v>8870823</v>
      </c>
    </row>
    <row r="12" spans="1:18" x14ac:dyDescent="0.25">
      <c r="A12" t="s">
        <v>267</v>
      </c>
      <c r="B12">
        <v>2016</v>
      </c>
      <c r="C12" t="s">
        <v>39</v>
      </c>
      <c r="D12" t="s">
        <v>39</v>
      </c>
      <c r="E12" t="s">
        <v>274</v>
      </c>
      <c r="F12" t="s">
        <v>53</v>
      </c>
      <c r="G12" s="5">
        <v>7917426</v>
      </c>
      <c r="H12" s="5">
        <v>7917426</v>
      </c>
    </row>
    <row r="13" spans="1:18" x14ac:dyDescent="0.25">
      <c r="A13" t="s">
        <v>267</v>
      </c>
      <c r="B13">
        <v>2016</v>
      </c>
      <c r="C13" t="s">
        <v>39</v>
      </c>
      <c r="D13" t="s">
        <v>39</v>
      </c>
      <c r="E13" t="s">
        <v>275</v>
      </c>
      <c r="F13" t="s">
        <v>54</v>
      </c>
      <c r="G13" s="5">
        <v>7726549</v>
      </c>
      <c r="H13" s="5">
        <v>7726549</v>
      </c>
    </row>
    <row r="14" spans="1:18" x14ac:dyDescent="0.25">
      <c r="A14" t="s">
        <v>267</v>
      </c>
      <c r="B14">
        <v>2016</v>
      </c>
      <c r="C14" t="s">
        <v>39</v>
      </c>
      <c r="D14" t="s">
        <v>39</v>
      </c>
      <c r="E14" t="s">
        <v>276</v>
      </c>
      <c r="F14" t="s">
        <v>55</v>
      </c>
      <c r="G14" s="5">
        <v>7132958</v>
      </c>
      <c r="H14" s="5">
        <v>7132958</v>
      </c>
    </row>
    <row r="15" spans="1:18" x14ac:dyDescent="0.25">
      <c r="A15" t="s">
        <v>267</v>
      </c>
      <c r="B15">
        <v>2016</v>
      </c>
      <c r="C15" t="s">
        <v>39</v>
      </c>
      <c r="D15" t="s">
        <v>39</v>
      </c>
      <c r="E15" t="s">
        <v>277</v>
      </c>
      <c r="F15" t="s">
        <v>56</v>
      </c>
      <c r="G15" s="5">
        <v>6255353</v>
      </c>
      <c r="H15" s="5">
        <v>6255353</v>
      </c>
    </row>
    <row r="16" spans="1:18" x14ac:dyDescent="0.25">
      <c r="A16" t="s">
        <v>267</v>
      </c>
      <c r="B16">
        <v>2016</v>
      </c>
      <c r="C16" t="s">
        <v>39</v>
      </c>
      <c r="D16" t="s">
        <v>39</v>
      </c>
      <c r="E16" t="s">
        <v>278</v>
      </c>
      <c r="F16" t="s">
        <v>57</v>
      </c>
      <c r="G16" s="5">
        <v>4611555</v>
      </c>
      <c r="H16" s="5">
        <v>4611555</v>
      </c>
    </row>
    <row r="17" spans="1:8" x14ac:dyDescent="0.25">
      <c r="A17" t="s">
        <v>267</v>
      </c>
      <c r="B17">
        <v>2016</v>
      </c>
      <c r="C17" t="s">
        <v>39</v>
      </c>
      <c r="D17" t="s">
        <v>39</v>
      </c>
      <c r="E17" t="s">
        <v>279</v>
      </c>
      <c r="F17" t="s">
        <v>58</v>
      </c>
      <c r="G17" s="5">
        <v>3263035</v>
      </c>
      <c r="H17" s="5">
        <v>3263035</v>
      </c>
    </row>
    <row r="18" spans="1:8" x14ac:dyDescent="0.25">
      <c r="A18" t="s">
        <v>267</v>
      </c>
      <c r="B18">
        <v>2016</v>
      </c>
      <c r="C18" t="s">
        <v>39</v>
      </c>
      <c r="D18" t="s">
        <v>39</v>
      </c>
      <c r="E18" t="s">
        <v>280</v>
      </c>
      <c r="F18" t="s">
        <v>59</v>
      </c>
      <c r="G18" s="5">
        <v>2746219</v>
      </c>
      <c r="H18" s="5">
        <v>4220422</v>
      </c>
    </row>
    <row r="19" spans="1:8" x14ac:dyDescent="0.25">
      <c r="A19" t="s">
        <v>267</v>
      </c>
      <c r="B19">
        <v>2016</v>
      </c>
      <c r="C19" t="s">
        <v>39</v>
      </c>
      <c r="D19" t="s">
        <v>39</v>
      </c>
      <c r="E19" t="s">
        <v>281</v>
      </c>
      <c r="F19" t="s">
        <v>60</v>
      </c>
      <c r="G19" s="5">
        <v>2222285</v>
      </c>
      <c r="H19" s="5">
        <v>2222285</v>
      </c>
    </row>
    <row r="20" spans="1:8" x14ac:dyDescent="0.25">
      <c r="A20" t="s">
        <v>267</v>
      </c>
      <c r="B20">
        <v>2016</v>
      </c>
      <c r="C20" t="s">
        <v>39</v>
      </c>
      <c r="D20" t="s">
        <v>39</v>
      </c>
      <c r="E20" t="s">
        <v>282</v>
      </c>
      <c r="F20" t="s">
        <v>61</v>
      </c>
      <c r="G20" s="5">
        <v>1991039</v>
      </c>
      <c r="H20" s="5">
        <v>1991039</v>
      </c>
    </row>
    <row r="21" spans="1:8" x14ac:dyDescent="0.25">
      <c r="A21" t="s">
        <v>267</v>
      </c>
      <c r="B21">
        <v>2016</v>
      </c>
      <c r="C21" t="s">
        <v>39</v>
      </c>
      <c r="D21" t="s">
        <v>39</v>
      </c>
      <c r="E21" t="s">
        <v>283</v>
      </c>
      <c r="F21" t="s">
        <v>62</v>
      </c>
      <c r="G21" s="5">
        <v>1738615</v>
      </c>
      <c r="H21" s="5">
        <v>1738615</v>
      </c>
    </row>
    <row r="22" spans="1:8" x14ac:dyDescent="0.25">
      <c r="A22" t="s">
        <v>267</v>
      </c>
      <c r="B22">
        <v>2016</v>
      </c>
      <c r="C22" t="s">
        <v>39</v>
      </c>
      <c r="D22" t="s">
        <v>39</v>
      </c>
      <c r="E22" t="s">
        <v>284</v>
      </c>
      <c r="F22" t="s">
        <v>63</v>
      </c>
      <c r="G22" s="5">
        <v>1692355</v>
      </c>
      <c r="H22" s="5">
        <v>1692355</v>
      </c>
    </row>
    <row r="23" spans="1:8" x14ac:dyDescent="0.25">
      <c r="A23" t="s">
        <v>267</v>
      </c>
      <c r="B23">
        <v>2016</v>
      </c>
      <c r="C23" t="s">
        <v>39</v>
      </c>
      <c r="D23" t="s">
        <v>39</v>
      </c>
      <c r="F23" t="s">
        <v>64</v>
      </c>
      <c r="G23" s="5">
        <v>1373912</v>
      </c>
      <c r="H23" s="5">
        <v>1373912</v>
      </c>
    </row>
    <row r="24" spans="1:8" x14ac:dyDescent="0.25">
      <c r="A24" t="s">
        <v>267</v>
      </c>
      <c r="B24">
        <v>2016</v>
      </c>
      <c r="C24" t="s">
        <v>39</v>
      </c>
      <c r="D24" t="s">
        <v>39</v>
      </c>
      <c r="E24" t="s">
        <v>285</v>
      </c>
      <c r="F24" t="s">
        <v>65</v>
      </c>
      <c r="G24" s="5">
        <v>1110767</v>
      </c>
      <c r="H24" s="5">
        <v>1110767</v>
      </c>
    </row>
    <row r="25" spans="1:8" x14ac:dyDescent="0.25">
      <c r="A25" t="s">
        <v>267</v>
      </c>
      <c r="B25">
        <v>2016</v>
      </c>
      <c r="C25" t="s">
        <v>39</v>
      </c>
      <c r="D25" t="s">
        <v>39</v>
      </c>
      <c r="E25" t="s">
        <v>286</v>
      </c>
      <c r="F25" t="s">
        <v>66</v>
      </c>
      <c r="G25" s="5">
        <v>1100389</v>
      </c>
      <c r="H25" s="5">
        <v>1100389</v>
      </c>
    </row>
    <row r="26" spans="1:8" x14ac:dyDescent="0.25">
      <c r="A26" t="s">
        <v>267</v>
      </c>
      <c r="B26">
        <v>2016</v>
      </c>
      <c r="C26" t="s">
        <v>39</v>
      </c>
      <c r="D26" t="s">
        <v>39</v>
      </c>
      <c r="E26" t="s">
        <v>287</v>
      </c>
      <c r="F26" t="s">
        <v>67</v>
      </c>
      <c r="G26" s="5">
        <v>1094248</v>
      </c>
      <c r="H26" s="5">
        <v>1094248</v>
      </c>
    </row>
    <row r="27" spans="1:8" x14ac:dyDescent="0.25">
      <c r="A27" t="s">
        <v>267</v>
      </c>
      <c r="B27">
        <v>2016</v>
      </c>
      <c r="C27" t="s">
        <v>39</v>
      </c>
      <c r="D27" t="s">
        <v>39</v>
      </c>
      <c r="E27" t="s">
        <v>288</v>
      </c>
      <c r="F27" t="s">
        <v>68</v>
      </c>
      <c r="G27" s="5">
        <v>966332</v>
      </c>
      <c r="H27" s="5">
        <v>966332</v>
      </c>
    </row>
    <row r="28" spans="1:8" x14ac:dyDescent="0.25">
      <c r="A28" t="s">
        <v>267</v>
      </c>
      <c r="B28">
        <v>2016</v>
      </c>
      <c r="C28" t="s">
        <v>39</v>
      </c>
      <c r="D28" t="s">
        <v>39</v>
      </c>
      <c r="E28" t="s">
        <v>289</v>
      </c>
      <c r="F28" t="s">
        <v>69</v>
      </c>
      <c r="G28" s="5">
        <v>849817</v>
      </c>
      <c r="H28" s="5">
        <v>909385</v>
      </c>
    </row>
    <row r="29" spans="1:8" x14ac:dyDescent="0.25">
      <c r="A29" t="s">
        <v>267</v>
      </c>
      <c r="B29">
        <v>2016</v>
      </c>
      <c r="C29" t="s">
        <v>39</v>
      </c>
      <c r="D29" t="s">
        <v>39</v>
      </c>
      <c r="E29" t="s">
        <v>290</v>
      </c>
      <c r="F29" t="s">
        <v>70</v>
      </c>
      <c r="G29" s="5">
        <v>770140</v>
      </c>
      <c r="H29" s="5">
        <v>770140</v>
      </c>
    </row>
    <row r="30" spans="1:8" x14ac:dyDescent="0.25">
      <c r="A30" t="s">
        <v>267</v>
      </c>
      <c r="B30">
        <v>2016</v>
      </c>
      <c r="C30" t="s">
        <v>39</v>
      </c>
      <c r="D30" t="s">
        <v>39</v>
      </c>
      <c r="E30" t="s">
        <v>291</v>
      </c>
      <c r="F30" t="s">
        <v>71</v>
      </c>
      <c r="G30" s="5">
        <v>621059</v>
      </c>
      <c r="H30" s="5">
        <v>621059</v>
      </c>
    </row>
    <row r="31" spans="1:8" x14ac:dyDescent="0.25">
      <c r="A31" t="s">
        <v>267</v>
      </c>
      <c r="B31">
        <v>2016</v>
      </c>
      <c r="C31" t="s">
        <v>39</v>
      </c>
      <c r="D31" t="s">
        <v>39</v>
      </c>
      <c r="E31" t="s">
        <v>292</v>
      </c>
      <c r="F31" t="s">
        <v>72</v>
      </c>
      <c r="G31" s="5">
        <v>520948</v>
      </c>
      <c r="H31" s="5">
        <v>520948</v>
      </c>
    </row>
    <row r="32" spans="1:8" x14ac:dyDescent="0.25">
      <c r="A32" t="s">
        <v>267</v>
      </c>
      <c r="B32">
        <v>2016</v>
      </c>
      <c r="C32" t="s">
        <v>39</v>
      </c>
      <c r="D32" t="s">
        <v>39</v>
      </c>
      <c r="E32" t="s">
        <v>293</v>
      </c>
      <c r="F32" t="s">
        <v>73</v>
      </c>
      <c r="G32" s="5">
        <v>475814</v>
      </c>
      <c r="H32" s="5">
        <v>475814</v>
      </c>
    </row>
    <row r="33" spans="1:8" x14ac:dyDescent="0.25">
      <c r="A33" t="s">
        <v>267</v>
      </c>
      <c r="B33">
        <v>2016</v>
      </c>
      <c r="C33" t="s">
        <v>39</v>
      </c>
      <c r="D33" t="s">
        <v>39</v>
      </c>
      <c r="E33" t="s">
        <v>294</v>
      </c>
      <c r="F33" t="s">
        <v>74</v>
      </c>
      <c r="G33" s="5">
        <v>465628</v>
      </c>
      <c r="H33" s="5">
        <v>465628</v>
      </c>
    </row>
    <row r="34" spans="1:8" x14ac:dyDescent="0.25">
      <c r="A34" t="s">
        <v>267</v>
      </c>
      <c r="B34">
        <v>2016</v>
      </c>
      <c r="C34" t="s">
        <v>39</v>
      </c>
      <c r="D34" t="s">
        <v>39</v>
      </c>
      <c r="E34" t="s">
        <v>295</v>
      </c>
      <c r="F34" t="s">
        <v>75</v>
      </c>
      <c r="G34" s="5">
        <v>421000</v>
      </c>
      <c r="H34" s="5">
        <v>421000</v>
      </c>
    </row>
    <row r="35" spans="1:8" x14ac:dyDescent="0.25">
      <c r="A35" t="s">
        <v>267</v>
      </c>
      <c r="B35">
        <v>2016</v>
      </c>
      <c r="C35" t="s">
        <v>39</v>
      </c>
      <c r="D35" t="s">
        <v>39</v>
      </c>
      <c r="E35" t="s">
        <v>296</v>
      </c>
      <c r="F35" t="s">
        <v>76</v>
      </c>
      <c r="G35" s="5">
        <v>370639</v>
      </c>
      <c r="H35" s="5">
        <v>370639</v>
      </c>
    </row>
    <row r="36" spans="1:8" x14ac:dyDescent="0.25">
      <c r="A36" t="s">
        <v>267</v>
      </c>
      <c r="B36">
        <v>2016</v>
      </c>
      <c r="C36" t="s">
        <v>39</v>
      </c>
      <c r="D36" t="s">
        <v>39</v>
      </c>
      <c r="E36" t="s">
        <v>297</v>
      </c>
      <c r="F36" t="s">
        <v>77</v>
      </c>
      <c r="G36" s="5">
        <v>254698</v>
      </c>
      <c r="H36" s="5">
        <v>254698</v>
      </c>
    </row>
    <row r="37" spans="1:8" x14ac:dyDescent="0.25">
      <c r="A37" t="s">
        <v>267</v>
      </c>
      <c r="B37">
        <v>2016</v>
      </c>
      <c r="C37" t="s">
        <v>39</v>
      </c>
      <c r="D37" t="s">
        <v>39</v>
      </c>
      <c r="E37" t="s">
        <v>298</v>
      </c>
      <c r="F37" t="s">
        <v>78</v>
      </c>
      <c r="G37" s="5">
        <v>245612</v>
      </c>
      <c r="H37" s="5">
        <v>245612</v>
      </c>
    </row>
    <row r="38" spans="1:8" x14ac:dyDescent="0.25">
      <c r="A38" t="s">
        <v>267</v>
      </c>
      <c r="B38">
        <v>2016</v>
      </c>
      <c r="C38" t="s">
        <v>39</v>
      </c>
      <c r="D38" t="s">
        <v>39</v>
      </c>
      <c r="E38" t="s">
        <v>299</v>
      </c>
      <c r="F38" t="s">
        <v>79</v>
      </c>
      <c r="G38" s="5">
        <v>136682</v>
      </c>
      <c r="H38" s="5">
        <v>136682</v>
      </c>
    </row>
    <row r="39" spans="1:8" x14ac:dyDescent="0.25">
      <c r="A39" t="s">
        <v>267</v>
      </c>
      <c r="B39">
        <v>2016</v>
      </c>
      <c r="C39" t="s">
        <v>39</v>
      </c>
      <c r="D39" t="s">
        <v>39</v>
      </c>
      <c r="E39" t="s">
        <v>300</v>
      </c>
      <c r="F39" t="s">
        <v>80</v>
      </c>
      <c r="G39" s="5">
        <v>131552</v>
      </c>
      <c r="H39" s="5">
        <v>131552</v>
      </c>
    </row>
    <row r="40" spans="1:8" x14ac:dyDescent="0.25">
      <c r="A40" t="s">
        <v>267</v>
      </c>
      <c r="B40">
        <v>2016</v>
      </c>
      <c r="C40" t="s">
        <v>39</v>
      </c>
      <c r="D40" t="s">
        <v>39</v>
      </c>
      <c r="E40" t="s">
        <v>301</v>
      </c>
      <c r="F40" t="s">
        <v>81</v>
      </c>
      <c r="G40" s="5">
        <v>125680</v>
      </c>
      <c r="H40" s="5">
        <v>125680</v>
      </c>
    </row>
    <row r="41" spans="1:8" x14ac:dyDescent="0.25">
      <c r="A41" t="s">
        <v>267</v>
      </c>
      <c r="B41">
        <v>2016</v>
      </c>
      <c r="C41" t="s">
        <v>39</v>
      </c>
      <c r="D41" t="s">
        <v>39</v>
      </c>
      <c r="E41" t="s">
        <v>302</v>
      </c>
      <c r="F41" t="s">
        <v>82</v>
      </c>
      <c r="G41" s="5">
        <v>116063</v>
      </c>
      <c r="H41" s="5">
        <v>116063</v>
      </c>
    </row>
    <row r="42" spans="1:8" x14ac:dyDescent="0.25">
      <c r="A42" t="s">
        <v>267</v>
      </c>
      <c r="B42">
        <v>2016</v>
      </c>
      <c r="C42" t="s">
        <v>39</v>
      </c>
      <c r="D42" t="s">
        <v>39</v>
      </c>
      <c r="E42" t="s">
        <v>303</v>
      </c>
      <c r="F42" t="s">
        <v>83</v>
      </c>
      <c r="G42" s="5">
        <v>115308</v>
      </c>
      <c r="H42" s="5">
        <v>115308</v>
      </c>
    </row>
    <row r="43" spans="1:8" x14ac:dyDescent="0.25">
      <c r="A43" t="s">
        <v>267</v>
      </c>
      <c r="B43">
        <v>2016</v>
      </c>
      <c r="C43" t="s">
        <v>39</v>
      </c>
      <c r="D43" t="s">
        <v>39</v>
      </c>
      <c r="E43" t="s">
        <v>304</v>
      </c>
      <c r="F43" t="s">
        <v>84</v>
      </c>
      <c r="G43" s="5">
        <v>111102</v>
      </c>
      <c r="H43" s="5">
        <v>111102</v>
      </c>
    </row>
    <row r="44" spans="1:8" x14ac:dyDescent="0.25">
      <c r="A44" t="s">
        <v>267</v>
      </c>
      <c r="B44">
        <v>2016</v>
      </c>
      <c r="C44" t="s">
        <v>39</v>
      </c>
      <c r="D44" t="s">
        <v>39</v>
      </c>
      <c r="E44" t="s">
        <v>305</v>
      </c>
      <c r="F44" t="s">
        <v>85</v>
      </c>
      <c r="G44" s="5">
        <v>95755</v>
      </c>
      <c r="H44" s="5">
        <v>95755</v>
      </c>
    </row>
    <row r="45" spans="1:8" x14ac:dyDescent="0.25">
      <c r="A45" t="s">
        <v>267</v>
      </c>
      <c r="B45">
        <v>2016</v>
      </c>
      <c r="C45" t="s">
        <v>39</v>
      </c>
      <c r="D45" t="s">
        <v>39</v>
      </c>
      <c r="E45" t="s">
        <v>306</v>
      </c>
      <c r="F45" t="s">
        <v>86</v>
      </c>
      <c r="G45" s="5">
        <v>83725</v>
      </c>
      <c r="H45" s="5">
        <v>83725</v>
      </c>
    </row>
    <row r="46" spans="1:8" x14ac:dyDescent="0.25">
      <c r="A46" t="s">
        <v>267</v>
      </c>
      <c r="B46">
        <v>2016</v>
      </c>
      <c r="C46" t="s">
        <v>39</v>
      </c>
      <c r="D46" t="s">
        <v>39</v>
      </c>
      <c r="E46" t="s">
        <v>307</v>
      </c>
      <c r="F46" t="s">
        <v>87</v>
      </c>
      <c r="G46" s="5">
        <v>78488</v>
      </c>
      <c r="H46" s="5">
        <v>78488</v>
      </c>
    </row>
    <row r="47" spans="1:8" x14ac:dyDescent="0.25">
      <c r="A47" t="s">
        <v>267</v>
      </c>
      <c r="B47">
        <v>2016</v>
      </c>
      <c r="C47" t="s">
        <v>39</v>
      </c>
      <c r="D47" t="s">
        <v>39</v>
      </c>
      <c r="E47" t="s">
        <v>308</v>
      </c>
      <c r="F47" t="s">
        <v>88</v>
      </c>
      <c r="G47" s="5">
        <v>45709</v>
      </c>
      <c r="H47" s="5">
        <v>45709</v>
      </c>
    </row>
    <row r="48" spans="1:8" x14ac:dyDescent="0.25">
      <c r="A48" t="s">
        <v>267</v>
      </c>
      <c r="B48">
        <v>2016</v>
      </c>
      <c r="C48" t="s">
        <v>39</v>
      </c>
      <c r="D48" t="s">
        <v>39</v>
      </c>
      <c r="E48" t="s">
        <v>309</v>
      </c>
      <c r="F48" t="s">
        <v>89</v>
      </c>
      <c r="G48" s="5">
        <v>25320</v>
      </c>
      <c r="H48" s="5">
        <v>25320</v>
      </c>
    </row>
    <row r="49" spans="1:8" x14ac:dyDescent="0.25">
      <c r="A49" t="s">
        <v>267</v>
      </c>
      <c r="B49">
        <v>2016</v>
      </c>
      <c r="C49" t="s">
        <v>39</v>
      </c>
      <c r="D49" t="s">
        <v>39</v>
      </c>
      <c r="E49" t="s">
        <v>310</v>
      </c>
      <c r="F49" t="s">
        <v>90</v>
      </c>
      <c r="G49" s="5">
        <v>18134</v>
      </c>
      <c r="H49" s="5">
        <v>18134</v>
      </c>
    </row>
    <row r="50" spans="1:8" x14ac:dyDescent="0.25">
      <c r="A50" t="s">
        <v>267</v>
      </c>
      <c r="B50">
        <v>2016</v>
      </c>
      <c r="C50" t="s">
        <v>39</v>
      </c>
      <c r="D50" t="s">
        <v>39</v>
      </c>
      <c r="E50" t="s">
        <v>311</v>
      </c>
      <c r="F50" t="s">
        <v>91</v>
      </c>
      <c r="G50" s="5">
        <v>14883</v>
      </c>
      <c r="H50" s="5">
        <v>14883</v>
      </c>
    </row>
    <row r="51" spans="1:8" x14ac:dyDescent="0.25">
      <c r="A51" t="s">
        <v>267</v>
      </c>
      <c r="B51">
        <v>2016</v>
      </c>
      <c r="C51" t="s">
        <v>92</v>
      </c>
      <c r="D51" t="s">
        <v>36</v>
      </c>
      <c r="E51" t="s">
        <v>36</v>
      </c>
      <c r="F51" t="s">
        <v>93</v>
      </c>
      <c r="G51" s="5">
        <v>1254101026</v>
      </c>
      <c r="H51" s="5">
        <v>1769375174</v>
      </c>
    </row>
    <row r="52" spans="1:8" x14ac:dyDescent="0.25">
      <c r="A52" t="s">
        <v>267</v>
      </c>
      <c r="B52">
        <v>2016</v>
      </c>
      <c r="C52" t="s">
        <v>92</v>
      </c>
      <c r="D52" t="s">
        <v>38</v>
      </c>
      <c r="E52" t="s">
        <v>312</v>
      </c>
      <c r="F52" t="s">
        <v>94</v>
      </c>
      <c r="G52" s="5">
        <v>144656905</v>
      </c>
      <c r="H52" s="5">
        <v>144756997</v>
      </c>
    </row>
    <row r="53" spans="1:8" x14ac:dyDescent="0.25">
      <c r="A53" t="s">
        <v>267</v>
      </c>
      <c r="B53">
        <v>2016</v>
      </c>
      <c r="C53" t="s">
        <v>92</v>
      </c>
      <c r="D53" t="s">
        <v>38</v>
      </c>
      <c r="E53" t="s">
        <v>313</v>
      </c>
      <c r="F53" t="s">
        <v>95</v>
      </c>
      <c r="G53" s="5">
        <v>102740193</v>
      </c>
      <c r="H53" s="5">
        <v>107625151</v>
      </c>
    </row>
    <row r="54" spans="1:8" x14ac:dyDescent="0.25">
      <c r="A54" t="s">
        <v>267</v>
      </c>
      <c r="B54">
        <v>2016</v>
      </c>
      <c r="C54" t="s">
        <v>92</v>
      </c>
      <c r="D54" t="s">
        <v>38</v>
      </c>
      <c r="E54" t="s">
        <v>314</v>
      </c>
      <c r="F54" t="s">
        <v>96</v>
      </c>
      <c r="G54" s="5">
        <v>73848032</v>
      </c>
      <c r="H54" s="5">
        <v>74120011</v>
      </c>
    </row>
    <row r="55" spans="1:8" x14ac:dyDescent="0.25">
      <c r="A55" t="s">
        <v>267</v>
      </c>
      <c r="B55">
        <v>2016</v>
      </c>
      <c r="C55" t="s">
        <v>92</v>
      </c>
      <c r="D55" t="s">
        <v>38</v>
      </c>
      <c r="E55" t="s">
        <v>315</v>
      </c>
      <c r="F55" t="s">
        <v>97</v>
      </c>
      <c r="G55" s="5">
        <v>37395347</v>
      </c>
      <c r="H55" s="5">
        <v>37515512</v>
      </c>
    </row>
    <row r="56" spans="1:8" x14ac:dyDescent="0.25">
      <c r="A56" t="s">
        <v>267</v>
      </c>
      <c r="B56">
        <v>2016</v>
      </c>
      <c r="C56" t="s">
        <v>92</v>
      </c>
      <c r="D56" t="s">
        <v>38</v>
      </c>
      <c r="E56" t="s">
        <v>316</v>
      </c>
      <c r="F56" t="s">
        <v>98</v>
      </c>
      <c r="G56" s="5">
        <v>26370563</v>
      </c>
      <c r="H56" s="5">
        <v>26392369</v>
      </c>
    </row>
    <row r="57" spans="1:8" x14ac:dyDescent="0.25">
      <c r="A57" t="s">
        <v>267</v>
      </c>
      <c r="B57">
        <v>2016</v>
      </c>
      <c r="C57" t="s">
        <v>92</v>
      </c>
      <c r="D57" t="s">
        <v>38</v>
      </c>
      <c r="E57" t="s">
        <v>317</v>
      </c>
      <c r="F57" t="s">
        <v>99</v>
      </c>
      <c r="G57" s="5">
        <v>16325722</v>
      </c>
      <c r="H57" s="5">
        <v>16325722</v>
      </c>
    </row>
    <row r="58" spans="1:8" x14ac:dyDescent="0.25">
      <c r="A58" t="s">
        <v>267</v>
      </c>
      <c r="B58">
        <v>2016</v>
      </c>
      <c r="C58" t="s">
        <v>92</v>
      </c>
      <c r="D58" t="s">
        <v>38</v>
      </c>
      <c r="E58" t="s">
        <v>318</v>
      </c>
      <c r="F58" t="s">
        <v>100</v>
      </c>
      <c r="G58" s="5">
        <v>15254168</v>
      </c>
      <c r="H58" s="5">
        <v>15316480</v>
      </c>
    </row>
    <row r="59" spans="1:8" x14ac:dyDescent="0.25">
      <c r="A59" t="s">
        <v>267</v>
      </c>
      <c r="B59">
        <v>2016</v>
      </c>
      <c r="C59" t="s">
        <v>92</v>
      </c>
      <c r="D59" t="s">
        <v>38</v>
      </c>
      <c r="E59" t="s">
        <v>319</v>
      </c>
      <c r="F59" t="s">
        <v>101</v>
      </c>
      <c r="G59" s="5">
        <v>8497492</v>
      </c>
      <c r="H59" s="5">
        <v>8522388</v>
      </c>
    </row>
    <row r="60" spans="1:8" x14ac:dyDescent="0.25">
      <c r="A60" t="s">
        <v>267</v>
      </c>
      <c r="B60">
        <v>2016</v>
      </c>
      <c r="C60" t="s">
        <v>92</v>
      </c>
      <c r="D60" t="s">
        <v>38</v>
      </c>
      <c r="E60" t="s">
        <v>320</v>
      </c>
      <c r="F60" t="s">
        <v>102</v>
      </c>
      <c r="G60" s="5">
        <v>7025646</v>
      </c>
      <c r="H60" s="5">
        <v>15958723</v>
      </c>
    </row>
    <row r="61" spans="1:8" x14ac:dyDescent="0.25">
      <c r="A61" t="s">
        <v>267</v>
      </c>
      <c r="B61">
        <v>2016</v>
      </c>
      <c r="C61" t="s">
        <v>92</v>
      </c>
      <c r="D61" t="s">
        <v>38</v>
      </c>
      <c r="E61" t="s">
        <v>321</v>
      </c>
      <c r="F61" t="s">
        <v>103</v>
      </c>
      <c r="G61" s="5">
        <v>6411589</v>
      </c>
      <c r="H61" s="5">
        <v>6414319</v>
      </c>
    </row>
    <row r="62" spans="1:8" x14ac:dyDescent="0.25">
      <c r="A62" t="s">
        <v>267</v>
      </c>
      <c r="B62">
        <v>2016</v>
      </c>
      <c r="C62" t="s">
        <v>92</v>
      </c>
      <c r="D62" t="s">
        <v>38</v>
      </c>
      <c r="F62" t="s">
        <v>104</v>
      </c>
      <c r="G62" s="5">
        <v>6404917</v>
      </c>
      <c r="H62" s="5">
        <v>6457118</v>
      </c>
    </row>
    <row r="63" spans="1:8" x14ac:dyDescent="0.25">
      <c r="A63" t="s">
        <v>267</v>
      </c>
      <c r="B63">
        <v>2016</v>
      </c>
      <c r="C63" t="s">
        <v>92</v>
      </c>
      <c r="D63" t="s">
        <v>38</v>
      </c>
      <c r="E63" t="s">
        <v>322</v>
      </c>
      <c r="F63" t="s">
        <v>105</v>
      </c>
      <c r="G63" s="5">
        <v>4851353</v>
      </c>
      <c r="H63" s="5">
        <v>4854911</v>
      </c>
    </row>
    <row r="64" spans="1:8" x14ac:dyDescent="0.25">
      <c r="A64" t="s">
        <v>267</v>
      </c>
      <c r="B64">
        <v>2016</v>
      </c>
      <c r="C64" t="s">
        <v>92</v>
      </c>
      <c r="D64" t="s">
        <v>38</v>
      </c>
      <c r="E64" t="s">
        <v>323</v>
      </c>
      <c r="F64" t="s">
        <v>106</v>
      </c>
      <c r="G64" s="5">
        <v>4394057</v>
      </c>
      <c r="H64" s="5">
        <v>4394057</v>
      </c>
    </row>
    <row r="65" spans="1:8" x14ac:dyDescent="0.25">
      <c r="A65" t="s">
        <v>267</v>
      </c>
      <c r="B65">
        <v>2016</v>
      </c>
      <c r="C65" t="s">
        <v>92</v>
      </c>
      <c r="D65" t="s">
        <v>38</v>
      </c>
      <c r="E65" t="s">
        <v>324</v>
      </c>
      <c r="F65" t="s">
        <v>107</v>
      </c>
      <c r="G65" s="5">
        <v>4248428</v>
      </c>
      <c r="H65" s="5">
        <v>4259383</v>
      </c>
    </row>
    <row r="66" spans="1:8" x14ac:dyDescent="0.25">
      <c r="A66" t="s">
        <v>267</v>
      </c>
      <c r="B66">
        <v>2016</v>
      </c>
      <c r="C66" t="s">
        <v>92</v>
      </c>
      <c r="D66" t="s">
        <v>38</v>
      </c>
      <c r="E66" t="s">
        <v>325</v>
      </c>
      <c r="F66" t="s">
        <v>108</v>
      </c>
      <c r="G66" s="5">
        <v>3384347</v>
      </c>
      <c r="H66" s="5">
        <v>3392400</v>
      </c>
    </row>
    <row r="67" spans="1:8" x14ac:dyDescent="0.25">
      <c r="A67" t="s">
        <v>267</v>
      </c>
      <c r="B67">
        <v>2016</v>
      </c>
      <c r="C67" t="s">
        <v>92</v>
      </c>
      <c r="D67" t="s">
        <v>38</v>
      </c>
      <c r="E67" t="s">
        <v>326</v>
      </c>
      <c r="F67" t="s">
        <v>109</v>
      </c>
      <c r="G67" s="5">
        <v>2771382</v>
      </c>
      <c r="H67" s="5">
        <v>2771382</v>
      </c>
    </row>
    <row r="68" spans="1:8" x14ac:dyDescent="0.25">
      <c r="A68" t="s">
        <v>267</v>
      </c>
      <c r="B68">
        <v>2016</v>
      </c>
      <c r="C68" t="s">
        <v>92</v>
      </c>
      <c r="D68" t="s">
        <v>38</v>
      </c>
      <c r="E68" t="s">
        <v>327</v>
      </c>
      <c r="F68" t="s">
        <v>110</v>
      </c>
      <c r="G68" s="5">
        <v>2563514</v>
      </c>
      <c r="H68" s="5">
        <v>2563514</v>
      </c>
    </row>
    <row r="69" spans="1:8" x14ac:dyDescent="0.25">
      <c r="A69" t="s">
        <v>267</v>
      </c>
      <c r="B69">
        <v>2016</v>
      </c>
      <c r="C69" t="s">
        <v>92</v>
      </c>
      <c r="D69" t="s">
        <v>38</v>
      </c>
      <c r="E69" t="s">
        <v>328</v>
      </c>
      <c r="F69" t="s">
        <v>111</v>
      </c>
      <c r="G69" s="5">
        <v>2302164</v>
      </c>
      <c r="H69" s="5">
        <v>3096763</v>
      </c>
    </row>
    <row r="70" spans="1:8" x14ac:dyDescent="0.25">
      <c r="A70" t="s">
        <v>267</v>
      </c>
      <c r="B70">
        <v>2016</v>
      </c>
      <c r="C70" t="s">
        <v>92</v>
      </c>
      <c r="D70" t="s">
        <v>38</v>
      </c>
      <c r="E70" t="s">
        <v>329</v>
      </c>
      <c r="F70" t="s">
        <v>112</v>
      </c>
      <c r="G70" s="5">
        <v>1853181</v>
      </c>
      <c r="H70" s="5">
        <v>1853181</v>
      </c>
    </row>
    <row r="71" spans="1:8" x14ac:dyDescent="0.25">
      <c r="A71" t="s">
        <v>267</v>
      </c>
      <c r="B71">
        <v>2016</v>
      </c>
      <c r="C71" t="s">
        <v>92</v>
      </c>
      <c r="D71" t="s">
        <v>38</v>
      </c>
      <c r="E71" t="s">
        <v>330</v>
      </c>
      <c r="F71" t="s">
        <v>113</v>
      </c>
      <c r="G71" s="5">
        <v>1364414</v>
      </c>
      <c r="H71" s="5">
        <v>1364414</v>
      </c>
    </row>
    <row r="72" spans="1:8" x14ac:dyDescent="0.25">
      <c r="A72" t="s">
        <v>267</v>
      </c>
      <c r="B72">
        <v>2016</v>
      </c>
      <c r="C72" t="s">
        <v>92</v>
      </c>
      <c r="D72" t="s">
        <v>38</v>
      </c>
      <c r="E72" t="s">
        <v>331</v>
      </c>
      <c r="F72" t="s">
        <v>114</v>
      </c>
      <c r="G72" s="5">
        <v>1224989</v>
      </c>
      <c r="H72" s="5">
        <v>1224989</v>
      </c>
    </row>
    <row r="73" spans="1:8" x14ac:dyDescent="0.25">
      <c r="A73" t="s">
        <v>267</v>
      </c>
      <c r="B73">
        <v>2016</v>
      </c>
      <c r="C73" t="s">
        <v>92</v>
      </c>
      <c r="D73" t="s">
        <v>38</v>
      </c>
      <c r="E73" t="s">
        <v>332</v>
      </c>
      <c r="F73" t="s">
        <v>115</v>
      </c>
      <c r="G73" s="5">
        <v>1004390</v>
      </c>
      <c r="H73" s="5">
        <v>1004390</v>
      </c>
    </row>
    <row r="74" spans="1:8" x14ac:dyDescent="0.25">
      <c r="A74" t="s">
        <v>267</v>
      </c>
      <c r="B74">
        <v>2016</v>
      </c>
      <c r="C74" t="s">
        <v>92</v>
      </c>
      <c r="D74" t="s">
        <v>38</v>
      </c>
      <c r="E74" t="s">
        <v>333</v>
      </c>
      <c r="F74" t="s">
        <v>116</v>
      </c>
      <c r="G74" s="5">
        <v>684988</v>
      </c>
      <c r="H74" s="5">
        <v>684988</v>
      </c>
    </row>
    <row r="75" spans="1:8" x14ac:dyDescent="0.25">
      <c r="A75" t="s">
        <v>267</v>
      </c>
      <c r="B75">
        <v>2016</v>
      </c>
      <c r="C75" t="s">
        <v>92</v>
      </c>
      <c r="D75" t="s">
        <v>38</v>
      </c>
      <c r="E75" t="s">
        <v>334</v>
      </c>
      <c r="F75" t="s">
        <v>117</v>
      </c>
      <c r="G75" s="5">
        <v>674174</v>
      </c>
      <c r="H75" s="5">
        <v>703984</v>
      </c>
    </row>
    <row r="76" spans="1:8" x14ac:dyDescent="0.25">
      <c r="A76" t="s">
        <v>267</v>
      </c>
      <c r="B76">
        <v>2016</v>
      </c>
      <c r="C76" t="s">
        <v>92</v>
      </c>
      <c r="D76" t="s">
        <v>38</v>
      </c>
      <c r="E76" t="s">
        <v>335</v>
      </c>
      <c r="F76" t="s">
        <v>118</v>
      </c>
      <c r="G76" s="5">
        <v>290761</v>
      </c>
      <c r="H76" s="5">
        <v>290761</v>
      </c>
    </row>
    <row r="77" spans="1:8" x14ac:dyDescent="0.25">
      <c r="A77" t="s">
        <v>267</v>
      </c>
      <c r="B77">
        <v>2016</v>
      </c>
      <c r="C77" t="s">
        <v>92</v>
      </c>
      <c r="D77" t="s">
        <v>38</v>
      </c>
      <c r="E77" t="s">
        <v>336</v>
      </c>
      <c r="F77" t="s">
        <v>119</v>
      </c>
      <c r="G77" s="5">
        <v>226024</v>
      </c>
      <c r="H77" s="5">
        <v>22550837</v>
      </c>
    </row>
    <row r="78" spans="1:8" x14ac:dyDescent="0.25">
      <c r="A78" t="s">
        <v>267</v>
      </c>
      <c r="B78">
        <v>2016</v>
      </c>
      <c r="C78" t="s">
        <v>92</v>
      </c>
      <c r="D78" t="s">
        <v>38</v>
      </c>
      <c r="E78" t="s">
        <v>337</v>
      </c>
      <c r="F78" t="s">
        <v>120</v>
      </c>
      <c r="G78" s="5">
        <v>219173</v>
      </c>
      <c r="H78" s="5">
        <v>219173</v>
      </c>
    </row>
    <row r="79" spans="1:8" x14ac:dyDescent="0.25">
      <c r="A79" t="s">
        <v>267</v>
      </c>
      <c r="B79">
        <v>2016</v>
      </c>
      <c r="C79" t="s">
        <v>92</v>
      </c>
      <c r="D79" t="s">
        <v>38</v>
      </c>
      <c r="E79" t="s">
        <v>338</v>
      </c>
      <c r="F79" t="s">
        <v>121</v>
      </c>
      <c r="G79" s="5">
        <v>205599</v>
      </c>
      <c r="H79" s="5">
        <v>205599</v>
      </c>
    </row>
    <row r="80" spans="1:8" x14ac:dyDescent="0.25">
      <c r="A80" t="s">
        <v>267</v>
      </c>
      <c r="B80">
        <v>2016</v>
      </c>
      <c r="C80" t="s">
        <v>92</v>
      </c>
      <c r="D80" t="s">
        <v>38</v>
      </c>
      <c r="E80" t="s">
        <v>339</v>
      </c>
      <c r="F80" t="s">
        <v>122</v>
      </c>
      <c r="G80" s="5">
        <v>147280</v>
      </c>
      <c r="H80" s="5">
        <v>147280</v>
      </c>
    </row>
    <row r="81" spans="1:8" x14ac:dyDescent="0.25">
      <c r="A81" t="s">
        <v>267</v>
      </c>
      <c r="B81">
        <v>2016</v>
      </c>
      <c r="C81" t="s">
        <v>92</v>
      </c>
      <c r="D81" t="s">
        <v>38</v>
      </c>
      <c r="E81" t="s">
        <v>340</v>
      </c>
      <c r="F81" t="s">
        <v>123</v>
      </c>
      <c r="G81" s="5">
        <v>80083</v>
      </c>
      <c r="H81" s="5">
        <v>80083</v>
      </c>
    </row>
    <row r="82" spans="1:8" x14ac:dyDescent="0.25">
      <c r="A82" t="s">
        <v>267</v>
      </c>
      <c r="B82">
        <v>2016</v>
      </c>
      <c r="C82" t="s">
        <v>92</v>
      </c>
      <c r="D82" t="s">
        <v>38</v>
      </c>
      <c r="E82" t="s">
        <v>341</v>
      </c>
      <c r="F82" t="s">
        <v>124</v>
      </c>
      <c r="G82" s="5">
        <v>63557</v>
      </c>
      <c r="H82" s="5">
        <v>63557</v>
      </c>
    </row>
    <row r="83" spans="1:8" x14ac:dyDescent="0.25">
      <c r="A83" t="s">
        <v>267</v>
      </c>
      <c r="B83">
        <v>2016</v>
      </c>
      <c r="C83" t="s">
        <v>92</v>
      </c>
      <c r="D83" t="s">
        <v>38</v>
      </c>
      <c r="E83" t="s">
        <v>342</v>
      </c>
      <c r="F83" t="s">
        <v>125</v>
      </c>
      <c r="G83" s="5">
        <v>46030</v>
      </c>
      <c r="H83" s="5">
        <v>46030</v>
      </c>
    </row>
    <row r="84" spans="1:8" x14ac:dyDescent="0.25">
      <c r="A84" t="s">
        <v>267</v>
      </c>
      <c r="B84">
        <v>2016</v>
      </c>
      <c r="C84" t="s">
        <v>35</v>
      </c>
      <c r="D84" t="s">
        <v>35</v>
      </c>
      <c r="E84" t="s">
        <v>343</v>
      </c>
      <c r="F84" t="s">
        <v>126</v>
      </c>
      <c r="G84" s="5">
        <v>735696217</v>
      </c>
      <c r="H84" s="5">
        <v>3118974706</v>
      </c>
    </row>
    <row r="85" spans="1:8" x14ac:dyDescent="0.25">
      <c r="A85" t="s">
        <v>267</v>
      </c>
      <c r="B85">
        <v>2016</v>
      </c>
      <c r="C85" t="s">
        <v>35</v>
      </c>
      <c r="D85" t="s">
        <v>35</v>
      </c>
      <c r="E85" t="s">
        <v>344</v>
      </c>
      <c r="F85" t="s">
        <v>127</v>
      </c>
      <c r="G85" s="5">
        <v>247908902</v>
      </c>
      <c r="H85" s="5">
        <v>248474085</v>
      </c>
    </row>
    <row r="86" spans="1:8" x14ac:dyDescent="0.25">
      <c r="A86" t="s">
        <v>267</v>
      </c>
      <c r="B86">
        <v>2016</v>
      </c>
      <c r="C86" t="s">
        <v>35</v>
      </c>
      <c r="D86" t="s">
        <v>35</v>
      </c>
      <c r="E86" t="s">
        <v>345</v>
      </c>
      <c r="F86" t="s">
        <v>128</v>
      </c>
      <c r="G86" s="5">
        <v>238255527</v>
      </c>
      <c r="H86" s="5">
        <v>538387193</v>
      </c>
    </row>
    <row r="87" spans="1:8" x14ac:dyDescent="0.25">
      <c r="A87" t="s">
        <v>267</v>
      </c>
      <c r="B87">
        <v>2016</v>
      </c>
      <c r="C87" t="s">
        <v>35</v>
      </c>
      <c r="D87" t="s">
        <v>35</v>
      </c>
      <c r="E87" t="s">
        <v>346</v>
      </c>
      <c r="F87" t="s">
        <v>129</v>
      </c>
      <c r="G87" s="5">
        <v>224163744</v>
      </c>
      <c r="H87" s="5">
        <v>456667452</v>
      </c>
    </row>
    <row r="88" spans="1:8" x14ac:dyDescent="0.25">
      <c r="A88" t="s">
        <v>267</v>
      </c>
      <c r="B88">
        <v>2016</v>
      </c>
      <c r="C88" t="s">
        <v>35</v>
      </c>
      <c r="D88" t="s">
        <v>35</v>
      </c>
      <c r="E88" t="s">
        <v>347</v>
      </c>
      <c r="F88" t="s">
        <v>130</v>
      </c>
      <c r="G88" s="5">
        <v>211480080</v>
      </c>
      <c r="H88" s="5">
        <v>581266170</v>
      </c>
    </row>
    <row r="89" spans="1:8" x14ac:dyDescent="0.25">
      <c r="A89" t="s">
        <v>267</v>
      </c>
      <c r="B89">
        <v>2016</v>
      </c>
      <c r="C89" t="s">
        <v>35</v>
      </c>
      <c r="D89" t="s">
        <v>35</v>
      </c>
      <c r="E89" t="s">
        <v>348</v>
      </c>
      <c r="F89" t="s">
        <v>131</v>
      </c>
      <c r="G89" s="5">
        <v>211453615</v>
      </c>
      <c r="H89" s="5">
        <v>253397224</v>
      </c>
    </row>
    <row r="90" spans="1:8" x14ac:dyDescent="0.25">
      <c r="A90" t="s">
        <v>267</v>
      </c>
      <c r="B90">
        <v>2016</v>
      </c>
      <c r="C90" t="s">
        <v>35</v>
      </c>
      <c r="D90" t="s">
        <v>35</v>
      </c>
      <c r="E90" t="s">
        <v>349</v>
      </c>
      <c r="F90" t="s">
        <v>132</v>
      </c>
      <c r="G90" s="5">
        <v>203879108</v>
      </c>
      <c r="H90" s="5">
        <v>479791118</v>
      </c>
    </row>
    <row r="91" spans="1:8" x14ac:dyDescent="0.25">
      <c r="A91" t="s">
        <v>267</v>
      </c>
      <c r="B91">
        <v>2016</v>
      </c>
      <c r="C91" t="s">
        <v>35</v>
      </c>
      <c r="D91" t="s">
        <v>35</v>
      </c>
      <c r="E91" t="s">
        <v>350</v>
      </c>
      <c r="F91" t="s">
        <v>133</v>
      </c>
      <c r="G91" s="5">
        <v>122367560</v>
      </c>
      <c r="H91" s="5">
        <v>122392489</v>
      </c>
    </row>
    <row r="92" spans="1:8" x14ac:dyDescent="0.25">
      <c r="A92" t="s">
        <v>267</v>
      </c>
      <c r="B92">
        <v>2016</v>
      </c>
      <c r="C92" t="s">
        <v>35</v>
      </c>
      <c r="D92" t="s">
        <v>35</v>
      </c>
      <c r="E92" t="s">
        <v>351</v>
      </c>
      <c r="F92" t="s">
        <v>134</v>
      </c>
      <c r="G92" s="5">
        <v>93866069</v>
      </c>
      <c r="H92" s="5">
        <v>112030742</v>
      </c>
    </row>
    <row r="93" spans="1:8" x14ac:dyDescent="0.25">
      <c r="A93" t="s">
        <v>267</v>
      </c>
      <c r="B93">
        <v>2016</v>
      </c>
      <c r="C93" t="s">
        <v>35</v>
      </c>
      <c r="D93" t="s">
        <v>35</v>
      </c>
      <c r="E93" t="s">
        <v>352</v>
      </c>
      <c r="F93" t="s">
        <v>135</v>
      </c>
      <c r="G93" s="5">
        <v>89440989</v>
      </c>
      <c r="H93" s="5">
        <v>235441666</v>
      </c>
    </row>
    <row r="94" spans="1:8" x14ac:dyDescent="0.25">
      <c r="A94" t="s">
        <v>267</v>
      </c>
      <c r="B94">
        <v>2016</v>
      </c>
      <c r="C94" t="s">
        <v>35</v>
      </c>
      <c r="D94" t="s">
        <v>35</v>
      </c>
      <c r="E94" t="s">
        <v>353</v>
      </c>
      <c r="F94" t="s">
        <v>136</v>
      </c>
      <c r="G94" s="5">
        <v>88664506</v>
      </c>
      <c r="H94" s="5">
        <v>88673385</v>
      </c>
    </row>
    <row r="95" spans="1:8" x14ac:dyDescent="0.25">
      <c r="A95" t="s">
        <v>267</v>
      </c>
      <c r="B95">
        <v>2016</v>
      </c>
      <c r="C95" t="s">
        <v>35</v>
      </c>
      <c r="D95" t="s">
        <v>35</v>
      </c>
      <c r="E95" t="s">
        <v>354</v>
      </c>
      <c r="F95" t="s">
        <v>137</v>
      </c>
      <c r="G95" s="5">
        <v>83258608</v>
      </c>
      <c r="H95" s="5">
        <v>83258608</v>
      </c>
    </row>
    <row r="96" spans="1:8" x14ac:dyDescent="0.25">
      <c r="A96" t="s">
        <v>267</v>
      </c>
      <c r="B96">
        <v>2016</v>
      </c>
      <c r="C96" t="s">
        <v>35</v>
      </c>
      <c r="D96" t="s">
        <v>35</v>
      </c>
      <c r="E96" t="s">
        <v>355</v>
      </c>
      <c r="F96" t="s">
        <v>138</v>
      </c>
      <c r="G96" s="5">
        <v>75023436</v>
      </c>
      <c r="H96" s="5">
        <v>75023510</v>
      </c>
    </row>
    <row r="97" spans="1:8" x14ac:dyDescent="0.25">
      <c r="A97" t="s">
        <v>267</v>
      </c>
      <c r="B97">
        <v>2016</v>
      </c>
      <c r="C97" t="s">
        <v>35</v>
      </c>
      <c r="D97" t="s">
        <v>35</v>
      </c>
      <c r="E97" t="s">
        <v>356</v>
      </c>
      <c r="F97" t="s">
        <v>139</v>
      </c>
      <c r="G97" s="5">
        <v>74549719</v>
      </c>
      <c r="H97" s="5">
        <v>74759523</v>
      </c>
    </row>
    <row r="98" spans="1:8" x14ac:dyDescent="0.25">
      <c r="A98" t="s">
        <v>267</v>
      </c>
      <c r="B98">
        <v>2016</v>
      </c>
      <c r="C98" t="s">
        <v>35</v>
      </c>
      <c r="D98" t="s">
        <v>35</v>
      </c>
      <c r="E98" t="s">
        <v>357</v>
      </c>
      <c r="F98" t="s">
        <v>140</v>
      </c>
      <c r="G98" s="5">
        <v>62974278</v>
      </c>
      <c r="H98" s="5">
        <v>62974278</v>
      </c>
    </row>
    <row r="99" spans="1:8" x14ac:dyDescent="0.25">
      <c r="A99" t="s">
        <v>267</v>
      </c>
      <c r="B99">
        <v>2016</v>
      </c>
      <c r="C99" t="s">
        <v>35</v>
      </c>
      <c r="D99" t="s">
        <v>35</v>
      </c>
      <c r="E99" t="s">
        <v>358</v>
      </c>
      <c r="F99" t="s">
        <v>141</v>
      </c>
      <c r="G99" s="5">
        <v>60752523</v>
      </c>
      <c r="H99" s="5">
        <v>60752530</v>
      </c>
    </row>
    <row r="100" spans="1:8" x14ac:dyDescent="0.25">
      <c r="A100" t="s">
        <v>267</v>
      </c>
      <c r="B100">
        <v>2016</v>
      </c>
      <c r="C100" t="s">
        <v>35</v>
      </c>
      <c r="D100" t="s">
        <v>35</v>
      </c>
      <c r="E100" t="s">
        <v>359</v>
      </c>
      <c r="F100" t="s">
        <v>142</v>
      </c>
      <c r="G100" s="5">
        <v>43651501</v>
      </c>
      <c r="H100" s="5">
        <v>45773651</v>
      </c>
    </row>
    <row r="101" spans="1:8" x14ac:dyDescent="0.25">
      <c r="A101" t="s">
        <v>267</v>
      </c>
      <c r="B101">
        <v>2016</v>
      </c>
      <c r="C101" t="s">
        <v>35</v>
      </c>
      <c r="D101" t="s">
        <v>35</v>
      </c>
      <c r="E101" t="s">
        <v>360</v>
      </c>
      <c r="F101" t="s">
        <v>143</v>
      </c>
      <c r="G101" s="5">
        <v>42541243</v>
      </c>
      <c r="H101" s="5">
        <v>42541243</v>
      </c>
    </row>
    <row r="102" spans="1:8" x14ac:dyDescent="0.25">
      <c r="A102" t="s">
        <v>267</v>
      </c>
      <c r="B102">
        <v>2016</v>
      </c>
      <c r="C102" t="s">
        <v>35</v>
      </c>
      <c r="D102" t="s">
        <v>35</v>
      </c>
      <c r="E102" t="s">
        <v>361</v>
      </c>
      <c r="F102" t="s">
        <v>144</v>
      </c>
      <c r="G102" s="5">
        <v>38421647</v>
      </c>
      <c r="H102" s="5">
        <v>38906062</v>
      </c>
    </row>
    <row r="103" spans="1:8" x14ac:dyDescent="0.25">
      <c r="A103" t="s">
        <v>267</v>
      </c>
      <c r="B103">
        <v>2016</v>
      </c>
      <c r="C103" t="s">
        <v>35</v>
      </c>
      <c r="D103" t="s">
        <v>35</v>
      </c>
      <c r="E103" t="s">
        <v>362</v>
      </c>
      <c r="F103" t="s">
        <v>145</v>
      </c>
      <c r="G103" s="5">
        <v>36358050</v>
      </c>
      <c r="H103" s="5">
        <v>36362032</v>
      </c>
    </row>
    <row r="104" spans="1:8" x14ac:dyDescent="0.25">
      <c r="A104" t="s">
        <v>267</v>
      </c>
      <c r="B104">
        <v>2016</v>
      </c>
      <c r="C104" t="s">
        <v>35</v>
      </c>
      <c r="D104" t="s">
        <v>35</v>
      </c>
      <c r="E104" t="s">
        <v>363</v>
      </c>
      <c r="F104" t="s">
        <v>146</v>
      </c>
      <c r="G104" s="5">
        <v>21269625</v>
      </c>
      <c r="H104" s="5">
        <v>21269625</v>
      </c>
    </row>
    <row r="105" spans="1:8" x14ac:dyDescent="0.25">
      <c r="A105" t="s">
        <v>267</v>
      </c>
      <c r="B105">
        <v>2016</v>
      </c>
      <c r="C105" t="s">
        <v>35</v>
      </c>
      <c r="D105" t="s">
        <v>35</v>
      </c>
      <c r="E105" t="s">
        <v>364</v>
      </c>
      <c r="F105" t="s">
        <v>147</v>
      </c>
      <c r="G105" s="5">
        <v>17817058</v>
      </c>
      <c r="H105" s="5">
        <v>36276200</v>
      </c>
    </row>
    <row r="106" spans="1:8" x14ac:dyDescent="0.25">
      <c r="A106" t="s">
        <v>267</v>
      </c>
      <c r="B106">
        <v>2016</v>
      </c>
      <c r="C106" t="s">
        <v>35</v>
      </c>
      <c r="D106" t="s">
        <v>35</v>
      </c>
      <c r="E106" t="s">
        <v>365</v>
      </c>
      <c r="F106" t="s">
        <v>148</v>
      </c>
      <c r="G106" s="5">
        <v>12808212</v>
      </c>
      <c r="H106" s="5">
        <v>12809323</v>
      </c>
    </row>
    <row r="107" spans="1:8" x14ac:dyDescent="0.25">
      <c r="A107" t="s">
        <v>267</v>
      </c>
      <c r="B107">
        <v>2016</v>
      </c>
      <c r="C107" t="s">
        <v>35</v>
      </c>
      <c r="D107" t="s">
        <v>35</v>
      </c>
      <c r="E107" t="s">
        <v>366</v>
      </c>
      <c r="F107" t="s">
        <v>149</v>
      </c>
      <c r="G107" s="5">
        <v>11081923</v>
      </c>
      <c r="H107" s="5">
        <v>11083071</v>
      </c>
    </row>
    <row r="108" spans="1:8" x14ac:dyDescent="0.25">
      <c r="A108" t="s">
        <v>267</v>
      </c>
      <c r="B108">
        <v>2016</v>
      </c>
      <c r="C108" t="s">
        <v>35</v>
      </c>
      <c r="D108" t="s">
        <v>35</v>
      </c>
      <c r="E108" t="s">
        <v>367</v>
      </c>
      <c r="F108" t="s">
        <v>150</v>
      </c>
      <c r="G108" s="5">
        <v>9071841</v>
      </c>
      <c r="H108" s="5">
        <v>9071841</v>
      </c>
    </row>
    <row r="109" spans="1:8" x14ac:dyDescent="0.25">
      <c r="A109" t="s">
        <v>267</v>
      </c>
      <c r="B109">
        <v>2016</v>
      </c>
      <c r="C109" t="s">
        <v>35</v>
      </c>
      <c r="D109" t="s">
        <v>35</v>
      </c>
      <c r="E109" t="s">
        <v>368</v>
      </c>
      <c r="F109" t="s">
        <v>151</v>
      </c>
      <c r="G109" s="5">
        <v>8640769</v>
      </c>
      <c r="H109" s="5">
        <v>8641543</v>
      </c>
    </row>
    <row r="110" spans="1:8" x14ac:dyDescent="0.25">
      <c r="A110" t="s">
        <v>267</v>
      </c>
      <c r="B110">
        <v>2016</v>
      </c>
      <c r="C110" t="s">
        <v>35</v>
      </c>
      <c r="D110" t="s">
        <v>35</v>
      </c>
      <c r="E110" t="s">
        <v>369</v>
      </c>
      <c r="F110" t="s">
        <v>152</v>
      </c>
      <c r="G110" s="5">
        <v>7642121</v>
      </c>
      <c r="H110" s="5">
        <v>7642121</v>
      </c>
    </row>
    <row r="111" spans="1:8" x14ac:dyDescent="0.25">
      <c r="A111" t="s">
        <v>267</v>
      </c>
      <c r="B111">
        <v>2016</v>
      </c>
      <c r="C111" t="s">
        <v>35</v>
      </c>
      <c r="D111" t="s">
        <v>35</v>
      </c>
      <c r="E111" t="s">
        <v>370</v>
      </c>
      <c r="F111" t="s">
        <v>153</v>
      </c>
      <c r="G111" s="5">
        <v>5258656</v>
      </c>
      <c r="H111" s="5">
        <v>55826160</v>
      </c>
    </row>
    <row r="112" spans="1:8" x14ac:dyDescent="0.25">
      <c r="A112" t="s">
        <v>267</v>
      </c>
      <c r="B112">
        <v>2016</v>
      </c>
      <c r="C112" t="s">
        <v>35</v>
      </c>
      <c r="D112" t="s">
        <v>35</v>
      </c>
      <c r="E112" t="s">
        <v>371</v>
      </c>
      <c r="F112" t="s">
        <v>154</v>
      </c>
      <c r="G112" s="5">
        <v>5179364</v>
      </c>
      <c r="H112" s="5">
        <v>5241795</v>
      </c>
    </row>
    <row r="113" spans="1:8" x14ac:dyDescent="0.25">
      <c r="A113" t="s">
        <v>267</v>
      </c>
      <c r="B113">
        <v>2016</v>
      </c>
      <c r="C113" t="s">
        <v>35</v>
      </c>
      <c r="D113" t="s">
        <v>35</v>
      </c>
      <c r="E113" t="s">
        <v>372</v>
      </c>
      <c r="F113" t="s">
        <v>155</v>
      </c>
      <c r="G113" s="5">
        <v>2992632</v>
      </c>
      <c r="H113" s="5">
        <v>2992632</v>
      </c>
    </row>
    <row r="114" spans="1:8" x14ac:dyDescent="0.25">
      <c r="A114" t="s">
        <v>267</v>
      </c>
      <c r="B114">
        <v>2016</v>
      </c>
      <c r="C114" t="s">
        <v>35</v>
      </c>
      <c r="D114" t="s">
        <v>35</v>
      </c>
      <c r="E114" t="s">
        <v>373</v>
      </c>
      <c r="F114" t="s">
        <v>156</v>
      </c>
      <c r="G114" s="5">
        <v>2866207</v>
      </c>
      <c r="H114" s="5">
        <v>2866207</v>
      </c>
    </row>
    <row r="115" spans="1:8" x14ac:dyDescent="0.25">
      <c r="A115" t="s">
        <v>267</v>
      </c>
      <c r="B115">
        <v>2016</v>
      </c>
      <c r="C115" t="s">
        <v>35</v>
      </c>
      <c r="D115" t="s">
        <v>35</v>
      </c>
      <c r="E115" t="s">
        <v>374</v>
      </c>
      <c r="F115" t="s">
        <v>157</v>
      </c>
      <c r="G115" s="5">
        <v>2684752</v>
      </c>
      <c r="H115" s="5">
        <v>2684752</v>
      </c>
    </row>
    <row r="116" spans="1:8" x14ac:dyDescent="0.25">
      <c r="A116" t="s">
        <v>267</v>
      </c>
      <c r="B116">
        <v>2016</v>
      </c>
      <c r="C116" t="s">
        <v>35</v>
      </c>
      <c r="D116" t="s">
        <v>35</v>
      </c>
      <c r="E116" t="s">
        <v>375</v>
      </c>
      <c r="F116" t="s">
        <v>158</v>
      </c>
      <c r="G116" s="5">
        <v>2332262</v>
      </c>
      <c r="H116" s="5">
        <v>2332262</v>
      </c>
    </row>
    <row r="117" spans="1:8" x14ac:dyDescent="0.25">
      <c r="A117" t="s">
        <v>267</v>
      </c>
      <c r="B117">
        <v>2016</v>
      </c>
      <c r="C117" t="s">
        <v>35</v>
      </c>
      <c r="D117" t="s">
        <v>35</v>
      </c>
      <c r="E117" t="s">
        <v>376</v>
      </c>
      <c r="F117" t="s">
        <v>159</v>
      </c>
      <c r="G117" s="5">
        <v>1408081</v>
      </c>
      <c r="H117" s="5">
        <v>1517181</v>
      </c>
    </row>
    <row r="118" spans="1:8" x14ac:dyDescent="0.25">
      <c r="A118" t="s">
        <v>267</v>
      </c>
      <c r="B118">
        <v>2016</v>
      </c>
      <c r="C118" t="s">
        <v>35</v>
      </c>
      <c r="D118" t="s">
        <v>35</v>
      </c>
      <c r="E118" t="s">
        <v>377</v>
      </c>
      <c r="F118" t="s">
        <v>160</v>
      </c>
      <c r="G118" s="5">
        <v>1378660</v>
      </c>
      <c r="H118" s="5">
        <v>1379767</v>
      </c>
    </row>
    <row r="119" spans="1:8" x14ac:dyDescent="0.25">
      <c r="A119" t="s">
        <v>267</v>
      </c>
      <c r="B119">
        <v>2016</v>
      </c>
      <c r="C119" t="s">
        <v>35</v>
      </c>
      <c r="D119" t="s">
        <v>35</v>
      </c>
      <c r="F119" t="s">
        <v>161</v>
      </c>
      <c r="G119" s="5">
        <v>1351515</v>
      </c>
      <c r="H119" s="5">
        <v>1351515</v>
      </c>
    </row>
    <row r="120" spans="1:8" x14ac:dyDescent="0.25">
      <c r="A120" t="s">
        <v>267</v>
      </c>
      <c r="B120">
        <v>2016</v>
      </c>
      <c r="C120" t="s">
        <v>35</v>
      </c>
      <c r="D120" t="s">
        <v>35</v>
      </c>
      <c r="E120" t="s">
        <v>378</v>
      </c>
      <c r="F120" t="s">
        <v>162</v>
      </c>
      <c r="G120" s="5">
        <v>863678</v>
      </c>
      <c r="H120" s="5">
        <v>863678</v>
      </c>
    </row>
    <row r="121" spans="1:8" x14ac:dyDescent="0.25">
      <c r="A121" t="s">
        <v>267</v>
      </c>
      <c r="B121">
        <v>2016</v>
      </c>
      <c r="C121" t="s">
        <v>35</v>
      </c>
      <c r="D121" t="s">
        <v>35</v>
      </c>
      <c r="E121" t="s">
        <v>379</v>
      </c>
      <c r="F121" t="s">
        <v>163</v>
      </c>
      <c r="G121" s="5">
        <v>842793</v>
      </c>
      <c r="H121" s="5">
        <v>842793</v>
      </c>
    </row>
    <row r="122" spans="1:8" x14ac:dyDescent="0.25">
      <c r="A122" t="s">
        <v>267</v>
      </c>
      <c r="B122">
        <v>2016</v>
      </c>
      <c r="C122" t="s">
        <v>35</v>
      </c>
      <c r="D122" t="s">
        <v>35</v>
      </c>
      <c r="E122" t="s">
        <v>380</v>
      </c>
      <c r="F122" t="s">
        <v>164</v>
      </c>
      <c r="G122" s="5">
        <v>682408</v>
      </c>
      <c r="H122" s="5">
        <v>682408</v>
      </c>
    </row>
    <row r="123" spans="1:8" x14ac:dyDescent="0.25">
      <c r="A123" t="s">
        <v>267</v>
      </c>
      <c r="B123">
        <v>2016</v>
      </c>
      <c r="C123" t="s">
        <v>35</v>
      </c>
      <c r="D123" t="s">
        <v>35</v>
      </c>
      <c r="E123" t="s">
        <v>381</v>
      </c>
      <c r="F123" t="s">
        <v>165</v>
      </c>
      <c r="G123" s="5">
        <v>486393</v>
      </c>
      <c r="H123" s="5">
        <v>486393</v>
      </c>
    </row>
    <row r="124" spans="1:8" x14ac:dyDescent="0.25">
      <c r="A124" t="s">
        <v>267</v>
      </c>
      <c r="B124">
        <v>2016</v>
      </c>
      <c r="C124" t="s">
        <v>35</v>
      </c>
      <c r="D124" t="s">
        <v>35</v>
      </c>
      <c r="E124" t="s">
        <v>382</v>
      </c>
      <c r="F124" t="s">
        <v>166</v>
      </c>
      <c r="G124" s="5">
        <v>462939</v>
      </c>
      <c r="H124" s="5">
        <v>11720300</v>
      </c>
    </row>
    <row r="125" spans="1:8" x14ac:dyDescent="0.25">
      <c r="A125" t="s">
        <v>267</v>
      </c>
      <c r="B125">
        <v>2016</v>
      </c>
      <c r="C125" t="s">
        <v>35</v>
      </c>
      <c r="D125" t="s">
        <v>35</v>
      </c>
      <c r="E125" t="s">
        <v>383</v>
      </c>
      <c r="F125" t="s">
        <v>167</v>
      </c>
      <c r="G125" s="5">
        <v>431532</v>
      </c>
      <c r="H125" s="5">
        <v>431532</v>
      </c>
    </row>
    <row r="126" spans="1:8" x14ac:dyDescent="0.25">
      <c r="A126" t="s">
        <v>267</v>
      </c>
      <c r="B126">
        <v>2016</v>
      </c>
      <c r="C126" t="s">
        <v>35</v>
      </c>
      <c r="D126" t="s">
        <v>35</v>
      </c>
      <c r="E126" t="s">
        <v>384</v>
      </c>
      <c r="F126" t="s">
        <v>168</v>
      </c>
      <c r="G126" s="5">
        <v>330654</v>
      </c>
      <c r="H126" s="5">
        <v>348679</v>
      </c>
    </row>
    <row r="127" spans="1:8" x14ac:dyDescent="0.25">
      <c r="A127" t="s">
        <v>267</v>
      </c>
      <c r="B127">
        <v>2016</v>
      </c>
      <c r="C127" t="s">
        <v>35</v>
      </c>
      <c r="D127" t="s">
        <v>35</v>
      </c>
      <c r="E127" t="s">
        <v>385</v>
      </c>
      <c r="F127" t="s">
        <v>169</v>
      </c>
      <c r="G127" s="5">
        <v>201299</v>
      </c>
      <c r="H127" s="5">
        <v>201299</v>
      </c>
    </row>
    <row r="128" spans="1:8" x14ac:dyDescent="0.25">
      <c r="A128" t="s">
        <v>267</v>
      </c>
      <c r="B128">
        <v>2016</v>
      </c>
      <c r="C128" t="s">
        <v>35</v>
      </c>
      <c r="D128" t="s">
        <v>35</v>
      </c>
      <c r="E128" t="s">
        <v>386</v>
      </c>
      <c r="F128" t="s">
        <v>170</v>
      </c>
      <c r="G128" s="5">
        <v>182454</v>
      </c>
      <c r="H128" s="5">
        <v>182454</v>
      </c>
    </row>
    <row r="129" spans="1:8" x14ac:dyDescent="0.25">
      <c r="A129" t="s">
        <v>267</v>
      </c>
      <c r="B129">
        <v>2016</v>
      </c>
      <c r="C129" t="s">
        <v>35</v>
      </c>
      <c r="D129" t="s">
        <v>35</v>
      </c>
      <c r="E129" t="s">
        <v>387</v>
      </c>
      <c r="F129" t="s">
        <v>171</v>
      </c>
      <c r="G129" s="5">
        <v>91669</v>
      </c>
      <c r="H129" s="5">
        <v>91669</v>
      </c>
    </row>
    <row r="130" spans="1:8" x14ac:dyDescent="0.25">
      <c r="A130" t="s">
        <v>267</v>
      </c>
      <c r="B130">
        <v>2016</v>
      </c>
      <c r="C130" t="s">
        <v>172</v>
      </c>
      <c r="D130" t="s">
        <v>34</v>
      </c>
      <c r="E130" t="s">
        <v>388</v>
      </c>
      <c r="F130" t="s">
        <v>173</v>
      </c>
      <c r="G130" s="5">
        <v>3408982536</v>
      </c>
      <c r="H130" s="5">
        <v>3726853687</v>
      </c>
    </row>
    <row r="131" spans="1:8" x14ac:dyDescent="0.25">
      <c r="A131" t="s">
        <v>267</v>
      </c>
      <c r="B131">
        <v>2016</v>
      </c>
      <c r="C131" t="s">
        <v>172</v>
      </c>
      <c r="D131" t="s">
        <v>34</v>
      </c>
      <c r="E131" t="s">
        <v>389</v>
      </c>
      <c r="F131" t="s">
        <v>174</v>
      </c>
      <c r="G131" s="5">
        <v>715869923</v>
      </c>
      <c r="H131" s="5">
        <v>718812801</v>
      </c>
    </row>
    <row r="132" spans="1:8" x14ac:dyDescent="0.25">
      <c r="A132" t="s">
        <v>267</v>
      </c>
      <c r="B132">
        <v>2016</v>
      </c>
      <c r="C132" t="s">
        <v>172</v>
      </c>
      <c r="D132" t="s">
        <v>34</v>
      </c>
      <c r="E132" t="s">
        <v>390</v>
      </c>
      <c r="F132" t="s">
        <v>175</v>
      </c>
      <c r="G132" s="5">
        <v>699506602</v>
      </c>
      <c r="H132" s="5">
        <v>735252392</v>
      </c>
    </row>
    <row r="133" spans="1:8" x14ac:dyDescent="0.25">
      <c r="A133" t="s">
        <v>267</v>
      </c>
      <c r="B133">
        <v>2016</v>
      </c>
      <c r="C133" t="s">
        <v>172</v>
      </c>
      <c r="D133" t="s">
        <v>34</v>
      </c>
      <c r="E133" t="s">
        <v>391</v>
      </c>
      <c r="F133" t="s">
        <v>176</v>
      </c>
      <c r="G133" s="5">
        <v>671298464</v>
      </c>
      <c r="H133" s="5">
        <v>858433105</v>
      </c>
    </row>
    <row r="134" spans="1:8" x14ac:dyDescent="0.25">
      <c r="A134" t="s">
        <v>267</v>
      </c>
      <c r="B134">
        <v>2016</v>
      </c>
      <c r="C134" t="s">
        <v>172</v>
      </c>
      <c r="D134" t="s">
        <v>34</v>
      </c>
      <c r="E134" t="s">
        <v>392</v>
      </c>
      <c r="F134" t="s">
        <v>178</v>
      </c>
      <c r="G134" s="5">
        <v>376850047</v>
      </c>
      <c r="H134" s="5">
        <v>382040414</v>
      </c>
    </row>
    <row r="135" spans="1:8" x14ac:dyDescent="0.25">
      <c r="A135" t="s">
        <v>267</v>
      </c>
      <c r="B135">
        <v>2016</v>
      </c>
      <c r="C135" t="s">
        <v>172</v>
      </c>
      <c r="D135" t="s">
        <v>34</v>
      </c>
      <c r="E135" t="s">
        <v>393</v>
      </c>
      <c r="F135" t="s">
        <v>179</v>
      </c>
      <c r="G135" s="5">
        <v>226511497</v>
      </c>
      <c r="H135" s="5">
        <v>226761051</v>
      </c>
    </row>
    <row r="136" spans="1:8" x14ac:dyDescent="0.25">
      <c r="A136" t="s">
        <v>267</v>
      </c>
      <c r="B136">
        <v>2016</v>
      </c>
      <c r="C136" t="s">
        <v>172</v>
      </c>
      <c r="D136" t="s">
        <v>34</v>
      </c>
      <c r="E136" t="s">
        <v>394</v>
      </c>
      <c r="F136" t="s">
        <v>180</v>
      </c>
      <c r="G136" s="5">
        <v>194258294</v>
      </c>
      <c r="H136" s="5">
        <v>196820063</v>
      </c>
    </row>
    <row r="137" spans="1:8" x14ac:dyDescent="0.25">
      <c r="A137" t="s">
        <v>267</v>
      </c>
      <c r="B137">
        <v>2016</v>
      </c>
      <c r="C137" t="s">
        <v>172</v>
      </c>
      <c r="D137" t="s">
        <v>34</v>
      </c>
      <c r="E137" t="s">
        <v>395</v>
      </c>
      <c r="F137" t="s">
        <v>181</v>
      </c>
      <c r="G137" s="5">
        <v>184049992</v>
      </c>
      <c r="H137" s="5">
        <v>243208832</v>
      </c>
    </row>
    <row r="138" spans="1:8" x14ac:dyDescent="0.25">
      <c r="A138" t="s">
        <v>267</v>
      </c>
      <c r="B138">
        <v>2016</v>
      </c>
      <c r="C138" t="s">
        <v>172</v>
      </c>
      <c r="D138" t="s">
        <v>34</v>
      </c>
      <c r="E138" t="s">
        <v>396</v>
      </c>
      <c r="F138" t="s">
        <v>183</v>
      </c>
      <c r="G138" s="5">
        <v>127821115</v>
      </c>
      <c r="H138" s="5">
        <v>128930348</v>
      </c>
    </row>
    <row r="139" spans="1:8" x14ac:dyDescent="0.25">
      <c r="A139" t="s">
        <v>267</v>
      </c>
      <c r="B139">
        <v>2016</v>
      </c>
      <c r="C139" t="s">
        <v>172</v>
      </c>
      <c r="D139" t="s">
        <v>34</v>
      </c>
      <c r="E139" t="s">
        <v>397</v>
      </c>
      <c r="F139" t="s">
        <v>184</v>
      </c>
      <c r="G139" s="5">
        <v>125738827</v>
      </c>
      <c r="H139" s="5">
        <v>131744538</v>
      </c>
    </row>
    <row r="140" spans="1:8" x14ac:dyDescent="0.25">
      <c r="A140" t="s">
        <v>267</v>
      </c>
      <c r="B140">
        <v>2016</v>
      </c>
      <c r="C140" t="s">
        <v>172</v>
      </c>
      <c r="D140" t="s">
        <v>34</v>
      </c>
      <c r="E140" t="s">
        <v>398</v>
      </c>
      <c r="F140" t="s">
        <v>186</v>
      </c>
      <c r="G140" s="5">
        <v>103216230</v>
      </c>
      <c r="H140" s="5">
        <v>103422397</v>
      </c>
    </row>
    <row r="141" spans="1:8" x14ac:dyDescent="0.25">
      <c r="A141" t="s">
        <v>267</v>
      </c>
      <c r="B141">
        <v>2016</v>
      </c>
      <c r="C141" t="s">
        <v>172</v>
      </c>
      <c r="D141" t="s">
        <v>34</v>
      </c>
      <c r="E141" t="s">
        <v>399</v>
      </c>
      <c r="F141" t="s">
        <v>187</v>
      </c>
      <c r="G141" s="5">
        <v>92669883</v>
      </c>
      <c r="H141" s="5">
        <v>93454563</v>
      </c>
    </row>
    <row r="142" spans="1:8" x14ac:dyDescent="0.25">
      <c r="A142" t="s">
        <v>267</v>
      </c>
      <c r="B142">
        <v>2016</v>
      </c>
      <c r="C142" t="s">
        <v>172</v>
      </c>
      <c r="D142" t="s">
        <v>34</v>
      </c>
      <c r="E142" t="s">
        <v>400</v>
      </c>
      <c r="F142" t="s">
        <v>189</v>
      </c>
      <c r="G142" s="5">
        <v>73208316</v>
      </c>
      <c r="H142" s="5">
        <v>73245064</v>
      </c>
    </row>
    <row r="143" spans="1:8" x14ac:dyDescent="0.25">
      <c r="A143" t="s">
        <v>267</v>
      </c>
      <c r="B143">
        <v>2016</v>
      </c>
      <c r="C143" t="s">
        <v>172</v>
      </c>
      <c r="D143" t="s">
        <v>34</v>
      </c>
      <c r="E143" t="s">
        <v>401</v>
      </c>
      <c r="F143" t="s">
        <v>190</v>
      </c>
      <c r="G143" s="5">
        <v>49307105</v>
      </c>
      <c r="H143" s="5">
        <v>63509826</v>
      </c>
    </row>
    <row r="144" spans="1:8" x14ac:dyDescent="0.25">
      <c r="A144" t="s">
        <v>267</v>
      </c>
      <c r="B144">
        <v>2016</v>
      </c>
      <c r="C144" t="s">
        <v>172</v>
      </c>
      <c r="D144" t="s">
        <v>34</v>
      </c>
      <c r="E144" t="s">
        <v>402</v>
      </c>
      <c r="F144" t="s">
        <v>191</v>
      </c>
      <c r="G144" s="5">
        <v>39126498</v>
      </c>
      <c r="H144" s="5">
        <v>40426191</v>
      </c>
    </row>
    <row r="145" spans="1:8" x14ac:dyDescent="0.25">
      <c r="A145" t="s">
        <v>267</v>
      </c>
      <c r="B145">
        <v>2016</v>
      </c>
      <c r="C145" t="s">
        <v>172</v>
      </c>
      <c r="D145" t="s">
        <v>34</v>
      </c>
      <c r="E145" t="s">
        <v>403</v>
      </c>
      <c r="F145" t="s">
        <v>192</v>
      </c>
      <c r="G145" s="5">
        <v>32557861</v>
      </c>
      <c r="H145" s="5">
        <v>33328427</v>
      </c>
    </row>
    <row r="146" spans="1:8" x14ac:dyDescent="0.25">
      <c r="A146" t="s">
        <v>267</v>
      </c>
      <c r="B146">
        <v>2016</v>
      </c>
      <c r="C146" t="s">
        <v>172</v>
      </c>
      <c r="D146" t="s">
        <v>34</v>
      </c>
      <c r="E146" t="s">
        <v>404</v>
      </c>
      <c r="F146" t="s">
        <v>193</v>
      </c>
      <c r="G146" s="5">
        <v>32349942</v>
      </c>
      <c r="H146" s="5">
        <v>37169231</v>
      </c>
    </row>
    <row r="147" spans="1:8" x14ac:dyDescent="0.25">
      <c r="A147" t="s">
        <v>267</v>
      </c>
      <c r="B147">
        <v>2016</v>
      </c>
      <c r="C147" t="s">
        <v>172</v>
      </c>
      <c r="D147" t="s">
        <v>34</v>
      </c>
      <c r="E147" t="s">
        <v>405</v>
      </c>
      <c r="F147" t="s">
        <v>194</v>
      </c>
      <c r="G147" s="5">
        <v>28607196</v>
      </c>
      <c r="H147" s="5">
        <v>28768753</v>
      </c>
    </row>
    <row r="148" spans="1:8" x14ac:dyDescent="0.25">
      <c r="A148" t="s">
        <v>267</v>
      </c>
      <c r="B148">
        <v>2016</v>
      </c>
      <c r="C148" t="s">
        <v>172</v>
      </c>
      <c r="D148" t="s">
        <v>34</v>
      </c>
      <c r="E148" t="s">
        <v>406</v>
      </c>
      <c r="F148" t="s">
        <v>195</v>
      </c>
      <c r="G148" s="5">
        <v>22853016</v>
      </c>
      <c r="H148" s="5">
        <v>22854646</v>
      </c>
    </row>
    <row r="149" spans="1:8" x14ac:dyDescent="0.25">
      <c r="A149" t="s">
        <v>267</v>
      </c>
      <c r="B149">
        <v>2016</v>
      </c>
      <c r="C149" t="s">
        <v>172</v>
      </c>
      <c r="D149" t="s">
        <v>34</v>
      </c>
      <c r="E149" t="s">
        <v>407</v>
      </c>
      <c r="F149" t="s">
        <v>197</v>
      </c>
      <c r="G149" s="5">
        <v>17167784</v>
      </c>
      <c r="H149" s="5">
        <v>19459826</v>
      </c>
    </row>
    <row r="150" spans="1:8" x14ac:dyDescent="0.25">
      <c r="A150" t="s">
        <v>267</v>
      </c>
      <c r="B150">
        <v>2016</v>
      </c>
      <c r="C150" t="s">
        <v>172</v>
      </c>
      <c r="D150" t="s">
        <v>34</v>
      </c>
      <c r="E150" t="s">
        <v>408</v>
      </c>
      <c r="F150" t="s">
        <v>198</v>
      </c>
      <c r="G150" s="5">
        <v>13482237</v>
      </c>
      <c r="H150" s="5">
        <v>13516100</v>
      </c>
    </row>
    <row r="151" spans="1:8" x14ac:dyDescent="0.25">
      <c r="A151" t="s">
        <v>267</v>
      </c>
      <c r="B151">
        <v>2016</v>
      </c>
      <c r="C151" t="s">
        <v>172</v>
      </c>
      <c r="D151" t="s">
        <v>34</v>
      </c>
      <c r="E151" t="s">
        <v>409</v>
      </c>
      <c r="F151" t="s">
        <v>199</v>
      </c>
      <c r="G151" s="5">
        <v>13278837</v>
      </c>
      <c r="H151" s="5">
        <v>37284813</v>
      </c>
    </row>
    <row r="152" spans="1:8" x14ac:dyDescent="0.25">
      <c r="A152" t="s">
        <v>267</v>
      </c>
      <c r="B152">
        <v>2016</v>
      </c>
      <c r="C152" t="s">
        <v>172</v>
      </c>
      <c r="D152" t="s">
        <v>34</v>
      </c>
      <c r="E152" t="s">
        <v>410</v>
      </c>
      <c r="F152" t="s">
        <v>201</v>
      </c>
      <c r="G152" s="5">
        <v>11557316</v>
      </c>
      <c r="H152" s="5">
        <v>12187562</v>
      </c>
    </row>
    <row r="153" spans="1:8" x14ac:dyDescent="0.25">
      <c r="A153" t="s">
        <v>267</v>
      </c>
      <c r="B153">
        <v>2016</v>
      </c>
      <c r="C153" t="s">
        <v>172</v>
      </c>
      <c r="D153" t="s">
        <v>34</v>
      </c>
      <c r="E153" t="s">
        <v>411</v>
      </c>
      <c r="F153" t="s">
        <v>203</v>
      </c>
      <c r="G153" s="5">
        <v>11154494</v>
      </c>
      <c r="H153" s="5">
        <v>11154494</v>
      </c>
    </row>
    <row r="154" spans="1:8" x14ac:dyDescent="0.25">
      <c r="A154" t="s">
        <v>267</v>
      </c>
      <c r="B154">
        <v>2016</v>
      </c>
      <c r="C154" t="s">
        <v>172</v>
      </c>
      <c r="D154" t="s">
        <v>34</v>
      </c>
      <c r="E154" t="s">
        <v>412</v>
      </c>
      <c r="F154" t="s">
        <v>204</v>
      </c>
      <c r="G154" s="5">
        <v>5738993</v>
      </c>
      <c r="H154" s="5">
        <v>6634740</v>
      </c>
    </row>
    <row r="155" spans="1:8" x14ac:dyDescent="0.25">
      <c r="A155" t="s">
        <v>267</v>
      </c>
      <c r="B155">
        <v>2016</v>
      </c>
      <c r="C155" t="s">
        <v>172</v>
      </c>
      <c r="D155" t="s">
        <v>34</v>
      </c>
      <c r="E155" t="s">
        <v>413</v>
      </c>
      <c r="F155" t="s">
        <v>207</v>
      </c>
      <c r="G155" s="5">
        <v>3874259</v>
      </c>
      <c r="H155" s="5">
        <v>3927545</v>
      </c>
    </row>
    <row r="156" spans="1:8" x14ac:dyDescent="0.25">
      <c r="A156" t="s">
        <v>267</v>
      </c>
      <c r="B156">
        <v>2016</v>
      </c>
      <c r="C156" t="s">
        <v>172</v>
      </c>
      <c r="D156" t="s">
        <v>34</v>
      </c>
      <c r="E156" t="s">
        <v>414</v>
      </c>
      <c r="F156" t="s">
        <v>209</v>
      </c>
      <c r="G156" s="5">
        <v>2645261</v>
      </c>
      <c r="H156" s="5">
        <v>2926185</v>
      </c>
    </row>
    <row r="157" spans="1:8" x14ac:dyDescent="0.25">
      <c r="A157" t="s">
        <v>267</v>
      </c>
      <c r="B157">
        <v>2016</v>
      </c>
      <c r="C157" t="s">
        <v>172</v>
      </c>
      <c r="D157" t="s">
        <v>37</v>
      </c>
      <c r="E157" t="s">
        <v>415</v>
      </c>
      <c r="F157" t="s">
        <v>177</v>
      </c>
      <c r="G157" s="5">
        <v>544433729</v>
      </c>
      <c r="H157" s="5">
        <v>6256039245</v>
      </c>
    </row>
    <row r="158" spans="1:8" x14ac:dyDescent="0.25">
      <c r="A158" t="s">
        <v>267</v>
      </c>
      <c r="B158">
        <v>2016</v>
      </c>
      <c r="C158" t="s">
        <v>172</v>
      </c>
      <c r="D158" t="s">
        <v>37</v>
      </c>
      <c r="E158" t="s">
        <v>416</v>
      </c>
      <c r="F158" t="s">
        <v>182</v>
      </c>
      <c r="G158" s="5">
        <v>146638353</v>
      </c>
      <c r="H158" s="5">
        <v>152219242</v>
      </c>
    </row>
    <row r="159" spans="1:8" x14ac:dyDescent="0.25">
      <c r="A159" t="s">
        <v>267</v>
      </c>
      <c r="B159">
        <v>2016</v>
      </c>
      <c r="C159" t="s">
        <v>172</v>
      </c>
      <c r="D159" t="s">
        <v>37</v>
      </c>
      <c r="E159" t="s">
        <v>417</v>
      </c>
      <c r="F159" t="s">
        <v>185</v>
      </c>
      <c r="G159" s="5">
        <v>119951429</v>
      </c>
      <c r="H159" s="5">
        <v>124164030</v>
      </c>
    </row>
    <row r="160" spans="1:8" x14ac:dyDescent="0.25">
      <c r="A160" t="s">
        <v>267</v>
      </c>
      <c r="B160">
        <v>2016</v>
      </c>
      <c r="C160" t="s">
        <v>172</v>
      </c>
      <c r="D160" t="s">
        <v>37</v>
      </c>
      <c r="E160" t="s">
        <v>418</v>
      </c>
      <c r="F160" t="s">
        <v>188</v>
      </c>
      <c r="G160" s="5">
        <v>80555613</v>
      </c>
      <c r="H160" s="5">
        <v>82730710</v>
      </c>
    </row>
    <row r="161" spans="1:8" x14ac:dyDescent="0.25">
      <c r="A161" t="s">
        <v>267</v>
      </c>
      <c r="B161">
        <v>2016</v>
      </c>
      <c r="C161" t="s">
        <v>172</v>
      </c>
      <c r="D161" t="s">
        <v>37</v>
      </c>
      <c r="E161" t="s">
        <v>419</v>
      </c>
      <c r="F161" t="s">
        <v>196</v>
      </c>
      <c r="G161" s="5">
        <v>17426112</v>
      </c>
      <c r="H161" s="5">
        <v>17593304</v>
      </c>
    </row>
    <row r="162" spans="1:8" x14ac:dyDescent="0.25">
      <c r="A162" t="s">
        <v>267</v>
      </c>
      <c r="B162">
        <v>2016</v>
      </c>
      <c r="C162" t="s">
        <v>172</v>
      </c>
      <c r="D162" t="s">
        <v>37</v>
      </c>
      <c r="E162" t="s">
        <v>420</v>
      </c>
      <c r="F162" t="s">
        <v>200</v>
      </c>
      <c r="G162" s="5">
        <v>12411243</v>
      </c>
      <c r="H162" s="5">
        <v>12411286</v>
      </c>
    </row>
    <row r="163" spans="1:8" x14ac:dyDescent="0.25">
      <c r="A163" t="s">
        <v>267</v>
      </c>
      <c r="B163">
        <v>2016</v>
      </c>
      <c r="C163" t="s">
        <v>172</v>
      </c>
      <c r="D163" t="s">
        <v>37</v>
      </c>
      <c r="E163" t="s">
        <v>421</v>
      </c>
      <c r="F163" t="s">
        <v>202</v>
      </c>
      <c r="G163" s="5">
        <v>11317193</v>
      </c>
      <c r="H163" s="5">
        <v>11410363</v>
      </c>
    </row>
    <row r="164" spans="1:8" x14ac:dyDescent="0.25">
      <c r="A164" t="s">
        <v>267</v>
      </c>
      <c r="B164">
        <v>2016</v>
      </c>
      <c r="C164" t="s">
        <v>172</v>
      </c>
      <c r="D164" t="s">
        <v>37</v>
      </c>
      <c r="E164" t="s">
        <v>422</v>
      </c>
      <c r="F164" t="s">
        <v>205</v>
      </c>
      <c r="G164" s="5">
        <v>4305523</v>
      </c>
      <c r="H164" s="5">
        <v>4305523</v>
      </c>
    </row>
    <row r="165" spans="1:8" x14ac:dyDescent="0.25">
      <c r="A165" t="s">
        <v>267</v>
      </c>
      <c r="B165">
        <v>2016</v>
      </c>
      <c r="C165" t="s">
        <v>172</v>
      </c>
      <c r="D165" t="s">
        <v>37</v>
      </c>
      <c r="E165" t="s">
        <v>423</v>
      </c>
      <c r="F165" t="s">
        <v>206</v>
      </c>
      <c r="G165" s="5">
        <v>3957365</v>
      </c>
      <c r="H165" s="5">
        <v>3957365</v>
      </c>
    </row>
    <row r="166" spans="1:8" x14ac:dyDescent="0.25">
      <c r="A166" t="s">
        <v>267</v>
      </c>
      <c r="B166">
        <v>2016</v>
      </c>
      <c r="C166" t="s">
        <v>172</v>
      </c>
      <c r="D166" t="s">
        <v>37</v>
      </c>
      <c r="E166" t="s">
        <v>424</v>
      </c>
      <c r="F166" t="s">
        <v>208</v>
      </c>
      <c r="G166" s="5">
        <v>2727022</v>
      </c>
      <c r="H166" s="5">
        <v>2727022</v>
      </c>
    </row>
    <row r="167" spans="1:8" x14ac:dyDescent="0.25">
      <c r="A167" t="s">
        <v>267</v>
      </c>
      <c r="B167">
        <v>2016</v>
      </c>
      <c r="C167" t="s">
        <v>172</v>
      </c>
      <c r="D167" t="s">
        <v>37</v>
      </c>
      <c r="E167" t="s">
        <v>425</v>
      </c>
      <c r="F167" t="s">
        <v>210</v>
      </c>
      <c r="G167" s="5">
        <v>2465293</v>
      </c>
      <c r="H167" s="5">
        <v>2465293</v>
      </c>
    </row>
    <row r="168" spans="1:8" x14ac:dyDescent="0.25">
      <c r="A168" t="s">
        <v>267</v>
      </c>
      <c r="B168">
        <v>2016</v>
      </c>
      <c r="C168" t="s">
        <v>172</v>
      </c>
      <c r="D168" t="s">
        <v>37</v>
      </c>
      <c r="E168" t="s">
        <v>426</v>
      </c>
      <c r="F168" t="s">
        <v>211</v>
      </c>
      <c r="G168" s="5">
        <v>1536136</v>
      </c>
      <c r="H168" s="5">
        <v>1662344</v>
      </c>
    </row>
    <row r="169" spans="1:8" x14ac:dyDescent="0.25">
      <c r="A169" t="s">
        <v>267</v>
      </c>
      <c r="B169">
        <v>2016</v>
      </c>
      <c r="C169" t="s">
        <v>172</v>
      </c>
      <c r="D169" t="s">
        <v>37</v>
      </c>
      <c r="E169" t="s">
        <v>427</v>
      </c>
      <c r="F169" t="s">
        <v>212</v>
      </c>
      <c r="G169" s="5">
        <v>1117970</v>
      </c>
      <c r="H169" s="5">
        <v>1117970</v>
      </c>
    </row>
    <row r="170" spans="1:8" x14ac:dyDescent="0.25">
      <c r="A170" t="s">
        <v>267</v>
      </c>
      <c r="B170">
        <v>2016</v>
      </c>
      <c r="C170" t="s">
        <v>172</v>
      </c>
      <c r="D170" t="s">
        <v>37</v>
      </c>
      <c r="E170" t="s">
        <v>428</v>
      </c>
      <c r="F170" t="s">
        <v>213</v>
      </c>
      <c r="G170" s="5">
        <v>640516</v>
      </c>
      <c r="H170" s="5">
        <v>640516</v>
      </c>
    </row>
    <row r="171" spans="1:8" x14ac:dyDescent="0.25">
      <c r="A171" t="s">
        <v>267</v>
      </c>
      <c r="B171">
        <v>2016</v>
      </c>
      <c r="C171" t="s">
        <v>172</v>
      </c>
      <c r="D171" t="s">
        <v>37</v>
      </c>
      <c r="E171" t="s">
        <v>429</v>
      </c>
      <c r="F171" t="s">
        <v>214</v>
      </c>
      <c r="G171" s="5">
        <v>629674</v>
      </c>
      <c r="H171" s="5">
        <v>718080</v>
      </c>
    </row>
    <row r="172" spans="1:8" x14ac:dyDescent="0.25">
      <c r="A172" t="s">
        <v>267</v>
      </c>
      <c r="B172">
        <v>2016</v>
      </c>
      <c r="C172" t="s">
        <v>172</v>
      </c>
      <c r="D172" t="s">
        <v>37</v>
      </c>
      <c r="F172" t="s">
        <v>215</v>
      </c>
      <c r="G172" s="5">
        <v>260677</v>
      </c>
      <c r="H172" s="5">
        <v>426803</v>
      </c>
    </row>
    <row r="173" spans="1:8" x14ac:dyDescent="0.25">
      <c r="A173" t="s">
        <v>267</v>
      </c>
      <c r="B173">
        <v>2016</v>
      </c>
      <c r="C173" t="s">
        <v>172</v>
      </c>
      <c r="D173" t="s">
        <v>37</v>
      </c>
      <c r="E173" t="s">
        <v>430</v>
      </c>
      <c r="F173" t="s">
        <v>216</v>
      </c>
      <c r="G173" s="5">
        <v>239270</v>
      </c>
      <c r="H173" s="5">
        <v>245529</v>
      </c>
    </row>
    <row r="174" spans="1:8" x14ac:dyDescent="0.25">
      <c r="A174" t="s">
        <v>267</v>
      </c>
      <c r="B174">
        <v>2016</v>
      </c>
      <c r="C174" t="s">
        <v>172</v>
      </c>
      <c r="D174" t="s">
        <v>37</v>
      </c>
      <c r="E174" t="s">
        <v>431</v>
      </c>
      <c r="F174" t="s">
        <v>217</v>
      </c>
      <c r="G174" s="5">
        <v>220988</v>
      </c>
      <c r="H174" s="5">
        <v>220988</v>
      </c>
    </row>
    <row r="175" spans="1:8" x14ac:dyDescent="0.25">
      <c r="A175" t="s">
        <v>267</v>
      </c>
      <c r="B175">
        <v>2016</v>
      </c>
      <c r="C175" t="s">
        <v>40</v>
      </c>
      <c r="D175" t="s">
        <v>40</v>
      </c>
      <c r="E175" t="s">
        <v>432</v>
      </c>
      <c r="F175" t="s">
        <v>218</v>
      </c>
      <c r="G175" s="5">
        <v>147588730</v>
      </c>
      <c r="H175" s="5">
        <v>149033480</v>
      </c>
    </row>
    <row r="176" spans="1:8" x14ac:dyDescent="0.25">
      <c r="A176" t="s">
        <v>267</v>
      </c>
      <c r="B176">
        <v>2016</v>
      </c>
      <c r="C176" t="s">
        <v>40</v>
      </c>
      <c r="D176" t="s">
        <v>40</v>
      </c>
      <c r="E176" t="s">
        <v>433</v>
      </c>
      <c r="F176" t="s">
        <v>219</v>
      </c>
      <c r="G176" s="5">
        <v>13411239</v>
      </c>
      <c r="H176" s="5">
        <v>13440493</v>
      </c>
    </row>
    <row r="177" spans="1:8" x14ac:dyDescent="0.25">
      <c r="A177" t="s">
        <v>267</v>
      </c>
      <c r="B177">
        <v>2016</v>
      </c>
      <c r="C177" t="s">
        <v>40</v>
      </c>
      <c r="D177" t="s">
        <v>40</v>
      </c>
      <c r="E177" t="s">
        <v>434</v>
      </c>
      <c r="F177" t="s">
        <v>220</v>
      </c>
      <c r="G177" s="5">
        <v>1076656</v>
      </c>
      <c r="H177" s="5">
        <v>1076656</v>
      </c>
    </row>
    <row r="178" spans="1:8" x14ac:dyDescent="0.25">
      <c r="A178" t="s">
        <v>267</v>
      </c>
      <c r="B178">
        <v>2016</v>
      </c>
      <c r="C178" t="s">
        <v>40</v>
      </c>
      <c r="D178" t="s">
        <v>40</v>
      </c>
      <c r="E178" t="s">
        <v>435</v>
      </c>
      <c r="F178" t="s">
        <v>221</v>
      </c>
      <c r="G178" s="5">
        <v>258966</v>
      </c>
      <c r="H178" s="5">
        <v>258966</v>
      </c>
    </row>
    <row r="179" spans="1:8" x14ac:dyDescent="0.25">
      <c r="A179" t="s">
        <v>267</v>
      </c>
      <c r="B179">
        <v>2016</v>
      </c>
      <c r="C179" t="s">
        <v>40</v>
      </c>
      <c r="D179" t="s">
        <v>40</v>
      </c>
      <c r="E179" t="s">
        <v>436</v>
      </c>
      <c r="F179" t="s">
        <v>222</v>
      </c>
      <c r="G179" s="5">
        <v>143600</v>
      </c>
      <c r="H179" s="5">
        <v>150206</v>
      </c>
    </row>
    <row r="180" spans="1:8" x14ac:dyDescent="0.25">
      <c r="A180" t="s">
        <v>267</v>
      </c>
      <c r="B180">
        <v>2016</v>
      </c>
      <c r="C180" t="s">
        <v>40</v>
      </c>
      <c r="D180" t="s">
        <v>40</v>
      </c>
      <c r="E180" t="s">
        <v>437</v>
      </c>
      <c r="F180" t="s">
        <v>223</v>
      </c>
      <c r="G180" s="5">
        <v>90670</v>
      </c>
      <c r="H180" s="5">
        <v>90670</v>
      </c>
    </row>
    <row r="181" spans="1:8" x14ac:dyDescent="0.25">
      <c r="A181" t="s">
        <v>267</v>
      </c>
      <c r="B181">
        <v>2016</v>
      </c>
      <c r="C181" t="s">
        <v>40</v>
      </c>
      <c r="D181" t="s">
        <v>40</v>
      </c>
      <c r="E181" t="s">
        <v>438</v>
      </c>
      <c r="F181" t="s">
        <v>224</v>
      </c>
      <c r="G181" s="5">
        <v>70914</v>
      </c>
      <c r="H181" s="5">
        <v>70914</v>
      </c>
    </row>
    <row r="182" spans="1:8" x14ac:dyDescent="0.25">
      <c r="A182" t="s">
        <v>267</v>
      </c>
      <c r="B182">
        <v>2016</v>
      </c>
      <c r="C182" t="s">
        <v>40</v>
      </c>
      <c r="D182" t="s">
        <v>40</v>
      </c>
      <c r="F182" t="s">
        <v>225</v>
      </c>
      <c r="G182" s="5">
        <v>38295</v>
      </c>
      <c r="H182" s="5">
        <v>467210</v>
      </c>
    </row>
    <row r="183" spans="1:8" x14ac:dyDescent="0.25">
      <c r="A183" t="s">
        <v>267</v>
      </c>
      <c r="B183">
        <v>2017</v>
      </c>
      <c r="C183" t="s">
        <v>39</v>
      </c>
      <c r="D183" t="s">
        <v>39</v>
      </c>
      <c r="E183" t="s">
        <v>268</v>
      </c>
      <c r="F183" t="s">
        <v>47</v>
      </c>
      <c r="G183" s="5">
        <v>103848916</v>
      </c>
      <c r="H183" s="5">
        <v>104845310</v>
      </c>
    </row>
    <row r="184" spans="1:8" x14ac:dyDescent="0.25">
      <c r="A184" t="s">
        <v>267</v>
      </c>
      <c r="B184">
        <v>2017</v>
      </c>
      <c r="C184" t="s">
        <v>39</v>
      </c>
      <c r="D184" t="s">
        <v>39</v>
      </c>
      <c r="E184" t="s">
        <v>269</v>
      </c>
      <c r="F184" t="s">
        <v>48</v>
      </c>
      <c r="G184" s="5">
        <v>34173132</v>
      </c>
      <c r="H184" s="5">
        <v>51419395</v>
      </c>
    </row>
    <row r="185" spans="1:8" x14ac:dyDescent="0.25">
      <c r="A185" t="s">
        <v>267</v>
      </c>
      <c r="B185">
        <v>2017</v>
      </c>
      <c r="C185" t="s">
        <v>39</v>
      </c>
      <c r="D185" t="s">
        <v>39</v>
      </c>
      <c r="E185" t="s">
        <v>271</v>
      </c>
      <c r="F185" t="s">
        <v>50</v>
      </c>
      <c r="G185" s="5">
        <v>12205912</v>
      </c>
      <c r="H185" s="5">
        <v>26688663</v>
      </c>
    </row>
    <row r="186" spans="1:8" x14ac:dyDescent="0.25">
      <c r="A186" t="s">
        <v>267</v>
      </c>
      <c r="B186">
        <v>2017</v>
      </c>
      <c r="C186" t="s">
        <v>39</v>
      </c>
      <c r="D186" t="s">
        <v>39</v>
      </c>
      <c r="E186" t="s">
        <v>270</v>
      </c>
      <c r="F186" t="s">
        <v>49</v>
      </c>
      <c r="G186" s="5">
        <v>11654543</v>
      </c>
      <c r="H186" s="5">
        <v>11654543</v>
      </c>
    </row>
    <row r="187" spans="1:8" x14ac:dyDescent="0.25">
      <c r="A187" t="s">
        <v>267</v>
      </c>
      <c r="B187">
        <v>2017</v>
      </c>
      <c r="C187" t="s">
        <v>39</v>
      </c>
      <c r="D187" t="s">
        <v>39</v>
      </c>
      <c r="E187" t="s">
        <v>276</v>
      </c>
      <c r="F187" t="s">
        <v>55</v>
      </c>
      <c r="G187" s="5">
        <v>8390626</v>
      </c>
      <c r="H187" s="5">
        <v>8390626</v>
      </c>
    </row>
    <row r="188" spans="1:8" x14ac:dyDescent="0.25">
      <c r="A188" t="s">
        <v>267</v>
      </c>
      <c r="B188">
        <v>2017</v>
      </c>
      <c r="C188" t="s">
        <v>39</v>
      </c>
      <c r="D188" t="s">
        <v>39</v>
      </c>
      <c r="E188" t="s">
        <v>275</v>
      </c>
      <c r="F188" t="s">
        <v>54</v>
      </c>
      <c r="G188" s="5">
        <v>7909757</v>
      </c>
      <c r="H188" s="5">
        <v>7910257</v>
      </c>
    </row>
    <row r="189" spans="1:8" x14ac:dyDescent="0.25">
      <c r="A189" t="s">
        <v>267</v>
      </c>
      <c r="B189">
        <v>2017</v>
      </c>
      <c r="C189" t="s">
        <v>39</v>
      </c>
      <c r="D189" t="s">
        <v>39</v>
      </c>
      <c r="E189" t="s">
        <v>273</v>
      </c>
      <c r="F189" t="s">
        <v>52</v>
      </c>
      <c r="G189" s="5">
        <v>7905992</v>
      </c>
      <c r="H189" s="5">
        <v>7905992</v>
      </c>
    </row>
    <row r="190" spans="1:8" x14ac:dyDescent="0.25">
      <c r="A190" t="s">
        <v>267</v>
      </c>
      <c r="B190">
        <v>2017</v>
      </c>
      <c r="C190" t="s">
        <v>39</v>
      </c>
      <c r="D190" t="s">
        <v>39</v>
      </c>
      <c r="E190" t="s">
        <v>278</v>
      </c>
      <c r="F190" t="s">
        <v>57</v>
      </c>
      <c r="G190" s="5">
        <v>6700280</v>
      </c>
      <c r="H190" s="5">
        <v>6700280</v>
      </c>
    </row>
    <row r="191" spans="1:8" x14ac:dyDescent="0.25">
      <c r="A191" t="s">
        <v>267</v>
      </c>
      <c r="B191">
        <v>2017</v>
      </c>
      <c r="C191" t="s">
        <v>39</v>
      </c>
      <c r="D191" t="s">
        <v>39</v>
      </c>
      <c r="E191" t="s">
        <v>277</v>
      </c>
      <c r="F191" t="s">
        <v>56</v>
      </c>
      <c r="G191" s="5">
        <v>4969290</v>
      </c>
      <c r="H191" s="5">
        <v>4969290</v>
      </c>
    </row>
    <row r="192" spans="1:8" x14ac:dyDescent="0.25">
      <c r="A192" t="s">
        <v>267</v>
      </c>
      <c r="B192">
        <v>2017</v>
      </c>
      <c r="C192" t="s">
        <v>39</v>
      </c>
      <c r="D192" t="s">
        <v>39</v>
      </c>
      <c r="E192" t="s">
        <v>281</v>
      </c>
      <c r="F192" t="s">
        <v>60</v>
      </c>
      <c r="G192" s="5">
        <v>4902497</v>
      </c>
      <c r="H192" s="5">
        <v>4902497</v>
      </c>
    </row>
    <row r="193" spans="1:8" x14ac:dyDescent="0.25">
      <c r="A193" t="s">
        <v>267</v>
      </c>
      <c r="B193">
        <v>2017</v>
      </c>
      <c r="C193" t="s">
        <v>39</v>
      </c>
      <c r="D193" t="s">
        <v>39</v>
      </c>
      <c r="E193" t="s">
        <v>272</v>
      </c>
      <c r="F193" t="s">
        <v>51</v>
      </c>
      <c r="G193" s="5">
        <v>4447644</v>
      </c>
      <c r="H193" s="5">
        <v>4447652</v>
      </c>
    </row>
    <row r="194" spans="1:8" x14ac:dyDescent="0.25">
      <c r="A194" t="s">
        <v>267</v>
      </c>
      <c r="B194">
        <v>2017</v>
      </c>
      <c r="C194" t="s">
        <v>39</v>
      </c>
      <c r="D194" t="s">
        <v>39</v>
      </c>
      <c r="E194" t="s">
        <v>274</v>
      </c>
      <c r="F194" t="s">
        <v>53</v>
      </c>
      <c r="G194" s="5">
        <v>4295455</v>
      </c>
      <c r="H194" s="5">
        <v>4295455</v>
      </c>
    </row>
    <row r="195" spans="1:8" x14ac:dyDescent="0.25">
      <c r="A195" t="s">
        <v>267</v>
      </c>
      <c r="B195">
        <v>2017</v>
      </c>
      <c r="C195" t="s">
        <v>39</v>
      </c>
      <c r="D195" t="s">
        <v>39</v>
      </c>
      <c r="E195" t="s">
        <v>279</v>
      </c>
      <c r="F195" t="s">
        <v>58</v>
      </c>
      <c r="G195" s="5">
        <v>4148231</v>
      </c>
      <c r="H195" s="5">
        <v>4148231</v>
      </c>
    </row>
    <row r="196" spans="1:8" x14ac:dyDescent="0.25">
      <c r="A196" t="s">
        <v>267</v>
      </c>
      <c r="B196">
        <v>2017</v>
      </c>
      <c r="C196" t="s">
        <v>39</v>
      </c>
      <c r="D196" t="s">
        <v>39</v>
      </c>
      <c r="F196" t="s">
        <v>64</v>
      </c>
      <c r="G196" s="5">
        <v>2187192</v>
      </c>
      <c r="H196" s="5">
        <v>2187192</v>
      </c>
    </row>
    <row r="197" spans="1:8" x14ac:dyDescent="0.25">
      <c r="A197" t="s">
        <v>267</v>
      </c>
      <c r="B197">
        <v>2017</v>
      </c>
      <c r="C197" t="s">
        <v>39</v>
      </c>
      <c r="D197" t="s">
        <v>39</v>
      </c>
      <c r="E197" t="s">
        <v>280</v>
      </c>
      <c r="F197" t="s">
        <v>59</v>
      </c>
      <c r="G197" s="5">
        <v>1947252</v>
      </c>
      <c r="H197" s="5">
        <v>4722676</v>
      </c>
    </row>
    <row r="198" spans="1:8" x14ac:dyDescent="0.25">
      <c r="A198" t="s">
        <v>267</v>
      </c>
      <c r="B198">
        <v>2017</v>
      </c>
      <c r="C198" t="s">
        <v>39</v>
      </c>
      <c r="D198" t="s">
        <v>39</v>
      </c>
      <c r="E198" t="s">
        <v>284</v>
      </c>
      <c r="F198" t="s">
        <v>63</v>
      </c>
      <c r="G198" s="5">
        <v>1812406</v>
      </c>
      <c r="H198" s="5">
        <v>1812406</v>
      </c>
    </row>
    <row r="199" spans="1:8" x14ac:dyDescent="0.25">
      <c r="A199" t="s">
        <v>267</v>
      </c>
      <c r="B199">
        <v>2017</v>
      </c>
      <c r="C199" t="s">
        <v>39</v>
      </c>
      <c r="D199" t="s">
        <v>39</v>
      </c>
      <c r="E199" t="s">
        <v>283</v>
      </c>
      <c r="F199" t="s">
        <v>62</v>
      </c>
      <c r="G199" s="5">
        <v>1344522</v>
      </c>
      <c r="H199" s="5">
        <v>1344522</v>
      </c>
    </row>
    <row r="200" spans="1:8" x14ac:dyDescent="0.25">
      <c r="A200" t="s">
        <v>267</v>
      </c>
      <c r="B200">
        <v>2017</v>
      </c>
      <c r="C200" t="s">
        <v>39</v>
      </c>
      <c r="D200" t="s">
        <v>39</v>
      </c>
      <c r="E200" t="s">
        <v>282</v>
      </c>
      <c r="F200" t="s">
        <v>61</v>
      </c>
      <c r="G200" s="5">
        <v>1316456</v>
      </c>
      <c r="H200" s="5">
        <v>1316456</v>
      </c>
    </row>
    <row r="201" spans="1:8" x14ac:dyDescent="0.25">
      <c r="A201" t="s">
        <v>267</v>
      </c>
      <c r="B201">
        <v>2017</v>
      </c>
      <c r="C201" t="s">
        <v>39</v>
      </c>
      <c r="D201" t="s">
        <v>39</v>
      </c>
      <c r="E201" t="s">
        <v>286</v>
      </c>
      <c r="F201" t="s">
        <v>66</v>
      </c>
      <c r="G201" s="5">
        <v>1100178</v>
      </c>
      <c r="H201" s="5">
        <v>1100178</v>
      </c>
    </row>
    <row r="202" spans="1:8" x14ac:dyDescent="0.25">
      <c r="A202" t="s">
        <v>267</v>
      </c>
      <c r="B202">
        <v>2017</v>
      </c>
      <c r="C202" t="s">
        <v>39</v>
      </c>
      <c r="D202" t="s">
        <v>39</v>
      </c>
      <c r="E202" t="s">
        <v>285</v>
      </c>
      <c r="F202" t="s">
        <v>65</v>
      </c>
      <c r="G202" s="5">
        <v>1095141</v>
      </c>
      <c r="H202" s="5">
        <v>1095141</v>
      </c>
    </row>
    <row r="203" spans="1:8" x14ac:dyDescent="0.25">
      <c r="A203" t="s">
        <v>267</v>
      </c>
      <c r="B203">
        <v>2017</v>
      </c>
      <c r="C203" t="s">
        <v>39</v>
      </c>
      <c r="D203" t="s">
        <v>39</v>
      </c>
      <c r="E203" t="s">
        <v>294</v>
      </c>
      <c r="F203" t="s">
        <v>74</v>
      </c>
      <c r="G203" s="5">
        <v>1010870</v>
      </c>
      <c r="H203" s="5">
        <v>1010870</v>
      </c>
    </row>
    <row r="204" spans="1:8" x14ac:dyDescent="0.25">
      <c r="A204" t="s">
        <v>267</v>
      </c>
      <c r="B204">
        <v>2017</v>
      </c>
      <c r="C204" t="s">
        <v>39</v>
      </c>
      <c r="D204" t="s">
        <v>39</v>
      </c>
      <c r="E204" t="s">
        <v>287</v>
      </c>
      <c r="F204" t="s">
        <v>67</v>
      </c>
      <c r="G204" s="5">
        <v>974189</v>
      </c>
      <c r="H204" s="5">
        <v>974189</v>
      </c>
    </row>
    <row r="205" spans="1:8" x14ac:dyDescent="0.25">
      <c r="A205" t="s">
        <v>267</v>
      </c>
      <c r="B205">
        <v>2017</v>
      </c>
      <c r="C205" t="s">
        <v>39</v>
      </c>
      <c r="D205" t="s">
        <v>39</v>
      </c>
      <c r="E205" t="s">
        <v>291</v>
      </c>
      <c r="F205" t="s">
        <v>71</v>
      </c>
      <c r="G205" s="5">
        <v>645295</v>
      </c>
      <c r="H205" s="5">
        <v>645295</v>
      </c>
    </row>
    <row r="206" spans="1:8" x14ac:dyDescent="0.25">
      <c r="A206" t="s">
        <v>267</v>
      </c>
      <c r="B206">
        <v>2017</v>
      </c>
      <c r="C206" t="s">
        <v>39</v>
      </c>
      <c r="D206" t="s">
        <v>39</v>
      </c>
      <c r="E206" t="s">
        <v>290</v>
      </c>
      <c r="F206" t="s">
        <v>70</v>
      </c>
      <c r="G206" s="5">
        <v>571360</v>
      </c>
      <c r="H206" s="5">
        <v>571360</v>
      </c>
    </row>
    <row r="207" spans="1:8" x14ac:dyDescent="0.25">
      <c r="A207" t="s">
        <v>267</v>
      </c>
      <c r="B207">
        <v>2017</v>
      </c>
      <c r="C207" t="s">
        <v>39</v>
      </c>
      <c r="D207" t="s">
        <v>39</v>
      </c>
      <c r="E207" t="s">
        <v>293</v>
      </c>
      <c r="F207" t="s">
        <v>73</v>
      </c>
      <c r="G207" s="5">
        <v>433309</v>
      </c>
      <c r="H207" s="5">
        <v>433309</v>
      </c>
    </row>
    <row r="208" spans="1:8" x14ac:dyDescent="0.25">
      <c r="A208" t="s">
        <v>267</v>
      </c>
      <c r="B208">
        <v>2017</v>
      </c>
      <c r="C208" t="s">
        <v>39</v>
      </c>
      <c r="D208" t="s">
        <v>39</v>
      </c>
      <c r="E208" t="s">
        <v>298</v>
      </c>
      <c r="F208" t="s">
        <v>78</v>
      </c>
      <c r="G208" s="5">
        <v>420900</v>
      </c>
      <c r="H208" s="5">
        <v>420900</v>
      </c>
    </row>
    <row r="209" spans="1:8" x14ac:dyDescent="0.25">
      <c r="A209" t="s">
        <v>267</v>
      </c>
      <c r="B209">
        <v>2017</v>
      </c>
      <c r="C209" t="s">
        <v>39</v>
      </c>
      <c r="D209" t="s">
        <v>39</v>
      </c>
      <c r="E209" t="s">
        <v>300</v>
      </c>
      <c r="F209" t="s">
        <v>80</v>
      </c>
      <c r="G209" s="5">
        <v>415722</v>
      </c>
      <c r="H209" s="5">
        <v>415722</v>
      </c>
    </row>
    <row r="210" spans="1:8" x14ac:dyDescent="0.25">
      <c r="A210" t="s">
        <v>267</v>
      </c>
      <c r="B210">
        <v>2017</v>
      </c>
      <c r="C210" t="s">
        <v>39</v>
      </c>
      <c r="D210" t="s">
        <v>39</v>
      </c>
      <c r="E210" t="s">
        <v>288</v>
      </c>
      <c r="F210" t="s">
        <v>68</v>
      </c>
      <c r="G210" s="5">
        <v>383885</v>
      </c>
      <c r="H210" s="5">
        <v>383885</v>
      </c>
    </row>
    <row r="211" spans="1:8" x14ac:dyDescent="0.25">
      <c r="A211" t="s">
        <v>267</v>
      </c>
      <c r="B211">
        <v>2017</v>
      </c>
      <c r="C211" t="s">
        <v>39</v>
      </c>
      <c r="D211" t="s">
        <v>39</v>
      </c>
      <c r="E211" t="s">
        <v>307</v>
      </c>
      <c r="F211" t="s">
        <v>87</v>
      </c>
      <c r="G211" s="5">
        <v>375499</v>
      </c>
      <c r="H211" s="5">
        <v>375499</v>
      </c>
    </row>
    <row r="212" spans="1:8" x14ac:dyDescent="0.25">
      <c r="A212" t="s">
        <v>267</v>
      </c>
      <c r="B212">
        <v>2017</v>
      </c>
      <c r="C212" t="s">
        <v>39</v>
      </c>
      <c r="D212" t="s">
        <v>39</v>
      </c>
      <c r="E212" t="s">
        <v>295</v>
      </c>
      <c r="F212" t="s">
        <v>75</v>
      </c>
      <c r="G212" s="5">
        <v>339103</v>
      </c>
      <c r="H212" s="5">
        <v>339103</v>
      </c>
    </row>
    <row r="213" spans="1:8" x14ac:dyDescent="0.25">
      <c r="A213" t="s">
        <v>267</v>
      </c>
      <c r="B213">
        <v>2017</v>
      </c>
      <c r="C213" t="s">
        <v>39</v>
      </c>
      <c r="D213" t="s">
        <v>39</v>
      </c>
      <c r="E213" t="s">
        <v>304</v>
      </c>
      <c r="F213" t="s">
        <v>84</v>
      </c>
      <c r="G213" s="5">
        <v>304367</v>
      </c>
      <c r="H213" s="5">
        <v>304367</v>
      </c>
    </row>
    <row r="214" spans="1:8" x14ac:dyDescent="0.25">
      <c r="A214" t="s">
        <v>267</v>
      </c>
      <c r="B214">
        <v>2017</v>
      </c>
      <c r="C214" t="s">
        <v>39</v>
      </c>
      <c r="D214" t="s">
        <v>39</v>
      </c>
      <c r="E214" t="s">
        <v>292</v>
      </c>
      <c r="F214" t="s">
        <v>72</v>
      </c>
      <c r="G214" s="5">
        <v>273271</v>
      </c>
      <c r="H214" s="5">
        <v>273271</v>
      </c>
    </row>
    <row r="215" spans="1:8" x14ac:dyDescent="0.25">
      <c r="A215" t="s">
        <v>267</v>
      </c>
      <c r="B215">
        <v>2017</v>
      </c>
      <c r="C215" t="s">
        <v>39</v>
      </c>
      <c r="D215" t="s">
        <v>39</v>
      </c>
      <c r="E215" t="s">
        <v>296</v>
      </c>
      <c r="F215" t="s">
        <v>76</v>
      </c>
      <c r="G215" s="5">
        <v>172171</v>
      </c>
      <c r="H215" s="5">
        <v>172171</v>
      </c>
    </row>
    <row r="216" spans="1:8" x14ac:dyDescent="0.25">
      <c r="A216" t="s">
        <v>267</v>
      </c>
      <c r="B216">
        <v>2017</v>
      </c>
      <c r="C216" t="s">
        <v>39</v>
      </c>
      <c r="D216" t="s">
        <v>39</v>
      </c>
      <c r="E216" t="s">
        <v>301</v>
      </c>
      <c r="F216" t="s">
        <v>81</v>
      </c>
      <c r="G216" s="5">
        <v>146895</v>
      </c>
      <c r="H216" s="5">
        <v>146895</v>
      </c>
    </row>
    <row r="217" spans="1:8" x14ac:dyDescent="0.25">
      <c r="A217" t="s">
        <v>267</v>
      </c>
      <c r="B217">
        <v>2017</v>
      </c>
      <c r="C217" t="s">
        <v>39</v>
      </c>
      <c r="D217" t="s">
        <v>39</v>
      </c>
      <c r="E217" t="s">
        <v>303</v>
      </c>
      <c r="F217" t="s">
        <v>83</v>
      </c>
      <c r="G217" s="5">
        <v>142294</v>
      </c>
      <c r="H217" s="5">
        <v>142294</v>
      </c>
    </row>
    <row r="218" spans="1:8" x14ac:dyDescent="0.25">
      <c r="A218" t="s">
        <v>267</v>
      </c>
      <c r="B218">
        <v>2017</v>
      </c>
      <c r="C218" t="s">
        <v>39</v>
      </c>
      <c r="D218" t="s">
        <v>39</v>
      </c>
      <c r="E218" t="s">
        <v>311</v>
      </c>
      <c r="F218" t="s">
        <v>91</v>
      </c>
      <c r="G218" s="5">
        <v>126929</v>
      </c>
      <c r="H218" s="5">
        <v>126929</v>
      </c>
    </row>
    <row r="219" spans="1:8" x14ac:dyDescent="0.25">
      <c r="A219" t="s">
        <v>267</v>
      </c>
      <c r="B219">
        <v>2017</v>
      </c>
      <c r="C219" t="s">
        <v>39</v>
      </c>
      <c r="D219" t="s">
        <v>39</v>
      </c>
      <c r="E219" t="s">
        <v>305</v>
      </c>
      <c r="F219" t="s">
        <v>85</v>
      </c>
      <c r="G219" s="5">
        <v>121685</v>
      </c>
      <c r="H219" s="5">
        <v>121685</v>
      </c>
    </row>
    <row r="220" spans="1:8" x14ac:dyDescent="0.25">
      <c r="A220" t="s">
        <v>267</v>
      </c>
      <c r="B220">
        <v>2017</v>
      </c>
      <c r="C220" t="s">
        <v>39</v>
      </c>
      <c r="D220" t="s">
        <v>39</v>
      </c>
      <c r="E220" t="s">
        <v>297</v>
      </c>
      <c r="F220" t="s">
        <v>77</v>
      </c>
      <c r="G220" s="5">
        <v>35757</v>
      </c>
      <c r="H220" s="5">
        <v>35757</v>
      </c>
    </row>
    <row r="221" spans="1:8" x14ac:dyDescent="0.25">
      <c r="A221" t="s">
        <v>267</v>
      </c>
      <c r="B221">
        <v>2017</v>
      </c>
      <c r="C221" t="s">
        <v>39</v>
      </c>
      <c r="D221" t="s">
        <v>39</v>
      </c>
      <c r="E221" t="s">
        <v>439</v>
      </c>
      <c r="F221" t="s">
        <v>226</v>
      </c>
      <c r="G221" s="5">
        <v>27859</v>
      </c>
      <c r="H221" s="5">
        <v>27859</v>
      </c>
    </row>
    <row r="222" spans="1:8" x14ac:dyDescent="0.25">
      <c r="A222" t="s">
        <v>267</v>
      </c>
      <c r="B222">
        <v>2017</v>
      </c>
      <c r="C222" t="s">
        <v>39</v>
      </c>
      <c r="D222" t="s">
        <v>39</v>
      </c>
      <c r="E222" t="s">
        <v>440</v>
      </c>
      <c r="F222" t="s">
        <v>227</v>
      </c>
      <c r="G222" s="5">
        <v>24693</v>
      </c>
      <c r="H222" s="5">
        <v>24693</v>
      </c>
    </row>
    <row r="223" spans="1:8" x14ac:dyDescent="0.25">
      <c r="A223" t="s">
        <v>267</v>
      </c>
      <c r="B223">
        <v>2017</v>
      </c>
      <c r="C223" t="s">
        <v>39</v>
      </c>
      <c r="D223" t="s">
        <v>39</v>
      </c>
      <c r="E223" t="s">
        <v>306</v>
      </c>
      <c r="F223" t="s">
        <v>86</v>
      </c>
      <c r="G223" s="5">
        <v>20284</v>
      </c>
      <c r="H223" s="5">
        <v>20284</v>
      </c>
    </row>
    <row r="224" spans="1:8" x14ac:dyDescent="0.25">
      <c r="A224" t="s">
        <v>267</v>
      </c>
      <c r="B224">
        <v>2017</v>
      </c>
      <c r="C224" t="s">
        <v>39</v>
      </c>
      <c r="D224" t="s">
        <v>39</v>
      </c>
      <c r="E224" t="s">
        <v>308</v>
      </c>
      <c r="F224" t="s">
        <v>88</v>
      </c>
      <c r="G224" s="5">
        <v>17698</v>
      </c>
      <c r="H224" s="5">
        <v>17698</v>
      </c>
    </row>
    <row r="225" spans="1:8" x14ac:dyDescent="0.25">
      <c r="A225" t="s">
        <v>267</v>
      </c>
      <c r="B225">
        <v>2017</v>
      </c>
      <c r="C225" t="s">
        <v>92</v>
      </c>
      <c r="D225" t="s">
        <v>36</v>
      </c>
      <c r="E225" t="s">
        <v>36</v>
      </c>
      <c r="F225" t="s">
        <v>93</v>
      </c>
      <c r="G225" s="5">
        <v>1677210603</v>
      </c>
      <c r="H225" s="5">
        <v>1941182678</v>
      </c>
    </row>
    <row r="226" spans="1:8" x14ac:dyDescent="0.25">
      <c r="A226" t="s">
        <v>267</v>
      </c>
      <c r="B226">
        <v>2017</v>
      </c>
      <c r="C226" t="s">
        <v>92</v>
      </c>
      <c r="D226" t="s">
        <v>38</v>
      </c>
      <c r="E226" t="s">
        <v>313</v>
      </c>
      <c r="F226" t="s">
        <v>95</v>
      </c>
      <c r="G226" s="5">
        <v>116361660</v>
      </c>
      <c r="H226" s="5">
        <v>117756711</v>
      </c>
    </row>
    <row r="227" spans="1:8" x14ac:dyDescent="0.25">
      <c r="A227" t="s">
        <v>267</v>
      </c>
      <c r="B227">
        <v>2017</v>
      </c>
      <c r="C227" t="s">
        <v>92</v>
      </c>
      <c r="D227" t="s">
        <v>38</v>
      </c>
      <c r="E227" t="s">
        <v>312</v>
      </c>
      <c r="F227" t="s">
        <v>94</v>
      </c>
      <c r="G227" s="5">
        <v>115266065</v>
      </c>
      <c r="H227" s="5">
        <v>115429127</v>
      </c>
    </row>
    <row r="228" spans="1:8" x14ac:dyDescent="0.25">
      <c r="A228" t="s">
        <v>267</v>
      </c>
      <c r="B228">
        <v>2017</v>
      </c>
      <c r="C228" t="s">
        <v>92</v>
      </c>
      <c r="D228" t="s">
        <v>38</v>
      </c>
      <c r="E228" t="s">
        <v>314</v>
      </c>
      <c r="F228" t="s">
        <v>96</v>
      </c>
      <c r="G228" s="5">
        <v>58930991</v>
      </c>
      <c r="H228" s="5">
        <v>59257536</v>
      </c>
    </row>
    <row r="229" spans="1:8" x14ac:dyDescent="0.25">
      <c r="A229" t="s">
        <v>267</v>
      </c>
      <c r="B229">
        <v>2017</v>
      </c>
      <c r="C229" t="s">
        <v>92</v>
      </c>
      <c r="D229" t="s">
        <v>38</v>
      </c>
      <c r="E229" t="s">
        <v>315</v>
      </c>
      <c r="F229" t="s">
        <v>97</v>
      </c>
      <c r="G229" s="5">
        <v>32897227</v>
      </c>
      <c r="H229" s="5">
        <v>32957617</v>
      </c>
    </row>
    <row r="230" spans="1:8" x14ac:dyDescent="0.25">
      <c r="A230" t="s">
        <v>267</v>
      </c>
      <c r="B230">
        <v>2017</v>
      </c>
      <c r="C230" t="s">
        <v>92</v>
      </c>
      <c r="D230" t="s">
        <v>38</v>
      </c>
      <c r="E230" t="s">
        <v>317</v>
      </c>
      <c r="F230" t="s">
        <v>99</v>
      </c>
      <c r="G230" s="5">
        <v>27455061</v>
      </c>
      <c r="H230" s="5">
        <v>27455061</v>
      </c>
    </row>
    <row r="231" spans="1:8" x14ac:dyDescent="0.25">
      <c r="A231" t="s">
        <v>267</v>
      </c>
      <c r="B231">
        <v>2017</v>
      </c>
      <c r="C231" t="s">
        <v>92</v>
      </c>
      <c r="D231" t="s">
        <v>38</v>
      </c>
      <c r="E231" t="s">
        <v>318</v>
      </c>
      <c r="F231" t="s">
        <v>100</v>
      </c>
      <c r="G231" s="5">
        <v>16686088</v>
      </c>
      <c r="H231" s="5">
        <v>16686246</v>
      </c>
    </row>
    <row r="232" spans="1:8" x14ac:dyDescent="0.25">
      <c r="A232" t="s">
        <v>267</v>
      </c>
      <c r="B232">
        <v>2017</v>
      </c>
      <c r="C232" t="s">
        <v>92</v>
      </c>
      <c r="D232" t="s">
        <v>38</v>
      </c>
      <c r="E232" t="s">
        <v>316</v>
      </c>
      <c r="F232" t="s">
        <v>98</v>
      </c>
      <c r="G232" s="5">
        <v>14614608</v>
      </c>
      <c r="H232" s="5">
        <v>14624840</v>
      </c>
    </row>
    <row r="233" spans="1:8" x14ac:dyDescent="0.25">
      <c r="A233" t="s">
        <v>267</v>
      </c>
      <c r="B233">
        <v>2017</v>
      </c>
      <c r="C233" t="s">
        <v>92</v>
      </c>
      <c r="D233" t="s">
        <v>38</v>
      </c>
      <c r="E233" t="s">
        <v>319</v>
      </c>
      <c r="F233" t="s">
        <v>101</v>
      </c>
      <c r="G233" s="5">
        <v>13849784</v>
      </c>
      <c r="H233" s="5">
        <v>13869502</v>
      </c>
    </row>
    <row r="234" spans="1:8" x14ac:dyDescent="0.25">
      <c r="A234" t="s">
        <v>267</v>
      </c>
      <c r="B234">
        <v>2017</v>
      </c>
      <c r="C234" t="s">
        <v>92</v>
      </c>
      <c r="D234" t="s">
        <v>38</v>
      </c>
      <c r="E234" t="s">
        <v>321</v>
      </c>
      <c r="F234" t="s">
        <v>103</v>
      </c>
      <c r="G234" s="5">
        <v>7634194</v>
      </c>
      <c r="H234" s="5">
        <v>7634194</v>
      </c>
    </row>
    <row r="235" spans="1:8" x14ac:dyDescent="0.25">
      <c r="A235" t="s">
        <v>267</v>
      </c>
      <c r="B235">
        <v>2017</v>
      </c>
      <c r="C235" t="s">
        <v>92</v>
      </c>
      <c r="D235" t="s">
        <v>38</v>
      </c>
      <c r="F235" t="s">
        <v>104</v>
      </c>
      <c r="G235" s="5">
        <v>5412836</v>
      </c>
      <c r="H235" s="5">
        <v>5786341</v>
      </c>
    </row>
    <row r="236" spans="1:8" x14ac:dyDescent="0.25">
      <c r="A236" t="s">
        <v>267</v>
      </c>
      <c r="B236">
        <v>2017</v>
      </c>
      <c r="C236" t="s">
        <v>92</v>
      </c>
      <c r="D236" t="s">
        <v>38</v>
      </c>
      <c r="E236" t="s">
        <v>324</v>
      </c>
      <c r="F236" t="s">
        <v>107</v>
      </c>
      <c r="G236" s="5">
        <v>4825117</v>
      </c>
      <c r="H236" s="5">
        <v>4826984</v>
      </c>
    </row>
    <row r="237" spans="1:8" x14ac:dyDescent="0.25">
      <c r="A237" t="s">
        <v>267</v>
      </c>
      <c r="B237">
        <v>2017</v>
      </c>
      <c r="C237" t="s">
        <v>92</v>
      </c>
      <c r="D237" t="s">
        <v>38</v>
      </c>
      <c r="E237" t="s">
        <v>322</v>
      </c>
      <c r="F237" t="s">
        <v>105</v>
      </c>
      <c r="G237" s="5">
        <v>3896908</v>
      </c>
      <c r="H237" s="5">
        <v>3896908</v>
      </c>
    </row>
    <row r="238" spans="1:8" x14ac:dyDescent="0.25">
      <c r="A238" t="s">
        <v>267</v>
      </c>
      <c r="B238">
        <v>2017</v>
      </c>
      <c r="C238" t="s">
        <v>92</v>
      </c>
      <c r="D238" t="s">
        <v>38</v>
      </c>
      <c r="E238" t="s">
        <v>326</v>
      </c>
      <c r="F238" t="s">
        <v>109</v>
      </c>
      <c r="G238" s="5">
        <v>3108816</v>
      </c>
      <c r="H238" s="5">
        <v>3190804</v>
      </c>
    </row>
    <row r="239" spans="1:8" x14ac:dyDescent="0.25">
      <c r="A239" t="s">
        <v>267</v>
      </c>
      <c r="B239">
        <v>2017</v>
      </c>
      <c r="C239" t="s">
        <v>92</v>
      </c>
      <c r="D239" t="s">
        <v>38</v>
      </c>
      <c r="E239" t="s">
        <v>325</v>
      </c>
      <c r="F239" t="s">
        <v>108</v>
      </c>
      <c r="G239" s="5">
        <v>2923557</v>
      </c>
      <c r="H239" s="5">
        <v>2923557</v>
      </c>
    </row>
    <row r="240" spans="1:8" x14ac:dyDescent="0.25">
      <c r="A240" t="s">
        <v>267</v>
      </c>
      <c r="B240">
        <v>2017</v>
      </c>
      <c r="C240" t="s">
        <v>92</v>
      </c>
      <c r="D240" t="s">
        <v>38</v>
      </c>
      <c r="E240" t="s">
        <v>327</v>
      </c>
      <c r="F240" t="s">
        <v>110</v>
      </c>
      <c r="G240" s="5">
        <v>2764193</v>
      </c>
      <c r="H240" s="5">
        <v>2764193</v>
      </c>
    </row>
    <row r="241" spans="1:8" x14ac:dyDescent="0.25">
      <c r="A241" t="s">
        <v>267</v>
      </c>
      <c r="B241">
        <v>2017</v>
      </c>
      <c r="C241" t="s">
        <v>92</v>
      </c>
      <c r="D241" t="s">
        <v>38</v>
      </c>
      <c r="E241" t="s">
        <v>323</v>
      </c>
      <c r="F241" t="s">
        <v>106</v>
      </c>
      <c r="G241" s="5">
        <v>2282604</v>
      </c>
      <c r="H241" s="5">
        <v>2282604</v>
      </c>
    </row>
    <row r="242" spans="1:8" x14ac:dyDescent="0.25">
      <c r="A242" t="s">
        <v>267</v>
      </c>
      <c r="B242">
        <v>2017</v>
      </c>
      <c r="C242" t="s">
        <v>92</v>
      </c>
      <c r="D242" t="s">
        <v>38</v>
      </c>
      <c r="E242" t="s">
        <v>441</v>
      </c>
      <c r="F242" t="s">
        <v>228</v>
      </c>
      <c r="G242" s="5">
        <v>2282135</v>
      </c>
      <c r="H242" s="5">
        <v>2282135</v>
      </c>
    </row>
    <row r="243" spans="1:8" x14ac:dyDescent="0.25">
      <c r="A243" t="s">
        <v>267</v>
      </c>
      <c r="B243">
        <v>2017</v>
      </c>
      <c r="C243" t="s">
        <v>92</v>
      </c>
      <c r="D243" t="s">
        <v>38</v>
      </c>
      <c r="E243" t="s">
        <v>328</v>
      </c>
      <c r="F243" t="s">
        <v>111</v>
      </c>
      <c r="G243" s="5">
        <v>2218176</v>
      </c>
      <c r="H243" s="5">
        <v>3174357</v>
      </c>
    </row>
    <row r="244" spans="1:8" x14ac:dyDescent="0.25">
      <c r="A244" t="s">
        <v>267</v>
      </c>
      <c r="B244">
        <v>2017</v>
      </c>
      <c r="C244" t="s">
        <v>92</v>
      </c>
      <c r="D244" t="s">
        <v>38</v>
      </c>
      <c r="E244" t="s">
        <v>331</v>
      </c>
      <c r="F244" t="s">
        <v>114</v>
      </c>
      <c r="G244" s="5">
        <v>2064268</v>
      </c>
      <c r="H244" s="5">
        <v>2065453</v>
      </c>
    </row>
    <row r="245" spans="1:8" x14ac:dyDescent="0.25">
      <c r="A245" t="s">
        <v>267</v>
      </c>
      <c r="B245">
        <v>2017</v>
      </c>
      <c r="C245" t="s">
        <v>92</v>
      </c>
      <c r="D245" t="s">
        <v>38</v>
      </c>
      <c r="E245" t="s">
        <v>330</v>
      </c>
      <c r="F245" t="s">
        <v>113</v>
      </c>
      <c r="G245" s="5">
        <v>1466129</v>
      </c>
      <c r="H245" s="5">
        <v>1466129</v>
      </c>
    </row>
    <row r="246" spans="1:8" x14ac:dyDescent="0.25">
      <c r="A246" t="s">
        <v>267</v>
      </c>
      <c r="B246">
        <v>2017</v>
      </c>
      <c r="C246" t="s">
        <v>92</v>
      </c>
      <c r="D246" t="s">
        <v>38</v>
      </c>
      <c r="E246" t="s">
        <v>329</v>
      </c>
      <c r="F246" t="s">
        <v>112</v>
      </c>
      <c r="G246" s="5">
        <v>1126826</v>
      </c>
      <c r="H246" s="5">
        <v>1126826</v>
      </c>
    </row>
    <row r="247" spans="1:8" x14ac:dyDescent="0.25">
      <c r="A247" t="s">
        <v>267</v>
      </c>
      <c r="B247">
        <v>2017</v>
      </c>
      <c r="C247" t="s">
        <v>92</v>
      </c>
      <c r="D247" t="s">
        <v>38</v>
      </c>
      <c r="E247" t="s">
        <v>332</v>
      </c>
      <c r="F247" t="s">
        <v>115</v>
      </c>
      <c r="G247" s="5">
        <v>1070439</v>
      </c>
      <c r="H247" s="5">
        <v>1070439</v>
      </c>
    </row>
    <row r="248" spans="1:8" x14ac:dyDescent="0.25">
      <c r="A248" t="s">
        <v>267</v>
      </c>
      <c r="B248">
        <v>2017</v>
      </c>
      <c r="C248" t="s">
        <v>92</v>
      </c>
      <c r="D248" t="s">
        <v>38</v>
      </c>
      <c r="E248" t="s">
        <v>320</v>
      </c>
      <c r="F248" t="s">
        <v>102</v>
      </c>
      <c r="G248" s="5">
        <v>681110</v>
      </c>
      <c r="H248" s="5">
        <v>3133830</v>
      </c>
    </row>
    <row r="249" spans="1:8" x14ac:dyDescent="0.25">
      <c r="A249" t="s">
        <v>267</v>
      </c>
      <c r="B249">
        <v>2017</v>
      </c>
      <c r="C249" t="s">
        <v>92</v>
      </c>
      <c r="D249" t="s">
        <v>38</v>
      </c>
      <c r="E249" t="s">
        <v>334</v>
      </c>
      <c r="F249" t="s">
        <v>117</v>
      </c>
      <c r="G249" s="5">
        <v>604143</v>
      </c>
      <c r="H249" s="5">
        <v>635685</v>
      </c>
    </row>
    <row r="250" spans="1:8" x14ac:dyDescent="0.25">
      <c r="A250" t="s">
        <v>267</v>
      </c>
      <c r="B250">
        <v>2017</v>
      </c>
      <c r="C250" t="s">
        <v>92</v>
      </c>
      <c r="D250" t="s">
        <v>38</v>
      </c>
      <c r="E250" t="s">
        <v>333</v>
      </c>
      <c r="F250" t="s">
        <v>116</v>
      </c>
      <c r="G250" s="5">
        <v>437638</v>
      </c>
      <c r="H250" s="5">
        <v>437638</v>
      </c>
    </row>
    <row r="251" spans="1:8" x14ac:dyDescent="0.25">
      <c r="A251" t="s">
        <v>267</v>
      </c>
      <c r="B251">
        <v>2017</v>
      </c>
      <c r="C251" t="s">
        <v>92</v>
      </c>
      <c r="D251" t="s">
        <v>38</v>
      </c>
      <c r="E251" t="s">
        <v>337</v>
      </c>
      <c r="F251" t="s">
        <v>120</v>
      </c>
      <c r="G251" s="5">
        <v>284090</v>
      </c>
      <c r="H251" s="5">
        <v>284090</v>
      </c>
    </row>
    <row r="252" spans="1:8" x14ac:dyDescent="0.25">
      <c r="A252" t="s">
        <v>267</v>
      </c>
      <c r="B252">
        <v>2017</v>
      </c>
      <c r="C252" t="s">
        <v>92</v>
      </c>
      <c r="D252" t="s">
        <v>38</v>
      </c>
      <c r="E252" t="s">
        <v>339</v>
      </c>
      <c r="F252" t="s">
        <v>122</v>
      </c>
      <c r="G252" s="5">
        <v>256643</v>
      </c>
      <c r="H252" s="5">
        <v>256643</v>
      </c>
    </row>
    <row r="253" spans="1:8" x14ac:dyDescent="0.25">
      <c r="A253" t="s">
        <v>267</v>
      </c>
      <c r="B253">
        <v>2017</v>
      </c>
      <c r="C253" t="s">
        <v>92</v>
      </c>
      <c r="D253" t="s">
        <v>38</v>
      </c>
      <c r="E253" t="s">
        <v>335</v>
      </c>
      <c r="F253" t="s">
        <v>118</v>
      </c>
      <c r="G253" s="5">
        <v>175784</v>
      </c>
      <c r="H253" s="5">
        <v>175784</v>
      </c>
    </row>
    <row r="254" spans="1:8" x14ac:dyDescent="0.25">
      <c r="A254" t="s">
        <v>267</v>
      </c>
      <c r="B254">
        <v>2017</v>
      </c>
      <c r="C254" t="s">
        <v>92</v>
      </c>
      <c r="D254" t="s">
        <v>38</v>
      </c>
      <c r="E254" t="s">
        <v>341</v>
      </c>
      <c r="F254" t="s">
        <v>124</v>
      </c>
      <c r="G254" s="5">
        <v>134652</v>
      </c>
      <c r="H254" s="5">
        <v>134652</v>
      </c>
    </row>
    <row r="255" spans="1:8" x14ac:dyDescent="0.25">
      <c r="A255" t="s">
        <v>267</v>
      </c>
      <c r="B255">
        <v>2017</v>
      </c>
      <c r="C255" t="s">
        <v>92</v>
      </c>
      <c r="D255" t="s">
        <v>38</v>
      </c>
      <c r="E255" t="s">
        <v>336</v>
      </c>
      <c r="F255" t="s">
        <v>119</v>
      </c>
      <c r="G255" s="5">
        <v>126705</v>
      </c>
      <c r="H255" s="5">
        <v>25974085</v>
      </c>
    </row>
    <row r="256" spans="1:8" x14ac:dyDescent="0.25">
      <c r="A256" t="s">
        <v>267</v>
      </c>
      <c r="B256">
        <v>2017</v>
      </c>
      <c r="C256" t="s">
        <v>92</v>
      </c>
      <c r="D256" t="s">
        <v>38</v>
      </c>
      <c r="E256" t="s">
        <v>340</v>
      </c>
      <c r="F256" t="s">
        <v>123</v>
      </c>
      <c r="G256" s="5">
        <v>103604</v>
      </c>
      <c r="H256" s="5">
        <v>103604</v>
      </c>
    </row>
    <row r="257" spans="1:8" x14ac:dyDescent="0.25">
      <c r="A257" t="s">
        <v>267</v>
      </c>
      <c r="B257">
        <v>2017</v>
      </c>
      <c r="C257" t="s">
        <v>35</v>
      </c>
      <c r="D257" t="s">
        <v>35</v>
      </c>
      <c r="E257" t="s">
        <v>343</v>
      </c>
      <c r="F257" t="s">
        <v>126</v>
      </c>
      <c r="G257" s="5">
        <v>786876514</v>
      </c>
      <c r="H257" s="5">
        <v>2931202324</v>
      </c>
    </row>
    <row r="258" spans="1:8" x14ac:dyDescent="0.25">
      <c r="A258" t="s">
        <v>267</v>
      </c>
      <c r="B258">
        <v>2017</v>
      </c>
      <c r="C258" t="s">
        <v>35</v>
      </c>
      <c r="D258" t="s">
        <v>35</v>
      </c>
      <c r="E258" t="s">
        <v>348</v>
      </c>
      <c r="F258" t="s">
        <v>131</v>
      </c>
      <c r="G258" s="5">
        <v>288799837</v>
      </c>
      <c r="H258" s="5">
        <v>305185248</v>
      </c>
    </row>
    <row r="259" spans="1:8" x14ac:dyDescent="0.25">
      <c r="A259" t="s">
        <v>267</v>
      </c>
      <c r="B259">
        <v>2017</v>
      </c>
      <c r="C259" t="s">
        <v>35</v>
      </c>
      <c r="D259" t="s">
        <v>35</v>
      </c>
      <c r="E259" t="s">
        <v>349</v>
      </c>
      <c r="F259" t="s">
        <v>132</v>
      </c>
      <c r="G259" s="5">
        <v>255939780</v>
      </c>
      <c r="H259" s="5">
        <v>710319020</v>
      </c>
    </row>
    <row r="260" spans="1:8" x14ac:dyDescent="0.25">
      <c r="A260" t="s">
        <v>267</v>
      </c>
      <c r="B260">
        <v>2017</v>
      </c>
      <c r="C260" t="s">
        <v>35</v>
      </c>
      <c r="D260" t="s">
        <v>35</v>
      </c>
      <c r="E260" t="s">
        <v>344</v>
      </c>
      <c r="F260" t="s">
        <v>127</v>
      </c>
      <c r="G260" s="5">
        <v>238498961</v>
      </c>
      <c r="H260" s="5">
        <v>248814412</v>
      </c>
    </row>
    <row r="261" spans="1:8" x14ac:dyDescent="0.25">
      <c r="A261" t="s">
        <v>267</v>
      </c>
      <c r="B261">
        <v>2017</v>
      </c>
      <c r="C261" t="s">
        <v>35</v>
      </c>
      <c r="D261" t="s">
        <v>35</v>
      </c>
      <c r="E261" t="s">
        <v>346</v>
      </c>
      <c r="F261" t="s">
        <v>129</v>
      </c>
      <c r="G261" s="5">
        <v>230916227</v>
      </c>
      <c r="H261" s="5">
        <v>1036845949</v>
      </c>
    </row>
    <row r="262" spans="1:8" x14ac:dyDescent="0.25">
      <c r="A262" t="s">
        <v>267</v>
      </c>
      <c r="B262">
        <v>2017</v>
      </c>
      <c r="C262" t="s">
        <v>35</v>
      </c>
      <c r="D262" t="s">
        <v>35</v>
      </c>
      <c r="E262" t="s">
        <v>345</v>
      </c>
      <c r="F262" t="s">
        <v>128</v>
      </c>
      <c r="G262" s="5">
        <v>222095152</v>
      </c>
      <c r="H262" s="5">
        <v>1290789113</v>
      </c>
    </row>
    <row r="263" spans="1:8" x14ac:dyDescent="0.25">
      <c r="A263" t="s">
        <v>267</v>
      </c>
      <c r="B263">
        <v>2017</v>
      </c>
      <c r="C263" t="s">
        <v>35</v>
      </c>
      <c r="D263" t="s">
        <v>35</v>
      </c>
      <c r="E263" t="s">
        <v>356</v>
      </c>
      <c r="F263" t="s">
        <v>139</v>
      </c>
      <c r="G263" s="5">
        <v>160451728</v>
      </c>
      <c r="H263" s="5">
        <v>241231258</v>
      </c>
    </row>
    <row r="264" spans="1:8" x14ac:dyDescent="0.25">
      <c r="A264" t="s">
        <v>267</v>
      </c>
      <c r="B264">
        <v>2017</v>
      </c>
      <c r="C264" t="s">
        <v>35</v>
      </c>
      <c r="D264" t="s">
        <v>35</v>
      </c>
      <c r="E264" t="s">
        <v>347</v>
      </c>
      <c r="F264" t="s">
        <v>130</v>
      </c>
      <c r="G264" s="5">
        <v>120863086</v>
      </c>
      <c r="H264" s="5">
        <v>575815365</v>
      </c>
    </row>
    <row r="265" spans="1:8" x14ac:dyDescent="0.25">
      <c r="A265" t="s">
        <v>267</v>
      </c>
      <c r="B265">
        <v>2017</v>
      </c>
      <c r="C265" t="s">
        <v>35</v>
      </c>
      <c r="D265" t="s">
        <v>35</v>
      </c>
      <c r="E265" t="s">
        <v>354</v>
      </c>
      <c r="F265" t="s">
        <v>137</v>
      </c>
      <c r="G265" s="5">
        <v>101636677</v>
      </c>
      <c r="H265" s="5">
        <v>101636677</v>
      </c>
    </row>
    <row r="266" spans="1:8" x14ac:dyDescent="0.25">
      <c r="A266" t="s">
        <v>267</v>
      </c>
      <c r="B266">
        <v>2017</v>
      </c>
      <c r="C266" t="s">
        <v>35</v>
      </c>
      <c r="D266" t="s">
        <v>35</v>
      </c>
      <c r="E266" t="s">
        <v>352</v>
      </c>
      <c r="F266" t="s">
        <v>135</v>
      </c>
      <c r="G266" s="5">
        <v>93690337</v>
      </c>
      <c r="H266" s="5">
        <v>161852639</v>
      </c>
    </row>
    <row r="267" spans="1:8" x14ac:dyDescent="0.25">
      <c r="A267" t="s">
        <v>267</v>
      </c>
      <c r="B267">
        <v>2017</v>
      </c>
      <c r="C267" t="s">
        <v>35</v>
      </c>
      <c r="D267" t="s">
        <v>35</v>
      </c>
      <c r="E267" t="s">
        <v>350</v>
      </c>
      <c r="F267" t="s">
        <v>133</v>
      </c>
      <c r="G267" s="5">
        <v>91856312</v>
      </c>
      <c r="H267" s="5">
        <v>91888175</v>
      </c>
    </row>
    <row r="268" spans="1:8" x14ac:dyDescent="0.25">
      <c r="A268" t="s">
        <v>267</v>
      </c>
      <c r="B268">
        <v>2017</v>
      </c>
      <c r="C268" t="s">
        <v>35</v>
      </c>
      <c r="D268" t="s">
        <v>35</v>
      </c>
      <c r="E268" t="s">
        <v>353</v>
      </c>
      <c r="F268" t="s">
        <v>136</v>
      </c>
      <c r="G268" s="5">
        <v>89844616</v>
      </c>
      <c r="H268" s="5">
        <v>89851744</v>
      </c>
    </row>
    <row r="269" spans="1:8" x14ac:dyDescent="0.25">
      <c r="A269" t="s">
        <v>267</v>
      </c>
      <c r="B269">
        <v>2017</v>
      </c>
      <c r="C269" t="s">
        <v>35</v>
      </c>
      <c r="D269" t="s">
        <v>35</v>
      </c>
      <c r="E269" t="s">
        <v>351</v>
      </c>
      <c r="F269" t="s">
        <v>134</v>
      </c>
      <c r="G269" s="5">
        <v>68250624</v>
      </c>
      <c r="H269" s="5">
        <v>74704716</v>
      </c>
    </row>
    <row r="270" spans="1:8" x14ac:dyDescent="0.25">
      <c r="A270" t="s">
        <v>267</v>
      </c>
      <c r="B270">
        <v>2017</v>
      </c>
      <c r="C270" t="s">
        <v>35</v>
      </c>
      <c r="D270" t="s">
        <v>35</v>
      </c>
      <c r="E270" t="s">
        <v>359</v>
      </c>
      <c r="F270" t="s">
        <v>142</v>
      </c>
      <c r="G270" s="5">
        <v>59148237</v>
      </c>
      <c r="H270" s="5">
        <v>61233262</v>
      </c>
    </row>
    <row r="271" spans="1:8" x14ac:dyDescent="0.25">
      <c r="A271" t="s">
        <v>267</v>
      </c>
      <c r="B271">
        <v>2017</v>
      </c>
      <c r="C271" t="s">
        <v>35</v>
      </c>
      <c r="D271" t="s">
        <v>35</v>
      </c>
      <c r="E271" t="s">
        <v>357</v>
      </c>
      <c r="F271" t="s">
        <v>140</v>
      </c>
      <c r="G271" s="5">
        <v>56439298</v>
      </c>
      <c r="H271" s="5">
        <v>56439298</v>
      </c>
    </row>
    <row r="272" spans="1:8" x14ac:dyDescent="0.25">
      <c r="A272" t="s">
        <v>267</v>
      </c>
      <c r="B272">
        <v>2017</v>
      </c>
      <c r="C272" t="s">
        <v>35</v>
      </c>
      <c r="D272" t="s">
        <v>35</v>
      </c>
      <c r="E272" t="s">
        <v>358</v>
      </c>
      <c r="F272" t="s">
        <v>141</v>
      </c>
      <c r="G272" s="5">
        <v>47658435</v>
      </c>
      <c r="H272" s="5">
        <v>47674462</v>
      </c>
    </row>
    <row r="273" spans="1:8" x14ac:dyDescent="0.25">
      <c r="A273" t="s">
        <v>267</v>
      </c>
      <c r="B273">
        <v>2017</v>
      </c>
      <c r="C273" t="s">
        <v>35</v>
      </c>
      <c r="D273" t="s">
        <v>35</v>
      </c>
      <c r="E273" t="s">
        <v>355</v>
      </c>
      <c r="F273" t="s">
        <v>138</v>
      </c>
      <c r="G273" s="5">
        <v>46825128</v>
      </c>
      <c r="H273" s="5">
        <v>46825128</v>
      </c>
    </row>
    <row r="274" spans="1:8" x14ac:dyDescent="0.25">
      <c r="A274" t="s">
        <v>267</v>
      </c>
      <c r="B274">
        <v>2017</v>
      </c>
      <c r="C274" t="s">
        <v>35</v>
      </c>
      <c r="D274" t="s">
        <v>35</v>
      </c>
      <c r="E274" t="s">
        <v>363</v>
      </c>
      <c r="F274" t="s">
        <v>146</v>
      </c>
      <c r="G274" s="5">
        <v>35261354</v>
      </c>
      <c r="H274" s="5">
        <v>35261354</v>
      </c>
    </row>
    <row r="275" spans="1:8" x14ac:dyDescent="0.25">
      <c r="A275" t="s">
        <v>267</v>
      </c>
      <c r="B275">
        <v>2017</v>
      </c>
      <c r="C275" t="s">
        <v>35</v>
      </c>
      <c r="D275" t="s">
        <v>35</v>
      </c>
      <c r="E275" t="s">
        <v>362</v>
      </c>
      <c r="F275" t="s">
        <v>145</v>
      </c>
      <c r="G275" s="5">
        <v>34760708</v>
      </c>
      <c r="H275" s="5">
        <v>34760708</v>
      </c>
    </row>
    <row r="276" spans="1:8" x14ac:dyDescent="0.25">
      <c r="A276" t="s">
        <v>267</v>
      </c>
      <c r="B276">
        <v>2017</v>
      </c>
      <c r="C276" t="s">
        <v>35</v>
      </c>
      <c r="D276" t="s">
        <v>35</v>
      </c>
      <c r="E276" t="s">
        <v>360</v>
      </c>
      <c r="F276" t="s">
        <v>143</v>
      </c>
      <c r="G276" s="5">
        <v>29939006</v>
      </c>
      <c r="H276" s="5">
        <v>29939006</v>
      </c>
    </row>
    <row r="277" spans="1:8" x14ac:dyDescent="0.25">
      <c r="A277" t="s">
        <v>267</v>
      </c>
      <c r="B277">
        <v>2017</v>
      </c>
      <c r="C277" t="s">
        <v>35</v>
      </c>
      <c r="D277" t="s">
        <v>35</v>
      </c>
      <c r="E277" t="s">
        <v>361</v>
      </c>
      <c r="F277" t="s">
        <v>144</v>
      </c>
      <c r="G277" s="5">
        <v>27177142</v>
      </c>
      <c r="H277" s="5">
        <v>27319159</v>
      </c>
    </row>
    <row r="278" spans="1:8" x14ac:dyDescent="0.25">
      <c r="A278" t="s">
        <v>267</v>
      </c>
      <c r="B278">
        <v>2017</v>
      </c>
      <c r="C278" t="s">
        <v>35</v>
      </c>
      <c r="D278" t="s">
        <v>35</v>
      </c>
      <c r="E278" t="s">
        <v>367</v>
      </c>
      <c r="F278" t="s">
        <v>150</v>
      </c>
      <c r="G278" s="5">
        <v>16982853</v>
      </c>
      <c r="H278" s="5">
        <v>16995423</v>
      </c>
    </row>
    <row r="279" spans="1:8" x14ac:dyDescent="0.25">
      <c r="A279" t="s">
        <v>267</v>
      </c>
      <c r="B279">
        <v>2017</v>
      </c>
      <c r="C279" t="s">
        <v>35</v>
      </c>
      <c r="D279" t="s">
        <v>35</v>
      </c>
      <c r="E279" t="s">
        <v>365</v>
      </c>
      <c r="F279" t="s">
        <v>148</v>
      </c>
      <c r="G279" s="5">
        <v>15731160</v>
      </c>
      <c r="H279" s="5">
        <v>15742469</v>
      </c>
    </row>
    <row r="280" spans="1:8" x14ac:dyDescent="0.25">
      <c r="A280" t="s">
        <v>267</v>
      </c>
      <c r="B280">
        <v>2017</v>
      </c>
      <c r="C280" t="s">
        <v>35</v>
      </c>
      <c r="D280" t="s">
        <v>35</v>
      </c>
      <c r="E280" t="s">
        <v>364</v>
      </c>
      <c r="F280" t="s">
        <v>147</v>
      </c>
      <c r="G280" s="5">
        <v>11778315</v>
      </c>
      <c r="H280" s="5">
        <v>43632017</v>
      </c>
    </row>
    <row r="281" spans="1:8" x14ac:dyDescent="0.25">
      <c r="A281" t="s">
        <v>267</v>
      </c>
      <c r="B281">
        <v>2017</v>
      </c>
      <c r="C281" t="s">
        <v>35</v>
      </c>
      <c r="D281" t="s">
        <v>35</v>
      </c>
      <c r="E281" t="s">
        <v>366</v>
      </c>
      <c r="F281" t="s">
        <v>149</v>
      </c>
      <c r="G281" s="5">
        <v>9282235</v>
      </c>
      <c r="H281" s="5">
        <v>9282246</v>
      </c>
    </row>
    <row r="282" spans="1:8" x14ac:dyDescent="0.25">
      <c r="A282" t="s">
        <v>267</v>
      </c>
      <c r="B282">
        <v>2017</v>
      </c>
      <c r="C282" t="s">
        <v>35</v>
      </c>
      <c r="D282" t="s">
        <v>35</v>
      </c>
      <c r="E282" t="s">
        <v>368</v>
      </c>
      <c r="F282" t="s">
        <v>151</v>
      </c>
      <c r="G282" s="5">
        <v>7523341</v>
      </c>
      <c r="H282" s="5">
        <v>7529570</v>
      </c>
    </row>
    <row r="283" spans="1:8" x14ac:dyDescent="0.25">
      <c r="A283" t="s">
        <v>267</v>
      </c>
      <c r="B283">
        <v>2017</v>
      </c>
      <c r="C283" t="s">
        <v>35</v>
      </c>
      <c r="D283" t="s">
        <v>35</v>
      </c>
      <c r="E283" t="s">
        <v>372</v>
      </c>
      <c r="F283" t="s">
        <v>155</v>
      </c>
      <c r="G283" s="5">
        <v>7143988</v>
      </c>
      <c r="H283" s="5">
        <v>7143988</v>
      </c>
    </row>
    <row r="284" spans="1:8" x14ac:dyDescent="0.25">
      <c r="A284" t="s">
        <v>267</v>
      </c>
      <c r="B284">
        <v>2017</v>
      </c>
      <c r="C284" t="s">
        <v>35</v>
      </c>
      <c r="D284" t="s">
        <v>35</v>
      </c>
      <c r="E284" t="s">
        <v>371</v>
      </c>
      <c r="F284" t="s">
        <v>154</v>
      </c>
      <c r="G284" s="5">
        <v>6109175</v>
      </c>
      <c r="H284" s="5">
        <v>6109175</v>
      </c>
    </row>
    <row r="285" spans="1:8" x14ac:dyDescent="0.25">
      <c r="A285" t="s">
        <v>267</v>
      </c>
      <c r="B285">
        <v>2017</v>
      </c>
      <c r="C285" t="s">
        <v>35</v>
      </c>
      <c r="D285" t="s">
        <v>35</v>
      </c>
      <c r="E285" t="s">
        <v>370</v>
      </c>
      <c r="F285" t="s">
        <v>153</v>
      </c>
      <c r="G285" s="5">
        <v>4503089</v>
      </c>
      <c r="H285" s="5">
        <v>10451729</v>
      </c>
    </row>
    <row r="286" spans="1:8" x14ac:dyDescent="0.25">
      <c r="A286" t="s">
        <v>267</v>
      </c>
      <c r="B286">
        <v>2017</v>
      </c>
      <c r="C286" t="s">
        <v>35</v>
      </c>
      <c r="D286" t="s">
        <v>35</v>
      </c>
      <c r="E286" t="s">
        <v>373</v>
      </c>
      <c r="F286" t="s">
        <v>156</v>
      </c>
      <c r="G286" s="5">
        <v>2459920</v>
      </c>
      <c r="H286" s="5">
        <v>2459920</v>
      </c>
    </row>
    <row r="287" spans="1:8" x14ac:dyDescent="0.25">
      <c r="A287" t="s">
        <v>267</v>
      </c>
      <c r="B287">
        <v>2017</v>
      </c>
      <c r="C287" t="s">
        <v>35</v>
      </c>
      <c r="D287" t="s">
        <v>35</v>
      </c>
      <c r="E287" t="s">
        <v>376</v>
      </c>
      <c r="F287" t="s">
        <v>159</v>
      </c>
      <c r="G287" s="5">
        <v>1896992</v>
      </c>
      <c r="H287" s="5">
        <v>1981915</v>
      </c>
    </row>
    <row r="288" spans="1:8" x14ac:dyDescent="0.25">
      <c r="A288" t="s">
        <v>267</v>
      </c>
      <c r="B288">
        <v>2017</v>
      </c>
      <c r="C288" t="s">
        <v>35</v>
      </c>
      <c r="D288" t="s">
        <v>35</v>
      </c>
      <c r="E288" t="s">
        <v>378</v>
      </c>
      <c r="F288" t="s">
        <v>162</v>
      </c>
      <c r="G288" s="5">
        <v>1875158</v>
      </c>
      <c r="H288" s="5">
        <v>1875158</v>
      </c>
    </row>
    <row r="289" spans="1:8" x14ac:dyDescent="0.25">
      <c r="A289" t="s">
        <v>267</v>
      </c>
      <c r="B289">
        <v>2017</v>
      </c>
      <c r="C289" t="s">
        <v>35</v>
      </c>
      <c r="D289" t="s">
        <v>35</v>
      </c>
      <c r="E289" t="s">
        <v>442</v>
      </c>
      <c r="F289" t="s">
        <v>229</v>
      </c>
      <c r="G289" s="5">
        <v>1452136</v>
      </c>
      <c r="H289" s="5">
        <v>1452136</v>
      </c>
    </row>
    <row r="290" spans="1:8" x14ac:dyDescent="0.25">
      <c r="A290" t="s">
        <v>267</v>
      </c>
      <c r="B290">
        <v>2017</v>
      </c>
      <c r="C290" t="s">
        <v>35</v>
      </c>
      <c r="D290" t="s">
        <v>35</v>
      </c>
      <c r="E290" t="s">
        <v>369</v>
      </c>
      <c r="F290" t="s">
        <v>152</v>
      </c>
      <c r="G290" s="5">
        <v>802360</v>
      </c>
      <c r="H290" s="5">
        <v>802360</v>
      </c>
    </row>
    <row r="291" spans="1:8" x14ac:dyDescent="0.25">
      <c r="A291" t="s">
        <v>267</v>
      </c>
      <c r="B291">
        <v>2017</v>
      </c>
      <c r="C291" t="s">
        <v>35</v>
      </c>
      <c r="D291" t="s">
        <v>35</v>
      </c>
      <c r="E291" t="s">
        <v>379</v>
      </c>
      <c r="F291" t="s">
        <v>163</v>
      </c>
      <c r="G291" s="5">
        <v>635590</v>
      </c>
      <c r="H291" s="5">
        <v>635590</v>
      </c>
    </row>
    <row r="292" spans="1:8" x14ac:dyDescent="0.25">
      <c r="A292" t="s">
        <v>267</v>
      </c>
      <c r="B292">
        <v>2017</v>
      </c>
      <c r="C292" t="s">
        <v>35</v>
      </c>
      <c r="D292" t="s">
        <v>35</v>
      </c>
      <c r="E292" t="s">
        <v>380</v>
      </c>
      <c r="F292" t="s">
        <v>164</v>
      </c>
      <c r="G292" s="5">
        <v>470375</v>
      </c>
      <c r="H292" s="5">
        <v>470375</v>
      </c>
    </row>
    <row r="293" spans="1:8" x14ac:dyDescent="0.25">
      <c r="A293" t="s">
        <v>267</v>
      </c>
      <c r="B293">
        <v>2017</v>
      </c>
      <c r="C293" t="s">
        <v>35</v>
      </c>
      <c r="D293" t="s">
        <v>35</v>
      </c>
      <c r="E293" t="s">
        <v>374</v>
      </c>
      <c r="F293" t="s">
        <v>157</v>
      </c>
      <c r="G293" s="5">
        <v>460933</v>
      </c>
      <c r="H293" s="5">
        <v>518241</v>
      </c>
    </row>
    <row r="294" spans="1:8" x14ac:dyDescent="0.25">
      <c r="A294" t="s">
        <v>267</v>
      </c>
      <c r="B294">
        <v>2017</v>
      </c>
      <c r="C294" t="s">
        <v>35</v>
      </c>
      <c r="D294" t="s">
        <v>35</v>
      </c>
      <c r="E294" t="s">
        <v>377</v>
      </c>
      <c r="F294" t="s">
        <v>160</v>
      </c>
      <c r="G294" s="5">
        <v>384048</v>
      </c>
      <c r="H294" s="5">
        <v>384048</v>
      </c>
    </row>
    <row r="295" spans="1:8" x14ac:dyDescent="0.25">
      <c r="A295" t="s">
        <v>267</v>
      </c>
      <c r="B295">
        <v>2017</v>
      </c>
      <c r="C295" t="s">
        <v>35</v>
      </c>
      <c r="D295" t="s">
        <v>35</v>
      </c>
      <c r="E295" t="s">
        <v>383</v>
      </c>
      <c r="F295" t="s">
        <v>167</v>
      </c>
      <c r="G295" s="5">
        <v>303554</v>
      </c>
      <c r="H295" s="5">
        <v>333761</v>
      </c>
    </row>
    <row r="296" spans="1:8" x14ac:dyDescent="0.25">
      <c r="A296" t="s">
        <v>267</v>
      </c>
      <c r="B296">
        <v>2017</v>
      </c>
      <c r="C296" t="s">
        <v>35</v>
      </c>
      <c r="D296" t="s">
        <v>35</v>
      </c>
      <c r="F296" t="s">
        <v>161</v>
      </c>
      <c r="G296" s="5">
        <v>274800</v>
      </c>
      <c r="H296" s="5">
        <v>274800</v>
      </c>
    </row>
    <row r="297" spans="1:8" x14ac:dyDescent="0.25">
      <c r="A297" t="s">
        <v>267</v>
      </c>
      <c r="B297">
        <v>2017</v>
      </c>
      <c r="C297" t="s">
        <v>35</v>
      </c>
      <c r="D297" t="s">
        <v>35</v>
      </c>
      <c r="E297" t="s">
        <v>385</v>
      </c>
      <c r="F297" t="s">
        <v>169</v>
      </c>
      <c r="G297" s="5">
        <v>250505</v>
      </c>
      <c r="H297" s="5">
        <v>250505</v>
      </c>
    </row>
    <row r="298" spans="1:8" x14ac:dyDescent="0.25">
      <c r="A298" t="s">
        <v>267</v>
      </c>
      <c r="B298">
        <v>2017</v>
      </c>
      <c r="C298" t="s">
        <v>35</v>
      </c>
      <c r="D298" t="s">
        <v>35</v>
      </c>
      <c r="E298" t="s">
        <v>382</v>
      </c>
      <c r="F298" t="s">
        <v>166</v>
      </c>
      <c r="G298" s="5">
        <v>214422</v>
      </c>
      <c r="H298" s="5">
        <v>24215580</v>
      </c>
    </row>
    <row r="299" spans="1:8" x14ac:dyDescent="0.25">
      <c r="A299" t="s">
        <v>267</v>
      </c>
      <c r="B299">
        <v>2017</v>
      </c>
      <c r="C299" t="s">
        <v>35</v>
      </c>
      <c r="D299" t="s">
        <v>35</v>
      </c>
      <c r="E299" t="s">
        <v>384</v>
      </c>
      <c r="F299" t="s">
        <v>168</v>
      </c>
      <c r="G299" s="5">
        <v>209705</v>
      </c>
      <c r="H299" s="5">
        <v>209705</v>
      </c>
    </row>
    <row r="300" spans="1:8" x14ac:dyDescent="0.25">
      <c r="A300" t="s">
        <v>267</v>
      </c>
      <c r="B300">
        <v>2017</v>
      </c>
      <c r="C300" t="s">
        <v>35</v>
      </c>
      <c r="D300" t="s">
        <v>35</v>
      </c>
      <c r="E300" t="s">
        <v>381</v>
      </c>
      <c r="F300" t="s">
        <v>165</v>
      </c>
      <c r="G300" s="5">
        <v>198299</v>
      </c>
      <c r="H300" s="5">
        <v>198299</v>
      </c>
    </row>
    <row r="301" spans="1:8" x14ac:dyDescent="0.25">
      <c r="A301" t="s">
        <v>267</v>
      </c>
      <c r="B301">
        <v>2017</v>
      </c>
      <c r="C301" t="s">
        <v>35</v>
      </c>
      <c r="D301" t="s">
        <v>35</v>
      </c>
      <c r="E301" t="s">
        <v>375</v>
      </c>
      <c r="F301" t="s">
        <v>158</v>
      </c>
      <c r="G301" s="5">
        <v>51091</v>
      </c>
      <c r="H301" s="5">
        <v>51091</v>
      </c>
    </row>
    <row r="302" spans="1:8" x14ac:dyDescent="0.25">
      <c r="A302" t="s">
        <v>267</v>
      </c>
      <c r="B302">
        <v>2017</v>
      </c>
      <c r="C302" t="s">
        <v>172</v>
      </c>
      <c r="D302" t="s">
        <v>34</v>
      </c>
      <c r="E302" t="s">
        <v>388</v>
      </c>
      <c r="F302" t="s">
        <v>173</v>
      </c>
      <c r="G302" s="5">
        <v>3769496851</v>
      </c>
      <c r="H302" s="5">
        <v>3978396654</v>
      </c>
    </row>
    <row r="303" spans="1:8" x14ac:dyDescent="0.25">
      <c r="A303" t="s">
        <v>267</v>
      </c>
      <c r="B303">
        <v>2017</v>
      </c>
      <c r="C303" t="s">
        <v>172</v>
      </c>
      <c r="D303" t="s">
        <v>34</v>
      </c>
      <c r="E303" t="s">
        <v>389</v>
      </c>
      <c r="F303" t="s">
        <v>174</v>
      </c>
      <c r="G303" s="5">
        <v>690153383</v>
      </c>
      <c r="H303" s="5">
        <v>702441099</v>
      </c>
    </row>
    <row r="304" spans="1:8" x14ac:dyDescent="0.25">
      <c r="A304" t="s">
        <v>267</v>
      </c>
      <c r="B304">
        <v>2017</v>
      </c>
      <c r="C304" t="s">
        <v>172</v>
      </c>
      <c r="D304" t="s">
        <v>34</v>
      </c>
      <c r="E304" t="s">
        <v>390</v>
      </c>
      <c r="F304" t="s">
        <v>175</v>
      </c>
      <c r="G304" s="5">
        <v>656045809</v>
      </c>
      <c r="H304" s="5">
        <v>693699062</v>
      </c>
    </row>
    <row r="305" spans="1:8" x14ac:dyDescent="0.25">
      <c r="A305" t="s">
        <v>267</v>
      </c>
      <c r="B305">
        <v>2017</v>
      </c>
      <c r="C305" t="s">
        <v>172</v>
      </c>
      <c r="D305" t="s">
        <v>34</v>
      </c>
      <c r="E305" t="s">
        <v>392</v>
      </c>
      <c r="F305" t="s">
        <v>178</v>
      </c>
      <c r="G305" s="5">
        <v>514319404</v>
      </c>
      <c r="H305" s="5">
        <v>518213706</v>
      </c>
    </row>
    <row r="306" spans="1:8" x14ac:dyDescent="0.25">
      <c r="A306" t="s">
        <v>267</v>
      </c>
      <c r="B306">
        <v>2017</v>
      </c>
      <c r="C306" t="s">
        <v>172</v>
      </c>
      <c r="D306" t="s">
        <v>34</v>
      </c>
      <c r="E306" t="s">
        <v>391</v>
      </c>
      <c r="F306" t="s">
        <v>176</v>
      </c>
      <c r="G306" s="5">
        <v>490833988</v>
      </c>
      <c r="H306" s="5">
        <v>547096400</v>
      </c>
    </row>
    <row r="307" spans="1:8" x14ac:dyDescent="0.25">
      <c r="A307" t="s">
        <v>267</v>
      </c>
      <c r="B307">
        <v>2017</v>
      </c>
      <c r="C307" t="s">
        <v>172</v>
      </c>
      <c r="D307" t="s">
        <v>34</v>
      </c>
      <c r="E307" t="s">
        <v>393</v>
      </c>
      <c r="F307" t="s">
        <v>179</v>
      </c>
      <c r="G307" s="5">
        <v>227779331</v>
      </c>
      <c r="H307" s="5">
        <v>228248189</v>
      </c>
    </row>
    <row r="308" spans="1:8" x14ac:dyDescent="0.25">
      <c r="A308" t="s">
        <v>267</v>
      </c>
      <c r="B308">
        <v>2017</v>
      </c>
      <c r="C308" t="s">
        <v>172</v>
      </c>
      <c r="D308" t="s">
        <v>34</v>
      </c>
      <c r="E308" t="s">
        <v>394</v>
      </c>
      <c r="F308" t="s">
        <v>180</v>
      </c>
      <c r="G308" s="5">
        <v>206927412</v>
      </c>
      <c r="H308" s="5">
        <v>218248877</v>
      </c>
    </row>
    <row r="309" spans="1:8" x14ac:dyDescent="0.25">
      <c r="A309" t="s">
        <v>267</v>
      </c>
      <c r="B309">
        <v>2017</v>
      </c>
      <c r="C309" t="s">
        <v>172</v>
      </c>
      <c r="D309" t="s">
        <v>34</v>
      </c>
      <c r="E309" t="s">
        <v>395</v>
      </c>
      <c r="F309" t="s">
        <v>181</v>
      </c>
      <c r="G309" s="5">
        <v>204435642</v>
      </c>
      <c r="H309" s="5">
        <v>243865342</v>
      </c>
    </row>
    <row r="310" spans="1:8" x14ac:dyDescent="0.25">
      <c r="A310" t="s">
        <v>267</v>
      </c>
      <c r="B310">
        <v>2017</v>
      </c>
      <c r="C310" t="s">
        <v>172</v>
      </c>
      <c r="D310" t="s">
        <v>34</v>
      </c>
      <c r="E310" t="s">
        <v>397</v>
      </c>
      <c r="F310" t="s">
        <v>184</v>
      </c>
      <c r="G310" s="5">
        <v>147201419</v>
      </c>
      <c r="H310" s="5">
        <v>151003023</v>
      </c>
    </row>
    <row r="311" spans="1:8" x14ac:dyDescent="0.25">
      <c r="A311" t="s">
        <v>267</v>
      </c>
      <c r="B311">
        <v>2017</v>
      </c>
      <c r="C311" t="s">
        <v>172</v>
      </c>
      <c r="D311" t="s">
        <v>34</v>
      </c>
      <c r="E311" t="s">
        <v>396</v>
      </c>
      <c r="F311" t="s">
        <v>183</v>
      </c>
      <c r="G311" s="5">
        <v>139415120</v>
      </c>
      <c r="H311" s="5">
        <v>141187801</v>
      </c>
    </row>
    <row r="312" spans="1:8" x14ac:dyDescent="0.25">
      <c r="A312" t="s">
        <v>267</v>
      </c>
      <c r="B312">
        <v>2017</v>
      </c>
      <c r="C312" t="s">
        <v>172</v>
      </c>
      <c r="D312" t="s">
        <v>34</v>
      </c>
      <c r="E312" t="s">
        <v>399</v>
      </c>
      <c r="F312" t="s">
        <v>187</v>
      </c>
      <c r="G312" s="5">
        <v>112679053</v>
      </c>
      <c r="H312" s="5">
        <v>112683642</v>
      </c>
    </row>
    <row r="313" spans="1:8" x14ac:dyDescent="0.25">
      <c r="A313" t="s">
        <v>267</v>
      </c>
      <c r="B313">
        <v>2017</v>
      </c>
      <c r="C313" t="s">
        <v>172</v>
      </c>
      <c r="D313" t="s">
        <v>34</v>
      </c>
      <c r="E313" t="s">
        <v>400</v>
      </c>
      <c r="F313" t="s">
        <v>189</v>
      </c>
      <c r="G313" s="5">
        <v>87504750</v>
      </c>
      <c r="H313" s="5">
        <v>87558614</v>
      </c>
    </row>
    <row r="314" spans="1:8" x14ac:dyDescent="0.25">
      <c r="A314" t="s">
        <v>267</v>
      </c>
      <c r="B314">
        <v>2017</v>
      </c>
      <c r="C314" t="s">
        <v>172</v>
      </c>
      <c r="D314" t="s">
        <v>34</v>
      </c>
      <c r="E314" t="s">
        <v>398</v>
      </c>
      <c r="F314" t="s">
        <v>186</v>
      </c>
      <c r="G314" s="5">
        <v>72015706</v>
      </c>
      <c r="H314" s="5">
        <v>72209203</v>
      </c>
    </row>
    <row r="315" spans="1:8" x14ac:dyDescent="0.25">
      <c r="A315" t="s">
        <v>267</v>
      </c>
      <c r="B315">
        <v>2017</v>
      </c>
      <c r="C315" t="s">
        <v>172</v>
      </c>
      <c r="D315" t="s">
        <v>34</v>
      </c>
      <c r="E315" t="s">
        <v>401</v>
      </c>
      <c r="F315" t="s">
        <v>190</v>
      </c>
      <c r="G315" s="5">
        <v>55410846</v>
      </c>
      <c r="H315" s="5">
        <v>67518939</v>
      </c>
    </row>
    <row r="316" spans="1:8" x14ac:dyDescent="0.25">
      <c r="A316" t="s">
        <v>267</v>
      </c>
      <c r="B316">
        <v>2017</v>
      </c>
      <c r="C316" t="s">
        <v>172</v>
      </c>
      <c r="D316" t="s">
        <v>34</v>
      </c>
      <c r="E316" t="s">
        <v>402</v>
      </c>
      <c r="F316" t="s">
        <v>191</v>
      </c>
      <c r="G316" s="5">
        <v>39805992</v>
      </c>
      <c r="H316" s="5">
        <v>40745185</v>
      </c>
    </row>
    <row r="317" spans="1:8" x14ac:dyDescent="0.25">
      <c r="A317" t="s">
        <v>267</v>
      </c>
      <c r="B317">
        <v>2017</v>
      </c>
      <c r="C317" t="s">
        <v>172</v>
      </c>
      <c r="D317" t="s">
        <v>34</v>
      </c>
      <c r="E317" t="s">
        <v>404</v>
      </c>
      <c r="F317" t="s">
        <v>193</v>
      </c>
      <c r="G317" s="5">
        <v>36855203</v>
      </c>
      <c r="H317" s="5">
        <v>37054291</v>
      </c>
    </row>
    <row r="318" spans="1:8" x14ac:dyDescent="0.25">
      <c r="A318" t="s">
        <v>267</v>
      </c>
      <c r="B318">
        <v>2017</v>
      </c>
      <c r="C318" t="s">
        <v>172</v>
      </c>
      <c r="D318" t="s">
        <v>34</v>
      </c>
      <c r="E318" t="s">
        <v>403</v>
      </c>
      <c r="F318" t="s">
        <v>192</v>
      </c>
      <c r="G318" s="5">
        <v>32776662</v>
      </c>
      <c r="H318" s="5">
        <v>33668539</v>
      </c>
    </row>
    <row r="319" spans="1:8" x14ac:dyDescent="0.25">
      <c r="A319" t="s">
        <v>267</v>
      </c>
      <c r="B319">
        <v>2017</v>
      </c>
      <c r="C319" t="s">
        <v>172</v>
      </c>
      <c r="D319" t="s">
        <v>34</v>
      </c>
      <c r="E319" t="s">
        <v>405</v>
      </c>
      <c r="F319" t="s">
        <v>194</v>
      </c>
      <c r="G319" s="5">
        <v>27941626</v>
      </c>
      <c r="H319" s="5">
        <v>28336047</v>
      </c>
    </row>
    <row r="320" spans="1:8" x14ac:dyDescent="0.25">
      <c r="A320" t="s">
        <v>267</v>
      </c>
      <c r="B320">
        <v>2017</v>
      </c>
      <c r="C320" t="s">
        <v>172</v>
      </c>
      <c r="D320" t="s">
        <v>34</v>
      </c>
      <c r="E320" t="s">
        <v>406</v>
      </c>
      <c r="F320" t="s">
        <v>195</v>
      </c>
      <c r="G320" s="5">
        <v>27078537</v>
      </c>
      <c r="H320" s="5">
        <v>27079961</v>
      </c>
    </row>
    <row r="321" spans="1:8" x14ac:dyDescent="0.25">
      <c r="A321" t="s">
        <v>267</v>
      </c>
      <c r="B321">
        <v>2017</v>
      </c>
      <c r="C321" t="s">
        <v>172</v>
      </c>
      <c r="D321" t="s">
        <v>34</v>
      </c>
      <c r="E321" t="s">
        <v>407</v>
      </c>
      <c r="F321" t="s">
        <v>197</v>
      </c>
      <c r="G321" s="5">
        <v>17477433</v>
      </c>
      <c r="H321" s="5">
        <v>18897821</v>
      </c>
    </row>
    <row r="322" spans="1:8" x14ac:dyDescent="0.25">
      <c r="A322" t="s">
        <v>267</v>
      </c>
      <c r="B322">
        <v>2017</v>
      </c>
      <c r="C322" t="s">
        <v>172</v>
      </c>
      <c r="D322" t="s">
        <v>34</v>
      </c>
      <c r="E322" t="s">
        <v>408</v>
      </c>
      <c r="F322" t="s">
        <v>198</v>
      </c>
      <c r="G322" s="5">
        <v>16998716</v>
      </c>
      <c r="H322" s="5">
        <v>17016335</v>
      </c>
    </row>
    <row r="323" spans="1:8" x14ac:dyDescent="0.25">
      <c r="A323" t="s">
        <v>267</v>
      </c>
      <c r="B323">
        <v>2017</v>
      </c>
      <c r="C323" t="s">
        <v>172</v>
      </c>
      <c r="D323" t="s">
        <v>34</v>
      </c>
      <c r="E323" t="s">
        <v>410</v>
      </c>
      <c r="F323" t="s">
        <v>201</v>
      </c>
      <c r="G323" s="5">
        <v>15067771</v>
      </c>
      <c r="H323" s="5">
        <v>15130788</v>
      </c>
    </row>
    <row r="324" spans="1:8" x14ac:dyDescent="0.25">
      <c r="A324" t="s">
        <v>267</v>
      </c>
      <c r="B324">
        <v>2017</v>
      </c>
      <c r="C324" t="s">
        <v>172</v>
      </c>
      <c r="D324" t="s">
        <v>34</v>
      </c>
      <c r="E324" t="s">
        <v>409</v>
      </c>
      <c r="F324" t="s">
        <v>199</v>
      </c>
      <c r="G324" s="5">
        <v>12796833</v>
      </c>
      <c r="H324" s="5">
        <v>41033319</v>
      </c>
    </row>
    <row r="325" spans="1:8" x14ac:dyDescent="0.25">
      <c r="A325" t="s">
        <v>267</v>
      </c>
      <c r="B325">
        <v>2017</v>
      </c>
      <c r="C325" t="s">
        <v>172</v>
      </c>
      <c r="D325" t="s">
        <v>34</v>
      </c>
      <c r="E325" t="s">
        <v>411</v>
      </c>
      <c r="F325" t="s">
        <v>203</v>
      </c>
      <c r="G325" s="5">
        <v>10753739</v>
      </c>
      <c r="H325" s="5">
        <v>10755684</v>
      </c>
    </row>
    <row r="326" spans="1:8" x14ac:dyDescent="0.25">
      <c r="A326" t="s">
        <v>267</v>
      </c>
      <c r="B326">
        <v>2017</v>
      </c>
      <c r="C326" t="s">
        <v>172</v>
      </c>
      <c r="D326" t="s">
        <v>34</v>
      </c>
      <c r="E326" t="s">
        <v>412</v>
      </c>
      <c r="F326" t="s">
        <v>204</v>
      </c>
      <c r="G326" s="5">
        <v>7600927</v>
      </c>
      <c r="H326" s="5">
        <v>8040799</v>
      </c>
    </row>
    <row r="327" spans="1:8" x14ac:dyDescent="0.25">
      <c r="A327" t="s">
        <v>267</v>
      </c>
      <c r="B327">
        <v>2017</v>
      </c>
      <c r="C327" t="s">
        <v>172</v>
      </c>
      <c r="D327" t="s">
        <v>34</v>
      </c>
      <c r="E327" t="s">
        <v>413</v>
      </c>
      <c r="F327" t="s">
        <v>207</v>
      </c>
      <c r="G327" s="5">
        <v>4762573</v>
      </c>
      <c r="H327" s="5">
        <v>4812342</v>
      </c>
    </row>
    <row r="328" spans="1:8" x14ac:dyDescent="0.25">
      <c r="A328" t="s">
        <v>267</v>
      </c>
      <c r="B328">
        <v>2017</v>
      </c>
      <c r="C328" t="s">
        <v>172</v>
      </c>
      <c r="D328" t="s">
        <v>34</v>
      </c>
      <c r="E328" t="s">
        <v>414</v>
      </c>
      <c r="F328" t="s">
        <v>209</v>
      </c>
      <c r="G328" s="5">
        <v>2778932</v>
      </c>
      <c r="H328" s="5">
        <v>2786002</v>
      </c>
    </row>
    <row r="329" spans="1:8" x14ac:dyDescent="0.25">
      <c r="A329" t="s">
        <v>267</v>
      </c>
      <c r="B329">
        <v>2017</v>
      </c>
      <c r="C329" t="s">
        <v>172</v>
      </c>
      <c r="D329" t="s">
        <v>37</v>
      </c>
      <c r="E329" t="s">
        <v>415</v>
      </c>
      <c r="F329" t="s">
        <v>177</v>
      </c>
      <c r="G329" s="5">
        <v>533820167</v>
      </c>
      <c r="H329" s="5">
        <v>2825076357</v>
      </c>
    </row>
    <row r="330" spans="1:8" x14ac:dyDescent="0.25">
      <c r="A330" t="s">
        <v>267</v>
      </c>
      <c r="B330">
        <v>2017</v>
      </c>
      <c r="C330" t="s">
        <v>172</v>
      </c>
      <c r="D330" t="s">
        <v>37</v>
      </c>
      <c r="E330" t="s">
        <v>416</v>
      </c>
      <c r="F330" t="s">
        <v>182</v>
      </c>
      <c r="G330" s="5">
        <v>162361734</v>
      </c>
      <c r="H330" s="5">
        <v>481320216</v>
      </c>
    </row>
    <row r="331" spans="1:8" x14ac:dyDescent="0.25">
      <c r="A331" t="s">
        <v>267</v>
      </c>
      <c r="B331">
        <v>2017</v>
      </c>
      <c r="C331" t="s">
        <v>172</v>
      </c>
      <c r="D331" t="s">
        <v>37</v>
      </c>
      <c r="E331" t="s">
        <v>417</v>
      </c>
      <c r="F331" t="s">
        <v>185</v>
      </c>
      <c r="G331" s="5">
        <v>136355179</v>
      </c>
      <c r="H331" s="5">
        <v>147586463</v>
      </c>
    </row>
    <row r="332" spans="1:8" x14ac:dyDescent="0.25">
      <c r="A332" t="s">
        <v>267</v>
      </c>
      <c r="B332">
        <v>2017</v>
      </c>
      <c r="C332" t="s">
        <v>172</v>
      </c>
      <c r="D332" t="s">
        <v>37</v>
      </c>
      <c r="E332" t="s">
        <v>418</v>
      </c>
      <c r="F332" t="s">
        <v>188</v>
      </c>
      <c r="G332" s="5">
        <v>69929493</v>
      </c>
      <c r="H332" s="5">
        <v>75182653</v>
      </c>
    </row>
    <row r="333" spans="1:8" x14ac:dyDescent="0.25">
      <c r="A333" t="s">
        <v>267</v>
      </c>
      <c r="B333">
        <v>2017</v>
      </c>
      <c r="C333" t="s">
        <v>172</v>
      </c>
      <c r="D333" t="s">
        <v>37</v>
      </c>
      <c r="E333" t="s">
        <v>421</v>
      </c>
      <c r="F333" t="s">
        <v>202</v>
      </c>
      <c r="G333" s="5">
        <v>20590598</v>
      </c>
      <c r="H333" s="5">
        <v>20590598</v>
      </c>
    </row>
    <row r="334" spans="1:8" x14ac:dyDescent="0.25">
      <c r="A334" t="s">
        <v>267</v>
      </c>
      <c r="B334">
        <v>2017</v>
      </c>
      <c r="C334" t="s">
        <v>172</v>
      </c>
      <c r="D334" t="s">
        <v>37</v>
      </c>
      <c r="E334" t="s">
        <v>419</v>
      </c>
      <c r="F334" t="s">
        <v>196</v>
      </c>
      <c r="G334" s="5">
        <v>16261363</v>
      </c>
      <c r="H334" s="5">
        <v>18747692</v>
      </c>
    </row>
    <row r="335" spans="1:8" x14ac:dyDescent="0.25">
      <c r="A335" t="s">
        <v>267</v>
      </c>
      <c r="B335">
        <v>2017</v>
      </c>
      <c r="C335" t="s">
        <v>172</v>
      </c>
      <c r="D335" t="s">
        <v>37</v>
      </c>
      <c r="E335" t="s">
        <v>420</v>
      </c>
      <c r="F335" t="s">
        <v>200</v>
      </c>
      <c r="G335" s="5">
        <v>15364066</v>
      </c>
      <c r="H335" s="5">
        <v>15364066</v>
      </c>
    </row>
    <row r="336" spans="1:8" x14ac:dyDescent="0.25">
      <c r="A336" t="s">
        <v>267</v>
      </c>
      <c r="B336">
        <v>2017</v>
      </c>
      <c r="C336" t="s">
        <v>172</v>
      </c>
      <c r="D336" t="s">
        <v>37</v>
      </c>
      <c r="E336" t="s">
        <v>423</v>
      </c>
      <c r="F336" t="s">
        <v>206</v>
      </c>
      <c r="G336" s="5">
        <v>5124245</v>
      </c>
      <c r="H336" s="5">
        <v>5124245</v>
      </c>
    </row>
    <row r="337" spans="1:8" x14ac:dyDescent="0.25">
      <c r="A337" t="s">
        <v>267</v>
      </c>
      <c r="B337">
        <v>2017</v>
      </c>
      <c r="C337" t="s">
        <v>172</v>
      </c>
      <c r="D337" t="s">
        <v>37</v>
      </c>
      <c r="E337" t="s">
        <v>422</v>
      </c>
      <c r="F337" t="s">
        <v>205</v>
      </c>
      <c r="G337" s="5">
        <v>4512542</v>
      </c>
      <c r="H337" s="5">
        <v>4512542</v>
      </c>
    </row>
    <row r="338" spans="1:8" x14ac:dyDescent="0.25">
      <c r="A338" t="s">
        <v>267</v>
      </c>
      <c r="B338">
        <v>2017</v>
      </c>
      <c r="C338" t="s">
        <v>172</v>
      </c>
      <c r="D338" t="s">
        <v>37</v>
      </c>
      <c r="E338" t="s">
        <v>424</v>
      </c>
      <c r="F338" t="s">
        <v>208</v>
      </c>
      <c r="G338" s="5">
        <v>2839717</v>
      </c>
      <c r="H338" s="5">
        <v>2839717</v>
      </c>
    </row>
    <row r="339" spans="1:8" x14ac:dyDescent="0.25">
      <c r="A339" t="s">
        <v>267</v>
      </c>
      <c r="B339">
        <v>2017</v>
      </c>
      <c r="C339" t="s">
        <v>172</v>
      </c>
      <c r="D339" t="s">
        <v>37</v>
      </c>
      <c r="E339" t="s">
        <v>425</v>
      </c>
      <c r="F339" t="s">
        <v>210</v>
      </c>
      <c r="G339" s="5">
        <v>2529640</v>
      </c>
      <c r="H339" s="5">
        <v>2529640</v>
      </c>
    </row>
    <row r="340" spans="1:8" x14ac:dyDescent="0.25">
      <c r="A340" t="s">
        <v>267</v>
      </c>
      <c r="B340">
        <v>2017</v>
      </c>
      <c r="C340" t="s">
        <v>172</v>
      </c>
      <c r="D340" t="s">
        <v>37</v>
      </c>
      <c r="E340" t="s">
        <v>427</v>
      </c>
      <c r="F340" t="s">
        <v>212</v>
      </c>
      <c r="G340" s="5">
        <v>1873908</v>
      </c>
      <c r="H340" s="5">
        <v>1873908</v>
      </c>
    </row>
    <row r="341" spans="1:8" x14ac:dyDescent="0.25">
      <c r="A341" t="s">
        <v>267</v>
      </c>
      <c r="B341">
        <v>2017</v>
      </c>
      <c r="C341" t="s">
        <v>172</v>
      </c>
      <c r="D341" t="s">
        <v>37</v>
      </c>
      <c r="E341" t="s">
        <v>426</v>
      </c>
      <c r="F341" t="s">
        <v>211</v>
      </c>
      <c r="G341" s="5">
        <v>1563870</v>
      </c>
      <c r="H341" s="5">
        <v>1563884</v>
      </c>
    </row>
    <row r="342" spans="1:8" x14ac:dyDescent="0.25">
      <c r="A342" t="s">
        <v>267</v>
      </c>
      <c r="B342">
        <v>2017</v>
      </c>
      <c r="C342" t="s">
        <v>172</v>
      </c>
      <c r="D342" t="s">
        <v>37</v>
      </c>
      <c r="E342" t="s">
        <v>429</v>
      </c>
      <c r="F342" t="s">
        <v>214</v>
      </c>
      <c r="G342" s="5">
        <v>1113616</v>
      </c>
      <c r="H342" s="5">
        <v>1520184</v>
      </c>
    </row>
    <row r="343" spans="1:8" x14ac:dyDescent="0.25">
      <c r="A343" t="s">
        <v>267</v>
      </c>
      <c r="B343">
        <v>2017</v>
      </c>
      <c r="C343" t="s">
        <v>172</v>
      </c>
      <c r="D343" t="s">
        <v>37</v>
      </c>
      <c r="E343" t="s">
        <v>431</v>
      </c>
      <c r="F343" t="s">
        <v>217</v>
      </c>
      <c r="G343" s="5">
        <v>433114</v>
      </c>
      <c r="H343" s="5">
        <v>433114</v>
      </c>
    </row>
    <row r="344" spans="1:8" x14ac:dyDescent="0.25">
      <c r="A344" t="s">
        <v>267</v>
      </c>
      <c r="B344">
        <v>2017</v>
      </c>
      <c r="C344" t="s">
        <v>172</v>
      </c>
      <c r="D344" t="s">
        <v>37</v>
      </c>
      <c r="E344" t="s">
        <v>428</v>
      </c>
      <c r="F344" t="s">
        <v>213</v>
      </c>
      <c r="G344" s="5">
        <v>428871</v>
      </c>
      <c r="H344" s="5">
        <v>428871</v>
      </c>
    </row>
    <row r="345" spans="1:8" x14ac:dyDescent="0.25">
      <c r="A345" t="s">
        <v>267</v>
      </c>
      <c r="B345">
        <v>2017</v>
      </c>
      <c r="C345" t="s">
        <v>172</v>
      </c>
      <c r="D345" t="s">
        <v>37</v>
      </c>
      <c r="E345" t="s">
        <v>430</v>
      </c>
      <c r="F345" t="s">
        <v>216</v>
      </c>
      <c r="G345" s="5">
        <v>178541</v>
      </c>
      <c r="H345" s="5">
        <v>381716</v>
      </c>
    </row>
    <row r="346" spans="1:8" x14ac:dyDescent="0.25">
      <c r="A346" t="s">
        <v>267</v>
      </c>
      <c r="B346">
        <v>2017</v>
      </c>
      <c r="C346" t="s">
        <v>172</v>
      </c>
      <c r="D346" t="s">
        <v>37</v>
      </c>
      <c r="E346" t="s">
        <v>443</v>
      </c>
      <c r="F346" t="s">
        <v>230</v>
      </c>
      <c r="G346" s="5">
        <v>73425</v>
      </c>
      <c r="H346" s="5">
        <v>9156143</v>
      </c>
    </row>
    <row r="347" spans="1:8" x14ac:dyDescent="0.25">
      <c r="A347" t="s">
        <v>267</v>
      </c>
      <c r="B347">
        <v>2017</v>
      </c>
      <c r="C347" t="s">
        <v>172</v>
      </c>
      <c r="D347" t="s">
        <v>37</v>
      </c>
      <c r="F347" t="s">
        <v>215</v>
      </c>
      <c r="G347" s="5">
        <v>9858</v>
      </c>
      <c r="H347" s="5">
        <v>9858</v>
      </c>
    </row>
    <row r="348" spans="1:8" x14ac:dyDescent="0.25">
      <c r="A348" t="s">
        <v>267</v>
      </c>
      <c r="B348">
        <v>2017</v>
      </c>
      <c r="C348" t="s">
        <v>40</v>
      </c>
      <c r="D348" t="s">
        <v>40</v>
      </c>
      <c r="E348" t="s">
        <v>432</v>
      </c>
      <c r="F348" t="s">
        <v>218</v>
      </c>
      <c r="G348" s="5">
        <v>129644938</v>
      </c>
      <c r="H348" s="5">
        <v>132273844</v>
      </c>
    </row>
    <row r="349" spans="1:8" x14ac:dyDescent="0.25">
      <c r="A349" t="s">
        <v>267</v>
      </c>
      <c r="B349">
        <v>2017</v>
      </c>
      <c r="C349" t="s">
        <v>40</v>
      </c>
      <c r="D349" t="s">
        <v>40</v>
      </c>
      <c r="E349" t="s">
        <v>433</v>
      </c>
      <c r="F349" t="s">
        <v>219</v>
      </c>
      <c r="G349" s="5">
        <v>14847466</v>
      </c>
      <c r="H349" s="5">
        <v>14856730</v>
      </c>
    </row>
    <row r="350" spans="1:8" x14ac:dyDescent="0.25">
      <c r="A350" t="s">
        <v>267</v>
      </c>
      <c r="B350">
        <v>2017</v>
      </c>
      <c r="C350" t="s">
        <v>40</v>
      </c>
      <c r="D350" t="s">
        <v>40</v>
      </c>
      <c r="F350" t="s">
        <v>225</v>
      </c>
      <c r="G350" s="5">
        <v>395645</v>
      </c>
      <c r="H350" s="5">
        <v>395645</v>
      </c>
    </row>
    <row r="351" spans="1:8" x14ac:dyDescent="0.25">
      <c r="A351" t="s">
        <v>267</v>
      </c>
      <c r="B351">
        <v>2017</v>
      </c>
      <c r="C351" t="s">
        <v>40</v>
      </c>
      <c r="D351" t="s">
        <v>40</v>
      </c>
      <c r="E351" t="s">
        <v>434</v>
      </c>
      <c r="F351" t="s">
        <v>220</v>
      </c>
      <c r="G351" s="5">
        <v>381405</v>
      </c>
      <c r="H351" s="5">
        <v>381405</v>
      </c>
    </row>
    <row r="352" spans="1:8" x14ac:dyDescent="0.25">
      <c r="A352" t="s">
        <v>267</v>
      </c>
      <c r="B352">
        <v>2017</v>
      </c>
      <c r="C352" t="s">
        <v>40</v>
      </c>
      <c r="D352" t="s">
        <v>40</v>
      </c>
      <c r="E352" t="s">
        <v>437</v>
      </c>
      <c r="F352" t="s">
        <v>223</v>
      </c>
      <c r="G352" s="5">
        <v>195897</v>
      </c>
      <c r="H352" s="5">
        <v>195897</v>
      </c>
    </row>
    <row r="353" spans="1:8" x14ac:dyDescent="0.25">
      <c r="A353" t="s">
        <v>267</v>
      </c>
      <c r="B353">
        <v>2017</v>
      </c>
      <c r="C353" t="s">
        <v>40</v>
      </c>
      <c r="D353" t="s">
        <v>40</v>
      </c>
      <c r="E353" t="s">
        <v>438</v>
      </c>
      <c r="F353" t="s">
        <v>224</v>
      </c>
      <c r="G353" s="5">
        <v>144838</v>
      </c>
      <c r="H353" s="5">
        <v>144838</v>
      </c>
    </row>
    <row r="354" spans="1:8" x14ac:dyDescent="0.25">
      <c r="A354" t="s">
        <v>267</v>
      </c>
      <c r="B354">
        <v>2017</v>
      </c>
      <c r="C354" t="s">
        <v>40</v>
      </c>
      <c r="D354" t="s">
        <v>40</v>
      </c>
      <c r="E354" t="s">
        <v>436</v>
      </c>
      <c r="F354" t="s">
        <v>222</v>
      </c>
      <c r="G354" s="5">
        <v>141443</v>
      </c>
      <c r="H354" s="5">
        <v>141443</v>
      </c>
    </row>
    <row r="355" spans="1:8" x14ac:dyDescent="0.25">
      <c r="A355" t="s">
        <v>267</v>
      </c>
      <c r="B355">
        <v>2018</v>
      </c>
      <c r="C355" t="s">
        <v>39</v>
      </c>
      <c r="D355" t="s">
        <v>39</v>
      </c>
      <c r="E355" t="s">
        <v>268</v>
      </c>
      <c r="F355" t="s">
        <v>47</v>
      </c>
      <c r="G355" s="5">
        <v>58628665</v>
      </c>
      <c r="H355" s="5">
        <v>58737422</v>
      </c>
    </row>
    <row r="356" spans="1:8" x14ac:dyDescent="0.25">
      <c r="A356" t="s">
        <v>267</v>
      </c>
      <c r="B356">
        <v>2018</v>
      </c>
      <c r="C356" t="s">
        <v>39</v>
      </c>
      <c r="D356" t="s">
        <v>39</v>
      </c>
      <c r="E356" t="s">
        <v>269</v>
      </c>
      <c r="F356" t="s">
        <v>48</v>
      </c>
      <c r="G356" s="5">
        <v>29922963</v>
      </c>
      <c r="H356" s="5">
        <v>29925263</v>
      </c>
    </row>
    <row r="357" spans="1:8" x14ac:dyDescent="0.25">
      <c r="A357" t="s">
        <v>267</v>
      </c>
      <c r="B357">
        <v>2018</v>
      </c>
      <c r="C357" t="s">
        <v>39</v>
      </c>
      <c r="D357" t="s">
        <v>39</v>
      </c>
      <c r="E357" t="s">
        <v>270</v>
      </c>
      <c r="F357" t="s">
        <v>49</v>
      </c>
      <c r="G357" s="5">
        <v>19960009</v>
      </c>
      <c r="H357" s="5">
        <v>19960009</v>
      </c>
    </row>
    <row r="358" spans="1:8" x14ac:dyDescent="0.25">
      <c r="A358" t="s">
        <v>267</v>
      </c>
      <c r="B358">
        <v>2018</v>
      </c>
      <c r="C358" t="s">
        <v>39</v>
      </c>
      <c r="D358" t="s">
        <v>39</v>
      </c>
      <c r="E358" t="s">
        <v>275</v>
      </c>
      <c r="F358" t="s">
        <v>54</v>
      </c>
      <c r="G358" s="5">
        <v>15497395</v>
      </c>
      <c r="H358" s="5">
        <v>15497395</v>
      </c>
    </row>
    <row r="359" spans="1:8" x14ac:dyDescent="0.25">
      <c r="A359" t="s">
        <v>267</v>
      </c>
      <c r="B359">
        <v>2018</v>
      </c>
      <c r="C359" t="s">
        <v>39</v>
      </c>
      <c r="D359" t="s">
        <v>39</v>
      </c>
      <c r="E359" t="s">
        <v>271</v>
      </c>
      <c r="F359" t="s">
        <v>50</v>
      </c>
      <c r="G359" s="5">
        <v>14292243</v>
      </c>
      <c r="H359" s="5">
        <v>30011011</v>
      </c>
    </row>
    <row r="360" spans="1:8" x14ac:dyDescent="0.25">
      <c r="A360" t="s">
        <v>267</v>
      </c>
      <c r="B360">
        <v>2018</v>
      </c>
      <c r="C360" t="s">
        <v>39</v>
      </c>
      <c r="D360" t="s">
        <v>39</v>
      </c>
      <c r="E360" t="s">
        <v>274</v>
      </c>
      <c r="F360" t="s">
        <v>53</v>
      </c>
      <c r="G360" s="5">
        <v>12324430</v>
      </c>
      <c r="H360" s="5">
        <v>12327057</v>
      </c>
    </row>
    <row r="361" spans="1:8" x14ac:dyDescent="0.25">
      <c r="A361" t="s">
        <v>267</v>
      </c>
      <c r="B361">
        <v>2018</v>
      </c>
      <c r="C361" t="s">
        <v>39</v>
      </c>
      <c r="D361" t="s">
        <v>39</v>
      </c>
      <c r="E361" t="s">
        <v>273</v>
      </c>
      <c r="F361" t="s">
        <v>52</v>
      </c>
      <c r="G361" s="5">
        <v>9041648</v>
      </c>
      <c r="H361" s="5">
        <v>9041648</v>
      </c>
    </row>
    <row r="362" spans="1:8" x14ac:dyDescent="0.25">
      <c r="A362" t="s">
        <v>267</v>
      </c>
      <c r="B362">
        <v>2018</v>
      </c>
      <c r="C362" t="s">
        <v>39</v>
      </c>
      <c r="D362" t="s">
        <v>39</v>
      </c>
      <c r="E362" t="s">
        <v>278</v>
      </c>
      <c r="F362" t="s">
        <v>57</v>
      </c>
      <c r="G362" s="5">
        <v>6870983</v>
      </c>
      <c r="H362" s="5">
        <v>6870983</v>
      </c>
    </row>
    <row r="363" spans="1:8" x14ac:dyDescent="0.25">
      <c r="A363" t="s">
        <v>267</v>
      </c>
      <c r="B363">
        <v>2018</v>
      </c>
      <c r="C363" t="s">
        <v>39</v>
      </c>
      <c r="D363" t="s">
        <v>39</v>
      </c>
      <c r="E363" t="s">
        <v>276</v>
      </c>
      <c r="F363" t="s">
        <v>55</v>
      </c>
      <c r="G363" s="5">
        <v>6023130</v>
      </c>
      <c r="H363" s="5">
        <v>6023130</v>
      </c>
    </row>
    <row r="364" spans="1:8" x14ac:dyDescent="0.25">
      <c r="A364" t="s">
        <v>267</v>
      </c>
      <c r="B364">
        <v>2018</v>
      </c>
      <c r="C364" t="s">
        <v>39</v>
      </c>
      <c r="D364" t="s">
        <v>39</v>
      </c>
      <c r="E364" t="s">
        <v>283</v>
      </c>
      <c r="F364" t="s">
        <v>62</v>
      </c>
      <c r="G364" s="5">
        <v>4683958</v>
      </c>
      <c r="H364" s="5">
        <v>4683958</v>
      </c>
    </row>
    <row r="365" spans="1:8" x14ac:dyDescent="0.25">
      <c r="A365" t="s">
        <v>267</v>
      </c>
      <c r="B365">
        <v>2018</v>
      </c>
      <c r="C365" t="s">
        <v>39</v>
      </c>
      <c r="D365" t="s">
        <v>39</v>
      </c>
      <c r="E365" t="s">
        <v>277</v>
      </c>
      <c r="F365" t="s">
        <v>56</v>
      </c>
      <c r="G365" s="5">
        <v>4307530</v>
      </c>
      <c r="H365" s="5">
        <v>4307530</v>
      </c>
    </row>
    <row r="366" spans="1:8" x14ac:dyDescent="0.25">
      <c r="A366" t="s">
        <v>267</v>
      </c>
      <c r="B366">
        <v>2018</v>
      </c>
      <c r="C366" t="s">
        <v>39</v>
      </c>
      <c r="D366" t="s">
        <v>39</v>
      </c>
      <c r="E366" t="s">
        <v>288</v>
      </c>
      <c r="F366" t="s">
        <v>68</v>
      </c>
      <c r="G366" s="5">
        <v>3003646</v>
      </c>
      <c r="H366" s="5">
        <v>3003646</v>
      </c>
    </row>
    <row r="367" spans="1:8" x14ac:dyDescent="0.25">
      <c r="A367" t="s">
        <v>267</v>
      </c>
      <c r="B367">
        <v>2018</v>
      </c>
      <c r="C367" t="s">
        <v>39</v>
      </c>
      <c r="D367" t="s">
        <v>39</v>
      </c>
      <c r="E367" t="s">
        <v>280</v>
      </c>
      <c r="F367" t="s">
        <v>59</v>
      </c>
      <c r="G367" s="5">
        <v>2444007</v>
      </c>
      <c r="H367" s="5">
        <v>2444007</v>
      </c>
    </row>
    <row r="368" spans="1:8" x14ac:dyDescent="0.25">
      <c r="A368" t="s">
        <v>267</v>
      </c>
      <c r="B368">
        <v>2018</v>
      </c>
      <c r="C368" t="s">
        <v>39</v>
      </c>
      <c r="D368" t="s">
        <v>39</v>
      </c>
      <c r="E368" t="s">
        <v>279</v>
      </c>
      <c r="F368" t="s">
        <v>58</v>
      </c>
      <c r="G368" s="5">
        <v>2141387</v>
      </c>
      <c r="H368" s="5">
        <v>2141387</v>
      </c>
    </row>
    <row r="369" spans="1:8" x14ac:dyDescent="0.25">
      <c r="A369" t="s">
        <v>267</v>
      </c>
      <c r="B369">
        <v>2018</v>
      </c>
      <c r="C369" t="s">
        <v>39</v>
      </c>
      <c r="D369" t="s">
        <v>39</v>
      </c>
      <c r="E369" t="s">
        <v>284</v>
      </c>
      <c r="F369" t="s">
        <v>63</v>
      </c>
      <c r="G369" s="5">
        <v>1816641</v>
      </c>
      <c r="H369" s="5">
        <v>1821824</v>
      </c>
    </row>
    <row r="370" spans="1:8" x14ac:dyDescent="0.25">
      <c r="A370" t="s">
        <v>267</v>
      </c>
      <c r="B370">
        <v>2018</v>
      </c>
      <c r="C370" t="s">
        <v>39</v>
      </c>
      <c r="D370" t="s">
        <v>39</v>
      </c>
      <c r="E370" t="s">
        <v>281</v>
      </c>
      <c r="F370" t="s">
        <v>60</v>
      </c>
      <c r="G370" s="5">
        <v>1814258</v>
      </c>
      <c r="H370" s="5">
        <v>1814258</v>
      </c>
    </row>
    <row r="371" spans="1:8" x14ac:dyDescent="0.25">
      <c r="A371" t="s">
        <v>267</v>
      </c>
      <c r="B371">
        <v>2018</v>
      </c>
      <c r="C371" t="s">
        <v>39</v>
      </c>
      <c r="D371" t="s">
        <v>39</v>
      </c>
      <c r="F371" t="s">
        <v>64</v>
      </c>
      <c r="G371" s="5">
        <v>1222157</v>
      </c>
      <c r="H371" s="5">
        <v>1222157</v>
      </c>
    </row>
    <row r="372" spans="1:8" x14ac:dyDescent="0.25">
      <c r="A372" t="s">
        <v>267</v>
      </c>
      <c r="B372">
        <v>2018</v>
      </c>
      <c r="C372" t="s">
        <v>39</v>
      </c>
      <c r="D372" t="s">
        <v>39</v>
      </c>
      <c r="E372" t="s">
        <v>287</v>
      </c>
      <c r="F372" t="s">
        <v>67</v>
      </c>
      <c r="G372" s="5">
        <v>1199226</v>
      </c>
      <c r="H372" s="5">
        <v>1199226</v>
      </c>
    </row>
    <row r="373" spans="1:8" x14ac:dyDescent="0.25">
      <c r="A373" t="s">
        <v>267</v>
      </c>
      <c r="B373">
        <v>2018</v>
      </c>
      <c r="C373" t="s">
        <v>39</v>
      </c>
      <c r="D373" t="s">
        <v>39</v>
      </c>
      <c r="E373" t="s">
        <v>285</v>
      </c>
      <c r="F373" t="s">
        <v>65</v>
      </c>
      <c r="G373" s="5">
        <v>1115907</v>
      </c>
      <c r="H373" s="5">
        <v>1115907</v>
      </c>
    </row>
    <row r="374" spans="1:8" x14ac:dyDescent="0.25">
      <c r="A374" t="s">
        <v>267</v>
      </c>
      <c r="B374">
        <v>2018</v>
      </c>
      <c r="C374" t="s">
        <v>39</v>
      </c>
      <c r="D374" t="s">
        <v>39</v>
      </c>
      <c r="E374" t="s">
        <v>272</v>
      </c>
      <c r="F374" t="s">
        <v>51</v>
      </c>
      <c r="G374" s="5">
        <v>829692</v>
      </c>
      <c r="H374" s="5">
        <v>829727</v>
      </c>
    </row>
    <row r="375" spans="1:8" x14ac:dyDescent="0.25">
      <c r="A375" t="s">
        <v>267</v>
      </c>
      <c r="B375">
        <v>2018</v>
      </c>
      <c r="C375" t="s">
        <v>39</v>
      </c>
      <c r="D375" t="s">
        <v>39</v>
      </c>
      <c r="E375" t="s">
        <v>286</v>
      </c>
      <c r="F375" t="s">
        <v>66</v>
      </c>
      <c r="G375" s="5">
        <v>734694</v>
      </c>
      <c r="H375" s="5">
        <v>734694</v>
      </c>
    </row>
    <row r="376" spans="1:8" x14ac:dyDescent="0.25">
      <c r="A376" t="s">
        <v>267</v>
      </c>
      <c r="B376">
        <v>2018</v>
      </c>
      <c r="C376" t="s">
        <v>39</v>
      </c>
      <c r="D376" t="s">
        <v>39</v>
      </c>
      <c r="E376" t="s">
        <v>290</v>
      </c>
      <c r="F376" t="s">
        <v>70</v>
      </c>
      <c r="G376" s="5">
        <v>679880</v>
      </c>
      <c r="H376" s="5">
        <v>679880</v>
      </c>
    </row>
    <row r="377" spans="1:8" x14ac:dyDescent="0.25">
      <c r="A377" t="s">
        <v>267</v>
      </c>
      <c r="B377">
        <v>2018</v>
      </c>
      <c r="C377" t="s">
        <v>39</v>
      </c>
      <c r="D377" t="s">
        <v>39</v>
      </c>
      <c r="E377" t="s">
        <v>294</v>
      </c>
      <c r="F377" t="s">
        <v>74</v>
      </c>
      <c r="G377" s="5">
        <v>652411</v>
      </c>
      <c r="H377" s="5">
        <v>652411</v>
      </c>
    </row>
    <row r="378" spans="1:8" x14ac:dyDescent="0.25">
      <c r="A378" t="s">
        <v>267</v>
      </c>
      <c r="B378">
        <v>2018</v>
      </c>
      <c r="C378" t="s">
        <v>39</v>
      </c>
      <c r="D378" t="s">
        <v>39</v>
      </c>
      <c r="E378" t="s">
        <v>295</v>
      </c>
      <c r="F378" t="s">
        <v>75</v>
      </c>
      <c r="G378" s="5">
        <v>610957</v>
      </c>
      <c r="H378" s="5">
        <v>610957</v>
      </c>
    </row>
    <row r="379" spans="1:8" x14ac:dyDescent="0.25">
      <c r="A379" t="s">
        <v>267</v>
      </c>
      <c r="B379">
        <v>2018</v>
      </c>
      <c r="C379" t="s">
        <v>39</v>
      </c>
      <c r="D379" t="s">
        <v>39</v>
      </c>
      <c r="E379" t="s">
        <v>311</v>
      </c>
      <c r="F379" t="s">
        <v>91</v>
      </c>
      <c r="G379" s="5">
        <v>526779</v>
      </c>
      <c r="H379" s="5">
        <v>526779</v>
      </c>
    </row>
    <row r="380" spans="1:8" x14ac:dyDescent="0.25">
      <c r="A380" t="s">
        <v>267</v>
      </c>
      <c r="B380">
        <v>2018</v>
      </c>
      <c r="C380" t="s">
        <v>39</v>
      </c>
      <c r="D380" t="s">
        <v>39</v>
      </c>
      <c r="E380" t="s">
        <v>282</v>
      </c>
      <c r="F380" t="s">
        <v>61</v>
      </c>
      <c r="G380" s="5">
        <v>483246</v>
      </c>
      <c r="H380" s="5">
        <v>483246</v>
      </c>
    </row>
    <row r="381" spans="1:8" x14ac:dyDescent="0.25">
      <c r="A381" t="s">
        <v>267</v>
      </c>
      <c r="B381">
        <v>2018</v>
      </c>
      <c r="C381" t="s">
        <v>39</v>
      </c>
      <c r="D381" t="s">
        <v>39</v>
      </c>
      <c r="E381" t="s">
        <v>304</v>
      </c>
      <c r="F381" t="s">
        <v>84</v>
      </c>
      <c r="G381" s="5">
        <v>473263</v>
      </c>
      <c r="H381" s="5">
        <v>473263</v>
      </c>
    </row>
    <row r="382" spans="1:8" x14ac:dyDescent="0.25">
      <c r="A382" t="s">
        <v>267</v>
      </c>
      <c r="B382">
        <v>2018</v>
      </c>
      <c r="C382" t="s">
        <v>39</v>
      </c>
      <c r="D382" t="s">
        <v>39</v>
      </c>
      <c r="E382" t="s">
        <v>308</v>
      </c>
      <c r="F382" t="s">
        <v>88</v>
      </c>
      <c r="G382" s="5">
        <v>436234</v>
      </c>
      <c r="H382" s="5">
        <v>436234</v>
      </c>
    </row>
    <row r="383" spans="1:8" x14ac:dyDescent="0.25">
      <c r="A383" t="s">
        <v>267</v>
      </c>
      <c r="B383">
        <v>2018</v>
      </c>
      <c r="C383" t="s">
        <v>39</v>
      </c>
      <c r="D383" t="s">
        <v>39</v>
      </c>
      <c r="E383" t="s">
        <v>298</v>
      </c>
      <c r="F383" t="s">
        <v>78</v>
      </c>
      <c r="G383" s="5">
        <v>409901</v>
      </c>
      <c r="H383" s="5">
        <v>409901</v>
      </c>
    </row>
    <row r="384" spans="1:8" x14ac:dyDescent="0.25">
      <c r="A384" t="s">
        <v>267</v>
      </c>
      <c r="B384">
        <v>2018</v>
      </c>
      <c r="C384" t="s">
        <v>39</v>
      </c>
      <c r="D384" t="s">
        <v>39</v>
      </c>
      <c r="E384" t="s">
        <v>303</v>
      </c>
      <c r="F384" t="s">
        <v>83</v>
      </c>
      <c r="G384" s="5">
        <v>409895</v>
      </c>
      <c r="H384" s="5">
        <v>409895</v>
      </c>
    </row>
    <row r="385" spans="1:8" x14ac:dyDescent="0.25">
      <c r="A385" t="s">
        <v>267</v>
      </c>
      <c r="B385">
        <v>2018</v>
      </c>
      <c r="C385" t="s">
        <v>39</v>
      </c>
      <c r="D385" t="s">
        <v>39</v>
      </c>
      <c r="E385" t="s">
        <v>301</v>
      </c>
      <c r="F385" t="s">
        <v>81</v>
      </c>
      <c r="G385" s="5">
        <v>388413</v>
      </c>
      <c r="H385" s="5">
        <v>388413</v>
      </c>
    </row>
    <row r="386" spans="1:8" x14ac:dyDescent="0.25">
      <c r="A386" t="s">
        <v>267</v>
      </c>
      <c r="B386">
        <v>2018</v>
      </c>
      <c r="C386" t="s">
        <v>39</v>
      </c>
      <c r="D386" t="s">
        <v>39</v>
      </c>
      <c r="E386" t="s">
        <v>292</v>
      </c>
      <c r="F386" t="s">
        <v>72</v>
      </c>
      <c r="G386" s="5">
        <v>330917</v>
      </c>
      <c r="H386" s="5">
        <v>330917</v>
      </c>
    </row>
    <row r="387" spans="1:8" x14ac:dyDescent="0.25">
      <c r="A387" t="s">
        <v>267</v>
      </c>
      <c r="B387">
        <v>2018</v>
      </c>
      <c r="C387" t="s">
        <v>39</v>
      </c>
      <c r="D387" t="s">
        <v>39</v>
      </c>
      <c r="E387" t="s">
        <v>291</v>
      </c>
      <c r="F387" t="s">
        <v>71</v>
      </c>
      <c r="G387" s="5">
        <v>300401</v>
      </c>
      <c r="H387" s="5">
        <v>300401</v>
      </c>
    </row>
    <row r="388" spans="1:8" x14ac:dyDescent="0.25">
      <c r="A388" t="s">
        <v>267</v>
      </c>
      <c r="B388">
        <v>2018</v>
      </c>
      <c r="C388" t="s">
        <v>39</v>
      </c>
      <c r="D388" t="s">
        <v>39</v>
      </c>
      <c r="E388" t="s">
        <v>297</v>
      </c>
      <c r="F388" t="s">
        <v>77</v>
      </c>
      <c r="G388" s="5">
        <v>257018</v>
      </c>
      <c r="H388" s="5">
        <v>257018</v>
      </c>
    </row>
    <row r="389" spans="1:8" x14ac:dyDescent="0.25">
      <c r="A389" t="s">
        <v>267</v>
      </c>
      <c r="B389">
        <v>2018</v>
      </c>
      <c r="C389" t="s">
        <v>39</v>
      </c>
      <c r="D389" t="s">
        <v>39</v>
      </c>
      <c r="E389" t="s">
        <v>293</v>
      </c>
      <c r="F389" t="s">
        <v>73</v>
      </c>
      <c r="G389" s="5">
        <v>239376</v>
      </c>
      <c r="H389" s="5">
        <v>239376</v>
      </c>
    </row>
    <row r="390" spans="1:8" x14ac:dyDescent="0.25">
      <c r="A390" t="s">
        <v>267</v>
      </c>
      <c r="B390">
        <v>2018</v>
      </c>
      <c r="C390" t="s">
        <v>39</v>
      </c>
      <c r="D390" t="s">
        <v>39</v>
      </c>
      <c r="E390" t="s">
        <v>305</v>
      </c>
      <c r="F390" t="s">
        <v>85</v>
      </c>
      <c r="G390" s="5">
        <v>175277</v>
      </c>
      <c r="H390" s="5">
        <v>175277</v>
      </c>
    </row>
    <row r="391" spans="1:8" x14ac:dyDescent="0.25">
      <c r="A391" t="s">
        <v>267</v>
      </c>
      <c r="B391">
        <v>2018</v>
      </c>
      <c r="C391" t="s">
        <v>39</v>
      </c>
      <c r="D391" t="s">
        <v>39</v>
      </c>
      <c r="E391" t="s">
        <v>300</v>
      </c>
      <c r="F391" t="s">
        <v>80</v>
      </c>
      <c r="G391" s="5">
        <v>173651</v>
      </c>
      <c r="H391" s="5">
        <v>173651</v>
      </c>
    </row>
    <row r="392" spans="1:8" x14ac:dyDescent="0.25">
      <c r="A392" t="s">
        <v>267</v>
      </c>
      <c r="B392">
        <v>2018</v>
      </c>
      <c r="C392" t="s">
        <v>39</v>
      </c>
      <c r="D392" t="s">
        <v>39</v>
      </c>
      <c r="E392" t="s">
        <v>296</v>
      </c>
      <c r="F392" t="s">
        <v>76</v>
      </c>
      <c r="G392" s="5">
        <v>166840</v>
      </c>
      <c r="H392" s="5">
        <v>166840</v>
      </c>
    </row>
    <row r="393" spans="1:8" x14ac:dyDescent="0.25">
      <c r="A393" t="s">
        <v>267</v>
      </c>
      <c r="B393">
        <v>2018</v>
      </c>
      <c r="C393" t="s">
        <v>39</v>
      </c>
      <c r="D393" t="s">
        <v>39</v>
      </c>
      <c r="E393" t="s">
        <v>307</v>
      </c>
      <c r="F393" t="s">
        <v>87</v>
      </c>
      <c r="G393" s="5">
        <v>133435</v>
      </c>
      <c r="H393" s="5">
        <v>133435</v>
      </c>
    </row>
    <row r="394" spans="1:8" x14ac:dyDescent="0.25">
      <c r="A394" t="s">
        <v>267</v>
      </c>
      <c r="B394">
        <v>2018</v>
      </c>
      <c r="C394" t="s">
        <v>39</v>
      </c>
      <c r="D394" t="s">
        <v>39</v>
      </c>
      <c r="E394" t="s">
        <v>289</v>
      </c>
      <c r="F394" t="s">
        <v>69</v>
      </c>
      <c r="G394" s="5">
        <v>67283</v>
      </c>
      <c r="H394" s="5">
        <v>67283</v>
      </c>
    </row>
    <row r="395" spans="1:8" x14ac:dyDescent="0.25">
      <c r="A395" t="s">
        <v>267</v>
      </c>
      <c r="B395">
        <v>2018</v>
      </c>
      <c r="C395" t="s">
        <v>39</v>
      </c>
      <c r="D395" t="s">
        <v>39</v>
      </c>
      <c r="E395" t="s">
        <v>439</v>
      </c>
      <c r="F395" t="s">
        <v>226</v>
      </c>
      <c r="G395" s="5">
        <v>24500</v>
      </c>
      <c r="H395" s="5">
        <v>24500</v>
      </c>
    </row>
    <row r="396" spans="1:8" x14ac:dyDescent="0.25">
      <c r="A396" t="s">
        <v>267</v>
      </c>
      <c r="B396">
        <v>2018</v>
      </c>
      <c r="C396" t="s">
        <v>39</v>
      </c>
      <c r="D396" t="s">
        <v>39</v>
      </c>
      <c r="E396" t="s">
        <v>310</v>
      </c>
      <c r="F396" t="s">
        <v>90</v>
      </c>
      <c r="G396" s="5">
        <v>13669</v>
      </c>
      <c r="H396" s="5">
        <v>13669</v>
      </c>
    </row>
    <row r="397" spans="1:8" x14ac:dyDescent="0.25">
      <c r="A397" t="s">
        <v>267</v>
      </c>
      <c r="B397">
        <v>2018</v>
      </c>
      <c r="C397" t="s">
        <v>92</v>
      </c>
      <c r="D397" t="s">
        <v>36</v>
      </c>
      <c r="E397" t="s">
        <v>36</v>
      </c>
      <c r="F397" t="s">
        <v>93</v>
      </c>
      <c r="G397" s="5">
        <v>1868694854</v>
      </c>
      <c r="H397" s="5">
        <v>2125539725</v>
      </c>
    </row>
    <row r="398" spans="1:8" x14ac:dyDescent="0.25">
      <c r="A398" t="s">
        <v>267</v>
      </c>
      <c r="B398">
        <v>2018</v>
      </c>
      <c r="C398" t="s">
        <v>92</v>
      </c>
      <c r="D398" t="s">
        <v>38</v>
      </c>
      <c r="E398" t="s">
        <v>313</v>
      </c>
      <c r="F398" t="s">
        <v>95</v>
      </c>
      <c r="G398" s="5">
        <v>118951770</v>
      </c>
      <c r="H398" s="5">
        <v>120329859</v>
      </c>
    </row>
    <row r="399" spans="1:8" x14ac:dyDescent="0.25">
      <c r="A399" t="s">
        <v>267</v>
      </c>
      <c r="B399">
        <v>2018</v>
      </c>
      <c r="C399" t="s">
        <v>92</v>
      </c>
      <c r="D399" t="s">
        <v>38</v>
      </c>
      <c r="E399" t="s">
        <v>314</v>
      </c>
      <c r="F399" t="s">
        <v>96</v>
      </c>
      <c r="G399" s="5">
        <v>72828158</v>
      </c>
      <c r="H399" s="5">
        <v>72928009</v>
      </c>
    </row>
    <row r="400" spans="1:8" x14ac:dyDescent="0.25">
      <c r="A400" t="s">
        <v>267</v>
      </c>
      <c r="B400">
        <v>2018</v>
      </c>
      <c r="C400" t="s">
        <v>92</v>
      </c>
      <c r="D400" t="s">
        <v>38</v>
      </c>
      <c r="E400" t="s">
        <v>312</v>
      </c>
      <c r="F400" t="s">
        <v>94</v>
      </c>
      <c r="G400" s="5">
        <v>71876532</v>
      </c>
      <c r="H400" s="5">
        <v>72049660</v>
      </c>
    </row>
    <row r="401" spans="1:8" x14ac:dyDescent="0.25">
      <c r="A401" t="s">
        <v>267</v>
      </c>
      <c r="B401">
        <v>2018</v>
      </c>
      <c r="C401" t="s">
        <v>92</v>
      </c>
      <c r="D401" t="s">
        <v>38</v>
      </c>
      <c r="E401" t="s">
        <v>317</v>
      </c>
      <c r="F401" t="s">
        <v>99</v>
      </c>
      <c r="G401" s="5">
        <v>28142243</v>
      </c>
      <c r="H401" s="5">
        <v>28142243</v>
      </c>
    </row>
    <row r="402" spans="1:8" x14ac:dyDescent="0.25">
      <c r="A402" t="s">
        <v>267</v>
      </c>
      <c r="B402">
        <v>2018</v>
      </c>
      <c r="C402" t="s">
        <v>92</v>
      </c>
      <c r="D402" t="s">
        <v>38</v>
      </c>
      <c r="E402" t="s">
        <v>315</v>
      </c>
      <c r="F402" t="s">
        <v>97</v>
      </c>
      <c r="G402" s="5">
        <v>28048309</v>
      </c>
      <c r="H402" s="5">
        <v>28048309</v>
      </c>
    </row>
    <row r="403" spans="1:8" x14ac:dyDescent="0.25">
      <c r="A403" t="s">
        <v>267</v>
      </c>
      <c r="B403">
        <v>2018</v>
      </c>
      <c r="C403" t="s">
        <v>92</v>
      </c>
      <c r="D403" t="s">
        <v>38</v>
      </c>
      <c r="E403" t="s">
        <v>316</v>
      </c>
      <c r="F403" t="s">
        <v>98</v>
      </c>
      <c r="G403" s="5">
        <v>22664727</v>
      </c>
      <c r="H403" s="5">
        <v>22703260</v>
      </c>
    </row>
    <row r="404" spans="1:8" x14ac:dyDescent="0.25">
      <c r="A404" t="s">
        <v>267</v>
      </c>
      <c r="B404">
        <v>2018</v>
      </c>
      <c r="C404" t="s">
        <v>92</v>
      </c>
      <c r="D404" t="s">
        <v>38</v>
      </c>
      <c r="E404" t="s">
        <v>318</v>
      </c>
      <c r="F404" t="s">
        <v>100</v>
      </c>
      <c r="G404" s="5">
        <v>15013881</v>
      </c>
      <c r="H404" s="5">
        <v>15017547</v>
      </c>
    </row>
    <row r="405" spans="1:8" x14ac:dyDescent="0.25">
      <c r="A405" t="s">
        <v>267</v>
      </c>
      <c r="B405">
        <v>2018</v>
      </c>
      <c r="C405" t="s">
        <v>92</v>
      </c>
      <c r="D405" t="s">
        <v>38</v>
      </c>
      <c r="E405" t="s">
        <v>319</v>
      </c>
      <c r="F405" t="s">
        <v>101</v>
      </c>
      <c r="G405" s="5">
        <v>10388975</v>
      </c>
      <c r="H405" s="5">
        <v>10490851</v>
      </c>
    </row>
    <row r="406" spans="1:8" x14ac:dyDescent="0.25">
      <c r="A406" t="s">
        <v>267</v>
      </c>
      <c r="B406">
        <v>2018</v>
      </c>
      <c r="C406" t="s">
        <v>92</v>
      </c>
      <c r="D406" t="s">
        <v>38</v>
      </c>
      <c r="E406" t="s">
        <v>320</v>
      </c>
      <c r="F406" t="s">
        <v>102</v>
      </c>
      <c r="G406" s="5">
        <v>7007631</v>
      </c>
      <c r="H406" s="5">
        <v>7007631</v>
      </c>
    </row>
    <row r="407" spans="1:8" x14ac:dyDescent="0.25">
      <c r="A407" t="s">
        <v>267</v>
      </c>
      <c r="B407">
        <v>2018</v>
      </c>
      <c r="C407" t="s">
        <v>92</v>
      </c>
      <c r="D407" t="s">
        <v>38</v>
      </c>
      <c r="E407" t="s">
        <v>321</v>
      </c>
      <c r="F407" t="s">
        <v>103</v>
      </c>
      <c r="G407" s="5">
        <v>5997386</v>
      </c>
      <c r="H407" s="5">
        <v>5997386</v>
      </c>
    </row>
    <row r="408" spans="1:8" x14ac:dyDescent="0.25">
      <c r="A408" t="s">
        <v>267</v>
      </c>
      <c r="B408">
        <v>2018</v>
      </c>
      <c r="C408" t="s">
        <v>92</v>
      </c>
      <c r="D408" t="s">
        <v>38</v>
      </c>
      <c r="E408" t="s">
        <v>331</v>
      </c>
      <c r="F408" t="s">
        <v>114</v>
      </c>
      <c r="G408" s="5">
        <v>4956590</v>
      </c>
      <c r="H408" s="5">
        <v>4956590</v>
      </c>
    </row>
    <row r="409" spans="1:8" x14ac:dyDescent="0.25">
      <c r="A409" t="s">
        <v>267</v>
      </c>
      <c r="B409">
        <v>2018</v>
      </c>
      <c r="C409" t="s">
        <v>92</v>
      </c>
      <c r="D409" t="s">
        <v>38</v>
      </c>
      <c r="E409" t="s">
        <v>322</v>
      </c>
      <c r="F409" t="s">
        <v>105</v>
      </c>
      <c r="G409" s="5">
        <v>4677828</v>
      </c>
      <c r="H409" s="5">
        <v>4677828</v>
      </c>
    </row>
    <row r="410" spans="1:8" x14ac:dyDescent="0.25">
      <c r="A410" t="s">
        <v>267</v>
      </c>
      <c r="B410">
        <v>2018</v>
      </c>
      <c r="C410" t="s">
        <v>92</v>
      </c>
      <c r="D410" t="s">
        <v>38</v>
      </c>
      <c r="E410" t="s">
        <v>325</v>
      </c>
      <c r="F410" t="s">
        <v>108</v>
      </c>
      <c r="G410" s="5">
        <v>4198678</v>
      </c>
      <c r="H410" s="5">
        <v>4212319</v>
      </c>
    </row>
    <row r="411" spans="1:8" x14ac:dyDescent="0.25">
      <c r="A411" t="s">
        <v>267</v>
      </c>
      <c r="B411">
        <v>2018</v>
      </c>
      <c r="C411" t="s">
        <v>92</v>
      </c>
      <c r="D411" t="s">
        <v>38</v>
      </c>
      <c r="E411" t="s">
        <v>327</v>
      </c>
      <c r="F411" t="s">
        <v>110</v>
      </c>
      <c r="G411" s="5">
        <v>3382071</v>
      </c>
      <c r="H411" s="5">
        <v>3382071</v>
      </c>
    </row>
    <row r="412" spans="1:8" x14ac:dyDescent="0.25">
      <c r="A412" t="s">
        <v>267</v>
      </c>
      <c r="B412">
        <v>2018</v>
      </c>
      <c r="C412" t="s">
        <v>92</v>
      </c>
      <c r="D412" t="s">
        <v>38</v>
      </c>
      <c r="E412" t="s">
        <v>323</v>
      </c>
      <c r="F412" t="s">
        <v>106</v>
      </c>
      <c r="G412" s="5">
        <v>3236510</v>
      </c>
      <c r="H412" s="5">
        <v>3236510</v>
      </c>
    </row>
    <row r="413" spans="1:8" x14ac:dyDescent="0.25">
      <c r="A413" t="s">
        <v>267</v>
      </c>
      <c r="B413">
        <v>2018</v>
      </c>
      <c r="C413" t="s">
        <v>92</v>
      </c>
      <c r="D413" t="s">
        <v>38</v>
      </c>
      <c r="E413" t="s">
        <v>324</v>
      </c>
      <c r="F413" t="s">
        <v>107</v>
      </c>
      <c r="G413" s="5">
        <v>2522608</v>
      </c>
      <c r="H413" s="5">
        <v>2522608</v>
      </c>
    </row>
    <row r="414" spans="1:8" x14ac:dyDescent="0.25">
      <c r="A414" t="s">
        <v>267</v>
      </c>
      <c r="B414">
        <v>2018</v>
      </c>
      <c r="C414" t="s">
        <v>92</v>
      </c>
      <c r="D414" t="s">
        <v>38</v>
      </c>
      <c r="E414" t="s">
        <v>328</v>
      </c>
      <c r="F414" t="s">
        <v>111</v>
      </c>
      <c r="G414" s="5">
        <v>2213048</v>
      </c>
      <c r="H414" s="5">
        <v>4526140</v>
      </c>
    </row>
    <row r="415" spans="1:8" x14ac:dyDescent="0.25">
      <c r="A415" t="s">
        <v>267</v>
      </c>
      <c r="B415">
        <v>2018</v>
      </c>
      <c r="C415" t="s">
        <v>92</v>
      </c>
      <c r="D415" t="s">
        <v>38</v>
      </c>
      <c r="E415" t="s">
        <v>329</v>
      </c>
      <c r="F415" t="s">
        <v>112</v>
      </c>
      <c r="G415" s="5">
        <v>2080445</v>
      </c>
      <c r="H415" s="5">
        <v>2080445</v>
      </c>
    </row>
    <row r="416" spans="1:8" x14ac:dyDescent="0.25">
      <c r="A416" t="s">
        <v>267</v>
      </c>
      <c r="B416">
        <v>2018</v>
      </c>
      <c r="C416" t="s">
        <v>92</v>
      </c>
      <c r="D416" t="s">
        <v>38</v>
      </c>
      <c r="E416" t="s">
        <v>326</v>
      </c>
      <c r="F416" t="s">
        <v>109</v>
      </c>
      <c r="G416" s="5">
        <v>1123628</v>
      </c>
      <c r="H416" s="5">
        <v>1123628</v>
      </c>
    </row>
    <row r="417" spans="1:8" x14ac:dyDescent="0.25">
      <c r="A417" t="s">
        <v>267</v>
      </c>
      <c r="B417">
        <v>2018</v>
      </c>
      <c r="C417" t="s">
        <v>92</v>
      </c>
      <c r="D417" t="s">
        <v>38</v>
      </c>
      <c r="E417" t="s">
        <v>330</v>
      </c>
      <c r="F417" t="s">
        <v>113</v>
      </c>
      <c r="G417" s="5">
        <v>1015844</v>
      </c>
      <c r="H417" s="5">
        <v>1016904</v>
      </c>
    </row>
    <row r="418" spans="1:8" x14ac:dyDescent="0.25">
      <c r="A418" t="s">
        <v>267</v>
      </c>
      <c r="B418">
        <v>2018</v>
      </c>
      <c r="C418" t="s">
        <v>92</v>
      </c>
      <c r="D418" t="s">
        <v>38</v>
      </c>
      <c r="E418" t="s">
        <v>333</v>
      </c>
      <c r="F418" t="s">
        <v>116</v>
      </c>
      <c r="G418" s="5">
        <v>928674</v>
      </c>
      <c r="H418" s="5">
        <v>928674</v>
      </c>
    </row>
    <row r="419" spans="1:8" x14ac:dyDescent="0.25">
      <c r="A419" t="s">
        <v>267</v>
      </c>
      <c r="B419">
        <v>2018</v>
      </c>
      <c r="C419" t="s">
        <v>92</v>
      </c>
      <c r="D419" t="s">
        <v>38</v>
      </c>
      <c r="E419" t="s">
        <v>332</v>
      </c>
      <c r="F419" t="s">
        <v>115</v>
      </c>
      <c r="G419" s="5">
        <v>927273</v>
      </c>
      <c r="H419" s="5">
        <v>927273</v>
      </c>
    </row>
    <row r="420" spans="1:8" x14ac:dyDescent="0.25">
      <c r="A420" t="s">
        <v>267</v>
      </c>
      <c r="B420">
        <v>2018</v>
      </c>
      <c r="C420" t="s">
        <v>92</v>
      </c>
      <c r="D420" t="s">
        <v>38</v>
      </c>
      <c r="F420" t="s">
        <v>104</v>
      </c>
      <c r="G420" s="5">
        <v>885368</v>
      </c>
      <c r="H420" s="5">
        <v>887367</v>
      </c>
    </row>
    <row r="421" spans="1:8" x14ac:dyDescent="0.25">
      <c r="A421" t="s">
        <v>267</v>
      </c>
      <c r="B421">
        <v>2018</v>
      </c>
      <c r="C421" t="s">
        <v>92</v>
      </c>
      <c r="D421" t="s">
        <v>38</v>
      </c>
      <c r="E421" t="s">
        <v>334</v>
      </c>
      <c r="F421" t="s">
        <v>117</v>
      </c>
      <c r="G421" s="5">
        <v>665518</v>
      </c>
      <c r="H421" s="5">
        <v>665518</v>
      </c>
    </row>
    <row r="422" spans="1:8" x14ac:dyDescent="0.25">
      <c r="A422" t="s">
        <v>267</v>
      </c>
      <c r="B422">
        <v>2018</v>
      </c>
      <c r="C422" t="s">
        <v>92</v>
      </c>
      <c r="D422" t="s">
        <v>38</v>
      </c>
      <c r="E422" t="s">
        <v>340</v>
      </c>
      <c r="F422" t="s">
        <v>123</v>
      </c>
      <c r="G422" s="5">
        <v>525817</v>
      </c>
      <c r="H422" s="5">
        <v>525817</v>
      </c>
    </row>
    <row r="423" spans="1:8" x14ac:dyDescent="0.25">
      <c r="A423" t="s">
        <v>267</v>
      </c>
      <c r="B423">
        <v>2018</v>
      </c>
      <c r="C423" t="s">
        <v>92</v>
      </c>
      <c r="D423" t="s">
        <v>38</v>
      </c>
      <c r="E423" t="s">
        <v>339</v>
      </c>
      <c r="F423" t="s">
        <v>122</v>
      </c>
      <c r="G423" s="5">
        <v>313952</v>
      </c>
      <c r="H423" s="5">
        <v>313952</v>
      </c>
    </row>
    <row r="424" spans="1:8" x14ac:dyDescent="0.25">
      <c r="A424" t="s">
        <v>267</v>
      </c>
      <c r="B424">
        <v>2018</v>
      </c>
      <c r="C424" t="s">
        <v>92</v>
      </c>
      <c r="D424" t="s">
        <v>38</v>
      </c>
      <c r="E424" t="s">
        <v>337</v>
      </c>
      <c r="F424" t="s">
        <v>120</v>
      </c>
      <c r="G424" s="5">
        <v>212077</v>
      </c>
      <c r="H424" s="5">
        <v>212077</v>
      </c>
    </row>
    <row r="425" spans="1:8" x14ac:dyDescent="0.25">
      <c r="A425" t="s">
        <v>267</v>
      </c>
      <c r="B425">
        <v>2018</v>
      </c>
      <c r="C425" t="s">
        <v>92</v>
      </c>
      <c r="D425" t="s">
        <v>38</v>
      </c>
      <c r="E425" t="s">
        <v>335</v>
      </c>
      <c r="F425" t="s">
        <v>118</v>
      </c>
      <c r="G425" s="5">
        <v>202222</v>
      </c>
      <c r="H425" s="5">
        <v>202222</v>
      </c>
    </row>
    <row r="426" spans="1:8" x14ac:dyDescent="0.25">
      <c r="A426" t="s">
        <v>267</v>
      </c>
      <c r="B426">
        <v>2018</v>
      </c>
      <c r="C426" t="s">
        <v>92</v>
      </c>
      <c r="D426" t="s">
        <v>38</v>
      </c>
      <c r="E426" t="s">
        <v>341</v>
      </c>
      <c r="F426" t="s">
        <v>124</v>
      </c>
      <c r="G426" s="5">
        <v>68916</v>
      </c>
      <c r="H426" s="5">
        <v>68916</v>
      </c>
    </row>
    <row r="427" spans="1:8" x14ac:dyDescent="0.25">
      <c r="A427" t="s">
        <v>267</v>
      </c>
      <c r="B427">
        <v>2018</v>
      </c>
      <c r="C427" t="s">
        <v>92</v>
      </c>
      <c r="D427" t="s">
        <v>38</v>
      </c>
      <c r="E427" t="s">
        <v>336</v>
      </c>
      <c r="F427" t="s">
        <v>119</v>
      </c>
      <c r="G427" s="5">
        <v>59925</v>
      </c>
      <c r="H427" s="5">
        <v>143234</v>
      </c>
    </row>
    <row r="428" spans="1:8" x14ac:dyDescent="0.25">
      <c r="A428" t="s">
        <v>267</v>
      </c>
      <c r="B428">
        <v>2018</v>
      </c>
      <c r="C428" t="s">
        <v>92</v>
      </c>
      <c r="D428" t="s">
        <v>38</v>
      </c>
      <c r="E428" t="s">
        <v>444</v>
      </c>
      <c r="F428" t="s">
        <v>231</v>
      </c>
      <c r="G428" s="5">
        <v>54054</v>
      </c>
      <c r="H428" s="5">
        <v>54054</v>
      </c>
    </row>
    <row r="429" spans="1:8" x14ac:dyDescent="0.25">
      <c r="A429" t="s">
        <v>267</v>
      </c>
      <c r="B429">
        <v>2018</v>
      </c>
      <c r="C429" t="s">
        <v>92</v>
      </c>
      <c r="D429" t="s">
        <v>38</v>
      </c>
      <c r="E429" t="s">
        <v>441</v>
      </c>
      <c r="F429" t="s">
        <v>228</v>
      </c>
      <c r="G429" s="5">
        <v>44721</v>
      </c>
      <c r="H429" s="5">
        <v>44721</v>
      </c>
    </row>
    <row r="430" spans="1:8" x14ac:dyDescent="0.25">
      <c r="A430" t="s">
        <v>267</v>
      </c>
      <c r="B430">
        <v>2018</v>
      </c>
      <c r="C430" t="s">
        <v>92</v>
      </c>
      <c r="D430" t="s">
        <v>38</v>
      </c>
      <c r="E430" t="s">
        <v>445</v>
      </c>
      <c r="F430" t="s">
        <v>232</v>
      </c>
      <c r="G430" s="5">
        <v>34185</v>
      </c>
      <c r="H430" s="5">
        <v>34185</v>
      </c>
    </row>
    <row r="431" spans="1:8" x14ac:dyDescent="0.25">
      <c r="A431" t="s">
        <v>267</v>
      </c>
      <c r="B431">
        <v>2018</v>
      </c>
      <c r="C431" t="s">
        <v>92</v>
      </c>
      <c r="D431" t="s">
        <v>38</v>
      </c>
      <c r="E431" t="s">
        <v>446</v>
      </c>
      <c r="F431" t="s">
        <v>233</v>
      </c>
      <c r="G431" s="5">
        <v>32395</v>
      </c>
      <c r="H431" s="5">
        <v>32395</v>
      </c>
    </row>
    <row r="432" spans="1:8" x14ac:dyDescent="0.25">
      <c r="A432" t="s">
        <v>267</v>
      </c>
      <c r="B432">
        <v>2018</v>
      </c>
      <c r="C432" t="s">
        <v>92</v>
      </c>
      <c r="D432" t="s">
        <v>38</v>
      </c>
      <c r="E432" t="s">
        <v>342</v>
      </c>
      <c r="F432" t="s">
        <v>125</v>
      </c>
      <c r="G432" s="5">
        <v>22485</v>
      </c>
      <c r="H432" s="5">
        <v>22485</v>
      </c>
    </row>
    <row r="433" spans="1:8" x14ac:dyDescent="0.25">
      <c r="A433" t="s">
        <v>267</v>
      </c>
      <c r="B433">
        <v>2018</v>
      </c>
      <c r="C433" t="s">
        <v>35</v>
      </c>
      <c r="D433" t="s">
        <v>35</v>
      </c>
      <c r="E433" t="s">
        <v>343</v>
      </c>
      <c r="F433" t="s">
        <v>126</v>
      </c>
      <c r="G433" s="5">
        <v>878094193</v>
      </c>
      <c r="H433" s="5">
        <v>4148398469</v>
      </c>
    </row>
    <row r="434" spans="1:8" x14ac:dyDescent="0.25">
      <c r="A434" t="s">
        <v>267</v>
      </c>
      <c r="B434">
        <v>2018</v>
      </c>
      <c r="C434" t="s">
        <v>35</v>
      </c>
      <c r="D434" t="s">
        <v>35</v>
      </c>
      <c r="E434" t="s">
        <v>348</v>
      </c>
      <c r="F434" t="s">
        <v>131</v>
      </c>
      <c r="G434" s="5">
        <v>324685728</v>
      </c>
      <c r="H434" s="5">
        <v>372801663</v>
      </c>
    </row>
    <row r="435" spans="1:8" x14ac:dyDescent="0.25">
      <c r="A435" t="s">
        <v>267</v>
      </c>
      <c r="B435">
        <v>2018</v>
      </c>
      <c r="C435" t="s">
        <v>35</v>
      </c>
      <c r="D435" t="s">
        <v>35</v>
      </c>
      <c r="E435" t="s">
        <v>346</v>
      </c>
      <c r="F435" t="s">
        <v>129</v>
      </c>
      <c r="G435" s="5">
        <v>213462219</v>
      </c>
      <c r="H435" s="5">
        <v>940247367</v>
      </c>
    </row>
    <row r="436" spans="1:8" x14ac:dyDescent="0.25">
      <c r="A436" t="s">
        <v>267</v>
      </c>
      <c r="B436">
        <v>2018</v>
      </c>
      <c r="C436" t="s">
        <v>35</v>
      </c>
      <c r="D436" t="s">
        <v>35</v>
      </c>
      <c r="E436" t="s">
        <v>345</v>
      </c>
      <c r="F436" t="s">
        <v>128</v>
      </c>
      <c r="G436" s="5">
        <v>201805040</v>
      </c>
      <c r="H436" s="5">
        <v>829929372</v>
      </c>
    </row>
    <row r="437" spans="1:8" x14ac:dyDescent="0.25">
      <c r="A437" t="s">
        <v>267</v>
      </c>
      <c r="B437">
        <v>2018</v>
      </c>
      <c r="C437" t="s">
        <v>35</v>
      </c>
      <c r="D437" t="s">
        <v>35</v>
      </c>
      <c r="E437" t="s">
        <v>344</v>
      </c>
      <c r="F437" t="s">
        <v>127</v>
      </c>
      <c r="G437" s="5">
        <v>199339753</v>
      </c>
      <c r="H437" s="5">
        <v>200092316</v>
      </c>
    </row>
    <row r="438" spans="1:8" x14ac:dyDescent="0.25">
      <c r="A438" t="s">
        <v>267</v>
      </c>
      <c r="B438">
        <v>2018</v>
      </c>
      <c r="C438" t="s">
        <v>35</v>
      </c>
      <c r="D438" t="s">
        <v>35</v>
      </c>
      <c r="E438" t="s">
        <v>349</v>
      </c>
      <c r="F438" t="s">
        <v>132</v>
      </c>
      <c r="G438" s="5">
        <v>166396136</v>
      </c>
      <c r="H438" s="5">
        <v>266625472</v>
      </c>
    </row>
    <row r="439" spans="1:8" x14ac:dyDescent="0.25">
      <c r="A439" t="s">
        <v>267</v>
      </c>
      <c r="B439">
        <v>2018</v>
      </c>
      <c r="C439" t="s">
        <v>35</v>
      </c>
      <c r="D439" t="s">
        <v>35</v>
      </c>
      <c r="E439" t="s">
        <v>354</v>
      </c>
      <c r="F439" t="s">
        <v>137</v>
      </c>
      <c r="G439" s="5">
        <v>105276618</v>
      </c>
      <c r="H439" s="5">
        <v>105277212</v>
      </c>
    </row>
    <row r="440" spans="1:8" x14ac:dyDescent="0.25">
      <c r="A440" t="s">
        <v>267</v>
      </c>
      <c r="B440">
        <v>2018</v>
      </c>
      <c r="C440" t="s">
        <v>35</v>
      </c>
      <c r="D440" t="s">
        <v>35</v>
      </c>
      <c r="E440" t="s">
        <v>347</v>
      </c>
      <c r="F440" t="s">
        <v>130</v>
      </c>
      <c r="G440" s="5">
        <v>104556811</v>
      </c>
      <c r="H440" s="5">
        <v>941377118</v>
      </c>
    </row>
    <row r="441" spans="1:8" x14ac:dyDescent="0.25">
      <c r="A441" t="s">
        <v>267</v>
      </c>
      <c r="B441">
        <v>2018</v>
      </c>
      <c r="C441" t="s">
        <v>35</v>
      </c>
      <c r="D441" t="s">
        <v>35</v>
      </c>
      <c r="E441" t="s">
        <v>356</v>
      </c>
      <c r="F441" t="s">
        <v>139</v>
      </c>
      <c r="G441" s="5">
        <v>103281243</v>
      </c>
      <c r="H441" s="5">
        <v>105817438</v>
      </c>
    </row>
    <row r="442" spans="1:8" x14ac:dyDescent="0.25">
      <c r="A442" t="s">
        <v>267</v>
      </c>
      <c r="B442">
        <v>2018</v>
      </c>
      <c r="C442" t="s">
        <v>35</v>
      </c>
      <c r="D442" t="s">
        <v>35</v>
      </c>
      <c r="E442" t="s">
        <v>351</v>
      </c>
      <c r="F442" t="s">
        <v>134</v>
      </c>
      <c r="G442" s="5">
        <v>95393941</v>
      </c>
      <c r="H442" s="5">
        <v>101732352</v>
      </c>
    </row>
    <row r="443" spans="1:8" x14ac:dyDescent="0.25">
      <c r="A443" t="s">
        <v>267</v>
      </c>
      <c r="B443">
        <v>2018</v>
      </c>
      <c r="C443" t="s">
        <v>35</v>
      </c>
      <c r="D443" t="s">
        <v>35</v>
      </c>
      <c r="E443" t="s">
        <v>353</v>
      </c>
      <c r="F443" t="s">
        <v>136</v>
      </c>
      <c r="G443" s="5">
        <v>82444645</v>
      </c>
      <c r="H443" s="5">
        <v>82445819</v>
      </c>
    </row>
    <row r="444" spans="1:8" x14ac:dyDescent="0.25">
      <c r="A444" t="s">
        <v>267</v>
      </c>
      <c r="B444">
        <v>2018</v>
      </c>
      <c r="C444" t="s">
        <v>35</v>
      </c>
      <c r="D444" t="s">
        <v>35</v>
      </c>
      <c r="E444" t="s">
        <v>352</v>
      </c>
      <c r="F444" t="s">
        <v>135</v>
      </c>
      <c r="G444" s="5">
        <v>71337535</v>
      </c>
      <c r="H444" s="5">
        <v>164129934</v>
      </c>
    </row>
    <row r="445" spans="1:8" x14ac:dyDescent="0.25">
      <c r="A445" t="s">
        <v>267</v>
      </c>
      <c r="B445">
        <v>2018</v>
      </c>
      <c r="C445" t="s">
        <v>35</v>
      </c>
      <c r="D445" t="s">
        <v>35</v>
      </c>
      <c r="E445" t="s">
        <v>359</v>
      </c>
      <c r="F445" t="s">
        <v>142</v>
      </c>
      <c r="G445" s="5">
        <v>70250119</v>
      </c>
      <c r="H445" s="5">
        <v>70535207</v>
      </c>
    </row>
    <row r="446" spans="1:8" x14ac:dyDescent="0.25">
      <c r="A446" t="s">
        <v>267</v>
      </c>
      <c r="B446">
        <v>2018</v>
      </c>
      <c r="C446" t="s">
        <v>35</v>
      </c>
      <c r="D446" t="s">
        <v>35</v>
      </c>
      <c r="E446" t="s">
        <v>350</v>
      </c>
      <c r="F446" t="s">
        <v>133</v>
      </c>
      <c r="G446" s="5">
        <v>68941541</v>
      </c>
      <c r="H446" s="5">
        <v>68942787</v>
      </c>
    </row>
    <row r="447" spans="1:8" x14ac:dyDescent="0.25">
      <c r="A447" t="s">
        <v>267</v>
      </c>
      <c r="B447">
        <v>2018</v>
      </c>
      <c r="C447" t="s">
        <v>35</v>
      </c>
      <c r="D447" t="s">
        <v>35</v>
      </c>
      <c r="E447" t="s">
        <v>357</v>
      </c>
      <c r="F447" t="s">
        <v>140</v>
      </c>
      <c r="G447" s="5">
        <v>49983767</v>
      </c>
      <c r="H447" s="5">
        <v>49983767</v>
      </c>
    </row>
    <row r="448" spans="1:8" x14ac:dyDescent="0.25">
      <c r="A448" t="s">
        <v>267</v>
      </c>
      <c r="B448">
        <v>2018</v>
      </c>
      <c r="C448" t="s">
        <v>35</v>
      </c>
      <c r="D448" t="s">
        <v>35</v>
      </c>
      <c r="E448" t="s">
        <v>355</v>
      </c>
      <c r="F448" t="s">
        <v>138</v>
      </c>
      <c r="G448" s="5">
        <v>47763116</v>
      </c>
      <c r="H448" s="5">
        <v>48244454</v>
      </c>
    </row>
    <row r="449" spans="1:8" x14ac:dyDescent="0.25">
      <c r="A449" t="s">
        <v>267</v>
      </c>
      <c r="B449">
        <v>2018</v>
      </c>
      <c r="C449" t="s">
        <v>35</v>
      </c>
      <c r="D449" t="s">
        <v>35</v>
      </c>
      <c r="E449" t="s">
        <v>363</v>
      </c>
      <c r="F449" t="s">
        <v>146</v>
      </c>
      <c r="G449" s="5">
        <v>37340621</v>
      </c>
      <c r="H449" s="5">
        <v>37340621</v>
      </c>
    </row>
    <row r="450" spans="1:8" x14ac:dyDescent="0.25">
      <c r="A450" t="s">
        <v>267</v>
      </c>
      <c r="B450">
        <v>2018</v>
      </c>
      <c r="C450" t="s">
        <v>35</v>
      </c>
      <c r="D450" t="s">
        <v>35</v>
      </c>
      <c r="E450" t="s">
        <v>360</v>
      </c>
      <c r="F450" t="s">
        <v>143</v>
      </c>
      <c r="G450" s="5">
        <v>35447875</v>
      </c>
      <c r="H450" s="5">
        <v>35447875</v>
      </c>
    </row>
    <row r="451" spans="1:8" x14ac:dyDescent="0.25">
      <c r="A451" t="s">
        <v>267</v>
      </c>
      <c r="B451">
        <v>2018</v>
      </c>
      <c r="C451" t="s">
        <v>35</v>
      </c>
      <c r="D451" t="s">
        <v>35</v>
      </c>
      <c r="E451" t="s">
        <v>362</v>
      </c>
      <c r="F451" t="s">
        <v>145</v>
      </c>
      <c r="G451" s="5">
        <v>26680277</v>
      </c>
      <c r="H451" s="5">
        <v>26680277</v>
      </c>
    </row>
    <row r="452" spans="1:8" x14ac:dyDescent="0.25">
      <c r="A452" t="s">
        <v>267</v>
      </c>
      <c r="B452">
        <v>2018</v>
      </c>
      <c r="C452" t="s">
        <v>35</v>
      </c>
      <c r="D452" t="s">
        <v>35</v>
      </c>
      <c r="E452" t="s">
        <v>361</v>
      </c>
      <c r="F452" t="s">
        <v>144</v>
      </c>
      <c r="G452" s="5">
        <v>22004586</v>
      </c>
      <c r="H452" s="5">
        <v>22013189</v>
      </c>
    </row>
    <row r="453" spans="1:8" x14ac:dyDescent="0.25">
      <c r="A453" t="s">
        <v>267</v>
      </c>
      <c r="B453">
        <v>2018</v>
      </c>
      <c r="C453" t="s">
        <v>35</v>
      </c>
      <c r="D453" t="s">
        <v>35</v>
      </c>
      <c r="E453" t="s">
        <v>358</v>
      </c>
      <c r="F453" t="s">
        <v>141</v>
      </c>
      <c r="G453" s="5">
        <v>18173531</v>
      </c>
      <c r="H453" s="5">
        <v>18175774</v>
      </c>
    </row>
    <row r="454" spans="1:8" x14ac:dyDescent="0.25">
      <c r="A454" t="s">
        <v>267</v>
      </c>
      <c r="B454">
        <v>2018</v>
      </c>
      <c r="C454" t="s">
        <v>35</v>
      </c>
      <c r="D454" t="s">
        <v>35</v>
      </c>
      <c r="E454" t="s">
        <v>365</v>
      </c>
      <c r="F454" t="s">
        <v>148</v>
      </c>
      <c r="G454" s="5">
        <v>12327356</v>
      </c>
      <c r="H454" s="5">
        <v>12327356</v>
      </c>
    </row>
    <row r="455" spans="1:8" x14ac:dyDescent="0.25">
      <c r="A455" t="s">
        <v>267</v>
      </c>
      <c r="B455">
        <v>2018</v>
      </c>
      <c r="C455" t="s">
        <v>35</v>
      </c>
      <c r="D455" t="s">
        <v>35</v>
      </c>
      <c r="E455" t="s">
        <v>364</v>
      </c>
      <c r="F455" t="s">
        <v>147</v>
      </c>
      <c r="G455" s="5">
        <v>10891835</v>
      </c>
      <c r="H455" s="5">
        <v>76631128</v>
      </c>
    </row>
    <row r="456" spans="1:8" x14ac:dyDescent="0.25">
      <c r="A456" t="s">
        <v>267</v>
      </c>
      <c r="B456">
        <v>2018</v>
      </c>
      <c r="C456" t="s">
        <v>35</v>
      </c>
      <c r="D456" t="s">
        <v>35</v>
      </c>
      <c r="E456" t="s">
        <v>366</v>
      </c>
      <c r="F456" t="s">
        <v>149</v>
      </c>
      <c r="G456" s="5">
        <v>9865164</v>
      </c>
      <c r="H456" s="5">
        <v>9865164</v>
      </c>
    </row>
    <row r="457" spans="1:8" x14ac:dyDescent="0.25">
      <c r="A457" t="s">
        <v>267</v>
      </c>
      <c r="B457">
        <v>2018</v>
      </c>
      <c r="C457" t="s">
        <v>35</v>
      </c>
      <c r="D457" t="s">
        <v>35</v>
      </c>
      <c r="E457" t="s">
        <v>367</v>
      </c>
      <c r="F457" t="s">
        <v>150</v>
      </c>
      <c r="G457" s="5">
        <v>9433549</v>
      </c>
      <c r="H457" s="5">
        <v>9433549</v>
      </c>
    </row>
    <row r="458" spans="1:8" x14ac:dyDescent="0.25">
      <c r="A458" t="s">
        <v>267</v>
      </c>
      <c r="B458">
        <v>2018</v>
      </c>
      <c r="C458" t="s">
        <v>35</v>
      </c>
      <c r="D458" t="s">
        <v>35</v>
      </c>
      <c r="E458" t="s">
        <v>368</v>
      </c>
      <c r="F458" t="s">
        <v>151</v>
      </c>
      <c r="G458" s="5">
        <v>6928545</v>
      </c>
      <c r="H458" s="5">
        <v>6930632</v>
      </c>
    </row>
    <row r="459" spans="1:8" x14ac:dyDescent="0.25">
      <c r="A459" t="s">
        <v>267</v>
      </c>
      <c r="B459">
        <v>2018</v>
      </c>
      <c r="C459" t="s">
        <v>35</v>
      </c>
      <c r="D459" t="s">
        <v>35</v>
      </c>
      <c r="E459" t="s">
        <v>370</v>
      </c>
      <c r="F459" t="s">
        <v>153</v>
      </c>
      <c r="G459" s="5">
        <v>5828382</v>
      </c>
      <c r="H459" s="5">
        <v>25275108</v>
      </c>
    </row>
    <row r="460" spans="1:8" x14ac:dyDescent="0.25">
      <c r="A460" t="s">
        <v>267</v>
      </c>
      <c r="B460">
        <v>2018</v>
      </c>
      <c r="C460" t="s">
        <v>35</v>
      </c>
      <c r="D460" t="s">
        <v>35</v>
      </c>
      <c r="E460" t="s">
        <v>371</v>
      </c>
      <c r="F460" t="s">
        <v>154</v>
      </c>
      <c r="G460" s="5">
        <v>5761641</v>
      </c>
      <c r="H460" s="5">
        <v>5761641</v>
      </c>
    </row>
    <row r="461" spans="1:8" x14ac:dyDescent="0.25">
      <c r="A461" t="s">
        <v>267</v>
      </c>
      <c r="B461">
        <v>2018</v>
      </c>
      <c r="C461" t="s">
        <v>35</v>
      </c>
      <c r="D461" t="s">
        <v>35</v>
      </c>
      <c r="E461" t="s">
        <v>372</v>
      </c>
      <c r="F461" t="s">
        <v>155</v>
      </c>
      <c r="G461" s="5">
        <v>3334908</v>
      </c>
      <c r="H461" s="5">
        <v>3334908</v>
      </c>
    </row>
    <row r="462" spans="1:8" x14ac:dyDescent="0.25">
      <c r="A462" t="s">
        <v>267</v>
      </c>
      <c r="B462">
        <v>2018</v>
      </c>
      <c r="C462" t="s">
        <v>35</v>
      </c>
      <c r="D462" t="s">
        <v>35</v>
      </c>
      <c r="E462" t="s">
        <v>373</v>
      </c>
      <c r="F462" t="s">
        <v>156</v>
      </c>
      <c r="G462" s="5">
        <v>3180708</v>
      </c>
      <c r="H462" s="5">
        <v>3180708</v>
      </c>
    </row>
    <row r="463" spans="1:8" x14ac:dyDescent="0.25">
      <c r="A463" t="s">
        <v>267</v>
      </c>
      <c r="B463">
        <v>2018</v>
      </c>
      <c r="C463" t="s">
        <v>35</v>
      </c>
      <c r="D463" t="s">
        <v>35</v>
      </c>
      <c r="E463" t="s">
        <v>382</v>
      </c>
      <c r="F463" t="s">
        <v>166</v>
      </c>
      <c r="G463" s="5">
        <v>1271507</v>
      </c>
      <c r="H463" s="5">
        <v>29032222</v>
      </c>
    </row>
    <row r="464" spans="1:8" x14ac:dyDescent="0.25">
      <c r="A464" t="s">
        <v>267</v>
      </c>
      <c r="B464">
        <v>2018</v>
      </c>
      <c r="C464" t="s">
        <v>35</v>
      </c>
      <c r="D464" t="s">
        <v>35</v>
      </c>
      <c r="E464" t="s">
        <v>379</v>
      </c>
      <c r="F464" t="s">
        <v>163</v>
      </c>
      <c r="G464" s="5">
        <v>1227170</v>
      </c>
      <c r="H464" s="5">
        <v>1227170</v>
      </c>
    </row>
    <row r="465" spans="1:8" x14ac:dyDescent="0.25">
      <c r="A465" t="s">
        <v>267</v>
      </c>
      <c r="B465">
        <v>2018</v>
      </c>
      <c r="C465" t="s">
        <v>35</v>
      </c>
      <c r="D465" t="s">
        <v>35</v>
      </c>
      <c r="E465" t="s">
        <v>378</v>
      </c>
      <c r="F465" t="s">
        <v>162</v>
      </c>
      <c r="G465" s="5">
        <v>1187884</v>
      </c>
      <c r="H465" s="5">
        <v>1187884</v>
      </c>
    </row>
    <row r="466" spans="1:8" x14ac:dyDescent="0.25">
      <c r="A466" t="s">
        <v>267</v>
      </c>
      <c r="B466">
        <v>2018</v>
      </c>
      <c r="C466" t="s">
        <v>35</v>
      </c>
      <c r="D466" t="s">
        <v>35</v>
      </c>
      <c r="E466" t="s">
        <v>376</v>
      </c>
      <c r="F466" t="s">
        <v>159</v>
      </c>
      <c r="G466" s="5">
        <v>1167100</v>
      </c>
      <c r="H466" s="5">
        <v>1185060</v>
      </c>
    </row>
    <row r="467" spans="1:8" x14ac:dyDescent="0.25">
      <c r="A467" t="s">
        <v>267</v>
      </c>
      <c r="B467">
        <v>2018</v>
      </c>
      <c r="C467" t="s">
        <v>35</v>
      </c>
      <c r="D467" t="s">
        <v>35</v>
      </c>
      <c r="E467" t="s">
        <v>442</v>
      </c>
      <c r="F467" t="s">
        <v>229</v>
      </c>
      <c r="G467" s="5">
        <v>1115493</v>
      </c>
      <c r="H467" s="5">
        <v>1115493</v>
      </c>
    </row>
    <row r="468" spans="1:8" x14ac:dyDescent="0.25">
      <c r="A468" t="s">
        <v>267</v>
      </c>
      <c r="B468">
        <v>2018</v>
      </c>
      <c r="C468" t="s">
        <v>35</v>
      </c>
      <c r="D468" t="s">
        <v>35</v>
      </c>
      <c r="E468" t="s">
        <v>377</v>
      </c>
      <c r="F468" t="s">
        <v>160</v>
      </c>
      <c r="G468" s="5">
        <v>795994</v>
      </c>
      <c r="H468" s="5">
        <v>795994</v>
      </c>
    </row>
    <row r="469" spans="1:8" x14ac:dyDescent="0.25">
      <c r="A469" t="s">
        <v>267</v>
      </c>
      <c r="B469">
        <v>2018</v>
      </c>
      <c r="C469" t="s">
        <v>35</v>
      </c>
      <c r="D469" t="s">
        <v>35</v>
      </c>
      <c r="E469" t="s">
        <v>369</v>
      </c>
      <c r="F469" t="s">
        <v>152</v>
      </c>
      <c r="G469" s="5">
        <v>608421</v>
      </c>
      <c r="H469" s="5">
        <v>608421</v>
      </c>
    </row>
    <row r="470" spans="1:8" x14ac:dyDescent="0.25">
      <c r="A470" t="s">
        <v>267</v>
      </c>
      <c r="B470">
        <v>2018</v>
      </c>
      <c r="C470" t="s">
        <v>35</v>
      </c>
      <c r="D470" t="s">
        <v>35</v>
      </c>
      <c r="E470" t="s">
        <v>375</v>
      </c>
      <c r="F470" t="s">
        <v>158</v>
      </c>
      <c r="G470" s="5">
        <v>551136</v>
      </c>
      <c r="H470" s="5">
        <v>551136</v>
      </c>
    </row>
    <row r="471" spans="1:8" x14ac:dyDescent="0.25">
      <c r="A471" t="s">
        <v>267</v>
      </c>
      <c r="B471">
        <v>2018</v>
      </c>
      <c r="C471" t="s">
        <v>35</v>
      </c>
      <c r="D471" t="s">
        <v>35</v>
      </c>
      <c r="F471" t="s">
        <v>161</v>
      </c>
      <c r="G471" s="5">
        <v>426860</v>
      </c>
      <c r="H471" s="5">
        <v>426860</v>
      </c>
    </row>
    <row r="472" spans="1:8" x14ac:dyDescent="0.25">
      <c r="A472" t="s">
        <v>267</v>
      </c>
      <c r="B472">
        <v>2018</v>
      </c>
      <c r="C472" t="s">
        <v>35</v>
      </c>
      <c r="D472" t="s">
        <v>35</v>
      </c>
      <c r="E472" t="s">
        <v>380</v>
      </c>
      <c r="F472" t="s">
        <v>164</v>
      </c>
      <c r="G472" s="5">
        <v>372419</v>
      </c>
      <c r="H472" s="5">
        <v>372419</v>
      </c>
    </row>
    <row r="473" spans="1:8" x14ac:dyDescent="0.25">
      <c r="A473" t="s">
        <v>267</v>
      </c>
      <c r="B473">
        <v>2018</v>
      </c>
      <c r="C473" t="s">
        <v>35</v>
      </c>
      <c r="D473" t="s">
        <v>35</v>
      </c>
      <c r="E473" t="s">
        <v>384</v>
      </c>
      <c r="F473" t="s">
        <v>168</v>
      </c>
      <c r="G473" s="5">
        <v>348273</v>
      </c>
      <c r="H473" s="5">
        <v>348273</v>
      </c>
    </row>
    <row r="474" spans="1:8" x14ac:dyDescent="0.25">
      <c r="A474" t="s">
        <v>267</v>
      </c>
      <c r="B474">
        <v>2018</v>
      </c>
      <c r="C474" t="s">
        <v>35</v>
      </c>
      <c r="D474" t="s">
        <v>35</v>
      </c>
      <c r="E474" t="s">
        <v>383</v>
      </c>
      <c r="F474" t="s">
        <v>167</v>
      </c>
      <c r="G474" s="5">
        <v>244382</v>
      </c>
      <c r="H474" s="5">
        <v>444233</v>
      </c>
    </row>
    <row r="475" spans="1:8" x14ac:dyDescent="0.25">
      <c r="A475" t="s">
        <v>267</v>
      </c>
      <c r="B475">
        <v>2018</v>
      </c>
      <c r="C475" t="s">
        <v>35</v>
      </c>
      <c r="D475" t="s">
        <v>35</v>
      </c>
      <c r="E475" t="s">
        <v>385</v>
      </c>
      <c r="F475" t="s">
        <v>169</v>
      </c>
      <c r="G475" s="5">
        <v>232378</v>
      </c>
      <c r="H475" s="5">
        <v>232378</v>
      </c>
    </row>
    <row r="476" spans="1:8" x14ac:dyDescent="0.25">
      <c r="A476" t="s">
        <v>267</v>
      </c>
      <c r="B476">
        <v>2018</v>
      </c>
      <c r="C476" t="s">
        <v>35</v>
      </c>
      <c r="D476" t="s">
        <v>35</v>
      </c>
      <c r="E476" t="s">
        <v>374</v>
      </c>
      <c r="F476" t="s">
        <v>157</v>
      </c>
      <c r="G476" s="5">
        <v>214682</v>
      </c>
      <c r="H476" s="5">
        <v>214682</v>
      </c>
    </row>
    <row r="477" spans="1:8" x14ac:dyDescent="0.25">
      <c r="A477" t="s">
        <v>267</v>
      </c>
      <c r="B477">
        <v>2018</v>
      </c>
      <c r="C477" t="s">
        <v>35</v>
      </c>
      <c r="D477" t="s">
        <v>35</v>
      </c>
      <c r="E477" t="s">
        <v>387</v>
      </c>
      <c r="F477" t="s">
        <v>171</v>
      </c>
      <c r="G477" s="5">
        <v>99183</v>
      </c>
      <c r="H477" s="5">
        <v>99183</v>
      </c>
    </row>
    <row r="478" spans="1:8" x14ac:dyDescent="0.25">
      <c r="A478" t="s">
        <v>267</v>
      </c>
      <c r="B478">
        <v>2018</v>
      </c>
      <c r="C478" t="s">
        <v>35</v>
      </c>
      <c r="D478" t="s">
        <v>35</v>
      </c>
      <c r="E478" t="s">
        <v>381</v>
      </c>
      <c r="F478" t="s">
        <v>165</v>
      </c>
      <c r="G478" s="5">
        <v>55347</v>
      </c>
      <c r="H478" s="5">
        <v>55347</v>
      </c>
    </row>
    <row r="479" spans="1:8" x14ac:dyDescent="0.25">
      <c r="A479" t="s">
        <v>267</v>
      </c>
      <c r="B479">
        <v>2018</v>
      </c>
      <c r="C479" t="s">
        <v>172</v>
      </c>
      <c r="D479" t="s">
        <v>34</v>
      </c>
      <c r="E479" t="s">
        <v>388</v>
      </c>
      <c r="F479" t="s">
        <v>173</v>
      </c>
      <c r="G479" s="5">
        <v>3825764147</v>
      </c>
      <c r="H479" s="5">
        <v>4010769690</v>
      </c>
    </row>
    <row r="480" spans="1:8" x14ac:dyDescent="0.25">
      <c r="A480" t="s">
        <v>267</v>
      </c>
      <c r="B480">
        <v>2018</v>
      </c>
      <c r="C480" t="s">
        <v>172</v>
      </c>
      <c r="D480" t="s">
        <v>34</v>
      </c>
      <c r="E480" t="s">
        <v>389</v>
      </c>
      <c r="F480" t="s">
        <v>174</v>
      </c>
      <c r="G480" s="5">
        <v>799204761</v>
      </c>
      <c r="H480" s="5">
        <v>802291499</v>
      </c>
    </row>
    <row r="481" spans="1:8" x14ac:dyDescent="0.25">
      <c r="A481" t="s">
        <v>267</v>
      </c>
      <c r="B481">
        <v>2018</v>
      </c>
      <c r="C481" t="s">
        <v>172</v>
      </c>
      <c r="D481" t="s">
        <v>34</v>
      </c>
      <c r="E481" t="s">
        <v>390</v>
      </c>
      <c r="F481" t="s">
        <v>175</v>
      </c>
      <c r="G481" s="5">
        <v>667433046</v>
      </c>
      <c r="H481" s="5">
        <v>1138750476</v>
      </c>
    </row>
    <row r="482" spans="1:8" x14ac:dyDescent="0.25">
      <c r="A482" t="s">
        <v>267</v>
      </c>
      <c r="B482">
        <v>2018</v>
      </c>
      <c r="C482" t="s">
        <v>172</v>
      </c>
      <c r="D482" t="s">
        <v>34</v>
      </c>
      <c r="E482" t="s">
        <v>391</v>
      </c>
      <c r="F482" t="s">
        <v>176</v>
      </c>
      <c r="G482" s="5">
        <v>574529535</v>
      </c>
      <c r="H482" s="5">
        <v>689001817</v>
      </c>
    </row>
    <row r="483" spans="1:8" x14ac:dyDescent="0.25">
      <c r="A483" t="s">
        <v>267</v>
      </c>
      <c r="B483">
        <v>2018</v>
      </c>
      <c r="C483" t="s">
        <v>172</v>
      </c>
      <c r="D483" t="s">
        <v>34</v>
      </c>
      <c r="E483" t="s">
        <v>392</v>
      </c>
      <c r="F483" t="s">
        <v>178</v>
      </c>
      <c r="G483" s="5">
        <v>407380711</v>
      </c>
      <c r="H483" s="5">
        <v>421643051</v>
      </c>
    </row>
    <row r="484" spans="1:8" x14ac:dyDescent="0.25">
      <c r="A484" t="s">
        <v>267</v>
      </c>
      <c r="B484">
        <v>2018</v>
      </c>
      <c r="C484" t="s">
        <v>172</v>
      </c>
      <c r="D484" t="s">
        <v>34</v>
      </c>
      <c r="E484" t="s">
        <v>393</v>
      </c>
      <c r="F484" t="s">
        <v>179</v>
      </c>
      <c r="G484" s="5">
        <v>285921738</v>
      </c>
      <c r="H484" s="5">
        <v>286598633</v>
      </c>
    </row>
    <row r="485" spans="1:8" x14ac:dyDescent="0.25">
      <c r="A485" t="s">
        <v>267</v>
      </c>
      <c r="B485">
        <v>2018</v>
      </c>
      <c r="C485" t="s">
        <v>172</v>
      </c>
      <c r="D485" t="s">
        <v>34</v>
      </c>
      <c r="E485" t="s">
        <v>394</v>
      </c>
      <c r="F485" t="s">
        <v>180</v>
      </c>
      <c r="G485" s="5">
        <v>222532899</v>
      </c>
      <c r="H485" s="5">
        <v>224107742</v>
      </c>
    </row>
    <row r="486" spans="1:8" x14ac:dyDescent="0.25">
      <c r="A486" t="s">
        <v>267</v>
      </c>
      <c r="B486">
        <v>2018</v>
      </c>
      <c r="C486" t="s">
        <v>172</v>
      </c>
      <c r="D486" t="s">
        <v>34</v>
      </c>
      <c r="E486" t="s">
        <v>395</v>
      </c>
      <c r="F486" t="s">
        <v>181</v>
      </c>
      <c r="G486" s="5">
        <v>190838454</v>
      </c>
      <c r="H486" s="5">
        <v>214258692</v>
      </c>
    </row>
    <row r="487" spans="1:8" x14ac:dyDescent="0.25">
      <c r="A487" t="s">
        <v>267</v>
      </c>
      <c r="B487">
        <v>2018</v>
      </c>
      <c r="C487" t="s">
        <v>172</v>
      </c>
      <c r="D487" t="s">
        <v>34</v>
      </c>
      <c r="E487" t="s">
        <v>397</v>
      </c>
      <c r="F487" t="s">
        <v>184</v>
      </c>
      <c r="G487" s="5">
        <v>152815298</v>
      </c>
      <c r="H487" s="5">
        <v>155352213</v>
      </c>
    </row>
    <row r="488" spans="1:8" x14ac:dyDescent="0.25">
      <c r="A488" t="s">
        <v>267</v>
      </c>
      <c r="B488">
        <v>2018</v>
      </c>
      <c r="C488" t="s">
        <v>172</v>
      </c>
      <c r="D488" t="s">
        <v>34</v>
      </c>
      <c r="E488" t="s">
        <v>396</v>
      </c>
      <c r="F488" t="s">
        <v>183</v>
      </c>
      <c r="G488" s="5">
        <v>144561703</v>
      </c>
      <c r="H488" s="5">
        <v>145593039</v>
      </c>
    </row>
    <row r="489" spans="1:8" x14ac:dyDescent="0.25">
      <c r="A489" t="s">
        <v>267</v>
      </c>
      <c r="B489">
        <v>2018</v>
      </c>
      <c r="C489" t="s">
        <v>172</v>
      </c>
      <c r="D489" t="s">
        <v>34</v>
      </c>
      <c r="E489" t="s">
        <v>400</v>
      </c>
      <c r="F489" t="s">
        <v>189</v>
      </c>
      <c r="G489" s="5">
        <v>91016204</v>
      </c>
      <c r="H489" s="5">
        <v>91162788</v>
      </c>
    </row>
    <row r="490" spans="1:8" x14ac:dyDescent="0.25">
      <c r="A490" t="s">
        <v>267</v>
      </c>
      <c r="B490">
        <v>2018</v>
      </c>
      <c r="C490" t="s">
        <v>172</v>
      </c>
      <c r="D490" t="s">
        <v>34</v>
      </c>
      <c r="E490" t="s">
        <v>398</v>
      </c>
      <c r="F490" t="s">
        <v>186</v>
      </c>
      <c r="G490" s="5">
        <v>89971517</v>
      </c>
      <c r="H490" s="5">
        <v>90263533</v>
      </c>
    </row>
    <row r="491" spans="1:8" x14ac:dyDescent="0.25">
      <c r="A491" t="s">
        <v>267</v>
      </c>
      <c r="B491">
        <v>2018</v>
      </c>
      <c r="C491" t="s">
        <v>172</v>
      </c>
      <c r="D491" t="s">
        <v>34</v>
      </c>
      <c r="E491" t="s">
        <v>399</v>
      </c>
      <c r="F491" t="s">
        <v>187</v>
      </c>
      <c r="G491" s="5">
        <v>78152620</v>
      </c>
      <c r="H491" s="5">
        <v>78159057</v>
      </c>
    </row>
    <row r="492" spans="1:8" x14ac:dyDescent="0.25">
      <c r="A492" t="s">
        <v>267</v>
      </c>
      <c r="B492">
        <v>2018</v>
      </c>
      <c r="C492" t="s">
        <v>172</v>
      </c>
      <c r="D492" t="s">
        <v>34</v>
      </c>
      <c r="E492" t="s">
        <v>401</v>
      </c>
      <c r="F492" t="s">
        <v>190</v>
      </c>
      <c r="G492" s="5">
        <v>69073373</v>
      </c>
      <c r="H492" s="5">
        <v>76598581</v>
      </c>
    </row>
    <row r="493" spans="1:8" x14ac:dyDescent="0.25">
      <c r="A493" t="s">
        <v>267</v>
      </c>
      <c r="B493">
        <v>2018</v>
      </c>
      <c r="C493" t="s">
        <v>172</v>
      </c>
      <c r="D493" t="s">
        <v>34</v>
      </c>
      <c r="E493" t="s">
        <v>402</v>
      </c>
      <c r="F493" t="s">
        <v>191</v>
      </c>
      <c r="G493" s="5">
        <v>51817808</v>
      </c>
      <c r="H493" s="5">
        <v>52525471</v>
      </c>
    </row>
    <row r="494" spans="1:8" x14ac:dyDescent="0.25">
      <c r="A494" t="s">
        <v>267</v>
      </c>
      <c r="B494">
        <v>2018</v>
      </c>
      <c r="C494" t="s">
        <v>172</v>
      </c>
      <c r="D494" t="s">
        <v>34</v>
      </c>
      <c r="E494" t="s">
        <v>404</v>
      </c>
      <c r="F494" t="s">
        <v>193</v>
      </c>
      <c r="G494" s="5">
        <v>43760386</v>
      </c>
      <c r="H494" s="5">
        <v>43781762</v>
      </c>
    </row>
    <row r="495" spans="1:8" x14ac:dyDescent="0.25">
      <c r="A495" t="s">
        <v>267</v>
      </c>
      <c r="B495">
        <v>2018</v>
      </c>
      <c r="C495" t="s">
        <v>172</v>
      </c>
      <c r="D495" t="s">
        <v>34</v>
      </c>
      <c r="E495" t="s">
        <v>403</v>
      </c>
      <c r="F495" t="s">
        <v>192</v>
      </c>
      <c r="G495" s="5">
        <v>42269821</v>
      </c>
      <c r="H495" s="5">
        <v>49082736</v>
      </c>
    </row>
    <row r="496" spans="1:8" x14ac:dyDescent="0.25">
      <c r="A496" t="s">
        <v>267</v>
      </c>
      <c r="B496">
        <v>2018</v>
      </c>
      <c r="C496" t="s">
        <v>172</v>
      </c>
      <c r="D496" t="s">
        <v>34</v>
      </c>
      <c r="E496" t="s">
        <v>405</v>
      </c>
      <c r="F496" t="s">
        <v>194</v>
      </c>
      <c r="G496" s="5">
        <v>28855967</v>
      </c>
      <c r="H496" s="5">
        <v>28982596</v>
      </c>
    </row>
    <row r="497" spans="1:8" x14ac:dyDescent="0.25">
      <c r="A497" t="s">
        <v>267</v>
      </c>
      <c r="B497">
        <v>2018</v>
      </c>
      <c r="C497" t="s">
        <v>172</v>
      </c>
      <c r="D497" t="s">
        <v>34</v>
      </c>
      <c r="E497" t="s">
        <v>406</v>
      </c>
      <c r="F497" t="s">
        <v>195</v>
      </c>
      <c r="G497" s="5">
        <v>25761577</v>
      </c>
      <c r="H497" s="5">
        <v>25784266</v>
      </c>
    </row>
    <row r="498" spans="1:8" x14ac:dyDescent="0.25">
      <c r="A498" t="s">
        <v>267</v>
      </c>
      <c r="B498">
        <v>2018</v>
      </c>
      <c r="C498" t="s">
        <v>172</v>
      </c>
      <c r="D498" t="s">
        <v>34</v>
      </c>
      <c r="E498" t="s">
        <v>407</v>
      </c>
      <c r="F498" t="s">
        <v>197</v>
      </c>
      <c r="G498" s="5">
        <v>18295295</v>
      </c>
      <c r="H498" s="5">
        <v>18874160</v>
      </c>
    </row>
    <row r="499" spans="1:8" x14ac:dyDescent="0.25">
      <c r="A499" t="s">
        <v>267</v>
      </c>
      <c r="B499">
        <v>2018</v>
      </c>
      <c r="C499" t="s">
        <v>172</v>
      </c>
      <c r="D499" t="s">
        <v>34</v>
      </c>
      <c r="E499" t="s">
        <v>408</v>
      </c>
      <c r="F499" t="s">
        <v>198</v>
      </c>
      <c r="G499" s="5">
        <v>14266675</v>
      </c>
      <c r="H499" s="5">
        <v>14285074</v>
      </c>
    </row>
    <row r="500" spans="1:8" x14ac:dyDescent="0.25">
      <c r="A500" t="s">
        <v>267</v>
      </c>
      <c r="B500">
        <v>2018</v>
      </c>
      <c r="C500" t="s">
        <v>172</v>
      </c>
      <c r="D500" t="s">
        <v>34</v>
      </c>
      <c r="E500" t="s">
        <v>411</v>
      </c>
      <c r="F500" t="s">
        <v>203</v>
      </c>
      <c r="G500" s="5">
        <v>13101804</v>
      </c>
      <c r="H500" s="5">
        <v>13142439</v>
      </c>
    </row>
    <row r="501" spans="1:8" x14ac:dyDescent="0.25">
      <c r="A501" t="s">
        <v>267</v>
      </c>
      <c r="B501">
        <v>2018</v>
      </c>
      <c r="C501" t="s">
        <v>172</v>
      </c>
      <c r="D501" t="s">
        <v>34</v>
      </c>
      <c r="E501" t="s">
        <v>410</v>
      </c>
      <c r="F501" t="s">
        <v>201</v>
      </c>
      <c r="G501" s="5">
        <v>12989410</v>
      </c>
      <c r="H501" s="5">
        <v>13008356</v>
      </c>
    </row>
    <row r="502" spans="1:8" x14ac:dyDescent="0.25">
      <c r="A502" t="s">
        <v>267</v>
      </c>
      <c r="B502">
        <v>2018</v>
      </c>
      <c r="C502" t="s">
        <v>172</v>
      </c>
      <c r="D502" t="s">
        <v>34</v>
      </c>
      <c r="E502" t="s">
        <v>409</v>
      </c>
      <c r="F502" t="s">
        <v>199</v>
      </c>
      <c r="G502" s="5">
        <v>12939707</v>
      </c>
      <c r="H502" s="5">
        <v>19054300</v>
      </c>
    </row>
    <row r="503" spans="1:8" x14ac:dyDescent="0.25">
      <c r="A503" t="s">
        <v>267</v>
      </c>
      <c r="B503">
        <v>2018</v>
      </c>
      <c r="C503" t="s">
        <v>172</v>
      </c>
      <c r="D503" t="s">
        <v>34</v>
      </c>
      <c r="E503" t="s">
        <v>412</v>
      </c>
      <c r="F503" t="s">
        <v>204</v>
      </c>
      <c r="G503" s="5">
        <v>8572383</v>
      </c>
      <c r="H503" s="5">
        <v>9411844</v>
      </c>
    </row>
    <row r="504" spans="1:8" x14ac:dyDescent="0.25">
      <c r="A504" t="s">
        <v>267</v>
      </c>
      <c r="B504">
        <v>2018</v>
      </c>
      <c r="C504" t="s">
        <v>172</v>
      </c>
      <c r="D504" t="s">
        <v>34</v>
      </c>
      <c r="E504" t="s">
        <v>413</v>
      </c>
      <c r="F504" t="s">
        <v>207</v>
      </c>
      <c r="G504" s="5">
        <v>6478222</v>
      </c>
      <c r="H504" s="5">
        <v>6558985</v>
      </c>
    </row>
    <row r="505" spans="1:8" x14ac:dyDescent="0.25">
      <c r="A505" t="s">
        <v>267</v>
      </c>
      <c r="B505">
        <v>2018</v>
      </c>
      <c r="C505" t="s">
        <v>172</v>
      </c>
      <c r="D505" t="s">
        <v>34</v>
      </c>
      <c r="E505" t="s">
        <v>414</v>
      </c>
      <c r="F505" t="s">
        <v>209</v>
      </c>
      <c r="G505" s="5">
        <v>1838823</v>
      </c>
      <c r="H505" s="5">
        <v>1850616</v>
      </c>
    </row>
    <row r="506" spans="1:8" x14ac:dyDescent="0.25">
      <c r="A506" t="s">
        <v>267</v>
      </c>
      <c r="B506">
        <v>2018</v>
      </c>
      <c r="C506" t="s">
        <v>172</v>
      </c>
      <c r="D506" t="s">
        <v>37</v>
      </c>
      <c r="E506" t="s">
        <v>415</v>
      </c>
      <c r="F506" t="s">
        <v>177</v>
      </c>
      <c r="G506" s="5">
        <v>536943804</v>
      </c>
      <c r="H506" s="5">
        <v>1090860300</v>
      </c>
    </row>
    <row r="507" spans="1:8" x14ac:dyDescent="0.25">
      <c r="A507" t="s">
        <v>267</v>
      </c>
      <c r="B507">
        <v>2018</v>
      </c>
      <c r="C507" t="s">
        <v>172</v>
      </c>
      <c r="D507" t="s">
        <v>37</v>
      </c>
      <c r="E507" t="s">
        <v>417</v>
      </c>
      <c r="F507" t="s">
        <v>185</v>
      </c>
      <c r="G507" s="5">
        <v>179104429</v>
      </c>
      <c r="H507" s="5">
        <v>185299884</v>
      </c>
    </row>
    <row r="508" spans="1:8" x14ac:dyDescent="0.25">
      <c r="A508" t="s">
        <v>267</v>
      </c>
      <c r="B508">
        <v>2018</v>
      </c>
      <c r="C508" t="s">
        <v>172</v>
      </c>
      <c r="D508" t="s">
        <v>37</v>
      </c>
      <c r="E508" t="s">
        <v>416</v>
      </c>
      <c r="F508" t="s">
        <v>182</v>
      </c>
      <c r="G508" s="5">
        <v>145982169</v>
      </c>
      <c r="H508" s="5">
        <v>197814450</v>
      </c>
    </row>
    <row r="509" spans="1:8" x14ac:dyDescent="0.25">
      <c r="A509" t="s">
        <v>267</v>
      </c>
      <c r="B509">
        <v>2018</v>
      </c>
      <c r="C509" t="s">
        <v>172</v>
      </c>
      <c r="D509" t="s">
        <v>37</v>
      </c>
      <c r="E509" t="s">
        <v>418</v>
      </c>
      <c r="F509" t="s">
        <v>188</v>
      </c>
      <c r="G509" s="5">
        <v>80390382</v>
      </c>
      <c r="H509" s="5">
        <v>84186590</v>
      </c>
    </row>
    <row r="510" spans="1:8" x14ac:dyDescent="0.25">
      <c r="A510" t="s">
        <v>267</v>
      </c>
      <c r="B510">
        <v>2018</v>
      </c>
      <c r="C510" t="s">
        <v>172</v>
      </c>
      <c r="D510" t="s">
        <v>37</v>
      </c>
      <c r="E510" t="s">
        <v>419</v>
      </c>
      <c r="F510" t="s">
        <v>196</v>
      </c>
      <c r="G510" s="5">
        <v>27423396</v>
      </c>
      <c r="H510" s="5">
        <v>29392813</v>
      </c>
    </row>
    <row r="511" spans="1:8" x14ac:dyDescent="0.25">
      <c r="A511" t="s">
        <v>267</v>
      </c>
      <c r="B511">
        <v>2018</v>
      </c>
      <c r="C511" t="s">
        <v>172</v>
      </c>
      <c r="D511" t="s">
        <v>37</v>
      </c>
      <c r="E511" t="s">
        <v>420</v>
      </c>
      <c r="F511" t="s">
        <v>200</v>
      </c>
      <c r="G511" s="5">
        <v>21033488</v>
      </c>
      <c r="H511" s="5">
        <v>21033488</v>
      </c>
    </row>
    <row r="512" spans="1:8" x14ac:dyDescent="0.25">
      <c r="A512" t="s">
        <v>267</v>
      </c>
      <c r="B512">
        <v>2018</v>
      </c>
      <c r="C512" t="s">
        <v>172</v>
      </c>
      <c r="D512" t="s">
        <v>37</v>
      </c>
      <c r="E512" t="s">
        <v>421</v>
      </c>
      <c r="F512" t="s">
        <v>202</v>
      </c>
      <c r="G512" s="5">
        <v>8386472</v>
      </c>
      <c r="H512" s="5">
        <v>8388163</v>
      </c>
    </row>
    <row r="513" spans="1:8" x14ac:dyDescent="0.25">
      <c r="A513" t="s">
        <v>267</v>
      </c>
      <c r="B513">
        <v>2018</v>
      </c>
      <c r="C513" t="s">
        <v>172</v>
      </c>
      <c r="D513" t="s">
        <v>37</v>
      </c>
      <c r="E513" t="s">
        <v>423</v>
      </c>
      <c r="F513" t="s">
        <v>206</v>
      </c>
      <c r="G513" s="5">
        <v>6581994</v>
      </c>
      <c r="H513" s="5">
        <v>6581994</v>
      </c>
    </row>
    <row r="514" spans="1:8" x14ac:dyDescent="0.25">
      <c r="A514" t="s">
        <v>267</v>
      </c>
      <c r="B514">
        <v>2018</v>
      </c>
      <c r="C514" t="s">
        <v>172</v>
      </c>
      <c r="D514" t="s">
        <v>37</v>
      </c>
      <c r="E514" t="s">
        <v>424</v>
      </c>
      <c r="F514" t="s">
        <v>208</v>
      </c>
      <c r="G514" s="5">
        <v>3928347</v>
      </c>
      <c r="H514" s="5">
        <v>3928347</v>
      </c>
    </row>
    <row r="515" spans="1:8" x14ac:dyDescent="0.25">
      <c r="A515" t="s">
        <v>267</v>
      </c>
      <c r="B515">
        <v>2018</v>
      </c>
      <c r="C515" t="s">
        <v>172</v>
      </c>
      <c r="D515" t="s">
        <v>37</v>
      </c>
      <c r="E515" t="s">
        <v>422</v>
      </c>
      <c r="F515" t="s">
        <v>205</v>
      </c>
      <c r="G515" s="5">
        <v>3402111</v>
      </c>
      <c r="H515" s="5">
        <v>3412678</v>
      </c>
    </row>
    <row r="516" spans="1:8" x14ac:dyDescent="0.25">
      <c r="A516" t="s">
        <v>267</v>
      </c>
      <c r="B516">
        <v>2018</v>
      </c>
      <c r="C516" t="s">
        <v>172</v>
      </c>
      <c r="D516" t="s">
        <v>37</v>
      </c>
      <c r="E516" t="s">
        <v>425</v>
      </c>
      <c r="F516" t="s">
        <v>210</v>
      </c>
      <c r="G516" s="5">
        <v>2564803</v>
      </c>
      <c r="H516" s="5">
        <v>2566401</v>
      </c>
    </row>
    <row r="517" spans="1:8" x14ac:dyDescent="0.25">
      <c r="A517" t="s">
        <v>267</v>
      </c>
      <c r="B517">
        <v>2018</v>
      </c>
      <c r="C517" t="s">
        <v>172</v>
      </c>
      <c r="D517" t="s">
        <v>37</v>
      </c>
      <c r="E517" t="s">
        <v>427</v>
      </c>
      <c r="F517" t="s">
        <v>212</v>
      </c>
      <c r="G517" s="5">
        <v>1852979</v>
      </c>
      <c r="H517" s="5">
        <v>1852979</v>
      </c>
    </row>
    <row r="518" spans="1:8" x14ac:dyDescent="0.25">
      <c r="A518" t="s">
        <v>267</v>
      </c>
      <c r="B518">
        <v>2018</v>
      </c>
      <c r="C518" t="s">
        <v>172</v>
      </c>
      <c r="D518" t="s">
        <v>37</v>
      </c>
      <c r="E518" t="s">
        <v>426</v>
      </c>
      <c r="F518" t="s">
        <v>211</v>
      </c>
      <c r="G518" s="5">
        <v>1097143</v>
      </c>
      <c r="H518" s="5">
        <v>1097143</v>
      </c>
    </row>
    <row r="519" spans="1:8" x14ac:dyDescent="0.25">
      <c r="A519" t="s">
        <v>267</v>
      </c>
      <c r="B519">
        <v>2018</v>
      </c>
      <c r="C519" t="s">
        <v>172</v>
      </c>
      <c r="D519" t="s">
        <v>37</v>
      </c>
      <c r="E519" t="s">
        <v>429</v>
      </c>
      <c r="F519" t="s">
        <v>214</v>
      </c>
      <c r="G519" s="5">
        <v>515368</v>
      </c>
      <c r="H519" s="5">
        <v>752685</v>
      </c>
    </row>
    <row r="520" spans="1:8" x14ac:dyDescent="0.25">
      <c r="A520" t="s">
        <v>267</v>
      </c>
      <c r="B520">
        <v>2018</v>
      </c>
      <c r="C520" t="s">
        <v>172</v>
      </c>
      <c r="D520" t="s">
        <v>37</v>
      </c>
      <c r="E520" t="s">
        <v>428</v>
      </c>
      <c r="F520" t="s">
        <v>213</v>
      </c>
      <c r="G520" s="5">
        <v>462523</v>
      </c>
      <c r="H520" s="5">
        <v>462523</v>
      </c>
    </row>
    <row r="521" spans="1:8" x14ac:dyDescent="0.25">
      <c r="A521" t="s">
        <v>267</v>
      </c>
      <c r="B521">
        <v>2018</v>
      </c>
      <c r="C521" t="s">
        <v>172</v>
      </c>
      <c r="D521" t="s">
        <v>37</v>
      </c>
      <c r="E521" t="s">
        <v>431</v>
      </c>
      <c r="F521" t="s">
        <v>217</v>
      </c>
      <c r="G521" s="5">
        <v>186407</v>
      </c>
      <c r="H521" s="5">
        <v>188610</v>
      </c>
    </row>
    <row r="522" spans="1:8" x14ac:dyDescent="0.25">
      <c r="A522" t="s">
        <v>267</v>
      </c>
      <c r="B522">
        <v>2018</v>
      </c>
      <c r="C522" t="s">
        <v>172</v>
      </c>
      <c r="D522" t="s">
        <v>37</v>
      </c>
      <c r="F522" t="s">
        <v>215</v>
      </c>
      <c r="G522" s="5">
        <v>181488</v>
      </c>
      <c r="H522" s="5">
        <v>7730671</v>
      </c>
    </row>
    <row r="523" spans="1:8" x14ac:dyDescent="0.25">
      <c r="A523" t="s">
        <v>267</v>
      </c>
      <c r="B523">
        <v>2018</v>
      </c>
      <c r="C523" t="s">
        <v>172</v>
      </c>
      <c r="D523" t="s">
        <v>37</v>
      </c>
      <c r="E523" t="s">
        <v>430</v>
      </c>
      <c r="F523" t="s">
        <v>216</v>
      </c>
      <c r="G523" s="5">
        <v>169275</v>
      </c>
      <c r="H523" s="5">
        <v>185893</v>
      </c>
    </row>
    <row r="524" spans="1:8" x14ac:dyDescent="0.25">
      <c r="A524" t="s">
        <v>267</v>
      </c>
      <c r="B524">
        <v>2018</v>
      </c>
      <c r="C524" t="s">
        <v>172</v>
      </c>
      <c r="D524" t="s">
        <v>37</v>
      </c>
      <c r="E524" t="s">
        <v>447</v>
      </c>
      <c r="F524" t="s">
        <v>234</v>
      </c>
      <c r="G524" s="5">
        <v>49395</v>
      </c>
      <c r="H524" s="5">
        <v>49395</v>
      </c>
    </row>
    <row r="525" spans="1:8" x14ac:dyDescent="0.25">
      <c r="A525" t="s">
        <v>267</v>
      </c>
      <c r="B525">
        <v>2018</v>
      </c>
      <c r="C525" t="s">
        <v>40</v>
      </c>
      <c r="D525" t="s">
        <v>40</v>
      </c>
      <c r="E525" t="s">
        <v>432</v>
      </c>
      <c r="F525" t="s">
        <v>218</v>
      </c>
      <c r="G525" s="5">
        <v>134197817</v>
      </c>
      <c r="H525" s="5">
        <v>136849109</v>
      </c>
    </row>
    <row r="526" spans="1:8" x14ac:dyDescent="0.25">
      <c r="A526" t="s">
        <v>267</v>
      </c>
      <c r="B526">
        <v>2018</v>
      </c>
      <c r="C526" t="s">
        <v>40</v>
      </c>
      <c r="D526" t="s">
        <v>40</v>
      </c>
      <c r="E526" t="s">
        <v>433</v>
      </c>
      <c r="F526" t="s">
        <v>219</v>
      </c>
      <c r="G526" s="5">
        <v>16185614</v>
      </c>
      <c r="H526" s="5">
        <v>16643621</v>
      </c>
    </row>
    <row r="527" spans="1:8" x14ac:dyDescent="0.25">
      <c r="A527" t="s">
        <v>267</v>
      </c>
      <c r="B527">
        <v>2018</v>
      </c>
      <c r="C527" t="s">
        <v>40</v>
      </c>
      <c r="D527" t="s">
        <v>40</v>
      </c>
      <c r="F527" t="s">
        <v>225</v>
      </c>
      <c r="G527" s="5">
        <v>422205</v>
      </c>
      <c r="H527" s="5">
        <v>426490</v>
      </c>
    </row>
    <row r="528" spans="1:8" x14ac:dyDescent="0.25">
      <c r="A528" t="s">
        <v>267</v>
      </c>
      <c r="B528">
        <v>2018</v>
      </c>
      <c r="C528" t="s">
        <v>40</v>
      </c>
      <c r="D528" t="s">
        <v>40</v>
      </c>
      <c r="E528" t="s">
        <v>438</v>
      </c>
      <c r="F528" t="s">
        <v>224</v>
      </c>
      <c r="G528" s="5">
        <v>176697</v>
      </c>
      <c r="H528" s="5">
        <v>176697</v>
      </c>
    </row>
    <row r="529" spans="1:8" x14ac:dyDescent="0.25">
      <c r="A529" t="s">
        <v>267</v>
      </c>
      <c r="B529">
        <v>2018</v>
      </c>
      <c r="C529" t="s">
        <v>40</v>
      </c>
      <c r="D529" t="s">
        <v>40</v>
      </c>
      <c r="E529" t="s">
        <v>436</v>
      </c>
      <c r="F529" t="s">
        <v>222</v>
      </c>
      <c r="G529" s="5">
        <v>87567</v>
      </c>
      <c r="H529" s="5">
        <v>87567</v>
      </c>
    </row>
    <row r="530" spans="1:8" x14ac:dyDescent="0.25">
      <c r="A530" t="s">
        <v>267</v>
      </c>
      <c r="B530">
        <v>2018</v>
      </c>
      <c r="C530" t="s">
        <v>40</v>
      </c>
      <c r="D530" t="s">
        <v>40</v>
      </c>
      <c r="E530" t="s">
        <v>437</v>
      </c>
      <c r="F530" t="s">
        <v>223</v>
      </c>
      <c r="G530" s="5">
        <v>35405</v>
      </c>
      <c r="H530" s="5">
        <v>35405</v>
      </c>
    </row>
    <row r="531" spans="1:8" x14ac:dyDescent="0.25">
      <c r="A531" t="s">
        <v>267</v>
      </c>
      <c r="B531">
        <v>2019</v>
      </c>
      <c r="C531" t="s">
        <v>39</v>
      </c>
      <c r="D531" t="s">
        <v>39</v>
      </c>
      <c r="E531" t="s">
        <v>269</v>
      </c>
      <c r="F531" t="s">
        <v>48</v>
      </c>
      <c r="G531" s="5">
        <v>43602540</v>
      </c>
      <c r="H531" s="5">
        <v>43609534</v>
      </c>
    </row>
    <row r="532" spans="1:8" x14ac:dyDescent="0.25">
      <c r="A532" t="s">
        <v>267</v>
      </c>
      <c r="B532">
        <v>2019</v>
      </c>
      <c r="C532" t="s">
        <v>39</v>
      </c>
      <c r="D532" t="s">
        <v>39</v>
      </c>
      <c r="E532" t="s">
        <v>268</v>
      </c>
      <c r="F532" t="s">
        <v>47</v>
      </c>
      <c r="G532" s="5">
        <v>42630540</v>
      </c>
      <c r="H532" s="5">
        <v>42953936</v>
      </c>
    </row>
    <row r="533" spans="1:8" x14ac:dyDescent="0.25">
      <c r="A533" t="s">
        <v>267</v>
      </c>
      <c r="B533">
        <v>2019</v>
      </c>
      <c r="C533" t="s">
        <v>39</v>
      </c>
      <c r="D533" t="s">
        <v>39</v>
      </c>
      <c r="E533" t="s">
        <v>273</v>
      </c>
      <c r="F533" t="s">
        <v>52</v>
      </c>
      <c r="G533" s="5">
        <v>20128506</v>
      </c>
      <c r="H533" s="5">
        <v>20128506</v>
      </c>
    </row>
    <row r="534" spans="1:8" x14ac:dyDescent="0.25">
      <c r="A534" t="s">
        <v>267</v>
      </c>
      <c r="B534">
        <v>2019</v>
      </c>
      <c r="C534" t="s">
        <v>39</v>
      </c>
      <c r="D534" t="s">
        <v>39</v>
      </c>
      <c r="E534" t="s">
        <v>270</v>
      </c>
      <c r="F534" t="s">
        <v>49</v>
      </c>
      <c r="G534" s="5">
        <v>16992066</v>
      </c>
      <c r="H534" s="5">
        <v>16992066</v>
      </c>
    </row>
    <row r="535" spans="1:8" x14ac:dyDescent="0.25">
      <c r="A535" t="s">
        <v>267</v>
      </c>
      <c r="B535">
        <v>2019</v>
      </c>
      <c r="C535" t="s">
        <v>39</v>
      </c>
      <c r="D535" t="s">
        <v>39</v>
      </c>
      <c r="E535" t="s">
        <v>271</v>
      </c>
      <c r="F535" t="s">
        <v>50</v>
      </c>
      <c r="G535" s="5">
        <v>15249076</v>
      </c>
      <c r="H535" s="5">
        <v>26849210</v>
      </c>
    </row>
    <row r="536" spans="1:8" x14ac:dyDescent="0.25">
      <c r="A536" t="s">
        <v>267</v>
      </c>
      <c r="B536">
        <v>2019</v>
      </c>
      <c r="C536" t="s">
        <v>39</v>
      </c>
      <c r="D536" t="s">
        <v>39</v>
      </c>
      <c r="E536" t="s">
        <v>275</v>
      </c>
      <c r="F536" t="s">
        <v>54</v>
      </c>
      <c r="G536" s="5">
        <v>10845052</v>
      </c>
      <c r="H536" s="5">
        <v>10867099</v>
      </c>
    </row>
    <row r="537" spans="1:8" x14ac:dyDescent="0.25">
      <c r="A537" t="s">
        <v>267</v>
      </c>
      <c r="B537">
        <v>2019</v>
      </c>
      <c r="C537" t="s">
        <v>39</v>
      </c>
      <c r="D537" t="s">
        <v>39</v>
      </c>
      <c r="E537" t="s">
        <v>274</v>
      </c>
      <c r="F537" t="s">
        <v>53</v>
      </c>
      <c r="G537" s="5">
        <v>10377261</v>
      </c>
      <c r="H537" s="5">
        <v>10385846</v>
      </c>
    </row>
    <row r="538" spans="1:8" x14ac:dyDescent="0.25">
      <c r="A538" t="s">
        <v>267</v>
      </c>
      <c r="B538">
        <v>2019</v>
      </c>
      <c r="C538" t="s">
        <v>39</v>
      </c>
      <c r="D538" t="s">
        <v>39</v>
      </c>
      <c r="E538" t="s">
        <v>280</v>
      </c>
      <c r="F538" t="s">
        <v>59</v>
      </c>
      <c r="G538" s="5">
        <v>7484402</v>
      </c>
      <c r="H538" s="5">
        <v>7484402</v>
      </c>
    </row>
    <row r="539" spans="1:8" x14ac:dyDescent="0.25">
      <c r="A539" t="s">
        <v>267</v>
      </c>
      <c r="B539">
        <v>2019</v>
      </c>
      <c r="C539" t="s">
        <v>39</v>
      </c>
      <c r="D539" t="s">
        <v>39</v>
      </c>
      <c r="E539" t="s">
        <v>278</v>
      </c>
      <c r="F539" t="s">
        <v>57</v>
      </c>
      <c r="G539" s="5">
        <v>6872090</v>
      </c>
      <c r="H539" s="5">
        <v>6872090</v>
      </c>
    </row>
    <row r="540" spans="1:8" x14ac:dyDescent="0.25">
      <c r="A540" t="s">
        <v>267</v>
      </c>
      <c r="B540">
        <v>2019</v>
      </c>
      <c r="C540" t="s">
        <v>39</v>
      </c>
      <c r="D540" t="s">
        <v>39</v>
      </c>
      <c r="E540" t="s">
        <v>276</v>
      </c>
      <c r="F540" t="s">
        <v>55</v>
      </c>
      <c r="G540" s="5">
        <v>5236344</v>
      </c>
      <c r="H540" s="5">
        <v>5236344</v>
      </c>
    </row>
    <row r="541" spans="1:8" x14ac:dyDescent="0.25">
      <c r="A541" t="s">
        <v>267</v>
      </c>
      <c r="B541">
        <v>2019</v>
      </c>
      <c r="C541" t="s">
        <v>39</v>
      </c>
      <c r="D541" t="s">
        <v>39</v>
      </c>
      <c r="E541" t="s">
        <v>285</v>
      </c>
      <c r="F541" t="s">
        <v>65</v>
      </c>
      <c r="G541" s="5">
        <v>4900366</v>
      </c>
      <c r="H541" s="5">
        <v>4900366</v>
      </c>
    </row>
    <row r="542" spans="1:8" x14ac:dyDescent="0.25">
      <c r="A542" t="s">
        <v>267</v>
      </c>
      <c r="B542">
        <v>2019</v>
      </c>
      <c r="C542" t="s">
        <v>39</v>
      </c>
      <c r="D542" t="s">
        <v>39</v>
      </c>
      <c r="E542" t="s">
        <v>287</v>
      </c>
      <c r="F542" t="s">
        <v>67</v>
      </c>
      <c r="G542" s="5">
        <v>4271383</v>
      </c>
      <c r="H542" s="5">
        <v>4271383</v>
      </c>
    </row>
    <row r="543" spans="1:8" x14ac:dyDescent="0.25">
      <c r="A543" t="s">
        <v>267</v>
      </c>
      <c r="B543">
        <v>2019</v>
      </c>
      <c r="C543" t="s">
        <v>39</v>
      </c>
      <c r="D543" t="s">
        <v>39</v>
      </c>
      <c r="E543" t="s">
        <v>277</v>
      </c>
      <c r="F543" t="s">
        <v>56</v>
      </c>
      <c r="G543" s="5">
        <v>4255273</v>
      </c>
      <c r="H543" s="5">
        <v>4255273</v>
      </c>
    </row>
    <row r="544" spans="1:8" x14ac:dyDescent="0.25">
      <c r="A544" t="s">
        <v>267</v>
      </c>
      <c r="B544">
        <v>2019</v>
      </c>
      <c r="C544" t="s">
        <v>39</v>
      </c>
      <c r="D544" t="s">
        <v>39</v>
      </c>
      <c r="E544" t="s">
        <v>303</v>
      </c>
      <c r="F544" t="s">
        <v>83</v>
      </c>
      <c r="G544" s="5">
        <v>3744969</v>
      </c>
      <c r="H544" s="5">
        <v>3744969</v>
      </c>
    </row>
    <row r="545" spans="1:8" x14ac:dyDescent="0.25">
      <c r="A545" t="s">
        <v>267</v>
      </c>
      <c r="B545">
        <v>2019</v>
      </c>
      <c r="C545" t="s">
        <v>39</v>
      </c>
      <c r="D545" t="s">
        <v>39</v>
      </c>
      <c r="E545" t="s">
        <v>279</v>
      </c>
      <c r="F545" t="s">
        <v>58</v>
      </c>
      <c r="G545" s="5">
        <v>2339820</v>
      </c>
      <c r="H545" s="5">
        <v>2339820</v>
      </c>
    </row>
    <row r="546" spans="1:8" x14ac:dyDescent="0.25">
      <c r="A546" t="s">
        <v>267</v>
      </c>
      <c r="B546">
        <v>2019</v>
      </c>
      <c r="C546" t="s">
        <v>39</v>
      </c>
      <c r="D546" t="s">
        <v>39</v>
      </c>
      <c r="E546" t="s">
        <v>284</v>
      </c>
      <c r="F546" t="s">
        <v>63</v>
      </c>
      <c r="G546" s="5">
        <v>1835380</v>
      </c>
      <c r="H546" s="5">
        <v>1835380</v>
      </c>
    </row>
    <row r="547" spans="1:8" x14ac:dyDescent="0.25">
      <c r="A547" t="s">
        <v>267</v>
      </c>
      <c r="B547">
        <v>2019</v>
      </c>
      <c r="C547" t="s">
        <v>39</v>
      </c>
      <c r="D547" t="s">
        <v>39</v>
      </c>
      <c r="E547" t="s">
        <v>272</v>
      </c>
      <c r="F547" t="s">
        <v>51</v>
      </c>
      <c r="G547" s="5">
        <v>1709849</v>
      </c>
      <c r="H547" s="5">
        <v>1709849</v>
      </c>
    </row>
    <row r="548" spans="1:8" x14ac:dyDescent="0.25">
      <c r="A548" t="s">
        <v>267</v>
      </c>
      <c r="B548">
        <v>2019</v>
      </c>
      <c r="C548" t="s">
        <v>39</v>
      </c>
      <c r="D548" t="s">
        <v>39</v>
      </c>
      <c r="E548" t="s">
        <v>288</v>
      </c>
      <c r="F548" t="s">
        <v>68</v>
      </c>
      <c r="G548" s="5">
        <v>1582843</v>
      </c>
      <c r="H548" s="5">
        <v>1582843</v>
      </c>
    </row>
    <row r="549" spans="1:8" x14ac:dyDescent="0.25">
      <c r="A549" t="s">
        <v>267</v>
      </c>
      <c r="B549">
        <v>2019</v>
      </c>
      <c r="C549" t="s">
        <v>39</v>
      </c>
      <c r="D549" t="s">
        <v>39</v>
      </c>
      <c r="E549" t="s">
        <v>281</v>
      </c>
      <c r="F549" t="s">
        <v>60</v>
      </c>
      <c r="G549" s="5">
        <v>1424612</v>
      </c>
      <c r="H549" s="5">
        <v>1424612</v>
      </c>
    </row>
    <row r="550" spans="1:8" x14ac:dyDescent="0.25">
      <c r="A550" t="s">
        <v>267</v>
      </c>
      <c r="B550">
        <v>2019</v>
      </c>
      <c r="C550" t="s">
        <v>39</v>
      </c>
      <c r="D550" t="s">
        <v>39</v>
      </c>
      <c r="F550" t="s">
        <v>64</v>
      </c>
      <c r="G550" s="5">
        <v>1356815</v>
      </c>
      <c r="H550" s="5">
        <v>1356815</v>
      </c>
    </row>
    <row r="551" spans="1:8" x14ac:dyDescent="0.25">
      <c r="A551" t="s">
        <v>267</v>
      </c>
      <c r="B551">
        <v>2019</v>
      </c>
      <c r="C551" t="s">
        <v>39</v>
      </c>
      <c r="D551" t="s">
        <v>39</v>
      </c>
      <c r="E551" t="s">
        <v>290</v>
      </c>
      <c r="F551" t="s">
        <v>70</v>
      </c>
      <c r="G551" s="5">
        <v>1261122</v>
      </c>
      <c r="H551" s="5">
        <v>1261122</v>
      </c>
    </row>
    <row r="552" spans="1:8" x14ac:dyDescent="0.25">
      <c r="A552" t="s">
        <v>267</v>
      </c>
      <c r="B552">
        <v>2019</v>
      </c>
      <c r="C552" t="s">
        <v>39</v>
      </c>
      <c r="D552" t="s">
        <v>39</v>
      </c>
      <c r="E552" t="s">
        <v>300</v>
      </c>
      <c r="F552" t="s">
        <v>80</v>
      </c>
      <c r="G552" s="5">
        <v>1232724</v>
      </c>
      <c r="H552" s="5">
        <v>1232724</v>
      </c>
    </row>
    <row r="553" spans="1:8" x14ac:dyDescent="0.25">
      <c r="A553" t="s">
        <v>267</v>
      </c>
      <c r="B553">
        <v>2019</v>
      </c>
      <c r="C553" t="s">
        <v>39</v>
      </c>
      <c r="D553" t="s">
        <v>39</v>
      </c>
      <c r="E553" t="s">
        <v>283</v>
      </c>
      <c r="F553" t="s">
        <v>62</v>
      </c>
      <c r="G553" s="5">
        <v>1182907</v>
      </c>
      <c r="H553" s="5">
        <v>1182907</v>
      </c>
    </row>
    <row r="554" spans="1:8" x14ac:dyDescent="0.25">
      <c r="A554" t="s">
        <v>267</v>
      </c>
      <c r="B554">
        <v>2019</v>
      </c>
      <c r="C554" t="s">
        <v>39</v>
      </c>
      <c r="D554" t="s">
        <v>39</v>
      </c>
      <c r="E554" t="s">
        <v>286</v>
      </c>
      <c r="F554" t="s">
        <v>66</v>
      </c>
      <c r="G554" s="5">
        <v>830803</v>
      </c>
      <c r="H554" s="5">
        <v>830803</v>
      </c>
    </row>
    <row r="555" spans="1:8" x14ac:dyDescent="0.25">
      <c r="A555" t="s">
        <v>267</v>
      </c>
      <c r="B555">
        <v>2019</v>
      </c>
      <c r="C555" t="s">
        <v>39</v>
      </c>
      <c r="D555" t="s">
        <v>39</v>
      </c>
      <c r="E555" t="s">
        <v>282</v>
      </c>
      <c r="F555" t="s">
        <v>61</v>
      </c>
      <c r="G555" s="5">
        <v>608749</v>
      </c>
      <c r="H555" s="5">
        <v>608749</v>
      </c>
    </row>
    <row r="556" spans="1:8" x14ac:dyDescent="0.25">
      <c r="A556" t="s">
        <v>267</v>
      </c>
      <c r="B556">
        <v>2019</v>
      </c>
      <c r="C556" t="s">
        <v>39</v>
      </c>
      <c r="D556" t="s">
        <v>39</v>
      </c>
      <c r="E556" t="s">
        <v>297</v>
      </c>
      <c r="F556" t="s">
        <v>77</v>
      </c>
      <c r="G556" s="5">
        <v>534602</v>
      </c>
      <c r="H556" s="5">
        <v>534602</v>
      </c>
    </row>
    <row r="557" spans="1:8" x14ac:dyDescent="0.25">
      <c r="A557" t="s">
        <v>267</v>
      </c>
      <c r="B557">
        <v>2019</v>
      </c>
      <c r="C557" t="s">
        <v>39</v>
      </c>
      <c r="D557" t="s">
        <v>39</v>
      </c>
      <c r="E557" t="s">
        <v>298</v>
      </c>
      <c r="F557" t="s">
        <v>78</v>
      </c>
      <c r="G557" s="5">
        <v>431480</v>
      </c>
      <c r="H557" s="5">
        <v>431480</v>
      </c>
    </row>
    <row r="558" spans="1:8" x14ac:dyDescent="0.25">
      <c r="A558" t="s">
        <v>267</v>
      </c>
      <c r="B558">
        <v>2019</v>
      </c>
      <c r="C558" t="s">
        <v>39</v>
      </c>
      <c r="D558" t="s">
        <v>39</v>
      </c>
      <c r="E558" t="s">
        <v>301</v>
      </c>
      <c r="F558" t="s">
        <v>81</v>
      </c>
      <c r="G558" s="5">
        <v>397212</v>
      </c>
      <c r="H558" s="5">
        <v>397212</v>
      </c>
    </row>
    <row r="559" spans="1:8" x14ac:dyDescent="0.25">
      <c r="A559" t="s">
        <v>267</v>
      </c>
      <c r="B559">
        <v>2019</v>
      </c>
      <c r="C559" t="s">
        <v>39</v>
      </c>
      <c r="D559" t="s">
        <v>39</v>
      </c>
      <c r="E559" t="s">
        <v>294</v>
      </c>
      <c r="F559" t="s">
        <v>74</v>
      </c>
      <c r="G559" s="5">
        <v>395055</v>
      </c>
      <c r="H559" s="5">
        <v>395055</v>
      </c>
    </row>
    <row r="560" spans="1:8" x14ac:dyDescent="0.25">
      <c r="A560" t="s">
        <v>267</v>
      </c>
      <c r="B560">
        <v>2019</v>
      </c>
      <c r="C560" t="s">
        <v>39</v>
      </c>
      <c r="D560" t="s">
        <v>39</v>
      </c>
      <c r="E560" t="s">
        <v>295</v>
      </c>
      <c r="F560" t="s">
        <v>75</v>
      </c>
      <c r="G560" s="5">
        <v>348408</v>
      </c>
      <c r="H560" s="5">
        <v>348408</v>
      </c>
    </row>
    <row r="561" spans="1:8" x14ac:dyDescent="0.25">
      <c r="A561" t="s">
        <v>267</v>
      </c>
      <c r="B561">
        <v>2019</v>
      </c>
      <c r="C561" t="s">
        <v>39</v>
      </c>
      <c r="D561" t="s">
        <v>39</v>
      </c>
      <c r="E561" t="s">
        <v>293</v>
      </c>
      <c r="F561" t="s">
        <v>73</v>
      </c>
      <c r="G561" s="5">
        <v>300069</v>
      </c>
      <c r="H561" s="5">
        <v>300069</v>
      </c>
    </row>
    <row r="562" spans="1:8" x14ac:dyDescent="0.25">
      <c r="A562" t="s">
        <v>267</v>
      </c>
      <c r="B562">
        <v>2019</v>
      </c>
      <c r="C562" t="s">
        <v>39</v>
      </c>
      <c r="D562" t="s">
        <v>39</v>
      </c>
      <c r="E562" t="s">
        <v>304</v>
      </c>
      <c r="F562" t="s">
        <v>84</v>
      </c>
      <c r="G562" s="5">
        <v>243862</v>
      </c>
      <c r="H562" s="5">
        <v>243862</v>
      </c>
    </row>
    <row r="563" spans="1:8" x14ac:dyDescent="0.25">
      <c r="A563" t="s">
        <v>267</v>
      </c>
      <c r="B563">
        <v>2019</v>
      </c>
      <c r="C563" t="s">
        <v>39</v>
      </c>
      <c r="D563" t="s">
        <v>39</v>
      </c>
      <c r="E563" t="s">
        <v>296</v>
      </c>
      <c r="F563" t="s">
        <v>76</v>
      </c>
      <c r="G563" s="5">
        <v>238467</v>
      </c>
      <c r="H563" s="5">
        <v>238467</v>
      </c>
    </row>
    <row r="564" spans="1:8" x14ac:dyDescent="0.25">
      <c r="A564" t="s">
        <v>267</v>
      </c>
      <c r="B564">
        <v>2019</v>
      </c>
      <c r="C564" t="s">
        <v>39</v>
      </c>
      <c r="D564" t="s">
        <v>39</v>
      </c>
      <c r="E564" t="s">
        <v>292</v>
      </c>
      <c r="F564" t="s">
        <v>72</v>
      </c>
      <c r="G564" s="5">
        <v>221256</v>
      </c>
      <c r="H564" s="5">
        <v>221256</v>
      </c>
    </row>
    <row r="565" spans="1:8" x14ac:dyDescent="0.25">
      <c r="A565" t="s">
        <v>267</v>
      </c>
      <c r="B565">
        <v>2019</v>
      </c>
      <c r="C565" t="s">
        <v>39</v>
      </c>
      <c r="D565" t="s">
        <v>39</v>
      </c>
      <c r="E565" t="s">
        <v>305</v>
      </c>
      <c r="F565" t="s">
        <v>85</v>
      </c>
      <c r="G565" s="5">
        <v>189082</v>
      </c>
      <c r="H565" s="5">
        <v>189082</v>
      </c>
    </row>
    <row r="566" spans="1:8" x14ac:dyDescent="0.25">
      <c r="A566" t="s">
        <v>267</v>
      </c>
      <c r="B566">
        <v>2019</v>
      </c>
      <c r="C566" t="s">
        <v>39</v>
      </c>
      <c r="D566" t="s">
        <v>39</v>
      </c>
      <c r="E566" t="s">
        <v>311</v>
      </c>
      <c r="F566" t="s">
        <v>91</v>
      </c>
      <c r="G566" s="5">
        <v>176152</v>
      </c>
      <c r="H566" s="5">
        <v>176152</v>
      </c>
    </row>
    <row r="567" spans="1:8" x14ac:dyDescent="0.25">
      <c r="A567" t="s">
        <v>267</v>
      </c>
      <c r="B567">
        <v>2019</v>
      </c>
      <c r="C567" t="s">
        <v>39</v>
      </c>
      <c r="D567" t="s">
        <v>39</v>
      </c>
      <c r="E567" t="s">
        <v>307</v>
      </c>
      <c r="F567" t="s">
        <v>87</v>
      </c>
      <c r="G567" s="5">
        <v>151974</v>
      </c>
      <c r="H567" s="5">
        <v>151974</v>
      </c>
    </row>
    <row r="568" spans="1:8" x14ac:dyDescent="0.25">
      <c r="A568" t="s">
        <v>267</v>
      </c>
      <c r="B568">
        <v>2019</v>
      </c>
      <c r="C568" t="s">
        <v>39</v>
      </c>
      <c r="D568" t="s">
        <v>39</v>
      </c>
      <c r="E568" t="s">
        <v>291</v>
      </c>
      <c r="F568" t="s">
        <v>71</v>
      </c>
      <c r="G568" s="5">
        <v>104918</v>
      </c>
      <c r="H568" s="5">
        <v>104918</v>
      </c>
    </row>
    <row r="569" spans="1:8" x14ac:dyDescent="0.25">
      <c r="A569" t="s">
        <v>267</v>
      </c>
      <c r="B569">
        <v>2019</v>
      </c>
      <c r="C569" t="s">
        <v>39</v>
      </c>
      <c r="D569" t="s">
        <v>39</v>
      </c>
      <c r="E569" t="s">
        <v>308</v>
      </c>
      <c r="F569" t="s">
        <v>88</v>
      </c>
      <c r="G569" s="5">
        <v>56852</v>
      </c>
      <c r="H569" s="5">
        <v>56852</v>
      </c>
    </row>
    <row r="570" spans="1:8" x14ac:dyDescent="0.25">
      <c r="A570" t="s">
        <v>267</v>
      </c>
      <c r="B570">
        <v>2019</v>
      </c>
      <c r="C570" t="s">
        <v>39</v>
      </c>
      <c r="D570" t="s">
        <v>39</v>
      </c>
      <c r="E570" t="s">
        <v>439</v>
      </c>
      <c r="F570" t="s">
        <v>226</v>
      </c>
      <c r="G570" s="5">
        <v>55804</v>
      </c>
      <c r="H570" s="5">
        <v>55804</v>
      </c>
    </row>
    <row r="571" spans="1:8" x14ac:dyDescent="0.25">
      <c r="A571" t="s">
        <v>267</v>
      </c>
      <c r="B571">
        <v>2019</v>
      </c>
      <c r="C571" t="s">
        <v>39</v>
      </c>
      <c r="D571" t="s">
        <v>39</v>
      </c>
      <c r="E571" t="s">
        <v>448</v>
      </c>
      <c r="F571" t="s">
        <v>235</v>
      </c>
      <c r="G571" s="5">
        <v>24556</v>
      </c>
      <c r="H571" s="5">
        <v>24556</v>
      </c>
    </row>
    <row r="572" spans="1:8" x14ac:dyDescent="0.25">
      <c r="A572" t="s">
        <v>267</v>
      </c>
      <c r="B572">
        <v>2019</v>
      </c>
      <c r="C572" t="s">
        <v>39</v>
      </c>
      <c r="D572" t="s">
        <v>39</v>
      </c>
      <c r="E572" t="s">
        <v>449</v>
      </c>
      <c r="F572" t="s">
        <v>236</v>
      </c>
      <c r="G572" s="5">
        <v>17437</v>
      </c>
      <c r="H572" s="5">
        <v>17437</v>
      </c>
    </row>
    <row r="573" spans="1:8" x14ac:dyDescent="0.25">
      <c r="A573" t="s">
        <v>267</v>
      </c>
      <c r="B573">
        <v>2019</v>
      </c>
      <c r="C573" t="s">
        <v>39</v>
      </c>
      <c r="D573" t="s">
        <v>39</v>
      </c>
      <c r="E573" t="s">
        <v>450</v>
      </c>
      <c r="F573" t="s">
        <v>237</v>
      </c>
      <c r="G573" s="5">
        <v>7885</v>
      </c>
      <c r="H573" s="5">
        <v>7885</v>
      </c>
    </row>
    <row r="574" spans="1:8" x14ac:dyDescent="0.25">
      <c r="A574" t="s">
        <v>267</v>
      </c>
      <c r="B574">
        <v>2019</v>
      </c>
      <c r="C574" t="s">
        <v>92</v>
      </c>
      <c r="D574" t="s">
        <v>36</v>
      </c>
      <c r="E574" t="s">
        <v>36</v>
      </c>
      <c r="F574" t="s">
        <v>93</v>
      </c>
      <c r="G574" s="5">
        <v>1791529539</v>
      </c>
      <c r="H574" s="5">
        <v>1982130178</v>
      </c>
    </row>
    <row r="575" spans="1:8" x14ac:dyDescent="0.25">
      <c r="A575" t="s">
        <v>267</v>
      </c>
      <c r="B575">
        <v>2019</v>
      </c>
      <c r="C575" t="s">
        <v>92</v>
      </c>
      <c r="D575" t="s">
        <v>38</v>
      </c>
      <c r="E575" t="s">
        <v>313</v>
      </c>
      <c r="F575" t="s">
        <v>95</v>
      </c>
      <c r="G575" s="5">
        <v>120120535</v>
      </c>
      <c r="H575" s="5">
        <v>121235211</v>
      </c>
    </row>
    <row r="576" spans="1:8" x14ac:dyDescent="0.25">
      <c r="A576" t="s">
        <v>267</v>
      </c>
      <c r="B576">
        <v>2019</v>
      </c>
      <c r="C576" t="s">
        <v>92</v>
      </c>
      <c r="D576" t="s">
        <v>38</v>
      </c>
      <c r="E576" t="s">
        <v>312</v>
      </c>
      <c r="F576" t="s">
        <v>94</v>
      </c>
      <c r="G576" s="5">
        <v>67375637</v>
      </c>
      <c r="H576" s="5">
        <v>68666684</v>
      </c>
    </row>
    <row r="577" spans="1:8" x14ac:dyDescent="0.25">
      <c r="A577" t="s">
        <v>267</v>
      </c>
      <c r="B577">
        <v>2019</v>
      </c>
      <c r="C577" t="s">
        <v>92</v>
      </c>
      <c r="D577" t="s">
        <v>38</v>
      </c>
      <c r="E577" t="s">
        <v>314</v>
      </c>
      <c r="F577" t="s">
        <v>96</v>
      </c>
      <c r="G577" s="5">
        <v>58862785</v>
      </c>
      <c r="H577" s="5">
        <v>59022879</v>
      </c>
    </row>
    <row r="578" spans="1:8" x14ac:dyDescent="0.25">
      <c r="A578" t="s">
        <v>267</v>
      </c>
      <c r="B578">
        <v>2019</v>
      </c>
      <c r="C578" t="s">
        <v>92</v>
      </c>
      <c r="D578" t="s">
        <v>38</v>
      </c>
      <c r="E578" t="s">
        <v>315</v>
      </c>
      <c r="F578" t="s">
        <v>97</v>
      </c>
      <c r="G578" s="5">
        <v>17382176</v>
      </c>
      <c r="H578" s="5">
        <v>17385939</v>
      </c>
    </row>
    <row r="579" spans="1:8" x14ac:dyDescent="0.25">
      <c r="A579" t="s">
        <v>267</v>
      </c>
      <c r="B579">
        <v>2019</v>
      </c>
      <c r="C579" t="s">
        <v>92</v>
      </c>
      <c r="D579" t="s">
        <v>38</v>
      </c>
      <c r="E579" t="s">
        <v>316</v>
      </c>
      <c r="F579" t="s">
        <v>98</v>
      </c>
      <c r="G579" s="5">
        <v>15315347</v>
      </c>
      <c r="H579" s="5">
        <v>15369561</v>
      </c>
    </row>
    <row r="580" spans="1:8" x14ac:dyDescent="0.25">
      <c r="A580" t="s">
        <v>267</v>
      </c>
      <c r="B580">
        <v>2019</v>
      </c>
      <c r="C580" t="s">
        <v>92</v>
      </c>
      <c r="D580" t="s">
        <v>38</v>
      </c>
      <c r="E580" t="s">
        <v>318</v>
      </c>
      <c r="F580" t="s">
        <v>100</v>
      </c>
      <c r="G580" s="5">
        <v>12224146</v>
      </c>
      <c r="H580" s="5">
        <v>12230661</v>
      </c>
    </row>
    <row r="581" spans="1:8" x14ac:dyDescent="0.25">
      <c r="A581" t="s">
        <v>267</v>
      </c>
      <c r="B581">
        <v>2019</v>
      </c>
      <c r="C581" t="s">
        <v>92</v>
      </c>
      <c r="D581" t="s">
        <v>38</v>
      </c>
      <c r="E581" t="s">
        <v>319</v>
      </c>
      <c r="F581" t="s">
        <v>101</v>
      </c>
      <c r="G581" s="5">
        <v>11474918</v>
      </c>
      <c r="H581" s="5">
        <v>11479687</v>
      </c>
    </row>
    <row r="582" spans="1:8" x14ac:dyDescent="0.25">
      <c r="A582" t="s">
        <v>267</v>
      </c>
      <c r="B582">
        <v>2019</v>
      </c>
      <c r="C582" t="s">
        <v>92</v>
      </c>
      <c r="D582" t="s">
        <v>38</v>
      </c>
      <c r="E582" t="s">
        <v>317</v>
      </c>
      <c r="F582" t="s">
        <v>99</v>
      </c>
      <c r="G582" s="5">
        <v>10275417</v>
      </c>
      <c r="H582" s="5">
        <v>10275417</v>
      </c>
    </row>
    <row r="583" spans="1:8" x14ac:dyDescent="0.25">
      <c r="A583" t="s">
        <v>267</v>
      </c>
      <c r="B583">
        <v>2019</v>
      </c>
      <c r="C583" t="s">
        <v>92</v>
      </c>
      <c r="D583" t="s">
        <v>38</v>
      </c>
      <c r="E583" t="s">
        <v>331</v>
      </c>
      <c r="F583" t="s">
        <v>114</v>
      </c>
      <c r="G583" s="5">
        <v>7423115</v>
      </c>
      <c r="H583" s="5">
        <v>7429056</v>
      </c>
    </row>
    <row r="584" spans="1:8" x14ac:dyDescent="0.25">
      <c r="A584" t="s">
        <v>267</v>
      </c>
      <c r="B584">
        <v>2019</v>
      </c>
      <c r="C584" t="s">
        <v>92</v>
      </c>
      <c r="D584" t="s">
        <v>38</v>
      </c>
      <c r="E584" t="s">
        <v>321</v>
      </c>
      <c r="F584" t="s">
        <v>103</v>
      </c>
      <c r="G584" s="5">
        <v>6051112</v>
      </c>
      <c r="H584" s="5">
        <v>6057379</v>
      </c>
    </row>
    <row r="585" spans="1:8" x14ac:dyDescent="0.25">
      <c r="A585" t="s">
        <v>267</v>
      </c>
      <c r="B585">
        <v>2019</v>
      </c>
      <c r="C585" t="s">
        <v>92</v>
      </c>
      <c r="D585" t="s">
        <v>38</v>
      </c>
      <c r="E585" t="s">
        <v>320</v>
      </c>
      <c r="F585" t="s">
        <v>102</v>
      </c>
      <c r="G585" s="5">
        <v>4913232</v>
      </c>
      <c r="H585" s="5">
        <v>7467863</v>
      </c>
    </row>
    <row r="586" spans="1:8" x14ac:dyDescent="0.25">
      <c r="A586" t="s">
        <v>267</v>
      </c>
      <c r="B586">
        <v>2019</v>
      </c>
      <c r="C586" t="s">
        <v>92</v>
      </c>
      <c r="D586" t="s">
        <v>38</v>
      </c>
      <c r="E586" t="s">
        <v>322</v>
      </c>
      <c r="F586" t="s">
        <v>105</v>
      </c>
      <c r="G586" s="5">
        <v>4266890</v>
      </c>
      <c r="H586" s="5">
        <v>4266890</v>
      </c>
    </row>
    <row r="587" spans="1:8" x14ac:dyDescent="0.25">
      <c r="A587" t="s">
        <v>267</v>
      </c>
      <c r="B587">
        <v>2019</v>
      </c>
      <c r="C587" t="s">
        <v>92</v>
      </c>
      <c r="D587" t="s">
        <v>38</v>
      </c>
      <c r="E587" t="s">
        <v>323</v>
      </c>
      <c r="F587" t="s">
        <v>106</v>
      </c>
      <c r="G587" s="5">
        <v>3975844</v>
      </c>
      <c r="H587" s="5">
        <v>3975844</v>
      </c>
    </row>
    <row r="588" spans="1:8" x14ac:dyDescent="0.25">
      <c r="A588" t="s">
        <v>267</v>
      </c>
      <c r="B588">
        <v>2019</v>
      </c>
      <c r="C588" t="s">
        <v>92</v>
      </c>
      <c r="D588" t="s">
        <v>38</v>
      </c>
      <c r="E588" t="s">
        <v>328</v>
      </c>
      <c r="F588" t="s">
        <v>111</v>
      </c>
      <c r="G588" s="5">
        <v>2664363</v>
      </c>
      <c r="H588" s="5">
        <v>3734280</v>
      </c>
    </row>
    <row r="589" spans="1:8" x14ac:dyDescent="0.25">
      <c r="A589" t="s">
        <v>267</v>
      </c>
      <c r="B589">
        <v>2019</v>
      </c>
      <c r="C589" t="s">
        <v>92</v>
      </c>
      <c r="D589" t="s">
        <v>38</v>
      </c>
      <c r="E589" t="s">
        <v>324</v>
      </c>
      <c r="F589" t="s">
        <v>107</v>
      </c>
      <c r="G589" s="5">
        <v>2390146</v>
      </c>
      <c r="H589" s="5">
        <v>2397528</v>
      </c>
    </row>
    <row r="590" spans="1:8" x14ac:dyDescent="0.25">
      <c r="A590" t="s">
        <v>267</v>
      </c>
      <c r="B590">
        <v>2019</v>
      </c>
      <c r="C590" t="s">
        <v>92</v>
      </c>
      <c r="D590" t="s">
        <v>38</v>
      </c>
      <c r="E590" t="s">
        <v>329</v>
      </c>
      <c r="F590" t="s">
        <v>112</v>
      </c>
      <c r="G590" s="5">
        <v>2150558</v>
      </c>
      <c r="H590" s="5">
        <v>2150558</v>
      </c>
    </row>
    <row r="591" spans="1:8" x14ac:dyDescent="0.25">
      <c r="A591" t="s">
        <v>267</v>
      </c>
      <c r="B591">
        <v>2019</v>
      </c>
      <c r="C591" t="s">
        <v>92</v>
      </c>
      <c r="D591" t="s">
        <v>38</v>
      </c>
      <c r="E591" t="s">
        <v>327</v>
      </c>
      <c r="F591" t="s">
        <v>110</v>
      </c>
      <c r="G591" s="5">
        <v>1983757</v>
      </c>
      <c r="H591" s="5">
        <v>1983757</v>
      </c>
    </row>
    <row r="592" spans="1:8" x14ac:dyDescent="0.25">
      <c r="A592" t="s">
        <v>267</v>
      </c>
      <c r="B592">
        <v>2019</v>
      </c>
      <c r="C592" t="s">
        <v>92</v>
      </c>
      <c r="D592" t="s">
        <v>38</v>
      </c>
      <c r="E592" t="s">
        <v>325</v>
      </c>
      <c r="F592" t="s">
        <v>108</v>
      </c>
      <c r="G592" s="5">
        <v>1779566</v>
      </c>
      <c r="H592" s="5">
        <v>1787360</v>
      </c>
    </row>
    <row r="593" spans="1:8" x14ac:dyDescent="0.25">
      <c r="A593" t="s">
        <v>267</v>
      </c>
      <c r="B593">
        <v>2019</v>
      </c>
      <c r="C593" t="s">
        <v>92</v>
      </c>
      <c r="D593" t="s">
        <v>38</v>
      </c>
      <c r="F593" t="s">
        <v>104</v>
      </c>
      <c r="G593" s="5">
        <v>1719263</v>
      </c>
      <c r="H593" s="5">
        <v>3907744</v>
      </c>
    </row>
    <row r="594" spans="1:8" x14ac:dyDescent="0.25">
      <c r="A594" t="s">
        <v>267</v>
      </c>
      <c r="B594">
        <v>2019</v>
      </c>
      <c r="C594" t="s">
        <v>92</v>
      </c>
      <c r="D594" t="s">
        <v>38</v>
      </c>
      <c r="E594" t="s">
        <v>332</v>
      </c>
      <c r="F594" t="s">
        <v>115</v>
      </c>
      <c r="G594" s="5">
        <v>1299429</v>
      </c>
      <c r="H594" s="5">
        <v>1299429</v>
      </c>
    </row>
    <row r="595" spans="1:8" x14ac:dyDescent="0.25">
      <c r="A595" t="s">
        <v>267</v>
      </c>
      <c r="B595">
        <v>2019</v>
      </c>
      <c r="C595" t="s">
        <v>92</v>
      </c>
      <c r="D595" t="s">
        <v>38</v>
      </c>
      <c r="E595" t="s">
        <v>326</v>
      </c>
      <c r="F595" t="s">
        <v>109</v>
      </c>
      <c r="G595" s="5">
        <v>968389</v>
      </c>
      <c r="H595" s="5">
        <v>978177</v>
      </c>
    </row>
    <row r="596" spans="1:8" x14ac:dyDescent="0.25">
      <c r="A596" t="s">
        <v>267</v>
      </c>
      <c r="B596">
        <v>2019</v>
      </c>
      <c r="C596" t="s">
        <v>92</v>
      </c>
      <c r="D596" t="s">
        <v>38</v>
      </c>
      <c r="E596" t="s">
        <v>333</v>
      </c>
      <c r="F596" t="s">
        <v>116</v>
      </c>
      <c r="G596" s="5">
        <v>872461</v>
      </c>
      <c r="H596" s="5">
        <v>875277</v>
      </c>
    </row>
    <row r="597" spans="1:8" x14ac:dyDescent="0.25">
      <c r="A597" t="s">
        <v>267</v>
      </c>
      <c r="B597">
        <v>2019</v>
      </c>
      <c r="C597" t="s">
        <v>92</v>
      </c>
      <c r="D597" t="s">
        <v>38</v>
      </c>
      <c r="E597" t="s">
        <v>337</v>
      </c>
      <c r="F597" t="s">
        <v>120</v>
      </c>
      <c r="G597" s="5">
        <v>352324</v>
      </c>
      <c r="H597" s="5">
        <v>352324</v>
      </c>
    </row>
    <row r="598" spans="1:8" x14ac:dyDescent="0.25">
      <c r="A598" t="s">
        <v>267</v>
      </c>
      <c r="B598">
        <v>2019</v>
      </c>
      <c r="C598" t="s">
        <v>92</v>
      </c>
      <c r="D598" t="s">
        <v>38</v>
      </c>
      <c r="E598" t="s">
        <v>339</v>
      </c>
      <c r="F598" t="s">
        <v>122</v>
      </c>
      <c r="G598" s="5">
        <v>334851</v>
      </c>
      <c r="H598" s="5">
        <v>334851</v>
      </c>
    </row>
    <row r="599" spans="1:8" x14ac:dyDescent="0.25">
      <c r="A599" t="s">
        <v>267</v>
      </c>
      <c r="B599">
        <v>2019</v>
      </c>
      <c r="C599" t="s">
        <v>92</v>
      </c>
      <c r="D599" t="s">
        <v>38</v>
      </c>
      <c r="E599" t="s">
        <v>330</v>
      </c>
      <c r="F599" t="s">
        <v>113</v>
      </c>
      <c r="G599" s="5">
        <v>255553</v>
      </c>
      <c r="H599" s="5">
        <v>257777</v>
      </c>
    </row>
    <row r="600" spans="1:8" x14ac:dyDescent="0.25">
      <c r="A600" t="s">
        <v>267</v>
      </c>
      <c r="B600">
        <v>2019</v>
      </c>
      <c r="C600" t="s">
        <v>92</v>
      </c>
      <c r="D600" t="s">
        <v>38</v>
      </c>
      <c r="E600" t="s">
        <v>340</v>
      </c>
      <c r="F600" t="s">
        <v>123</v>
      </c>
      <c r="G600" s="5">
        <v>226688</v>
      </c>
      <c r="H600" s="5">
        <v>226688</v>
      </c>
    </row>
    <row r="601" spans="1:8" x14ac:dyDescent="0.25">
      <c r="A601" t="s">
        <v>267</v>
      </c>
      <c r="B601">
        <v>2019</v>
      </c>
      <c r="C601" t="s">
        <v>92</v>
      </c>
      <c r="D601" t="s">
        <v>38</v>
      </c>
      <c r="E601" t="s">
        <v>335</v>
      </c>
      <c r="F601" t="s">
        <v>118</v>
      </c>
      <c r="G601" s="5">
        <v>178938</v>
      </c>
      <c r="H601" s="5">
        <v>178938</v>
      </c>
    </row>
    <row r="602" spans="1:8" x14ac:dyDescent="0.25">
      <c r="A602" t="s">
        <v>267</v>
      </c>
      <c r="B602">
        <v>2019</v>
      </c>
      <c r="C602" t="s">
        <v>92</v>
      </c>
      <c r="D602" t="s">
        <v>38</v>
      </c>
      <c r="E602" t="s">
        <v>334</v>
      </c>
      <c r="F602" t="s">
        <v>117</v>
      </c>
      <c r="G602" s="5">
        <v>137495</v>
      </c>
      <c r="H602" s="5">
        <v>137495</v>
      </c>
    </row>
    <row r="603" spans="1:8" x14ac:dyDescent="0.25">
      <c r="A603" t="s">
        <v>267</v>
      </c>
      <c r="B603">
        <v>2019</v>
      </c>
      <c r="C603" t="s">
        <v>92</v>
      </c>
      <c r="D603" t="s">
        <v>38</v>
      </c>
      <c r="E603" t="s">
        <v>336</v>
      </c>
      <c r="F603" t="s">
        <v>119</v>
      </c>
      <c r="G603" s="5">
        <v>56652</v>
      </c>
      <c r="H603" s="5">
        <v>575076</v>
      </c>
    </row>
    <row r="604" spans="1:8" x14ac:dyDescent="0.25">
      <c r="A604" t="s">
        <v>267</v>
      </c>
      <c r="B604">
        <v>2019</v>
      </c>
      <c r="C604" t="s">
        <v>92</v>
      </c>
      <c r="D604" t="s">
        <v>38</v>
      </c>
      <c r="E604" t="s">
        <v>341</v>
      </c>
      <c r="F604" t="s">
        <v>124</v>
      </c>
      <c r="G604" s="5">
        <v>55722</v>
      </c>
      <c r="H604" s="5">
        <v>55722</v>
      </c>
    </row>
    <row r="605" spans="1:8" x14ac:dyDescent="0.25">
      <c r="A605" t="s">
        <v>267</v>
      </c>
      <c r="B605">
        <v>2019</v>
      </c>
      <c r="C605" t="s">
        <v>35</v>
      </c>
      <c r="D605" t="s">
        <v>35</v>
      </c>
      <c r="E605" t="s">
        <v>343</v>
      </c>
      <c r="F605" t="s">
        <v>126</v>
      </c>
      <c r="G605" s="5">
        <v>968134060</v>
      </c>
      <c r="H605" s="5">
        <v>2188975516</v>
      </c>
    </row>
    <row r="606" spans="1:8" x14ac:dyDescent="0.25">
      <c r="A606" t="s">
        <v>267</v>
      </c>
      <c r="B606">
        <v>2019</v>
      </c>
      <c r="C606" t="s">
        <v>35</v>
      </c>
      <c r="D606" t="s">
        <v>35</v>
      </c>
      <c r="E606" t="s">
        <v>348</v>
      </c>
      <c r="F606" t="s">
        <v>131</v>
      </c>
      <c r="G606" s="5">
        <v>290342671</v>
      </c>
      <c r="H606" s="5">
        <v>295751481</v>
      </c>
    </row>
    <row r="607" spans="1:8" x14ac:dyDescent="0.25">
      <c r="A607" t="s">
        <v>267</v>
      </c>
      <c r="B607">
        <v>2019</v>
      </c>
      <c r="C607" t="s">
        <v>35</v>
      </c>
      <c r="D607" t="s">
        <v>35</v>
      </c>
      <c r="E607" t="s">
        <v>346</v>
      </c>
      <c r="F607" t="s">
        <v>129</v>
      </c>
      <c r="G607" s="5">
        <v>223404585</v>
      </c>
      <c r="H607" s="5">
        <v>412572586</v>
      </c>
    </row>
    <row r="608" spans="1:8" x14ac:dyDescent="0.25">
      <c r="A608" t="s">
        <v>267</v>
      </c>
      <c r="B608">
        <v>2019</v>
      </c>
      <c r="C608" t="s">
        <v>35</v>
      </c>
      <c r="D608" t="s">
        <v>35</v>
      </c>
      <c r="E608" t="s">
        <v>345</v>
      </c>
      <c r="F608" t="s">
        <v>128</v>
      </c>
      <c r="G608" s="5">
        <v>215274982</v>
      </c>
      <c r="H608" s="5">
        <v>673843922</v>
      </c>
    </row>
    <row r="609" spans="1:8" x14ac:dyDescent="0.25">
      <c r="A609" t="s">
        <v>267</v>
      </c>
      <c r="B609">
        <v>2019</v>
      </c>
      <c r="C609" t="s">
        <v>35</v>
      </c>
      <c r="D609" t="s">
        <v>35</v>
      </c>
      <c r="E609" t="s">
        <v>344</v>
      </c>
      <c r="F609" t="s">
        <v>127</v>
      </c>
      <c r="G609" s="5">
        <v>195531963</v>
      </c>
      <c r="H609" s="5">
        <v>196766426</v>
      </c>
    </row>
    <row r="610" spans="1:8" x14ac:dyDescent="0.25">
      <c r="A610" t="s">
        <v>267</v>
      </c>
      <c r="B610">
        <v>2019</v>
      </c>
      <c r="C610" t="s">
        <v>35</v>
      </c>
      <c r="D610" t="s">
        <v>35</v>
      </c>
      <c r="E610" t="s">
        <v>354</v>
      </c>
      <c r="F610" t="s">
        <v>137</v>
      </c>
      <c r="G610" s="5">
        <v>151389832</v>
      </c>
      <c r="H610" s="5">
        <v>151391827</v>
      </c>
    </row>
    <row r="611" spans="1:8" x14ac:dyDescent="0.25">
      <c r="A611" t="s">
        <v>267</v>
      </c>
      <c r="B611">
        <v>2019</v>
      </c>
      <c r="C611" t="s">
        <v>35</v>
      </c>
      <c r="D611" t="s">
        <v>35</v>
      </c>
      <c r="E611" t="s">
        <v>349</v>
      </c>
      <c r="F611" t="s">
        <v>132</v>
      </c>
      <c r="G611" s="5">
        <v>122034895</v>
      </c>
      <c r="H611" s="5">
        <v>162105378</v>
      </c>
    </row>
    <row r="612" spans="1:8" x14ac:dyDescent="0.25">
      <c r="A612" t="s">
        <v>267</v>
      </c>
      <c r="B612">
        <v>2019</v>
      </c>
      <c r="C612" t="s">
        <v>35</v>
      </c>
      <c r="D612" t="s">
        <v>35</v>
      </c>
      <c r="E612" t="s">
        <v>356</v>
      </c>
      <c r="F612" t="s">
        <v>139</v>
      </c>
      <c r="G612" s="5">
        <v>101712694</v>
      </c>
      <c r="H612" s="5">
        <v>102775274</v>
      </c>
    </row>
    <row r="613" spans="1:8" x14ac:dyDescent="0.25">
      <c r="A613" t="s">
        <v>267</v>
      </c>
      <c r="B613">
        <v>2019</v>
      </c>
      <c r="C613" t="s">
        <v>35</v>
      </c>
      <c r="D613" t="s">
        <v>35</v>
      </c>
      <c r="E613" t="s">
        <v>350</v>
      </c>
      <c r="F613" t="s">
        <v>133</v>
      </c>
      <c r="G613" s="5">
        <v>86757689</v>
      </c>
      <c r="H613" s="5">
        <v>86797756</v>
      </c>
    </row>
    <row r="614" spans="1:8" x14ac:dyDescent="0.25">
      <c r="A614" t="s">
        <v>267</v>
      </c>
      <c r="B614">
        <v>2019</v>
      </c>
      <c r="C614" t="s">
        <v>35</v>
      </c>
      <c r="D614" t="s">
        <v>35</v>
      </c>
      <c r="E614" t="s">
        <v>347</v>
      </c>
      <c r="F614" t="s">
        <v>130</v>
      </c>
      <c r="G614" s="5">
        <v>84029083</v>
      </c>
      <c r="H614" s="5">
        <v>237928148</v>
      </c>
    </row>
    <row r="615" spans="1:8" x14ac:dyDescent="0.25">
      <c r="A615" t="s">
        <v>267</v>
      </c>
      <c r="B615">
        <v>2019</v>
      </c>
      <c r="C615" t="s">
        <v>35</v>
      </c>
      <c r="D615" t="s">
        <v>35</v>
      </c>
      <c r="E615" t="s">
        <v>360</v>
      </c>
      <c r="F615" t="s">
        <v>143</v>
      </c>
      <c r="G615" s="5">
        <v>77496026</v>
      </c>
      <c r="H615" s="5">
        <v>77496026</v>
      </c>
    </row>
    <row r="616" spans="1:8" x14ac:dyDescent="0.25">
      <c r="A616" t="s">
        <v>267</v>
      </c>
      <c r="B616">
        <v>2019</v>
      </c>
      <c r="C616" t="s">
        <v>35</v>
      </c>
      <c r="D616" t="s">
        <v>35</v>
      </c>
      <c r="E616" t="s">
        <v>352</v>
      </c>
      <c r="F616" t="s">
        <v>135</v>
      </c>
      <c r="G616" s="5">
        <v>69069044</v>
      </c>
      <c r="H616" s="5">
        <v>87551674</v>
      </c>
    </row>
    <row r="617" spans="1:8" x14ac:dyDescent="0.25">
      <c r="A617" t="s">
        <v>267</v>
      </c>
      <c r="B617">
        <v>2019</v>
      </c>
      <c r="C617" t="s">
        <v>35</v>
      </c>
      <c r="D617" t="s">
        <v>35</v>
      </c>
      <c r="E617" t="s">
        <v>353</v>
      </c>
      <c r="F617" t="s">
        <v>136</v>
      </c>
      <c r="G617" s="5">
        <v>68798969</v>
      </c>
      <c r="H617" s="5">
        <v>68851151</v>
      </c>
    </row>
    <row r="618" spans="1:8" x14ac:dyDescent="0.25">
      <c r="A618" t="s">
        <v>267</v>
      </c>
      <c r="B618">
        <v>2019</v>
      </c>
      <c r="C618" t="s">
        <v>35</v>
      </c>
      <c r="D618" t="s">
        <v>35</v>
      </c>
      <c r="E618" t="s">
        <v>351</v>
      </c>
      <c r="F618" t="s">
        <v>134</v>
      </c>
      <c r="G618" s="5">
        <v>61058579</v>
      </c>
      <c r="H618" s="5">
        <v>71744990</v>
      </c>
    </row>
    <row r="619" spans="1:8" x14ac:dyDescent="0.25">
      <c r="A619" t="s">
        <v>267</v>
      </c>
      <c r="B619">
        <v>2019</v>
      </c>
      <c r="C619" t="s">
        <v>35</v>
      </c>
      <c r="D619" t="s">
        <v>35</v>
      </c>
      <c r="E619" t="s">
        <v>357</v>
      </c>
      <c r="F619" t="s">
        <v>140</v>
      </c>
      <c r="G619" s="5">
        <v>59436143</v>
      </c>
      <c r="H619" s="5">
        <v>59436143</v>
      </c>
    </row>
    <row r="620" spans="1:8" x14ac:dyDescent="0.25">
      <c r="A620" t="s">
        <v>267</v>
      </c>
      <c r="B620">
        <v>2019</v>
      </c>
      <c r="C620" t="s">
        <v>35</v>
      </c>
      <c r="D620" t="s">
        <v>35</v>
      </c>
      <c r="E620" t="s">
        <v>355</v>
      </c>
      <c r="F620" t="s">
        <v>138</v>
      </c>
      <c r="G620" s="5">
        <v>45306625</v>
      </c>
      <c r="H620" s="5">
        <v>45389757</v>
      </c>
    </row>
    <row r="621" spans="1:8" x14ac:dyDescent="0.25">
      <c r="A621" t="s">
        <v>267</v>
      </c>
      <c r="B621">
        <v>2019</v>
      </c>
      <c r="C621" t="s">
        <v>35</v>
      </c>
      <c r="D621" t="s">
        <v>35</v>
      </c>
      <c r="E621" t="s">
        <v>363</v>
      </c>
      <c r="F621" t="s">
        <v>146</v>
      </c>
      <c r="G621" s="5">
        <v>34506546</v>
      </c>
      <c r="H621" s="5">
        <v>34506546</v>
      </c>
    </row>
    <row r="622" spans="1:8" x14ac:dyDescent="0.25">
      <c r="A622" t="s">
        <v>267</v>
      </c>
      <c r="B622">
        <v>2019</v>
      </c>
      <c r="C622" t="s">
        <v>35</v>
      </c>
      <c r="D622" t="s">
        <v>35</v>
      </c>
      <c r="E622" t="s">
        <v>362</v>
      </c>
      <c r="F622" t="s">
        <v>145</v>
      </c>
      <c r="G622" s="5">
        <v>31124536</v>
      </c>
      <c r="H622" s="5">
        <v>31129014</v>
      </c>
    </row>
    <row r="623" spans="1:8" x14ac:dyDescent="0.25">
      <c r="A623" t="s">
        <v>267</v>
      </c>
      <c r="B623">
        <v>2019</v>
      </c>
      <c r="C623" t="s">
        <v>35</v>
      </c>
      <c r="D623" t="s">
        <v>35</v>
      </c>
      <c r="E623" t="s">
        <v>358</v>
      </c>
      <c r="F623" t="s">
        <v>141</v>
      </c>
      <c r="G623" s="5">
        <v>21553519</v>
      </c>
      <c r="H623" s="5">
        <v>21643187</v>
      </c>
    </row>
    <row r="624" spans="1:8" x14ac:dyDescent="0.25">
      <c r="A624" t="s">
        <v>267</v>
      </c>
      <c r="B624">
        <v>2019</v>
      </c>
      <c r="C624" t="s">
        <v>35</v>
      </c>
      <c r="D624" t="s">
        <v>35</v>
      </c>
      <c r="E624" t="s">
        <v>361</v>
      </c>
      <c r="F624" t="s">
        <v>144</v>
      </c>
      <c r="G624" s="5">
        <v>19334979</v>
      </c>
      <c r="H624" s="5">
        <v>67931755</v>
      </c>
    </row>
    <row r="625" spans="1:8" x14ac:dyDescent="0.25">
      <c r="A625" t="s">
        <v>267</v>
      </c>
      <c r="B625">
        <v>2019</v>
      </c>
      <c r="C625" t="s">
        <v>35</v>
      </c>
      <c r="D625" t="s">
        <v>35</v>
      </c>
      <c r="E625" t="s">
        <v>359</v>
      </c>
      <c r="F625" t="s">
        <v>142</v>
      </c>
      <c r="G625" s="5">
        <v>18605490</v>
      </c>
      <c r="H625" s="5">
        <v>18605490</v>
      </c>
    </row>
    <row r="626" spans="1:8" x14ac:dyDescent="0.25">
      <c r="A626" t="s">
        <v>267</v>
      </c>
      <c r="B626">
        <v>2019</v>
      </c>
      <c r="C626" t="s">
        <v>35</v>
      </c>
      <c r="D626" t="s">
        <v>35</v>
      </c>
      <c r="E626" t="s">
        <v>367</v>
      </c>
      <c r="F626" t="s">
        <v>150</v>
      </c>
      <c r="G626" s="5">
        <v>16285829</v>
      </c>
      <c r="H626" s="5">
        <v>16285829</v>
      </c>
    </row>
    <row r="627" spans="1:8" x14ac:dyDescent="0.25">
      <c r="A627" t="s">
        <v>267</v>
      </c>
      <c r="B627">
        <v>2019</v>
      </c>
      <c r="C627" t="s">
        <v>35</v>
      </c>
      <c r="D627" t="s">
        <v>35</v>
      </c>
      <c r="E627" t="s">
        <v>365</v>
      </c>
      <c r="F627" t="s">
        <v>148</v>
      </c>
      <c r="G627" s="5">
        <v>15444051</v>
      </c>
      <c r="H627" s="5">
        <v>15446197</v>
      </c>
    </row>
    <row r="628" spans="1:8" x14ac:dyDescent="0.25">
      <c r="A628" t="s">
        <v>267</v>
      </c>
      <c r="B628">
        <v>2019</v>
      </c>
      <c r="C628" t="s">
        <v>35</v>
      </c>
      <c r="D628" t="s">
        <v>35</v>
      </c>
      <c r="E628" t="s">
        <v>370</v>
      </c>
      <c r="F628" t="s">
        <v>153</v>
      </c>
      <c r="G628" s="5">
        <v>14913637</v>
      </c>
      <c r="H628" s="5">
        <v>14913637</v>
      </c>
    </row>
    <row r="629" spans="1:8" x14ac:dyDescent="0.25">
      <c r="A629" t="s">
        <v>267</v>
      </c>
      <c r="B629">
        <v>2019</v>
      </c>
      <c r="C629" t="s">
        <v>35</v>
      </c>
      <c r="D629" t="s">
        <v>35</v>
      </c>
      <c r="E629" t="s">
        <v>364</v>
      </c>
      <c r="F629" t="s">
        <v>147</v>
      </c>
      <c r="G629" s="5">
        <v>10804435</v>
      </c>
      <c r="H629" s="5">
        <v>38073162</v>
      </c>
    </row>
    <row r="630" spans="1:8" x14ac:dyDescent="0.25">
      <c r="A630" t="s">
        <v>267</v>
      </c>
      <c r="B630">
        <v>2019</v>
      </c>
      <c r="C630" t="s">
        <v>35</v>
      </c>
      <c r="D630" t="s">
        <v>35</v>
      </c>
      <c r="E630" t="s">
        <v>366</v>
      </c>
      <c r="F630" t="s">
        <v>149</v>
      </c>
      <c r="G630" s="5">
        <v>6732879</v>
      </c>
      <c r="H630" s="5">
        <v>6967560</v>
      </c>
    </row>
    <row r="631" spans="1:8" x14ac:dyDescent="0.25">
      <c r="A631" t="s">
        <v>267</v>
      </c>
      <c r="B631">
        <v>2019</v>
      </c>
      <c r="C631" t="s">
        <v>35</v>
      </c>
      <c r="D631" t="s">
        <v>35</v>
      </c>
      <c r="E631" t="s">
        <v>372</v>
      </c>
      <c r="F631" t="s">
        <v>155</v>
      </c>
      <c r="G631" s="5">
        <v>6317803</v>
      </c>
      <c r="H631" s="5">
        <v>6317803</v>
      </c>
    </row>
    <row r="632" spans="1:8" x14ac:dyDescent="0.25">
      <c r="A632" t="s">
        <v>267</v>
      </c>
      <c r="B632">
        <v>2019</v>
      </c>
      <c r="C632" t="s">
        <v>35</v>
      </c>
      <c r="D632" t="s">
        <v>35</v>
      </c>
      <c r="E632" t="s">
        <v>368</v>
      </c>
      <c r="F632" t="s">
        <v>151</v>
      </c>
      <c r="G632" s="5">
        <v>4447750</v>
      </c>
      <c r="H632" s="5">
        <v>4447750</v>
      </c>
    </row>
    <row r="633" spans="1:8" x14ac:dyDescent="0.25">
      <c r="A633" t="s">
        <v>267</v>
      </c>
      <c r="B633">
        <v>2019</v>
      </c>
      <c r="C633" t="s">
        <v>35</v>
      </c>
      <c r="D633" t="s">
        <v>35</v>
      </c>
      <c r="E633" t="s">
        <v>371</v>
      </c>
      <c r="F633" t="s">
        <v>154</v>
      </c>
      <c r="G633" s="5">
        <v>3581577</v>
      </c>
      <c r="H633" s="5">
        <v>3581577</v>
      </c>
    </row>
    <row r="634" spans="1:8" x14ac:dyDescent="0.25">
      <c r="A634" t="s">
        <v>267</v>
      </c>
      <c r="B634">
        <v>2019</v>
      </c>
      <c r="C634" t="s">
        <v>35</v>
      </c>
      <c r="D634" t="s">
        <v>35</v>
      </c>
      <c r="E634" t="s">
        <v>373</v>
      </c>
      <c r="F634" t="s">
        <v>156</v>
      </c>
      <c r="G634" s="5">
        <v>3239352</v>
      </c>
      <c r="H634" s="5">
        <v>3239352</v>
      </c>
    </row>
    <row r="635" spans="1:8" x14ac:dyDescent="0.25">
      <c r="A635" t="s">
        <v>267</v>
      </c>
      <c r="B635">
        <v>2019</v>
      </c>
      <c r="C635" t="s">
        <v>35</v>
      </c>
      <c r="D635" t="s">
        <v>35</v>
      </c>
      <c r="E635" t="s">
        <v>378</v>
      </c>
      <c r="F635" t="s">
        <v>162</v>
      </c>
      <c r="G635" s="5">
        <v>2235392</v>
      </c>
      <c r="H635" s="5">
        <v>2235392</v>
      </c>
    </row>
    <row r="636" spans="1:8" x14ac:dyDescent="0.25">
      <c r="A636" t="s">
        <v>267</v>
      </c>
      <c r="B636">
        <v>2019</v>
      </c>
      <c r="C636" t="s">
        <v>35</v>
      </c>
      <c r="D636" t="s">
        <v>35</v>
      </c>
      <c r="E636" t="s">
        <v>369</v>
      </c>
      <c r="F636" t="s">
        <v>152</v>
      </c>
      <c r="G636" s="5">
        <v>2075845</v>
      </c>
      <c r="H636" s="5">
        <v>2075845</v>
      </c>
    </row>
    <row r="637" spans="1:8" x14ac:dyDescent="0.25">
      <c r="A637" t="s">
        <v>267</v>
      </c>
      <c r="B637">
        <v>2019</v>
      </c>
      <c r="C637" t="s">
        <v>35</v>
      </c>
      <c r="D637" t="s">
        <v>35</v>
      </c>
      <c r="E637" t="s">
        <v>442</v>
      </c>
      <c r="F637" t="s">
        <v>229</v>
      </c>
      <c r="G637" s="5">
        <v>1266804</v>
      </c>
      <c r="H637" s="5">
        <v>1266804</v>
      </c>
    </row>
    <row r="638" spans="1:8" x14ac:dyDescent="0.25">
      <c r="A638" t="s">
        <v>267</v>
      </c>
      <c r="B638">
        <v>2019</v>
      </c>
      <c r="C638" t="s">
        <v>35</v>
      </c>
      <c r="D638" t="s">
        <v>35</v>
      </c>
      <c r="E638" t="s">
        <v>376</v>
      </c>
      <c r="F638" t="s">
        <v>159</v>
      </c>
      <c r="G638" s="5">
        <v>956896</v>
      </c>
      <c r="H638" s="5">
        <v>986962</v>
      </c>
    </row>
    <row r="639" spans="1:8" x14ac:dyDescent="0.25">
      <c r="A639" t="s">
        <v>267</v>
      </c>
      <c r="B639">
        <v>2019</v>
      </c>
      <c r="C639" t="s">
        <v>35</v>
      </c>
      <c r="D639" t="s">
        <v>35</v>
      </c>
      <c r="E639" t="s">
        <v>385</v>
      </c>
      <c r="F639" t="s">
        <v>169</v>
      </c>
      <c r="G639" s="5">
        <v>793948</v>
      </c>
      <c r="H639" s="5">
        <v>793948</v>
      </c>
    </row>
    <row r="640" spans="1:8" x14ac:dyDescent="0.25">
      <c r="A640" t="s">
        <v>267</v>
      </c>
      <c r="B640">
        <v>2019</v>
      </c>
      <c r="C640" t="s">
        <v>35</v>
      </c>
      <c r="D640" t="s">
        <v>35</v>
      </c>
      <c r="E640" t="s">
        <v>377</v>
      </c>
      <c r="F640" t="s">
        <v>160</v>
      </c>
      <c r="G640" s="5">
        <v>773665</v>
      </c>
      <c r="H640" s="5">
        <v>773665</v>
      </c>
    </row>
    <row r="641" spans="1:8" x14ac:dyDescent="0.25">
      <c r="A641" t="s">
        <v>267</v>
      </c>
      <c r="B641">
        <v>2019</v>
      </c>
      <c r="C641" t="s">
        <v>35</v>
      </c>
      <c r="D641" t="s">
        <v>35</v>
      </c>
      <c r="E641" t="s">
        <v>383</v>
      </c>
      <c r="F641" t="s">
        <v>167</v>
      </c>
      <c r="G641" s="5">
        <v>564125</v>
      </c>
      <c r="H641" s="5">
        <v>564125</v>
      </c>
    </row>
    <row r="642" spans="1:8" x14ac:dyDescent="0.25">
      <c r="A642" t="s">
        <v>267</v>
      </c>
      <c r="B642">
        <v>2019</v>
      </c>
      <c r="C642" t="s">
        <v>35</v>
      </c>
      <c r="D642" t="s">
        <v>35</v>
      </c>
      <c r="E642" t="s">
        <v>380</v>
      </c>
      <c r="F642" t="s">
        <v>164</v>
      </c>
      <c r="G642" s="5">
        <v>491755</v>
      </c>
      <c r="H642" s="5">
        <v>491755</v>
      </c>
    </row>
    <row r="643" spans="1:8" x14ac:dyDescent="0.25">
      <c r="A643" t="s">
        <v>267</v>
      </c>
      <c r="B643">
        <v>2019</v>
      </c>
      <c r="C643" t="s">
        <v>35</v>
      </c>
      <c r="D643" t="s">
        <v>35</v>
      </c>
      <c r="E643" t="s">
        <v>379</v>
      </c>
      <c r="F643" t="s">
        <v>163</v>
      </c>
      <c r="G643" s="5">
        <v>347636</v>
      </c>
      <c r="H643" s="5">
        <v>347636</v>
      </c>
    </row>
    <row r="644" spans="1:8" x14ac:dyDescent="0.25">
      <c r="A644" t="s">
        <v>267</v>
      </c>
      <c r="B644">
        <v>2019</v>
      </c>
      <c r="C644" t="s">
        <v>35</v>
      </c>
      <c r="D644" t="s">
        <v>35</v>
      </c>
      <c r="F644" t="s">
        <v>161</v>
      </c>
      <c r="G644" s="5">
        <v>332112</v>
      </c>
      <c r="H644" s="5">
        <v>332112</v>
      </c>
    </row>
    <row r="645" spans="1:8" x14ac:dyDescent="0.25">
      <c r="A645" t="s">
        <v>267</v>
      </c>
      <c r="B645">
        <v>2019</v>
      </c>
      <c r="C645" t="s">
        <v>35</v>
      </c>
      <c r="D645" t="s">
        <v>35</v>
      </c>
      <c r="E645" t="s">
        <v>384</v>
      </c>
      <c r="F645" t="s">
        <v>168</v>
      </c>
      <c r="G645" s="5">
        <v>293971</v>
      </c>
      <c r="H645" s="5">
        <v>293971</v>
      </c>
    </row>
    <row r="646" spans="1:8" x14ac:dyDescent="0.25">
      <c r="A646" t="s">
        <v>267</v>
      </c>
      <c r="B646">
        <v>2019</v>
      </c>
      <c r="C646" t="s">
        <v>35</v>
      </c>
      <c r="D646" t="s">
        <v>35</v>
      </c>
      <c r="E646" t="s">
        <v>382</v>
      </c>
      <c r="F646" t="s">
        <v>166</v>
      </c>
      <c r="G646" s="5">
        <v>239288</v>
      </c>
      <c r="H646" s="5">
        <v>20097761</v>
      </c>
    </row>
    <row r="647" spans="1:8" x14ac:dyDescent="0.25">
      <c r="A647" t="s">
        <v>267</v>
      </c>
      <c r="B647">
        <v>2019</v>
      </c>
      <c r="C647" t="s">
        <v>35</v>
      </c>
      <c r="D647" t="s">
        <v>35</v>
      </c>
      <c r="E647" t="s">
        <v>374</v>
      </c>
      <c r="F647" t="s">
        <v>157</v>
      </c>
      <c r="G647" s="5">
        <v>136778</v>
      </c>
      <c r="H647" s="5">
        <v>136778</v>
      </c>
    </row>
    <row r="648" spans="1:8" x14ac:dyDescent="0.25">
      <c r="A648" t="s">
        <v>267</v>
      </c>
      <c r="B648">
        <v>2019</v>
      </c>
      <c r="C648" t="s">
        <v>35</v>
      </c>
      <c r="D648" t="s">
        <v>35</v>
      </c>
      <c r="E648" t="s">
        <v>381</v>
      </c>
      <c r="F648" t="s">
        <v>165</v>
      </c>
      <c r="G648" s="5">
        <v>49720</v>
      </c>
      <c r="H648" s="5">
        <v>49720</v>
      </c>
    </row>
    <row r="649" spans="1:8" x14ac:dyDescent="0.25">
      <c r="A649" t="s">
        <v>267</v>
      </c>
      <c r="B649">
        <v>2019</v>
      </c>
      <c r="C649" t="s">
        <v>172</v>
      </c>
      <c r="D649" t="s">
        <v>34</v>
      </c>
      <c r="E649" t="s">
        <v>388</v>
      </c>
      <c r="F649" t="s">
        <v>173</v>
      </c>
      <c r="G649" s="5">
        <v>3850094647</v>
      </c>
      <c r="H649" s="5">
        <v>4165313108</v>
      </c>
    </row>
    <row r="650" spans="1:8" x14ac:dyDescent="0.25">
      <c r="A650" t="s">
        <v>267</v>
      </c>
      <c r="B650">
        <v>2019</v>
      </c>
      <c r="C650" t="s">
        <v>172</v>
      </c>
      <c r="D650" t="s">
        <v>34</v>
      </c>
      <c r="E650" t="s">
        <v>389</v>
      </c>
      <c r="F650" t="s">
        <v>174</v>
      </c>
      <c r="G650" s="5">
        <v>949639840</v>
      </c>
      <c r="H650" s="5">
        <v>951713863</v>
      </c>
    </row>
    <row r="651" spans="1:8" x14ac:dyDescent="0.25">
      <c r="A651" t="s">
        <v>267</v>
      </c>
      <c r="B651">
        <v>2019</v>
      </c>
      <c r="C651" t="s">
        <v>172</v>
      </c>
      <c r="D651" t="s">
        <v>34</v>
      </c>
      <c r="E651" t="s">
        <v>390</v>
      </c>
      <c r="F651" t="s">
        <v>175</v>
      </c>
      <c r="G651" s="5">
        <v>673751381</v>
      </c>
      <c r="H651" s="5">
        <v>2120210631</v>
      </c>
    </row>
    <row r="652" spans="1:8" x14ac:dyDescent="0.25">
      <c r="A652" t="s">
        <v>267</v>
      </c>
      <c r="B652">
        <v>2019</v>
      </c>
      <c r="C652" t="s">
        <v>172</v>
      </c>
      <c r="D652" t="s">
        <v>34</v>
      </c>
      <c r="E652" t="s">
        <v>391</v>
      </c>
      <c r="F652" t="s">
        <v>176</v>
      </c>
      <c r="G652" s="5">
        <v>563006464</v>
      </c>
      <c r="H652" s="5">
        <v>627568665</v>
      </c>
    </row>
    <row r="653" spans="1:8" x14ac:dyDescent="0.25">
      <c r="A653" t="s">
        <v>267</v>
      </c>
      <c r="B653">
        <v>2019</v>
      </c>
      <c r="C653" t="s">
        <v>172</v>
      </c>
      <c r="D653" t="s">
        <v>34</v>
      </c>
      <c r="E653" t="s">
        <v>392</v>
      </c>
      <c r="F653" t="s">
        <v>178</v>
      </c>
      <c r="G653" s="5">
        <v>541304564</v>
      </c>
      <c r="H653" s="5">
        <v>545160748</v>
      </c>
    </row>
    <row r="654" spans="1:8" x14ac:dyDescent="0.25">
      <c r="A654" t="s">
        <v>267</v>
      </c>
      <c r="B654">
        <v>2019</v>
      </c>
      <c r="C654" t="s">
        <v>172</v>
      </c>
      <c r="D654" t="s">
        <v>34</v>
      </c>
      <c r="E654" t="s">
        <v>393</v>
      </c>
      <c r="F654" t="s">
        <v>179</v>
      </c>
      <c r="G654" s="5">
        <v>275757180</v>
      </c>
      <c r="H654" s="5">
        <v>276105383</v>
      </c>
    </row>
    <row r="655" spans="1:8" x14ac:dyDescent="0.25">
      <c r="A655" t="s">
        <v>267</v>
      </c>
      <c r="B655">
        <v>2019</v>
      </c>
      <c r="C655" t="s">
        <v>172</v>
      </c>
      <c r="D655" t="s">
        <v>34</v>
      </c>
      <c r="E655" t="s">
        <v>394</v>
      </c>
      <c r="F655" t="s">
        <v>180</v>
      </c>
      <c r="G655" s="5">
        <v>198307015</v>
      </c>
      <c r="H655" s="5">
        <v>201046976</v>
      </c>
    </row>
    <row r="656" spans="1:8" x14ac:dyDescent="0.25">
      <c r="A656" t="s">
        <v>267</v>
      </c>
      <c r="B656">
        <v>2019</v>
      </c>
      <c r="C656" t="s">
        <v>172</v>
      </c>
      <c r="D656" t="s">
        <v>34</v>
      </c>
      <c r="E656" t="s">
        <v>395</v>
      </c>
      <c r="F656" t="s">
        <v>181</v>
      </c>
      <c r="G656" s="5">
        <v>186760248</v>
      </c>
      <c r="H656" s="5">
        <v>216352632</v>
      </c>
    </row>
    <row r="657" spans="1:8" x14ac:dyDescent="0.25">
      <c r="A657" t="s">
        <v>267</v>
      </c>
      <c r="B657">
        <v>2019</v>
      </c>
      <c r="C657" t="s">
        <v>172</v>
      </c>
      <c r="D657" t="s">
        <v>34</v>
      </c>
      <c r="E657" t="s">
        <v>396</v>
      </c>
      <c r="F657" t="s">
        <v>183</v>
      </c>
      <c r="G657" s="5">
        <v>136617178</v>
      </c>
      <c r="H657" s="5">
        <v>137377274</v>
      </c>
    </row>
    <row r="658" spans="1:8" x14ac:dyDescent="0.25">
      <c r="A658" t="s">
        <v>267</v>
      </c>
      <c r="B658">
        <v>2019</v>
      </c>
      <c r="C658" t="s">
        <v>172</v>
      </c>
      <c r="D658" t="s">
        <v>34</v>
      </c>
      <c r="E658" t="s">
        <v>397</v>
      </c>
      <c r="F658" t="s">
        <v>184</v>
      </c>
      <c r="G658" s="5">
        <v>130023227</v>
      </c>
      <c r="H658" s="5">
        <v>130790913</v>
      </c>
    </row>
    <row r="659" spans="1:8" x14ac:dyDescent="0.25">
      <c r="A659" t="s">
        <v>267</v>
      </c>
      <c r="B659">
        <v>2019</v>
      </c>
      <c r="C659" t="s">
        <v>172</v>
      </c>
      <c r="D659" t="s">
        <v>34</v>
      </c>
      <c r="E659" t="s">
        <v>400</v>
      </c>
      <c r="F659" t="s">
        <v>189</v>
      </c>
      <c r="G659" s="5">
        <v>101614439</v>
      </c>
      <c r="H659" s="5">
        <v>101812704</v>
      </c>
    </row>
    <row r="660" spans="1:8" x14ac:dyDescent="0.25">
      <c r="A660" t="s">
        <v>267</v>
      </c>
      <c r="B660">
        <v>2019</v>
      </c>
      <c r="C660" t="s">
        <v>172</v>
      </c>
      <c r="D660" t="s">
        <v>34</v>
      </c>
      <c r="E660" t="s">
        <v>399</v>
      </c>
      <c r="F660" t="s">
        <v>187</v>
      </c>
      <c r="G660" s="5">
        <v>92722245</v>
      </c>
      <c r="H660" s="5">
        <v>100092819</v>
      </c>
    </row>
    <row r="661" spans="1:8" x14ac:dyDescent="0.25">
      <c r="A661" t="s">
        <v>267</v>
      </c>
      <c r="B661">
        <v>2019</v>
      </c>
      <c r="C661" t="s">
        <v>172</v>
      </c>
      <c r="D661" t="s">
        <v>34</v>
      </c>
      <c r="E661" t="s">
        <v>398</v>
      </c>
      <c r="F661" t="s">
        <v>186</v>
      </c>
      <c r="G661" s="5">
        <v>83393720</v>
      </c>
      <c r="H661" s="5">
        <v>83896921</v>
      </c>
    </row>
    <row r="662" spans="1:8" x14ac:dyDescent="0.25">
      <c r="A662" t="s">
        <v>267</v>
      </c>
      <c r="B662">
        <v>2019</v>
      </c>
      <c r="C662" t="s">
        <v>172</v>
      </c>
      <c r="D662" t="s">
        <v>34</v>
      </c>
      <c r="E662" t="s">
        <v>401</v>
      </c>
      <c r="F662" t="s">
        <v>190</v>
      </c>
      <c r="G662" s="5">
        <v>64237163</v>
      </c>
      <c r="H662" s="5">
        <v>75584491</v>
      </c>
    </row>
    <row r="663" spans="1:8" x14ac:dyDescent="0.25">
      <c r="A663" t="s">
        <v>267</v>
      </c>
      <c r="B663">
        <v>2019</v>
      </c>
      <c r="C663" t="s">
        <v>172</v>
      </c>
      <c r="D663" t="s">
        <v>34</v>
      </c>
      <c r="E663" t="s">
        <v>402</v>
      </c>
      <c r="F663" t="s">
        <v>191</v>
      </c>
      <c r="G663" s="5">
        <v>46908091</v>
      </c>
      <c r="H663" s="5">
        <v>47604233</v>
      </c>
    </row>
    <row r="664" spans="1:8" x14ac:dyDescent="0.25">
      <c r="A664" t="s">
        <v>267</v>
      </c>
      <c r="B664">
        <v>2019</v>
      </c>
      <c r="C664" t="s">
        <v>172</v>
      </c>
      <c r="D664" t="s">
        <v>34</v>
      </c>
      <c r="E664" t="s">
        <v>403</v>
      </c>
      <c r="F664" t="s">
        <v>192</v>
      </c>
      <c r="G664" s="5">
        <v>46832560</v>
      </c>
      <c r="H664" s="5">
        <v>46851749</v>
      </c>
    </row>
    <row r="665" spans="1:8" x14ac:dyDescent="0.25">
      <c r="A665" t="s">
        <v>267</v>
      </c>
      <c r="B665">
        <v>2019</v>
      </c>
      <c r="C665" t="s">
        <v>172</v>
      </c>
      <c r="D665" t="s">
        <v>34</v>
      </c>
      <c r="E665" t="s">
        <v>404</v>
      </c>
      <c r="F665" t="s">
        <v>193</v>
      </c>
      <c r="G665" s="5">
        <v>44801623</v>
      </c>
      <c r="H665" s="5">
        <v>44988789</v>
      </c>
    </row>
    <row r="666" spans="1:8" x14ac:dyDescent="0.25">
      <c r="A666" t="s">
        <v>267</v>
      </c>
      <c r="B666">
        <v>2019</v>
      </c>
      <c r="C666" t="s">
        <v>172</v>
      </c>
      <c r="D666" t="s">
        <v>34</v>
      </c>
      <c r="E666" t="s">
        <v>405</v>
      </c>
      <c r="F666" t="s">
        <v>194</v>
      </c>
      <c r="G666" s="5">
        <v>35515116</v>
      </c>
      <c r="H666" s="5">
        <v>35905748</v>
      </c>
    </row>
    <row r="667" spans="1:8" x14ac:dyDescent="0.25">
      <c r="A667" t="s">
        <v>267</v>
      </c>
      <c r="B667">
        <v>2019</v>
      </c>
      <c r="C667" t="s">
        <v>172</v>
      </c>
      <c r="D667" t="s">
        <v>34</v>
      </c>
      <c r="E667" t="s">
        <v>406</v>
      </c>
      <c r="F667" t="s">
        <v>195</v>
      </c>
      <c r="G667" s="5">
        <v>26370812</v>
      </c>
      <c r="H667" s="5">
        <v>26379938</v>
      </c>
    </row>
    <row r="668" spans="1:8" x14ac:dyDescent="0.25">
      <c r="A668" t="s">
        <v>267</v>
      </c>
      <c r="B668">
        <v>2019</v>
      </c>
      <c r="C668" t="s">
        <v>172</v>
      </c>
      <c r="D668" t="s">
        <v>34</v>
      </c>
      <c r="E668" t="s">
        <v>410</v>
      </c>
      <c r="F668" t="s">
        <v>201</v>
      </c>
      <c r="G668" s="5">
        <v>21834100</v>
      </c>
      <c r="H668" s="5">
        <v>21951184</v>
      </c>
    </row>
    <row r="669" spans="1:8" x14ac:dyDescent="0.25">
      <c r="A669" t="s">
        <v>267</v>
      </c>
      <c r="B669">
        <v>2019</v>
      </c>
      <c r="C669" t="s">
        <v>172</v>
      </c>
      <c r="D669" t="s">
        <v>34</v>
      </c>
      <c r="E669" t="s">
        <v>407</v>
      </c>
      <c r="F669" t="s">
        <v>197</v>
      </c>
      <c r="G669" s="5">
        <v>18499340</v>
      </c>
      <c r="H669" s="5">
        <v>18665910</v>
      </c>
    </row>
    <row r="670" spans="1:8" x14ac:dyDescent="0.25">
      <c r="A670" t="s">
        <v>267</v>
      </c>
      <c r="B670">
        <v>2019</v>
      </c>
      <c r="C670" t="s">
        <v>172</v>
      </c>
      <c r="D670" t="s">
        <v>34</v>
      </c>
      <c r="E670" t="s">
        <v>408</v>
      </c>
      <c r="F670" t="s">
        <v>198</v>
      </c>
      <c r="G670" s="5">
        <v>17305741</v>
      </c>
      <c r="H670" s="5">
        <v>17365839</v>
      </c>
    </row>
    <row r="671" spans="1:8" x14ac:dyDescent="0.25">
      <c r="A671" t="s">
        <v>267</v>
      </c>
      <c r="B671">
        <v>2019</v>
      </c>
      <c r="C671" t="s">
        <v>172</v>
      </c>
      <c r="D671" t="s">
        <v>34</v>
      </c>
      <c r="E671" t="s">
        <v>409</v>
      </c>
      <c r="F671" t="s">
        <v>199</v>
      </c>
      <c r="G671" s="5">
        <v>16009354</v>
      </c>
      <c r="H671" s="5">
        <v>39821314</v>
      </c>
    </row>
    <row r="672" spans="1:8" x14ac:dyDescent="0.25">
      <c r="A672" t="s">
        <v>267</v>
      </c>
      <c r="B672">
        <v>2019</v>
      </c>
      <c r="C672" t="s">
        <v>172</v>
      </c>
      <c r="D672" t="s">
        <v>34</v>
      </c>
      <c r="E672" t="s">
        <v>411</v>
      </c>
      <c r="F672" t="s">
        <v>203</v>
      </c>
      <c r="G672" s="5">
        <v>13268129</v>
      </c>
      <c r="H672" s="5">
        <v>13273411</v>
      </c>
    </row>
    <row r="673" spans="1:8" x14ac:dyDescent="0.25">
      <c r="A673" t="s">
        <v>267</v>
      </c>
      <c r="B673">
        <v>2019</v>
      </c>
      <c r="C673" t="s">
        <v>172</v>
      </c>
      <c r="D673" t="s">
        <v>34</v>
      </c>
      <c r="E673" t="s">
        <v>412</v>
      </c>
      <c r="F673" t="s">
        <v>204</v>
      </c>
      <c r="G673" s="5">
        <v>9488523</v>
      </c>
      <c r="H673" s="5">
        <v>9717946</v>
      </c>
    </row>
    <row r="674" spans="1:8" x14ac:dyDescent="0.25">
      <c r="A674" t="s">
        <v>267</v>
      </c>
      <c r="B674">
        <v>2019</v>
      </c>
      <c r="C674" t="s">
        <v>172</v>
      </c>
      <c r="D674" t="s">
        <v>34</v>
      </c>
      <c r="E674" t="s">
        <v>413</v>
      </c>
      <c r="F674" t="s">
        <v>207</v>
      </c>
      <c r="G674" s="5">
        <v>7592538</v>
      </c>
      <c r="H674" s="5">
        <v>7686526</v>
      </c>
    </row>
    <row r="675" spans="1:8" x14ac:dyDescent="0.25">
      <c r="A675" t="s">
        <v>267</v>
      </c>
      <c r="B675">
        <v>2019</v>
      </c>
      <c r="C675" t="s">
        <v>172</v>
      </c>
      <c r="D675" t="s">
        <v>34</v>
      </c>
      <c r="E675" t="s">
        <v>414</v>
      </c>
      <c r="F675" t="s">
        <v>209</v>
      </c>
      <c r="G675" s="5">
        <v>3741684</v>
      </c>
      <c r="H675" s="5">
        <v>3841411</v>
      </c>
    </row>
    <row r="676" spans="1:8" x14ac:dyDescent="0.25">
      <c r="A676" t="s">
        <v>267</v>
      </c>
      <c r="B676">
        <v>2019</v>
      </c>
      <c r="C676" t="s">
        <v>172</v>
      </c>
      <c r="D676" t="s">
        <v>37</v>
      </c>
      <c r="E676" t="s">
        <v>415</v>
      </c>
      <c r="F676" t="s">
        <v>177</v>
      </c>
      <c r="G676" s="5">
        <v>524138123</v>
      </c>
      <c r="H676" s="5">
        <v>9107466525</v>
      </c>
    </row>
    <row r="677" spans="1:8" x14ac:dyDescent="0.25">
      <c r="A677" t="s">
        <v>267</v>
      </c>
      <c r="B677">
        <v>2019</v>
      </c>
      <c r="C677" t="s">
        <v>172</v>
      </c>
      <c r="D677" t="s">
        <v>37</v>
      </c>
      <c r="E677" t="s">
        <v>417</v>
      </c>
      <c r="F677" t="s">
        <v>185</v>
      </c>
      <c r="G677" s="5">
        <v>168475383</v>
      </c>
      <c r="H677" s="5">
        <v>173128593</v>
      </c>
    </row>
    <row r="678" spans="1:8" x14ac:dyDescent="0.25">
      <c r="A678" t="s">
        <v>267</v>
      </c>
      <c r="B678">
        <v>2019</v>
      </c>
      <c r="C678" t="s">
        <v>172</v>
      </c>
      <c r="D678" t="s">
        <v>37</v>
      </c>
      <c r="E678" t="s">
        <v>416</v>
      </c>
      <c r="F678" t="s">
        <v>182</v>
      </c>
      <c r="G678" s="5">
        <v>103775281</v>
      </c>
      <c r="H678" s="5">
        <v>243665192</v>
      </c>
    </row>
    <row r="679" spans="1:8" x14ac:dyDescent="0.25">
      <c r="A679" t="s">
        <v>267</v>
      </c>
      <c r="B679">
        <v>2019</v>
      </c>
      <c r="C679" t="s">
        <v>172</v>
      </c>
      <c r="D679" t="s">
        <v>37</v>
      </c>
      <c r="E679" t="s">
        <v>418</v>
      </c>
      <c r="F679" t="s">
        <v>188</v>
      </c>
      <c r="G679" s="5">
        <v>54732726</v>
      </c>
      <c r="H679" s="5">
        <v>56388689</v>
      </c>
    </row>
    <row r="680" spans="1:8" x14ac:dyDescent="0.25">
      <c r="A680" t="s">
        <v>267</v>
      </c>
      <c r="B680">
        <v>2019</v>
      </c>
      <c r="C680" t="s">
        <v>172</v>
      </c>
      <c r="D680" t="s">
        <v>37</v>
      </c>
      <c r="E680" t="s">
        <v>419</v>
      </c>
      <c r="F680" t="s">
        <v>196</v>
      </c>
      <c r="G680" s="5">
        <v>24997133</v>
      </c>
      <c r="H680" s="5">
        <v>25584180</v>
      </c>
    </row>
    <row r="681" spans="1:8" x14ac:dyDescent="0.25">
      <c r="A681" t="s">
        <v>267</v>
      </c>
      <c r="B681">
        <v>2019</v>
      </c>
      <c r="C681" t="s">
        <v>172</v>
      </c>
      <c r="D681" t="s">
        <v>37</v>
      </c>
      <c r="E681" t="s">
        <v>420</v>
      </c>
      <c r="F681" t="s">
        <v>200</v>
      </c>
      <c r="G681" s="5">
        <v>17200934</v>
      </c>
      <c r="H681" s="5">
        <v>17202171</v>
      </c>
    </row>
    <row r="682" spans="1:8" x14ac:dyDescent="0.25">
      <c r="A682" t="s">
        <v>267</v>
      </c>
      <c r="B682">
        <v>2019</v>
      </c>
      <c r="C682" t="s">
        <v>172</v>
      </c>
      <c r="D682" t="s">
        <v>37</v>
      </c>
      <c r="E682" t="s">
        <v>421</v>
      </c>
      <c r="F682" t="s">
        <v>202</v>
      </c>
      <c r="G682" s="5">
        <v>7125216</v>
      </c>
      <c r="H682" s="5">
        <v>7135911</v>
      </c>
    </row>
    <row r="683" spans="1:8" x14ac:dyDescent="0.25">
      <c r="A683" t="s">
        <v>267</v>
      </c>
      <c r="B683">
        <v>2019</v>
      </c>
      <c r="C683" t="s">
        <v>172</v>
      </c>
      <c r="D683" t="s">
        <v>37</v>
      </c>
      <c r="E683" t="s">
        <v>423</v>
      </c>
      <c r="F683" t="s">
        <v>206</v>
      </c>
      <c r="G683" s="5">
        <v>6312652</v>
      </c>
      <c r="H683" s="5">
        <v>6312652</v>
      </c>
    </row>
    <row r="684" spans="1:8" x14ac:dyDescent="0.25">
      <c r="A684" t="s">
        <v>267</v>
      </c>
      <c r="B684">
        <v>2019</v>
      </c>
      <c r="C684" t="s">
        <v>172</v>
      </c>
      <c r="D684" t="s">
        <v>37</v>
      </c>
      <c r="E684" t="s">
        <v>424</v>
      </c>
      <c r="F684" t="s">
        <v>208</v>
      </c>
      <c r="G684" s="5">
        <v>3940449</v>
      </c>
      <c r="H684" s="5">
        <v>3940449</v>
      </c>
    </row>
    <row r="685" spans="1:8" x14ac:dyDescent="0.25">
      <c r="A685" t="s">
        <v>267</v>
      </c>
      <c r="B685">
        <v>2019</v>
      </c>
      <c r="C685" t="s">
        <v>172</v>
      </c>
      <c r="D685" t="s">
        <v>37</v>
      </c>
      <c r="E685" t="s">
        <v>422</v>
      </c>
      <c r="F685" t="s">
        <v>205</v>
      </c>
      <c r="G685" s="5">
        <v>3597148</v>
      </c>
      <c r="H685" s="5">
        <v>3597148</v>
      </c>
    </row>
    <row r="686" spans="1:8" x14ac:dyDescent="0.25">
      <c r="A686" t="s">
        <v>267</v>
      </c>
      <c r="B686">
        <v>2019</v>
      </c>
      <c r="C686" t="s">
        <v>172</v>
      </c>
      <c r="D686" t="s">
        <v>37</v>
      </c>
      <c r="E686" t="s">
        <v>425</v>
      </c>
      <c r="F686" t="s">
        <v>210</v>
      </c>
      <c r="G686" s="5">
        <v>2915808</v>
      </c>
      <c r="H686" s="5">
        <v>2915808</v>
      </c>
    </row>
    <row r="687" spans="1:8" x14ac:dyDescent="0.25">
      <c r="A687" t="s">
        <v>267</v>
      </c>
      <c r="B687">
        <v>2019</v>
      </c>
      <c r="C687" t="s">
        <v>172</v>
      </c>
      <c r="D687" t="s">
        <v>37</v>
      </c>
      <c r="E687" t="s">
        <v>427</v>
      </c>
      <c r="F687" t="s">
        <v>212</v>
      </c>
      <c r="G687" s="5">
        <v>2576890</v>
      </c>
      <c r="H687" s="5">
        <v>2576890</v>
      </c>
    </row>
    <row r="688" spans="1:8" x14ac:dyDescent="0.25">
      <c r="A688" t="s">
        <v>267</v>
      </c>
      <c r="B688">
        <v>2019</v>
      </c>
      <c r="C688" t="s">
        <v>172</v>
      </c>
      <c r="D688" t="s">
        <v>37</v>
      </c>
      <c r="E688" t="s">
        <v>426</v>
      </c>
      <c r="F688" t="s">
        <v>211</v>
      </c>
      <c r="G688" s="5">
        <v>1259175</v>
      </c>
      <c r="H688" s="5">
        <v>1261903</v>
      </c>
    </row>
    <row r="689" spans="1:8" x14ac:dyDescent="0.25">
      <c r="A689" t="s">
        <v>267</v>
      </c>
      <c r="B689">
        <v>2019</v>
      </c>
      <c r="C689" t="s">
        <v>172</v>
      </c>
      <c r="D689" t="s">
        <v>37</v>
      </c>
      <c r="E689" t="s">
        <v>428</v>
      </c>
      <c r="F689" t="s">
        <v>213</v>
      </c>
      <c r="G689" s="5">
        <v>474506</v>
      </c>
      <c r="H689" s="5">
        <v>474506</v>
      </c>
    </row>
    <row r="690" spans="1:8" x14ac:dyDescent="0.25">
      <c r="A690" t="s">
        <v>267</v>
      </c>
      <c r="B690">
        <v>2019</v>
      </c>
      <c r="C690" t="s">
        <v>172</v>
      </c>
      <c r="D690" t="s">
        <v>37</v>
      </c>
      <c r="F690" t="s">
        <v>215</v>
      </c>
      <c r="G690" s="5">
        <v>320135</v>
      </c>
      <c r="H690" s="5">
        <v>3882614</v>
      </c>
    </row>
    <row r="691" spans="1:8" x14ac:dyDescent="0.25">
      <c r="A691" t="s">
        <v>267</v>
      </c>
      <c r="B691">
        <v>2019</v>
      </c>
      <c r="C691" t="s">
        <v>172</v>
      </c>
      <c r="D691" t="s">
        <v>37</v>
      </c>
      <c r="E691" t="s">
        <v>429</v>
      </c>
      <c r="F691" t="s">
        <v>214</v>
      </c>
      <c r="G691" s="5">
        <v>282868</v>
      </c>
      <c r="H691" s="5">
        <v>282868</v>
      </c>
    </row>
    <row r="692" spans="1:8" x14ac:dyDescent="0.25">
      <c r="A692" t="s">
        <v>267</v>
      </c>
      <c r="B692">
        <v>2019</v>
      </c>
      <c r="C692" t="s">
        <v>172</v>
      </c>
      <c r="D692" t="s">
        <v>37</v>
      </c>
      <c r="E692" t="s">
        <v>431</v>
      </c>
      <c r="F692" t="s">
        <v>217</v>
      </c>
      <c r="G692" s="5">
        <v>74896</v>
      </c>
      <c r="H692" s="5">
        <v>77237</v>
      </c>
    </row>
    <row r="693" spans="1:8" x14ac:dyDescent="0.25">
      <c r="A693" t="s">
        <v>267</v>
      </c>
      <c r="B693">
        <v>2019</v>
      </c>
      <c r="C693" t="s">
        <v>40</v>
      </c>
      <c r="D693" t="s">
        <v>40</v>
      </c>
      <c r="E693" t="s">
        <v>432</v>
      </c>
      <c r="F693" t="s">
        <v>218</v>
      </c>
      <c r="G693" s="5">
        <v>140009600</v>
      </c>
      <c r="H693" s="5">
        <v>141447293</v>
      </c>
    </row>
    <row r="694" spans="1:8" x14ac:dyDescent="0.25">
      <c r="A694" t="s">
        <v>267</v>
      </c>
      <c r="B694">
        <v>2019</v>
      </c>
      <c r="C694" t="s">
        <v>40</v>
      </c>
      <c r="D694" t="s">
        <v>40</v>
      </c>
      <c r="F694" t="s">
        <v>225</v>
      </c>
      <c r="G694" s="5">
        <v>19943583</v>
      </c>
      <c r="H694" s="5">
        <v>19958403</v>
      </c>
    </row>
    <row r="695" spans="1:8" x14ac:dyDescent="0.25">
      <c r="A695" t="s">
        <v>267</v>
      </c>
      <c r="B695">
        <v>2019</v>
      </c>
      <c r="C695" t="s">
        <v>40</v>
      </c>
      <c r="D695" t="s">
        <v>40</v>
      </c>
      <c r="E695" t="s">
        <v>433</v>
      </c>
      <c r="F695" t="s">
        <v>219</v>
      </c>
      <c r="G695" s="5">
        <v>16090931</v>
      </c>
      <c r="H695" s="5">
        <v>16126591</v>
      </c>
    </row>
    <row r="696" spans="1:8" x14ac:dyDescent="0.25">
      <c r="A696" t="s">
        <v>267</v>
      </c>
      <c r="B696">
        <v>2019</v>
      </c>
      <c r="C696" t="s">
        <v>40</v>
      </c>
      <c r="D696" t="s">
        <v>40</v>
      </c>
      <c r="E696" t="s">
        <v>438</v>
      </c>
      <c r="F696" t="s">
        <v>224</v>
      </c>
      <c r="G696" s="5">
        <v>307623</v>
      </c>
      <c r="H696" s="5">
        <v>307623</v>
      </c>
    </row>
    <row r="697" spans="1:8" x14ac:dyDescent="0.25">
      <c r="A697" t="s">
        <v>267</v>
      </c>
      <c r="B697">
        <v>2019</v>
      </c>
      <c r="C697" t="s">
        <v>40</v>
      </c>
      <c r="D697" t="s">
        <v>40</v>
      </c>
      <c r="E697" t="s">
        <v>436</v>
      </c>
      <c r="F697" t="s">
        <v>222</v>
      </c>
      <c r="G697" s="5">
        <v>212076</v>
      </c>
      <c r="H697" s="5">
        <v>212076</v>
      </c>
    </row>
    <row r="698" spans="1:8" x14ac:dyDescent="0.25">
      <c r="A698" t="s">
        <v>267</v>
      </c>
      <c r="B698">
        <v>2019</v>
      </c>
      <c r="C698" t="s">
        <v>40</v>
      </c>
      <c r="D698" t="s">
        <v>40</v>
      </c>
      <c r="E698" t="s">
        <v>434</v>
      </c>
      <c r="F698" t="s">
        <v>220</v>
      </c>
      <c r="G698" s="5">
        <v>38387</v>
      </c>
      <c r="H698" s="5">
        <v>38387</v>
      </c>
    </row>
    <row r="699" spans="1:8" x14ac:dyDescent="0.25">
      <c r="A699" t="s">
        <v>267</v>
      </c>
      <c r="B699">
        <v>2020</v>
      </c>
      <c r="C699" t="s">
        <v>39</v>
      </c>
      <c r="D699" t="s">
        <v>39</v>
      </c>
      <c r="E699" t="s">
        <v>269</v>
      </c>
      <c r="F699" t="s">
        <v>48</v>
      </c>
      <c r="G699" s="5">
        <v>39597782</v>
      </c>
      <c r="H699" s="5">
        <v>39624746</v>
      </c>
    </row>
    <row r="700" spans="1:8" x14ac:dyDescent="0.25">
      <c r="A700" t="s">
        <v>267</v>
      </c>
      <c r="B700">
        <v>2020</v>
      </c>
      <c r="C700" t="s">
        <v>39</v>
      </c>
      <c r="D700" t="s">
        <v>39</v>
      </c>
      <c r="E700" t="s">
        <v>268</v>
      </c>
      <c r="F700" t="s">
        <v>47</v>
      </c>
      <c r="G700" s="5">
        <v>30451825</v>
      </c>
      <c r="H700" s="5">
        <v>30516108</v>
      </c>
    </row>
    <row r="701" spans="1:8" x14ac:dyDescent="0.25">
      <c r="A701" t="s">
        <v>267</v>
      </c>
      <c r="B701">
        <v>2020</v>
      </c>
      <c r="C701" t="s">
        <v>39</v>
      </c>
      <c r="D701" t="s">
        <v>39</v>
      </c>
      <c r="E701" t="s">
        <v>271</v>
      </c>
      <c r="F701" t="s">
        <v>50</v>
      </c>
      <c r="G701" s="5">
        <v>12627078</v>
      </c>
      <c r="H701" s="5">
        <v>33019975</v>
      </c>
    </row>
    <row r="702" spans="1:8" x14ac:dyDescent="0.25">
      <c r="A702" t="s">
        <v>267</v>
      </c>
      <c r="B702">
        <v>2020</v>
      </c>
      <c r="C702" t="s">
        <v>39</v>
      </c>
      <c r="D702" t="s">
        <v>39</v>
      </c>
      <c r="E702" t="s">
        <v>273</v>
      </c>
      <c r="F702" t="s">
        <v>52</v>
      </c>
      <c r="G702" s="5">
        <v>10953521</v>
      </c>
      <c r="H702" s="5">
        <v>11088707</v>
      </c>
    </row>
    <row r="703" spans="1:8" x14ac:dyDescent="0.25">
      <c r="A703" t="s">
        <v>267</v>
      </c>
      <c r="B703">
        <v>2020</v>
      </c>
      <c r="C703" t="s">
        <v>39</v>
      </c>
      <c r="D703" t="s">
        <v>39</v>
      </c>
      <c r="E703" t="s">
        <v>275</v>
      </c>
      <c r="F703" t="s">
        <v>54</v>
      </c>
      <c r="G703" s="5">
        <v>8366198</v>
      </c>
      <c r="H703" s="5">
        <v>8366198</v>
      </c>
    </row>
    <row r="704" spans="1:8" x14ac:dyDescent="0.25">
      <c r="A704" t="s">
        <v>267</v>
      </c>
      <c r="B704">
        <v>2020</v>
      </c>
      <c r="C704" t="s">
        <v>39</v>
      </c>
      <c r="D704" t="s">
        <v>39</v>
      </c>
      <c r="E704" t="s">
        <v>277</v>
      </c>
      <c r="F704" t="s">
        <v>56</v>
      </c>
      <c r="G704" s="5">
        <v>6876864</v>
      </c>
      <c r="H704" s="5">
        <v>6876864</v>
      </c>
    </row>
    <row r="705" spans="1:8" x14ac:dyDescent="0.25">
      <c r="A705" t="s">
        <v>267</v>
      </c>
      <c r="B705">
        <v>2020</v>
      </c>
      <c r="C705" t="s">
        <v>39</v>
      </c>
      <c r="D705" t="s">
        <v>39</v>
      </c>
      <c r="E705" t="s">
        <v>270</v>
      </c>
      <c r="F705" t="s">
        <v>49</v>
      </c>
      <c r="G705" s="5">
        <v>6346733</v>
      </c>
      <c r="H705" s="5">
        <v>6346733</v>
      </c>
    </row>
    <row r="706" spans="1:8" x14ac:dyDescent="0.25">
      <c r="A706" t="s">
        <v>267</v>
      </c>
      <c r="B706">
        <v>2020</v>
      </c>
      <c r="C706" t="s">
        <v>39</v>
      </c>
      <c r="D706" t="s">
        <v>39</v>
      </c>
      <c r="E706" t="s">
        <v>278</v>
      </c>
      <c r="F706" t="s">
        <v>57</v>
      </c>
      <c r="G706" s="5">
        <v>4995660</v>
      </c>
      <c r="H706" s="5">
        <v>4995660</v>
      </c>
    </row>
    <row r="707" spans="1:8" x14ac:dyDescent="0.25">
      <c r="A707" t="s">
        <v>267</v>
      </c>
      <c r="B707">
        <v>2020</v>
      </c>
      <c r="C707" t="s">
        <v>39</v>
      </c>
      <c r="D707" t="s">
        <v>39</v>
      </c>
      <c r="E707" t="s">
        <v>276</v>
      </c>
      <c r="F707" t="s">
        <v>55</v>
      </c>
      <c r="G707" s="5">
        <v>4693204</v>
      </c>
      <c r="H707" s="5">
        <v>4693204</v>
      </c>
    </row>
    <row r="708" spans="1:8" x14ac:dyDescent="0.25">
      <c r="A708" t="s">
        <v>267</v>
      </c>
      <c r="B708">
        <v>2020</v>
      </c>
      <c r="C708" t="s">
        <v>39</v>
      </c>
      <c r="D708" t="s">
        <v>39</v>
      </c>
      <c r="E708" t="s">
        <v>274</v>
      </c>
      <c r="F708" t="s">
        <v>53</v>
      </c>
      <c r="G708" s="5">
        <v>4509992</v>
      </c>
      <c r="H708" s="5">
        <v>4509992</v>
      </c>
    </row>
    <row r="709" spans="1:8" x14ac:dyDescent="0.25">
      <c r="A709" t="s">
        <v>267</v>
      </c>
      <c r="B709">
        <v>2020</v>
      </c>
      <c r="C709" t="s">
        <v>39</v>
      </c>
      <c r="D709" t="s">
        <v>39</v>
      </c>
      <c r="E709" t="s">
        <v>283</v>
      </c>
      <c r="F709" t="s">
        <v>62</v>
      </c>
      <c r="G709" s="5">
        <v>4118463</v>
      </c>
      <c r="H709" s="5">
        <v>4118463</v>
      </c>
    </row>
    <row r="710" spans="1:8" x14ac:dyDescent="0.25">
      <c r="A710" t="s">
        <v>267</v>
      </c>
      <c r="B710">
        <v>2020</v>
      </c>
      <c r="C710" t="s">
        <v>39</v>
      </c>
      <c r="D710" t="s">
        <v>39</v>
      </c>
      <c r="E710" t="s">
        <v>303</v>
      </c>
      <c r="F710" t="s">
        <v>83</v>
      </c>
      <c r="G710" s="5">
        <v>2412219</v>
      </c>
      <c r="H710" s="5">
        <v>2412219</v>
      </c>
    </row>
    <row r="711" spans="1:8" x14ac:dyDescent="0.25">
      <c r="A711" t="s">
        <v>267</v>
      </c>
      <c r="B711">
        <v>2020</v>
      </c>
      <c r="C711" t="s">
        <v>39</v>
      </c>
      <c r="D711" t="s">
        <v>39</v>
      </c>
      <c r="E711" t="s">
        <v>286</v>
      </c>
      <c r="F711" t="s">
        <v>66</v>
      </c>
      <c r="G711" s="5">
        <v>2338938</v>
      </c>
      <c r="H711" s="5">
        <v>2338958</v>
      </c>
    </row>
    <row r="712" spans="1:8" x14ac:dyDescent="0.25">
      <c r="A712" t="s">
        <v>267</v>
      </c>
      <c r="B712">
        <v>2020</v>
      </c>
      <c r="C712" t="s">
        <v>39</v>
      </c>
      <c r="D712" t="s">
        <v>39</v>
      </c>
      <c r="E712" t="s">
        <v>279</v>
      </c>
      <c r="F712" t="s">
        <v>58</v>
      </c>
      <c r="G712" s="5">
        <v>2146548</v>
      </c>
      <c r="H712" s="5">
        <v>2146548</v>
      </c>
    </row>
    <row r="713" spans="1:8" x14ac:dyDescent="0.25">
      <c r="A713" t="s">
        <v>267</v>
      </c>
      <c r="B713">
        <v>2020</v>
      </c>
      <c r="C713" t="s">
        <v>39</v>
      </c>
      <c r="D713" t="s">
        <v>39</v>
      </c>
      <c r="E713" t="s">
        <v>287</v>
      </c>
      <c r="F713" t="s">
        <v>67</v>
      </c>
      <c r="G713" s="5">
        <v>2054258</v>
      </c>
      <c r="H713" s="5">
        <v>2054258</v>
      </c>
    </row>
    <row r="714" spans="1:8" x14ac:dyDescent="0.25">
      <c r="A714" t="s">
        <v>267</v>
      </c>
      <c r="B714">
        <v>2020</v>
      </c>
      <c r="C714" t="s">
        <v>39</v>
      </c>
      <c r="D714" t="s">
        <v>39</v>
      </c>
      <c r="E714" t="s">
        <v>284</v>
      </c>
      <c r="F714" t="s">
        <v>63</v>
      </c>
      <c r="G714" s="5">
        <v>1727128</v>
      </c>
      <c r="H714" s="5">
        <v>1727128</v>
      </c>
    </row>
    <row r="715" spans="1:8" x14ac:dyDescent="0.25">
      <c r="A715" t="s">
        <v>267</v>
      </c>
      <c r="B715">
        <v>2020</v>
      </c>
      <c r="C715" t="s">
        <v>39</v>
      </c>
      <c r="D715" t="s">
        <v>39</v>
      </c>
      <c r="E715" t="s">
        <v>288</v>
      </c>
      <c r="F715" t="s">
        <v>68</v>
      </c>
      <c r="G715" s="5">
        <v>1614487</v>
      </c>
      <c r="H715" s="5">
        <v>1614487</v>
      </c>
    </row>
    <row r="716" spans="1:8" x14ac:dyDescent="0.25">
      <c r="A716" t="s">
        <v>267</v>
      </c>
      <c r="B716">
        <v>2020</v>
      </c>
      <c r="C716" t="s">
        <v>39</v>
      </c>
      <c r="D716" t="s">
        <v>39</v>
      </c>
      <c r="E716" t="s">
        <v>281</v>
      </c>
      <c r="F716" t="s">
        <v>60</v>
      </c>
      <c r="G716" s="5">
        <v>1609778</v>
      </c>
      <c r="H716" s="5">
        <v>1609778</v>
      </c>
    </row>
    <row r="717" spans="1:8" x14ac:dyDescent="0.25">
      <c r="A717" t="s">
        <v>267</v>
      </c>
      <c r="B717">
        <v>2020</v>
      </c>
      <c r="C717" t="s">
        <v>39</v>
      </c>
      <c r="D717" t="s">
        <v>39</v>
      </c>
      <c r="E717" t="s">
        <v>285</v>
      </c>
      <c r="F717" t="s">
        <v>65</v>
      </c>
      <c r="G717" s="5">
        <v>1417180</v>
      </c>
      <c r="H717" s="5">
        <v>1417180</v>
      </c>
    </row>
    <row r="718" spans="1:8" x14ac:dyDescent="0.25">
      <c r="A718" t="s">
        <v>267</v>
      </c>
      <c r="B718">
        <v>2020</v>
      </c>
      <c r="C718" t="s">
        <v>39</v>
      </c>
      <c r="D718" t="s">
        <v>39</v>
      </c>
      <c r="E718" t="s">
        <v>280</v>
      </c>
      <c r="F718" t="s">
        <v>59</v>
      </c>
      <c r="G718" s="5">
        <v>1303112</v>
      </c>
      <c r="H718" s="5">
        <v>1303195</v>
      </c>
    </row>
    <row r="719" spans="1:8" x14ac:dyDescent="0.25">
      <c r="A719" t="s">
        <v>267</v>
      </c>
      <c r="B719">
        <v>2020</v>
      </c>
      <c r="C719" t="s">
        <v>39</v>
      </c>
      <c r="D719" t="s">
        <v>39</v>
      </c>
      <c r="E719" t="s">
        <v>290</v>
      </c>
      <c r="F719" t="s">
        <v>70</v>
      </c>
      <c r="G719" s="5">
        <v>1300436</v>
      </c>
      <c r="H719" s="5">
        <v>1300436</v>
      </c>
    </row>
    <row r="720" spans="1:8" x14ac:dyDescent="0.25">
      <c r="A720" t="s">
        <v>267</v>
      </c>
      <c r="B720">
        <v>2020</v>
      </c>
      <c r="C720" t="s">
        <v>39</v>
      </c>
      <c r="D720" t="s">
        <v>39</v>
      </c>
      <c r="E720" t="s">
        <v>272</v>
      </c>
      <c r="F720" t="s">
        <v>51</v>
      </c>
      <c r="G720" s="5">
        <v>1231984</v>
      </c>
      <c r="H720" s="5">
        <v>1231984</v>
      </c>
    </row>
    <row r="721" spans="1:8" x14ac:dyDescent="0.25">
      <c r="A721" t="s">
        <v>267</v>
      </c>
      <c r="B721">
        <v>2020</v>
      </c>
      <c r="C721" t="s">
        <v>39</v>
      </c>
      <c r="D721" t="s">
        <v>39</v>
      </c>
      <c r="E721" t="s">
        <v>297</v>
      </c>
      <c r="F721" t="s">
        <v>77</v>
      </c>
      <c r="G721" s="5">
        <v>882846</v>
      </c>
      <c r="H721" s="5">
        <v>882846</v>
      </c>
    </row>
    <row r="722" spans="1:8" x14ac:dyDescent="0.25">
      <c r="A722" t="s">
        <v>267</v>
      </c>
      <c r="B722">
        <v>2020</v>
      </c>
      <c r="C722" t="s">
        <v>39</v>
      </c>
      <c r="D722" t="s">
        <v>39</v>
      </c>
      <c r="E722" t="s">
        <v>305</v>
      </c>
      <c r="F722" t="s">
        <v>85</v>
      </c>
      <c r="G722" s="5">
        <v>471571</v>
      </c>
      <c r="H722" s="5">
        <v>471571</v>
      </c>
    </row>
    <row r="723" spans="1:8" x14ac:dyDescent="0.25">
      <c r="A723" t="s">
        <v>267</v>
      </c>
      <c r="B723">
        <v>2020</v>
      </c>
      <c r="C723" t="s">
        <v>39</v>
      </c>
      <c r="D723" t="s">
        <v>39</v>
      </c>
      <c r="E723" t="s">
        <v>294</v>
      </c>
      <c r="F723" t="s">
        <v>74</v>
      </c>
      <c r="G723" s="5">
        <v>464960</v>
      </c>
      <c r="H723" s="5">
        <v>464960</v>
      </c>
    </row>
    <row r="724" spans="1:8" x14ac:dyDescent="0.25">
      <c r="A724" t="s">
        <v>267</v>
      </c>
      <c r="B724">
        <v>2020</v>
      </c>
      <c r="C724" t="s">
        <v>39</v>
      </c>
      <c r="D724" t="s">
        <v>39</v>
      </c>
      <c r="F724" t="s">
        <v>64</v>
      </c>
      <c r="G724" s="5">
        <v>405943</v>
      </c>
      <c r="H724" s="5">
        <v>405943</v>
      </c>
    </row>
    <row r="725" spans="1:8" x14ac:dyDescent="0.25">
      <c r="A725" t="s">
        <v>267</v>
      </c>
      <c r="B725">
        <v>2020</v>
      </c>
      <c r="C725" t="s">
        <v>39</v>
      </c>
      <c r="D725" t="s">
        <v>39</v>
      </c>
      <c r="E725" t="s">
        <v>295</v>
      </c>
      <c r="F725" t="s">
        <v>75</v>
      </c>
      <c r="G725" s="5">
        <v>371666</v>
      </c>
      <c r="H725" s="5">
        <v>371666</v>
      </c>
    </row>
    <row r="726" spans="1:8" x14ac:dyDescent="0.25">
      <c r="A726" t="s">
        <v>267</v>
      </c>
      <c r="B726">
        <v>2020</v>
      </c>
      <c r="C726" t="s">
        <v>39</v>
      </c>
      <c r="D726" t="s">
        <v>39</v>
      </c>
      <c r="E726" t="s">
        <v>298</v>
      </c>
      <c r="F726" t="s">
        <v>78</v>
      </c>
      <c r="G726" s="5">
        <v>293276</v>
      </c>
      <c r="H726" s="5">
        <v>295869</v>
      </c>
    </row>
    <row r="727" spans="1:8" x14ac:dyDescent="0.25">
      <c r="A727" t="s">
        <v>267</v>
      </c>
      <c r="B727">
        <v>2020</v>
      </c>
      <c r="C727" t="s">
        <v>39</v>
      </c>
      <c r="D727" t="s">
        <v>39</v>
      </c>
      <c r="E727" t="s">
        <v>293</v>
      </c>
      <c r="F727" t="s">
        <v>73</v>
      </c>
      <c r="G727" s="5">
        <v>248092</v>
      </c>
      <c r="H727" s="5">
        <v>248092</v>
      </c>
    </row>
    <row r="728" spans="1:8" x14ac:dyDescent="0.25">
      <c r="A728" t="s">
        <v>267</v>
      </c>
      <c r="B728">
        <v>2020</v>
      </c>
      <c r="C728" t="s">
        <v>39</v>
      </c>
      <c r="D728" t="s">
        <v>39</v>
      </c>
      <c r="E728" t="s">
        <v>307</v>
      </c>
      <c r="F728" t="s">
        <v>87</v>
      </c>
      <c r="G728" s="5">
        <v>243034</v>
      </c>
      <c r="H728" s="5">
        <v>243034</v>
      </c>
    </row>
    <row r="729" spans="1:8" x14ac:dyDescent="0.25">
      <c r="A729" t="s">
        <v>267</v>
      </c>
      <c r="B729">
        <v>2020</v>
      </c>
      <c r="C729" t="s">
        <v>39</v>
      </c>
      <c r="D729" t="s">
        <v>39</v>
      </c>
      <c r="E729" t="s">
        <v>291</v>
      </c>
      <c r="F729" t="s">
        <v>71</v>
      </c>
      <c r="G729" s="5">
        <v>214025</v>
      </c>
      <c r="H729" s="5">
        <v>214025</v>
      </c>
    </row>
    <row r="730" spans="1:8" x14ac:dyDescent="0.25">
      <c r="A730" t="s">
        <v>267</v>
      </c>
      <c r="B730">
        <v>2020</v>
      </c>
      <c r="C730" t="s">
        <v>39</v>
      </c>
      <c r="D730" t="s">
        <v>39</v>
      </c>
      <c r="E730" t="s">
        <v>308</v>
      </c>
      <c r="F730" t="s">
        <v>88</v>
      </c>
      <c r="G730" s="5">
        <v>186084</v>
      </c>
      <c r="H730" s="5">
        <v>186084</v>
      </c>
    </row>
    <row r="731" spans="1:8" x14ac:dyDescent="0.25">
      <c r="A731" t="s">
        <v>267</v>
      </c>
      <c r="B731">
        <v>2020</v>
      </c>
      <c r="C731" t="s">
        <v>39</v>
      </c>
      <c r="D731" t="s">
        <v>39</v>
      </c>
      <c r="E731" t="s">
        <v>282</v>
      </c>
      <c r="F731" t="s">
        <v>61</v>
      </c>
      <c r="G731" s="5">
        <v>178082</v>
      </c>
      <c r="H731" s="5">
        <v>178082</v>
      </c>
    </row>
    <row r="732" spans="1:8" x14ac:dyDescent="0.25">
      <c r="A732" t="s">
        <v>267</v>
      </c>
      <c r="B732">
        <v>2020</v>
      </c>
      <c r="C732" t="s">
        <v>39</v>
      </c>
      <c r="D732" t="s">
        <v>39</v>
      </c>
      <c r="E732" t="s">
        <v>304</v>
      </c>
      <c r="F732" t="s">
        <v>84</v>
      </c>
      <c r="G732" s="5">
        <v>161371</v>
      </c>
      <c r="H732" s="5">
        <v>161371</v>
      </c>
    </row>
    <row r="733" spans="1:8" x14ac:dyDescent="0.25">
      <c r="A733" t="s">
        <v>267</v>
      </c>
      <c r="B733">
        <v>2020</v>
      </c>
      <c r="C733" t="s">
        <v>39</v>
      </c>
      <c r="D733" t="s">
        <v>39</v>
      </c>
      <c r="E733" t="s">
        <v>311</v>
      </c>
      <c r="F733" t="s">
        <v>91</v>
      </c>
      <c r="G733" s="5">
        <v>159985</v>
      </c>
      <c r="H733" s="5">
        <v>159985</v>
      </c>
    </row>
    <row r="734" spans="1:8" x14ac:dyDescent="0.25">
      <c r="A734" t="s">
        <v>267</v>
      </c>
      <c r="B734">
        <v>2020</v>
      </c>
      <c r="C734" t="s">
        <v>39</v>
      </c>
      <c r="D734" t="s">
        <v>39</v>
      </c>
      <c r="E734" t="s">
        <v>296</v>
      </c>
      <c r="F734" t="s">
        <v>76</v>
      </c>
      <c r="G734" s="5">
        <v>144456</v>
      </c>
      <c r="H734" s="5">
        <v>144456</v>
      </c>
    </row>
    <row r="735" spans="1:8" x14ac:dyDescent="0.25">
      <c r="A735" t="s">
        <v>267</v>
      </c>
      <c r="B735">
        <v>2020</v>
      </c>
      <c r="C735" t="s">
        <v>39</v>
      </c>
      <c r="D735" t="s">
        <v>39</v>
      </c>
      <c r="E735" t="s">
        <v>292</v>
      </c>
      <c r="F735" t="s">
        <v>72</v>
      </c>
      <c r="G735" s="5">
        <v>117880</v>
      </c>
      <c r="H735" s="5">
        <v>117880</v>
      </c>
    </row>
    <row r="736" spans="1:8" x14ac:dyDescent="0.25">
      <c r="A736" t="s">
        <v>267</v>
      </c>
      <c r="B736">
        <v>2020</v>
      </c>
      <c r="C736" t="s">
        <v>39</v>
      </c>
      <c r="D736" t="s">
        <v>39</v>
      </c>
      <c r="E736" t="s">
        <v>300</v>
      </c>
      <c r="F736" t="s">
        <v>80</v>
      </c>
      <c r="G736" s="5">
        <v>73528</v>
      </c>
      <c r="H736" s="5">
        <v>197367</v>
      </c>
    </row>
    <row r="737" spans="1:8" x14ac:dyDescent="0.25">
      <c r="A737" t="s">
        <v>267</v>
      </c>
      <c r="B737">
        <v>2020</v>
      </c>
      <c r="C737" t="s">
        <v>39</v>
      </c>
      <c r="D737" t="s">
        <v>39</v>
      </c>
      <c r="E737" t="s">
        <v>451</v>
      </c>
      <c r="F737" t="s">
        <v>238</v>
      </c>
      <c r="G737" s="5">
        <v>59168</v>
      </c>
      <c r="H737" s="5">
        <v>59168</v>
      </c>
    </row>
    <row r="738" spans="1:8" x14ac:dyDescent="0.25">
      <c r="A738" t="s">
        <v>267</v>
      </c>
      <c r="B738">
        <v>2020</v>
      </c>
      <c r="C738" t="s">
        <v>39</v>
      </c>
      <c r="D738" t="s">
        <v>39</v>
      </c>
      <c r="E738" t="s">
        <v>289</v>
      </c>
      <c r="F738" t="s">
        <v>69</v>
      </c>
      <c r="G738" s="5">
        <v>56225</v>
      </c>
      <c r="H738" s="5">
        <v>56225</v>
      </c>
    </row>
    <row r="739" spans="1:8" x14ac:dyDescent="0.25">
      <c r="A739" t="s">
        <v>267</v>
      </c>
      <c r="B739">
        <v>2020</v>
      </c>
      <c r="C739" t="s">
        <v>39</v>
      </c>
      <c r="D739" t="s">
        <v>39</v>
      </c>
      <c r="E739" t="s">
        <v>301</v>
      </c>
      <c r="F739" t="s">
        <v>81</v>
      </c>
      <c r="G739" s="5">
        <v>49080</v>
      </c>
      <c r="H739" s="5">
        <v>49080</v>
      </c>
    </row>
    <row r="740" spans="1:8" x14ac:dyDescent="0.25">
      <c r="A740" t="s">
        <v>267</v>
      </c>
      <c r="B740">
        <v>2020</v>
      </c>
      <c r="C740" t="s">
        <v>39</v>
      </c>
      <c r="D740" t="s">
        <v>39</v>
      </c>
      <c r="E740" t="s">
        <v>440</v>
      </c>
      <c r="F740" t="s">
        <v>227</v>
      </c>
      <c r="G740" s="5">
        <v>19118</v>
      </c>
      <c r="H740" s="5">
        <v>19118</v>
      </c>
    </row>
    <row r="741" spans="1:8" x14ac:dyDescent="0.25">
      <c r="A741" t="s">
        <v>267</v>
      </c>
      <c r="B741">
        <v>2020</v>
      </c>
      <c r="C741" t="s">
        <v>39</v>
      </c>
      <c r="D741" t="s">
        <v>39</v>
      </c>
      <c r="E741" t="s">
        <v>306</v>
      </c>
      <c r="F741" t="s">
        <v>86</v>
      </c>
      <c r="G741" s="5">
        <v>7838</v>
      </c>
      <c r="H741" s="5">
        <v>7838</v>
      </c>
    </row>
    <row r="742" spans="1:8" x14ac:dyDescent="0.25">
      <c r="A742" t="s">
        <v>267</v>
      </c>
      <c r="B742">
        <v>2020</v>
      </c>
      <c r="C742" t="s">
        <v>92</v>
      </c>
      <c r="D742" t="s">
        <v>36</v>
      </c>
      <c r="E742" t="s">
        <v>36</v>
      </c>
      <c r="F742" t="s">
        <v>93</v>
      </c>
      <c r="G742" s="5">
        <v>1571009392</v>
      </c>
      <c r="H742" s="5">
        <v>2002920192</v>
      </c>
    </row>
    <row r="743" spans="1:8" x14ac:dyDescent="0.25">
      <c r="A743" t="s">
        <v>267</v>
      </c>
      <c r="B743">
        <v>2020</v>
      </c>
      <c r="C743" t="s">
        <v>92</v>
      </c>
      <c r="D743" t="s">
        <v>38</v>
      </c>
      <c r="E743" t="s">
        <v>313</v>
      </c>
      <c r="F743" t="s">
        <v>95</v>
      </c>
      <c r="G743" s="5">
        <v>111180804</v>
      </c>
      <c r="H743" s="5">
        <v>115076461</v>
      </c>
    </row>
    <row r="744" spans="1:8" x14ac:dyDescent="0.25">
      <c r="A744" t="s">
        <v>267</v>
      </c>
      <c r="B744">
        <v>2020</v>
      </c>
      <c r="C744" t="s">
        <v>92</v>
      </c>
      <c r="D744" t="s">
        <v>38</v>
      </c>
      <c r="E744" t="s">
        <v>312</v>
      </c>
      <c r="F744" t="s">
        <v>94</v>
      </c>
      <c r="G744" s="5">
        <v>87694767</v>
      </c>
      <c r="H744" s="5">
        <v>87695312</v>
      </c>
    </row>
    <row r="745" spans="1:8" x14ac:dyDescent="0.25">
      <c r="A745" t="s">
        <v>267</v>
      </c>
      <c r="B745">
        <v>2020</v>
      </c>
      <c r="C745" t="s">
        <v>92</v>
      </c>
      <c r="D745" t="s">
        <v>38</v>
      </c>
      <c r="E745" t="s">
        <v>314</v>
      </c>
      <c r="F745" t="s">
        <v>96</v>
      </c>
      <c r="G745" s="5">
        <v>60699043</v>
      </c>
      <c r="H745" s="5">
        <v>62415725</v>
      </c>
    </row>
    <row r="746" spans="1:8" x14ac:dyDescent="0.25">
      <c r="A746" t="s">
        <v>267</v>
      </c>
      <c r="B746">
        <v>2020</v>
      </c>
      <c r="C746" t="s">
        <v>92</v>
      </c>
      <c r="D746" t="s">
        <v>38</v>
      </c>
      <c r="E746" t="s">
        <v>316</v>
      </c>
      <c r="F746" t="s">
        <v>98</v>
      </c>
      <c r="G746" s="5">
        <v>24329958</v>
      </c>
      <c r="H746" s="5">
        <v>24329958</v>
      </c>
    </row>
    <row r="747" spans="1:8" x14ac:dyDescent="0.25">
      <c r="A747" t="s">
        <v>267</v>
      </c>
      <c r="B747">
        <v>2020</v>
      </c>
      <c r="C747" t="s">
        <v>92</v>
      </c>
      <c r="D747" t="s">
        <v>38</v>
      </c>
      <c r="F747" t="s">
        <v>104</v>
      </c>
      <c r="G747" s="5">
        <v>18449158</v>
      </c>
      <c r="H747" s="5">
        <v>18745478</v>
      </c>
    </row>
    <row r="748" spans="1:8" x14ac:dyDescent="0.25">
      <c r="A748" t="s">
        <v>267</v>
      </c>
      <c r="B748">
        <v>2020</v>
      </c>
      <c r="C748" t="s">
        <v>92</v>
      </c>
      <c r="D748" t="s">
        <v>38</v>
      </c>
      <c r="E748" t="s">
        <v>315</v>
      </c>
      <c r="F748" t="s">
        <v>97</v>
      </c>
      <c r="G748" s="5">
        <v>18068287</v>
      </c>
      <c r="H748" s="5">
        <v>18092225</v>
      </c>
    </row>
    <row r="749" spans="1:8" x14ac:dyDescent="0.25">
      <c r="A749" t="s">
        <v>267</v>
      </c>
      <c r="B749">
        <v>2020</v>
      </c>
      <c r="C749" t="s">
        <v>92</v>
      </c>
      <c r="D749" t="s">
        <v>38</v>
      </c>
      <c r="E749" t="s">
        <v>318</v>
      </c>
      <c r="F749" t="s">
        <v>100</v>
      </c>
      <c r="G749" s="5">
        <v>12675967</v>
      </c>
      <c r="H749" s="5">
        <v>12729637</v>
      </c>
    </row>
    <row r="750" spans="1:8" x14ac:dyDescent="0.25">
      <c r="A750" t="s">
        <v>267</v>
      </c>
      <c r="B750">
        <v>2020</v>
      </c>
      <c r="C750" t="s">
        <v>92</v>
      </c>
      <c r="D750" t="s">
        <v>38</v>
      </c>
      <c r="E750" t="s">
        <v>319</v>
      </c>
      <c r="F750" t="s">
        <v>101</v>
      </c>
      <c r="G750" s="5">
        <v>6043525</v>
      </c>
      <c r="H750" s="5">
        <v>6047775</v>
      </c>
    </row>
    <row r="751" spans="1:8" x14ac:dyDescent="0.25">
      <c r="A751" t="s">
        <v>267</v>
      </c>
      <c r="B751">
        <v>2020</v>
      </c>
      <c r="C751" t="s">
        <v>92</v>
      </c>
      <c r="D751" t="s">
        <v>38</v>
      </c>
      <c r="E751" t="s">
        <v>321</v>
      </c>
      <c r="F751" t="s">
        <v>103</v>
      </c>
      <c r="G751" s="5">
        <v>4849647</v>
      </c>
      <c r="H751" s="5">
        <v>4849647</v>
      </c>
    </row>
    <row r="752" spans="1:8" x14ac:dyDescent="0.25">
      <c r="A752" t="s">
        <v>267</v>
      </c>
      <c r="B752">
        <v>2020</v>
      </c>
      <c r="C752" t="s">
        <v>92</v>
      </c>
      <c r="D752" t="s">
        <v>38</v>
      </c>
      <c r="E752" t="s">
        <v>325</v>
      </c>
      <c r="F752" t="s">
        <v>108</v>
      </c>
      <c r="G752" s="5">
        <v>4301413</v>
      </c>
      <c r="H752" s="5">
        <v>4301413</v>
      </c>
    </row>
    <row r="753" spans="1:8" x14ac:dyDescent="0.25">
      <c r="A753" t="s">
        <v>267</v>
      </c>
      <c r="B753">
        <v>2020</v>
      </c>
      <c r="C753" t="s">
        <v>92</v>
      </c>
      <c r="D753" t="s">
        <v>38</v>
      </c>
      <c r="E753" t="s">
        <v>322</v>
      </c>
      <c r="F753" t="s">
        <v>105</v>
      </c>
      <c r="G753" s="5">
        <v>3763826</v>
      </c>
      <c r="H753" s="5">
        <v>3763826</v>
      </c>
    </row>
    <row r="754" spans="1:8" x14ac:dyDescent="0.25">
      <c r="A754" t="s">
        <v>267</v>
      </c>
      <c r="B754">
        <v>2020</v>
      </c>
      <c r="C754" t="s">
        <v>92</v>
      </c>
      <c r="D754" t="s">
        <v>38</v>
      </c>
      <c r="E754" t="s">
        <v>324</v>
      </c>
      <c r="F754" t="s">
        <v>107</v>
      </c>
      <c r="G754" s="5">
        <v>3404625</v>
      </c>
      <c r="H754" s="5">
        <v>3404625</v>
      </c>
    </row>
    <row r="755" spans="1:8" x14ac:dyDescent="0.25">
      <c r="A755" t="s">
        <v>267</v>
      </c>
      <c r="B755">
        <v>2020</v>
      </c>
      <c r="C755" t="s">
        <v>92</v>
      </c>
      <c r="D755" t="s">
        <v>38</v>
      </c>
      <c r="E755" t="s">
        <v>317</v>
      </c>
      <c r="F755" t="s">
        <v>99</v>
      </c>
      <c r="G755" s="5">
        <v>2532585</v>
      </c>
      <c r="H755" s="5">
        <v>2532585</v>
      </c>
    </row>
    <row r="756" spans="1:8" x14ac:dyDescent="0.25">
      <c r="A756" t="s">
        <v>267</v>
      </c>
      <c r="B756">
        <v>2020</v>
      </c>
      <c r="C756" t="s">
        <v>92</v>
      </c>
      <c r="D756" t="s">
        <v>38</v>
      </c>
      <c r="E756" t="s">
        <v>323</v>
      </c>
      <c r="F756" t="s">
        <v>106</v>
      </c>
      <c r="G756" s="5">
        <v>2453310</v>
      </c>
      <c r="H756" s="5">
        <v>2453310</v>
      </c>
    </row>
    <row r="757" spans="1:8" x14ac:dyDescent="0.25">
      <c r="A757" t="s">
        <v>267</v>
      </c>
      <c r="B757">
        <v>2020</v>
      </c>
      <c r="C757" t="s">
        <v>92</v>
      </c>
      <c r="D757" t="s">
        <v>38</v>
      </c>
      <c r="E757" t="s">
        <v>329</v>
      </c>
      <c r="F757" t="s">
        <v>112</v>
      </c>
      <c r="G757" s="5">
        <v>2290811</v>
      </c>
      <c r="H757" s="5">
        <v>2290811</v>
      </c>
    </row>
    <row r="758" spans="1:8" x14ac:dyDescent="0.25">
      <c r="A758" t="s">
        <v>267</v>
      </c>
      <c r="B758">
        <v>2020</v>
      </c>
      <c r="C758" t="s">
        <v>92</v>
      </c>
      <c r="D758" t="s">
        <v>38</v>
      </c>
      <c r="E758" t="s">
        <v>327</v>
      </c>
      <c r="F758" t="s">
        <v>110</v>
      </c>
      <c r="G758" s="5">
        <v>2248935</v>
      </c>
      <c r="H758" s="5">
        <v>2248935</v>
      </c>
    </row>
    <row r="759" spans="1:8" x14ac:dyDescent="0.25">
      <c r="A759" t="s">
        <v>267</v>
      </c>
      <c r="B759">
        <v>2020</v>
      </c>
      <c r="C759" t="s">
        <v>92</v>
      </c>
      <c r="D759" t="s">
        <v>38</v>
      </c>
      <c r="E759" t="s">
        <v>331</v>
      </c>
      <c r="F759" t="s">
        <v>114</v>
      </c>
      <c r="G759" s="5">
        <v>1452228</v>
      </c>
      <c r="H759" s="5">
        <v>1454381</v>
      </c>
    </row>
    <row r="760" spans="1:8" x14ac:dyDescent="0.25">
      <c r="A760" t="s">
        <v>267</v>
      </c>
      <c r="B760">
        <v>2020</v>
      </c>
      <c r="C760" t="s">
        <v>92</v>
      </c>
      <c r="D760" t="s">
        <v>38</v>
      </c>
      <c r="E760" t="s">
        <v>328</v>
      </c>
      <c r="F760" t="s">
        <v>111</v>
      </c>
      <c r="G760" s="5">
        <v>1311482</v>
      </c>
      <c r="H760" s="5">
        <v>1457682</v>
      </c>
    </row>
    <row r="761" spans="1:8" x14ac:dyDescent="0.25">
      <c r="A761" t="s">
        <v>267</v>
      </c>
      <c r="B761">
        <v>2020</v>
      </c>
      <c r="C761" t="s">
        <v>92</v>
      </c>
      <c r="D761" t="s">
        <v>38</v>
      </c>
      <c r="E761" t="s">
        <v>336</v>
      </c>
      <c r="F761" t="s">
        <v>119</v>
      </c>
      <c r="G761" s="5">
        <v>642913</v>
      </c>
      <c r="H761" s="5">
        <v>2657570</v>
      </c>
    </row>
    <row r="762" spans="1:8" x14ac:dyDescent="0.25">
      <c r="A762" t="s">
        <v>267</v>
      </c>
      <c r="B762">
        <v>2020</v>
      </c>
      <c r="C762" t="s">
        <v>92</v>
      </c>
      <c r="D762" t="s">
        <v>38</v>
      </c>
      <c r="E762" t="s">
        <v>332</v>
      </c>
      <c r="F762" t="s">
        <v>115</v>
      </c>
      <c r="G762" s="5">
        <v>597691</v>
      </c>
      <c r="H762" s="5">
        <v>597691</v>
      </c>
    </row>
    <row r="763" spans="1:8" x14ac:dyDescent="0.25">
      <c r="A763" t="s">
        <v>267</v>
      </c>
      <c r="B763">
        <v>2020</v>
      </c>
      <c r="C763" t="s">
        <v>92</v>
      </c>
      <c r="D763" t="s">
        <v>38</v>
      </c>
      <c r="E763" t="s">
        <v>333</v>
      </c>
      <c r="F763" t="s">
        <v>116</v>
      </c>
      <c r="G763" s="5">
        <v>469000</v>
      </c>
      <c r="H763" s="5">
        <v>469000</v>
      </c>
    </row>
    <row r="764" spans="1:8" x14ac:dyDescent="0.25">
      <c r="A764" t="s">
        <v>267</v>
      </c>
      <c r="B764">
        <v>2020</v>
      </c>
      <c r="C764" t="s">
        <v>92</v>
      </c>
      <c r="D764" t="s">
        <v>38</v>
      </c>
      <c r="E764" t="s">
        <v>340</v>
      </c>
      <c r="F764" t="s">
        <v>123</v>
      </c>
      <c r="G764" s="5">
        <v>266465</v>
      </c>
      <c r="H764" s="5">
        <v>266465</v>
      </c>
    </row>
    <row r="765" spans="1:8" x14ac:dyDescent="0.25">
      <c r="A765" t="s">
        <v>267</v>
      </c>
      <c r="B765">
        <v>2020</v>
      </c>
      <c r="C765" t="s">
        <v>92</v>
      </c>
      <c r="D765" t="s">
        <v>38</v>
      </c>
      <c r="E765" t="s">
        <v>339</v>
      </c>
      <c r="F765" t="s">
        <v>122</v>
      </c>
      <c r="G765" s="5">
        <v>266447</v>
      </c>
      <c r="H765" s="5">
        <v>266447</v>
      </c>
    </row>
    <row r="766" spans="1:8" x14ac:dyDescent="0.25">
      <c r="A766" t="s">
        <v>267</v>
      </c>
      <c r="B766">
        <v>2020</v>
      </c>
      <c r="C766" t="s">
        <v>92</v>
      </c>
      <c r="D766" t="s">
        <v>38</v>
      </c>
      <c r="E766" t="s">
        <v>337</v>
      </c>
      <c r="F766" t="s">
        <v>120</v>
      </c>
      <c r="G766" s="5">
        <v>264327</v>
      </c>
      <c r="H766" s="5">
        <v>264327</v>
      </c>
    </row>
    <row r="767" spans="1:8" x14ac:dyDescent="0.25">
      <c r="A767" t="s">
        <v>267</v>
      </c>
      <c r="B767">
        <v>2020</v>
      </c>
      <c r="C767" t="s">
        <v>92</v>
      </c>
      <c r="D767" t="s">
        <v>38</v>
      </c>
      <c r="E767" t="s">
        <v>334</v>
      </c>
      <c r="F767" t="s">
        <v>117</v>
      </c>
      <c r="G767" s="5">
        <v>203951</v>
      </c>
      <c r="H767" s="5">
        <v>203951</v>
      </c>
    </row>
    <row r="768" spans="1:8" x14ac:dyDescent="0.25">
      <c r="A768" t="s">
        <v>267</v>
      </c>
      <c r="B768">
        <v>2020</v>
      </c>
      <c r="C768" t="s">
        <v>92</v>
      </c>
      <c r="D768" t="s">
        <v>38</v>
      </c>
      <c r="E768" t="s">
        <v>330</v>
      </c>
      <c r="F768" t="s">
        <v>113</v>
      </c>
      <c r="G768" s="5">
        <v>188822</v>
      </c>
      <c r="H768" s="5">
        <v>188822</v>
      </c>
    </row>
    <row r="769" spans="1:8" x14ac:dyDescent="0.25">
      <c r="A769" t="s">
        <v>267</v>
      </c>
      <c r="B769">
        <v>2020</v>
      </c>
      <c r="C769" t="s">
        <v>92</v>
      </c>
      <c r="D769" t="s">
        <v>38</v>
      </c>
      <c r="E769" t="s">
        <v>444</v>
      </c>
      <c r="F769" t="s">
        <v>231</v>
      </c>
      <c r="G769" s="5">
        <v>137873</v>
      </c>
      <c r="H769" s="5">
        <v>137873</v>
      </c>
    </row>
    <row r="770" spans="1:8" x14ac:dyDescent="0.25">
      <c r="A770" t="s">
        <v>267</v>
      </c>
      <c r="B770">
        <v>2020</v>
      </c>
      <c r="C770" t="s">
        <v>92</v>
      </c>
      <c r="D770" t="s">
        <v>38</v>
      </c>
      <c r="E770" t="s">
        <v>326</v>
      </c>
      <c r="F770" t="s">
        <v>109</v>
      </c>
      <c r="G770" s="5">
        <v>105358</v>
      </c>
      <c r="H770" s="5">
        <v>105358</v>
      </c>
    </row>
    <row r="771" spans="1:8" x14ac:dyDescent="0.25">
      <c r="A771" t="s">
        <v>267</v>
      </c>
      <c r="B771">
        <v>2020</v>
      </c>
      <c r="C771" t="s">
        <v>92</v>
      </c>
      <c r="D771" t="s">
        <v>38</v>
      </c>
      <c r="E771" t="s">
        <v>342</v>
      </c>
      <c r="F771" t="s">
        <v>125</v>
      </c>
      <c r="G771" s="5">
        <v>95780</v>
      </c>
      <c r="H771" s="5">
        <v>95780</v>
      </c>
    </row>
    <row r="772" spans="1:8" x14ac:dyDescent="0.25">
      <c r="A772" t="s">
        <v>267</v>
      </c>
      <c r="B772">
        <v>2020</v>
      </c>
      <c r="C772" t="s">
        <v>92</v>
      </c>
      <c r="D772" t="s">
        <v>38</v>
      </c>
      <c r="E772" t="s">
        <v>452</v>
      </c>
      <c r="F772" t="s">
        <v>239</v>
      </c>
      <c r="G772" s="5">
        <v>81103</v>
      </c>
      <c r="H772" s="5">
        <v>81103</v>
      </c>
    </row>
    <row r="773" spans="1:8" x14ac:dyDescent="0.25">
      <c r="A773" t="s">
        <v>267</v>
      </c>
      <c r="B773">
        <v>2020</v>
      </c>
      <c r="C773" t="s">
        <v>92</v>
      </c>
      <c r="D773" t="s">
        <v>38</v>
      </c>
      <c r="E773" t="s">
        <v>441</v>
      </c>
      <c r="F773" t="s">
        <v>228</v>
      </c>
      <c r="G773" s="5">
        <v>40835</v>
      </c>
      <c r="H773" s="5">
        <v>40835</v>
      </c>
    </row>
    <row r="774" spans="1:8" x14ac:dyDescent="0.25">
      <c r="A774" t="s">
        <v>267</v>
      </c>
      <c r="B774">
        <v>2020</v>
      </c>
      <c r="C774" t="s">
        <v>35</v>
      </c>
      <c r="D774" t="s">
        <v>35</v>
      </c>
      <c r="E774" t="s">
        <v>343</v>
      </c>
      <c r="F774" t="s">
        <v>126</v>
      </c>
      <c r="G774" s="5">
        <v>954093938</v>
      </c>
      <c r="H774" s="5">
        <v>1083028382</v>
      </c>
    </row>
    <row r="775" spans="1:8" x14ac:dyDescent="0.25">
      <c r="A775" t="s">
        <v>267</v>
      </c>
      <c r="B775">
        <v>2020</v>
      </c>
      <c r="C775" t="s">
        <v>35</v>
      </c>
      <c r="D775" t="s">
        <v>35</v>
      </c>
      <c r="E775" t="s">
        <v>348</v>
      </c>
      <c r="F775" t="s">
        <v>131</v>
      </c>
      <c r="G775" s="5">
        <v>260810191</v>
      </c>
      <c r="H775" s="5">
        <v>290034726</v>
      </c>
    </row>
    <row r="776" spans="1:8" x14ac:dyDescent="0.25">
      <c r="A776" t="s">
        <v>267</v>
      </c>
      <c r="B776">
        <v>2020</v>
      </c>
      <c r="C776" t="s">
        <v>35</v>
      </c>
      <c r="D776" t="s">
        <v>35</v>
      </c>
      <c r="E776" t="s">
        <v>344</v>
      </c>
      <c r="F776" t="s">
        <v>127</v>
      </c>
      <c r="G776" s="5">
        <v>225390751</v>
      </c>
      <c r="H776" s="5">
        <v>227457858</v>
      </c>
    </row>
    <row r="777" spans="1:8" x14ac:dyDescent="0.25">
      <c r="A777" t="s">
        <v>267</v>
      </c>
      <c r="B777">
        <v>2020</v>
      </c>
      <c r="C777" t="s">
        <v>35</v>
      </c>
      <c r="D777" t="s">
        <v>35</v>
      </c>
      <c r="E777" t="s">
        <v>346</v>
      </c>
      <c r="F777" t="s">
        <v>129</v>
      </c>
      <c r="G777" s="5">
        <v>209971921</v>
      </c>
      <c r="H777" s="5">
        <v>662381955</v>
      </c>
    </row>
    <row r="778" spans="1:8" x14ac:dyDescent="0.25">
      <c r="A778" t="s">
        <v>267</v>
      </c>
      <c r="B778">
        <v>2020</v>
      </c>
      <c r="C778" t="s">
        <v>35</v>
      </c>
      <c r="D778" t="s">
        <v>35</v>
      </c>
      <c r="E778" t="s">
        <v>355</v>
      </c>
      <c r="F778" t="s">
        <v>138</v>
      </c>
      <c r="G778" s="5">
        <v>158655132</v>
      </c>
      <c r="H778" s="5">
        <v>158655132</v>
      </c>
    </row>
    <row r="779" spans="1:8" x14ac:dyDescent="0.25">
      <c r="A779" t="s">
        <v>267</v>
      </c>
      <c r="B779">
        <v>2020</v>
      </c>
      <c r="C779" t="s">
        <v>35</v>
      </c>
      <c r="D779" t="s">
        <v>35</v>
      </c>
      <c r="E779" t="s">
        <v>345</v>
      </c>
      <c r="F779" t="s">
        <v>128</v>
      </c>
      <c r="G779" s="5">
        <v>151425299</v>
      </c>
      <c r="H779" s="5">
        <v>1468831524</v>
      </c>
    </row>
    <row r="780" spans="1:8" x14ac:dyDescent="0.25">
      <c r="A780" t="s">
        <v>267</v>
      </c>
      <c r="B780">
        <v>2020</v>
      </c>
      <c r="C780" t="s">
        <v>35</v>
      </c>
      <c r="D780" t="s">
        <v>35</v>
      </c>
      <c r="E780" t="s">
        <v>349</v>
      </c>
      <c r="F780" t="s">
        <v>132</v>
      </c>
      <c r="G780" s="5">
        <v>151099044</v>
      </c>
      <c r="H780" s="5">
        <v>547012567</v>
      </c>
    </row>
    <row r="781" spans="1:8" x14ac:dyDescent="0.25">
      <c r="A781" t="s">
        <v>267</v>
      </c>
      <c r="B781">
        <v>2020</v>
      </c>
      <c r="C781" t="s">
        <v>35</v>
      </c>
      <c r="D781" t="s">
        <v>35</v>
      </c>
      <c r="E781" t="s">
        <v>354</v>
      </c>
      <c r="F781" t="s">
        <v>137</v>
      </c>
      <c r="G781" s="5">
        <v>118731120</v>
      </c>
      <c r="H781" s="5">
        <v>118731120</v>
      </c>
    </row>
    <row r="782" spans="1:8" x14ac:dyDescent="0.25">
      <c r="A782" t="s">
        <v>267</v>
      </c>
      <c r="B782">
        <v>2020</v>
      </c>
      <c r="C782" t="s">
        <v>35</v>
      </c>
      <c r="D782" t="s">
        <v>35</v>
      </c>
      <c r="E782" t="s">
        <v>350</v>
      </c>
      <c r="F782" t="s">
        <v>133</v>
      </c>
      <c r="G782" s="5">
        <v>104772111</v>
      </c>
      <c r="H782" s="5">
        <v>104782417</v>
      </c>
    </row>
    <row r="783" spans="1:8" x14ac:dyDescent="0.25">
      <c r="A783" t="s">
        <v>267</v>
      </c>
      <c r="B783">
        <v>2020</v>
      </c>
      <c r="C783" t="s">
        <v>35</v>
      </c>
      <c r="D783" t="s">
        <v>35</v>
      </c>
      <c r="E783" t="s">
        <v>351</v>
      </c>
      <c r="F783" t="s">
        <v>134</v>
      </c>
      <c r="G783" s="5">
        <v>93473534</v>
      </c>
      <c r="H783" s="5">
        <v>95677265</v>
      </c>
    </row>
    <row r="784" spans="1:8" x14ac:dyDescent="0.25">
      <c r="A784" t="s">
        <v>267</v>
      </c>
      <c r="B784">
        <v>2020</v>
      </c>
      <c r="C784" t="s">
        <v>35</v>
      </c>
      <c r="D784" t="s">
        <v>35</v>
      </c>
      <c r="E784" t="s">
        <v>352</v>
      </c>
      <c r="F784" t="s">
        <v>135</v>
      </c>
      <c r="G784" s="5">
        <v>89413893</v>
      </c>
      <c r="H784" s="5">
        <v>326149010</v>
      </c>
    </row>
    <row r="785" spans="1:8" x14ac:dyDescent="0.25">
      <c r="A785" t="s">
        <v>267</v>
      </c>
      <c r="B785">
        <v>2020</v>
      </c>
      <c r="C785" t="s">
        <v>35</v>
      </c>
      <c r="D785" t="s">
        <v>35</v>
      </c>
      <c r="E785" t="s">
        <v>347</v>
      </c>
      <c r="F785" t="s">
        <v>130</v>
      </c>
      <c r="G785" s="5">
        <v>72549159</v>
      </c>
      <c r="H785" s="5">
        <v>126063460</v>
      </c>
    </row>
    <row r="786" spans="1:8" x14ac:dyDescent="0.25">
      <c r="A786" t="s">
        <v>267</v>
      </c>
      <c r="B786">
        <v>2020</v>
      </c>
      <c r="C786" t="s">
        <v>35</v>
      </c>
      <c r="D786" t="s">
        <v>35</v>
      </c>
      <c r="E786" t="s">
        <v>356</v>
      </c>
      <c r="F786" t="s">
        <v>139</v>
      </c>
      <c r="G786" s="5">
        <v>64566454</v>
      </c>
      <c r="H786" s="5">
        <v>380868506</v>
      </c>
    </row>
    <row r="787" spans="1:8" x14ac:dyDescent="0.25">
      <c r="A787" t="s">
        <v>267</v>
      </c>
      <c r="B787">
        <v>2020</v>
      </c>
      <c r="C787" t="s">
        <v>35</v>
      </c>
      <c r="D787" t="s">
        <v>35</v>
      </c>
      <c r="E787" t="s">
        <v>353</v>
      </c>
      <c r="F787" t="s">
        <v>136</v>
      </c>
      <c r="G787" s="5">
        <v>56692426</v>
      </c>
      <c r="H787" s="5">
        <v>56692426</v>
      </c>
    </row>
    <row r="788" spans="1:8" x14ac:dyDescent="0.25">
      <c r="A788" t="s">
        <v>267</v>
      </c>
      <c r="B788">
        <v>2020</v>
      </c>
      <c r="C788" t="s">
        <v>35</v>
      </c>
      <c r="D788" t="s">
        <v>35</v>
      </c>
      <c r="E788" t="s">
        <v>362</v>
      </c>
      <c r="F788" t="s">
        <v>145</v>
      </c>
      <c r="G788" s="5">
        <v>42792092</v>
      </c>
      <c r="H788" s="5">
        <v>42799888</v>
      </c>
    </row>
    <row r="789" spans="1:8" x14ac:dyDescent="0.25">
      <c r="A789" t="s">
        <v>267</v>
      </c>
      <c r="B789">
        <v>2020</v>
      </c>
      <c r="C789" t="s">
        <v>35</v>
      </c>
      <c r="D789" t="s">
        <v>35</v>
      </c>
      <c r="E789" t="s">
        <v>357</v>
      </c>
      <c r="F789" t="s">
        <v>140</v>
      </c>
      <c r="G789" s="5">
        <v>29181640</v>
      </c>
      <c r="H789" s="5">
        <v>29181640</v>
      </c>
    </row>
    <row r="790" spans="1:8" x14ac:dyDescent="0.25">
      <c r="A790" t="s">
        <v>267</v>
      </c>
      <c r="B790">
        <v>2020</v>
      </c>
      <c r="C790" t="s">
        <v>35</v>
      </c>
      <c r="D790" t="s">
        <v>35</v>
      </c>
      <c r="E790" t="s">
        <v>368</v>
      </c>
      <c r="F790" t="s">
        <v>151</v>
      </c>
      <c r="G790" s="5">
        <v>19377606</v>
      </c>
      <c r="H790" s="5">
        <v>19408507</v>
      </c>
    </row>
    <row r="791" spans="1:8" x14ac:dyDescent="0.25">
      <c r="A791" t="s">
        <v>267</v>
      </c>
      <c r="B791">
        <v>2020</v>
      </c>
      <c r="C791" t="s">
        <v>35</v>
      </c>
      <c r="D791" t="s">
        <v>35</v>
      </c>
      <c r="E791" t="s">
        <v>358</v>
      </c>
      <c r="F791" t="s">
        <v>141</v>
      </c>
      <c r="G791" s="5">
        <v>18270972</v>
      </c>
      <c r="H791" s="5">
        <v>18270972</v>
      </c>
    </row>
    <row r="792" spans="1:8" x14ac:dyDescent="0.25">
      <c r="A792" t="s">
        <v>267</v>
      </c>
      <c r="B792">
        <v>2020</v>
      </c>
      <c r="C792" t="s">
        <v>35</v>
      </c>
      <c r="D792" t="s">
        <v>35</v>
      </c>
      <c r="E792" t="s">
        <v>361</v>
      </c>
      <c r="F792" t="s">
        <v>144</v>
      </c>
      <c r="G792" s="5">
        <v>17228422</v>
      </c>
      <c r="H792" s="5">
        <v>43945899</v>
      </c>
    </row>
    <row r="793" spans="1:8" x14ac:dyDescent="0.25">
      <c r="A793" t="s">
        <v>267</v>
      </c>
      <c r="B793">
        <v>2020</v>
      </c>
      <c r="C793" t="s">
        <v>35</v>
      </c>
      <c r="D793" t="s">
        <v>35</v>
      </c>
      <c r="E793" t="s">
        <v>363</v>
      </c>
      <c r="F793" t="s">
        <v>146</v>
      </c>
      <c r="G793" s="5">
        <v>15463318</v>
      </c>
      <c r="H793" s="5">
        <v>15463318</v>
      </c>
    </row>
    <row r="794" spans="1:8" x14ac:dyDescent="0.25">
      <c r="A794" t="s">
        <v>267</v>
      </c>
      <c r="B794">
        <v>2020</v>
      </c>
      <c r="C794" t="s">
        <v>35</v>
      </c>
      <c r="D794" t="s">
        <v>35</v>
      </c>
      <c r="E794" t="s">
        <v>360</v>
      </c>
      <c r="F794" t="s">
        <v>143</v>
      </c>
      <c r="G794" s="5">
        <v>13606713</v>
      </c>
      <c r="H794" s="5">
        <v>13606713</v>
      </c>
    </row>
    <row r="795" spans="1:8" x14ac:dyDescent="0.25">
      <c r="A795" t="s">
        <v>267</v>
      </c>
      <c r="B795">
        <v>2020</v>
      </c>
      <c r="C795" t="s">
        <v>35</v>
      </c>
      <c r="D795" t="s">
        <v>35</v>
      </c>
      <c r="E795" t="s">
        <v>365</v>
      </c>
      <c r="F795" t="s">
        <v>148</v>
      </c>
      <c r="G795" s="5">
        <v>12458234</v>
      </c>
      <c r="H795" s="5">
        <v>12617065</v>
      </c>
    </row>
    <row r="796" spans="1:8" x14ac:dyDescent="0.25">
      <c r="A796" t="s">
        <v>267</v>
      </c>
      <c r="B796">
        <v>2020</v>
      </c>
      <c r="C796" t="s">
        <v>35</v>
      </c>
      <c r="D796" t="s">
        <v>35</v>
      </c>
      <c r="E796" t="s">
        <v>359</v>
      </c>
      <c r="F796" t="s">
        <v>142</v>
      </c>
      <c r="G796" s="5">
        <v>11652037</v>
      </c>
      <c r="H796" s="5">
        <v>11652037</v>
      </c>
    </row>
    <row r="797" spans="1:8" x14ac:dyDescent="0.25">
      <c r="A797" t="s">
        <v>267</v>
      </c>
      <c r="B797">
        <v>2020</v>
      </c>
      <c r="C797" t="s">
        <v>35</v>
      </c>
      <c r="D797" t="s">
        <v>35</v>
      </c>
      <c r="E797" t="s">
        <v>367</v>
      </c>
      <c r="F797" t="s">
        <v>150</v>
      </c>
      <c r="G797" s="5">
        <v>10603225</v>
      </c>
      <c r="H797" s="5">
        <v>10607248</v>
      </c>
    </row>
    <row r="798" spans="1:8" x14ac:dyDescent="0.25">
      <c r="A798" t="s">
        <v>267</v>
      </c>
      <c r="B798">
        <v>2020</v>
      </c>
      <c r="C798" t="s">
        <v>35</v>
      </c>
      <c r="D798" t="s">
        <v>35</v>
      </c>
      <c r="E798" t="s">
        <v>371</v>
      </c>
      <c r="F798" t="s">
        <v>154</v>
      </c>
      <c r="G798" s="5">
        <v>10037974</v>
      </c>
      <c r="H798" s="5">
        <v>10037974</v>
      </c>
    </row>
    <row r="799" spans="1:8" x14ac:dyDescent="0.25">
      <c r="A799" t="s">
        <v>267</v>
      </c>
      <c r="B799">
        <v>2020</v>
      </c>
      <c r="C799" t="s">
        <v>35</v>
      </c>
      <c r="D799" t="s">
        <v>35</v>
      </c>
      <c r="E799" t="s">
        <v>370</v>
      </c>
      <c r="F799" t="s">
        <v>153</v>
      </c>
      <c r="G799" s="5">
        <v>6767132</v>
      </c>
      <c r="H799" s="5">
        <v>20959805</v>
      </c>
    </row>
    <row r="800" spans="1:8" x14ac:dyDescent="0.25">
      <c r="A800" t="s">
        <v>267</v>
      </c>
      <c r="B800">
        <v>2020</v>
      </c>
      <c r="C800" t="s">
        <v>35</v>
      </c>
      <c r="D800" t="s">
        <v>35</v>
      </c>
      <c r="E800" t="s">
        <v>366</v>
      </c>
      <c r="F800" t="s">
        <v>149</v>
      </c>
      <c r="G800" s="5">
        <v>6480418</v>
      </c>
      <c r="H800" s="5">
        <v>6556351</v>
      </c>
    </row>
    <row r="801" spans="1:8" x14ac:dyDescent="0.25">
      <c r="A801" t="s">
        <v>267</v>
      </c>
      <c r="B801">
        <v>2020</v>
      </c>
      <c r="C801" t="s">
        <v>35</v>
      </c>
      <c r="D801" t="s">
        <v>35</v>
      </c>
      <c r="E801" t="s">
        <v>372</v>
      </c>
      <c r="F801" t="s">
        <v>155</v>
      </c>
      <c r="G801" s="5">
        <v>4933224</v>
      </c>
      <c r="H801" s="5">
        <v>4933224</v>
      </c>
    </row>
    <row r="802" spans="1:8" x14ac:dyDescent="0.25">
      <c r="A802" t="s">
        <v>267</v>
      </c>
      <c r="B802">
        <v>2020</v>
      </c>
      <c r="C802" t="s">
        <v>35</v>
      </c>
      <c r="D802" t="s">
        <v>35</v>
      </c>
      <c r="E802" t="s">
        <v>364</v>
      </c>
      <c r="F802" t="s">
        <v>147</v>
      </c>
      <c r="G802" s="5">
        <v>4597727</v>
      </c>
      <c r="H802" s="5">
        <v>30282313</v>
      </c>
    </row>
    <row r="803" spans="1:8" x14ac:dyDescent="0.25">
      <c r="A803" t="s">
        <v>267</v>
      </c>
      <c r="B803">
        <v>2020</v>
      </c>
      <c r="C803" t="s">
        <v>35</v>
      </c>
      <c r="D803" t="s">
        <v>35</v>
      </c>
      <c r="E803" t="s">
        <v>373</v>
      </c>
      <c r="F803" t="s">
        <v>156</v>
      </c>
      <c r="G803" s="5">
        <v>3305307</v>
      </c>
      <c r="H803" s="5">
        <v>3305307</v>
      </c>
    </row>
    <row r="804" spans="1:8" x14ac:dyDescent="0.25">
      <c r="A804" t="s">
        <v>267</v>
      </c>
      <c r="B804">
        <v>2020</v>
      </c>
      <c r="C804" t="s">
        <v>35</v>
      </c>
      <c r="D804" t="s">
        <v>35</v>
      </c>
      <c r="E804" t="s">
        <v>381</v>
      </c>
      <c r="F804" t="s">
        <v>165</v>
      </c>
      <c r="G804" s="5">
        <v>2963878</v>
      </c>
      <c r="H804" s="5">
        <v>2963878</v>
      </c>
    </row>
    <row r="805" spans="1:8" x14ac:dyDescent="0.25">
      <c r="A805" t="s">
        <v>267</v>
      </c>
      <c r="B805">
        <v>2020</v>
      </c>
      <c r="C805" t="s">
        <v>35</v>
      </c>
      <c r="D805" t="s">
        <v>35</v>
      </c>
      <c r="E805" t="s">
        <v>369</v>
      </c>
      <c r="F805" t="s">
        <v>152</v>
      </c>
      <c r="G805" s="5">
        <v>2573814</v>
      </c>
      <c r="H805" s="5">
        <v>2573814</v>
      </c>
    </row>
    <row r="806" spans="1:8" x14ac:dyDescent="0.25">
      <c r="A806" t="s">
        <v>267</v>
      </c>
      <c r="B806">
        <v>2020</v>
      </c>
      <c r="C806" t="s">
        <v>35</v>
      </c>
      <c r="D806" t="s">
        <v>35</v>
      </c>
      <c r="F806" t="s">
        <v>161</v>
      </c>
      <c r="G806" s="5">
        <v>2055961</v>
      </c>
      <c r="H806" s="5">
        <v>2055961</v>
      </c>
    </row>
    <row r="807" spans="1:8" x14ac:dyDescent="0.25">
      <c r="A807" t="s">
        <v>267</v>
      </c>
      <c r="B807">
        <v>2020</v>
      </c>
      <c r="C807" t="s">
        <v>35</v>
      </c>
      <c r="D807" t="s">
        <v>35</v>
      </c>
      <c r="E807" t="s">
        <v>385</v>
      </c>
      <c r="F807" t="s">
        <v>169</v>
      </c>
      <c r="G807" s="5">
        <v>1713322</v>
      </c>
      <c r="H807" s="5">
        <v>1713322</v>
      </c>
    </row>
    <row r="808" spans="1:8" x14ac:dyDescent="0.25">
      <c r="A808" t="s">
        <v>267</v>
      </c>
      <c r="B808">
        <v>2020</v>
      </c>
      <c r="C808" t="s">
        <v>35</v>
      </c>
      <c r="D808" t="s">
        <v>35</v>
      </c>
      <c r="E808" t="s">
        <v>376</v>
      </c>
      <c r="F808" t="s">
        <v>159</v>
      </c>
      <c r="G808" s="5">
        <v>1404108</v>
      </c>
      <c r="H808" s="5">
        <v>1522296</v>
      </c>
    </row>
    <row r="809" spans="1:8" x14ac:dyDescent="0.25">
      <c r="A809" t="s">
        <v>267</v>
      </c>
      <c r="B809">
        <v>2020</v>
      </c>
      <c r="C809" t="s">
        <v>35</v>
      </c>
      <c r="D809" t="s">
        <v>35</v>
      </c>
      <c r="E809" t="s">
        <v>378</v>
      </c>
      <c r="F809" t="s">
        <v>162</v>
      </c>
      <c r="G809" s="5">
        <v>1309644</v>
      </c>
      <c r="H809" s="5">
        <v>1309644</v>
      </c>
    </row>
    <row r="810" spans="1:8" x14ac:dyDescent="0.25">
      <c r="A810" t="s">
        <v>267</v>
      </c>
      <c r="B810">
        <v>2020</v>
      </c>
      <c r="C810" t="s">
        <v>35</v>
      </c>
      <c r="D810" t="s">
        <v>35</v>
      </c>
      <c r="E810" t="s">
        <v>442</v>
      </c>
      <c r="F810" t="s">
        <v>229</v>
      </c>
      <c r="G810" s="5">
        <v>1061461</v>
      </c>
      <c r="H810" s="5">
        <v>1061461</v>
      </c>
    </row>
    <row r="811" spans="1:8" x14ac:dyDescent="0.25">
      <c r="A811" t="s">
        <v>267</v>
      </c>
      <c r="B811">
        <v>2020</v>
      </c>
      <c r="C811" t="s">
        <v>35</v>
      </c>
      <c r="D811" t="s">
        <v>35</v>
      </c>
      <c r="E811" t="s">
        <v>383</v>
      </c>
      <c r="F811" t="s">
        <v>167</v>
      </c>
      <c r="G811" s="5">
        <v>455466</v>
      </c>
      <c r="H811" s="5">
        <v>455466</v>
      </c>
    </row>
    <row r="812" spans="1:8" x14ac:dyDescent="0.25">
      <c r="A812" t="s">
        <v>267</v>
      </c>
      <c r="B812">
        <v>2020</v>
      </c>
      <c r="C812" t="s">
        <v>35</v>
      </c>
      <c r="D812" t="s">
        <v>35</v>
      </c>
      <c r="E812" t="s">
        <v>380</v>
      </c>
      <c r="F812" t="s">
        <v>164</v>
      </c>
      <c r="G812" s="5">
        <v>429841</v>
      </c>
      <c r="H812" s="5">
        <v>429841</v>
      </c>
    </row>
    <row r="813" spans="1:8" x14ac:dyDescent="0.25">
      <c r="A813" t="s">
        <v>267</v>
      </c>
      <c r="B813">
        <v>2020</v>
      </c>
      <c r="C813" t="s">
        <v>35</v>
      </c>
      <c r="D813" t="s">
        <v>35</v>
      </c>
      <c r="E813" t="s">
        <v>377</v>
      </c>
      <c r="F813" t="s">
        <v>160</v>
      </c>
      <c r="G813" s="5">
        <v>349221</v>
      </c>
      <c r="H813" s="5">
        <v>349221</v>
      </c>
    </row>
    <row r="814" spans="1:8" x14ac:dyDescent="0.25">
      <c r="A814" t="s">
        <v>267</v>
      </c>
      <c r="B814">
        <v>2020</v>
      </c>
      <c r="C814" t="s">
        <v>35</v>
      </c>
      <c r="D814" t="s">
        <v>35</v>
      </c>
      <c r="E814" t="s">
        <v>382</v>
      </c>
      <c r="F814" t="s">
        <v>166</v>
      </c>
      <c r="G814" s="5">
        <v>325174</v>
      </c>
      <c r="H814" s="5">
        <v>325174</v>
      </c>
    </row>
    <row r="815" spans="1:8" x14ac:dyDescent="0.25">
      <c r="A815" t="s">
        <v>267</v>
      </c>
      <c r="B815">
        <v>2020</v>
      </c>
      <c r="C815" t="s">
        <v>35</v>
      </c>
      <c r="D815" t="s">
        <v>35</v>
      </c>
      <c r="E815" t="s">
        <v>379</v>
      </c>
      <c r="F815" t="s">
        <v>163</v>
      </c>
      <c r="G815" s="5">
        <v>300753</v>
      </c>
      <c r="H815" s="5">
        <v>300753</v>
      </c>
    </row>
    <row r="816" spans="1:8" x14ac:dyDescent="0.25">
      <c r="A816" t="s">
        <v>267</v>
      </c>
      <c r="B816">
        <v>2020</v>
      </c>
      <c r="C816" t="s">
        <v>35</v>
      </c>
      <c r="D816" t="s">
        <v>35</v>
      </c>
      <c r="E816" t="s">
        <v>374</v>
      </c>
      <c r="F816" t="s">
        <v>157</v>
      </c>
      <c r="G816" s="5">
        <v>89617</v>
      </c>
      <c r="H816" s="5">
        <v>89617</v>
      </c>
    </row>
    <row r="817" spans="1:8" x14ac:dyDescent="0.25">
      <c r="A817" t="s">
        <v>267</v>
      </c>
      <c r="B817">
        <v>2020</v>
      </c>
      <c r="C817" t="s">
        <v>35</v>
      </c>
      <c r="D817" t="s">
        <v>35</v>
      </c>
      <c r="E817" t="s">
        <v>384</v>
      </c>
      <c r="F817" t="s">
        <v>168</v>
      </c>
      <c r="G817" s="5">
        <v>87370</v>
      </c>
      <c r="H817" s="5">
        <v>87370</v>
      </c>
    </row>
    <row r="818" spans="1:8" x14ac:dyDescent="0.25">
      <c r="A818" t="s">
        <v>267</v>
      </c>
      <c r="B818">
        <v>2020</v>
      </c>
      <c r="C818" t="s">
        <v>35</v>
      </c>
      <c r="D818" t="s">
        <v>35</v>
      </c>
      <c r="E818" t="s">
        <v>387</v>
      </c>
      <c r="F818" t="s">
        <v>171</v>
      </c>
      <c r="G818" s="5">
        <v>8474</v>
      </c>
      <c r="H818" s="5">
        <v>8474</v>
      </c>
    </row>
    <row r="819" spans="1:8" x14ac:dyDescent="0.25">
      <c r="A819" t="s">
        <v>267</v>
      </c>
      <c r="B819">
        <v>2020</v>
      </c>
      <c r="C819" t="s">
        <v>172</v>
      </c>
      <c r="D819" t="s">
        <v>34</v>
      </c>
      <c r="E819" t="s">
        <v>388</v>
      </c>
      <c r="F819" t="s">
        <v>173</v>
      </c>
      <c r="G819" s="5">
        <v>3272612051</v>
      </c>
      <c r="H819" s="5">
        <v>3737311628</v>
      </c>
    </row>
    <row r="820" spans="1:8" x14ac:dyDescent="0.25">
      <c r="A820" t="s">
        <v>267</v>
      </c>
      <c r="B820">
        <v>2020</v>
      </c>
      <c r="C820" t="s">
        <v>172</v>
      </c>
      <c r="D820" t="s">
        <v>34</v>
      </c>
      <c r="E820" t="s">
        <v>389</v>
      </c>
      <c r="F820" t="s">
        <v>174</v>
      </c>
      <c r="G820" s="5">
        <v>629771506</v>
      </c>
      <c r="H820" s="5">
        <v>633078457</v>
      </c>
    </row>
    <row r="821" spans="1:8" x14ac:dyDescent="0.25">
      <c r="A821" t="s">
        <v>267</v>
      </c>
      <c r="B821">
        <v>2020</v>
      </c>
      <c r="C821" t="s">
        <v>172</v>
      </c>
      <c r="D821" t="s">
        <v>34</v>
      </c>
      <c r="E821" t="s">
        <v>390</v>
      </c>
      <c r="F821" t="s">
        <v>175</v>
      </c>
      <c r="G821" s="5">
        <v>553462957</v>
      </c>
      <c r="H821" s="5">
        <v>701653936</v>
      </c>
    </row>
    <row r="822" spans="1:8" x14ac:dyDescent="0.25">
      <c r="A822" t="s">
        <v>267</v>
      </c>
      <c r="B822">
        <v>2020</v>
      </c>
      <c r="C822" t="s">
        <v>172</v>
      </c>
      <c r="D822" t="s">
        <v>34</v>
      </c>
      <c r="E822" t="s">
        <v>391</v>
      </c>
      <c r="F822" t="s">
        <v>176</v>
      </c>
      <c r="G822" s="5">
        <v>527689599</v>
      </c>
      <c r="H822" s="5">
        <v>562313909</v>
      </c>
    </row>
    <row r="823" spans="1:8" x14ac:dyDescent="0.25">
      <c r="A823" t="s">
        <v>267</v>
      </c>
      <c r="B823">
        <v>2020</v>
      </c>
      <c r="C823" t="s">
        <v>172</v>
      </c>
      <c r="D823" t="s">
        <v>34</v>
      </c>
      <c r="E823" t="s">
        <v>392</v>
      </c>
      <c r="F823" t="s">
        <v>178</v>
      </c>
      <c r="G823" s="5">
        <v>364160607</v>
      </c>
      <c r="H823" s="5">
        <v>368348786</v>
      </c>
    </row>
    <row r="824" spans="1:8" x14ac:dyDescent="0.25">
      <c r="A824" t="s">
        <v>267</v>
      </c>
      <c r="B824">
        <v>2020</v>
      </c>
      <c r="C824" t="s">
        <v>172</v>
      </c>
      <c r="D824" t="s">
        <v>34</v>
      </c>
      <c r="E824" t="s">
        <v>393</v>
      </c>
      <c r="F824" t="s">
        <v>179</v>
      </c>
      <c r="G824" s="5">
        <v>258857409</v>
      </c>
      <c r="H824" s="5">
        <v>259036270</v>
      </c>
    </row>
    <row r="825" spans="1:8" x14ac:dyDescent="0.25">
      <c r="A825" t="s">
        <v>267</v>
      </c>
      <c r="B825">
        <v>2020</v>
      </c>
      <c r="C825" t="s">
        <v>172</v>
      </c>
      <c r="D825" t="s">
        <v>34</v>
      </c>
      <c r="E825" t="s">
        <v>394</v>
      </c>
      <c r="F825" t="s">
        <v>180</v>
      </c>
      <c r="G825" s="5">
        <v>189070027</v>
      </c>
      <c r="H825" s="5">
        <v>220133156</v>
      </c>
    </row>
    <row r="826" spans="1:8" x14ac:dyDescent="0.25">
      <c r="A826" t="s">
        <v>267</v>
      </c>
      <c r="B826">
        <v>2020</v>
      </c>
      <c r="C826" t="s">
        <v>172</v>
      </c>
      <c r="D826" t="s">
        <v>34</v>
      </c>
      <c r="E826" t="s">
        <v>395</v>
      </c>
      <c r="F826" t="s">
        <v>181</v>
      </c>
      <c r="G826" s="5">
        <v>186106662</v>
      </c>
      <c r="H826" s="5">
        <v>216481134</v>
      </c>
    </row>
    <row r="827" spans="1:8" x14ac:dyDescent="0.25">
      <c r="A827" t="s">
        <v>267</v>
      </c>
      <c r="B827">
        <v>2020</v>
      </c>
      <c r="C827" t="s">
        <v>172</v>
      </c>
      <c r="D827" t="s">
        <v>34</v>
      </c>
      <c r="E827" t="s">
        <v>397</v>
      </c>
      <c r="F827" t="s">
        <v>184</v>
      </c>
      <c r="G827" s="5">
        <v>120702055</v>
      </c>
      <c r="H827" s="5">
        <v>121183292</v>
      </c>
    </row>
    <row r="828" spans="1:8" x14ac:dyDescent="0.25">
      <c r="A828" t="s">
        <v>267</v>
      </c>
      <c r="B828">
        <v>2020</v>
      </c>
      <c r="C828" t="s">
        <v>172</v>
      </c>
      <c r="D828" t="s">
        <v>34</v>
      </c>
      <c r="E828" t="s">
        <v>396</v>
      </c>
      <c r="F828" t="s">
        <v>183</v>
      </c>
      <c r="G828" s="5">
        <v>113020744</v>
      </c>
      <c r="H828" s="5">
        <v>117878554</v>
      </c>
    </row>
    <row r="829" spans="1:8" x14ac:dyDescent="0.25">
      <c r="A829" t="s">
        <v>267</v>
      </c>
      <c r="B829">
        <v>2020</v>
      </c>
      <c r="C829" t="s">
        <v>172</v>
      </c>
      <c r="D829" t="s">
        <v>34</v>
      </c>
      <c r="E829" t="s">
        <v>400</v>
      </c>
      <c r="F829" t="s">
        <v>189</v>
      </c>
      <c r="G829" s="5">
        <v>106307468</v>
      </c>
      <c r="H829" s="5">
        <v>106343987</v>
      </c>
    </row>
    <row r="830" spans="1:8" x14ac:dyDescent="0.25">
      <c r="A830" t="s">
        <v>267</v>
      </c>
      <c r="B830">
        <v>2020</v>
      </c>
      <c r="C830" t="s">
        <v>172</v>
      </c>
      <c r="D830" t="s">
        <v>34</v>
      </c>
      <c r="E830" t="s">
        <v>398</v>
      </c>
      <c r="F830" t="s">
        <v>186</v>
      </c>
      <c r="G830" s="5">
        <v>72415763</v>
      </c>
      <c r="H830" s="5">
        <v>74442706</v>
      </c>
    </row>
    <row r="831" spans="1:8" x14ac:dyDescent="0.25">
      <c r="A831" t="s">
        <v>267</v>
      </c>
      <c r="B831">
        <v>2020</v>
      </c>
      <c r="C831" t="s">
        <v>172</v>
      </c>
      <c r="D831" t="s">
        <v>34</v>
      </c>
      <c r="E831" t="s">
        <v>402</v>
      </c>
      <c r="F831" t="s">
        <v>191</v>
      </c>
      <c r="G831" s="5">
        <v>48112760</v>
      </c>
      <c r="H831" s="5">
        <v>48168149</v>
      </c>
    </row>
    <row r="832" spans="1:8" x14ac:dyDescent="0.25">
      <c r="A832" t="s">
        <v>267</v>
      </c>
      <c r="B832">
        <v>2020</v>
      </c>
      <c r="C832" t="s">
        <v>172</v>
      </c>
      <c r="D832" t="s">
        <v>34</v>
      </c>
      <c r="E832" t="s">
        <v>401</v>
      </c>
      <c r="F832" t="s">
        <v>190</v>
      </c>
      <c r="G832" s="5">
        <v>47538314</v>
      </c>
      <c r="H832" s="5">
        <v>71962056</v>
      </c>
    </row>
    <row r="833" spans="1:8" x14ac:dyDescent="0.25">
      <c r="A833" t="s">
        <v>267</v>
      </c>
      <c r="B833">
        <v>2020</v>
      </c>
      <c r="C833" t="s">
        <v>172</v>
      </c>
      <c r="D833" t="s">
        <v>34</v>
      </c>
      <c r="E833" t="s">
        <v>399</v>
      </c>
      <c r="F833" t="s">
        <v>187</v>
      </c>
      <c r="G833" s="5">
        <v>43934664</v>
      </c>
      <c r="H833" s="5">
        <v>44197352</v>
      </c>
    </row>
    <row r="834" spans="1:8" x14ac:dyDescent="0.25">
      <c r="A834" t="s">
        <v>267</v>
      </c>
      <c r="B834">
        <v>2020</v>
      </c>
      <c r="C834" t="s">
        <v>172</v>
      </c>
      <c r="D834" t="s">
        <v>34</v>
      </c>
      <c r="E834" t="s">
        <v>404</v>
      </c>
      <c r="F834" t="s">
        <v>193</v>
      </c>
      <c r="G834" s="5">
        <v>40182555</v>
      </c>
      <c r="H834" s="5">
        <v>40199415</v>
      </c>
    </row>
    <row r="835" spans="1:8" x14ac:dyDescent="0.25">
      <c r="A835" t="s">
        <v>267</v>
      </c>
      <c r="B835">
        <v>2020</v>
      </c>
      <c r="C835" t="s">
        <v>172</v>
      </c>
      <c r="D835" t="s">
        <v>34</v>
      </c>
      <c r="E835" t="s">
        <v>403</v>
      </c>
      <c r="F835" t="s">
        <v>192</v>
      </c>
      <c r="G835" s="5">
        <v>34302969</v>
      </c>
      <c r="H835" s="5">
        <v>35129503</v>
      </c>
    </row>
    <row r="836" spans="1:8" x14ac:dyDescent="0.25">
      <c r="A836" t="s">
        <v>267</v>
      </c>
      <c r="B836">
        <v>2020</v>
      </c>
      <c r="C836" t="s">
        <v>172</v>
      </c>
      <c r="D836" t="s">
        <v>34</v>
      </c>
      <c r="E836" t="s">
        <v>405</v>
      </c>
      <c r="F836" t="s">
        <v>194</v>
      </c>
      <c r="G836" s="5">
        <v>27304520</v>
      </c>
      <c r="H836" s="5">
        <v>27701728</v>
      </c>
    </row>
    <row r="837" spans="1:8" x14ac:dyDescent="0.25">
      <c r="A837" t="s">
        <v>267</v>
      </c>
      <c r="B837">
        <v>2020</v>
      </c>
      <c r="C837" t="s">
        <v>172</v>
      </c>
      <c r="D837" t="s">
        <v>34</v>
      </c>
      <c r="E837" t="s">
        <v>406</v>
      </c>
      <c r="F837" t="s">
        <v>195</v>
      </c>
      <c r="G837" s="5">
        <v>20491207</v>
      </c>
      <c r="H837" s="5">
        <v>20527594</v>
      </c>
    </row>
    <row r="838" spans="1:8" x14ac:dyDescent="0.25">
      <c r="A838" t="s">
        <v>267</v>
      </c>
      <c r="B838">
        <v>2020</v>
      </c>
      <c r="C838" t="s">
        <v>172</v>
      </c>
      <c r="D838" t="s">
        <v>34</v>
      </c>
      <c r="E838" t="s">
        <v>408</v>
      </c>
      <c r="F838" t="s">
        <v>198</v>
      </c>
      <c r="G838" s="5">
        <v>19678307</v>
      </c>
      <c r="H838" s="5">
        <v>19695906</v>
      </c>
    </row>
    <row r="839" spans="1:8" x14ac:dyDescent="0.25">
      <c r="A839" t="s">
        <v>267</v>
      </c>
      <c r="B839">
        <v>2020</v>
      </c>
      <c r="C839" t="s">
        <v>172</v>
      </c>
      <c r="D839" t="s">
        <v>34</v>
      </c>
      <c r="E839" t="s">
        <v>407</v>
      </c>
      <c r="F839" t="s">
        <v>197</v>
      </c>
      <c r="G839" s="5">
        <v>19571080</v>
      </c>
      <c r="H839" s="5">
        <v>19662727</v>
      </c>
    </row>
    <row r="840" spans="1:8" x14ac:dyDescent="0.25">
      <c r="A840" t="s">
        <v>267</v>
      </c>
      <c r="B840">
        <v>2020</v>
      </c>
      <c r="C840" t="s">
        <v>172</v>
      </c>
      <c r="D840" t="s">
        <v>34</v>
      </c>
      <c r="E840" t="s">
        <v>410</v>
      </c>
      <c r="F840" t="s">
        <v>201</v>
      </c>
      <c r="G840" s="5">
        <v>16113852</v>
      </c>
      <c r="H840" s="5">
        <v>16113852</v>
      </c>
    </row>
    <row r="841" spans="1:8" x14ac:dyDescent="0.25">
      <c r="A841" t="s">
        <v>267</v>
      </c>
      <c r="B841">
        <v>2020</v>
      </c>
      <c r="C841" t="s">
        <v>172</v>
      </c>
      <c r="D841" t="s">
        <v>34</v>
      </c>
      <c r="E841" t="s">
        <v>411</v>
      </c>
      <c r="F841" t="s">
        <v>203</v>
      </c>
      <c r="G841" s="5">
        <v>12715029</v>
      </c>
      <c r="H841" s="5">
        <v>12755477</v>
      </c>
    </row>
    <row r="842" spans="1:8" x14ac:dyDescent="0.25">
      <c r="A842" t="s">
        <v>267</v>
      </c>
      <c r="B842">
        <v>2020</v>
      </c>
      <c r="C842" t="s">
        <v>172</v>
      </c>
      <c r="D842" t="s">
        <v>34</v>
      </c>
      <c r="E842" t="s">
        <v>412</v>
      </c>
      <c r="F842" t="s">
        <v>204</v>
      </c>
      <c r="G842" s="5">
        <v>8403120</v>
      </c>
      <c r="H842" s="5">
        <v>8479432</v>
      </c>
    </row>
    <row r="843" spans="1:8" x14ac:dyDescent="0.25">
      <c r="A843" t="s">
        <v>267</v>
      </c>
      <c r="B843">
        <v>2020</v>
      </c>
      <c r="C843" t="s">
        <v>172</v>
      </c>
      <c r="D843" t="s">
        <v>34</v>
      </c>
      <c r="E843" t="s">
        <v>409</v>
      </c>
      <c r="F843" t="s">
        <v>199</v>
      </c>
      <c r="G843" s="5">
        <v>7293681</v>
      </c>
      <c r="H843" s="5">
        <v>13614644</v>
      </c>
    </row>
    <row r="844" spans="1:8" x14ac:dyDescent="0.25">
      <c r="A844" t="s">
        <v>267</v>
      </c>
      <c r="B844">
        <v>2020</v>
      </c>
      <c r="C844" t="s">
        <v>172</v>
      </c>
      <c r="D844" t="s">
        <v>34</v>
      </c>
      <c r="E844" t="s">
        <v>413</v>
      </c>
      <c r="F844" t="s">
        <v>207</v>
      </c>
      <c r="G844" s="5">
        <v>4420071</v>
      </c>
      <c r="H844" s="5">
        <v>4486318</v>
      </c>
    </row>
    <row r="845" spans="1:8" x14ac:dyDescent="0.25">
      <c r="A845" t="s">
        <v>267</v>
      </c>
      <c r="B845">
        <v>2020</v>
      </c>
      <c r="C845" t="s">
        <v>172</v>
      </c>
      <c r="D845" t="s">
        <v>34</v>
      </c>
      <c r="E845" t="s">
        <v>414</v>
      </c>
      <c r="F845" t="s">
        <v>209</v>
      </c>
      <c r="G845" s="5">
        <v>1209881</v>
      </c>
      <c r="H845" s="5">
        <v>5931925</v>
      </c>
    </row>
    <row r="846" spans="1:8" x14ac:dyDescent="0.25">
      <c r="A846" t="s">
        <v>267</v>
      </c>
      <c r="B846">
        <v>2020</v>
      </c>
      <c r="C846" t="s">
        <v>172</v>
      </c>
      <c r="D846" t="s">
        <v>37</v>
      </c>
      <c r="E846" t="s">
        <v>415</v>
      </c>
      <c r="F846" t="s">
        <v>177</v>
      </c>
      <c r="G846" s="5">
        <v>479588151</v>
      </c>
      <c r="H846" s="5">
        <v>5478783425</v>
      </c>
    </row>
    <row r="847" spans="1:8" x14ac:dyDescent="0.25">
      <c r="A847" t="s">
        <v>267</v>
      </c>
      <c r="B847">
        <v>2020</v>
      </c>
      <c r="C847" t="s">
        <v>172</v>
      </c>
      <c r="D847" t="s">
        <v>37</v>
      </c>
      <c r="E847" t="s">
        <v>417</v>
      </c>
      <c r="F847" t="s">
        <v>185</v>
      </c>
      <c r="G847" s="5">
        <v>161481915</v>
      </c>
      <c r="H847" s="5">
        <v>164070893</v>
      </c>
    </row>
    <row r="848" spans="1:8" x14ac:dyDescent="0.25">
      <c r="A848" t="s">
        <v>267</v>
      </c>
      <c r="B848">
        <v>2020</v>
      </c>
      <c r="C848" t="s">
        <v>172</v>
      </c>
      <c r="D848" t="s">
        <v>37</v>
      </c>
      <c r="E848" t="s">
        <v>416</v>
      </c>
      <c r="F848" t="s">
        <v>182</v>
      </c>
      <c r="G848" s="5">
        <v>112178894</v>
      </c>
      <c r="H848" s="5">
        <v>302888337</v>
      </c>
    </row>
    <row r="849" spans="1:8" x14ac:dyDescent="0.25">
      <c r="A849" t="s">
        <v>267</v>
      </c>
      <c r="B849">
        <v>2020</v>
      </c>
      <c r="C849" t="s">
        <v>172</v>
      </c>
      <c r="D849" t="s">
        <v>37</v>
      </c>
      <c r="E849" t="s">
        <v>418</v>
      </c>
      <c r="F849" t="s">
        <v>188</v>
      </c>
      <c r="G849" s="5">
        <v>44789450</v>
      </c>
      <c r="H849" s="5">
        <v>44988878</v>
      </c>
    </row>
    <row r="850" spans="1:8" x14ac:dyDescent="0.25">
      <c r="A850" t="s">
        <v>267</v>
      </c>
      <c r="B850">
        <v>2020</v>
      </c>
      <c r="C850" t="s">
        <v>172</v>
      </c>
      <c r="D850" t="s">
        <v>37</v>
      </c>
      <c r="E850" t="s">
        <v>419</v>
      </c>
      <c r="F850" t="s">
        <v>196</v>
      </c>
      <c r="G850" s="5">
        <v>24282410</v>
      </c>
      <c r="H850" s="5">
        <v>24390240</v>
      </c>
    </row>
    <row r="851" spans="1:8" x14ac:dyDescent="0.25">
      <c r="A851" t="s">
        <v>267</v>
      </c>
      <c r="B851">
        <v>2020</v>
      </c>
      <c r="C851" t="s">
        <v>172</v>
      </c>
      <c r="D851" t="s">
        <v>37</v>
      </c>
      <c r="E851" t="s">
        <v>420</v>
      </c>
      <c r="F851" t="s">
        <v>200</v>
      </c>
      <c r="G851" s="5">
        <v>19086118</v>
      </c>
      <c r="H851" s="5">
        <v>19141371</v>
      </c>
    </row>
    <row r="852" spans="1:8" x14ac:dyDescent="0.25">
      <c r="A852" t="s">
        <v>267</v>
      </c>
      <c r="B852">
        <v>2020</v>
      </c>
      <c r="C852" t="s">
        <v>172</v>
      </c>
      <c r="D852" t="s">
        <v>37</v>
      </c>
      <c r="E852" t="s">
        <v>421</v>
      </c>
      <c r="F852" t="s">
        <v>202</v>
      </c>
      <c r="G852" s="5">
        <v>13212881</v>
      </c>
      <c r="H852" s="5">
        <v>13212881</v>
      </c>
    </row>
    <row r="853" spans="1:8" x14ac:dyDescent="0.25">
      <c r="A853" t="s">
        <v>267</v>
      </c>
      <c r="B853">
        <v>2020</v>
      </c>
      <c r="C853" t="s">
        <v>172</v>
      </c>
      <c r="D853" t="s">
        <v>37</v>
      </c>
      <c r="E853" t="s">
        <v>423</v>
      </c>
      <c r="F853" t="s">
        <v>206</v>
      </c>
      <c r="G853" s="5">
        <v>4330933</v>
      </c>
      <c r="H853" s="5">
        <v>4330933</v>
      </c>
    </row>
    <row r="854" spans="1:8" x14ac:dyDescent="0.25">
      <c r="A854" t="s">
        <v>267</v>
      </c>
      <c r="B854">
        <v>2020</v>
      </c>
      <c r="C854" t="s">
        <v>172</v>
      </c>
      <c r="D854" t="s">
        <v>37</v>
      </c>
      <c r="E854" t="s">
        <v>424</v>
      </c>
      <c r="F854" t="s">
        <v>208</v>
      </c>
      <c r="G854" s="5">
        <v>4042418</v>
      </c>
      <c r="H854" s="5">
        <v>4042418</v>
      </c>
    </row>
    <row r="855" spans="1:8" x14ac:dyDescent="0.25">
      <c r="A855" t="s">
        <v>267</v>
      </c>
      <c r="B855">
        <v>2020</v>
      </c>
      <c r="C855" t="s">
        <v>172</v>
      </c>
      <c r="D855" t="s">
        <v>37</v>
      </c>
      <c r="E855" t="s">
        <v>425</v>
      </c>
      <c r="F855" t="s">
        <v>210</v>
      </c>
      <c r="G855" s="5">
        <v>3225860</v>
      </c>
      <c r="H855" s="5">
        <v>3225860</v>
      </c>
    </row>
    <row r="856" spans="1:8" x14ac:dyDescent="0.25">
      <c r="A856" t="s">
        <v>267</v>
      </c>
      <c r="B856">
        <v>2020</v>
      </c>
      <c r="C856" t="s">
        <v>172</v>
      </c>
      <c r="D856" t="s">
        <v>37</v>
      </c>
      <c r="E856" t="s">
        <v>422</v>
      </c>
      <c r="F856" t="s">
        <v>205</v>
      </c>
      <c r="G856" s="5">
        <v>2954519</v>
      </c>
      <c r="H856" s="5">
        <v>2954519</v>
      </c>
    </row>
    <row r="857" spans="1:8" x14ac:dyDescent="0.25">
      <c r="A857" t="s">
        <v>267</v>
      </c>
      <c r="B857">
        <v>2020</v>
      </c>
      <c r="C857" t="s">
        <v>172</v>
      </c>
      <c r="D857" t="s">
        <v>37</v>
      </c>
      <c r="E857" t="s">
        <v>427</v>
      </c>
      <c r="F857" t="s">
        <v>212</v>
      </c>
      <c r="G857" s="5">
        <v>1950882</v>
      </c>
      <c r="H857" s="5">
        <v>1950882</v>
      </c>
    </row>
    <row r="858" spans="1:8" x14ac:dyDescent="0.25">
      <c r="A858" t="s">
        <v>267</v>
      </c>
      <c r="B858">
        <v>2020</v>
      </c>
      <c r="C858" t="s">
        <v>172</v>
      </c>
      <c r="D858" t="s">
        <v>37</v>
      </c>
      <c r="E858" t="s">
        <v>426</v>
      </c>
      <c r="F858" t="s">
        <v>211</v>
      </c>
      <c r="G858" s="5">
        <v>1759497</v>
      </c>
      <c r="H858" s="5">
        <v>1760570</v>
      </c>
    </row>
    <row r="859" spans="1:8" x14ac:dyDescent="0.25">
      <c r="A859" t="s">
        <v>267</v>
      </c>
      <c r="B859">
        <v>2020</v>
      </c>
      <c r="C859" t="s">
        <v>172</v>
      </c>
      <c r="D859" t="s">
        <v>37</v>
      </c>
      <c r="E859" t="s">
        <v>428</v>
      </c>
      <c r="F859" t="s">
        <v>213</v>
      </c>
      <c r="G859" s="5">
        <v>597787</v>
      </c>
      <c r="H859" s="5">
        <v>597787</v>
      </c>
    </row>
    <row r="860" spans="1:8" x14ac:dyDescent="0.25">
      <c r="A860" t="s">
        <v>267</v>
      </c>
      <c r="B860">
        <v>2020</v>
      </c>
      <c r="C860" t="s">
        <v>172</v>
      </c>
      <c r="D860" t="s">
        <v>37</v>
      </c>
      <c r="E860" t="s">
        <v>429</v>
      </c>
      <c r="F860" t="s">
        <v>214</v>
      </c>
      <c r="G860" s="5">
        <v>111019</v>
      </c>
      <c r="H860" s="5">
        <v>111019</v>
      </c>
    </row>
    <row r="861" spans="1:8" x14ac:dyDescent="0.25">
      <c r="A861" t="s">
        <v>267</v>
      </c>
      <c r="B861">
        <v>2020</v>
      </c>
      <c r="C861" t="s">
        <v>172</v>
      </c>
      <c r="D861" t="s">
        <v>37</v>
      </c>
      <c r="E861" t="s">
        <v>430</v>
      </c>
      <c r="F861" t="s">
        <v>216</v>
      </c>
      <c r="G861" s="5">
        <v>109935</v>
      </c>
      <c r="H861" s="5">
        <v>138557</v>
      </c>
    </row>
    <row r="862" spans="1:8" x14ac:dyDescent="0.25">
      <c r="A862" t="s">
        <v>267</v>
      </c>
      <c r="B862">
        <v>2020</v>
      </c>
      <c r="C862" t="s">
        <v>172</v>
      </c>
      <c r="D862" t="s">
        <v>37</v>
      </c>
      <c r="E862" t="s">
        <v>431</v>
      </c>
      <c r="F862" t="s">
        <v>217</v>
      </c>
      <c r="G862" s="5">
        <v>62392</v>
      </c>
      <c r="H862" s="5">
        <v>62392</v>
      </c>
    </row>
    <row r="863" spans="1:8" x14ac:dyDescent="0.25">
      <c r="A863" t="s">
        <v>267</v>
      </c>
      <c r="B863">
        <v>2020</v>
      </c>
      <c r="C863" t="s">
        <v>172</v>
      </c>
      <c r="D863" t="s">
        <v>37</v>
      </c>
      <c r="F863" t="s">
        <v>215</v>
      </c>
      <c r="G863" s="5">
        <v>45701</v>
      </c>
      <c r="H863" s="5">
        <v>7949333</v>
      </c>
    </row>
    <row r="864" spans="1:8" x14ac:dyDescent="0.25">
      <c r="A864" t="s">
        <v>267</v>
      </c>
      <c r="B864">
        <v>2020</v>
      </c>
      <c r="C864" t="s">
        <v>172</v>
      </c>
      <c r="D864" t="s">
        <v>37</v>
      </c>
      <c r="E864" t="s">
        <v>447</v>
      </c>
      <c r="F864" t="s">
        <v>234</v>
      </c>
      <c r="G864" s="5">
        <v>9632</v>
      </c>
      <c r="H864" s="5">
        <v>9632</v>
      </c>
    </row>
    <row r="865" spans="1:8" x14ac:dyDescent="0.25">
      <c r="A865" t="s">
        <v>267</v>
      </c>
      <c r="B865">
        <v>2020</v>
      </c>
      <c r="C865" t="s">
        <v>40</v>
      </c>
      <c r="D865" t="s">
        <v>40</v>
      </c>
      <c r="E865" t="s">
        <v>432</v>
      </c>
      <c r="F865" t="s">
        <v>218</v>
      </c>
      <c r="G865" s="5">
        <v>118327571</v>
      </c>
      <c r="H865" s="5">
        <v>119019576</v>
      </c>
    </row>
    <row r="866" spans="1:8" x14ac:dyDescent="0.25">
      <c r="A866" t="s">
        <v>267</v>
      </c>
      <c r="B866">
        <v>2020</v>
      </c>
      <c r="C866" t="s">
        <v>40</v>
      </c>
      <c r="D866" t="s">
        <v>40</v>
      </c>
      <c r="E866" t="s">
        <v>433</v>
      </c>
      <c r="F866" t="s">
        <v>219</v>
      </c>
      <c r="G866" s="5">
        <v>9244345</v>
      </c>
      <c r="H866" s="5">
        <v>10324509</v>
      </c>
    </row>
    <row r="867" spans="1:8" x14ac:dyDescent="0.25">
      <c r="A867" t="s">
        <v>267</v>
      </c>
      <c r="B867">
        <v>2020</v>
      </c>
      <c r="C867" t="s">
        <v>40</v>
      </c>
      <c r="D867" t="s">
        <v>40</v>
      </c>
      <c r="E867" t="s">
        <v>436</v>
      </c>
      <c r="F867" t="s">
        <v>222</v>
      </c>
      <c r="G867" s="5">
        <v>433318</v>
      </c>
      <c r="H867" s="5">
        <v>433318</v>
      </c>
    </row>
    <row r="868" spans="1:8" x14ac:dyDescent="0.25">
      <c r="A868" t="s">
        <v>267</v>
      </c>
      <c r="B868">
        <v>2020</v>
      </c>
      <c r="C868" t="s">
        <v>40</v>
      </c>
      <c r="D868" t="s">
        <v>40</v>
      </c>
      <c r="E868" t="s">
        <v>438</v>
      </c>
      <c r="F868" t="s">
        <v>224</v>
      </c>
      <c r="G868" s="5">
        <v>49534</v>
      </c>
      <c r="H868" s="5">
        <v>49534</v>
      </c>
    </row>
    <row r="869" spans="1:8" x14ac:dyDescent="0.25">
      <c r="A869" t="s">
        <v>267</v>
      </c>
      <c r="B869">
        <v>2020</v>
      </c>
      <c r="C869" t="s">
        <v>40</v>
      </c>
      <c r="D869" t="s">
        <v>40</v>
      </c>
      <c r="F869" t="s">
        <v>225</v>
      </c>
      <c r="G869" s="5">
        <v>40441</v>
      </c>
      <c r="H869" s="5">
        <v>161545</v>
      </c>
    </row>
    <row r="870" spans="1:8" x14ac:dyDescent="0.25">
      <c r="A870" t="s">
        <v>267</v>
      </c>
      <c r="B870">
        <v>2020</v>
      </c>
      <c r="C870" t="s">
        <v>40</v>
      </c>
      <c r="D870" t="s">
        <v>40</v>
      </c>
      <c r="E870" t="s">
        <v>434</v>
      </c>
      <c r="F870" t="s">
        <v>220</v>
      </c>
      <c r="G870" s="5">
        <v>37889</v>
      </c>
      <c r="H870" s="5">
        <v>37889</v>
      </c>
    </row>
    <row r="871" spans="1:8" x14ac:dyDescent="0.25">
      <c r="A871" t="s">
        <v>267</v>
      </c>
      <c r="B871">
        <v>2020</v>
      </c>
      <c r="C871" t="s">
        <v>40</v>
      </c>
      <c r="D871" t="s">
        <v>40</v>
      </c>
      <c r="E871" t="s">
        <v>435</v>
      </c>
      <c r="F871" t="s">
        <v>221</v>
      </c>
      <c r="G871" s="5">
        <v>26569</v>
      </c>
      <c r="H871" s="5">
        <v>26569</v>
      </c>
    </row>
    <row r="872" spans="1:8" x14ac:dyDescent="0.25">
      <c r="A872" t="s">
        <v>267</v>
      </c>
      <c r="B872">
        <v>2021</v>
      </c>
      <c r="C872" t="s">
        <v>39</v>
      </c>
      <c r="D872" t="s">
        <v>39</v>
      </c>
      <c r="E872" t="s">
        <v>269</v>
      </c>
      <c r="F872" t="s">
        <v>48</v>
      </c>
      <c r="G872" s="5">
        <v>39574035</v>
      </c>
      <c r="H872" s="5">
        <v>39574037</v>
      </c>
    </row>
    <row r="873" spans="1:8" x14ac:dyDescent="0.25">
      <c r="A873" t="s">
        <v>267</v>
      </c>
      <c r="B873">
        <v>2021</v>
      </c>
      <c r="C873" t="s">
        <v>39</v>
      </c>
      <c r="D873" t="s">
        <v>39</v>
      </c>
      <c r="E873" t="s">
        <v>268</v>
      </c>
      <c r="F873" t="s">
        <v>47</v>
      </c>
      <c r="G873" s="5">
        <v>36268800</v>
      </c>
      <c r="H873" s="5">
        <v>36293204</v>
      </c>
    </row>
    <row r="874" spans="1:8" x14ac:dyDescent="0.25">
      <c r="A874" t="s">
        <v>267</v>
      </c>
      <c r="B874">
        <v>2021</v>
      </c>
      <c r="C874" t="s">
        <v>39</v>
      </c>
      <c r="D874" t="s">
        <v>39</v>
      </c>
      <c r="E874" t="s">
        <v>270</v>
      </c>
      <c r="F874" t="s">
        <v>49</v>
      </c>
      <c r="G874" s="5">
        <v>13389873</v>
      </c>
      <c r="H874" s="5">
        <v>13389873</v>
      </c>
    </row>
    <row r="875" spans="1:8" x14ac:dyDescent="0.25">
      <c r="A875" t="s">
        <v>267</v>
      </c>
      <c r="B875">
        <v>2021</v>
      </c>
      <c r="C875" t="s">
        <v>39</v>
      </c>
      <c r="D875" t="s">
        <v>39</v>
      </c>
      <c r="E875" t="s">
        <v>275</v>
      </c>
      <c r="F875" t="s">
        <v>54</v>
      </c>
      <c r="G875" s="5">
        <v>12015220</v>
      </c>
      <c r="H875" s="5">
        <v>12015220</v>
      </c>
    </row>
    <row r="876" spans="1:8" x14ac:dyDescent="0.25">
      <c r="A876" t="s">
        <v>267</v>
      </c>
      <c r="B876">
        <v>2021</v>
      </c>
      <c r="C876" t="s">
        <v>39</v>
      </c>
      <c r="D876" t="s">
        <v>39</v>
      </c>
      <c r="E876" t="s">
        <v>271</v>
      </c>
      <c r="F876" t="s">
        <v>50</v>
      </c>
      <c r="G876" s="5">
        <v>8998205</v>
      </c>
      <c r="H876" s="5">
        <v>21268054</v>
      </c>
    </row>
    <row r="877" spans="1:8" x14ac:dyDescent="0.25">
      <c r="A877" t="s">
        <v>267</v>
      </c>
      <c r="B877">
        <v>2021</v>
      </c>
      <c r="C877" t="s">
        <v>39</v>
      </c>
      <c r="D877" t="s">
        <v>39</v>
      </c>
      <c r="E877" t="s">
        <v>273</v>
      </c>
      <c r="F877" t="s">
        <v>52</v>
      </c>
      <c r="G877" s="5">
        <v>7421807</v>
      </c>
      <c r="H877" s="5">
        <v>7782924</v>
      </c>
    </row>
    <row r="878" spans="1:8" x14ac:dyDescent="0.25">
      <c r="A878" t="s">
        <v>267</v>
      </c>
      <c r="B878">
        <v>2021</v>
      </c>
      <c r="C878" t="s">
        <v>39</v>
      </c>
      <c r="D878" t="s">
        <v>39</v>
      </c>
      <c r="E878" t="s">
        <v>274</v>
      </c>
      <c r="F878" t="s">
        <v>53</v>
      </c>
      <c r="G878" s="5">
        <v>6757302</v>
      </c>
      <c r="H878" s="5">
        <v>6757302</v>
      </c>
    </row>
    <row r="879" spans="1:8" x14ac:dyDescent="0.25">
      <c r="A879" t="s">
        <v>267</v>
      </c>
      <c r="B879">
        <v>2021</v>
      </c>
      <c r="C879" t="s">
        <v>39</v>
      </c>
      <c r="D879" t="s">
        <v>39</v>
      </c>
      <c r="E879" t="s">
        <v>277</v>
      </c>
      <c r="F879" t="s">
        <v>56</v>
      </c>
      <c r="G879" s="5">
        <v>5037827</v>
      </c>
      <c r="H879" s="5">
        <v>5223461</v>
      </c>
    </row>
    <row r="880" spans="1:8" x14ac:dyDescent="0.25">
      <c r="A880" t="s">
        <v>267</v>
      </c>
      <c r="B880">
        <v>2021</v>
      </c>
      <c r="C880" t="s">
        <v>39</v>
      </c>
      <c r="D880" t="s">
        <v>39</v>
      </c>
      <c r="E880" t="s">
        <v>278</v>
      </c>
      <c r="F880" t="s">
        <v>57</v>
      </c>
      <c r="G880" s="5">
        <v>4751956</v>
      </c>
      <c r="H880" s="5">
        <v>4751956</v>
      </c>
    </row>
    <row r="881" spans="1:8" x14ac:dyDescent="0.25">
      <c r="A881" t="s">
        <v>267</v>
      </c>
      <c r="B881">
        <v>2021</v>
      </c>
      <c r="C881" t="s">
        <v>39</v>
      </c>
      <c r="D881" t="s">
        <v>39</v>
      </c>
      <c r="E881" t="s">
        <v>276</v>
      </c>
      <c r="F881" t="s">
        <v>55</v>
      </c>
      <c r="G881" s="5">
        <v>3846609</v>
      </c>
      <c r="H881" s="5">
        <v>3846609</v>
      </c>
    </row>
    <row r="882" spans="1:8" x14ac:dyDescent="0.25">
      <c r="A882" t="s">
        <v>267</v>
      </c>
      <c r="B882">
        <v>2021</v>
      </c>
      <c r="C882" t="s">
        <v>39</v>
      </c>
      <c r="D882" t="s">
        <v>39</v>
      </c>
      <c r="E882" t="s">
        <v>285</v>
      </c>
      <c r="F882" t="s">
        <v>65</v>
      </c>
      <c r="G882" s="5">
        <v>2853132</v>
      </c>
      <c r="H882" s="5">
        <v>2853132</v>
      </c>
    </row>
    <row r="883" spans="1:8" x14ac:dyDescent="0.25">
      <c r="A883" t="s">
        <v>267</v>
      </c>
      <c r="B883">
        <v>2021</v>
      </c>
      <c r="C883" t="s">
        <v>39</v>
      </c>
      <c r="D883" t="s">
        <v>39</v>
      </c>
      <c r="E883" t="s">
        <v>284</v>
      </c>
      <c r="F883" t="s">
        <v>63</v>
      </c>
      <c r="G883" s="5">
        <v>2217701</v>
      </c>
      <c r="H883" s="5">
        <v>2217701</v>
      </c>
    </row>
    <row r="884" spans="1:8" x14ac:dyDescent="0.25">
      <c r="A884" t="s">
        <v>267</v>
      </c>
      <c r="B884">
        <v>2021</v>
      </c>
      <c r="C884" t="s">
        <v>39</v>
      </c>
      <c r="D884" t="s">
        <v>39</v>
      </c>
      <c r="E884" t="s">
        <v>297</v>
      </c>
      <c r="F884" t="s">
        <v>77</v>
      </c>
      <c r="G884" s="5">
        <v>2126973</v>
      </c>
      <c r="H884" s="5">
        <v>2126973</v>
      </c>
    </row>
    <row r="885" spans="1:8" x14ac:dyDescent="0.25">
      <c r="A885" t="s">
        <v>267</v>
      </c>
      <c r="B885">
        <v>2021</v>
      </c>
      <c r="C885" t="s">
        <v>39</v>
      </c>
      <c r="D885" t="s">
        <v>39</v>
      </c>
      <c r="E885" t="s">
        <v>279</v>
      </c>
      <c r="F885" t="s">
        <v>58</v>
      </c>
      <c r="G885" s="5">
        <v>1859167</v>
      </c>
      <c r="H885" s="5">
        <v>1859167</v>
      </c>
    </row>
    <row r="886" spans="1:8" x14ac:dyDescent="0.25">
      <c r="A886" t="s">
        <v>267</v>
      </c>
      <c r="B886">
        <v>2021</v>
      </c>
      <c r="C886" t="s">
        <v>39</v>
      </c>
      <c r="D886" t="s">
        <v>39</v>
      </c>
      <c r="E886" t="s">
        <v>281</v>
      </c>
      <c r="F886" t="s">
        <v>60</v>
      </c>
      <c r="G886" s="5">
        <v>1657099</v>
      </c>
      <c r="H886" s="5">
        <v>1657099</v>
      </c>
    </row>
    <row r="887" spans="1:8" x14ac:dyDescent="0.25">
      <c r="A887" t="s">
        <v>267</v>
      </c>
      <c r="B887">
        <v>2021</v>
      </c>
      <c r="C887" t="s">
        <v>39</v>
      </c>
      <c r="D887" t="s">
        <v>39</v>
      </c>
      <c r="E887" t="s">
        <v>288</v>
      </c>
      <c r="F887" t="s">
        <v>68</v>
      </c>
      <c r="G887" s="5">
        <v>1544528</v>
      </c>
      <c r="H887" s="5">
        <v>1544528</v>
      </c>
    </row>
    <row r="888" spans="1:8" x14ac:dyDescent="0.25">
      <c r="A888" t="s">
        <v>267</v>
      </c>
      <c r="B888">
        <v>2021</v>
      </c>
      <c r="C888" t="s">
        <v>39</v>
      </c>
      <c r="D888" t="s">
        <v>39</v>
      </c>
      <c r="E888" t="s">
        <v>280</v>
      </c>
      <c r="F888" t="s">
        <v>59</v>
      </c>
      <c r="G888" s="5">
        <v>1262977</v>
      </c>
      <c r="H888" s="5">
        <v>1266058</v>
      </c>
    </row>
    <row r="889" spans="1:8" x14ac:dyDescent="0.25">
      <c r="A889" t="s">
        <v>267</v>
      </c>
      <c r="B889">
        <v>2021</v>
      </c>
      <c r="C889" t="s">
        <v>39</v>
      </c>
      <c r="D889" t="s">
        <v>39</v>
      </c>
      <c r="E889" t="s">
        <v>287</v>
      </c>
      <c r="F889" t="s">
        <v>67</v>
      </c>
      <c r="G889" s="5">
        <v>1107020</v>
      </c>
      <c r="H889" s="5">
        <v>1107020</v>
      </c>
    </row>
    <row r="890" spans="1:8" x14ac:dyDescent="0.25">
      <c r="A890" t="s">
        <v>267</v>
      </c>
      <c r="B890">
        <v>2021</v>
      </c>
      <c r="C890" t="s">
        <v>39</v>
      </c>
      <c r="D890" t="s">
        <v>39</v>
      </c>
      <c r="E890" t="s">
        <v>283</v>
      </c>
      <c r="F890" t="s">
        <v>62</v>
      </c>
      <c r="G890" s="5">
        <v>1079360</v>
      </c>
      <c r="H890" s="5">
        <v>1079360</v>
      </c>
    </row>
    <row r="891" spans="1:8" x14ac:dyDescent="0.25">
      <c r="A891" t="s">
        <v>267</v>
      </c>
      <c r="B891">
        <v>2021</v>
      </c>
      <c r="C891" t="s">
        <v>39</v>
      </c>
      <c r="D891" t="s">
        <v>39</v>
      </c>
      <c r="E891" t="s">
        <v>294</v>
      </c>
      <c r="F891" t="s">
        <v>74</v>
      </c>
      <c r="G891" s="5">
        <v>1035364</v>
      </c>
      <c r="H891" s="5">
        <v>1035364</v>
      </c>
    </row>
    <row r="892" spans="1:8" x14ac:dyDescent="0.25">
      <c r="A892" t="s">
        <v>267</v>
      </c>
      <c r="B892">
        <v>2021</v>
      </c>
      <c r="C892" t="s">
        <v>39</v>
      </c>
      <c r="D892" t="s">
        <v>39</v>
      </c>
      <c r="E892" t="s">
        <v>290</v>
      </c>
      <c r="F892" t="s">
        <v>70</v>
      </c>
      <c r="G892" s="5">
        <v>954543</v>
      </c>
      <c r="H892" s="5">
        <v>954543</v>
      </c>
    </row>
    <row r="893" spans="1:8" x14ac:dyDescent="0.25">
      <c r="A893" t="s">
        <v>267</v>
      </c>
      <c r="B893">
        <v>2021</v>
      </c>
      <c r="C893" t="s">
        <v>39</v>
      </c>
      <c r="D893" t="s">
        <v>39</v>
      </c>
      <c r="E893" t="s">
        <v>272</v>
      </c>
      <c r="F893" t="s">
        <v>51</v>
      </c>
      <c r="G893" s="5">
        <v>924950</v>
      </c>
      <c r="H893" s="5">
        <v>924950</v>
      </c>
    </row>
    <row r="894" spans="1:8" x14ac:dyDescent="0.25">
      <c r="A894" t="s">
        <v>267</v>
      </c>
      <c r="B894">
        <v>2021</v>
      </c>
      <c r="C894" t="s">
        <v>39</v>
      </c>
      <c r="D894" t="s">
        <v>39</v>
      </c>
      <c r="E894" t="s">
        <v>286</v>
      </c>
      <c r="F894" t="s">
        <v>66</v>
      </c>
      <c r="G894" s="5">
        <v>758336</v>
      </c>
      <c r="H894" s="5">
        <v>758336</v>
      </c>
    </row>
    <row r="895" spans="1:8" x14ac:dyDescent="0.25">
      <c r="A895" t="s">
        <v>267</v>
      </c>
      <c r="B895">
        <v>2021</v>
      </c>
      <c r="C895" t="s">
        <v>39</v>
      </c>
      <c r="D895" t="s">
        <v>39</v>
      </c>
      <c r="E895" t="s">
        <v>282</v>
      </c>
      <c r="F895" t="s">
        <v>61</v>
      </c>
      <c r="G895" s="5">
        <v>484506</v>
      </c>
      <c r="H895" s="5">
        <v>484506</v>
      </c>
    </row>
    <row r="896" spans="1:8" x14ac:dyDescent="0.25">
      <c r="A896" t="s">
        <v>267</v>
      </c>
      <c r="B896">
        <v>2021</v>
      </c>
      <c r="C896" t="s">
        <v>39</v>
      </c>
      <c r="D896" t="s">
        <v>39</v>
      </c>
      <c r="E896" t="s">
        <v>300</v>
      </c>
      <c r="F896" t="s">
        <v>80</v>
      </c>
      <c r="G896" s="5">
        <v>468844</v>
      </c>
      <c r="H896" s="5">
        <v>468844</v>
      </c>
    </row>
    <row r="897" spans="1:8" x14ac:dyDescent="0.25">
      <c r="A897" t="s">
        <v>267</v>
      </c>
      <c r="B897">
        <v>2021</v>
      </c>
      <c r="C897" t="s">
        <v>39</v>
      </c>
      <c r="D897" t="s">
        <v>39</v>
      </c>
      <c r="F897" t="s">
        <v>64</v>
      </c>
      <c r="G897" s="5">
        <v>402188</v>
      </c>
      <c r="H897" s="5">
        <v>402188</v>
      </c>
    </row>
    <row r="898" spans="1:8" x14ac:dyDescent="0.25">
      <c r="A898" t="s">
        <v>267</v>
      </c>
      <c r="B898">
        <v>2021</v>
      </c>
      <c r="C898" t="s">
        <v>39</v>
      </c>
      <c r="D898" t="s">
        <v>39</v>
      </c>
      <c r="E898" t="s">
        <v>295</v>
      </c>
      <c r="F898" t="s">
        <v>75</v>
      </c>
      <c r="G898" s="5">
        <v>308333</v>
      </c>
      <c r="H898" s="5">
        <v>308333</v>
      </c>
    </row>
    <row r="899" spans="1:8" x14ac:dyDescent="0.25">
      <c r="A899" t="s">
        <v>267</v>
      </c>
      <c r="B899">
        <v>2021</v>
      </c>
      <c r="C899" t="s">
        <v>39</v>
      </c>
      <c r="D899" t="s">
        <v>39</v>
      </c>
      <c r="E899" t="s">
        <v>298</v>
      </c>
      <c r="F899" t="s">
        <v>78</v>
      </c>
      <c r="G899" s="5">
        <v>283338</v>
      </c>
      <c r="H899" s="5">
        <v>283338</v>
      </c>
    </row>
    <row r="900" spans="1:8" x14ac:dyDescent="0.25">
      <c r="A900" t="s">
        <v>267</v>
      </c>
      <c r="B900">
        <v>2021</v>
      </c>
      <c r="C900" t="s">
        <v>39</v>
      </c>
      <c r="D900" t="s">
        <v>39</v>
      </c>
      <c r="E900" t="s">
        <v>292</v>
      </c>
      <c r="F900" t="s">
        <v>72</v>
      </c>
      <c r="G900" s="5">
        <v>231248</v>
      </c>
      <c r="H900" s="5">
        <v>231248</v>
      </c>
    </row>
    <row r="901" spans="1:8" x14ac:dyDescent="0.25">
      <c r="A901" t="s">
        <v>267</v>
      </c>
      <c r="B901">
        <v>2021</v>
      </c>
      <c r="C901" t="s">
        <v>39</v>
      </c>
      <c r="D901" t="s">
        <v>39</v>
      </c>
      <c r="E901" t="s">
        <v>296</v>
      </c>
      <c r="F901" t="s">
        <v>76</v>
      </c>
      <c r="G901" s="5">
        <v>223915</v>
      </c>
      <c r="H901" s="5">
        <v>223915</v>
      </c>
    </row>
    <row r="902" spans="1:8" x14ac:dyDescent="0.25">
      <c r="A902" t="s">
        <v>267</v>
      </c>
      <c r="B902">
        <v>2021</v>
      </c>
      <c r="C902" t="s">
        <v>39</v>
      </c>
      <c r="D902" t="s">
        <v>39</v>
      </c>
      <c r="E902" t="s">
        <v>293</v>
      </c>
      <c r="F902" t="s">
        <v>73</v>
      </c>
      <c r="G902" s="5">
        <v>196978</v>
      </c>
      <c r="H902" s="5">
        <v>196978</v>
      </c>
    </row>
    <row r="903" spans="1:8" x14ac:dyDescent="0.25">
      <c r="A903" t="s">
        <v>267</v>
      </c>
      <c r="B903">
        <v>2021</v>
      </c>
      <c r="C903" t="s">
        <v>39</v>
      </c>
      <c r="D903" t="s">
        <v>39</v>
      </c>
      <c r="E903" t="s">
        <v>311</v>
      </c>
      <c r="F903" t="s">
        <v>91</v>
      </c>
      <c r="G903" s="5">
        <v>132276</v>
      </c>
      <c r="H903" s="5">
        <v>132276</v>
      </c>
    </row>
    <row r="904" spans="1:8" x14ac:dyDescent="0.25">
      <c r="A904" t="s">
        <v>267</v>
      </c>
      <c r="B904">
        <v>2021</v>
      </c>
      <c r="C904" t="s">
        <v>39</v>
      </c>
      <c r="D904" t="s">
        <v>39</v>
      </c>
      <c r="E904" t="s">
        <v>305</v>
      </c>
      <c r="F904" t="s">
        <v>85</v>
      </c>
      <c r="G904" s="5">
        <v>111726</v>
      </c>
      <c r="H904" s="5">
        <v>111726</v>
      </c>
    </row>
    <row r="905" spans="1:8" x14ac:dyDescent="0.25">
      <c r="A905" t="s">
        <v>267</v>
      </c>
      <c r="B905">
        <v>2021</v>
      </c>
      <c r="C905" t="s">
        <v>39</v>
      </c>
      <c r="D905" t="s">
        <v>39</v>
      </c>
      <c r="E905" t="s">
        <v>303</v>
      </c>
      <c r="F905" t="s">
        <v>83</v>
      </c>
      <c r="G905" s="5">
        <v>99437</v>
      </c>
      <c r="H905" s="5">
        <v>99607</v>
      </c>
    </row>
    <row r="906" spans="1:8" x14ac:dyDescent="0.25">
      <c r="A906" t="s">
        <v>267</v>
      </c>
      <c r="B906">
        <v>2021</v>
      </c>
      <c r="C906" t="s">
        <v>39</v>
      </c>
      <c r="D906" t="s">
        <v>39</v>
      </c>
      <c r="E906" t="s">
        <v>291</v>
      </c>
      <c r="F906" t="s">
        <v>71</v>
      </c>
      <c r="G906" s="5">
        <v>92486</v>
      </c>
      <c r="H906" s="5">
        <v>92486</v>
      </c>
    </row>
    <row r="907" spans="1:8" x14ac:dyDescent="0.25">
      <c r="A907" t="s">
        <v>267</v>
      </c>
      <c r="B907">
        <v>2021</v>
      </c>
      <c r="C907" t="s">
        <v>39</v>
      </c>
      <c r="D907" t="s">
        <v>39</v>
      </c>
      <c r="E907" t="s">
        <v>307</v>
      </c>
      <c r="F907" t="s">
        <v>87</v>
      </c>
      <c r="G907" s="5">
        <v>90218</v>
      </c>
      <c r="H907" s="5">
        <v>90218</v>
      </c>
    </row>
    <row r="908" spans="1:8" x14ac:dyDescent="0.25">
      <c r="A908" t="s">
        <v>267</v>
      </c>
      <c r="B908">
        <v>2021</v>
      </c>
      <c r="C908" t="s">
        <v>39</v>
      </c>
      <c r="D908" t="s">
        <v>39</v>
      </c>
      <c r="E908" t="s">
        <v>439</v>
      </c>
      <c r="F908" t="s">
        <v>226</v>
      </c>
      <c r="G908" s="5">
        <v>72176</v>
      </c>
      <c r="H908" s="5">
        <v>72176</v>
      </c>
    </row>
    <row r="909" spans="1:8" x14ac:dyDescent="0.25">
      <c r="A909" t="s">
        <v>267</v>
      </c>
      <c r="B909">
        <v>2021</v>
      </c>
      <c r="C909" t="s">
        <v>39</v>
      </c>
      <c r="D909" t="s">
        <v>39</v>
      </c>
      <c r="E909" t="s">
        <v>304</v>
      </c>
      <c r="F909" t="s">
        <v>84</v>
      </c>
      <c r="G909" s="5">
        <v>71457</v>
      </c>
      <c r="H909" s="5">
        <v>71457</v>
      </c>
    </row>
    <row r="910" spans="1:8" x14ac:dyDescent="0.25">
      <c r="A910" t="s">
        <v>267</v>
      </c>
      <c r="B910">
        <v>2021</v>
      </c>
      <c r="C910" t="s">
        <v>39</v>
      </c>
      <c r="D910" t="s">
        <v>39</v>
      </c>
      <c r="E910" t="s">
        <v>448</v>
      </c>
      <c r="F910" t="s">
        <v>235</v>
      </c>
      <c r="G910" s="5">
        <v>42110</v>
      </c>
      <c r="H910" s="5">
        <v>42110</v>
      </c>
    </row>
    <row r="911" spans="1:8" x14ac:dyDescent="0.25">
      <c r="A911" t="s">
        <v>267</v>
      </c>
      <c r="B911">
        <v>2021</v>
      </c>
      <c r="C911" t="s">
        <v>39</v>
      </c>
      <c r="D911" t="s">
        <v>39</v>
      </c>
      <c r="E911" t="s">
        <v>308</v>
      </c>
      <c r="F911" t="s">
        <v>88</v>
      </c>
      <c r="G911" s="5">
        <v>40989</v>
      </c>
      <c r="H911" s="5">
        <v>40989</v>
      </c>
    </row>
    <row r="912" spans="1:8" x14ac:dyDescent="0.25">
      <c r="A912" t="s">
        <v>267</v>
      </c>
      <c r="B912">
        <v>2021</v>
      </c>
      <c r="C912" t="s">
        <v>39</v>
      </c>
      <c r="D912" t="s">
        <v>39</v>
      </c>
      <c r="E912" t="s">
        <v>310</v>
      </c>
      <c r="F912" t="s">
        <v>90</v>
      </c>
      <c r="G912" s="5">
        <v>36233</v>
      </c>
      <c r="H912" s="5">
        <v>36233</v>
      </c>
    </row>
    <row r="913" spans="1:8" x14ac:dyDescent="0.25">
      <c r="A913" t="s">
        <v>267</v>
      </c>
      <c r="B913">
        <v>2021</v>
      </c>
      <c r="C913" t="s">
        <v>39</v>
      </c>
      <c r="D913" t="s">
        <v>39</v>
      </c>
      <c r="E913" t="s">
        <v>440</v>
      </c>
      <c r="F913" t="s">
        <v>227</v>
      </c>
      <c r="G913" s="5">
        <v>21369</v>
      </c>
      <c r="H913" s="5">
        <v>21369</v>
      </c>
    </row>
    <row r="914" spans="1:8" x14ac:dyDescent="0.25">
      <c r="A914" t="s">
        <v>267</v>
      </c>
      <c r="B914">
        <v>2021</v>
      </c>
      <c r="C914" t="s">
        <v>39</v>
      </c>
      <c r="D914" t="s">
        <v>39</v>
      </c>
      <c r="E914" t="s">
        <v>301</v>
      </c>
      <c r="F914" t="s">
        <v>81</v>
      </c>
      <c r="G914" s="5">
        <v>20879</v>
      </c>
      <c r="H914" s="5">
        <v>20879</v>
      </c>
    </row>
    <row r="915" spans="1:8" x14ac:dyDescent="0.25">
      <c r="A915" t="s">
        <v>267</v>
      </c>
      <c r="B915">
        <v>2021</v>
      </c>
      <c r="C915" t="s">
        <v>92</v>
      </c>
      <c r="D915" t="s">
        <v>36</v>
      </c>
      <c r="E915" t="s">
        <v>36</v>
      </c>
      <c r="F915" t="s">
        <v>93</v>
      </c>
      <c r="G915" s="5">
        <v>1845723037</v>
      </c>
      <c r="H915" s="5">
        <v>2345274001</v>
      </c>
    </row>
    <row r="916" spans="1:8" x14ac:dyDescent="0.25">
      <c r="A916" t="s">
        <v>267</v>
      </c>
      <c r="B916">
        <v>2021</v>
      </c>
      <c r="C916" t="s">
        <v>92</v>
      </c>
      <c r="D916" t="s">
        <v>38</v>
      </c>
      <c r="E916" t="s">
        <v>313</v>
      </c>
      <c r="F916" t="s">
        <v>95</v>
      </c>
      <c r="G916" s="5">
        <v>137467175</v>
      </c>
      <c r="H916" s="5">
        <v>140133538</v>
      </c>
    </row>
    <row r="917" spans="1:8" x14ac:dyDescent="0.25">
      <c r="A917" t="s">
        <v>267</v>
      </c>
      <c r="B917">
        <v>2021</v>
      </c>
      <c r="C917" t="s">
        <v>92</v>
      </c>
      <c r="D917" t="s">
        <v>38</v>
      </c>
      <c r="E917" t="s">
        <v>314</v>
      </c>
      <c r="F917" t="s">
        <v>96</v>
      </c>
      <c r="G917" s="5">
        <v>73062786</v>
      </c>
      <c r="H917" s="5">
        <v>73256887</v>
      </c>
    </row>
    <row r="918" spans="1:8" x14ac:dyDescent="0.25">
      <c r="A918" t="s">
        <v>267</v>
      </c>
      <c r="B918">
        <v>2021</v>
      </c>
      <c r="C918" t="s">
        <v>92</v>
      </c>
      <c r="D918" t="s">
        <v>38</v>
      </c>
      <c r="E918" t="s">
        <v>312</v>
      </c>
      <c r="F918" t="s">
        <v>94</v>
      </c>
      <c r="G918" s="5">
        <v>56627379</v>
      </c>
      <c r="H918" s="5">
        <v>56714385</v>
      </c>
    </row>
    <row r="919" spans="1:8" x14ac:dyDescent="0.25">
      <c r="A919" t="s">
        <v>267</v>
      </c>
      <c r="B919">
        <v>2021</v>
      </c>
      <c r="C919" t="s">
        <v>92</v>
      </c>
      <c r="D919" t="s">
        <v>38</v>
      </c>
      <c r="E919" t="s">
        <v>318</v>
      </c>
      <c r="F919" t="s">
        <v>100</v>
      </c>
      <c r="G919" s="5">
        <v>19857059</v>
      </c>
      <c r="H919" s="5">
        <v>19857059</v>
      </c>
    </row>
    <row r="920" spans="1:8" x14ac:dyDescent="0.25">
      <c r="A920" t="s">
        <v>267</v>
      </c>
      <c r="B920">
        <v>2021</v>
      </c>
      <c r="C920" t="s">
        <v>92</v>
      </c>
      <c r="D920" t="s">
        <v>38</v>
      </c>
      <c r="E920" t="s">
        <v>317</v>
      </c>
      <c r="F920" t="s">
        <v>99</v>
      </c>
      <c r="G920" s="5">
        <v>17107351</v>
      </c>
      <c r="H920" s="5">
        <v>17107351</v>
      </c>
    </row>
    <row r="921" spans="1:8" x14ac:dyDescent="0.25">
      <c r="A921" t="s">
        <v>267</v>
      </c>
      <c r="B921">
        <v>2021</v>
      </c>
      <c r="C921" t="s">
        <v>92</v>
      </c>
      <c r="D921" t="s">
        <v>38</v>
      </c>
      <c r="E921" t="s">
        <v>315</v>
      </c>
      <c r="F921" t="s">
        <v>97</v>
      </c>
      <c r="G921" s="5">
        <v>16487744</v>
      </c>
      <c r="H921" s="5">
        <v>16547067</v>
      </c>
    </row>
    <row r="922" spans="1:8" x14ac:dyDescent="0.25">
      <c r="A922" t="s">
        <v>267</v>
      </c>
      <c r="B922">
        <v>2021</v>
      </c>
      <c r="C922" t="s">
        <v>92</v>
      </c>
      <c r="D922" t="s">
        <v>38</v>
      </c>
      <c r="E922" t="s">
        <v>316</v>
      </c>
      <c r="F922" t="s">
        <v>98</v>
      </c>
      <c r="G922" s="5">
        <v>15752768</v>
      </c>
      <c r="H922" s="5">
        <v>15867871</v>
      </c>
    </row>
    <row r="923" spans="1:8" x14ac:dyDescent="0.25">
      <c r="A923" t="s">
        <v>267</v>
      </c>
      <c r="B923">
        <v>2021</v>
      </c>
      <c r="C923" t="s">
        <v>92</v>
      </c>
      <c r="D923" t="s">
        <v>38</v>
      </c>
      <c r="E923" t="s">
        <v>323</v>
      </c>
      <c r="F923" t="s">
        <v>106</v>
      </c>
      <c r="G923" s="5">
        <v>8868705</v>
      </c>
      <c r="H923" s="5">
        <v>8868705</v>
      </c>
    </row>
    <row r="924" spans="1:8" x14ac:dyDescent="0.25">
      <c r="A924" t="s">
        <v>267</v>
      </c>
      <c r="B924">
        <v>2021</v>
      </c>
      <c r="C924" t="s">
        <v>92</v>
      </c>
      <c r="D924" t="s">
        <v>38</v>
      </c>
      <c r="E924" t="s">
        <v>325</v>
      </c>
      <c r="F924" t="s">
        <v>108</v>
      </c>
      <c r="G924" s="5">
        <v>8199481</v>
      </c>
      <c r="H924" s="5">
        <v>8202971</v>
      </c>
    </row>
    <row r="925" spans="1:8" x14ac:dyDescent="0.25">
      <c r="A925" t="s">
        <v>267</v>
      </c>
      <c r="B925">
        <v>2021</v>
      </c>
      <c r="C925" t="s">
        <v>92</v>
      </c>
      <c r="D925" t="s">
        <v>38</v>
      </c>
      <c r="E925" t="s">
        <v>322</v>
      </c>
      <c r="F925" t="s">
        <v>105</v>
      </c>
      <c r="G925" s="5">
        <v>7452385</v>
      </c>
      <c r="H925" s="5">
        <v>7452385</v>
      </c>
    </row>
    <row r="926" spans="1:8" x14ac:dyDescent="0.25">
      <c r="A926" t="s">
        <v>267</v>
      </c>
      <c r="B926">
        <v>2021</v>
      </c>
      <c r="C926" t="s">
        <v>92</v>
      </c>
      <c r="D926" t="s">
        <v>38</v>
      </c>
      <c r="E926" t="s">
        <v>321</v>
      </c>
      <c r="F926" t="s">
        <v>103</v>
      </c>
      <c r="G926" s="5">
        <v>5124975</v>
      </c>
      <c r="H926" s="5">
        <v>5124975</v>
      </c>
    </row>
    <row r="927" spans="1:8" x14ac:dyDescent="0.25">
      <c r="A927" t="s">
        <v>267</v>
      </c>
      <c r="B927">
        <v>2021</v>
      </c>
      <c r="C927" t="s">
        <v>92</v>
      </c>
      <c r="D927" t="s">
        <v>38</v>
      </c>
      <c r="E927" t="s">
        <v>319</v>
      </c>
      <c r="F927" t="s">
        <v>101</v>
      </c>
      <c r="G927" s="5">
        <v>5083459</v>
      </c>
      <c r="H927" s="5">
        <v>5084976</v>
      </c>
    </row>
    <row r="928" spans="1:8" x14ac:dyDescent="0.25">
      <c r="A928" t="s">
        <v>267</v>
      </c>
      <c r="B928">
        <v>2021</v>
      </c>
      <c r="C928" t="s">
        <v>92</v>
      </c>
      <c r="D928" t="s">
        <v>38</v>
      </c>
      <c r="E928" t="s">
        <v>324</v>
      </c>
      <c r="F928" t="s">
        <v>107</v>
      </c>
      <c r="G928" s="5">
        <v>3167518</v>
      </c>
      <c r="H928" s="5">
        <v>3202088</v>
      </c>
    </row>
    <row r="929" spans="1:8" x14ac:dyDescent="0.25">
      <c r="A929" t="s">
        <v>267</v>
      </c>
      <c r="B929">
        <v>2021</v>
      </c>
      <c r="C929" t="s">
        <v>92</v>
      </c>
      <c r="D929" t="s">
        <v>38</v>
      </c>
      <c r="E929" t="s">
        <v>331</v>
      </c>
      <c r="F929" t="s">
        <v>114</v>
      </c>
      <c r="G929" s="5">
        <v>2426819</v>
      </c>
      <c r="H929" s="5">
        <v>2426819</v>
      </c>
    </row>
    <row r="930" spans="1:8" x14ac:dyDescent="0.25">
      <c r="A930" t="s">
        <v>267</v>
      </c>
      <c r="B930">
        <v>2021</v>
      </c>
      <c r="C930" t="s">
        <v>92</v>
      </c>
      <c r="D930" t="s">
        <v>38</v>
      </c>
      <c r="E930" t="s">
        <v>327</v>
      </c>
      <c r="F930" t="s">
        <v>110</v>
      </c>
      <c r="G930" s="5">
        <v>2274068</v>
      </c>
      <c r="H930" s="5">
        <v>2274068</v>
      </c>
    </row>
    <row r="931" spans="1:8" x14ac:dyDescent="0.25">
      <c r="A931" t="s">
        <v>267</v>
      </c>
      <c r="B931">
        <v>2021</v>
      </c>
      <c r="C931" t="s">
        <v>92</v>
      </c>
      <c r="D931" t="s">
        <v>38</v>
      </c>
      <c r="E931" t="s">
        <v>329</v>
      </c>
      <c r="F931" t="s">
        <v>112</v>
      </c>
      <c r="G931" s="5">
        <v>1932364</v>
      </c>
      <c r="H931" s="5">
        <v>1932364</v>
      </c>
    </row>
    <row r="932" spans="1:8" x14ac:dyDescent="0.25">
      <c r="A932" t="s">
        <v>267</v>
      </c>
      <c r="B932">
        <v>2021</v>
      </c>
      <c r="C932" t="s">
        <v>92</v>
      </c>
      <c r="D932" t="s">
        <v>38</v>
      </c>
      <c r="F932" t="s">
        <v>104</v>
      </c>
      <c r="G932" s="5">
        <v>1658824</v>
      </c>
      <c r="H932" s="5">
        <v>1735939</v>
      </c>
    </row>
    <row r="933" spans="1:8" x14ac:dyDescent="0.25">
      <c r="A933" t="s">
        <v>267</v>
      </c>
      <c r="B933">
        <v>2021</v>
      </c>
      <c r="C933" t="s">
        <v>92</v>
      </c>
      <c r="D933" t="s">
        <v>38</v>
      </c>
      <c r="E933" t="s">
        <v>328</v>
      </c>
      <c r="F933" t="s">
        <v>111</v>
      </c>
      <c r="G933" s="5">
        <v>1085725</v>
      </c>
      <c r="H933" s="5">
        <v>1085725</v>
      </c>
    </row>
    <row r="934" spans="1:8" x14ac:dyDescent="0.25">
      <c r="A934" t="s">
        <v>267</v>
      </c>
      <c r="B934">
        <v>2021</v>
      </c>
      <c r="C934" t="s">
        <v>92</v>
      </c>
      <c r="D934" t="s">
        <v>38</v>
      </c>
      <c r="E934" t="s">
        <v>332</v>
      </c>
      <c r="F934" t="s">
        <v>115</v>
      </c>
      <c r="G934" s="5">
        <v>843379</v>
      </c>
      <c r="H934" s="5">
        <v>843379</v>
      </c>
    </row>
    <row r="935" spans="1:8" x14ac:dyDescent="0.25">
      <c r="A935" t="s">
        <v>267</v>
      </c>
      <c r="B935">
        <v>2021</v>
      </c>
      <c r="C935" t="s">
        <v>92</v>
      </c>
      <c r="D935" t="s">
        <v>38</v>
      </c>
      <c r="E935" t="s">
        <v>337</v>
      </c>
      <c r="F935" t="s">
        <v>120</v>
      </c>
      <c r="G935" s="5">
        <v>785541</v>
      </c>
      <c r="H935" s="5">
        <v>785541</v>
      </c>
    </row>
    <row r="936" spans="1:8" x14ac:dyDescent="0.25">
      <c r="A936" t="s">
        <v>267</v>
      </c>
      <c r="B936">
        <v>2021</v>
      </c>
      <c r="C936" t="s">
        <v>92</v>
      </c>
      <c r="D936" t="s">
        <v>38</v>
      </c>
      <c r="E936" t="s">
        <v>333</v>
      </c>
      <c r="F936" t="s">
        <v>116</v>
      </c>
      <c r="G936" s="5">
        <v>620875</v>
      </c>
      <c r="H936" s="5">
        <v>620875</v>
      </c>
    </row>
    <row r="937" spans="1:8" x14ac:dyDescent="0.25">
      <c r="A937" t="s">
        <v>267</v>
      </c>
      <c r="B937">
        <v>2021</v>
      </c>
      <c r="C937" t="s">
        <v>92</v>
      </c>
      <c r="D937" t="s">
        <v>38</v>
      </c>
      <c r="E937" t="s">
        <v>330</v>
      </c>
      <c r="F937" t="s">
        <v>113</v>
      </c>
      <c r="G937" s="5">
        <v>477068</v>
      </c>
      <c r="H937" s="5">
        <v>477068</v>
      </c>
    </row>
    <row r="938" spans="1:8" x14ac:dyDescent="0.25">
      <c r="A938" t="s">
        <v>267</v>
      </c>
      <c r="B938">
        <v>2021</v>
      </c>
      <c r="C938" t="s">
        <v>92</v>
      </c>
      <c r="D938" t="s">
        <v>38</v>
      </c>
      <c r="E938" t="s">
        <v>339</v>
      </c>
      <c r="F938" t="s">
        <v>122</v>
      </c>
      <c r="G938" s="5">
        <v>461850</v>
      </c>
      <c r="H938" s="5">
        <v>461850</v>
      </c>
    </row>
    <row r="939" spans="1:8" x14ac:dyDescent="0.25">
      <c r="A939" t="s">
        <v>267</v>
      </c>
      <c r="B939">
        <v>2021</v>
      </c>
      <c r="C939" t="s">
        <v>92</v>
      </c>
      <c r="D939" t="s">
        <v>38</v>
      </c>
      <c r="E939" t="s">
        <v>326</v>
      </c>
      <c r="F939" t="s">
        <v>109</v>
      </c>
      <c r="G939" s="5">
        <v>384416</v>
      </c>
      <c r="H939" s="5">
        <v>384416</v>
      </c>
    </row>
    <row r="940" spans="1:8" x14ac:dyDescent="0.25">
      <c r="A940" t="s">
        <v>267</v>
      </c>
      <c r="B940">
        <v>2021</v>
      </c>
      <c r="C940" t="s">
        <v>92</v>
      </c>
      <c r="D940" t="s">
        <v>38</v>
      </c>
      <c r="E940" t="s">
        <v>335</v>
      </c>
      <c r="F940" t="s">
        <v>118</v>
      </c>
      <c r="G940" s="5">
        <v>164211</v>
      </c>
      <c r="H940" s="5">
        <v>164211</v>
      </c>
    </row>
    <row r="941" spans="1:8" x14ac:dyDescent="0.25">
      <c r="A941" t="s">
        <v>267</v>
      </c>
      <c r="B941">
        <v>2021</v>
      </c>
      <c r="C941" t="s">
        <v>92</v>
      </c>
      <c r="D941" t="s">
        <v>38</v>
      </c>
      <c r="E941" t="s">
        <v>340</v>
      </c>
      <c r="F941" t="s">
        <v>123</v>
      </c>
      <c r="G941" s="5">
        <v>147444</v>
      </c>
      <c r="H941" s="5">
        <v>147444</v>
      </c>
    </row>
    <row r="942" spans="1:8" x14ac:dyDescent="0.25">
      <c r="A942" t="s">
        <v>267</v>
      </c>
      <c r="B942">
        <v>2021</v>
      </c>
      <c r="C942" t="s">
        <v>92</v>
      </c>
      <c r="D942" t="s">
        <v>38</v>
      </c>
      <c r="E942" t="s">
        <v>452</v>
      </c>
      <c r="F942" t="s">
        <v>239</v>
      </c>
      <c r="G942" s="5">
        <v>102613</v>
      </c>
      <c r="H942" s="5">
        <v>104431</v>
      </c>
    </row>
    <row r="943" spans="1:8" x14ac:dyDescent="0.25">
      <c r="A943" t="s">
        <v>267</v>
      </c>
      <c r="B943">
        <v>2021</v>
      </c>
      <c r="C943" t="s">
        <v>92</v>
      </c>
      <c r="D943" t="s">
        <v>38</v>
      </c>
      <c r="E943" t="s">
        <v>341</v>
      </c>
      <c r="F943" t="s">
        <v>124</v>
      </c>
      <c r="G943" s="5">
        <v>79792</v>
      </c>
      <c r="H943" s="5">
        <v>79792</v>
      </c>
    </row>
    <row r="944" spans="1:8" x14ac:dyDescent="0.25">
      <c r="A944" t="s">
        <v>267</v>
      </c>
      <c r="B944">
        <v>2021</v>
      </c>
      <c r="C944" t="s">
        <v>92</v>
      </c>
      <c r="D944" t="s">
        <v>38</v>
      </c>
      <c r="E944" t="s">
        <v>444</v>
      </c>
      <c r="F944" t="s">
        <v>231</v>
      </c>
      <c r="G944" s="5">
        <v>71803</v>
      </c>
      <c r="H944" s="5">
        <v>71803</v>
      </c>
    </row>
    <row r="945" spans="1:8" x14ac:dyDescent="0.25">
      <c r="A945" t="s">
        <v>267</v>
      </c>
      <c r="B945">
        <v>2021</v>
      </c>
      <c r="C945" t="s">
        <v>92</v>
      </c>
      <c r="D945" t="s">
        <v>38</v>
      </c>
      <c r="E945" t="s">
        <v>342</v>
      </c>
      <c r="F945" t="s">
        <v>125</v>
      </c>
      <c r="G945" s="5">
        <v>54990</v>
      </c>
      <c r="H945" s="5">
        <v>54990</v>
      </c>
    </row>
    <row r="946" spans="1:8" x14ac:dyDescent="0.25">
      <c r="A946" t="s">
        <v>267</v>
      </c>
      <c r="B946">
        <v>2021</v>
      </c>
      <c r="C946" t="s">
        <v>92</v>
      </c>
      <c r="D946" t="s">
        <v>38</v>
      </c>
      <c r="E946" t="s">
        <v>336</v>
      </c>
      <c r="F946" t="s">
        <v>119</v>
      </c>
      <c r="G946" s="5">
        <v>38028</v>
      </c>
      <c r="H946" s="5">
        <v>136123</v>
      </c>
    </row>
    <row r="947" spans="1:8" x14ac:dyDescent="0.25">
      <c r="A947" t="s">
        <v>267</v>
      </c>
      <c r="B947">
        <v>2021</v>
      </c>
      <c r="C947" t="s">
        <v>92</v>
      </c>
      <c r="D947" t="s">
        <v>38</v>
      </c>
      <c r="E947" t="s">
        <v>441</v>
      </c>
      <c r="F947" t="s">
        <v>228</v>
      </c>
      <c r="G947" s="5">
        <v>35198</v>
      </c>
      <c r="H947" s="5">
        <v>35198</v>
      </c>
    </row>
    <row r="948" spans="1:8" x14ac:dyDescent="0.25">
      <c r="A948" t="s">
        <v>267</v>
      </c>
      <c r="B948">
        <v>2021</v>
      </c>
      <c r="C948" t="s">
        <v>92</v>
      </c>
      <c r="D948" t="s">
        <v>38</v>
      </c>
      <c r="E948" t="s">
        <v>446</v>
      </c>
      <c r="F948" t="s">
        <v>233</v>
      </c>
      <c r="G948" s="5">
        <v>30638</v>
      </c>
      <c r="H948" s="5">
        <v>30638</v>
      </c>
    </row>
    <row r="949" spans="1:8" x14ac:dyDescent="0.25">
      <c r="A949" t="s">
        <v>267</v>
      </c>
      <c r="B949">
        <v>2021</v>
      </c>
      <c r="C949" t="s">
        <v>92</v>
      </c>
      <c r="D949" t="s">
        <v>38</v>
      </c>
      <c r="E949" t="s">
        <v>334</v>
      </c>
      <c r="F949" t="s">
        <v>117</v>
      </c>
      <c r="G949" s="5">
        <v>24236</v>
      </c>
      <c r="H949" s="5">
        <v>68953</v>
      </c>
    </row>
    <row r="950" spans="1:8" x14ac:dyDescent="0.25">
      <c r="A950" t="s">
        <v>267</v>
      </c>
      <c r="B950">
        <v>2021</v>
      </c>
      <c r="C950" t="s">
        <v>92</v>
      </c>
      <c r="D950" t="s">
        <v>38</v>
      </c>
      <c r="E950" t="s">
        <v>453</v>
      </c>
      <c r="F950" t="s">
        <v>240</v>
      </c>
      <c r="G950" s="5">
        <v>7173</v>
      </c>
      <c r="H950" s="5">
        <v>83423</v>
      </c>
    </row>
    <row r="951" spans="1:8" x14ac:dyDescent="0.25">
      <c r="A951" t="s">
        <v>267</v>
      </c>
      <c r="B951">
        <v>2021</v>
      </c>
      <c r="C951" t="s">
        <v>92</v>
      </c>
      <c r="D951" t="s">
        <v>38</v>
      </c>
      <c r="E951" t="s">
        <v>454</v>
      </c>
      <c r="F951" t="s">
        <v>241</v>
      </c>
      <c r="G951" s="5">
        <v>5479</v>
      </c>
      <c r="H951" s="5">
        <v>5479</v>
      </c>
    </row>
    <row r="952" spans="1:8" x14ac:dyDescent="0.25">
      <c r="A952" t="s">
        <v>267</v>
      </c>
      <c r="B952">
        <v>2021</v>
      </c>
      <c r="C952" t="s">
        <v>35</v>
      </c>
      <c r="D952" t="s">
        <v>35</v>
      </c>
      <c r="E952" t="s">
        <v>343</v>
      </c>
      <c r="F952" t="s">
        <v>126</v>
      </c>
      <c r="G952" s="5">
        <v>899972927</v>
      </c>
      <c r="H952" s="5">
        <v>4549890840</v>
      </c>
    </row>
    <row r="953" spans="1:8" x14ac:dyDescent="0.25">
      <c r="A953" t="s">
        <v>267</v>
      </c>
      <c r="B953">
        <v>2021</v>
      </c>
      <c r="C953" t="s">
        <v>35</v>
      </c>
      <c r="D953" t="s">
        <v>35</v>
      </c>
      <c r="E953" t="s">
        <v>348</v>
      </c>
      <c r="F953" t="s">
        <v>131</v>
      </c>
      <c r="G953" s="5">
        <v>241229084</v>
      </c>
      <c r="H953" s="5">
        <v>271881867</v>
      </c>
    </row>
    <row r="954" spans="1:8" x14ac:dyDescent="0.25">
      <c r="A954" t="s">
        <v>267</v>
      </c>
      <c r="B954">
        <v>2021</v>
      </c>
      <c r="C954" t="s">
        <v>35</v>
      </c>
      <c r="D954" t="s">
        <v>35</v>
      </c>
      <c r="E954" t="s">
        <v>346</v>
      </c>
      <c r="F954" t="s">
        <v>129</v>
      </c>
      <c r="G954" s="5">
        <v>232888674</v>
      </c>
      <c r="H954" s="5">
        <v>368657451</v>
      </c>
    </row>
    <row r="955" spans="1:8" x14ac:dyDescent="0.25">
      <c r="A955" t="s">
        <v>267</v>
      </c>
      <c r="B955">
        <v>2021</v>
      </c>
      <c r="C955" t="s">
        <v>35</v>
      </c>
      <c r="D955" t="s">
        <v>35</v>
      </c>
      <c r="E955" t="s">
        <v>344</v>
      </c>
      <c r="F955" t="s">
        <v>127</v>
      </c>
      <c r="G955" s="5">
        <v>203601634</v>
      </c>
      <c r="H955" s="5">
        <v>204225917</v>
      </c>
    </row>
    <row r="956" spans="1:8" x14ac:dyDescent="0.25">
      <c r="A956" t="s">
        <v>267</v>
      </c>
      <c r="B956">
        <v>2021</v>
      </c>
      <c r="C956" t="s">
        <v>35</v>
      </c>
      <c r="D956" t="s">
        <v>35</v>
      </c>
      <c r="E956" t="s">
        <v>345</v>
      </c>
      <c r="F956" t="s">
        <v>128</v>
      </c>
      <c r="G956" s="5">
        <v>198387179</v>
      </c>
      <c r="H956" s="5">
        <v>2681677950</v>
      </c>
    </row>
    <row r="957" spans="1:8" x14ac:dyDescent="0.25">
      <c r="A957" t="s">
        <v>267</v>
      </c>
      <c r="B957">
        <v>2021</v>
      </c>
      <c r="C957" t="s">
        <v>35</v>
      </c>
      <c r="D957" t="s">
        <v>35</v>
      </c>
      <c r="E957" t="s">
        <v>354</v>
      </c>
      <c r="F957" t="s">
        <v>137</v>
      </c>
      <c r="G957" s="5">
        <v>141468371</v>
      </c>
      <c r="H957" s="5">
        <v>141468371</v>
      </c>
    </row>
    <row r="958" spans="1:8" x14ac:dyDescent="0.25">
      <c r="A958" t="s">
        <v>267</v>
      </c>
      <c r="B958">
        <v>2021</v>
      </c>
      <c r="C958" t="s">
        <v>35</v>
      </c>
      <c r="D958" t="s">
        <v>35</v>
      </c>
      <c r="E958" t="s">
        <v>350</v>
      </c>
      <c r="F958" t="s">
        <v>133</v>
      </c>
      <c r="G958" s="5">
        <v>134339442</v>
      </c>
      <c r="H958" s="5">
        <v>134352944</v>
      </c>
    </row>
    <row r="959" spans="1:8" x14ac:dyDescent="0.25">
      <c r="A959" t="s">
        <v>267</v>
      </c>
      <c r="B959">
        <v>2021</v>
      </c>
      <c r="C959" t="s">
        <v>35</v>
      </c>
      <c r="D959" t="s">
        <v>35</v>
      </c>
      <c r="E959" t="s">
        <v>349</v>
      </c>
      <c r="F959" t="s">
        <v>132</v>
      </c>
      <c r="G959" s="5">
        <v>124367595</v>
      </c>
      <c r="H959" s="5">
        <v>234587078</v>
      </c>
    </row>
    <row r="960" spans="1:8" x14ac:dyDescent="0.25">
      <c r="A960" t="s">
        <v>267</v>
      </c>
      <c r="B960">
        <v>2021</v>
      </c>
      <c r="C960" t="s">
        <v>35</v>
      </c>
      <c r="D960" t="s">
        <v>35</v>
      </c>
      <c r="E960" t="s">
        <v>347</v>
      </c>
      <c r="F960" t="s">
        <v>130</v>
      </c>
      <c r="G960" s="5">
        <v>107872290</v>
      </c>
      <c r="H960" s="5">
        <v>240070388</v>
      </c>
    </row>
    <row r="961" spans="1:8" x14ac:dyDescent="0.25">
      <c r="A961" t="s">
        <v>267</v>
      </c>
      <c r="B961">
        <v>2021</v>
      </c>
      <c r="C961" t="s">
        <v>35</v>
      </c>
      <c r="D961" t="s">
        <v>35</v>
      </c>
      <c r="E961" t="s">
        <v>352</v>
      </c>
      <c r="F961" t="s">
        <v>135</v>
      </c>
      <c r="G961" s="5">
        <v>94139912</v>
      </c>
      <c r="H961" s="5">
        <v>106985453</v>
      </c>
    </row>
    <row r="962" spans="1:8" x14ac:dyDescent="0.25">
      <c r="A962" t="s">
        <v>267</v>
      </c>
      <c r="B962">
        <v>2021</v>
      </c>
      <c r="C962" t="s">
        <v>35</v>
      </c>
      <c r="D962" t="s">
        <v>35</v>
      </c>
      <c r="E962" t="s">
        <v>353</v>
      </c>
      <c r="F962" t="s">
        <v>136</v>
      </c>
      <c r="G962" s="5">
        <v>79206480</v>
      </c>
      <c r="H962" s="5">
        <v>79210641</v>
      </c>
    </row>
    <row r="963" spans="1:8" x14ac:dyDescent="0.25">
      <c r="A963" t="s">
        <v>267</v>
      </c>
      <c r="B963">
        <v>2021</v>
      </c>
      <c r="C963" t="s">
        <v>35</v>
      </c>
      <c r="D963" t="s">
        <v>35</v>
      </c>
      <c r="E963" t="s">
        <v>351</v>
      </c>
      <c r="F963" t="s">
        <v>134</v>
      </c>
      <c r="G963" s="5">
        <v>78431954</v>
      </c>
      <c r="H963" s="5">
        <v>80226292</v>
      </c>
    </row>
    <row r="964" spans="1:8" x14ac:dyDescent="0.25">
      <c r="A964" t="s">
        <v>267</v>
      </c>
      <c r="B964">
        <v>2021</v>
      </c>
      <c r="C964" t="s">
        <v>35</v>
      </c>
      <c r="D964" t="s">
        <v>35</v>
      </c>
      <c r="E964" t="s">
        <v>356</v>
      </c>
      <c r="F964" t="s">
        <v>139</v>
      </c>
      <c r="G964" s="5">
        <v>70375552</v>
      </c>
      <c r="H964" s="5">
        <v>70623711</v>
      </c>
    </row>
    <row r="965" spans="1:8" x14ac:dyDescent="0.25">
      <c r="A965" t="s">
        <v>267</v>
      </c>
      <c r="B965">
        <v>2021</v>
      </c>
      <c r="C965" t="s">
        <v>35</v>
      </c>
      <c r="D965" t="s">
        <v>35</v>
      </c>
      <c r="E965" t="s">
        <v>362</v>
      </c>
      <c r="F965" t="s">
        <v>145</v>
      </c>
      <c r="G965" s="5">
        <v>44320967</v>
      </c>
      <c r="H965" s="5">
        <v>44417032</v>
      </c>
    </row>
    <row r="966" spans="1:8" x14ac:dyDescent="0.25">
      <c r="A966" t="s">
        <v>267</v>
      </c>
      <c r="B966">
        <v>2021</v>
      </c>
      <c r="C966" t="s">
        <v>35</v>
      </c>
      <c r="D966" t="s">
        <v>35</v>
      </c>
      <c r="E966" t="s">
        <v>355</v>
      </c>
      <c r="F966" t="s">
        <v>138</v>
      </c>
      <c r="G966" s="5">
        <v>37246530</v>
      </c>
      <c r="H966" s="5">
        <v>37248788</v>
      </c>
    </row>
    <row r="967" spans="1:8" x14ac:dyDescent="0.25">
      <c r="A967" t="s">
        <v>267</v>
      </c>
      <c r="B967">
        <v>2021</v>
      </c>
      <c r="C967" t="s">
        <v>35</v>
      </c>
      <c r="D967" t="s">
        <v>35</v>
      </c>
      <c r="E967" t="s">
        <v>357</v>
      </c>
      <c r="F967" t="s">
        <v>140</v>
      </c>
      <c r="G967" s="5">
        <v>26924058</v>
      </c>
      <c r="H967" s="5">
        <v>26927430</v>
      </c>
    </row>
    <row r="968" spans="1:8" x14ac:dyDescent="0.25">
      <c r="A968" t="s">
        <v>267</v>
      </c>
      <c r="B968">
        <v>2021</v>
      </c>
      <c r="C968" t="s">
        <v>35</v>
      </c>
      <c r="D968" t="s">
        <v>35</v>
      </c>
      <c r="E968" t="s">
        <v>361</v>
      </c>
      <c r="F968" t="s">
        <v>144</v>
      </c>
      <c r="G968" s="5">
        <v>18983151</v>
      </c>
      <c r="H968" s="5">
        <v>93554990</v>
      </c>
    </row>
    <row r="969" spans="1:8" x14ac:dyDescent="0.25">
      <c r="A969" t="s">
        <v>267</v>
      </c>
      <c r="B969">
        <v>2021</v>
      </c>
      <c r="C969" t="s">
        <v>35</v>
      </c>
      <c r="D969" t="s">
        <v>35</v>
      </c>
      <c r="E969" t="s">
        <v>365</v>
      </c>
      <c r="F969" t="s">
        <v>148</v>
      </c>
      <c r="G969" s="5">
        <v>18972136</v>
      </c>
      <c r="H969" s="5">
        <v>19047059</v>
      </c>
    </row>
    <row r="970" spans="1:8" x14ac:dyDescent="0.25">
      <c r="A970" t="s">
        <v>267</v>
      </c>
      <c r="B970">
        <v>2021</v>
      </c>
      <c r="C970" t="s">
        <v>35</v>
      </c>
      <c r="D970" t="s">
        <v>35</v>
      </c>
      <c r="E970" t="s">
        <v>358</v>
      </c>
      <c r="F970" t="s">
        <v>141</v>
      </c>
      <c r="G970" s="5">
        <v>18963371</v>
      </c>
      <c r="H970" s="5">
        <v>18963371</v>
      </c>
    </row>
    <row r="971" spans="1:8" x14ac:dyDescent="0.25">
      <c r="A971" t="s">
        <v>267</v>
      </c>
      <c r="B971">
        <v>2021</v>
      </c>
      <c r="C971" t="s">
        <v>35</v>
      </c>
      <c r="D971" t="s">
        <v>35</v>
      </c>
      <c r="E971" t="s">
        <v>372</v>
      </c>
      <c r="F971" t="s">
        <v>155</v>
      </c>
      <c r="G971" s="5">
        <v>16554578</v>
      </c>
      <c r="H971" s="5">
        <v>16554903</v>
      </c>
    </row>
    <row r="972" spans="1:8" x14ac:dyDescent="0.25">
      <c r="A972" t="s">
        <v>267</v>
      </c>
      <c r="B972">
        <v>2021</v>
      </c>
      <c r="C972" t="s">
        <v>35</v>
      </c>
      <c r="D972" t="s">
        <v>35</v>
      </c>
      <c r="E972" t="s">
        <v>370</v>
      </c>
      <c r="F972" t="s">
        <v>153</v>
      </c>
      <c r="G972" s="5">
        <v>13819681</v>
      </c>
      <c r="H972" s="5">
        <v>28783224</v>
      </c>
    </row>
    <row r="973" spans="1:8" x14ac:dyDescent="0.25">
      <c r="A973" t="s">
        <v>267</v>
      </c>
      <c r="B973">
        <v>2021</v>
      </c>
      <c r="C973" t="s">
        <v>35</v>
      </c>
      <c r="D973" t="s">
        <v>35</v>
      </c>
      <c r="E973" t="s">
        <v>360</v>
      </c>
      <c r="F973" t="s">
        <v>143</v>
      </c>
      <c r="G973" s="5">
        <v>12336530</v>
      </c>
      <c r="H973" s="5">
        <v>12336530</v>
      </c>
    </row>
    <row r="974" spans="1:8" x14ac:dyDescent="0.25">
      <c r="A974" t="s">
        <v>267</v>
      </c>
      <c r="B974">
        <v>2021</v>
      </c>
      <c r="C974" t="s">
        <v>35</v>
      </c>
      <c r="D974" t="s">
        <v>35</v>
      </c>
      <c r="E974" t="s">
        <v>368</v>
      </c>
      <c r="F974" t="s">
        <v>151</v>
      </c>
      <c r="G974" s="5">
        <v>11056273</v>
      </c>
      <c r="H974" s="5">
        <v>11056273</v>
      </c>
    </row>
    <row r="975" spans="1:8" x14ac:dyDescent="0.25">
      <c r="A975" t="s">
        <v>267</v>
      </c>
      <c r="B975">
        <v>2021</v>
      </c>
      <c r="C975" t="s">
        <v>35</v>
      </c>
      <c r="D975" t="s">
        <v>35</v>
      </c>
      <c r="E975" t="s">
        <v>367</v>
      </c>
      <c r="F975" t="s">
        <v>150</v>
      </c>
      <c r="G975" s="5">
        <v>9478994</v>
      </c>
      <c r="H975" s="5">
        <v>9492940</v>
      </c>
    </row>
    <row r="976" spans="1:8" x14ac:dyDescent="0.25">
      <c r="A976" t="s">
        <v>267</v>
      </c>
      <c r="B976">
        <v>2021</v>
      </c>
      <c r="C976" t="s">
        <v>35</v>
      </c>
      <c r="D976" t="s">
        <v>35</v>
      </c>
      <c r="E976" t="s">
        <v>359</v>
      </c>
      <c r="F976" t="s">
        <v>142</v>
      </c>
      <c r="G976" s="5">
        <v>8006584</v>
      </c>
      <c r="H976" s="5">
        <v>8006584</v>
      </c>
    </row>
    <row r="977" spans="1:8" x14ac:dyDescent="0.25">
      <c r="A977" t="s">
        <v>267</v>
      </c>
      <c r="B977">
        <v>2021</v>
      </c>
      <c r="C977" t="s">
        <v>35</v>
      </c>
      <c r="D977" t="s">
        <v>35</v>
      </c>
      <c r="E977" t="s">
        <v>363</v>
      </c>
      <c r="F977" t="s">
        <v>146</v>
      </c>
      <c r="G977" s="5">
        <v>7041125</v>
      </c>
      <c r="H977" s="5">
        <v>7041125</v>
      </c>
    </row>
    <row r="978" spans="1:8" x14ac:dyDescent="0.25">
      <c r="A978" t="s">
        <v>267</v>
      </c>
      <c r="B978">
        <v>2021</v>
      </c>
      <c r="C978" t="s">
        <v>35</v>
      </c>
      <c r="D978" t="s">
        <v>35</v>
      </c>
      <c r="E978" t="s">
        <v>366</v>
      </c>
      <c r="F978" t="s">
        <v>149</v>
      </c>
      <c r="G978" s="5">
        <v>6156124</v>
      </c>
      <c r="H978" s="5">
        <v>6175187</v>
      </c>
    </row>
    <row r="979" spans="1:8" x14ac:dyDescent="0.25">
      <c r="A979" t="s">
        <v>267</v>
      </c>
      <c r="B979">
        <v>2021</v>
      </c>
      <c r="C979" t="s">
        <v>35</v>
      </c>
      <c r="D979" t="s">
        <v>35</v>
      </c>
      <c r="E979" t="s">
        <v>371</v>
      </c>
      <c r="F979" t="s">
        <v>154</v>
      </c>
      <c r="G979" s="5">
        <v>3860883</v>
      </c>
      <c r="H979" s="5">
        <v>3860883</v>
      </c>
    </row>
    <row r="980" spans="1:8" x14ac:dyDescent="0.25">
      <c r="A980" t="s">
        <v>267</v>
      </c>
      <c r="B980">
        <v>2021</v>
      </c>
      <c r="C980" t="s">
        <v>35</v>
      </c>
      <c r="D980" t="s">
        <v>35</v>
      </c>
      <c r="E980" t="s">
        <v>364</v>
      </c>
      <c r="F980" t="s">
        <v>147</v>
      </c>
      <c r="G980" s="5">
        <v>3657926</v>
      </c>
      <c r="H980" s="5">
        <v>31734359</v>
      </c>
    </row>
    <row r="981" spans="1:8" x14ac:dyDescent="0.25">
      <c r="A981" t="s">
        <v>267</v>
      </c>
      <c r="B981">
        <v>2021</v>
      </c>
      <c r="C981" t="s">
        <v>35</v>
      </c>
      <c r="D981" t="s">
        <v>35</v>
      </c>
      <c r="E981" t="s">
        <v>376</v>
      </c>
      <c r="F981" t="s">
        <v>159</v>
      </c>
      <c r="G981" s="5">
        <v>3145638</v>
      </c>
      <c r="H981" s="5">
        <v>4165413</v>
      </c>
    </row>
    <row r="982" spans="1:8" x14ac:dyDescent="0.25">
      <c r="A982" t="s">
        <v>267</v>
      </c>
      <c r="B982">
        <v>2021</v>
      </c>
      <c r="C982" t="s">
        <v>35</v>
      </c>
      <c r="D982" t="s">
        <v>35</v>
      </c>
      <c r="E982" t="s">
        <v>378</v>
      </c>
      <c r="F982" t="s">
        <v>162</v>
      </c>
      <c r="G982" s="5">
        <v>2863742</v>
      </c>
      <c r="H982" s="5">
        <v>2863742</v>
      </c>
    </row>
    <row r="983" spans="1:8" x14ac:dyDescent="0.25">
      <c r="A983" t="s">
        <v>267</v>
      </c>
      <c r="B983">
        <v>2021</v>
      </c>
      <c r="C983" t="s">
        <v>35</v>
      </c>
      <c r="D983" t="s">
        <v>35</v>
      </c>
      <c r="F983" t="s">
        <v>161</v>
      </c>
      <c r="G983" s="5">
        <v>1318290</v>
      </c>
      <c r="H983" s="5">
        <v>1318290</v>
      </c>
    </row>
    <row r="984" spans="1:8" x14ac:dyDescent="0.25">
      <c r="A984" t="s">
        <v>267</v>
      </c>
      <c r="B984">
        <v>2021</v>
      </c>
      <c r="C984" t="s">
        <v>35</v>
      </c>
      <c r="D984" t="s">
        <v>35</v>
      </c>
      <c r="E984" t="s">
        <v>369</v>
      </c>
      <c r="F984" t="s">
        <v>152</v>
      </c>
      <c r="G984" s="5">
        <v>689701</v>
      </c>
      <c r="H984" s="5">
        <v>689701</v>
      </c>
    </row>
    <row r="985" spans="1:8" x14ac:dyDescent="0.25">
      <c r="A985" t="s">
        <v>267</v>
      </c>
      <c r="B985">
        <v>2021</v>
      </c>
      <c r="C985" t="s">
        <v>35</v>
      </c>
      <c r="D985" t="s">
        <v>35</v>
      </c>
      <c r="E985" t="s">
        <v>385</v>
      </c>
      <c r="F985" t="s">
        <v>169</v>
      </c>
      <c r="G985" s="5">
        <v>651814</v>
      </c>
      <c r="H985" s="5">
        <v>651814</v>
      </c>
    </row>
    <row r="986" spans="1:8" x14ac:dyDescent="0.25">
      <c r="A986" t="s">
        <v>267</v>
      </c>
      <c r="B986">
        <v>2021</v>
      </c>
      <c r="C986" t="s">
        <v>35</v>
      </c>
      <c r="D986" t="s">
        <v>35</v>
      </c>
      <c r="E986" t="s">
        <v>377</v>
      </c>
      <c r="F986" t="s">
        <v>160</v>
      </c>
      <c r="G986" s="5">
        <v>602408</v>
      </c>
      <c r="H986" s="5">
        <v>602408</v>
      </c>
    </row>
    <row r="987" spans="1:8" x14ac:dyDescent="0.25">
      <c r="A987" t="s">
        <v>267</v>
      </c>
      <c r="B987">
        <v>2021</v>
      </c>
      <c r="C987" t="s">
        <v>35</v>
      </c>
      <c r="D987" t="s">
        <v>35</v>
      </c>
      <c r="E987" t="s">
        <v>380</v>
      </c>
      <c r="F987" t="s">
        <v>164</v>
      </c>
      <c r="G987" s="5">
        <v>560204</v>
      </c>
      <c r="H987" s="5">
        <v>560204</v>
      </c>
    </row>
    <row r="988" spans="1:8" x14ac:dyDescent="0.25">
      <c r="A988" t="s">
        <v>267</v>
      </c>
      <c r="B988">
        <v>2021</v>
      </c>
      <c r="C988" t="s">
        <v>35</v>
      </c>
      <c r="D988" t="s">
        <v>35</v>
      </c>
      <c r="E988" t="s">
        <v>442</v>
      </c>
      <c r="F988" t="s">
        <v>229</v>
      </c>
      <c r="G988" s="5">
        <v>526138</v>
      </c>
      <c r="H988" s="5">
        <v>526138</v>
      </c>
    </row>
    <row r="989" spans="1:8" x14ac:dyDescent="0.25">
      <c r="A989" t="s">
        <v>267</v>
      </c>
      <c r="B989">
        <v>2021</v>
      </c>
      <c r="C989" t="s">
        <v>35</v>
      </c>
      <c r="D989" t="s">
        <v>35</v>
      </c>
      <c r="E989" t="s">
        <v>375</v>
      </c>
      <c r="F989" t="s">
        <v>158</v>
      </c>
      <c r="G989" s="5">
        <v>523097</v>
      </c>
      <c r="H989" s="5">
        <v>523097</v>
      </c>
    </row>
    <row r="990" spans="1:8" x14ac:dyDescent="0.25">
      <c r="A990" t="s">
        <v>267</v>
      </c>
      <c r="B990">
        <v>2021</v>
      </c>
      <c r="C990" t="s">
        <v>35</v>
      </c>
      <c r="D990" t="s">
        <v>35</v>
      </c>
      <c r="E990" t="s">
        <v>382</v>
      </c>
      <c r="F990" t="s">
        <v>166</v>
      </c>
      <c r="G990" s="5">
        <v>485556</v>
      </c>
      <c r="H990" s="5">
        <v>5400327</v>
      </c>
    </row>
    <row r="991" spans="1:8" x14ac:dyDescent="0.25">
      <c r="A991" t="s">
        <v>267</v>
      </c>
      <c r="B991">
        <v>2021</v>
      </c>
      <c r="C991" t="s">
        <v>35</v>
      </c>
      <c r="D991" t="s">
        <v>35</v>
      </c>
      <c r="E991" t="s">
        <v>383</v>
      </c>
      <c r="F991" t="s">
        <v>167</v>
      </c>
      <c r="G991" s="5">
        <v>299621</v>
      </c>
      <c r="H991" s="5">
        <v>299621</v>
      </c>
    </row>
    <row r="992" spans="1:8" x14ac:dyDescent="0.25">
      <c r="A992" t="s">
        <v>267</v>
      </c>
      <c r="B992">
        <v>2021</v>
      </c>
      <c r="C992" t="s">
        <v>35</v>
      </c>
      <c r="D992" t="s">
        <v>35</v>
      </c>
      <c r="E992" t="s">
        <v>384</v>
      </c>
      <c r="F992" t="s">
        <v>168</v>
      </c>
      <c r="G992" s="5">
        <v>195992</v>
      </c>
      <c r="H992" s="5">
        <v>201032</v>
      </c>
    </row>
    <row r="993" spans="1:8" x14ac:dyDescent="0.25">
      <c r="A993" t="s">
        <v>267</v>
      </c>
      <c r="B993">
        <v>2021</v>
      </c>
      <c r="C993" t="s">
        <v>35</v>
      </c>
      <c r="D993" t="s">
        <v>35</v>
      </c>
      <c r="E993" t="s">
        <v>374</v>
      </c>
      <c r="F993" t="s">
        <v>157</v>
      </c>
      <c r="G993" s="5">
        <v>145408</v>
      </c>
      <c r="H993" s="5">
        <v>145408</v>
      </c>
    </row>
    <row r="994" spans="1:8" x14ac:dyDescent="0.25">
      <c r="A994" t="s">
        <v>267</v>
      </c>
      <c r="B994">
        <v>2021</v>
      </c>
      <c r="C994" t="s">
        <v>35</v>
      </c>
      <c r="D994" t="s">
        <v>35</v>
      </c>
      <c r="E994" t="s">
        <v>379</v>
      </c>
      <c r="F994" t="s">
        <v>163</v>
      </c>
      <c r="G994" s="5">
        <v>117284</v>
      </c>
      <c r="H994" s="5">
        <v>117284</v>
      </c>
    </row>
    <row r="995" spans="1:8" x14ac:dyDescent="0.25">
      <c r="A995" t="s">
        <v>267</v>
      </c>
      <c r="B995">
        <v>2021</v>
      </c>
      <c r="C995" t="s">
        <v>35</v>
      </c>
      <c r="D995" t="s">
        <v>35</v>
      </c>
      <c r="E995" t="s">
        <v>387</v>
      </c>
      <c r="F995" t="s">
        <v>171</v>
      </c>
      <c r="G995" s="5">
        <v>32742</v>
      </c>
      <c r="H995" s="5">
        <v>32742</v>
      </c>
    </row>
    <row r="996" spans="1:8" x14ac:dyDescent="0.25">
      <c r="A996" t="s">
        <v>267</v>
      </c>
      <c r="B996">
        <v>2021</v>
      </c>
      <c r="C996" t="s">
        <v>172</v>
      </c>
      <c r="D996" t="s">
        <v>34</v>
      </c>
      <c r="E996" t="s">
        <v>388</v>
      </c>
      <c r="F996" t="s">
        <v>173</v>
      </c>
      <c r="G996" s="5">
        <v>3651243775</v>
      </c>
      <c r="H996" s="5">
        <v>3953802082</v>
      </c>
    </row>
    <row r="997" spans="1:8" x14ac:dyDescent="0.25">
      <c r="A997" t="s">
        <v>267</v>
      </c>
      <c r="B997">
        <v>2021</v>
      </c>
      <c r="C997" t="s">
        <v>172</v>
      </c>
      <c r="D997" t="s">
        <v>34</v>
      </c>
      <c r="E997" t="s">
        <v>389</v>
      </c>
      <c r="F997" t="s">
        <v>174</v>
      </c>
      <c r="G997" s="5">
        <v>1312153451</v>
      </c>
      <c r="H997" s="5">
        <v>1317527085</v>
      </c>
    </row>
    <row r="998" spans="1:8" x14ac:dyDescent="0.25">
      <c r="A998" t="s">
        <v>267</v>
      </c>
      <c r="B998">
        <v>2021</v>
      </c>
      <c r="C998" t="s">
        <v>172</v>
      </c>
      <c r="D998" t="s">
        <v>34</v>
      </c>
      <c r="E998" t="s">
        <v>390</v>
      </c>
      <c r="F998" t="s">
        <v>175</v>
      </c>
      <c r="G998" s="5">
        <v>631915558</v>
      </c>
      <c r="H998" s="5">
        <v>808864917</v>
      </c>
    </row>
    <row r="999" spans="1:8" x14ac:dyDescent="0.25">
      <c r="A999" t="s">
        <v>267</v>
      </c>
      <c r="B999">
        <v>2021</v>
      </c>
      <c r="C999" t="s">
        <v>172</v>
      </c>
      <c r="D999" t="s">
        <v>34</v>
      </c>
      <c r="E999" t="s">
        <v>391</v>
      </c>
      <c r="F999" t="s">
        <v>176</v>
      </c>
      <c r="G999" s="5">
        <v>603195510</v>
      </c>
      <c r="H999" s="5">
        <v>691860392</v>
      </c>
    </row>
    <row r="1000" spans="1:8" x14ac:dyDescent="0.25">
      <c r="A1000" t="s">
        <v>267</v>
      </c>
      <c r="B1000">
        <v>2021</v>
      </c>
      <c r="C1000" t="s">
        <v>172</v>
      </c>
      <c r="D1000" t="s">
        <v>34</v>
      </c>
      <c r="E1000" t="s">
        <v>392</v>
      </c>
      <c r="F1000" t="s">
        <v>178</v>
      </c>
      <c r="G1000" s="5">
        <v>392144258</v>
      </c>
      <c r="H1000" s="5">
        <v>403896733</v>
      </c>
    </row>
    <row r="1001" spans="1:8" x14ac:dyDescent="0.25">
      <c r="A1001" t="s">
        <v>267</v>
      </c>
      <c r="B1001">
        <v>2021</v>
      </c>
      <c r="C1001" t="s">
        <v>172</v>
      </c>
      <c r="D1001" t="s">
        <v>34</v>
      </c>
      <c r="E1001" t="s">
        <v>393</v>
      </c>
      <c r="F1001" t="s">
        <v>179</v>
      </c>
      <c r="G1001" s="5">
        <v>327628045</v>
      </c>
      <c r="H1001" s="5">
        <v>328305526</v>
      </c>
    </row>
    <row r="1002" spans="1:8" x14ac:dyDescent="0.25">
      <c r="A1002" t="s">
        <v>267</v>
      </c>
      <c r="B1002">
        <v>2021</v>
      </c>
      <c r="C1002" t="s">
        <v>172</v>
      </c>
      <c r="D1002" t="s">
        <v>34</v>
      </c>
      <c r="E1002" t="s">
        <v>394</v>
      </c>
      <c r="F1002" t="s">
        <v>180</v>
      </c>
      <c r="G1002" s="5">
        <v>206267822</v>
      </c>
      <c r="H1002" s="5">
        <v>224272034</v>
      </c>
    </row>
    <row r="1003" spans="1:8" x14ac:dyDescent="0.25">
      <c r="A1003" t="s">
        <v>267</v>
      </c>
      <c r="B1003">
        <v>2021</v>
      </c>
      <c r="C1003" t="s">
        <v>172</v>
      </c>
      <c r="D1003" t="s">
        <v>34</v>
      </c>
      <c r="E1003" t="s">
        <v>395</v>
      </c>
      <c r="F1003" t="s">
        <v>181</v>
      </c>
      <c r="G1003" s="5">
        <v>179456144</v>
      </c>
      <c r="H1003" s="5">
        <v>191345828</v>
      </c>
    </row>
    <row r="1004" spans="1:8" x14ac:dyDescent="0.25">
      <c r="A1004" t="s">
        <v>267</v>
      </c>
      <c r="B1004">
        <v>2021</v>
      </c>
      <c r="C1004" t="s">
        <v>172</v>
      </c>
      <c r="D1004" t="s">
        <v>34</v>
      </c>
      <c r="E1004" t="s">
        <v>397</v>
      </c>
      <c r="F1004" t="s">
        <v>184</v>
      </c>
      <c r="G1004" s="5">
        <v>151506010</v>
      </c>
      <c r="H1004" s="5">
        <v>152563516</v>
      </c>
    </row>
    <row r="1005" spans="1:8" x14ac:dyDescent="0.25">
      <c r="A1005" t="s">
        <v>267</v>
      </c>
      <c r="B1005">
        <v>2021</v>
      </c>
      <c r="C1005" t="s">
        <v>172</v>
      </c>
      <c r="D1005" t="s">
        <v>34</v>
      </c>
      <c r="E1005" t="s">
        <v>396</v>
      </c>
      <c r="F1005" t="s">
        <v>183</v>
      </c>
      <c r="G1005" s="5">
        <v>146409548</v>
      </c>
      <c r="H1005" s="5">
        <v>150978867</v>
      </c>
    </row>
    <row r="1006" spans="1:8" x14ac:dyDescent="0.25">
      <c r="A1006" t="s">
        <v>267</v>
      </c>
      <c r="B1006">
        <v>2021</v>
      </c>
      <c r="C1006" t="s">
        <v>172</v>
      </c>
      <c r="D1006" t="s">
        <v>34</v>
      </c>
      <c r="E1006" t="s">
        <v>400</v>
      </c>
      <c r="F1006" t="s">
        <v>189</v>
      </c>
      <c r="G1006" s="5">
        <v>115308823</v>
      </c>
      <c r="H1006" s="5">
        <v>115641185</v>
      </c>
    </row>
    <row r="1007" spans="1:8" x14ac:dyDescent="0.25">
      <c r="A1007" t="s">
        <v>267</v>
      </c>
      <c r="B1007">
        <v>2021</v>
      </c>
      <c r="C1007" t="s">
        <v>172</v>
      </c>
      <c r="D1007" t="s">
        <v>34</v>
      </c>
      <c r="E1007" t="s">
        <v>398</v>
      </c>
      <c r="F1007" t="s">
        <v>186</v>
      </c>
      <c r="G1007" s="5">
        <v>82582005</v>
      </c>
      <c r="H1007" s="5">
        <v>82791321</v>
      </c>
    </row>
    <row r="1008" spans="1:8" x14ac:dyDescent="0.25">
      <c r="A1008" t="s">
        <v>267</v>
      </c>
      <c r="B1008">
        <v>2021</v>
      </c>
      <c r="C1008" t="s">
        <v>172</v>
      </c>
      <c r="D1008" t="s">
        <v>34</v>
      </c>
      <c r="E1008" t="s">
        <v>402</v>
      </c>
      <c r="F1008" t="s">
        <v>191</v>
      </c>
      <c r="G1008" s="5">
        <v>49382854</v>
      </c>
      <c r="H1008" s="5">
        <v>50176120</v>
      </c>
    </row>
    <row r="1009" spans="1:8" x14ac:dyDescent="0.25">
      <c r="A1009" t="s">
        <v>267</v>
      </c>
      <c r="B1009">
        <v>2021</v>
      </c>
      <c r="C1009" t="s">
        <v>172</v>
      </c>
      <c r="D1009" t="s">
        <v>34</v>
      </c>
      <c r="E1009" t="s">
        <v>401</v>
      </c>
      <c r="F1009" t="s">
        <v>190</v>
      </c>
      <c r="G1009" s="5">
        <v>46490916</v>
      </c>
      <c r="H1009" s="5">
        <v>66553715</v>
      </c>
    </row>
    <row r="1010" spans="1:8" x14ac:dyDescent="0.25">
      <c r="A1010" t="s">
        <v>267</v>
      </c>
      <c r="B1010">
        <v>2021</v>
      </c>
      <c r="C1010" t="s">
        <v>172</v>
      </c>
      <c r="D1010" t="s">
        <v>34</v>
      </c>
      <c r="E1010" t="s">
        <v>403</v>
      </c>
      <c r="F1010" t="s">
        <v>192</v>
      </c>
      <c r="G1010" s="5">
        <v>44228768</v>
      </c>
      <c r="H1010" s="5">
        <v>50597081</v>
      </c>
    </row>
    <row r="1011" spans="1:8" x14ac:dyDescent="0.25">
      <c r="A1011" t="s">
        <v>267</v>
      </c>
      <c r="B1011">
        <v>2021</v>
      </c>
      <c r="C1011" t="s">
        <v>172</v>
      </c>
      <c r="D1011" t="s">
        <v>34</v>
      </c>
      <c r="E1011" t="s">
        <v>404</v>
      </c>
      <c r="F1011" t="s">
        <v>193</v>
      </c>
      <c r="G1011" s="5">
        <v>43624983</v>
      </c>
      <c r="H1011" s="5">
        <v>43767559</v>
      </c>
    </row>
    <row r="1012" spans="1:8" x14ac:dyDescent="0.25">
      <c r="A1012" t="s">
        <v>267</v>
      </c>
      <c r="B1012">
        <v>2021</v>
      </c>
      <c r="C1012" t="s">
        <v>172</v>
      </c>
      <c r="D1012" t="s">
        <v>34</v>
      </c>
      <c r="E1012" t="s">
        <v>399</v>
      </c>
      <c r="F1012" t="s">
        <v>187</v>
      </c>
      <c r="G1012" s="5">
        <v>41180986</v>
      </c>
      <c r="H1012" s="5">
        <v>41335826</v>
      </c>
    </row>
    <row r="1013" spans="1:8" x14ac:dyDescent="0.25">
      <c r="A1013" t="s">
        <v>267</v>
      </c>
      <c r="B1013">
        <v>2021</v>
      </c>
      <c r="C1013" t="s">
        <v>172</v>
      </c>
      <c r="D1013" t="s">
        <v>34</v>
      </c>
      <c r="E1013" t="s">
        <v>406</v>
      </c>
      <c r="F1013" t="s">
        <v>195</v>
      </c>
      <c r="G1013" s="5">
        <v>34041329</v>
      </c>
      <c r="H1013" s="5">
        <v>34071238</v>
      </c>
    </row>
    <row r="1014" spans="1:8" x14ac:dyDescent="0.25">
      <c r="A1014" t="s">
        <v>267</v>
      </c>
      <c r="B1014">
        <v>2021</v>
      </c>
      <c r="C1014" t="s">
        <v>172</v>
      </c>
      <c r="D1014" t="s">
        <v>34</v>
      </c>
      <c r="E1014" t="s">
        <v>405</v>
      </c>
      <c r="F1014" t="s">
        <v>194</v>
      </c>
      <c r="G1014" s="5">
        <v>27430595</v>
      </c>
      <c r="H1014" s="5">
        <v>28466442</v>
      </c>
    </row>
    <row r="1015" spans="1:8" x14ac:dyDescent="0.25">
      <c r="A1015" t="s">
        <v>267</v>
      </c>
      <c r="B1015">
        <v>2021</v>
      </c>
      <c r="C1015" t="s">
        <v>172</v>
      </c>
      <c r="D1015" t="s">
        <v>34</v>
      </c>
      <c r="E1015" t="s">
        <v>408</v>
      </c>
      <c r="F1015" t="s">
        <v>198</v>
      </c>
      <c r="G1015" s="5">
        <v>24723470</v>
      </c>
      <c r="H1015" s="5">
        <v>24773261</v>
      </c>
    </row>
    <row r="1016" spans="1:8" x14ac:dyDescent="0.25">
      <c r="A1016" t="s">
        <v>267</v>
      </c>
      <c r="B1016">
        <v>2021</v>
      </c>
      <c r="C1016" t="s">
        <v>172</v>
      </c>
      <c r="D1016" t="s">
        <v>34</v>
      </c>
      <c r="E1016" t="s">
        <v>411</v>
      </c>
      <c r="F1016" t="s">
        <v>203</v>
      </c>
      <c r="G1016" s="5">
        <v>20067434</v>
      </c>
      <c r="H1016" s="5">
        <v>20164798</v>
      </c>
    </row>
    <row r="1017" spans="1:8" x14ac:dyDescent="0.25">
      <c r="A1017" t="s">
        <v>267</v>
      </c>
      <c r="B1017">
        <v>2021</v>
      </c>
      <c r="C1017" t="s">
        <v>172</v>
      </c>
      <c r="D1017" t="s">
        <v>34</v>
      </c>
      <c r="E1017" t="s">
        <v>407</v>
      </c>
      <c r="F1017" t="s">
        <v>197</v>
      </c>
      <c r="G1017" s="5">
        <v>19410657</v>
      </c>
      <c r="H1017" s="5">
        <v>20270758</v>
      </c>
    </row>
    <row r="1018" spans="1:8" x14ac:dyDescent="0.25">
      <c r="A1018" t="s">
        <v>267</v>
      </c>
      <c r="B1018">
        <v>2021</v>
      </c>
      <c r="C1018" t="s">
        <v>172</v>
      </c>
      <c r="D1018" t="s">
        <v>34</v>
      </c>
      <c r="E1018" t="s">
        <v>410</v>
      </c>
      <c r="F1018" t="s">
        <v>201</v>
      </c>
      <c r="G1018" s="5">
        <v>10187852</v>
      </c>
      <c r="H1018" s="5">
        <v>10193782</v>
      </c>
    </row>
    <row r="1019" spans="1:8" x14ac:dyDescent="0.25">
      <c r="A1019" t="s">
        <v>267</v>
      </c>
      <c r="B1019">
        <v>2021</v>
      </c>
      <c r="C1019" t="s">
        <v>172</v>
      </c>
      <c r="D1019" t="s">
        <v>34</v>
      </c>
      <c r="E1019" t="s">
        <v>409</v>
      </c>
      <c r="F1019" t="s">
        <v>199</v>
      </c>
      <c r="G1019" s="5">
        <v>10174146</v>
      </c>
      <c r="H1019" s="5">
        <v>15833069</v>
      </c>
    </row>
    <row r="1020" spans="1:8" x14ac:dyDescent="0.25">
      <c r="A1020" t="s">
        <v>267</v>
      </c>
      <c r="B1020">
        <v>2021</v>
      </c>
      <c r="C1020" t="s">
        <v>172</v>
      </c>
      <c r="D1020" t="s">
        <v>34</v>
      </c>
      <c r="E1020" t="s">
        <v>412</v>
      </c>
      <c r="F1020" t="s">
        <v>204</v>
      </c>
      <c r="G1020" s="5">
        <v>8254709</v>
      </c>
      <c r="H1020" s="5">
        <v>8265872</v>
      </c>
    </row>
    <row r="1021" spans="1:8" x14ac:dyDescent="0.25">
      <c r="A1021" t="s">
        <v>267</v>
      </c>
      <c r="B1021">
        <v>2021</v>
      </c>
      <c r="C1021" t="s">
        <v>172</v>
      </c>
      <c r="D1021" t="s">
        <v>34</v>
      </c>
      <c r="E1021" t="s">
        <v>413</v>
      </c>
      <c r="F1021" t="s">
        <v>207</v>
      </c>
      <c r="G1021" s="5">
        <v>3905452</v>
      </c>
      <c r="H1021" s="5">
        <v>3936162</v>
      </c>
    </row>
    <row r="1022" spans="1:8" x14ac:dyDescent="0.25">
      <c r="A1022" t="s">
        <v>267</v>
      </c>
      <c r="B1022">
        <v>2021</v>
      </c>
      <c r="C1022" t="s">
        <v>172</v>
      </c>
      <c r="D1022" t="s">
        <v>34</v>
      </c>
      <c r="E1022" t="s">
        <v>414</v>
      </c>
      <c r="F1022" t="s">
        <v>209</v>
      </c>
      <c r="G1022" s="5">
        <v>2372440</v>
      </c>
      <c r="H1022" s="5">
        <v>2422603</v>
      </c>
    </row>
    <row r="1023" spans="1:8" x14ac:dyDescent="0.25">
      <c r="A1023" t="s">
        <v>267</v>
      </c>
      <c r="B1023">
        <v>2021</v>
      </c>
      <c r="C1023" t="s">
        <v>172</v>
      </c>
      <c r="D1023" t="s">
        <v>37</v>
      </c>
      <c r="E1023" t="s">
        <v>415</v>
      </c>
      <c r="F1023" t="s">
        <v>177</v>
      </c>
      <c r="G1023" s="5">
        <v>460678087</v>
      </c>
      <c r="H1023" s="5">
        <v>3626103549</v>
      </c>
    </row>
    <row r="1024" spans="1:8" x14ac:dyDescent="0.25">
      <c r="A1024" t="s">
        <v>267</v>
      </c>
      <c r="B1024">
        <v>2021</v>
      </c>
      <c r="C1024" t="s">
        <v>172</v>
      </c>
      <c r="D1024" t="s">
        <v>37</v>
      </c>
      <c r="E1024" t="s">
        <v>417</v>
      </c>
      <c r="F1024" t="s">
        <v>185</v>
      </c>
      <c r="G1024" s="5">
        <v>183241290</v>
      </c>
      <c r="H1024" s="5">
        <v>214322695</v>
      </c>
    </row>
    <row r="1025" spans="1:8" x14ac:dyDescent="0.25">
      <c r="A1025" t="s">
        <v>267</v>
      </c>
      <c r="B1025">
        <v>2021</v>
      </c>
      <c r="C1025" t="s">
        <v>172</v>
      </c>
      <c r="D1025" t="s">
        <v>37</v>
      </c>
      <c r="E1025" t="s">
        <v>416</v>
      </c>
      <c r="F1025" t="s">
        <v>182</v>
      </c>
      <c r="G1025" s="5">
        <v>116892206</v>
      </c>
      <c r="H1025" s="5">
        <v>192254106</v>
      </c>
    </row>
    <row r="1026" spans="1:8" x14ac:dyDescent="0.25">
      <c r="A1026" t="s">
        <v>267</v>
      </c>
      <c r="B1026">
        <v>2021</v>
      </c>
      <c r="C1026" t="s">
        <v>172</v>
      </c>
      <c r="D1026" t="s">
        <v>37</v>
      </c>
      <c r="E1026" t="s">
        <v>418</v>
      </c>
      <c r="F1026" t="s">
        <v>188</v>
      </c>
      <c r="G1026" s="5">
        <v>64560657</v>
      </c>
      <c r="H1026" s="5">
        <v>67769478</v>
      </c>
    </row>
    <row r="1027" spans="1:8" x14ac:dyDescent="0.25">
      <c r="A1027" t="s">
        <v>267</v>
      </c>
      <c r="B1027">
        <v>2021</v>
      </c>
      <c r="C1027" t="s">
        <v>172</v>
      </c>
      <c r="D1027" t="s">
        <v>37</v>
      </c>
      <c r="E1027" t="s">
        <v>419</v>
      </c>
      <c r="F1027" t="s">
        <v>196</v>
      </c>
      <c r="G1027" s="5">
        <v>22558165</v>
      </c>
      <c r="H1027" s="5">
        <v>23593914</v>
      </c>
    </row>
    <row r="1028" spans="1:8" x14ac:dyDescent="0.25">
      <c r="A1028" t="s">
        <v>267</v>
      </c>
      <c r="B1028">
        <v>2021</v>
      </c>
      <c r="C1028" t="s">
        <v>172</v>
      </c>
      <c r="D1028" t="s">
        <v>37</v>
      </c>
      <c r="E1028" t="s">
        <v>420</v>
      </c>
      <c r="F1028" t="s">
        <v>200</v>
      </c>
      <c r="G1028" s="5">
        <v>22191604</v>
      </c>
      <c r="H1028" s="5">
        <v>22191604</v>
      </c>
    </row>
    <row r="1029" spans="1:8" x14ac:dyDescent="0.25">
      <c r="A1029" t="s">
        <v>267</v>
      </c>
      <c r="B1029">
        <v>2021</v>
      </c>
      <c r="C1029" t="s">
        <v>172</v>
      </c>
      <c r="D1029" t="s">
        <v>37</v>
      </c>
      <c r="E1029" t="s">
        <v>421</v>
      </c>
      <c r="F1029" t="s">
        <v>202</v>
      </c>
      <c r="G1029" s="5">
        <v>17556983</v>
      </c>
      <c r="H1029" s="5">
        <v>17556983</v>
      </c>
    </row>
    <row r="1030" spans="1:8" x14ac:dyDescent="0.25">
      <c r="A1030" t="s">
        <v>267</v>
      </c>
      <c r="B1030">
        <v>2021</v>
      </c>
      <c r="C1030" t="s">
        <v>172</v>
      </c>
      <c r="D1030" t="s">
        <v>37</v>
      </c>
      <c r="E1030" t="s">
        <v>424</v>
      </c>
      <c r="F1030" t="s">
        <v>208</v>
      </c>
      <c r="G1030" s="5">
        <v>5573429</v>
      </c>
      <c r="H1030" s="5">
        <v>5573429</v>
      </c>
    </row>
    <row r="1031" spans="1:8" x14ac:dyDescent="0.25">
      <c r="A1031" t="s">
        <v>267</v>
      </c>
      <c r="B1031">
        <v>2021</v>
      </c>
      <c r="C1031" t="s">
        <v>172</v>
      </c>
      <c r="D1031" t="s">
        <v>37</v>
      </c>
      <c r="E1031" t="s">
        <v>423</v>
      </c>
      <c r="F1031" t="s">
        <v>206</v>
      </c>
      <c r="G1031" s="5">
        <v>5363480</v>
      </c>
      <c r="H1031" s="5">
        <v>5365377</v>
      </c>
    </row>
    <row r="1032" spans="1:8" x14ac:dyDescent="0.25">
      <c r="A1032" t="s">
        <v>267</v>
      </c>
      <c r="B1032">
        <v>2021</v>
      </c>
      <c r="C1032" t="s">
        <v>172</v>
      </c>
      <c r="D1032" t="s">
        <v>37</v>
      </c>
      <c r="E1032" t="s">
        <v>425</v>
      </c>
      <c r="F1032" t="s">
        <v>210</v>
      </c>
      <c r="G1032" s="5">
        <v>4913335</v>
      </c>
      <c r="H1032" s="5">
        <v>4913335</v>
      </c>
    </row>
    <row r="1033" spans="1:8" x14ac:dyDescent="0.25">
      <c r="A1033" t="s">
        <v>267</v>
      </c>
      <c r="B1033">
        <v>2021</v>
      </c>
      <c r="C1033" t="s">
        <v>172</v>
      </c>
      <c r="D1033" t="s">
        <v>37</v>
      </c>
      <c r="E1033" t="s">
        <v>426</v>
      </c>
      <c r="F1033" t="s">
        <v>211</v>
      </c>
      <c r="G1033" s="5">
        <v>4024742</v>
      </c>
      <c r="H1033" s="5">
        <v>4033139</v>
      </c>
    </row>
    <row r="1034" spans="1:8" x14ac:dyDescent="0.25">
      <c r="A1034" t="s">
        <v>267</v>
      </c>
      <c r="B1034">
        <v>2021</v>
      </c>
      <c r="C1034" t="s">
        <v>172</v>
      </c>
      <c r="D1034" t="s">
        <v>37</v>
      </c>
      <c r="E1034" t="s">
        <v>422</v>
      </c>
      <c r="F1034" t="s">
        <v>205</v>
      </c>
      <c r="G1034" s="5">
        <v>3058996</v>
      </c>
      <c r="H1034" s="5">
        <v>3086228</v>
      </c>
    </row>
    <row r="1035" spans="1:8" x14ac:dyDescent="0.25">
      <c r="A1035" t="s">
        <v>267</v>
      </c>
      <c r="B1035">
        <v>2021</v>
      </c>
      <c r="C1035" t="s">
        <v>172</v>
      </c>
      <c r="D1035" t="s">
        <v>37</v>
      </c>
      <c r="E1035" t="s">
        <v>427</v>
      </c>
      <c r="F1035" t="s">
        <v>212</v>
      </c>
      <c r="G1035" s="5">
        <v>2109141</v>
      </c>
      <c r="H1035" s="5">
        <v>2109141</v>
      </c>
    </row>
    <row r="1036" spans="1:8" x14ac:dyDescent="0.25">
      <c r="A1036" t="s">
        <v>267</v>
      </c>
      <c r="B1036">
        <v>2021</v>
      </c>
      <c r="C1036" t="s">
        <v>172</v>
      </c>
      <c r="D1036" t="s">
        <v>37</v>
      </c>
      <c r="E1036" t="s">
        <v>428</v>
      </c>
      <c r="F1036" t="s">
        <v>213</v>
      </c>
      <c r="G1036" s="5">
        <v>599662</v>
      </c>
      <c r="H1036" s="5">
        <v>599662</v>
      </c>
    </row>
    <row r="1037" spans="1:8" x14ac:dyDescent="0.25">
      <c r="A1037" t="s">
        <v>267</v>
      </c>
      <c r="B1037">
        <v>2021</v>
      </c>
      <c r="C1037" t="s">
        <v>172</v>
      </c>
      <c r="D1037" t="s">
        <v>37</v>
      </c>
      <c r="E1037" t="s">
        <v>431</v>
      </c>
      <c r="F1037" t="s">
        <v>217</v>
      </c>
      <c r="G1037" s="5">
        <v>169473</v>
      </c>
      <c r="H1037" s="5">
        <v>169473</v>
      </c>
    </row>
    <row r="1038" spans="1:8" x14ac:dyDescent="0.25">
      <c r="A1038" t="s">
        <v>267</v>
      </c>
      <c r="B1038">
        <v>2021</v>
      </c>
      <c r="C1038" t="s">
        <v>172</v>
      </c>
      <c r="D1038" t="s">
        <v>37</v>
      </c>
      <c r="E1038" t="s">
        <v>429</v>
      </c>
      <c r="F1038" t="s">
        <v>214</v>
      </c>
      <c r="G1038" s="5">
        <v>149012</v>
      </c>
      <c r="H1038" s="5">
        <v>171117</v>
      </c>
    </row>
    <row r="1039" spans="1:8" x14ac:dyDescent="0.25">
      <c r="A1039" t="s">
        <v>267</v>
      </c>
      <c r="B1039">
        <v>2021</v>
      </c>
      <c r="C1039" t="s">
        <v>172</v>
      </c>
      <c r="D1039" t="s">
        <v>37</v>
      </c>
      <c r="E1039" t="s">
        <v>430</v>
      </c>
      <c r="F1039" t="s">
        <v>216</v>
      </c>
      <c r="G1039" s="5">
        <v>143380</v>
      </c>
      <c r="H1039" s="5">
        <v>180107</v>
      </c>
    </row>
    <row r="1040" spans="1:8" x14ac:dyDescent="0.25">
      <c r="A1040" t="s">
        <v>267</v>
      </c>
      <c r="B1040">
        <v>2021</v>
      </c>
      <c r="C1040" t="s">
        <v>172</v>
      </c>
      <c r="D1040" t="s">
        <v>37</v>
      </c>
      <c r="F1040" t="s">
        <v>215</v>
      </c>
      <c r="G1040" s="5">
        <v>28818</v>
      </c>
      <c r="H1040" s="5">
        <v>65359</v>
      </c>
    </row>
    <row r="1041" spans="1:8" x14ac:dyDescent="0.25">
      <c r="A1041" t="s">
        <v>267</v>
      </c>
      <c r="B1041">
        <v>2021</v>
      </c>
      <c r="C1041" t="s">
        <v>40</v>
      </c>
      <c r="D1041" t="s">
        <v>40</v>
      </c>
      <c r="E1041" t="s">
        <v>432</v>
      </c>
      <c r="F1041" t="s">
        <v>218</v>
      </c>
      <c r="G1041" s="5">
        <v>118919498</v>
      </c>
      <c r="H1041" s="5">
        <v>120908527</v>
      </c>
    </row>
    <row r="1042" spans="1:8" x14ac:dyDescent="0.25">
      <c r="A1042" t="s">
        <v>267</v>
      </c>
      <c r="B1042">
        <v>2021</v>
      </c>
      <c r="C1042" t="s">
        <v>40</v>
      </c>
      <c r="D1042" t="s">
        <v>40</v>
      </c>
      <c r="E1042" t="s">
        <v>433</v>
      </c>
      <c r="F1042" t="s">
        <v>219</v>
      </c>
      <c r="G1042" s="5">
        <v>10563626</v>
      </c>
      <c r="H1042" s="5">
        <v>10600523</v>
      </c>
    </row>
    <row r="1043" spans="1:8" x14ac:dyDescent="0.25">
      <c r="A1043" t="s">
        <v>267</v>
      </c>
      <c r="B1043">
        <v>2021</v>
      </c>
      <c r="C1043" t="s">
        <v>40</v>
      </c>
      <c r="D1043" t="s">
        <v>40</v>
      </c>
      <c r="E1043" t="s">
        <v>436</v>
      </c>
      <c r="F1043" t="s">
        <v>222</v>
      </c>
      <c r="G1043" s="5">
        <v>610554</v>
      </c>
      <c r="H1043" s="5">
        <v>610554</v>
      </c>
    </row>
    <row r="1044" spans="1:8" x14ac:dyDescent="0.25">
      <c r="A1044" t="s">
        <v>267</v>
      </c>
      <c r="B1044">
        <v>2021</v>
      </c>
      <c r="C1044" t="s">
        <v>40</v>
      </c>
      <c r="D1044" t="s">
        <v>40</v>
      </c>
      <c r="F1044" t="s">
        <v>225</v>
      </c>
      <c r="G1044" s="5">
        <v>230846</v>
      </c>
      <c r="H1044" s="5">
        <v>230846</v>
      </c>
    </row>
    <row r="1045" spans="1:8" x14ac:dyDescent="0.25">
      <c r="A1045" t="s">
        <v>267</v>
      </c>
      <c r="B1045">
        <v>2021</v>
      </c>
      <c r="C1045" t="s">
        <v>40</v>
      </c>
      <c r="D1045" t="s">
        <v>40</v>
      </c>
      <c r="E1045" t="s">
        <v>438</v>
      </c>
      <c r="F1045" t="s">
        <v>224</v>
      </c>
      <c r="G1045" s="5">
        <v>114085</v>
      </c>
      <c r="H1045" s="5">
        <v>114085</v>
      </c>
    </row>
    <row r="1046" spans="1:8" x14ac:dyDescent="0.25">
      <c r="A1046" t="s">
        <v>267</v>
      </c>
      <c r="B1046">
        <v>2022</v>
      </c>
      <c r="C1046" t="s">
        <v>39</v>
      </c>
      <c r="D1046" t="s">
        <v>39</v>
      </c>
      <c r="E1046" t="s">
        <v>269</v>
      </c>
      <c r="F1046" t="s">
        <v>48</v>
      </c>
      <c r="G1046" s="5">
        <v>42062120</v>
      </c>
      <c r="H1046" s="5">
        <v>42062120</v>
      </c>
    </row>
    <row r="1047" spans="1:8" x14ac:dyDescent="0.25">
      <c r="A1047" t="s">
        <v>267</v>
      </c>
      <c r="B1047">
        <v>2022</v>
      </c>
      <c r="C1047" t="s">
        <v>39</v>
      </c>
      <c r="D1047" t="s">
        <v>39</v>
      </c>
      <c r="E1047" t="s">
        <v>268</v>
      </c>
      <c r="F1047" t="s">
        <v>47</v>
      </c>
      <c r="G1047" s="5">
        <v>35167111</v>
      </c>
      <c r="H1047" s="5">
        <v>35332955</v>
      </c>
    </row>
    <row r="1048" spans="1:8" x14ac:dyDescent="0.25">
      <c r="A1048" t="s">
        <v>267</v>
      </c>
      <c r="B1048">
        <v>2022</v>
      </c>
      <c r="C1048" t="s">
        <v>39</v>
      </c>
      <c r="D1048" t="s">
        <v>39</v>
      </c>
      <c r="E1048" t="s">
        <v>271</v>
      </c>
      <c r="F1048" t="s">
        <v>50</v>
      </c>
      <c r="G1048" s="5">
        <v>9523749</v>
      </c>
      <c r="H1048" s="5">
        <v>31348366</v>
      </c>
    </row>
    <row r="1049" spans="1:8" x14ac:dyDescent="0.25">
      <c r="A1049" t="s">
        <v>267</v>
      </c>
      <c r="B1049">
        <v>2022</v>
      </c>
      <c r="C1049" t="s">
        <v>39</v>
      </c>
      <c r="D1049" t="s">
        <v>39</v>
      </c>
      <c r="E1049" t="s">
        <v>270</v>
      </c>
      <c r="F1049" t="s">
        <v>49</v>
      </c>
      <c r="G1049" s="5">
        <v>8550307</v>
      </c>
      <c r="H1049" s="5">
        <v>8550307</v>
      </c>
    </row>
    <row r="1050" spans="1:8" x14ac:dyDescent="0.25">
      <c r="A1050" t="s">
        <v>267</v>
      </c>
      <c r="B1050">
        <v>2022</v>
      </c>
      <c r="C1050" t="s">
        <v>39</v>
      </c>
      <c r="D1050" t="s">
        <v>39</v>
      </c>
      <c r="E1050" t="s">
        <v>275</v>
      </c>
      <c r="F1050" t="s">
        <v>54</v>
      </c>
      <c r="G1050" s="5">
        <v>8514474</v>
      </c>
      <c r="H1050" s="5">
        <v>8514474</v>
      </c>
    </row>
    <row r="1051" spans="1:8" x14ac:dyDescent="0.25">
      <c r="A1051" t="s">
        <v>267</v>
      </c>
      <c r="B1051">
        <v>2022</v>
      </c>
      <c r="C1051" t="s">
        <v>39</v>
      </c>
      <c r="D1051" t="s">
        <v>39</v>
      </c>
      <c r="E1051" t="s">
        <v>273</v>
      </c>
      <c r="F1051" t="s">
        <v>52</v>
      </c>
      <c r="G1051" s="5">
        <v>7701656</v>
      </c>
      <c r="H1051" s="5">
        <v>7701656</v>
      </c>
    </row>
    <row r="1052" spans="1:8" x14ac:dyDescent="0.25">
      <c r="A1052" t="s">
        <v>267</v>
      </c>
      <c r="B1052">
        <v>2022</v>
      </c>
      <c r="C1052" t="s">
        <v>39</v>
      </c>
      <c r="D1052" t="s">
        <v>39</v>
      </c>
      <c r="E1052" t="s">
        <v>278</v>
      </c>
      <c r="F1052" t="s">
        <v>57</v>
      </c>
      <c r="G1052" s="5">
        <v>5228437</v>
      </c>
      <c r="H1052" s="5">
        <v>5228437</v>
      </c>
    </row>
    <row r="1053" spans="1:8" x14ac:dyDescent="0.25">
      <c r="A1053" t="s">
        <v>267</v>
      </c>
      <c r="B1053">
        <v>2022</v>
      </c>
      <c r="C1053" t="s">
        <v>39</v>
      </c>
      <c r="D1053" t="s">
        <v>39</v>
      </c>
      <c r="E1053" t="s">
        <v>277</v>
      </c>
      <c r="F1053" t="s">
        <v>56</v>
      </c>
      <c r="G1053" s="5">
        <v>5150596</v>
      </c>
      <c r="H1053" s="5">
        <v>5150596</v>
      </c>
    </row>
    <row r="1054" spans="1:8" x14ac:dyDescent="0.25">
      <c r="A1054" t="s">
        <v>267</v>
      </c>
      <c r="B1054">
        <v>2022</v>
      </c>
      <c r="C1054" t="s">
        <v>39</v>
      </c>
      <c r="D1054" t="s">
        <v>39</v>
      </c>
      <c r="E1054" t="s">
        <v>274</v>
      </c>
      <c r="F1054" t="s">
        <v>53</v>
      </c>
      <c r="G1054" s="5">
        <v>4629259</v>
      </c>
      <c r="H1054" s="5">
        <v>4629259</v>
      </c>
    </row>
    <row r="1055" spans="1:8" x14ac:dyDescent="0.25">
      <c r="A1055" t="s">
        <v>267</v>
      </c>
      <c r="B1055">
        <v>2022</v>
      </c>
      <c r="C1055" t="s">
        <v>39</v>
      </c>
      <c r="D1055" t="s">
        <v>39</v>
      </c>
      <c r="E1055" t="s">
        <v>276</v>
      </c>
      <c r="F1055" t="s">
        <v>55</v>
      </c>
      <c r="G1055" s="5">
        <v>2658529</v>
      </c>
      <c r="H1055" s="5">
        <v>2658529</v>
      </c>
    </row>
    <row r="1056" spans="1:8" x14ac:dyDescent="0.25">
      <c r="A1056" t="s">
        <v>267</v>
      </c>
      <c r="B1056">
        <v>2022</v>
      </c>
      <c r="C1056" t="s">
        <v>39</v>
      </c>
      <c r="D1056" t="s">
        <v>39</v>
      </c>
      <c r="E1056" t="s">
        <v>290</v>
      </c>
      <c r="F1056" t="s">
        <v>70</v>
      </c>
      <c r="G1056" s="5">
        <v>2573125</v>
      </c>
      <c r="H1056" s="5">
        <v>2573125</v>
      </c>
    </row>
    <row r="1057" spans="1:8" x14ac:dyDescent="0.25">
      <c r="A1057" t="s">
        <v>267</v>
      </c>
      <c r="B1057">
        <v>2022</v>
      </c>
      <c r="C1057" t="s">
        <v>39</v>
      </c>
      <c r="D1057" t="s">
        <v>39</v>
      </c>
      <c r="E1057" t="s">
        <v>287</v>
      </c>
      <c r="F1057" t="s">
        <v>67</v>
      </c>
      <c r="G1057" s="5">
        <v>2197784</v>
      </c>
      <c r="H1057" s="5">
        <v>2197784</v>
      </c>
    </row>
    <row r="1058" spans="1:8" x14ac:dyDescent="0.25">
      <c r="A1058" t="s">
        <v>267</v>
      </c>
      <c r="B1058">
        <v>2022</v>
      </c>
      <c r="C1058" t="s">
        <v>39</v>
      </c>
      <c r="D1058" t="s">
        <v>39</v>
      </c>
      <c r="E1058" t="s">
        <v>288</v>
      </c>
      <c r="F1058" t="s">
        <v>68</v>
      </c>
      <c r="G1058" s="5">
        <v>2076637</v>
      </c>
      <c r="H1058" s="5">
        <v>2076637</v>
      </c>
    </row>
    <row r="1059" spans="1:8" x14ac:dyDescent="0.25">
      <c r="A1059" t="s">
        <v>267</v>
      </c>
      <c r="B1059">
        <v>2022</v>
      </c>
      <c r="C1059" t="s">
        <v>39</v>
      </c>
      <c r="D1059" t="s">
        <v>39</v>
      </c>
      <c r="E1059" t="s">
        <v>297</v>
      </c>
      <c r="F1059" t="s">
        <v>77</v>
      </c>
      <c r="G1059" s="5">
        <v>1679946</v>
      </c>
      <c r="H1059" s="5">
        <v>1679946</v>
      </c>
    </row>
    <row r="1060" spans="1:8" x14ac:dyDescent="0.25">
      <c r="A1060" t="s">
        <v>267</v>
      </c>
      <c r="B1060">
        <v>2022</v>
      </c>
      <c r="C1060" t="s">
        <v>39</v>
      </c>
      <c r="D1060" t="s">
        <v>39</v>
      </c>
      <c r="E1060" t="s">
        <v>303</v>
      </c>
      <c r="F1060" t="s">
        <v>83</v>
      </c>
      <c r="G1060" s="5">
        <v>1583959</v>
      </c>
      <c r="H1060" s="5">
        <v>1583959</v>
      </c>
    </row>
    <row r="1061" spans="1:8" x14ac:dyDescent="0.25">
      <c r="A1061" t="s">
        <v>267</v>
      </c>
      <c r="B1061">
        <v>2022</v>
      </c>
      <c r="C1061" t="s">
        <v>39</v>
      </c>
      <c r="D1061" t="s">
        <v>39</v>
      </c>
      <c r="E1061" t="s">
        <v>296</v>
      </c>
      <c r="F1061" t="s">
        <v>76</v>
      </c>
      <c r="G1061" s="5">
        <v>1442139</v>
      </c>
      <c r="H1061" s="5">
        <v>1442139</v>
      </c>
    </row>
    <row r="1062" spans="1:8" x14ac:dyDescent="0.25">
      <c r="A1062" t="s">
        <v>267</v>
      </c>
      <c r="B1062">
        <v>2022</v>
      </c>
      <c r="C1062" t="s">
        <v>39</v>
      </c>
      <c r="D1062" t="s">
        <v>39</v>
      </c>
      <c r="E1062" t="s">
        <v>280</v>
      </c>
      <c r="F1062" t="s">
        <v>59</v>
      </c>
      <c r="G1062" s="5">
        <v>1309589</v>
      </c>
      <c r="H1062" s="5">
        <v>1313393</v>
      </c>
    </row>
    <row r="1063" spans="1:8" x14ac:dyDescent="0.25">
      <c r="A1063" t="s">
        <v>267</v>
      </c>
      <c r="B1063">
        <v>2022</v>
      </c>
      <c r="C1063" t="s">
        <v>39</v>
      </c>
      <c r="D1063" t="s">
        <v>39</v>
      </c>
      <c r="E1063" t="s">
        <v>279</v>
      </c>
      <c r="F1063" t="s">
        <v>58</v>
      </c>
      <c r="G1063" s="5">
        <v>1300587</v>
      </c>
      <c r="H1063" s="5">
        <v>1300587</v>
      </c>
    </row>
    <row r="1064" spans="1:8" x14ac:dyDescent="0.25">
      <c r="A1064" t="s">
        <v>267</v>
      </c>
      <c r="B1064">
        <v>2022</v>
      </c>
      <c r="C1064" t="s">
        <v>39</v>
      </c>
      <c r="D1064" t="s">
        <v>39</v>
      </c>
      <c r="E1064" t="s">
        <v>284</v>
      </c>
      <c r="F1064" t="s">
        <v>63</v>
      </c>
      <c r="G1064" s="5">
        <v>1299147</v>
      </c>
      <c r="H1064" s="5">
        <v>1299147</v>
      </c>
    </row>
    <row r="1065" spans="1:8" x14ac:dyDescent="0.25">
      <c r="A1065" t="s">
        <v>267</v>
      </c>
      <c r="B1065">
        <v>2022</v>
      </c>
      <c r="C1065" t="s">
        <v>39</v>
      </c>
      <c r="D1065" t="s">
        <v>39</v>
      </c>
      <c r="E1065" t="s">
        <v>300</v>
      </c>
      <c r="F1065" t="s">
        <v>80</v>
      </c>
      <c r="G1065" s="5">
        <v>1241960</v>
      </c>
      <c r="H1065" s="5">
        <v>1241960</v>
      </c>
    </row>
    <row r="1066" spans="1:8" x14ac:dyDescent="0.25">
      <c r="A1066" t="s">
        <v>267</v>
      </c>
      <c r="B1066">
        <v>2022</v>
      </c>
      <c r="C1066" t="s">
        <v>39</v>
      </c>
      <c r="D1066" t="s">
        <v>39</v>
      </c>
      <c r="E1066" t="s">
        <v>283</v>
      </c>
      <c r="F1066" t="s">
        <v>62</v>
      </c>
      <c r="G1066" s="5">
        <v>1047176</v>
      </c>
      <c r="H1066" s="5">
        <v>1047176</v>
      </c>
    </row>
    <row r="1067" spans="1:8" x14ac:dyDescent="0.25">
      <c r="A1067" t="s">
        <v>267</v>
      </c>
      <c r="B1067">
        <v>2022</v>
      </c>
      <c r="C1067" t="s">
        <v>39</v>
      </c>
      <c r="D1067" t="s">
        <v>39</v>
      </c>
      <c r="E1067" t="s">
        <v>281</v>
      </c>
      <c r="F1067" t="s">
        <v>60</v>
      </c>
      <c r="G1067" s="5">
        <v>1043266</v>
      </c>
      <c r="H1067" s="5">
        <v>1043266</v>
      </c>
    </row>
    <row r="1068" spans="1:8" x14ac:dyDescent="0.25">
      <c r="A1068" t="s">
        <v>267</v>
      </c>
      <c r="B1068">
        <v>2022</v>
      </c>
      <c r="C1068" t="s">
        <v>39</v>
      </c>
      <c r="D1068" t="s">
        <v>39</v>
      </c>
      <c r="F1068" t="s">
        <v>64</v>
      </c>
      <c r="G1068" s="5">
        <v>654620</v>
      </c>
      <c r="H1068" s="5">
        <v>654620</v>
      </c>
    </row>
    <row r="1069" spans="1:8" x14ac:dyDescent="0.25">
      <c r="A1069" t="s">
        <v>267</v>
      </c>
      <c r="B1069">
        <v>2022</v>
      </c>
      <c r="C1069" t="s">
        <v>39</v>
      </c>
      <c r="D1069" t="s">
        <v>39</v>
      </c>
      <c r="E1069" t="s">
        <v>294</v>
      </c>
      <c r="F1069" t="s">
        <v>74</v>
      </c>
      <c r="G1069" s="5">
        <v>516369</v>
      </c>
      <c r="H1069" s="5">
        <v>516369</v>
      </c>
    </row>
    <row r="1070" spans="1:8" x14ac:dyDescent="0.25">
      <c r="A1070" t="s">
        <v>267</v>
      </c>
      <c r="B1070">
        <v>2022</v>
      </c>
      <c r="C1070" t="s">
        <v>39</v>
      </c>
      <c r="D1070" t="s">
        <v>39</v>
      </c>
      <c r="E1070" t="s">
        <v>293</v>
      </c>
      <c r="F1070" t="s">
        <v>73</v>
      </c>
      <c r="G1070" s="5">
        <v>510988</v>
      </c>
      <c r="H1070" s="5">
        <v>510988</v>
      </c>
    </row>
    <row r="1071" spans="1:8" x14ac:dyDescent="0.25">
      <c r="A1071" t="s">
        <v>267</v>
      </c>
      <c r="B1071">
        <v>2022</v>
      </c>
      <c r="C1071" t="s">
        <v>39</v>
      </c>
      <c r="D1071" t="s">
        <v>39</v>
      </c>
      <c r="E1071" t="s">
        <v>282</v>
      </c>
      <c r="F1071" t="s">
        <v>61</v>
      </c>
      <c r="G1071" s="5">
        <v>501003</v>
      </c>
      <c r="H1071" s="5">
        <v>501003</v>
      </c>
    </row>
    <row r="1072" spans="1:8" x14ac:dyDescent="0.25">
      <c r="A1072" t="s">
        <v>267</v>
      </c>
      <c r="B1072">
        <v>2022</v>
      </c>
      <c r="C1072" t="s">
        <v>39</v>
      </c>
      <c r="D1072" t="s">
        <v>39</v>
      </c>
      <c r="E1072" t="s">
        <v>286</v>
      </c>
      <c r="F1072" t="s">
        <v>66</v>
      </c>
      <c r="G1072" s="5">
        <v>396211</v>
      </c>
      <c r="H1072" s="5">
        <v>396211</v>
      </c>
    </row>
    <row r="1073" spans="1:8" x14ac:dyDescent="0.25">
      <c r="A1073" t="s">
        <v>267</v>
      </c>
      <c r="B1073">
        <v>2022</v>
      </c>
      <c r="C1073" t="s">
        <v>39</v>
      </c>
      <c r="D1073" t="s">
        <v>39</v>
      </c>
      <c r="E1073" t="s">
        <v>298</v>
      </c>
      <c r="F1073" t="s">
        <v>78</v>
      </c>
      <c r="G1073" s="5">
        <v>322809</v>
      </c>
      <c r="H1073" s="5">
        <v>322809</v>
      </c>
    </row>
    <row r="1074" spans="1:8" x14ac:dyDescent="0.25">
      <c r="A1074" t="s">
        <v>267</v>
      </c>
      <c r="B1074">
        <v>2022</v>
      </c>
      <c r="C1074" t="s">
        <v>39</v>
      </c>
      <c r="D1074" t="s">
        <v>39</v>
      </c>
      <c r="E1074" t="s">
        <v>295</v>
      </c>
      <c r="F1074" t="s">
        <v>75</v>
      </c>
      <c r="G1074" s="5">
        <v>261918</v>
      </c>
      <c r="H1074" s="5">
        <v>261918</v>
      </c>
    </row>
    <row r="1075" spans="1:8" x14ac:dyDescent="0.25">
      <c r="A1075" t="s">
        <v>267</v>
      </c>
      <c r="B1075">
        <v>2022</v>
      </c>
      <c r="C1075" t="s">
        <v>39</v>
      </c>
      <c r="D1075" t="s">
        <v>39</v>
      </c>
      <c r="E1075" t="s">
        <v>292</v>
      </c>
      <c r="F1075" t="s">
        <v>72</v>
      </c>
      <c r="G1075" s="5">
        <v>176879</v>
      </c>
      <c r="H1075" s="5">
        <v>176879</v>
      </c>
    </row>
    <row r="1076" spans="1:8" x14ac:dyDescent="0.25">
      <c r="A1076" t="s">
        <v>267</v>
      </c>
      <c r="B1076">
        <v>2022</v>
      </c>
      <c r="C1076" t="s">
        <v>39</v>
      </c>
      <c r="D1076" t="s">
        <v>39</v>
      </c>
      <c r="E1076" t="s">
        <v>285</v>
      </c>
      <c r="F1076" t="s">
        <v>65</v>
      </c>
      <c r="G1076" s="5">
        <v>165542</v>
      </c>
      <c r="H1076" s="5">
        <v>172542</v>
      </c>
    </row>
    <row r="1077" spans="1:8" x14ac:dyDescent="0.25">
      <c r="A1077" t="s">
        <v>267</v>
      </c>
      <c r="B1077">
        <v>2022</v>
      </c>
      <c r="C1077" t="s">
        <v>39</v>
      </c>
      <c r="D1077" t="s">
        <v>39</v>
      </c>
      <c r="E1077" t="s">
        <v>272</v>
      </c>
      <c r="F1077" t="s">
        <v>51</v>
      </c>
      <c r="G1077" s="5">
        <v>125839</v>
      </c>
      <c r="H1077" s="5">
        <v>125839</v>
      </c>
    </row>
    <row r="1078" spans="1:8" x14ac:dyDescent="0.25">
      <c r="A1078" t="s">
        <v>267</v>
      </c>
      <c r="B1078">
        <v>2022</v>
      </c>
      <c r="C1078" t="s">
        <v>39</v>
      </c>
      <c r="D1078" t="s">
        <v>39</v>
      </c>
      <c r="E1078" t="s">
        <v>307</v>
      </c>
      <c r="F1078" t="s">
        <v>87</v>
      </c>
      <c r="G1078" s="5">
        <v>109638</v>
      </c>
      <c r="H1078" s="5">
        <v>109638</v>
      </c>
    </row>
    <row r="1079" spans="1:8" x14ac:dyDescent="0.25">
      <c r="A1079" t="s">
        <v>267</v>
      </c>
      <c r="B1079">
        <v>2022</v>
      </c>
      <c r="C1079" t="s">
        <v>39</v>
      </c>
      <c r="D1079" t="s">
        <v>39</v>
      </c>
      <c r="E1079" t="s">
        <v>291</v>
      </c>
      <c r="F1079" t="s">
        <v>71</v>
      </c>
      <c r="G1079" s="5">
        <v>70675</v>
      </c>
      <c r="H1079" s="5">
        <v>70675</v>
      </c>
    </row>
    <row r="1080" spans="1:8" x14ac:dyDescent="0.25">
      <c r="A1080" t="s">
        <v>267</v>
      </c>
      <c r="B1080">
        <v>2022</v>
      </c>
      <c r="C1080" t="s">
        <v>39</v>
      </c>
      <c r="D1080" t="s">
        <v>39</v>
      </c>
      <c r="E1080" t="s">
        <v>311</v>
      </c>
      <c r="F1080" t="s">
        <v>91</v>
      </c>
      <c r="G1080" s="5">
        <v>47898</v>
      </c>
      <c r="H1080" s="5">
        <v>47898</v>
      </c>
    </row>
    <row r="1081" spans="1:8" x14ac:dyDescent="0.25">
      <c r="A1081" t="s">
        <v>267</v>
      </c>
      <c r="B1081">
        <v>2022</v>
      </c>
      <c r="C1081" t="s">
        <v>39</v>
      </c>
      <c r="D1081" t="s">
        <v>39</v>
      </c>
      <c r="E1081" t="s">
        <v>310</v>
      </c>
      <c r="F1081" t="s">
        <v>90</v>
      </c>
      <c r="G1081" s="5">
        <v>33502</v>
      </c>
      <c r="H1081" s="5">
        <v>33502</v>
      </c>
    </row>
    <row r="1082" spans="1:8" x14ac:dyDescent="0.25">
      <c r="A1082" t="s">
        <v>267</v>
      </c>
      <c r="B1082">
        <v>2022</v>
      </c>
      <c r="C1082" t="s">
        <v>39</v>
      </c>
      <c r="D1082" t="s">
        <v>39</v>
      </c>
      <c r="E1082" t="s">
        <v>440</v>
      </c>
      <c r="F1082" t="s">
        <v>227</v>
      </c>
      <c r="G1082" s="5">
        <v>8095</v>
      </c>
      <c r="H1082" s="5">
        <v>8095</v>
      </c>
    </row>
    <row r="1083" spans="1:8" x14ac:dyDescent="0.25">
      <c r="A1083" t="s">
        <v>267</v>
      </c>
      <c r="B1083">
        <v>2022</v>
      </c>
      <c r="C1083" t="s">
        <v>92</v>
      </c>
      <c r="D1083" t="s">
        <v>36</v>
      </c>
      <c r="E1083" t="s">
        <v>36</v>
      </c>
      <c r="F1083" t="s">
        <v>93</v>
      </c>
      <c r="G1083" s="5">
        <v>2220051228</v>
      </c>
      <c r="H1083" s="5">
        <v>2927220085</v>
      </c>
    </row>
    <row r="1084" spans="1:8" x14ac:dyDescent="0.25">
      <c r="A1084" t="s">
        <v>267</v>
      </c>
      <c r="B1084">
        <v>2022</v>
      </c>
      <c r="C1084" t="s">
        <v>92</v>
      </c>
      <c r="D1084" t="s">
        <v>38</v>
      </c>
      <c r="E1084" t="s">
        <v>313</v>
      </c>
      <c r="F1084" t="s">
        <v>95</v>
      </c>
      <c r="G1084" s="5">
        <v>153044225</v>
      </c>
      <c r="H1084" s="5">
        <v>189549370</v>
      </c>
    </row>
    <row r="1085" spans="1:8" x14ac:dyDescent="0.25">
      <c r="A1085" t="s">
        <v>267</v>
      </c>
      <c r="B1085">
        <v>2022</v>
      </c>
      <c r="C1085" t="s">
        <v>92</v>
      </c>
      <c r="D1085" t="s">
        <v>38</v>
      </c>
      <c r="E1085" t="s">
        <v>314</v>
      </c>
      <c r="F1085" t="s">
        <v>96</v>
      </c>
      <c r="G1085" s="5">
        <v>108784935</v>
      </c>
      <c r="H1085" s="5">
        <v>108938028</v>
      </c>
    </row>
    <row r="1086" spans="1:8" x14ac:dyDescent="0.25">
      <c r="A1086" t="s">
        <v>267</v>
      </c>
      <c r="B1086">
        <v>2022</v>
      </c>
      <c r="C1086" t="s">
        <v>92</v>
      </c>
      <c r="D1086" t="s">
        <v>38</v>
      </c>
      <c r="E1086" t="s">
        <v>312</v>
      </c>
      <c r="F1086" t="s">
        <v>94</v>
      </c>
      <c r="G1086" s="5">
        <v>70883391</v>
      </c>
      <c r="H1086" s="5">
        <v>71150429</v>
      </c>
    </row>
    <row r="1087" spans="1:8" x14ac:dyDescent="0.25">
      <c r="A1087" t="s">
        <v>267</v>
      </c>
      <c r="B1087">
        <v>2022</v>
      </c>
      <c r="C1087" t="s">
        <v>92</v>
      </c>
      <c r="D1087" t="s">
        <v>38</v>
      </c>
      <c r="E1087" t="s">
        <v>317</v>
      </c>
      <c r="F1087" t="s">
        <v>99</v>
      </c>
      <c r="G1087" s="5">
        <v>45787627</v>
      </c>
      <c r="H1087" s="5">
        <v>45787627</v>
      </c>
    </row>
    <row r="1088" spans="1:8" x14ac:dyDescent="0.25">
      <c r="A1088" t="s">
        <v>267</v>
      </c>
      <c r="B1088">
        <v>2022</v>
      </c>
      <c r="C1088" t="s">
        <v>92</v>
      </c>
      <c r="D1088" t="s">
        <v>38</v>
      </c>
      <c r="E1088" t="s">
        <v>316</v>
      </c>
      <c r="F1088" t="s">
        <v>98</v>
      </c>
      <c r="G1088" s="5">
        <v>22226053</v>
      </c>
      <c r="H1088" s="5">
        <v>22405186</v>
      </c>
    </row>
    <row r="1089" spans="1:8" x14ac:dyDescent="0.25">
      <c r="A1089" t="s">
        <v>267</v>
      </c>
      <c r="B1089">
        <v>2022</v>
      </c>
      <c r="C1089" t="s">
        <v>92</v>
      </c>
      <c r="D1089" t="s">
        <v>38</v>
      </c>
      <c r="E1089" t="s">
        <v>318</v>
      </c>
      <c r="F1089" t="s">
        <v>100</v>
      </c>
      <c r="G1089" s="5">
        <v>17781856</v>
      </c>
      <c r="H1089" s="5">
        <v>18006535</v>
      </c>
    </row>
    <row r="1090" spans="1:8" x14ac:dyDescent="0.25">
      <c r="A1090" t="s">
        <v>267</v>
      </c>
      <c r="B1090">
        <v>2022</v>
      </c>
      <c r="C1090" t="s">
        <v>92</v>
      </c>
      <c r="D1090" t="s">
        <v>38</v>
      </c>
      <c r="E1090" t="s">
        <v>315</v>
      </c>
      <c r="F1090" t="s">
        <v>97</v>
      </c>
      <c r="G1090" s="5">
        <v>11789228</v>
      </c>
      <c r="H1090" s="5">
        <v>11803002</v>
      </c>
    </row>
    <row r="1091" spans="1:8" x14ac:dyDescent="0.25">
      <c r="A1091" t="s">
        <v>267</v>
      </c>
      <c r="B1091">
        <v>2022</v>
      </c>
      <c r="C1091" t="s">
        <v>92</v>
      </c>
      <c r="D1091" t="s">
        <v>38</v>
      </c>
      <c r="E1091" t="s">
        <v>332</v>
      </c>
      <c r="F1091" t="s">
        <v>115</v>
      </c>
      <c r="G1091" s="5">
        <v>7789577</v>
      </c>
      <c r="H1091" s="5">
        <v>7789577</v>
      </c>
    </row>
    <row r="1092" spans="1:8" x14ac:dyDescent="0.25">
      <c r="A1092" t="s">
        <v>267</v>
      </c>
      <c r="B1092">
        <v>2022</v>
      </c>
      <c r="C1092" t="s">
        <v>92</v>
      </c>
      <c r="D1092" t="s">
        <v>38</v>
      </c>
      <c r="E1092" t="s">
        <v>322</v>
      </c>
      <c r="F1092" t="s">
        <v>105</v>
      </c>
      <c r="G1092" s="5">
        <v>5273523</v>
      </c>
      <c r="H1092" s="5">
        <v>5273880</v>
      </c>
    </row>
    <row r="1093" spans="1:8" x14ac:dyDescent="0.25">
      <c r="A1093" t="s">
        <v>267</v>
      </c>
      <c r="B1093">
        <v>2022</v>
      </c>
      <c r="C1093" t="s">
        <v>92</v>
      </c>
      <c r="D1093" t="s">
        <v>38</v>
      </c>
      <c r="E1093" t="s">
        <v>319</v>
      </c>
      <c r="F1093" t="s">
        <v>101</v>
      </c>
      <c r="G1093" s="5">
        <v>4899664</v>
      </c>
      <c r="H1093" s="5">
        <v>4901007</v>
      </c>
    </row>
    <row r="1094" spans="1:8" x14ac:dyDescent="0.25">
      <c r="A1094" t="s">
        <v>267</v>
      </c>
      <c r="B1094">
        <v>2022</v>
      </c>
      <c r="C1094" t="s">
        <v>92</v>
      </c>
      <c r="D1094" t="s">
        <v>38</v>
      </c>
      <c r="E1094" t="s">
        <v>321</v>
      </c>
      <c r="F1094" t="s">
        <v>103</v>
      </c>
      <c r="G1094" s="5">
        <v>4369247</v>
      </c>
      <c r="H1094" s="5">
        <v>4369247</v>
      </c>
    </row>
    <row r="1095" spans="1:8" x14ac:dyDescent="0.25">
      <c r="A1095" t="s">
        <v>267</v>
      </c>
      <c r="B1095">
        <v>2022</v>
      </c>
      <c r="C1095" t="s">
        <v>92</v>
      </c>
      <c r="D1095" t="s">
        <v>38</v>
      </c>
      <c r="E1095" t="s">
        <v>331</v>
      </c>
      <c r="F1095" t="s">
        <v>114</v>
      </c>
      <c r="G1095" s="5">
        <v>4040847</v>
      </c>
      <c r="H1095" s="5">
        <v>4040847</v>
      </c>
    </row>
    <row r="1096" spans="1:8" x14ac:dyDescent="0.25">
      <c r="A1096" t="s">
        <v>267</v>
      </c>
      <c r="B1096">
        <v>2022</v>
      </c>
      <c r="C1096" t="s">
        <v>92</v>
      </c>
      <c r="D1096" t="s">
        <v>38</v>
      </c>
      <c r="E1096" t="s">
        <v>325</v>
      </c>
      <c r="F1096" t="s">
        <v>108</v>
      </c>
      <c r="G1096" s="5">
        <v>3035778</v>
      </c>
      <c r="H1096" s="5">
        <v>3040101</v>
      </c>
    </row>
    <row r="1097" spans="1:8" x14ac:dyDescent="0.25">
      <c r="A1097" t="s">
        <v>267</v>
      </c>
      <c r="B1097">
        <v>2022</v>
      </c>
      <c r="C1097" t="s">
        <v>92</v>
      </c>
      <c r="D1097" t="s">
        <v>38</v>
      </c>
      <c r="E1097" t="s">
        <v>323</v>
      </c>
      <c r="F1097" t="s">
        <v>106</v>
      </c>
      <c r="G1097" s="5">
        <v>3007640</v>
      </c>
      <c r="H1097" s="5">
        <v>3007640</v>
      </c>
    </row>
    <row r="1098" spans="1:8" x14ac:dyDescent="0.25">
      <c r="A1098" t="s">
        <v>267</v>
      </c>
      <c r="B1098">
        <v>2022</v>
      </c>
      <c r="C1098" t="s">
        <v>92</v>
      </c>
      <c r="D1098" t="s">
        <v>38</v>
      </c>
      <c r="F1098" t="s">
        <v>104</v>
      </c>
      <c r="G1098" s="5">
        <v>2790494</v>
      </c>
      <c r="H1098" s="5">
        <v>2797401</v>
      </c>
    </row>
    <row r="1099" spans="1:8" x14ac:dyDescent="0.25">
      <c r="A1099" t="s">
        <v>267</v>
      </c>
      <c r="B1099">
        <v>2022</v>
      </c>
      <c r="C1099" t="s">
        <v>92</v>
      </c>
      <c r="D1099" t="s">
        <v>38</v>
      </c>
      <c r="E1099" t="s">
        <v>324</v>
      </c>
      <c r="F1099" t="s">
        <v>107</v>
      </c>
      <c r="G1099" s="5">
        <v>1944229</v>
      </c>
      <c r="H1099" s="5">
        <v>2031532</v>
      </c>
    </row>
    <row r="1100" spans="1:8" x14ac:dyDescent="0.25">
      <c r="A1100" t="s">
        <v>267</v>
      </c>
      <c r="B1100">
        <v>2022</v>
      </c>
      <c r="C1100" t="s">
        <v>92</v>
      </c>
      <c r="D1100" t="s">
        <v>38</v>
      </c>
      <c r="E1100" t="s">
        <v>327</v>
      </c>
      <c r="F1100" t="s">
        <v>110</v>
      </c>
      <c r="G1100" s="5">
        <v>1602532</v>
      </c>
      <c r="H1100" s="5">
        <v>1602532</v>
      </c>
    </row>
    <row r="1101" spans="1:8" x14ac:dyDescent="0.25">
      <c r="A1101" t="s">
        <v>267</v>
      </c>
      <c r="B1101">
        <v>2022</v>
      </c>
      <c r="C1101" t="s">
        <v>92</v>
      </c>
      <c r="D1101" t="s">
        <v>38</v>
      </c>
      <c r="E1101" t="s">
        <v>328</v>
      </c>
      <c r="F1101" t="s">
        <v>111</v>
      </c>
      <c r="G1101" s="5">
        <v>1201967</v>
      </c>
      <c r="H1101" s="5">
        <v>1539324</v>
      </c>
    </row>
    <row r="1102" spans="1:8" x14ac:dyDescent="0.25">
      <c r="A1102" t="s">
        <v>267</v>
      </c>
      <c r="B1102">
        <v>2022</v>
      </c>
      <c r="C1102" t="s">
        <v>92</v>
      </c>
      <c r="D1102" t="s">
        <v>38</v>
      </c>
      <c r="E1102" t="s">
        <v>329</v>
      </c>
      <c r="F1102" t="s">
        <v>112</v>
      </c>
      <c r="G1102" s="5">
        <v>1189339</v>
      </c>
      <c r="H1102" s="5">
        <v>1189339</v>
      </c>
    </row>
    <row r="1103" spans="1:8" x14ac:dyDescent="0.25">
      <c r="A1103" t="s">
        <v>267</v>
      </c>
      <c r="B1103">
        <v>2022</v>
      </c>
      <c r="C1103" t="s">
        <v>92</v>
      </c>
      <c r="D1103" t="s">
        <v>38</v>
      </c>
      <c r="E1103" t="s">
        <v>333</v>
      </c>
      <c r="F1103" t="s">
        <v>116</v>
      </c>
      <c r="G1103" s="5">
        <v>869885</v>
      </c>
      <c r="H1103" s="5">
        <v>869885</v>
      </c>
    </row>
    <row r="1104" spans="1:8" x14ac:dyDescent="0.25">
      <c r="A1104" t="s">
        <v>267</v>
      </c>
      <c r="B1104">
        <v>2022</v>
      </c>
      <c r="C1104" t="s">
        <v>92</v>
      </c>
      <c r="D1104" t="s">
        <v>38</v>
      </c>
      <c r="E1104" t="s">
        <v>326</v>
      </c>
      <c r="F1104" t="s">
        <v>109</v>
      </c>
      <c r="G1104" s="5">
        <v>635842</v>
      </c>
      <c r="H1104" s="5">
        <v>635842</v>
      </c>
    </row>
    <row r="1105" spans="1:8" x14ac:dyDescent="0.25">
      <c r="A1105" t="s">
        <v>267</v>
      </c>
      <c r="B1105">
        <v>2022</v>
      </c>
      <c r="C1105" t="s">
        <v>92</v>
      </c>
      <c r="D1105" t="s">
        <v>38</v>
      </c>
      <c r="E1105" t="s">
        <v>330</v>
      </c>
      <c r="F1105" t="s">
        <v>113</v>
      </c>
      <c r="G1105" s="5">
        <v>613386</v>
      </c>
      <c r="H1105" s="5">
        <v>613386</v>
      </c>
    </row>
    <row r="1106" spans="1:8" x14ac:dyDescent="0.25">
      <c r="A1106" t="s">
        <v>267</v>
      </c>
      <c r="B1106">
        <v>2022</v>
      </c>
      <c r="C1106" t="s">
        <v>92</v>
      </c>
      <c r="D1106" t="s">
        <v>38</v>
      </c>
      <c r="E1106" t="s">
        <v>337</v>
      </c>
      <c r="F1106" t="s">
        <v>120</v>
      </c>
      <c r="G1106" s="5">
        <v>574476</v>
      </c>
      <c r="H1106" s="5">
        <v>574476</v>
      </c>
    </row>
    <row r="1107" spans="1:8" x14ac:dyDescent="0.25">
      <c r="A1107" t="s">
        <v>267</v>
      </c>
      <c r="B1107">
        <v>2022</v>
      </c>
      <c r="C1107" t="s">
        <v>92</v>
      </c>
      <c r="D1107" t="s">
        <v>38</v>
      </c>
      <c r="E1107" t="s">
        <v>336</v>
      </c>
      <c r="F1107" t="s">
        <v>119</v>
      </c>
      <c r="G1107" s="5">
        <v>499887</v>
      </c>
      <c r="H1107" s="5">
        <v>4543685</v>
      </c>
    </row>
    <row r="1108" spans="1:8" x14ac:dyDescent="0.25">
      <c r="A1108" t="s">
        <v>267</v>
      </c>
      <c r="B1108">
        <v>2022</v>
      </c>
      <c r="C1108" t="s">
        <v>92</v>
      </c>
      <c r="D1108" t="s">
        <v>38</v>
      </c>
      <c r="E1108" t="s">
        <v>339</v>
      </c>
      <c r="F1108" t="s">
        <v>122</v>
      </c>
      <c r="G1108" s="5">
        <v>366801</v>
      </c>
      <c r="H1108" s="5">
        <v>366801</v>
      </c>
    </row>
    <row r="1109" spans="1:8" x14ac:dyDescent="0.25">
      <c r="A1109" t="s">
        <v>267</v>
      </c>
      <c r="B1109">
        <v>2022</v>
      </c>
      <c r="C1109" t="s">
        <v>92</v>
      </c>
      <c r="D1109" t="s">
        <v>38</v>
      </c>
      <c r="E1109" t="s">
        <v>320</v>
      </c>
      <c r="F1109" t="s">
        <v>102</v>
      </c>
      <c r="G1109" s="5">
        <v>320846</v>
      </c>
      <c r="H1109" s="5">
        <v>17112763</v>
      </c>
    </row>
    <row r="1110" spans="1:8" x14ac:dyDescent="0.25">
      <c r="A1110" t="s">
        <v>267</v>
      </c>
      <c r="B1110">
        <v>2022</v>
      </c>
      <c r="C1110" t="s">
        <v>92</v>
      </c>
      <c r="D1110" t="s">
        <v>38</v>
      </c>
      <c r="E1110" t="s">
        <v>452</v>
      </c>
      <c r="F1110" t="s">
        <v>239</v>
      </c>
      <c r="G1110" s="5">
        <v>308913</v>
      </c>
      <c r="H1110" s="5">
        <v>308913</v>
      </c>
    </row>
    <row r="1111" spans="1:8" x14ac:dyDescent="0.25">
      <c r="A1111" t="s">
        <v>267</v>
      </c>
      <c r="B1111">
        <v>2022</v>
      </c>
      <c r="C1111" t="s">
        <v>92</v>
      </c>
      <c r="D1111" t="s">
        <v>38</v>
      </c>
      <c r="E1111" t="s">
        <v>335</v>
      </c>
      <c r="F1111" t="s">
        <v>118</v>
      </c>
      <c r="G1111" s="5">
        <v>276549</v>
      </c>
      <c r="H1111" s="5">
        <v>276549</v>
      </c>
    </row>
    <row r="1112" spans="1:8" x14ac:dyDescent="0.25">
      <c r="A1112" t="s">
        <v>267</v>
      </c>
      <c r="B1112">
        <v>2022</v>
      </c>
      <c r="C1112" t="s">
        <v>92</v>
      </c>
      <c r="D1112" t="s">
        <v>38</v>
      </c>
      <c r="E1112" t="s">
        <v>453</v>
      </c>
      <c r="F1112" t="s">
        <v>240</v>
      </c>
      <c r="G1112" s="5">
        <v>160070</v>
      </c>
      <c r="H1112" s="5">
        <v>12976596</v>
      </c>
    </row>
    <row r="1113" spans="1:8" x14ac:dyDescent="0.25">
      <c r="A1113" t="s">
        <v>267</v>
      </c>
      <c r="B1113">
        <v>2022</v>
      </c>
      <c r="C1113" t="s">
        <v>92</v>
      </c>
      <c r="D1113" t="s">
        <v>38</v>
      </c>
      <c r="E1113" t="s">
        <v>334</v>
      </c>
      <c r="F1113" t="s">
        <v>117</v>
      </c>
      <c r="G1113" s="5">
        <v>131247</v>
      </c>
      <c r="H1113" s="5">
        <v>131247</v>
      </c>
    </row>
    <row r="1114" spans="1:8" x14ac:dyDescent="0.25">
      <c r="A1114" t="s">
        <v>267</v>
      </c>
      <c r="B1114">
        <v>2022</v>
      </c>
      <c r="C1114" t="s">
        <v>92</v>
      </c>
      <c r="D1114" t="s">
        <v>38</v>
      </c>
      <c r="E1114" t="s">
        <v>340</v>
      </c>
      <c r="F1114" t="s">
        <v>123</v>
      </c>
      <c r="G1114" s="5">
        <v>102571</v>
      </c>
      <c r="H1114" s="5">
        <v>102571</v>
      </c>
    </row>
    <row r="1115" spans="1:8" x14ac:dyDescent="0.25">
      <c r="A1115" t="s">
        <v>267</v>
      </c>
      <c r="B1115">
        <v>2022</v>
      </c>
      <c r="C1115" t="s">
        <v>92</v>
      </c>
      <c r="D1115" t="s">
        <v>38</v>
      </c>
      <c r="E1115" t="s">
        <v>341</v>
      </c>
      <c r="F1115" t="s">
        <v>124</v>
      </c>
      <c r="G1115" s="5">
        <v>72723</v>
      </c>
      <c r="H1115" s="5">
        <v>72723</v>
      </c>
    </row>
    <row r="1116" spans="1:8" x14ac:dyDescent="0.25">
      <c r="A1116" t="s">
        <v>267</v>
      </c>
      <c r="B1116">
        <v>2022</v>
      </c>
      <c r="C1116" t="s">
        <v>92</v>
      </c>
      <c r="D1116" t="s">
        <v>38</v>
      </c>
      <c r="E1116" t="s">
        <v>455</v>
      </c>
      <c r="F1116" t="s">
        <v>242</v>
      </c>
      <c r="G1116" s="5">
        <v>36365</v>
      </c>
      <c r="H1116" s="5">
        <v>36365</v>
      </c>
    </row>
    <row r="1117" spans="1:8" x14ac:dyDescent="0.25">
      <c r="A1117" t="s">
        <v>267</v>
      </c>
      <c r="B1117">
        <v>2022</v>
      </c>
      <c r="C1117" t="s">
        <v>92</v>
      </c>
      <c r="D1117" t="s">
        <v>38</v>
      </c>
      <c r="E1117" t="s">
        <v>441</v>
      </c>
      <c r="F1117" t="s">
        <v>228</v>
      </c>
      <c r="G1117" s="5">
        <v>29241</v>
      </c>
      <c r="H1117" s="5">
        <v>29241</v>
      </c>
    </row>
    <row r="1118" spans="1:8" x14ac:dyDescent="0.25">
      <c r="A1118" t="s">
        <v>267</v>
      </c>
      <c r="B1118">
        <v>2022</v>
      </c>
      <c r="C1118" t="s">
        <v>35</v>
      </c>
      <c r="D1118" t="s">
        <v>35</v>
      </c>
      <c r="E1118" t="s">
        <v>343</v>
      </c>
      <c r="F1118" t="s">
        <v>126</v>
      </c>
      <c r="G1118" s="5">
        <v>1074368059</v>
      </c>
      <c r="H1118" s="5">
        <v>8574598947</v>
      </c>
    </row>
    <row r="1119" spans="1:8" x14ac:dyDescent="0.25">
      <c r="A1119" t="s">
        <v>267</v>
      </c>
      <c r="B1119">
        <v>2022</v>
      </c>
      <c r="C1119" t="s">
        <v>35</v>
      </c>
      <c r="D1119" t="s">
        <v>35</v>
      </c>
      <c r="E1119" t="s">
        <v>348</v>
      </c>
      <c r="F1119" t="s">
        <v>131</v>
      </c>
      <c r="G1119" s="5">
        <v>273159168</v>
      </c>
      <c r="H1119" s="5">
        <v>292257544</v>
      </c>
    </row>
    <row r="1120" spans="1:8" x14ac:dyDescent="0.25">
      <c r="A1120" t="s">
        <v>267</v>
      </c>
      <c r="B1120">
        <v>2022</v>
      </c>
      <c r="C1120" t="s">
        <v>35</v>
      </c>
      <c r="D1120" t="s">
        <v>35</v>
      </c>
      <c r="E1120" t="s">
        <v>344</v>
      </c>
      <c r="F1120" t="s">
        <v>127</v>
      </c>
      <c r="G1120" s="5">
        <v>250986143</v>
      </c>
      <c r="H1120" s="5">
        <v>256581218</v>
      </c>
    </row>
    <row r="1121" spans="1:8" x14ac:dyDescent="0.25">
      <c r="A1121" t="s">
        <v>267</v>
      </c>
      <c r="B1121">
        <v>2022</v>
      </c>
      <c r="C1121" t="s">
        <v>35</v>
      </c>
      <c r="D1121" t="s">
        <v>35</v>
      </c>
      <c r="E1121" t="s">
        <v>361</v>
      </c>
      <c r="F1121" t="s">
        <v>144</v>
      </c>
      <c r="G1121" s="5">
        <v>245759106</v>
      </c>
      <c r="H1121" s="5">
        <v>249729409</v>
      </c>
    </row>
    <row r="1122" spans="1:8" x14ac:dyDescent="0.25">
      <c r="A1122" t="s">
        <v>267</v>
      </c>
      <c r="B1122">
        <v>2022</v>
      </c>
      <c r="C1122" t="s">
        <v>35</v>
      </c>
      <c r="D1122" t="s">
        <v>35</v>
      </c>
      <c r="E1122" t="s">
        <v>346</v>
      </c>
      <c r="F1122" t="s">
        <v>129</v>
      </c>
      <c r="G1122" s="5">
        <v>244574639</v>
      </c>
      <c r="H1122" s="5">
        <v>337841379</v>
      </c>
    </row>
    <row r="1123" spans="1:8" x14ac:dyDescent="0.25">
      <c r="A1123" t="s">
        <v>267</v>
      </c>
      <c r="B1123">
        <v>2022</v>
      </c>
      <c r="C1123" t="s">
        <v>35</v>
      </c>
      <c r="D1123" t="s">
        <v>35</v>
      </c>
      <c r="E1123" t="s">
        <v>345</v>
      </c>
      <c r="F1123" t="s">
        <v>128</v>
      </c>
      <c r="G1123" s="5">
        <v>224553004</v>
      </c>
      <c r="H1123" s="5">
        <v>1215115576</v>
      </c>
    </row>
    <row r="1124" spans="1:8" x14ac:dyDescent="0.25">
      <c r="A1124" t="s">
        <v>267</v>
      </c>
      <c r="B1124">
        <v>2022</v>
      </c>
      <c r="C1124" t="s">
        <v>35</v>
      </c>
      <c r="D1124" t="s">
        <v>35</v>
      </c>
      <c r="E1124" t="s">
        <v>350</v>
      </c>
      <c r="F1124" t="s">
        <v>133</v>
      </c>
      <c r="G1124" s="5">
        <v>212985342</v>
      </c>
      <c r="H1124" s="5">
        <v>213009627</v>
      </c>
    </row>
    <row r="1125" spans="1:8" x14ac:dyDescent="0.25">
      <c r="A1125" t="s">
        <v>267</v>
      </c>
      <c r="B1125">
        <v>2022</v>
      </c>
      <c r="C1125" t="s">
        <v>35</v>
      </c>
      <c r="D1125" t="s">
        <v>35</v>
      </c>
      <c r="E1125" t="s">
        <v>349</v>
      </c>
      <c r="F1125" t="s">
        <v>132</v>
      </c>
      <c r="G1125" s="5">
        <v>157292313</v>
      </c>
      <c r="H1125" s="5">
        <v>509392107</v>
      </c>
    </row>
    <row r="1126" spans="1:8" x14ac:dyDescent="0.25">
      <c r="A1126" t="s">
        <v>267</v>
      </c>
      <c r="B1126">
        <v>2022</v>
      </c>
      <c r="C1126" t="s">
        <v>35</v>
      </c>
      <c r="D1126" t="s">
        <v>35</v>
      </c>
      <c r="E1126" t="s">
        <v>354</v>
      </c>
      <c r="F1126" t="s">
        <v>137</v>
      </c>
      <c r="G1126" s="5">
        <v>136894615</v>
      </c>
      <c r="H1126" s="5">
        <v>136914721</v>
      </c>
    </row>
    <row r="1127" spans="1:8" x14ac:dyDescent="0.25">
      <c r="A1127" t="s">
        <v>267</v>
      </c>
      <c r="B1127">
        <v>2022</v>
      </c>
      <c r="C1127" t="s">
        <v>35</v>
      </c>
      <c r="D1127" t="s">
        <v>35</v>
      </c>
      <c r="E1127" t="s">
        <v>347</v>
      </c>
      <c r="F1127" t="s">
        <v>130</v>
      </c>
      <c r="G1127" s="5">
        <v>109128434</v>
      </c>
      <c r="H1127" s="5">
        <v>472301776</v>
      </c>
    </row>
    <row r="1128" spans="1:8" x14ac:dyDescent="0.25">
      <c r="A1128" t="s">
        <v>267</v>
      </c>
      <c r="B1128">
        <v>2022</v>
      </c>
      <c r="C1128" t="s">
        <v>35</v>
      </c>
      <c r="D1128" t="s">
        <v>35</v>
      </c>
      <c r="E1128" t="s">
        <v>353</v>
      </c>
      <c r="F1128" t="s">
        <v>136</v>
      </c>
      <c r="G1128" s="5">
        <v>101201715</v>
      </c>
      <c r="H1128" s="5">
        <v>101207991</v>
      </c>
    </row>
    <row r="1129" spans="1:8" x14ac:dyDescent="0.25">
      <c r="A1129" t="s">
        <v>267</v>
      </c>
      <c r="B1129">
        <v>2022</v>
      </c>
      <c r="C1129" t="s">
        <v>35</v>
      </c>
      <c r="D1129" t="s">
        <v>35</v>
      </c>
      <c r="E1129" t="s">
        <v>352</v>
      </c>
      <c r="F1129" t="s">
        <v>135</v>
      </c>
      <c r="G1129" s="5">
        <v>93763246</v>
      </c>
      <c r="H1129" s="5">
        <v>290085561</v>
      </c>
    </row>
    <row r="1130" spans="1:8" x14ac:dyDescent="0.25">
      <c r="A1130" t="s">
        <v>267</v>
      </c>
      <c r="B1130">
        <v>2022</v>
      </c>
      <c r="C1130" t="s">
        <v>35</v>
      </c>
      <c r="D1130" t="s">
        <v>35</v>
      </c>
      <c r="E1130" t="s">
        <v>356</v>
      </c>
      <c r="F1130" t="s">
        <v>139</v>
      </c>
      <c r="G1130" s="5">
        <v>90279412</v>
      </c>
      <c r="H1130" s="5">
        <v>295523949</v>
      </c>
    </row>
    <row r="1131" spans="1:8" x14ac:dyDescent="0.25">
      <c r="A1131" t="s">
        <v>267</v>
      </c>
      <c r="B1131">
        <v>2022</v>
      </c>
      <c r="C1131" t="s">
        <v>35</v>
      </c>
      <c r="D1131" t="s">
        <v>35</v>
      </c>
      <c r="E1131" t="s">
        <v>351</v>
      </c>
      <c r="F1131" t="s">
        <v>134</v>
      </c>
      <c r="G1131" s="5">
        <v>82389296</v>
      </c>
      <c r="H1131" s="5">
        <v>92010595</v>
      </c>
    </row>
    <row r="1132" spans="1:8" x14ac:dyDescent="0.25">
      <c r="A1132" t="s">
        <v>267</v>
      </c>
      <c r="B1132">
        <v>2022</v>
      </c>
      <c r="C1132" t="s">
        <v>35</v>
      </c>
      <c r="D1132" t="s">
        <v>35</v>
      </c>
      <c r="E1132" t="s">
        <v>362</v>
      </c>
      <c r="F1132" t="s">
        <v>145</v>
      </c>
      <c r="G1132" s="5">
        <v>62343945</v>
      </c>
      <c r="H1132" s="5">
        <v>62347243</v>
      </c>
    </row>
    <row r="1133" spans="1:8" x14ac:dyDescent="0.25">
      <c r="A1133" t="s">
        <v>267</v>
      </c>
      <c r="B1133">
        <v>2022</v>
      </c>
      <c r="C1133" t="s">
        <v>35</v>
      </c>
      <c r="D1133" t="s">
        <v>35</v>
      </c>
      <c r="E1133" t="s">
        <v>355</v>
      </c>
      <c r="F1133" t="s">
        <v>138</v>
      </c>
      <c r="G1133" s="5">
        <v>51379629</v>
      </c>
      <c r="H1133" s="5">
        <v>51394629</v>
      </c>
    </row>
    <row r="1134" spans="1:8" x14ac:dyDescent="0.25">
      <c r="A1134" t="s">
        <v>267</v>
      </c>
      <c r="B1134">
        <v>2022</v>
      </c>
      <c r="C1134" t="s">
        <v>35</v>
      </c>
      <c r="D1134" t="s">
        <v>35</v>
      </c>
      <c r="E1134" t="s">
        <v>357</v>
      </c>
      <c r="F1134" t="s">
        <v>140</v>
      </c>
      <c r="G1134" s="5">
        <v>25200747</v>
      </c>
      <c r="H1134" s="5">
        <v>25200747</v>
      </c>
    </row>
    <row r="1135" spans="1:8" x14ac:dyDescent="0.25">
      <c r="A1135" t="s">
        <v>267</v>
      </c>
      <c r="B1135">
        <v>2022</v>
      </c>
      <c r="C1135" t="s">
        <v>35</v>
      </c>
      <c r="D1135" t="s">
        <v>35</v>
      </c>
      <c r="E1135" t="s">
        <v>360</v>
      </c>
      <c r="F1135" t="s">
        <v>143</v>
      </c>
      <c r="G1135" s="5">
        <v>23495247</v>
      </c>
      <c r="H1135" s="5">
        <v>23495247</v>
      </c>
    </row>
    <row r="1136" spans="1:8" x14ac:dyDescent="0.25">
      <c r="A1136" t="s">
        <v>267</v>
      </c>
      <c r="B1136">
        <v>2022</v>
      </c>
      <c r="C1136" t="s">
        <v>35</v>
      </c>
      <c r="D1136" t="s">
        <v>35</v>
      </c>
      <c r="E1136" t="s">
        <v>358</v>
      </c>
      <c r="F1136" t="s">
        <v>141</v>
      </c>
      <c r="G1136" s="5">
        <v>19717244</v>
      </c>
      <c r="H1136" s="5">
        <v>19717730</v>
      </c>
    </row>
    <row r="1137" spans="1:8" x14ac:dyDescent="0.25">
      <c r="A1137" t="s">
        <v>267</v>
      </c>
      <c r="B1137">
        <v>2022</v>
      </c>
      <c r="C1137" t="s">
        <v>35</v>
      </c>
      <c r="D1137" t="s">
        <v>35</v>
      </c>
      <c r="E1137" t="s">
        <v>365</v>
      </c>
      <c r="F1137" t="s">
        <v>148</v>
      </c>
      <c r="G1137" s="5">
        <v>17987342</v>
      </c>
      <c r="H1137" s="5">
        <v>18004256</v>
      </c>
    </row>
    <row r="1138" spans="1:8" x14ac:dyDescent="0.25">
      <c r="A1138" t="s">
        <v>267</v>
      </c>
      <c r="B1138">
        <v>2022</v>
      </c>
      <c r="C1138" t="s">
        <v>35</v>
      </c>
      <c r="D1138" t="s">
        <v>35</v>
      </c>
      <c r="E1138" t="s">
        <v>359</v>
      </c>
      <c r="F1138" t="s">
        <v>142</v>
      </c>
      <c r="G1138" s="5">
        <v>11217813</v>
      </c>
      <c r="H1138" s="5">
        <v>11217813</v>
      </c>
    </row>
    <row r="1139" spans="1:8" x14ac:dyDescent="0.25">
      <c r="A1139" t="s">
        <v>267</v>
      </c>
      <c r="B1139">
        <v>2022</v>
      </c>
      <c r="C1139" t="s">
        <v>35</v>
      </c>
      <c r="D1139" t="s">
        <v>35</v>
      </c>
      <c r="E1139" t="s">
        <v>363</v>
      </c>
      <c r="F1139" t="s">
        <v>146</v>
      </c>
      <c r="G1139" s="5">
        <v>9941379</v>
      </c>
      <c r="H1139" s="5">
        <v>9941379</v>
      </c>
    </row>
    <row r="1140" spans="1:8" x14ac:dyDescent="0.25">
      <c r="A1140" t="s">
        <v>267</v>
      </c>
      <c r="B1140">
        <v>2022</v>
      </c>
      <c r="C1140" t="s">
        <v>35</v>
      </c>
      <c r="D1140" t="s">
        <v>35</v>
      </c>
      <c r="E1140" t="s">
        <v>367</v>
      </c>
      <c r="F1140" t="s">
        <v>150</v>
      </c>
      <c r="G1140" s="5">
        <v>8494943</v>
      </c>
      <c r="H1140" s="5">
        <v>8498085</v>
      </c>
    </row>
    <row r="1141" spans="1:8" x14ac:dyDescent="0.25">
      <c r="A1141" t="s">
        <v>267</v>
      </c>
      <c r="B1141">
        <v>2022</v>
      </c>
      <c r="C1141" t="s">
        <v>35</v>
      </c>
      <c r="D1141" t="s">
        <v>35</v>
      </c>
      <c r="E1141" t="s">
        <v>372</v>
      </c>
      <c r="F1141" t="s">
        <v>155</v>
      </c>
      <c r="G1141" s="5">
        <v>7900883</v>
      </c>
      <c r="H1141" s="5">
        <v>7900883</v>
      </c>
    </row>
    <row r="1142" spans="1:8" x14ac:dyDescent="0.25">
      <c r="A1142" t="s">
        <v>267</v>
      </c>
      <c r="B1142">
        <v>2022</v>
      </c>
      <c r="C1142" t="s">
        <v>35</v>
      </c>
      <c r="D1142" t="s">
        <v>35</v>
      </c>
      <c r="E1142" t="s">
        <v>371</v>
      </c>
      <c r="F1142" t="s">
        <v>154</v>
      </c>
      <c r="G1142" s="5">
        <v>6540566</v>
      </c>
      <c r="H1142" s="5">
        <v>6540566</v>
      </c>
    </row>
    <row r="1143" spans="1:8" x14ac:dyDescent="0.25">
      <c r="A1143" t="s">
        <v>267</v>
      </c>
      <c r="B1143">
        <v>2022</v>
      </c>
      <c r="C1143" t="s">
        <v>35</v>
      </c>
      <c r="D1143" t="s">
        <v>35</v>
      </c>
      <c r="E1143" t="s">
        <v>366</v>
      </c>
      <c r="F1143" t="s">
        <v>149</v>
      </c>
      <c r="G1143" s="5">
        <v>6094232</v>
      </c>
      <c r="H1143" s="5">
        <v>6094232</v>
      </c>
    </row>
    <row r="1144" spans="1:8" x14ac:dyDescent="0.25">
      <c r="A1144" t="s">
        <v>267</v>
      </c>
      <c r="B1144">
        <v>2022</v>
      </c>
      <c r="C1144" t="s">
        <v>35</v>
      </c>
      <c r="D1144" t="s">
        <v>35</v>
      </c>
      <c r="E1144" t="s">
        <v>368</v>
      </c>
      <c r="F1144" t="s">
        <v>151</v>
      </c>
      <c r="G1144" s="5">
        <v>5427783</v>
      </c>
      <c r="H1144" s="5">
        <v>5427783</v>
      </c>
    </row>
    <row r="1145" spans="1:8" x14ac:dyDescent="0.25">
      <c r="A1145" t="s">
        <v>267</v>
      </c>
      <c r="B1145">
        <v>2022</v>
      </c>
      <c r="C1145" t="s">
        <v>35</v>
      </c>
      <c r="D1145" t="s">
        <v>35</v>
      </c>
      <c r="E1145" t="s">
        <v>370</v>
      </c>
      <c r="F1145" t="s">
        <v>153</v>
      </c>
      <c r="G1145" s="5">
        <v>5416559</v>
      </c>
      <c r="H1145" s="5">
        <v>96594096</v>
      </c>
    </row>
    <row r="1146" spans="1:8" x14ac:dyDescent="0.25">
      <c r="A1146" t="s">
        <v>267</v>
      </c>
      <c r="B1146">
        <v>2022</v>
      </c>
      <c r="C1146" t="s">
        <v>35</v>
      </c>
      <c r="D1146" t="s">
        <v>35</v>
      </c>
      <c r="E1146" t="s">
        <v>364</v>
      </c>
      <c r="F1146" t="s">
        <v>147</v>
      </c>
      <c r="G1146" s="5">
        <v>4347119</v>
      </c>
      <c r="H1146" s="5">
        <v>30656770</v>
      </c>
    </row>
    <row r="1147" spans="1:8" x14ac:dyDescent="0.25">
      <c r="A1147" t="s">
        <v>267</v>
      </c>
      <c r="B1147">
        <v>2022</v>
      </c>
      <c r="C1147" t="s">
        <v>35</v>
      </c>
      <c r="D1147" t="s">
        <v>35</v>
      </c>
      <c r="E1147" t="s">
        <v>378</v>
      </c>
      <c r="F1147" t="s">
        <v>162</v>
      </c>
      <c r="G1147" s="5">
        <v>3200930</v>
      </c>
      <c r="H1147" s="5">
        <v>3200930</v>
      </c>
    </row>
    <row r="1148" spans="1:8" x14ac:dyDescent="0.25">
      <c r="A1148" t="s">
        <v>267</v>
      </c>
      <c r="B1148">
        <v>2022</v>
      </c>
      <c r="C1148" t="s">
        <v>35</v>
      </c>
      <c r="D1148" t="s">
        <v>35</v>
      </c>
      <c r="E1148" t="s">
        <v>369</v>
      </c>
      <c r="F1148" t="s">
        <v>152</v>
      </c>
      <c r="G1148" s="5">
        <v>2622753</v>
      </c>
      <c r="H1148" s="5">
        <v>2622753</v>
      </c>
    </row>
    <row r="1149" spans="1:8" x14ac:dyDescent="0.25">
      <c r="A1149" t="s">
        <v>267</v>
      </c>
      <c r="B1149">
        <v>2022</v>
      </c>
      <c r="C1149" t="s">
        <v>35</v>
      </c>
      <c r="D1149" t="s">
        <v>35</v>
      </c>
      <c r="F1149" t="s">
        <v>161</v>
      </c>
      <c r="G1149" s="5">
        <v>2541388</v>
      </c>
      <c r="H1149" s="5">
        <v>2541388</v>
      </c>
    </row>
    <row r="1150" spans="1:8" x14ac:dyDescent="0.25">
      <c r="A1150" t="s">
        <v>267</v>
      </c>
      <c r="B1150">
        <v>2022</v>
      </c>
      <c r="C1150" t="s">
        <v>35</v>
      </c>
      <c r="D1150" t="s">
        <v>35</v>
      </c>
      <c r="E1150" t="s">
        <v>376</v>
      </c>
      <c r="F1150" t="s">
        <v>159</v>
      </c>
      <c r="G1150" s="5">
        <v>2318307</v>
      </c>
      <c r="H1150" s="5">
        <v>3136815</v>
      </c>
    </row>
    <row r="1151" spans="1:8" x14ac:dyDescent="0.25">
      <c r="A1151" t="s">
        <v>267</v>
      </c>
      <c r="B1151">
        <v>2022</v>
      </c>
      <c r="C1151" t="s">
        <v>35</v>
      </c>
      <c r="D1151" t="s">
        <v>35</v>
      </c>
      <c r="E1151" t="s">
        <v>377</v>
      </c>
      <c r="F1151" t="s">
        <v>160</v>
      </c>
      <c r="G1151" s="5">
        <v>1332792</v>
      </c>
      <c r="H1151" s="5">
        <v>1334880</v>
      </c>
    </row>
    <row r="1152" spans="1:8" x14ac:dyDescent="0.25">
      <c r="A1152" t="s">
        <v>267</v>
      </c>
      <c r="B1152">
        <v>2022</v>
      </c>
      <c r="C1152" t="s">
        <v>35</v>
      </c>
      <c r="D1152" t="s">
        <v>35</v>
      </c>
      <c r="E1152" t="s">
        <v>380</v>
      </c>
      <c r="F1152" t="s">
        <v>164</v>
      </c>
      <c r="G1152" s="5">
        <v>687095</v>
      </c>
      <c r="H1152" s="5">
        <v>687095</v>
      </c>
    </row>
    <row r="1153" spans="1:8" x14ac:dyDescent="0.25">
      <c r="A1153" t="s">
        <v>267</v>
      </c>
      <c r="B1153">
        <v>2022</v>
      </c>
      <c r="C1153" t="s">
        <v>35</v>
      </c>
      <c r="D1153" t="s">
        <v>35</v>
      </c>
      <c r="E1153" t="s">
        <v>383</v>
      </c>
      <c r="F1153" t="s">
        <v>167</v>
      </c>
      <c r="G1153" s="5">
        <v>530929</v>
      </c>
      <c r="H1153" s="5">
        <v>533983</v>
      </c>
    </row>
    <row r="1154" spans="1:8" x14ac:dyDescent="0.25">
      <c r="A1154" t="s">
        <v>267</v>
      </c>
      <c r="B1154">
        <v>2022</v>
      </c>
      <c r="C1154" t="s">
        <v>35</v>
      </c>
      <c r="D1154" t="s">
        <v>35</v>
      </c>
      <c r="E1154" t="s">
        <v>382</v>
      </c>
      <c r="F1154" t="s">
        <v>166</v>
      </c>
      <c r="G1154" s="5">
        <v>316645</v>
      </c>
      <c r="H1154" s="5">
        <v>10680729</v>
      </c>
    </row>
    <row r="1155" spans="1:8" x14ac:dyDescent="0.25">
      <c r="A1155" t="s">
        <v>267</v>
      </c>
      <c r="B1155">
        <v>2022</v>
      </c>
      <c r="C1155" t="s">
        <v>35</v>
      </c>
      <c r="D1155" t="s">
        <v>35</v>
      </c>
      <c r="E1155" t="s">
        <v>442</v>
      </c>
      <c r="F1155" t="s">
        <v>229</v>
      </c>
      <c r="G1155" s="5">
        <v>300586</v>
      </c>
      <c r="H1155" s="5">
        <v>300586</v>
      </c>
    </row>
    <row r="1156" spans="1:8" x14ac:dyDescent="0.25">
      <c r="A1156" t="s">
        <v>267</v>
      </c>
      <c r="B1156">
        <v>2022</v>
      </c>
      <c r="C1156" t="s">
        <v>35</v>
      </c>
      <c r="D1156" t="s">
        <v>35</v>
      </c>
      <c r="E1156" t="s">
        <v>386</v>
      </c>
      <c r="F1156" t="s">
        <v>170</v>
      </c>
      <c r="G1156" s="5">
        <v>252704</v>
      </c>
      <c r="H1156" s="5">
        <v>252704</v>
      </c>
    </row>
    <row r="1157" spans="1:8" x14ac:dyDescent="0.25">
      <c r="A1157" t="s">
        <v>267</v>
      </c>
      <c r="B1157">
        <v>2022</v>
      </c>
      <c r="C1157" t="s">
        <v>35</v>
      </c>
      <c r="D1157" t="s">
        <v>35</v>
      </c>
      <c r="E1157" t="s">
        <v>374</v>
      </c>
      <c r="F1157" t="s">
        <v>157</v>
      </c>
      <c r="G1157" s="5">
        <v>248859</v>
      </c>
      <c r="H1157" s="5">
        <v>248859</v>
      </c>
    </row>
    <row r="1158" spans="1:8" x14ac:dyDescent="0.25">
      <c r="A1158" t="s">
        <v>267</v>
      </c>
      <c r="B1158">
        <v>2022</v>
      </c>
      <c r="C1158" t="s">
        <v>35</v>
      </c>
      <c r="D1158" t="s">
        <v>35</v>
      </c>
      <c r="E1158" t="s">
        <v>384</v>
      </c>
      <c r="F1158" t="s">
        <v>168</v>
      </c>
      <c r="G1158" s="5">
        <v>182339</v>
      </c>
      <c r="H1158" s="5">
        <v>182339</v>
      </c>
    </row>
    <row r="1159" spans="1:8" x14ac:dyDescent="0.25">
      <c r="A1159" t="s">
        <v>267</v>
      </c>
      <c r="B1159">
        <v>2022</v>
      </c>
      <c r="C1159" t="s">
        <v>35</v>
      </c>
      <c r="D1159" t="s">
        <v>35</v>
      </c>
      <c r="E1159" t="s">
        <v>381</v>
      </c>
      <c r="F1159" t="s">
        <v>165</v>
      </c>
      <c r="G1159" s="5">
        <v>123673</v>
      </c>
      <c r="H1159" s="5">
        <v>123673</v>
      </c>
    </row>
    <row r="1160" spans="1:8" x14ac:dyDescent="0.25">
      <c r="A1160" t="s">
        <v>267</v>
      </c>
      <c r="B1160">
        <v>2022</v>
      </c>
      <c r="C1160" t="s">
        <v>35</v>
      </c>
      <c r="D1160" t="s">
        <v>35</v>
      </c>
      <c r="E1160" t="s">
        <v>379</v>
      </c>
      <c r="F1160" t="s">
        <v>163</v>
      </c>
      <c r="G1160" s="5">
        <v>85092</v>
      </c>
      <c r="H1160" s="5">
        <v>85092</v>
      </c>
    </row>
    <row r="1161" spans="1:8" x14ac:dyDescent="0.25">
      <c r="A1161" t="s">
        <v>267</v>
      </c>
      <c r="B1161">
        <v>2022</v>
      </c>
      <c r="C1161" t="s">
        <v>35</v>
      </c>
      <c r="D1161" t="s">
        <v>35</v>
      </c>
      <c r="E1161" t="s">
        <v>375</v>
      </c>
      <c r="F1161" t="s">
        <v>158</v>
      </c>
      <c r="G1161" s="5">
        <v>60831</v>
      </c>
      <c r="H1161" s="5">
        <v>60831</v>
      </c>
    </row>
    <row r="1162" spans="1:8" x14ac:dyDescent="0.25">
      <c r="A1162" t="s">
        <v>267</v>
      </c>
      <c r="B1162">
        <v>2022</v>
      </c>
      <c r="C1162" t="s">
        <v>172</v>
      </c>
      <c r="D1162" t="s">
        <v>34</v>
      </c>
      <c r="E1162" t="s">
        <v>388</v>
      </c>
      <c r="F1162" t="s">
        <v>173</v>
      </c>
      <c r="G1162" s="5">
        <v>3950669073</v>
      </c>
      <c r="H1162" s="5">
        <v>4238293827</v>
      </c>
    </row>
    <row r="1163" spans="1:8" x14ac:dyDescent="0.25">
      <c r="A1163" t="s">
        <v>267</v>
      </c>
      <c r="B1163">
        <v>2022</v>
      </c>
      <c r="C1163" t="s">
        <v>172</v>
      </c>
      <c r="D1163" t="s">
        <v>34</v>
      </c>
      <c r="E1163" t="s">
        <v>389</v>
      </c>
      <c r="F1163" t="s">
        <v>174</v>
      </c>
      <c r="G1163" s="5">
        <v>1537999572</v>
      </c>
      <c r="H1163" s="5">
        <v>1556249529</v>
      </c>
    </row>
    <row r="1164" spans="1:8" x14ac:dyDescent="0.25">
      <c r="A1164" t="s">
        <v>267</v>
      </c>
      <c r="B1164">
        <v>2022</v>
      </c>
      <c r="C1164" t="s">
        <v>172</v>
      </c>
      <c r="D1164" t="s">
        <v>34</v>
      </c>
      <c r="E1164" t="s">
        <v>390</v>
      </c>
      <c r="F1164" t="s">
        <v>175</v>
      </c>
      <c r="G1164" s="5">
        <v>747284784</v>
      </c>
      <c r="H1164" s="5">
        <v>894504779</v>
      </c>
    </row>
    <row r="1165" spans="1:8" x14ac:dyDescent="0.25">
      <c r="A1165" t="s">
        <v>267</v>
      </c>
      <c r="B1165">
        <v>2022</v>
      </c>
      <c r="C1165" t="s">
        <v>172</v>
      </c>
      <c r="D1165" t="s">
        <v>34</v>
      </c>
      <c r="E1165" t="s">
        <v>391</v>
      </c>
      <c r="F1165" t="s">
        <v>176</v>
      </c>
      <c r="G1165" s="5">
        <v>617505077</v>
      </c>
      <c r="H1165" s="5">
        <v>1053886082</v>
      </c>
    </row>
    <row r="1166" spans="1:8" x14ac:dyDescent="0.25">
      <c r="A1166" t="s">
        <v>267</v>
      </c>
      <c r="B1166">
        <v>2022</v>
      </c>
      <c r="C1166" t="s">
        <v>172</v>
      </c>
      <c r="D1166" t="s">
        <v>34</v>
      </c>
      <c r="E1166" t="s">
        <v>392</v>
      </c>
      <c r="F1166" t="s">
        <v>178</v>
      </c>
      <c r="G1166" s="5">
        <v>430076085</v>
      </c>
      <c r="H1166" s="5">
        <v>440415837</v>
      </c>
    </row>
    <row r="1167" spans="1:8" x14ac:dyDescent="0.25">
      <c r="A1167" t="s">
        <v>267</v>
      </c>
      <c r="B1167">
        <v>2022</v>
      </c>
      <c r="C1167" t="s">
        <v>172</v>
      </c>
      <c r="D1167" t="s">
        <v>34</v>
      </c>
      <c r="E1167" t="s">
        <v>393</v>
      </c>
      <c r="F1167" t="s">
        <v>179</v>
      </c>
      <c r="G1167" s="5">
        <v>294343121</v>
      </c>
      <c r="H1167" s="5">
        <v>308587399</v>
      </c>
    </row>
    <row r="1168" spans="1:8" x14ac:dyDescent="0.25">
      <c r="A1168" t="s">
        <v>267</v>
      </c>
      <c r="B1168">
        <v>2022</v>
      </c>
      <c r="C1168" t="s">
        <v>172</v>
      </c>
      <c r="D1168" t="s">
        <v>34</v>
      </c>
      <c r="E1168" t="s">
        <v>394</v>
      </c>
      <c r="F1168" t="s">
        <v>180</v>
      </c>
      <c r="G1168" s="5">
        <v>256036313</v>
      </c>
      <c r="H1168" s="5">
        <v>266889260</v>
      </c>
    </row>
    <row r="1169" spans="1:8" x14ac:dyDescent="0.25">
      <c r="A1169" t="s">
        <v>267</v>
      </c>
      <c r="B1169">
        <v>2022</v>
      </c>
      <c r="C1169" t="s">
        <v>172</v>
      </c>
      <c r="D1169" t="s">
        <v>34</v>
      </c>
      <c r="E1169" t="s">
        <v>395</v>
      </c>
      <c r="F1169" t="s">
        <v>181</v>
      </c>
      <c r="G1169" s="5">
        <v>189192539</v>
      </c>
      <c r="H1169" s="5">
        <v>205964325</v>
      </c>
    </row>
    <row r="1170" spans="1:8" x14ac:dyDescent="0.25">
      <c r="A1170" t="s">
        <v>267</v>
      </c>
      <c r="B1170">
        <v>2022</v>
      </c>
      <c r="C1170" t="s">
        <v>172</v>
      </c>
      <c r="D1170" t="s">
        <v>34</v>
      </c>
      <c r="E1170" t="s">
        <v>396</v>
      </c>
      <c r="F1170" t="s">
        <v>183</v>
      </c>
      <c r="G1170" s="5">
        <v>158974275</v>
      </c>
      <c r="H1170" s="5">
        <v>161030604</v>
      </c>
    </row>
    <row r="1171" spans="1:8" x14ac:dyDescent="0.25">
      <c r="A1171" t="s">
        <v>267</v>
      </c>
      <c r="B1171">
        <v>2022</v>
      </c>
      <c r="C1171" t="s">
        <v>172</v>
      </c>
      <c r="D1171" t="s">
        <v>34</v>
      </c>
      <c r="E1171" t="s">
        <v>397</v>
      </c>
      <c r="F1171" t="s">
        <v>184</v>
      </c>
      <c r="G1171" s="5">
        <v>150698475</v>
      </c>
      <c r="H1171" s="5">
        <v>151430747</v>
      </c>
    </row>
    <row r="1172" spans="1:8" x14ac:dyDescent="0.25">
      <c r="A1172" t="s">
        <v>267</v>
      </c>
      <c r="B1172">
        <v>2022</v>
      </c>
      <c r="C1172" t="s">
        <v>172</v>
      </c>
      <c r="D1172" t="s">
        <v>34</v>
      </c>
      <c r="E1172" t="s">
        <v>400</v>
      </c>
      <c r="F1172" t="s">
        <v>189</v>
      </c>
      <c r="G1172" s="5">
        <v>117202543</v>
      </c>
      <c r="H1172" s="5">
        <v>117571781</v>
      </c>
    </row>
    <row r="1173" spans="1:8" x14ac:dyDescent="0.25">
      <c r="A1173" t="s">
        <v>267</v>
      </c>
      <c r="B1173">
        <v>2022</v>
      </c>
      <c r="C1173" t="s">
        <v>172</v>
      </c>
      <c r="D1173" t="s">
        <v>34</v>
      </c>
      <c r="E1173" t="s">
        <v>398</v>
      </c>
      <c r="F1173" t="s">
        <v>186</v>
      </c>
      <c r="G1173" s="5">
        <v>101958268</v>
      </c>
      <c r="H1173" s="5">
        <v>102398933</v>
      </c>
    </row>
    <row r="1174" spans="1:8" x14ac:dyDescent="0.25">
      <c r="A1174" t="s">
        <v>267</v>
      </c>
      <c r="B1174">
        <v>2022</v>
      </c>
      <c r="C1174" t="s">
        <v>172</v>
      </c>
      <c r="D1174" t="s">
        <v>34</v>
      </c>
      <c r="E1174" t="s">
        <v>399</v>
      </c>
      <c r="F1174" t="s">
        <v>187</v>
      </c>
      <c r="G1174" s="5">
        <v>74441627</v>
      </c>
      <c r="H1174" s="5">
        <v>74525994</v>
      </c>
    </row>
    <row r="1175" spans="1:8" x14ac:dyDescent="0.25">
      <c r="A1175" t="s">
        <v>267</v>
      </c>
      <c r="B1175">
        <v>2022</v>
      </c>
      <c r="C1175" t="s">
        <v>172</v>
      </c>
      <c r="D1175" t="s">
        <v>34</v>
      </c>
      <c r="E1175" t="s">
        <v>404</v>
      </c>
      <c r="F1175" t="s">
        <v>193</v>
      </c>
      <c r="G1175" s="5">
        <v>66984903</v>
      </c>
      <c r="H1175" s="5">
        <v>67041822</v>
      </c>
    </row>
    <row r="1176" spans="1:8" x14ac:dyDescent="0.25">
      <c r="A1176" t="s">
        <v>267</v>
      </c>
      <c r="B1176">
        <v>2022</v>
      </c>
      <c r="C1176" t="s">
        <v>172</v>
      </c>
      <c r="D1176" t="s">
        <v>34</v>
      </c>
      <c r="E1176" t="s">
        <v>402</v>
      </c>
      <c r="F1176" t="s">
        <v>191</v>
      </c>
      <c r="G1176" s="5">
        <v>55150193</v>
      </c>
      <c r="H1176" s="5">
        <v>55371711</v>
      </c>
    </row>
    <row r="1177" spans="1:8" x14ac:dyDescent="0.25">
      <c r="A1177" t="s">
        <v>267</v>
      </c>
      <c r="B1177">
        <v>2022</v>
      </c>
      <c r="C1177" t="s">
        <v>172</v>
      </c>
      <c r="D1177" t="s">
        <v>34</v>
      </c>
      <c r="E1177" t="s">
        <v>401</v>
      </c>
      <c r="F1177" t="s">
        <v>190</v>
      </c>
      <c r="G1177" s="5">
        <v>54947674</v>
      </c>
      <c r="H1177" s="5">
        <v>91200617</v>
      </c>
    </row>
    <row r="1178" spans="1:8" x14ac:dyDescent="0.25">
      <c r="A1178" t="s">
        <v>267</v>
      </c>
      <c r="B1178">
        <v>2022</v>
      </c>
      <c r="C1178" t="s">
        <v>172</v>
      </c>
      <c r="D1178" t="s">
        <v>34</v>
      </c>
      <c r="E1178" t="s">
        <v>403</v>
      </c>
      <c r="F1178" t="s">
        <v>192</v>
      </c>
      <c r="G1178" s="5">
        <v>46829249</v>
      </c>
      <c r="H1178" s="5">
        <v>49467037</v>
      </c>
    </row>
    <row r="1179" spans="1:8" x14ac:dyDescent="0.25">
      <c r="A1179" t="s">
        <v>267</v>
      </c>
      <c r="B1179">
        <v>2022</v>
      </c>
      <c r="C1179" t="s">
        <v>172</v>
      </c>
      <c r="D1179" t="s">
        <v>34</v>
      </c>
      <c r="E1179" t="s">
        <v>406</v>
      </c>
      <c r="F1179" t="s">
        <v>195</v>
      </c>
      <c r="G1179" s="5">
        <v>34382906</v>
      </c>
      <c r="H1179" s="5">
        <v>34387966</v>
      </c>
    </row>
    <row r="1180" spans="1:8" x14ac:dyDescent="0.25">
      <c r="A1180" t="s">
        <v>267</v>
      </c>
      <c r="B1180">
        <v>2022</v>
      </c>
      <c r="C1180" t="s">
        <v>172</v>
      </c>
      <c r="D1180" t="s">
        <v>34</v>
      </c>
      <c r="E1180" t="s">
        <v>405</v>
      </c>
      <c r="F1180" t="s">
        <v>194</v>
      </c>
      <c r="G1180" s="5">
        <v>31226726</v>
      </c>
      <c r="H1180" s="5">
        <v>31512972</v>
      </c>
    </row>
    <row r="1181" spans="1:8" x14ac:dyDescent="0.25">
      <c r="A1181" t="s">
        <v>267</v>
      </c>
      <c r="B1181">
        <v>2022</v>
      </c>
      <c r="C1181" t="s">
        <v>172</v>
      </c>
      <c r="D1181" t="s">
        <v>34</v>
      </c>
      <c r="E1181" t="s">
        <v>407</v>
      </c>
      <c r="F1181" t="s">
        <v>197</v>
      </c>
      <c r="G1181" s="5">
        <v>22720595</v>
      </c>
      <c r="H1181" s="5">
        <v>24466789</v>
      </c>
    </row>
    <row r="1182" spans="1:8" x14ac:dyDescent="0.25">
      <c r="A1182" t="s">
        <v>267</v>
      </c>
      <c r="B1182">
        <v>2022</v>
      </c>
      <c r="C1182" t="s">
        <v>172</v>
      </c>
      <c r="D1182" t="s">
        <v>34</v>
      </c>
      <c r="E1182" t="s">
        <v>408</v>
      </c>
      <c r="F1182" t="s">
        <v>198</v>
      </c>
      <c r="G1182" s="5">
        <v>21619195</v>
      </c>
      <c r="H1182" s="5">
        <v>21709085</v>
      </c>
    </row>
    <row r="1183" spans="1:8" x14ac:dyDescent="0.25">
      <c r="A1183" t="s">
        <v>267</v>
      </c>
      <c r="B1183">
        <v>2022</v>
      </c>
      <c r="C1183" t="s">
        <v>172</v>
      </c>
      <c r="D1183" t="s">
        <v>34</v>
      </c>
      <c r="E1183" t="s">
        <v>411</v>
      </c>
      <c r="F1183" t="s">
        <v>203</v>
      </c>
      <c r="G1183" s="5">
        <v>13050158</v>
      </c>
      <c r="H1183" s="5">
        <v>13113489</v>
      </c>
    </row>
    <row r="1184" spans="1:8" x14ac:dyDescent="0.25">
      <c r="A1184" t="s">
        <v>267</v>
      </c>
      <c r="B1184">
        <v>2022</v>
      </c>
      <c r="C1184" t="s">
        <v>172</v>
      </c>
      <c r="D1184" t="s">
        <v>34</v>
      </c>
      <c r="E1184" t="s">
        <v>409</v>
      </c>
      <c r="F1184" t="s">
        <v>199</v>
      </c>
      <c r="G1184" s="5">
        <v>9925360</v>
      </c>
      <c r="H1184" s="5">
        <v>19362428</v>
      </c>
    </row>
    <row r="1185" spans="1:8" x14ac:dyDescent="0.25">
      <c r="A1185" t="s">
        <v>267</v>
      </c>
      <c r="B1185">
        <v>2022</v>
      </c>
      <c r="C1185" t="s">
        <v>172</v>
      </c>
      <c r="D1185" t="s">
        <v>34</v>
      </c>
      <c r="E1185" t="s">
        <v>412</v>
      </c>
      <c r="F1185" t="s">
        <v>204</v>
      </c>
      <c r="G1185" s="5">
        <v>8265836</v>
      </c>
      <c r="H1185" s="5">
        <v>8318537</v>
      </c>
    </row>
    <row r="1186" spans="1:8" x14ac:dyDescent="0.25">
      <c r="A1186" t="s">
        <v>267</v>
      </c>
      <c r="B1186">
        <v>2022</v>
      </c>
      <c r="C1186" t="s">
        <v>172</v>
      </c>
      <c r="D1186" t="s">
        <v>34</v>
      </c>
      <c r="E1186" t="s">
        <v>410</v>
      </c>
      <c r="F1186" t="s">
        <v>201</v>
      </c>
      <c r="G1186" s="5">
        <v>7600445</v>
      </c>
      <c r="H1186" s="5">
        <v>7657656</v>
      </c>
    </row>
    <row r="1187" spans="1:8" x14ac:dyDescent="0.25">
      <c r="A1187" t="s">
        <v>267</v>
      </c>
      <c r="B1187">
        <v>2022</v>
      </c>
      <c r="C1187" t="s">
        <v>172</v>
      </c>
      <c r="D1187" t="s">
        <v>34</v>
      </c>
      <c r="E1187" t="s">
        <v>413</v>
      </c>
      <c r="F1187" t="s">
        <v>207</v>
      </c>
      <c r="G1187" s="5">
        <v>4208616</v>
      </c>
      <c r="H1187" s="5">
        <v>4271200</v>
      </c>
    </row>
    <row r="1188" spans="1:8" x14ac:dyDescent="0.25">
      <c r="A1188" t="s">
        <v>267</v>
      </c>
      <c r="B1188">
        <v>2022</v>
      </c>
      <c r="C1188" t="s">
        <v>172</v>
      </c>
      <c r="D1188" t="s">
        <v>34</v>
      </c>
      <c r="E1188" t="s">
        <v>414</v>
      </c>
      <c r="F1188" t="s">
        <v>209</v>
      </c>
      <c r="G1188" s="5">
        <v>1432890</v>
      </c>
      <c r="H1188" s="5">
        <v>4253850</v>
      </c>
    </row>
    <row r="1189" spans="1:8" x14ac:dyDescent="0.25">
      <c r="A1189" t="s">
        <v>267</v>
      </c>
      <c r="B1189">
        <v>2022</v>
      </c>
      <c r="C1189" t="s">
        <v>172</v>
      </c>
      <c r="D1189" t="s">
        <v>37</v>
      </c>
      <c r="E1189" t="s">
        <v>415</v>
      </c>
      <c r="F1189" t="s">
        <v>177</v>
      </c>
      <c r="G1189" s="5">
        <v>471304013</v>
      </c>
      <c r="H1189" s="5">
        <v>2532892787</v>
      </c>
    </row>
    <row r="1190" spans="1:8" x14ac:dyDescent="0.25">
      <c r="A1190" t="s">
        <v>267</v>
      </c>
      <c r="B1190">
        <v>2022</v>
      </c>
      <c r="C1190" t="s">
        <v>172</v>
      </c>
      <c r="D1190" t="s">
        <v>37</v>
      </c>
      <c r="E1190" t="s">
        <v>416</v>
      </c>
      <c r="F1190" t="s">
        <v>182</v>
      </c>
      <c r="G1190" s="5">
        <v>119947137</v>
      </c>
      <c r="H1190" s="5">
        <v>795040349</v>
      </c>
    </row>
    <row r="1191" spans="1:8" x14ac:dyDescent="0.25">
      <c r="A1191" t="s">
        <v>267</v>
      </c>
      <c r="B1191">
        <v>2022</v>
      </c>
      <c r="C1191" t="s">
        <v>172</v>
      </c>
      <c r="D1191" t="s">
        <v>37</v>
      </c>
      <c r="E1191" t="s">
        <v>417</v>
      </c>
      <c r="F1191" t="s">
        <v>185</v>
      </c>
      <c r="G1191" s="5">
        <v>85626035</v>
      </c>
      <c r="H1191" s="5">
        <v>89535348</v>
      </c>
    </row>
    <row r="1192" spans="1:8" x14ac:dyDescent="0.25">
      <c r="A1192" t="s">
        <v>267</v>
      </c>
      <c r="B1192">
        <v>2022</v>
      </c>
      <c r="C1192" t="s">
        <v>172</v>
      </c>
      <c r="D1192" t="s">
        <v>37</v>
      </c>
      <c r="E1192" t="s">
        <v>418</v>
      </c>
      <c r="F1192" t="s">
        <v>188</v>
      </c>
      <c r="G1192" s="5">
        <v>56247782</v>
      </c>
      <c r="H1192" s="5">
        <v>59388297</v>
      </c>
    </row>
    <row r="1193" spans="1:8" x14ac:dyDescent="0.25">
      <c r="A1193" t="s">
        <v>267</v>
      </c>
      <c r="B1193">
        <v>2022</v>
      </c>
      <c r="C1193" t="s">
        <v>172</v>
      </c>
      <c r="D1193" t="s">
        <v>37</v>
      </c>
      <c r="E1193" t="s">
        <v>420</v>
      </c>
      <c r="F1193" t="s">
        <v>200</v>
      </c>
      <c r="G1193" s="5">
        <v>17736446</v>
      </c>
      <c r="H1193" s="5">
        <v>17736446</v>
      </c>
    </row>
    <row r="1194" spans="1:8" x14ac:dyDescent="0.25">
      <c r="A1194" t="s">
        <v>267</v>
      </c>
      <c r="B1194">
        <v>2022</v>
      </c>
      <c r="C1194" t="s">
        <v>172</v>
      </c>
      <c r="D1194" t="s">
        <v>37</v>
      </c>
      <c r="E1194" t="s">
        <v>419</v>
      </c>
      <c r="F1194" t="s">
        <v>196</v>
      </c>
      <c r="G1194" s="5">
        <v>14866496</v>
      </c>
      <c r="H1194" s="5">
        <v>15100838</v>
      </c>
    </row>
    <row r="1195" spans="1:8" x14ac:dyDescent="0.25">
      <c r="A1195" t="s">
        <v>267</v>
      </c>
      <c r="B1195">
        <v>2022</v>
      </c>
      <c r="C1195" t="s">
        <v>172</v>
      </c>
      <c r="D1195" t="s">
        <v>37</v>
      </c>
      <c r="E1195" t="s">
        <v>424</v>
      </c>
      <c r="F1195" t="s">
        <v>208</v>
      </c>
      <c r="G1195" s="5">
        <v>6403744</v>
      </c>
      <c r="H1195" s="5">
        <v>6403744</v>
      </c>
    </row>
    <row r="1196" spans="1:8" x14ac:dyDescent="0.25">
      <c r="A1196" t="s">
        <v>267</v>
      </c>
      <c r="B1196">
        <v>2022</v>
      </c>
      <c r="C1196" t="s">
        <v>172</v>
      </c>
      <c r="D1196" t="s">
        <v>37</v>
      </c>
      <c r="E1196" t="s">
        <v>422</v>
      </c>
      <c r="F1196" t="s">
        <v>205</v>
      </c>
      <c r="G1196" s="5">
        <v>6117863</v>
      </c>
      <c r="H1196" s="5">
        <v>6117863</v>
      </c>
    </row>
    <row r="1197" spans="1:8" x14ac:dyDescent="0.25">
      <c r="A1197" t="s">
        <v>267</v>
      </c>
      <c r="B1197">
        <v>2022</v>
      </c>
      <c r="C1197" t="s">
        <v>172</v>
      </c>
      <c r="D1197" t="s">
        <v>37</v>
      </c>
      <c r="E1197" t="s">
        <v>423</v>
      </c>
      <c r="F1197" t="s">
        <v>206</v>
      </c>
      <c r="G1197" s="5">
        <v>5958011</v>
      </c>
      <c r="H1197" s="5">
        <v>5986811</v>
      </c>
    </row>
    <row r="1198" spans="1:8" x14ac:dyDescent="0.25">
      <c r="A1198" t="s">
        <v>267</v>
      </c>
      <c r="B1198">
        <v>2022</v>
      </c>
      <c r="C1198" t="s">
        <v>172</v>
      </c>
      <c r="D1198" t="s">
        <v>37</v>
      </c>
      <c r="E1198" t="s">
        <v>421</v>
      </c>
      <c r="F1198" t="s">
        <v>202</v>
      </c>
      <c r="G1198" s="5">
        <v>5368156</v>
      </c>
      <c r="H1198" s="5">
        <v>5368156</v>
      </c>
    </row>
    <row r="1199" spans="1:8" x14ac:dyDescent="0.25">
      <c r="A1199" t="s">
        <v>267</v>
      </c>
      <c r="B1199">
        <v>2022</v>
      </c>
      <c r="C1199" t="s">
        <v>172</v>
      </c>
      <c r="D1199" t="s">
        <v>37</v>
      </c>
      <c r="E1199" t="s">
        <v>425</v>
      </c>
      <c r="F1199" t="s">
        <v>210</v>
      </c>
      <c r="G1199" s="5">
        <v>4880179</v>
      </c>
      <c r="H1199" s="5">
        <v>4880179</v>
      </c>
    </row>
    <row r="1200" spans="1:8" x14ac:dyDescent="0.25">
      <c r="A1200" t="s">
        <v>267</v>
      </c>
      <c r="B1200">
        <v>2022</v>
      </c>
      <c r="C1200" t="s">
        <v>172</v>
      </c>
      <c r="D1200" t="s">
        <v>37</v>
      </c>
      <c r="E1200" t="s">
        <v>426</v>
      </c>
      <c r="F1200" t="s">
        <v>211</v>
      </c>
      <c r="G1200" s="5">
        <v>2937915</v>
      </c>
      <c r="H1200" s="5">
        <v>2950757</v>
      </c>
    </row>
    <row r="1201" spans="1:8" x14ac:dyDescent="0.25">
      <c r="A1201" t="s">
        <v>267</v>
      </c>
      <c r="B1201">
        <v>2022</v>
      </c>
      <c r="C1201" t="s">
        <v>172</v>
      </c>
      <c r="D1201" t="s">
        <v>37</v>
      </c>
      <c r="E1201" t="s">
        <v>427</v>
      </c>
      <c r="F1201" t="s">
        <v>212</v>
      </c>
      <c r="G1201" s="5">
        <v>1361616</v>
      </c>
      <c r="H1201" s="5">
        <v>1361616</v>
      </c>
    </row>
    <row r="1202" spans="1:8" x14ac:dyDescent="0.25">
      <c r="A1202" t="s">
        <v>267</v>
      </c>
      <c r="B1202">
        <v>2022</v>
      </c>
      <c r="C1202" t="s">
        <v>172</v>
      </c>
      <c r="D1202" t="s">
        <v>37</v>
      </c>
      <c r="E1202" t="s">
        <v>428</v>
      </c>
      <c r="F1202" t="s">
        <v>213</v>
      </c>
      <c r="G1202" s="5">
        <v>608809</v>
      </c>
      <c r="H1202" s="5">
        <v>608809</v>
      </c>
    </row>
    <row r="1203" spans="1:8" x14ac:dyDescent="0.25">
      <c r="A1203" t="s">
        <v>267</v>
      </c>
      <c r="B1203">
        <v>2022</v>
      </c>
      <c r="C1203" t="s">
        <v>172</v>
      </c>
      <c r="D1203" t="s">
        <v>37</v>
      </c>
      <c r="E1203" t="s">
        <v>431</v>
      </c>
      <c r="F1203" t="s">
        <v>217</v>
      </c>
      <c r="G1203" s="5">
        <v>341904</v>
      </c>
      <c r="H1203" s="5">
        <v>341904</v>
      </c>
    </row>
    <row r="1204" spans="1:8" x14ac:dyDescent="0.25">
      <c r="A1204" t="s">
        <v>267</v>
      </c>
      <c r="B1204">
        <v>2022</v>
      </c>
      <c r="C1204" t="s">
        <v>172</v>
      </c>
      <c r="D1204" t="s">
        <v>37</v>
      </c>
      <c r="E1204" t="s">
        <v>430</v>
      </c>
      <c r="F1204" t="s">
        <v>216</v>
      </c>
      <c r="G1204" s="5">
        <v>246246</v>
      </c>
      <c r="H1204" s="5">
        <v>697833</v>
      </c>
    </row>
    <row r="1205" spans="1:8" x14ac:dyDescent="0.25">
      <c r="A1205" t="s">
        <v>267</v>
      </c>
      <c r="B1205">
        <v>2022</v>
      </c>
      <c r="C1205" t="s">
        <v>172</v>
      </c>
      <c r="D1205" t="s">
        <v>37</v>
      </c>
      <c r="F1205" t="s">
        <v>215</v>
      </c>
      <c r="G1205" s="5">
        <v>164128</v>
      </c>
      <c r="H1205" s="5">
        <v>4487428</v>
      </c>
    </row>
    <row r="1206" spans="1:8" x14ac:dyDescent="0.25">
      <c r="A1206" t="s">
        <v>267</v>
      </c>
      <c r="B1206">
        <v>2022</v>
      </c>
      <c r="C1206" t="s">
        <v>40</v>
      </c>
      <c r="D1206" t="s">
        <v>40</v>
      </c>
      <c r="E1206" t="s">
        <v>432</v>
      </c>
      <c r="F1206" t="s">
        <v>218</v>
      </c>
      <c r="G1206" s="5">
        <v>130204262</v>
      </c>
      <c r="H1206" s="5">
        <v>134688138</v>
      </c>
    </row>
    <row r="1207" spans="1:8" x14ac:dyDescent="0.25">
      <c r="A1207" t="s">
        <v>267</v>
      </c>
      <c r="B1207">
        <v>2022</v>
      </c>
      <c r="C1207" t="s">
        <v>40</v>
      </c>
      <c r="D1207" t="s">
        <v>40</v>
      </c>
      <c r="E1207" t="s">
        <v>433</v>
      </c>
      <c r="F1207" t="s">
        <v>219</v>
      </c>
      <c r="G1207" s="5">
        <v>13016951</v>
      </c>
      <c r="H1207" s="5">
        <v>17181269</v>
      </c>
    </row>
    <row r="1208" spans="1:8" x14ac:dyDescent="0.25">
      <c r="A1208" t="s">
        <v>267</v>
      </c>
      <c r="B1208">
        <v>2022</v>
      </c>
      <c r="C1208" t="s">
        <v>40</v>
      </c>
      <c r="D1208" t="s">
        <v>40</v>
      </c>
      <c r="E1208" t="s">
        <v>437</v>
      </c>
      <c r="F1208" t="s">
        <v>223</v>
      </c>
      <c r="G1208" s="5">
        <v>161708</v>
      </c>
      <c r="H1208" s="5">
        <v>161708</v>
      </c>
    </row>
    <row r="1209" spans="1:8" x14ac:dyDescent="0.25">
      <c r="A1209" t="s">
        <v>267</v>
      </c>
      <c r="B1209">
        <v>2022</v>
      </c>
      <c r="C1209" t="s">
        <v>40</v>
      </c>
      <c r="D1209" t="s">
        <v>40</v>
      </c>
      <c r="E1209" t="s">
        <v>438</v>
      </c>
      <c r="F1209" t="s">
        <v>224</v>
      </c>
      <c r="G1209" s="5">
        <v>115356</v>
      </c>
      <c r="H1209" s="5">
        <v>115356</v>
      </c>
    </row>
    <row r="1210" spans="1:8" x14ac:dyDescent="0.25">
      <c r="A1210" t="s">
        <v>267</v>
      </c>
      <c r="B1210">
        <v>2022</v>
      </c>
      <c r="C1210" t="s">
        <v>40</v>
      </c>
      <c r="D1210" t="s">
        <v>40</v>
      </c>
      <c r="E1210" t="s">
        <v>436</v>
      </c>
      <c r="F1210" t="s">
        <v>222</v>
      </c>
      <c r="G1210" s="5">
        <v>55322</v>
      </c>
      <c r="H1210" s="5">
        <v>55322</v>
      </c>
    </row>
    <row r="1211" spans="1:8" x14ac:dyDescent="0.25">
      <c r="A1211" t="s">
        <v>267</v>
      </c>
      <c r="B1211">
        <v>2022</v>
      </c>
      <c r="C1211" t="s">
        <v>40</v>
      </c>
      <c r="D1211" t="s">
        <v>40</v>
      </c>
      <c r="F1211" t="s">
        <v>225</v>
      </c>
      <c r="G1211" s="5">
        <v>42403</v>
      </c>
      <c r="H1211" s="5">
        <v>42403</v>
      </c>
    </row>
    <row r="1212" spans="1:8" x14ac:dyDescent="0.25">
      <c r="A1212" t="s">
        <v>267</v>
      </c>
      <c r="B1212">
        <v>2022</v>
      </c>
      <c r="C1212" t="s">
        <v>40</v>
      </c>
      <c r="D1212" t="s">
        <v>40</v>
      </c>
      <c r="E1212" t="s">
        <v>435</v>
      </c>
      <c r="F1212" t="s">
        <v>221</v>
      </c>
      <c r="G1212" s="5">
        <v>7532</v>
      </c>
      <c r="H1212" s="5">
        <v>7532</v>
      </c>
    </row>
    <row r="1213" spans="1:8" x14ac:dyDescent="0.25">
      <c r="A1213" t="s">
        <v>267</v>
      </c>
      <c r="B1213">
        <v>2023</v>
      </c>
      <c r="C1213" t="s">
        <v>39</v>
      </c>
      <c r="D1213" t="s">
        <v>39</v>
      </c>
      <c r="E1213" t="s">
        <v>269</v>
      </c>
      <c r="F1213" t="s">
        <v>48</v>
      </c>
      <c r="G1213" s="5">
        <v>57208871</v>
      </c>
      <c r="H1213" s="5">
        <v>57208871</v>
      </c>
    </row>
    <row r="1214" spans="1:8" x14ac:dyDescent="0.25">
      <c r="A1214" t="s">
        <v>267</v>
      </c>
      <c r="B1214">
        <v>2023</v>
      </c>
      <c r="C1214" t="s">
        <v>39</v>
      </c>
      <c r="D1214" t="s">
        <v>39</v>
      </c>
      <c r="E1214" t="s">
        <v>268</v>
      </c>
      <c r="F1214" t="s">
        <v>47</v>
      </c>
      <c r="G1214" s="5">
        <v>33376299</v>
      </c>
      <c r="H1214" s="5">
        <v>33390433</v>
      </c>
    </row>
    <row r="1215" spans="1:8" x14ac:dyDescent="0.25">
      <c r="A1215" t="s">
        <v>267</v>
      </c>
      <c r="B1215">
        <v>2023</v>
      </c>
      <c r="C1215" t="s">
        <v>39</v>
      </c>
      <c r="D1215" t="s">
        <v>39</v>
      </c>
      <c r="E1215" t="s">
        <v>270</v>
      </c>
      <c r="F1215" t="s">
        <v>49</v>
      </c>
      <c r="G1215" s="5">
        <v>15121949</v>
      </c>
      <c r="H1215" s="5">
        <v>15121949</v>
      </c>
    </row>
    <row r="1216" spans="1:8" x14ac:dyDescent="0.25">
      <c r="A1216" t="s">
        <v>267</v>
      </c>
      <c r="B1216">
        <v>2023</v>
      </c>
      <c r="C1216" t="s">
        <v>39</v>
      </c>
      <c r="D1216" t="s">
        <v>39</v>
      </c>
      <c r="E1216" t="s">
        <v>273</v>
      </c>
      <c r="F1216" t="s">
        <v>52</v>
      </c>
      <c r="G1216" s="5">
        <v>9483993</v>
      </c>
      <c r="H1216" s="5">
        <v>9484018</v>
      </c>
    </row>
    <row r="1217" spans="1:8" x14ac:dyDescent="0.25">
      <c r="A1217" t="s">
        <v>267</v>
      </c>
      <c r="B1217">
        <v>2023</v>
      </c>
      <c r="C1217" t="s">
        <v>39</v>
      </c>
      <c r="D1217" t="s">
        <v>39</v>
      </c>
      <c r="E1217" t="s">
        <v>271</v>
      </c>
      <c r="F1217" t="s">
        <v>50</v>
      </c>
      <c r="G1217" s="5">
        <v>9146892</v>
      </c>
      <c r="H1217" s="5">
        <v>34668597</v>
      </c>
    </row>
    <row r="1218" spans="1:8" x14ac:dyDescent="0.25">
      <c r="A1218" t="s">
        <v>267</v>
      </c>
      <c r="B1218">
        <v>2023</v>
      </c>
      <c r="C1218" t="s">
        <v>39</v>
      </c>
      <c r="D1218" t="s">
        <v>39</v>
      </c>
      <c r="E1218" t="s">
        <v>275</v>
      </c>
      <c r="F1218" t="s">
        <v>54</v>
      </c>
      <c r="G1218" s="5">
        <v>8214373</v>
      </c>
      <c r="H1218" s="5">
        <v>8214373</v>
      </c>
    </row>
    <row r="1219" spans="1:8" x14ac:dyDescent="0.25">
      <c r="A1219" t="s">
        <v>267</v>
      </c>
      <c r="B1219">
        <v>2023</v>
      </c>
      <c r="C1219" t="s">
        <v>39</v>
      </c>
      <c r="D1219" t="s">
        <v>39</v>
      </c>
      <c r="E1219" t="s">
        <v>277</v>
      </c>
      <c r="F1219" t="s">
        <v>56</v>
      </c>
      <c r="G1219" s="5">
        <v>4645884</v>
      </c>
      <c r="H1219" s="5">
        <v>4645884</v>
      </c>
    </row>
    <row r="1220" spans="1:8" x14ac:dyDescent="0.25">
      <c r="A1220" t="s">
        <v>267</v>
      </c>
      <c r="B1220">
        <v>2023</v>
      </c>
      <c r="C1220" t="s">
        <v>39</v>
      </c>
      <c r="D1220" t="s">
        <v>39</v>
      </c>
      <c r="E1220" t="s">
        <v>290</v>
      </c>
      <c r="F1220" t="s">
        <v>70</v>
      </c>
      <c r="G1220" s="5">
        <v>4645502</v>
      </c>
      <c r="H1220" s="5">
        <v>4645502</v>
      </c>
    </row>
    <row r="1221" spans="1:8" x14ac:dyDescent="0.25">
      <c r="A1221" t="s">
        <v>267</v>
      </c>
      <c r="B1221">
        <v>2023</v>
      </c>
      <c r="C1221" t="s">
        <v>39</v>
      </c>
      <c r="D1221" t="s">
        <v>39</v>
      </c>
      <c r="E1221" t="s">
        <v>279</v>
      </c>
      <c r="F1221" t="s">
        <v>58</v>
      </c>
      <c r="G1221" s="5">
        <v>3893380</v>
      </c>
      <c r="H1221" s="5">
        <v>3893380</v>
      </c>
    </row>
    <row r="1222" spans="1:8" x14ac:dyDescent="0.25">
      <c r="A1222" t="s">
        <v>267</v>
      </c>
      <c r="B1222">
        <v>2023</v>
      </c>
      <c r="C1222" t="s">
        <v>39</v>
      </c>
      <c r="D1222" t="s">
        <v>39</v>
      </c>
      <c r="E1222" t="s">
        <v>274</v>
      </c>
      <c r="F1222" t="s">
        <v>53</v>
      </c>
      <c r="G1222" s="5">
        <v>3725171</v>
      </c>
      <c r="H1222" s="5">
        <v>3725171</v>
      </c>
    </row>
    <row r="1223" spans="1:8" x14ac:dyDescent="0.25">
      <c r="A1223" t="s">
        <v>267</v>
      </c>
      <c r="B1223">
        <v>2023</v>
      </c>
      <c r="C1223" t="s">
        <v>39</v>
      </c>
      <c r="D1223" t="s">
        <v>39</v>
      </c>
      <c r="E1223" t="s">
        <v>278</v>
      </c>
      <c r="F1223" t="s">
        <v>57</v>
      </c>
      <c r="G1223" s="5">
        <v>3264815</v>
      </c>
      <c r="H1223" s="5">
        <v>3264815</v>
      </c>
    </row>
    <row r="1224" spans="1:8" x14ac:dyDescent="0.25">
      <c r="A1224" t="s">
        <v>267</v>
      </c>
      <c r="B1224">
        <v>2023</v>
      </c>
      <c r="C1224" t="s">
        <v>39</v>
      </c>
      <c r="D1224" t="s">
        <v>39</v>
      </c>
      <c r="F1224" t="s">
        <v>64</v>
      </c>
      <c r="G1224" s="5">
        <v>2548132</v>
      </c>
      <c r="H1224" s="5">
        <v>2548132</v>
      </c>
    </row>
    <row r="1225" spans="1:8" x14ac:dyDescent="0.25">
      <c r="A1225" t="s">
        <v>267</v>
      </c>
      <c r="B1225">
        <v>2023</v>
      </c>
      <c r="C1225" t="s">
        <v>39</v>
      </c>
      <c r="D1225" t="s">
        <v>39</v>
      </c>
      <c r="E1225" t="s">
        <v>283</v>
      </c>
      <c r="F1225" t="s">
        <v>62</v>
      </c>
      <c r="G1225" s="5">
        <v>2324655</v>
      </c>
      <c r="H1225" s="5">
        <v>2324655</v>
      </c>
    </row>
    <row r="1226" spans="1:8" x14ac:dyDescent="0.25">
      <c r="A1226" t="s">
        <v>267</v>
      </c>
      <c r="B1226">
        <v>2023</v>
      </c>
      <c r="C1226" t="s">
        <v>39</v>
      </c>
      <c r="D1226" t="s">
        <v>39</v>
      </c>
      <c r="E1226" t="s">
        <v>276</v>
      </c>
      <c r="F1226" t="s">
        <v>55</v>
      </c>
      <c r="G1226" s="5">
        <v>1942860</v>
      </c>
      <c r="H1226" s="5">
        <v>1942860</v>
      </c>
    </row>
    <row r="1227" spans="1:8" x14ac:dyDescent="0.25">
      <c r="A1227" t="s">
        <v>267</v>
      </c>
      <c r="B1227">
        <v>2023</v>
      </c>
      <c r="C1227" t="s">
        <v>39</v>
      </c>
      <c r="D1227" t="s">
        <v>39</v>
      </c>
      <c r="E1227" t="s">
        <v>287</v>
      </c>
      <c r="F1227" t="s">
        <v>67</v>
      </c>
      <c r="G1227" s="5">
        <v>1859631</v>
      </c>
      <c r="H1227" s="5">
        <v>1859631</v>
      </c>
    </row>
    <row r="1228" spans="1:8" x14ac:dyDescent="0.25">
      <c r="A1228" t="s">
        <v>267</v>
      </c>
      <c r="B1228">
        <v>2023</v>
      </c>
      <c r="C1228" t="s">
        <v>39</v>
      </c>
      <c r="D1228" t="s">
        <v>39</v>
      </c>
      <c r="E1228" t="s">
        <v>288</v>
      </c>
      <c r="F1228" t="s">
        <v>68</v>
      </c>
      <c r="G1228" s="5">
        <v>1832669</v>
      </c>
      <c r="H1228" s="5">
        <v>1832669</v>
      </c>
    </row>
    <row r="1229" spans="1:8" x14ac:dyDescent="0.25">
      <c r="A1229" t="s">
        <v>267</v>
      </c>
      <c r="B1229">
        <v>2023</v>
      </c>
      <c r="C1229" t="s">
        <v>39</v>
      </c>
      <c r="D1229" t="s">
        <v>39</v>
      </c>
      <c r="E1229" t="s">
        <v>280</v>
      </c>
      <c r="F1229" t="s">
        <v>59</v>
      </c>
      <c r="G1229" s="5">
        <v>1757811</v>
      </c>
      <c r="H1229" s="5">
        <v>1762981</v>
      </c>
    </row>
    <row r="1230" spans="1:8" x14ac:dyDescent="0.25">
      <c r="A1230" t="s">
        <v>267</v>
      </c>
      <c r="B1230">
        <v>2023</v>
      </c>
      <c r="C1230" t="s">
        <v>39</v>
      </c>
      <c r="D1230" t="s">
        <v>39</v>
      </c>
      <c r="E1230" t="s">
        <v>303</v>
      </c>
      <c r="F1230" t="s">
        <v>83</v>
      </c>
      <c r="G1230" s="5">
        <v>1663210</v>
      </c>
      <c r="H1230" s="5">
        <v>1663210</v>
      </c>
    </row>
    <row r="1231" spans="1:8" x14ac:dyDescent="0.25">
      <c r="A1231" t="s">
        <v>267</v>
      </c>
      <c r="B1231">
        <v>2023</v>
      </c>
      <c r="C1231" t="s">
        <v>39</v>
      </c>
      <c r="D1231" t="s">
        <v>39</v>
      </c>
      <c r="E1231" t="s">
        <v>281</v>
      </c>
      <c r="F1231" t="s">
        <v>60</v>
      </c>
      <c r="G1231" s="5">
        <v>1615124</v>
      </c>
      <c r="H1231" s="5">
        <v>1615124</v>
      </c>
    </row>
    <row r="1232" spans="1:8" x14ac:dyDescent="0.25">
      <c r="A1232" t="s">
        <v>267</v>
      </c>
      <c r="B1232">
        <v>2023</v>
      </c>
      <c r="C1232" t="s">
        <v>39</v>
      </c>
      <c r="D1232" t="s">
        <v>39</v>
      </c>
      <c r="E1232" t="s">
        <v>282</v>
      </c>
      <c r="F1232" t="s">
        <v>61</v>
      </c>
      <c r="G1232" s="5">
        <v>1489751</v>
      </c>
      <c r="H1232" s="5">
        <v>1489751</v>
      </c>
    </row>
    <row r="1233" spans="1:8" x14ac:dyDescent="0.25">
      <c r="A1233" t="s">
        <v>267</v>
      </c>
      <c r="B1233">
        <v>2023</v>
      </c>
      <c r="C1233" t="s">
        <v>39</v>
      </c>
      <c r="D1233" t="s">
        <v>39</v>
      </c>
      <c r="E1233" t="s">
        <v>284</v>
      </c>
      <c r="F1233" t="s">
        <v>63</v>
      </c>
      <c r="G1233" s="5">
        <v>1413729</v>
      </c>
      <c r="H1233" s="5">
        <v>1413729</v>
      </c>
    </row>
    <row r="1234" spans="1:8" x14ac:dyDescent="0.25">
      <c r="A1234" t="s">
        <v>267</v>
      </c>
      <c r="B1234">
        <v>2023</v>
      </c>
      <c r="C1234" t="s">
        <v>39</v>
      </c>
      <c r="D1234" t="s">
        <v>39</v>
      </c>
      <c r="E1234" t="s">
        <v>294</v>
      </c>
      <c r="F1234" t="s">
        <v>74</v>
      </c>
      <c r="G1234" s="5">
        <v>1008409</v>
      </c>
      <c r="H1234" s="5">
        <v>1008409</v>
      </c>
    </row>
    <row r="1235" spans="1:8" x14ac:dyDescent="0.25">
      <c r="A1235" t="s">
        <v>267</v>
      </c>
      <c r="B1235">
        <v>2023</v>
      </c>
      <c r="C1235" t="s">
        <v>39</v>
      </c>
      <c r="D1235" t="s">
        <v>39</v>
      </c>
      <c r="E1235" t="s">
        <v>286</v>
      </c>
      <c r="F1235" t="s">
        <v>66</v>
      </c>
      <c r="G1235" s="5">
        <v>412032</v>
      </c>
      <c r="H1235" s="5">
        <v>412032</v>
      </c>
    </row>
    <row r="1236" spans="1:8" x14ac:dyDescent="0.25">
      <c r="A1236" t="s">
        <v>267</v>
      </c>
      <c r="B1236">
        <v>2023</v>
      </c>
      <c r="C1236" t="s">
        <v>39</v>
      </c>
      <c r="D1236" t="s">
        <v>39</v>
      </c>
      <c r="E1236" t="s">
        <v>272</v>
      </c>
      <c r="F1236" t="s">
        <v>51</v>
      </c>
      <c r="G1236" s="5">
        <v>411381</v>
      </c>
      <c r="H1236" s="5">
        <v>411381</v>
      </c>
    </row>
    <row r="1237" spans="1:8" x14ac:dyDescent="0.25">
      <c r="A1237" t="s">
        <v>267</v>
      </c>
      <c r="B1237">
        <v>2023</v>
      </c>
      <c r="C1237" t="s">
        <v>39</v>
      </c>
      <c r="D1237" t="s">
        <v>39</v>
      </c>
      <c r="E1237" t="s">
        <v>298</v>
      </c>
      <c r="F1237" t="s">
        <v>78</v>
      </c>
      <c r="G1237" s="5">
        <v>396275</v>
      </c>
      <c r="H1237" s="5">
        <v>396275</v>
      </c>
    </row>
    <row r="1238" spans="1:8" x14ac:dyDescent="0.25">
      <c r="A1238" t="s">
        <v>267</v>
      </c>
      <c r="B1238">
        <v>2023</v>
      </c>
      <c r="C1238" t="s">
        <v>39</v>
      </c>
      <c r="D1238" t="s">
        <v>39</v>
      </c>
      <c r="E1238" t="s">
        <v>291</v>
      </c>
      <c r="F1238" t="s">
        <v>71</v>
      </c>
      <c r="G1238" s="5">
        <v>330391</v>
      </c>
      <c r="H1238" s="5">
        <v>330391</v>
      </c>
    </row>
    <row r="1239" spans="1:8" x14ac:dyDescent="0.25">
      <c r="A1239" t="s">
        <v>267</v>
      </c>
      <c r="B1239">
        <v>2023</v>
      </c>
      <c r="C1239" t="s">
        <v>39</v>
      </c>
      <c r="D1239" t="s">
        <v>39</v>
      </c>
      <c r="E1239" t="s">
        <v>289</v>
      </c>
      <c r="F1239" t="s">
        <v>69</v>
      </c>
      <c r="G1239" s="5">
        <v>298708</v>
      </c>
      <c r="H1239" s="5">
        <v>298708</v>
      </c>
    </row>
    <row r="1240" spans="1:8" x14ac:dyDescent="0.25">
      <c r="A1240" t="s">
        <v>267</v>
      </c>
      <c r="B1240">
        <v>2023</v>
      </c>
      <c r="C1240" t="s">
        <v>39</v>
      </c>
      <c r="D1240" t="s">
        <v>39</v>
      </c>
      <c r="E1240" t="s">
        <v>308</v>
      </c>
      <c r="F1240" t="s">
        <v>88</v>
      </c>
      <c r="G1240" s="5">
        <v>201023</v>
      </c>
      <c r="H1240" s="5">
        <v>201023</v>
      </c>
    </row>
    <row r="1241" spans="1:8" x14ac:dyDescent="0.25">
      <c r="A1241" t="s">
        <v>267</v>
      </c>
      <c r="B1241">
        <v>2023</v>
      </c>
      <c r="C1241" t="s">
        <v>39</v>
      </c>
      <c r="D1241" t="s">
        <v>39</v>
      </c>
      <c r="E1241" t="s">
        <v>295</v>
      </c>
      <c r="F1241" t="s">
        <v>75</v>
      </c>
      <c r="G1241" s="5">
        <v>193688</v>
      </c>
      <c r="H1241" s="5">
        <v>193688</v>
      </c>
    </row>
    <row r="1242" spans="1:8" x14ac:dyDescent="0.25">
      <c r="A1242" t="s">
        <v>267</v>
      </c>
      <c r="B1242">
        <v>2023</v>
      </c>
      <c r="C1242" t="s">
        <v>39</v>
      </c>
      <c r="D1242" t="s">
        <v>39</v>
      </c>
      <c r="E1242" t="s">
        <v>300</v>
      </c>
      <c r="F1242" t="s">
        <v>80</v>
      </c>
      <c r="G1242" s="5">
        <v>156363</v>
      </c>
      <c r="H1242" s="5">
        <v>156363</v>
      </c>
    </row>
    <row r="1243" spans="1:8" x14ac:dyDescent="0.25">
      <c r="A1243" t="s">
        <v>267</v>
      </c>
      <c r="B1243">
        <v>2023</v>
      </c>
      <c r="C1243" t="s">
        <v>39</v>
      </c>
      <c r="D1243" t="s">
        <v>39</v>
      </c>
      <c r="E1243" t="s">
        <v>296</v>
      </c>
      <c r="F1243" t="s">
        <v>76</v>
      </c>
      <c r="G1243" s="5">
        <v>101996</v>
      </c>
      <c r="H1243" s="5">
        <v>101996</v>
      </c>
    </row>
    <row r="1244" spans="1:8" x14ac:dyDescent="0.25">
      <c r="A1244" t="s">
        <v>267</v>
      </c>
      <c r="B1244">
        <v>2023</v>
      </c>
      <c r="C1244" t="s">
        <v>39</v>
      </c>
      <c r="D1244" t="s">
        <v>39</v>
      </c>
      <c r="E1244" t="s">
        <v>301</v>
      </c>
      <c r="F1244" t="s">
        <v>81</v>
      </c>
      <c r="G1244" s="5">
        <v>98439</v>
      </c>
      <c r="H1244" s="5">
        <v>98439</v>
      </c>
    </row>
    <row r="1245" spans="1:8" x14ac:dyDescent="0.25">
      <c r="A1245" t="s">
        <v>267</v>
      </c>
      <c r="B1245">
        <v>2023</v>
      </c>
      <c r="C1245" t="s">
        <v>39</v>
      </c>
      <c r="D1245" t="s">
        <v>39</v>
      </c>
      <c r="E1245" t="s">
        <v>448</v>
      </c>
      <c r="F1245" t="s">
        <v>235</v>
      </c>
      <c r="G1245" s="5">
        <v>81126</v>
      </c>
      <c r="H1245" s="5">
        <v>81126</v>
      </c>
    </row>
    <row r="1246" spans="1:8" x14ac:dyDescent="0.25">
      <c r="A1246" t="s">
        <v>267</v>
      </c>
      <c r="B1246">
        <v>2023</v>
      </c>
      <c r="C1246" t="s">
        <v>39</v>
      </c>
      <c r="D1246" t="s">
        <v>39</v>
      </c>
      <c r="E1246" t="s">
        <v>307</v>
      </c>
      <c r="F1246" t="s">
        <v>87</v>
      </c>
      <c r="G1246" s="5">
        <v>39750</v>
      </c>
      <c r="H1246" s="5">
        <v>39750</v>
      </c>
    </row>
    <row r="1247" spans="1:8" x14ac:dyDescent="0.25">
      <c r="A1247" t="s">
        <v>267</v>
      </c>
      <c r="B1247">
        <v>2023</v>
      </c>
      <c r="C1247" t="s">
        <v>39</v>
      </c>
      <c r="D1247" t="s">
        <v>39</v>
      </c>
      <c r="E1247" t="s">
        <v>311</v>
      </c>
      <c r="F1247" t="s">
        <v>91</v>
      </c>
      <c r="G1247" s="5">
        <v>28449</v>
      </c>
      <c r="H1247" s="5">
        <v>28449</v>
      </c>
    </row>
    <row r="1248" spans="1:8" x14ac:dyDescent="0.25">
      <c r="A1248" t="s">
        <v>267</v>
      </c>
      <c r="B1248">
        <v>2023</v>
      </c>
      <c r="C1248" t="s">
        <v>92</v>
      </c>
      <c r="D1248" t="s">
        <v>36</v>
      </c>
      <c r="E1248" t="s">
        <v>36</v>
      </c>
      <c r="F1248" t="s">
        <v>93</v>
      </c>
      <c r="G1248" s="5">
        <v>1967078632</v>
      </c>
      <c r="H1248" s="5">
        <v>2280773088</v>
      </c>
    </row>
    <row r="1249" spans="1:8" x14ac:dyDescent="0.25">
      <c r="A1249" t="s">
        <v>267</v>
      </c>
      <c r="B1249">
        <v>2023</v>
      </c>
      <c r="C1249" t="s">
        <v>92</v>
      </c>
      <c r="D1249" t="s">
        <v>38</v>
      </c>
      <c r="E1249" t="s">
        <v>313</v>
      </c>
      <c r="F1249" t="s">
        <v>95</v>
      </c>
      <c r="G1249" s="5">
        <v>128000611</v>
      </c>
      <c r="H1249" s="5">
        <v>128925437</v>
      </c>
    </row>
    <row r="1250" spans="1:8" x14ac:dyDescent="0.25">
      <c r="A1250" t="s">
        <v>267</v>
      </c>
      <c r="B1250">
        <v>2023</v>
      </c>
      <c r="C1250" t="s">
        <v>92</v>
      </c>
      <c r="D1250" t="s">
        <v>38</v>
      </c>
      <c r="E1250" t="s">
        <v>314</v>
      </c>
      <c r="F1250" t="s">
        <v>96</v>
      </c>
      <c r="G1250" s="5">
        <v>124332565</v>
      </c>
      <c r="H1250" s="5">
        <v>124363904</v>
      </c>
    </row>
    <row r="1251" spans="1:8" x14ac:dyDescent="0.25">
      <c r="A1251" t="s">
        <v>267</v>
      </c>
      <c r="B1251">
        <v>2023</v>
      </c>
      <c r="C1251" t="s">
        <v>92</v>
      </c>
      <c r="D1251" t="s">
        <v>38</v>
      </c>
      <c r="E1251" t="s">
        <v>312</v>
      </c>
      <c r="F1251" t="s">
        <v>94</v>
      </c>
      <c r="G1251" s="5">
        <v>71887670</v>
      </c>
      <c r="H1251" s="5">
        <v>71988635</v>
      </c>
    </row>
    <row r="1252" spans="1:8" x14ac:dyDescent="0.25">
      <c r="A1252" t="s">
        <v>267</v>
      </c>
      <c r="B1252">
        <v>2023</v>
      </c>
      <c r="C1252" t="s">
        <v>92</v>
      </c>
      <c r="D1252" t="s">
        <v>38</v>
      </c>
      <c r="E1252" t="s">
        <v>318</v>
      </c>
      <c r="F1252" t="s">
        <v>100</v>
      </c>
      <c r="G1252" s="5">
        <v>18796934</v>
      </c>
      <c r="H1252" s="5">
        <v>18798639</v>
      </c>
    </row>
    <row r="1253" spans="1:8" x14ac:dyDescent="0.25">
      <c r="A1253" t="s">
        <v>267</v>
      </c>
      <c r="B1253">
        <v>2023</v>
      </c>
      <c r="C1253" t="s">
        <v>92</v>
      </c>
      <c r="D1253" t="s">
        <v>38</v>
      </c>
      <c r="E1253" t="s">
        <v>316</v>
      </c>
      <c r="F1253" t="s">
        <v>98</v>
      </c>
      <c r="G1253" s="5">
        <v>15502980</v>
      </c>
      <c r="H1253" s="5">
        <v>15733438</v>
      </c>
    </row>
    <row r="1254" spans="1:8" x14ac:dyDescent="0.25">
      <c r="A1254" t="s">
        <v>267</v>
      </c>
      <c r="B1254">
        <v>2023</v>
      </c>
      <c r="C1254" t="s">
        <v>92</v>
      </c>
      <c r="D1254" t="s">
        <v>38</v>
      </c>
      <c r="E1254" t="s">
        <v>315</v>
      </c>
      <c r="F1254" t="s">
        <v>97</v>
      </c>
      <c r="G1254" s="5">
        <v>15263699</v>
      </c>
      <c r="H1254" s="5">
        <v>15311028</v>
      </c>
    </row>
    <row r="1255" spans="1:8" x14ac:dyDescent="0.25">
      <c r="A1255" t="s">
        <v>267</v>
      </c>
      <c r="B1255">
        <v>2023</v>
      </c>
      <c r="C1255" t="s">
        <v>92</v>
      </c>
      <c r="D1255" t="s">
        <v>38</v>
      </c>
      <c r="E1255" t="s">
        <v>325</v>
      </c>
      <c r="F1255" t="s">
        <v>108</v>
      </c>
      <c r="G1255" s="5">
        <v>7933653</v>
      </c>
      <c r="H1255" s="5">
        <v>7936360</v>
      </c>
    </row>
    <row r="1256" spans="1:8" x14ac:dyDescent="0.25">
      <c r="A1256" t="s">
        <v>267</v>
      </c>
      <c r="B1256">
        <v>2023</v>
      </c>
      <c r="C1256" t="s">
        <v>92</v>
      </c>
      <c r="D1256" t="s">
        <v>38</v>
      </c>
      <c r="E1256" t="s">
        <v>319</v>
      </c>
      <c r="F1256" t="s">
        <v>101</v>
      </c>
      <c r="G1256" s="5">
        <v>5342504</v>
      </c>
      <c r="H1256" s="5">
        <v>5343738</v>
      </c>
    </row>
    <row r="1257" spans="1:8" x14ac:dyDescent="0.25">
      <c r="A1257" t="s">
        <v>267</v>
      </c>
      <c r="B1257">
        <v>2023</v>
      </c>
      <c r="C1257" t="s">
        <v>92</v>
      </c>
      <c r="D1257" t="s">
        <v>38</v>
      </c>
      <c r="E1257" t="s">
        <v>317</v>
      </c>
      <c r="F1257" t="s">
        <v>99</v>
      </c>
      <c r="G1257" s="5">
        <v>5178018</v>
      </c>
      <c r="H1257" s="5">
        <v>5178018</v>
      </c>
    </row>
    <row r="1258" spans="1:8" x14ac:dyDescent="0.25">
      <c r="A1258" t="s">
        <v>267</v>
      </c>
      <c r="B1258">
        <v>2023</v>
      </c>
      <c r="C1258" t="s">
        <v>92</v>
      </c>
      <c r="D1258" t="s">
        <v>38</v>
      </c>
      <c r="E1258" t="s">
        <v>321</v>
      </c>
      <c r="F1258" t="s">
        <v>103</v>
      </c>
      <c r="G1258" s="5">
        <v>4573124</v>
      </c>
      <c r="H1258" s="5">
        <v>4573124</v>
      </c>
    </row>
    <row r="1259" spans="1:8" x14ac:dyDescent="0.25">
      <c r="A1259" t="s">
        <v>267</v>
      </c>
      <c r="B1259">
        <v>2023</v>
      </c>
      <c r="C1259" t="s">
        <v>92</v>
      </c>
      <c r="D1259" t="s">
        <v>38</v>
      </c>
      <c r="E1259" t="s">
        <v>322</v>
      </c>
      <c r="F1259" t="s">
        <v>105</v>
      </c>
      <c r="G1259" s="5">
        <v>4514571</v>
      </c>
      <c r="H1259" s="5">
        <v>4514571</v>
      </c>
    </row>
    <row r="1260" spans="1:8" x14ac:dyDescent="0.25">
      <c r="A1260" t="s">
        <v>267</v>
      </c>
      <c r="B1260">
        <v>2023</v>
      </c>
      <c r="C1260" t="s">
        <v>92</v>
      </c>
      <c r="D1260" t="s">
        <v>38</v>
      </c>
      <c r="F1260" t="s">
        <v>104</v>
      </c>
      <c r="G1260" s="5">
        <v>4463203</v>
      </c>
      <c r="H1260" s="5">
        <v>4463203</v>
      </c>
    </row>
    <row r="1261" spans="1:8" x14ac:dyDescent="0.25">
      <c r="A1261" t="s">
        <v>267</v>
      </c>
      <c r="B1261">
        <v>2023</v>
      </c>
      <c r="C1261" t="s">
        <v>92</v>
      </c>
      <c r="D1261" t="s">
        <v>38</v>
      </c>
      <c r="E1261" t="s">
        <v>330</v>
      </c>
      <c r="F1261" t="s">
        <v>113</v>
      </c>
      <c r="G1261" s="5">
        <v>4273185</v>
      </c>
      <c r="H1261" s="5">
        <v>4273185</v>
      </c>
    </row>
    <row r="1262" spans="1:8" x14ac:dyDescent="0.25">
      <c r="A1262" t="s">
        <v>267</v>
      </c>
      <c r="B1262">
        <v>2023</v>
      </c>
      <c r="C1262" t="s">
        <v>92</v>
      </c>
      <c r="D1262" t="s">
        <v>38</v>
      </c>
      <c r="E1262" t="s">
        <v>323</v>
      </c>
      <c r="F1262" t="s">
        <v>106</v>
      </c>
      <c r="G1262" s="5">
        <v>4147029</v>
      </c>
      <c r="H1262" s="5">
        <v>4147029</v>
      </c>
    </row>
    <row r="1263" spans="1:8" x14ac:dyDescent="0.25">
      <c r="A1263" t="s">
        <v>267</v>
      </c>
      <c r="B1263">
        <v>2023</v>
      </c>
      <c r="C1263" t="s">
        <v>92</v>
      </c>
      <c r="D1263" t="s">
        <v>38</v>
      </c>
      <c r="E1263" t="s">
        <v>324</v>
      </c>
      <c r="F1263" t="s">
        <v>107</v>
      </c>
      <c r="G1263" s="5">
        <v>3021363</v>
      </c>
      <c r="H1263" s="5">
        <v>6203741</v>
      </c>
    </row>
    <row r="1264" spans="1:8" x14ac:dyDescent="0.25">
      <c r="A1264" t="s">
        <v>267</v>
      </c>
      <c r="B1264">
        <v>2023</v>
      </c>
      <c r="C1264" t="s">
        <v>92</v>
      </c>
      <c r="D1264" t="s">
        <v>38</v>
      </c>
      <c r="E1264" t="s">
        <v>331</v>
      </c>
      <c r="F1264" t="s">
        <v>114</v>
      </c>
      <c r="G1264" s="5">
        <v>3000089</v>
      </c>
      <c r="H1264" s="5">
        <v>3000089</v>
      </c>
    </row>
    <row r="1265" spans="1:8" x14ac:dyDescent="0.25">
      <c r="A1265" t="s">
        <v>267</v>
      </c>
      <c r="B1265">
        <v>2023</v>
      </c>
      <c r="C1265" t="s">
        <v>92</v>
      </c>
      <c r="D1265" t="s">
        <v>38</v>
      </c>
      <c r="E1265" t="s">
        <v>327</v>
      </c>
      <c r="F1265" t="s">
        <v>110</v>
      </c>
      <c r="G1265" s="5">
        <v>2099783</v>
      </c>
      <c r="H1265" s="5">
        <v>2099783</v>
      </c>
    </row>
    <row r="1266" spans="1:8" x14ac:dyDescent="0.25">
      <c r="A1266" t="s">
        <v>267</v>
      </c>
      <c r="B1266">
        <v>2023</v>
      </c>
      <c r="C1266" t="s">
        <v>92</v>
      </c>
      <c r="D1266" t="s">
        <v>38</v>
      </c>
      <c r="E1266" t="s">
        <v>337</v>
      </c>
      <c r="F1266" t="s">
        <v>120</v>
      </c>
      <c r="G1266" s="5">
        <v>2070923</v>
      </c>
      <c r="H1266" s="5">
        <v>2070923</v>
      </c>
    </row>
    <row r="1267" spans="1:8" x14ac:dyDescent="0.25">
      <c r="A1267" t="s">
        <v>267</v>
      </c>
      <c r="B1267">
        <v>2023</v>
      </c>
      <c r="C1267" t="s">
        <v>92</v>
      </c>
      <c r="D1267" t="s">
        <v>38</v>
      </c>
      <c r="E1267" t="s">
        <v>332</v>
      </c>
      <c r="F1267" t="s">
        <v>115</v>
      </c>
      <c r="G1267" s="5">
        <v>1684896</v>
      </c>
      <c r="H1267" s="5">
        <v>1684896</v>
      </c>
    </row>
    <row r="1268" spans="1:8" x14ac:dyDescent="0.25">
      <c r="A1268" t="s">
        <v>267</v>
      </c>
      <c r="B1268">
        <v>2023</v>
      </c>
      <c r="C1268" t="s">
        <v>92</v>
      </c>
      <c r="D1268" t="s">
        <v>38</v>
      </c>
      <c r="E1268" t="s">
        <v>328</v>
      </c>
      <c r="F1268" t="s">
        <v>111</v>
      </c>
      <c r="G1268" s="5">
        <v>1478944</v>
      </c>
      <c r="H1268" s="5">
        <v>1478944</v>
      </c>
    </row>
    <row r="1269" spans="1:8" x14ac:dyDescent="0.25">
      <c r="A1269" t="s">
        <v>267</v>
      </c>
      <c r="B1269">
        <v>2023</v>
      </c>
      <c r="C1269" t="s">
        <v>92</v>
      </c>
      <c r="D1269" t="s">
        <v>38</v>
      </c>
      <c r="E1269" t="s">
        <v>329</v>
      </c>
      <c r="F1269" t="s">
        <v>112</v>
      </c>
      <c r="G1269" s="5">
        <v>1295772</v>
      </c>
      <c r="H1269" s="5">
        <v>1295772</v>
      </c>
    </row>
    <row r="1270" spans="1:8" x14ac:dyDescent="0.25">
      <c r="A1270" t="s">
        <v>267</v>
      </c>
      <c r="B1270">
        <v>2023</v>
      </c>
      <c r="C1270" t="s">
        <v>92</v>
      </c>
      <c r="D1270" t="s">
        <v>38</v>
      </c>
      <c r="E1270" t="s">
        <v>452</v>
      </c>
      <c r="F1270" t="s">
        <v>239</v>
      </c>
      <c r="G1270" s="5">
        <v>825088</v>
      </c>
      <c r="H1270" s="5">
        <v>825088</v>
      </c>
    </row>
    <row r="1271" spans="1:8" x14ac:dyDescent="0.25">
      <c r="A1271" t="s">
        <v>267</v>
      </c>
      <c r="B1271">
        <v>2023</v>
      </c>
      <c r="C1271" t="s">
        <v>92</v>
      </c>
      <c r="D1271" t="s">
        <v>38</v>
      </c>
      <c r="E1271" t="s">
        <v>333</v>
      </c>
      <c r="F1271" t="s">
        <v>116</v>
      </c>
      <c r="G1271" s="5">
        <v>633984</v>
      </c>
      <c r="H1271" s="5">
        <v>633984</v>
      </c>
    </row>
    <row r="1272" spans="1:8" x14ac:dyDescent="0.25">
      <c r="A1272" t="s">
        <v>267</v>
      </c>
      <c r="B1272">
        <v>2023</v>
      </c>
      <c r="C1272" t="s">
        <v>92</v>
      </c>
      <c r="D1272" t="s">
        <v>38</v>
      </c>
      <c r="E1272" t="s">
        <v>326</v>
      </c>
      <c r="F1272" t="s">
        <v>109</v>
      </c>
      <c r="G1272" s="5">
        <v>581790</v>
      </c>
      <c r="H1272" s="5">
        <v>581790</v>
      </c>
    </row>
    <row r="1273" spans="1:8" x14ac:dyDescent="0.25">
      <c r="A1273" t="s">
        <v>267</v>
      </c>
      <c r="B1273">
        <v>2023</v>
      </c>
      <c r="C1273" t="s">
        <v>92</v>
      </c>
      <c r="D1273" t="s">
        <v>38</v>
      </c>
      <c r="E1273" t="s">
        <v>335</v>
      </c>
      <c r="F1273" t="s">
        <v>118</v>
      </c>
      <c r="G1273" s="5">
        <v>300542</v>
      </c>
      <c r="H1273" s="5">
        <v>300542</v>
      </c>
    </row>
    <row r="1274" spans="1:8" x14ac:dyDescent="0.25">
      <c r="A1274" t="s">
        <v>267</v>
      </c>
      <c r="B1274">
        <v>2023</v>
      </c>
      <c r="C1274" t="s">
        <v>92</v>
      </c>
      <c r="D1274" t="s">
        <v>38</v>
      </c>
      <c r="E1274" t="s">
        <v>342</v>
      </c>
      <c r="F1274" t="s">
        <v>125</v>
      </c>
      <c r="G1274" s="5">
        <v>233037</v>
      </c>
      <c r="H1274" s="5">
        <v>233037</v>
      </c>
    </row>
    <row r="1275" spans="1:8" x14ac:dyDescent="0.25">
      <c r="A1275" t="s">
        <v>267</v>
      </c>
      <c r="B1275">
        <v>2023</v>
      </c>
      <c r="C1275" t="s">
        <v>92</v>
      </c>
      <c r="D1275" t="s">
        <v>38</v>
      </c>
      <c r="E1275" t="s">
        <v>339</v>
      </c>
      <c r="F1275" t="s">
        <v>122</v>
      </c>
      <c r="G1275" s="5">
        <v>192332</v>
      </c>
      <c r="H1275" s="5">
        <v>192332</v>
      </c>
    </row>
    <row r="1276" spans="1:8" x14ac:dyDescent="0.25">
      <c r="A1276" t="s">
        <v>267</v>
      </c>
      <c r="B1276">
        <v>2023</v>
      </c>
      <c r="C1276" t="s">
        <v>92</v>
      </c>
      <c r="D1276" t="s">
        <v>38</v>
      </c>
      <c r="E1276" t="s">
        <v>334</v>
      </c>
      <c r="F1276" t="s">
        <v>117</v>
      </c>
      <c r="G1276" s="5">
        <v>154201</v>
      </c>
      <c r="H1276" s="5">
        <v>154201</v>
      </c>
    </row>
    <row r="1277" spans="1:8" x14ac:dyDescent="0.25">
      <c r="A1277" t="s">
        <v>267</v>
      </c>
      <c r="B1277">
        <v>2023</v>
      </c>
      <c r="C1277" t="s">
        <v>92</v>
      </c>
      <c r="D1277" t="s">
        <v>38</v>
      </c>
      <c r="E1277" t="s">
        <v>340</v>
      </c>
      <c r="F1277" t="s">
        <v>123</v>
      </c>
      <c r="G1277" s="5">
        <v>93703</v>
      </c>
      <c r="H1277" s="5">
        <v>93703</v>
      </c>
    </row>
    <row r="1278" spans="1:8" x14ac:dyDescent="0.25">
      <c r="A1278" t="s">
        <v>267</v>
      </c>
      <c r="B1278">
        <v>2023</v>
      </c>
      <c r="C1278" t="s">
        <v>92</v>
      </c>
      <c r="D1278" t="s">
        <v>38</v>
      </c>
      <c r="E1278" t="s">
        <v>336</v>
      </c>
      <c r="F1278" t="s">
        <v>119</v>
      </c>
      <c r="G1278" s="5">
        <v>61653</v>
      </c>
      <c r="H1278" s="5">
        <v>350029</v>
      </c>
    </row>
    <row r="1279" spans="1:8" x14ac:dyDescent="0.25">
      <c r="A1279" t="s">
        <v>267</v>
      </c>
      <c r="B1279">
        <v>2023</v>
      </c>
      <c r="C1279" t="s">
        <v>92</v>
      </c>
      <c r="D1279" t="s">
        <v>38</v>
      </c>
      <c r="E1279" t="s">
        <v>341</v>
      </c>
      <c r="F1279" t="s">
        <v>124</v>
      </c>
      <c r="G1279" s="5">
        <v>48250</v>
      </c>
      <c r="H1279" s="5">
        <v>48250</v>
      </c>
    </row>
    <row r="1280" spans="1:8" x14ac:dyDescent="0.25">
      <c r="A1280" t="s">
        <v>267</v>
      </c>
      <c r="B1280">
        <v>2023</v>
      </c>
      <c r="C1280" t="s">
        <v>35</v>
      </c>
      <c r="D1280" t="s">
        <v>35</v>
      </c>
      <c r="E1280" t="s">
        <v>343</v>
      </c>
      <c r="F1280" t="s">
        <v>126</v>
      </c>
      <c r="G1280" s="5">
        <v>1089709706</v>
      </c>
      <c r="H1280" s="5">
        <v>6713041419</v>
      </c>
    </row>
    <row r="1281" spans="1:8" x14ac:dyDescent="0.25">
      <c r="A1281" t="s">
        <v>267</v>
      </c>
      <c r="B1281">
        <v>2023</v>
      </c>
      <c r="C1281" t="s">
        <v>35</v>
      </c>
      <c r="D1281" t="s">
        <v>35</v>
      </c>
      <c r="E1281" t="s">
        <v>348</v>
      </c>
      <c r="F1281" t="s">
        <v>131</v>
      </c>
      <c r="G1281" s="5">
        <v>270364231</v>
      </c>
      <c r="H1281" s="5">
        <v>292454596</v>
      </c>
    </row>
    <row r="1282" spans="1:8" x14ac:dyDescent="0.25">
      <c r="A1282" t="s">
        <v>267</v>
      </c>
      <c r="B1282">
        <v>2023</v>
      </c>
      <c r="C1282" t="s">
        <v>35</v>
      </c>
      <c r="D1282" t="s">
        <v>35</v>
      </c>
      <c r="E1282" t="s">
        <v>346</v>
      </c>
      <c r="F1282" t="s">
        <v>129</v>
      </c>
      <c r="G1282" s="5">
        <v>249602433</v>
      </c>
      <c r="H1282" s="5">
        <v>1267862161</v>
      </c>
    </row>
    <row r="1283" spans="1:8" x14ac:dyDescent="0.25">
      <c r="A1283" t="s">
        <v>267</v>
      </c>
      <c r="B1283">
        <v>2023</v>
      </c>
      <c r="C1283" t="s">
        <v>35</v>
      </c>
      <c r="D1283" t="s">
        <v>35</v>
      </c>
      <c r="E1283" t="s">
        <v>344</v>
      </c>
      <c r="F1283" t="s">
        <v>127</v>
      </c>
      <c r="G1283" s="5">
        <v>232198565</v>
      </c>
      <c r="H1283" s="5">
        <v>235302840</v>
      </c>
    </row>
    <row r="1284" spans="1:8" x14ac:dyDescent="0.25">
      <c r="A1284" t="s">
        <v>267</v>
      </c>
      <c r="B1284">
        <v>2023</v>
      </c>
      <c r="C1284" t="s">
        <v>35</v>
      </c>
      <c r="D1284" t="s">
        <v>35</v>
      </c>
      <c r="E1284" t="s">
        <v>345</v>
      </c>
      <c r="F1284" t="s">
        <v>128</v>
      </c>
      <c r="G1284" s="5">
        <v>225921893</v>
      </c>
      <c r="H1284" s="5">
        <v>668809455</v>
      </c>
    </row>
    <row r="1285" spans="1:8" x14ac:dyDescent="0.25">
      <c r="A1285" t="s">
        <v>267</v>
      </c>
      <c r="B1285">
        <v>2023</v>
      </c>
      <c r="C1285" t="s">
        <v>35</v>
      </c>
      <c r="D1285" t="s">
        <v>35</v>
      </c>
      <c r="E1285" t="s">
        <v>350</v>
      </c>
      <c r="F1285" t="s">
        <v>133</v>
      </c>
      <c r="G1285" s="5">
        <v>182732219</v>
      </c>
      <c r="H1285" s="5">
        <v>188520429</v>
      </c>
    </row>
    <row r="1286" spans="1:8" x14ac:dyDescent="0.25">
      <c r="A1286" t="s">
        <v>267</v>
      </c>
      <c r="B1286">
        <v>2023</v>
      </c>
      <c r="C1286" t="s">
        <v>35</v>
      </c>
      <c r="D1286" t="s">
        <v>35</v>
      </c>
      <c r="E1286" t="s">
        <v>347</v>
      </c>
      <c r="F1286" t="s">
        <v>130</v>
      </c>
      <c r="G1286" s="5">
        <v>155045136</v>
      </c>
      <c r="H1286" s="5">
        <v>512978751</v>
      </c>
    </row>
    <row r="1287" spans="1:8" x14ac:dyDescent="0.25">
      <c r="A1287" t="s">
        <v>267</v>
      </c>
      <c r="B1287">
        <v>2023</v>
      </c>
      <c r="C1287" t="s">
        <v>35</v>
      </c>
      <c r="D1287" t="s">
        <v>35</v>
      </c>
      <c r="E1287" t="s">
        <v>354</v>
      </c>
      <c r="F1287" t="s">
        <v>137</v>
      </c>
      <c r="G1287" s="5">
        <v>131920666</v>
      </c>
      <c r="H1287" s="5">
        <v>131920666</v>
      </c>
    </row>
    <row r="1288" spans="1:8" x14ac:dyDescent="0.25">
      <c r="A1288" t="s">
        <v>267</v>
      </c>
      <c r="B1288">
        <v>2023</v>
      </c>
      <c r="C1288" t="s">
        <v>35</v>
      </c>
      <c r="D1288" t="s">
        <v>35</v>
      </c>
      <c r="E1288" t="s">
        <v>349</v>
      </c>
      <c r="F1288" t="s">
        <v>132</v>
      </c>
      <c r="G1288" s="5">
        <v>126351938</v>
      </c>
      <c r="H1288" s="5">
        <v>242450995</v>
      </c>
    </row>
    <row r="1289" spans="1:8" x14ac:dyDescent="0.25">
      <c r="A1289" t="s">
        <v>267</v>
      </c>
      <c r="B1289">
        <v>2023</v>
      </c>
      <c r="C1289" t="s">
        <v>35</v>
      </c>
      <c r="D1289" t="s">
        <v>35</v>
      </c>
      <c r="E1289" t="s">
        <v>352</v>
      </c>
      <c r="F1289" t="s">
        <v>135</v>
      </c>
      <c r="G1289" s="5">
        <v>81743648</v>
      </c>
      <c r="H1289" s="5">
        <v>120208081</v>
      </c>
    </row>
    <row r="1290" spans="1:8" x14ac:dyDescent="0.25">
      <c r="A1290" t="s">
        <v>267</v>
      </c>
      <c r="B1290">
        <v>2023</v>
      </c>
      <c r="C1290" t="s">
        <v>35</v>
      </c>
      <c r="D1290" t="s">
        <v>35</v>
      </c>
      <c r="E1290" t="s">
        <v>356</v>
      </c>
      <c r="F1290" t="s">
        <v>139</v>
      </c>
      <c r="G1290" s="5">
        <v>73982403</v>
      </c>
      <c r="H1290" s="5">
        <v>341640156</v>
      </c>
    </row>
    <row r="1291" spans="1:8" x14ac:dyDescent="0.25">
      <c r="A1291" t="s">
        <v>267</v>
      </c>
      <c r="B1291">
        <v>2023</v>
      </c>
      <c r="C1291" t="s">
        <v>35</v>
      </c>
      <c r="D1291" t="s">
        <v>35</v>
      </c>
      <c r="E1291" t="s">
        <v>351</v>
      </c>
      <c r="F1291" t="s">
        <v>134</v>
      </c>
      <c r="G1291" s="5">
        <v>71678296</v>
      </c>
      <c r="H1291" s="5">
        <v>74631108</v>
      </c>
    </row>
    <row r="1292" spans="1:8" x14ac:dyDescent="0.25">
      <c r="A1292" t="s">
        <v>267</v>
      </c>
      <c r="B1292">
        <v>2023</v>
      </c>
      <c r="C1292" t="s">
        <v>35</v>
      </c>
      <c r="D1292" t="s">
        <v>35</v>
      </c>
      <c r="E1292" t="s">
        <v>353</v>
      </c>
      <c r="F1292" t="s">
        <v>136</v>
      </c>
      <c r="G1292" s="5">
        <v>64563290</v>
      </c>
      <c r="H1292" s="5">
        <v>64563371</v>
      </c>
    </row>
    <row r="1293" spans="1:8" x14ac:dyDescent="0.25">
      <c r="A1293" t="s">
        <v>267</v>
      </c>
      <c r="B1293">
        <v>2023</v>
      </c>
      <c r="C1293" t="s">
        <v>35</v>
      </c>
      <c r="D1293" t="s">
        <v>35</v>
      </c>
      <c r="E1293" t="s">
        <v>362</v>
      </c>
      <c r="F1293" t="s">
        <v>145</v>
      </c>
      <c r="G1293" s="5">
        <v>52618308</v>
      </c>
      <c r="H1293" s="5">
        <v>52626803</v>
      </c>
    </row>
    <row r="1294" spans="1:8" x14ac:dyDescent="0.25">
      <c r="A1294" t="s">
        <v>267</v>
      </c>
      <c r="B1294">
        <v>2023</v>
      </c>
      <c r="C1294" t="s">
        <v>35</v>
      </c>
      <c r="D1294" t="s">
        <v>35</v>
      </c>
      <c r="E1294" t="s">
        <v>355</v>
      </c>
      <c r="F1294" t="s">
        <v>138</v>
      </c>
      <c r="G1294" s="5">
        <v>36052806</v>
      </c>
      <c r="H1294" s="5">
        <v>36052806</v>
      </c>
    </row>
    <row r="1295" spans="1:8" x14ac:dyDescent="0.25">
      <c r="A1295" t="s">
        <v>267</v>
      </c>
      <c r="B1295">
        <v>2023</v>
      </c>
      <c r="C1295" t="s">
        <v>35</v>
      </c>
      <c r="D1295" t="s">
        <v>35</v>
      </c>
      <c r="E1295" t="s">
        <v>361</v>
      </c>
      <c r="F1295" t="s">
        <v>144</v>
      </c>
      <c r="G1295" s="5">
        <v>32203413</v>
      </c>
      <c r="H1295" s="5">
        <v>32287513</v>
      </c>
    </row>
    <row r="1296" spans="1:8" x14ac:dyDescent="0.25">
      <c r="A1296" t="s">
        <v>267</v>
      </c>
      <c r="B1296">
        <v>2023</v>
      </c>
      <c r="C1296" t="s">
        <v>35</v>
      </c>
      <c r="D1296" t="s">
        <v>35</v>
      </c>
      <c r="E1296" t="s">
        <v>360</v>
      </c>
      <c r="F1296" t="s">
        <v>143</v>
      </c>
      <c r="G1296" s="5">
        <v>20896949</v>
      </c>
      <c r="H1296" s="5">
        <v>20896949</v>
      </c>
    </row>
    <row r="1297" spans="1:8" x14ac:dyDescent="0.25">
      <c r="A1297" t="s">
        <v>267</v>
      </c>
      <c r="B1297">
        <v>2023</v>
      </c>
      <c r="C1297" t="s">
        <v>35</v>
      </c>
      <c r="D1297" t="s">
        <v>35</v>
      </c>
      <c r="E1297" t="s">
        <v>357</v>
      </c>
      <c r="F1297" t="s">
        <v>140</v>
      </c>
      <c r="G1297" s="5">
        <v>20248256</v>
      </c>
      <c r="H1297" s="5">
        <v>20253685</v>
      </c>
    </row>
    <row r="1298" spans="1:8" x14ac:dyDescent="0.25">
      <c r="A1298" t="s">
        <v>267</v>
      </c>
      <c r="B1298">
        <v>2023</v>
      </c>
      <c r="C1298" t="s">
        <v>35</v>
      </c>
      <c r="D1298" t="s">
        <v>35</v>
      </c>
      <c r="E1298" t="s">
        <v>359</v>
      </c>
      <c r="F1298" t="s">
        <v>142</v>
      </c>
      <c r="G1298" s="5">
        <v>16584671</v>
      </c>
      <c r="H1298" s="5">
        <v>16584671</v>
      </c>
    </row>
    <row r="1299" spans="1:8" x14ac:dyDescent="0.25">
      <c r="A1299" t="s">
        <v>267</v>
      </c>
      <c r="B1299">
        <v>2023</v>
      </c>
      <c r="C1299" t="s">
        <v>35</v>
      </c>
      <c r="D1299" t="s">
        <v>35</v>
      </c>
      <c r="E1299" t="s">
        <v>365</v>
      </c>
      <c r="F1299" t="s">
        <v>148</v>
      </c>
      <c r="G1299" s="5">
        <v>14224427</v>
      </c>
      <c r="H1299" s="5">
        <v>14230846</v>
      </c>
    </row>
    <row r="1300" spans="1:8" x14ac:dyDescent="0.25">
      <c r="A1300" t="s">
        <v>267</v>
      </c>
      <c r="B1300">
        <v>2023</v>
      </c>
      <c r="C1300" t="s">
        <v>35</v>
      </c>
      <c r="D1300" t="s">
        <v>35</v>
      </c>
      <c r="E1300" t="s">
        <v>358</v>
      </c>
      <c r="F1300" t="s">
        <v>141</v>
      </c>
      <c r="G1300" s="5">
        <v>12636246</v>
      </c>
      <c r="H1300" s="5">
        <v>12636246</v>
      </c>
    </row>
    <row r="1301" spans="1:8" x14ac:dyDescent="0.25">
      <c r="A1301" t="s">
        <v>267</v>
      </c>
      <c r="B1301">
        <v>2023</v>
      </c>
      <c r="C1301" t="s">
        <v>35</v>
      </c>
      <c r="D1301" t="s">
        <v>35</v>
      </c>
      <c r="E1301" t="s">
        <v>363</v>
      </c>
      <c r="F1301" t="s">
        <v>146</v>
      </c>
      <c r="G1301" s="5">
        <v>11341572</v>
      </c>
      <c r="H1301" s="5">
        <v>11341572</v>
      </c>
    </row>
    <row r="1302" spans="1:8" x14ac:dyDescent="0.25">
      <c r="A1302" t="s">
        <v>267</v>
      </c>
      <c r="B1302">
        <v>2023</v>
      </c>
      <c r="C1302" t="s">
        <v>35</v>
      </c>
      <c r="D1302" t="s">
        <v>35</v>
      </c>
      <c r="E1302" t="s">
        <v>371</v>
      </c>
      <c r="F1302" t="s">
        <v>154</v>
      </c>
      <c r="G1302" s="5">
        <v>9219412</v>
      </c>
      <c r="H1302" s="5">
        <v>9219412</v>
      </c>
    </row>
    <row r="1303" spans="1:8" x14ac:dyDescent="0.25">
      <c r="A1303" t="s">
        <v>267</v>
      </c>
      <c r="B1303">
        <v>2023</v>
      </c>
      <c r="C1303" t="s">
        <v>35</v>
      </c>
      <c r="D1303" t="s">
        <v>35</v>
      </c>
      <c r="E1303" t="s">
        <v>367</v>
      </c>
      <c r="F1303" t="s">
        <v>150</v>
      </c>
      <c r="G1303" s="5">
        <v>8818319</v>
      </c>
      <c r="H1303" s="5">
        <v>8821311</v>
      </c>
    </row>
    <row r="1304" spans="1:8" x14ac:dyDescent="0.25">
      <c r="A1304" t="s">
        <v>267</v>
      </c>
      <c r="B1304">
        <v>2023</v>
      </c>
      <c r="C1304" t="s">
        <v>35</v>
      </c>
      <c r="D1304" t="s">
        <v>35</v>
      </c>
      <c r="E1304" t="s">
        <v>372</v>
      </c>
      <c r="F1304" t="s">
        <v>155</v>
      </c>
      <c r="G1304" s="5">
        <v>8603808</v>
      </c>
      <c r="H1304" s="5">
        <v>8603808</v>
      </c>
    </row>
    <row r="1305" spans="1:8" x14ac:dyDescent="0.25">
      <c r="A1305" t="s">
        <v>267</v>
      </c>
      <c r="B1305">
        <v>2023</v>
      </c>
      <c r="C1305" t="s">
        <v>35</v>
      </c>
      <c r="D1305" t="s">
        <v>35</v>
      </c>
      <c r="E1305" t="s">
        <v>368</v>
      </c>
      <c r="F1305" t="s">
        <v>151</v>
      </c>
      <c r="G1305" s="5">
        <v>7595141</v>
      </c>
      <c r="H1305" s="5">
        <v>7595141</v>
      </c>
    </row>
    <row r="1306" spans="1:8" x14ac:dyDescent="0.25">
      <c r="A1306" t="s">
        <v>267</v>
      </c>
      <c r="B1306">
        <v>2023</v>
      </c>
      <c r="C1306" t="s">
        <v>35</v>
      </c>
      <c r="D1306" t="s">
        <v>35</v>
      </c>
      <c r="E1306" t="s">
        <v>370</v>
      </c>
      <c r="F1306" t="s">
        <v>153</v>
      </c>
      <c r="G1306" s="5">
        <v>7322323</v>
      </c>
      <c r="H1306" s="5">
        <v>15840796</v>
      </c>
    </row>
    <row r="1307" spans="1:8" x14ac:dyDescent="0.25">
      <c r="A1307" t="s">
        <v>267</v>
      </c>
      <c r="B1307">
        <v>2023</v>
      </c>
      <c r="C1307" t="s">
        <v>35</v>
      </c>
      <c r="D1307" t="s">
        <v>35</v>
      </c>
      <c r="E1307" t="s">
        <v>378</v>
      </c>
      <c r="F1307" t="s">
        <v>162</v>
      </c>
      <c r="G1307" s="5">
        <v>5661920</v>
      </c>
      <c r="H1307" s="5">
        <v>5661920</v>
      </c>
    </row>
    <row r="1308" spans="1:8" x14ac:dyDescent="0.25">
      <c r="A1308" t="s">
        <v>267</v>
      </c>
      <c r="B1308">
        <v>2023</v>
      </c>
      <c r="C1308" t="s">
        <v>35</v>
      </c>
      <c r="D1308" t="s">
        <v>35</v>
      </c>
      <c r="E1308" t="s">
        <v>366</v>
      </c>
      <c r="F1308" t="s">
        <v>149</v>
      </c>
      <c r="G1308" s="5">
        <v>4995278</v>
      </c>
      <c r="H1308" s="5">
        <v>4995278</v>
      </c>
    </row>
    <row r="1309" spans="1:8" x14ac:dyDescent="0.25">
      <c r="A1309" t="s">
        <v>267</v>
      </c>
      <c r="B1309">
        <v>2023</v>
      </c>
      <c r="C1309" t="s">
        <v>35</v>
      </c>
      <c r="D1309" t="s">
        <v>35</v>
      </c>
      <c r="E1309" t="s">
        <v>364</v>
      </c>
      <c r="F1309" t="s">
        <v>147</v>
      </c>
      <c r="G1309" s="5">
        <v>4354611</v>
      </c>
      <c r="H1309" s="5">
        <v>119730687</v>
      </c>
    </row>
    <row r="1310" spans="1:8" x14ac:dyDescent="0.25">
      <c r="A1310" t="s">
        <v>267</v>
      </c>
      <c r="B1310">
        <v>2023</v>
      </c>
      <c r="C1310" t="s">
        <v>35</v>
      </c>
      <c r="D1310" t="s">
        <v>35</v>
      </c>
      <c r="E1310" t="s">
        <v>376</v>
      </c>
      <c r="F1310" t="s">
        <v>159</v>
      </c>
      <c r="G1310" s="5">
        <v>2697215</v>
      </c>
      <c r="H1310" s="5">
        <v>3210896</v>
      </c>
    </row>
    <row r="1311" spans="1:8" x14ac:dyDescent="0.25">
      <c r="A1311" t="s">
        <v>267</v>
      </c>
      <c r="B1311">
        <v>2023</v>
      </c>
      <c r="C1311" t="s">
        <v>35</v>
      </c>
      <c r="D1311" t="s">
        <v>35</v>
      </c>
      <c r="E1311" t="s">
        <v>369</v>
      </c>
      <c r="F1311" t="s">
        <v>152</v>
      </c>
      <c r="G1311" s="5">
        <v>2663483</v>
      </c>
      <c r="H1311" s="5">
        <v>2663483</v>
      </c>
    </row>
    <row r="1312" spans="1:8" x14ac:dyDescent="0.25">
      <c r="A1312" t="s">
        <v>267</v>
      </c>
      <c r="B1312">
        <v>2023</v>
      </c>
      <c r="C1312" t="s">
        <v>35</v>
      </c>
      <c r="D1312" t="s">
        <v>35</v>
      </c>
      <c r="F1312" t="s">
        <v>161</v>
      </c>
      <c r="G1312" s="5">
        <v>1887923</v>
      </c>
      <c r="H1312" s="5">
        <v>1887923</v>
      </c>
    </row>
    <row r="1313" spans="1:8" x14ac:dyDescent="0.25">
      <c r="A1313" t="s">
        <v>267</v>
      </c>
      <c r="B1313">
        <v>2023</v>
      </c>
      <c r="C1313" t="s">
        <v>35</v>
      </c>
      <c r="D1313" t="s">
        <v>35</v>
      </c>
      <c r="E1313" t="s">
        <v>377</v>
      </c>
      <c r="F1313" t="s">
        <v>160</v>
      </c>
      <c r="G1313" s="5">
        <v>1537939</v>
      </c>
      <c r="H1313" s="5">
        <v>1687327</v>
      </c>
    </row>
    <row r="1314" spans="1:8" x14ac:dyDescent="0.25">
      <c r="A1314" t="s">
        <v>267</v>
      </c>
      <c r="B1314">
        <v>2023</v>
      </c>
      <c r="C1314" t="s">
        <v>35</v>
      </c>
      <c r="D1314" t="s">
        <v>35</v>
      </c>
      <c r="E1314" t="s">
        <v>382</v>
      </c>
      <c r="F1314" t="s">
        <v>166</v>
      </c>
      <c r="G1314" s="5">
        <v>1080145</v>
      </c>
      <c r="H1314" s="5">
        <v>1081430</v>
      </c>
    </row>
    <row r="1315" spans="1:8" x14ac:dyDescent="0.25">
      <c r="A1315" t="s">
        <v>267</v>
      </c>
      <c r="B1315">
        <v>2023</v>
      </c>
      <c r="C1315" t="s">
        <v>35</v>
      </c>
      <c r="D1315" t="s">
        <v>35</v>
      </c>
      <c r="E1315" t="s">
        <v>380</v>
      </c>
      <c r="F1315" t="s">
        <v>164</v>
      </c>
      <c r="G1315" s="5">
        <v>629139</v>
      </c>
      <c r="H1315" s="5">
        <v>629139</v>
      </c>
    </row>
    <row r="1316" spans="1:8" x14ac:dyDescent="0.25">
      <c r="A1316" t="s">
        <v>267</v>
      </c>
      <c r="B1316">
        <v>2023</v>
      </c>
      <c r="C1316" t="s">
        <v>35</v>
      </c>
      <c r="D1316" t="s">
        <v>35</v>
      </c>
      <c r="E1316" t="s">
        <v>383</v>
      </c>
      <c r="F1316" t="s">
        <v>167</v>
      </c>
      <c r="G1316" s="5">
        <v>446351</v>
      </c>
      <c r="H1316" s="5">
        <v>446351</v>
      </c>
    </row>
    <row r="1317" spans="1:8" x14ac:dyDescent="0.25">
      <c r="A1317" t="s">
        <v>267</v>
      </c>
      <c r="B1317">
        <v>2023</v>
      </c>
      <c r="C1317" t="s">
        <v>35</v>
      </c>
      <c r="D1317" t="s">
        <v>35</v>
      </c>
      <c r="E1317" t="s">
        <v>374</v>
      </c>
      <c r="F1317" t="s">
        <v>157</v>
      </c>
      <c r="G1317" s="5">
        <v>421019</v>
      </c>
      <c r="H1317" s="5">
        <v>421019</v>
      </c>
    </row>
    <row r="1318" spans="1:8" x14ac:dyDescent="0.25">
      <c r="A1318" t="s">
        <v>267</v>
      </c>
      <c r="B1318">
        <v>2023</v>
      </c>
      <c r="C1318" t="s">
        <v>35</v>
      </c>
      <c r="D1318" t="s">
        <v>35</v>
      </c>
      <c r="E1318" t="s">
        <v>375</v>
      </c>
      <c r="F1318" t="s">
        <v>158</v>
      </c>
      <c r="G1318" s="5">
        <v>417004</v>
      </c>
      <c r="H1318" s="5">
        <v>417004</v>
      </c>
    </row>
    <row r="1319" spans="1:8" x14ac:dyDescent="0.25">
      <c r="A1319" t="s">
        <v>267</v>
      </c>
      <c r="B1319">
        <v>2023</v>
      </c>
      <c r="C1319" t="s">
        <v>35</v>
      </c>
      <c r="D1319" t="s">
        <v>35</v>
      </c>
      <c r="E1319" t="s">
        <v>384</v>
      </c>
      <c r="F1319" t="s">
        <v>168</v>
      </c>
      <c r="G1319" s="5">
        <v>176646</v>
      </c>
      <c r="H1319" s="5">
        <v>176646</v>
      </c>
    </row>
    <row r="1320" spans="1:8" x14ac:dyDescent="0.25">
      <c r="A1320" t="s">
        <v>267</v>
      </c>
      <c r="B1320">
        <v>2023</v>
      </c>
      <c r="C1320" t="s">
        <v>35</v>
      </c>
      <c r="D1320" t="s">
        <v>35</v>
      </c>
      <c r="E1320" t="s">
        <v>381</v>
      </c>
      <c r="F1320" t="s">
        <v>165</v>
      </c>
      <c r="G1320" s="5">
        <v>145614</v>
      </c>
      <c r="H1320" s="5">
        <v>145614</v>
      </c>
    </row>
    <row r="1321" spans="1:8" x14ac:dyDescent="0.25">
      <c r="A1321" t="s">
        <v>267</v>
      </c>
      <c r="B1321">
        <v>2023</v>
      </c>
      <c r="C1321" t="s">
        <v>35</v>
      </c>
      <c r="D1321" t="s">
        <v>35</v>
      </c>
      <c r="E1321" t="s">
        <v>456</v>
      </c>
      <c r="F1321" t="s">
        <v>243</v>
      </c>
      <c r="G1321" s="5">
        <v>96550</v>
      </c>
      <c r="H1321" s="5">
        <v>96550</v>
      </c>
    </row>
    <row r="1322" spans="1:8" x14ac:dyDescent="0.25">
      <c r="A1322" t="s">
        <v>267</v>
      </c>
      <c r="B1322">
        <v>2023</v>
      </c>
      <c r="C1322" t="s">
        <v>35</v>
      </c>
      <c r="D1322" t="s">
        <v>35</v>
      </c>
      <c r="E1322" t="s">
        <v>379</v>
      </c>
      <c r="F1322" t="s">
        <v>163</v>
      </c>
      <c r="G1322" s="5">
        <v>24383</v>
      </c>
      <c r="H1322" s="5">
        <v>24383</v>
      </c>
    </row>
    <row r="1323" spans="1:8" x14ac:dyDescent="0.25">
      <c r="A1323" t="s">
        <v>267</v>
      </c>
      <c r="B1323">
        <v>2023</v>
      </c>
      <c r="C1323" t="s">
        <v>172</v>
      </c>
      <c r="D1323" t="s">
        <v>34</v>
      </c>
      <c r="E1323" t="s">
        <v>388</v>
      </c>
      <c r="F1323" t="s">
        <v>173</v>
      </c>
      <c r="G1323" s="5">
        <v>3959393335</v>
      </c>
      <c r="H1323" s="5">
        <v>4331238694</v>
      </c>
    </row>
    <row r="1324" spans="1:8" x14ac:dyDescent="0.25">
      <c r="A1324" t="s">
        <v>267</v>
      </c>
      <c r="B1324">
        <v>2023</v>
      </c>
      <c r="C1324" t="s">
        <v>172</v>
      </c>
      <c r="D1324" t="s">
        <v>34</v>
      </c>
      <c r="E1324" t="s">
        <v>389</v>
      </c>
      <c r="F1324" t="s">
        <v>174</v>
      </c>
      <c r="G1324" s="5">
        <v>1439162125</v>
      </c>
      <c r="H1324" s="5">
        <v>1444017388</v>
      </c>
    </row>
    <row r="1325" spans="1:8" x14ac:dyDescent="0.25">
      <c r="A1325" t="s">
        <v>267</v>
      </c>
      <c r="B1325">
        <v>2023</v>
      </c>
      <c r="C1325" t="s">
        <v>172</v>
      </c>
      <c r="D1325" t="s">
        <v>34</v>
      </c>
      <c r="E1325" t="s">
        <v>390</v>
      </c>
      <c r="F1325" t="s">
        <v>175</v>
      </c>
      <c r="G1325" s="5">
        <v>753598227</v>
      </c>
      <c r="H1325" s="5">
        <v>827927156</v>
      </c>
    </row>
    <row r="1326" spans="1:8" x14ac:dyDescent="0.25">
      <c r="A1326" t="s">
        <v>267</v>
      </c>
      <c r="B1326">
        <v>2023</v>
      </c>
      <c r="C1326" t="s">
        <v>172</v>
      </c>
      <c r="D1326" t="s">
        <v>34</v>
      </c>
      <c r="E1326" t="s">
        <v>391</v>
      </c>
      <c r="F1326" t="s">
        <v>176</v>
      </c>
      <c r="G1326" s="5">
        <v>638962781</v>
      </c>
      <c r="H1326" s="5">
        <v>946243509</v>
      </c>
    </row>
    <row r="1327" spans="1:8" x14ac:dyDescent="0.25">
      <c r="A1327" t="s">
        <v>267</v>
      </c>
      <c r="B1327">
        <v>2023</v>
      </c>
      <c r="C1327" t="s">
        <v>172</v>
      </c>
      <c r="D1327" t="s">
        <v>34</v>
      </c>
      <c r="E1327" t="s">
        <v>392</v>
      </c>
      <c r="F1327" t="s">
        <v>178</v>
      </c>
      <c r="G1327" s="5">
        <v>422571639</v>
      </c>
      <c r="H1327" s="5">
        <v>433692304</v>
      </c>
    </row>
    <row r="1328" spans="1:8" x14ac:dyDescent="0.25">
      <c r="A1328" t="s">
        <v>267</v>
      </c>
      <c r="B1328">
        <v>2023</v>
      </c>
      <c r="C1328" t="s">
        <v>172</v>
      </c>
      <c r="D1328" t="s">
        <v>34</v>
      </c>
      <c r="E1328" t="s">
        <v>393</v>
      </c>
      <c r="F1328" t="s">
        <v>179</v>
      </c>
      <c r="G1328" s="5">
        <v>298647467</v>
      </c>
      <c r="H1328" s="5">
        <v>299316707</v>
      </c>
    </row>
    <row r="1329" spans="1:8" x14ac:dyDescent="0.25">
      <c r="A1329" t="s">
        <v>267</v>
      </c>
      <c r="B1329">
        <v>2023</v>
      </c>
      <c r="C1329" t="s">
        <v>172</v>
      </c>
      <c r="D1329" t="s">
        <v>34</v>
      </c>
      <c r="E1329" t="s">
        <v>394</v>
      </c>
      <c r="F1329" t="s">
        <v>180</v>
      </c>
      <c r="G1329" s="5">
        <v>289040454</v>
      </c>
      <c r="H1329" s="5">
        <v>299104729</v>
      </c>
    </row>
    <row r="1330" spans="1:8" x14ac:dyDescent="0.25">
      <c r="A1330" t="s">
        <v>267</v>
      </c>
      <c r="B1330">
        <v>2023</v>
      </c>
      <c r="C1330" t="s">
        <v>172</v>
      </c>
      <c r="D1330" t="s">
        <v>34</v>
      </c>
      <c r="E1330" t="s">
        <v>395</v>
      </c>
      <c r="F1330" t="s">
        <v>181</v>
      </c>
      <c r="G1330" s="5">
        <v>200933637</v>
      </c>
      <c r="H1330" s="5">
        <v>214644971</v>
      </c>
    </row>
    <row r="1331" spans="1:8" x14ac:dyDescent="0.25">
      <c r="A1331" t="s">
        <v>267</v>
      </c>
      <c r="B1331">
        <v>2023</v>
      </c>
      <c r="C1331" t="s">
        <v>172</v>
      </c>
      <c r="D1331" t="s">
        <v>34</v>
      </c>
      <c r="E1331" t="s">
        <v>397</v>
      </c>
      <c r="F1331" t="s">
        <v>184</v>
      </c>
      <c r="G1331" s="5">
        <v>163611714</v>
      </c>
      <c r="H1331" s="5">
        <v>164154851</v>
      </c>
    </row>
    <row r="1332" spans="1:8" x14ac:dyDescent="0.25">
      <c r="A1332" t="s">
        <v>267</v>
      </c>
      <c r="B1332">
        <v>2023</v>
      </c>
      <c r="C1332" t="s">
        <v>172</v>
      </c>
      <c r="D1332" t="s">
        <v>34</v>
      </c>
      <c r="E1332" t="s">
        <v>396</v>
      </c>
      <c r="F1332" t="s">
        <v>183</v>
      </c>
      <c r="G1332" s="5">
        <v>154786421</v>
      </c>
      <c r="H1332" s="5">
        <v>155956745</v>
      </c>
    </row>
    <row r="1333" spans="1:8" x14ac:dyDescent="0.25">
      <c r="A1333" t="s">
        <v>267</v>
      </c>
      <c r="B1333">
        <v>2023</v>
      </c>
      <c r="C1333" t="s">
        <v>172</v>
      </c>
      <c r="D1333" t="s">
        <v>34</v>
      </c>
      <c r="E1333" t="s">
        <v>398</v>
      </c>
      <c r="F1333" t="s">
        <v>186</v>
      </c>
      <c r="G1333" s="5">
        <v>103687230</v>
      </c>
      <c r="H1333" s="5">
        <v>103927910</v>
      </c>
    </row>
    <row r="1334" spans="1:8" x14ac:dyDescent="0.25">
      <c r="A1334" t="s">
        <v>267</v>
      </c>
      <c r="B1334">
        <v>2023</v>
      </c>
      <c r="C1334" t="s">
        <v>172</v>
      </c>
      <c r="D1334" t="s">
        <v>34</v>
      </c>
      <c r="E1334" t="s">
        <v>400</v>
      </c>
      <c r="F1334" t="s">
        <v>189</v>
      </c>
      <c r="G1334" s="5">
        <v>100738429</v>
      </c>
      <c r="H1334" s="5">
        <v>100833062</v>
      </c>
    </row>
    <row r="1335" spans="1:8" x14ac:dyDescent="0.25">
      <c r="A1335" t="s">
        <v>267</v>
      </c>
      <c r="B1335">
        <v>2023</v>
      </c>
      <c r="C1335" t="s">
        <v>172</v>
      </c>
      <c r="D1335" t="s">
        <v>34</v>
      </c>
      <c r="E1335" t="s">
        <v>399</v>
      </c>
      <c r="F1335" t="s">
        <v>187</v>
      </c>
      <c r="G1335" s="5">
        <v>83609243</v>
      </c>
      <c r="H1335" s="5">
        <v>83776459</v>
      </c>
    </row>
    <row r="1336" spans="1:8" x14ac:dyDescent="0.25">
      <c r="A1336" t="s">
        <v>267</v>
      </c>
      <c r="B1336">
        <v>2023</v>
      </c>
      <c r="C1336" t="s">
        <v>172</v>
      </c>
      <c r="D1336" t="s">
        <v>34</v>
      </c>
      <c r="E1336" t="s">
        <v>404</v>
      </c>
      <c r="F1336" t="s">
        <v>193</v>
      </c>
      <c r="G1336" s="5">
        <v>71945916</v>
      </c>
      <c r="H1336" s="5">
        <v>72055500</v>
      </c>
    </row>
    <row r="1337" spans="1:8" x14ac:dyDescent="0.25">
      <c r="A1337" t="s">
        <v>267</v>
      </c>
      <c r="B1337">
        <v>2023</v>
      </c>
      <c r="C1337" t="s">
        <v>172</v>
      </c>
      <c r="D1337" t="s">
        <v>34</v>
      </c>
      <c r="E1337" t="s">
        <v>402</v>
      </c>
      <c r="F1337" t="s">
        <v>191</v>
      </c>
      <c r="G1337" s="5">
        <v>59814812</v>
      </c>
      <c r="H1337" s="5">
        <v>60121121</v>
      </c>
    </row>
    <row r="1338" spans="1:8" x14ac:dyDescent="0.25">
      <c r="A1338" t="s">
        <v>267</v>
      </c>
      <c r="B1338">
        <v>2023</v>
      </c>
      <c r="C1338" t="s">
        <v>172</v>
      </c>
      <c r="D1338" t="s">
        <v>34</v>
      </c>
      <c r="E1338" t="s">
        <v>403</v>
      </c>
      <c r="F1338" t="s">
        <v>192</v>
      </c>
      <c r="G1338" s="5">
        <v>53134584</v>
      </c>
      <c r="H1338" s="5">
        <v>53214547</v>
      </c>
    </row>
    <row r="1339" spans="1:8" x14ac:dyDescent="0.25">
      <c r="A1339" t="s">
        <v>267</v>
      </c>
      <c r="B1339">
        <v>2023</v>
      </c>
      <c r="C1339" t="s">
        <v>172</v>
      </c>
      <c r="D1339" t="s">
        <v>34</v>
      </c>
      <c r="E1339" t="s">
        <v>401</v>
      </c>
      <c r="F1339" t="s">
        <v>190</v>
      </c>
      <c r="G1339" s="5">
        <v>38729697</v>
      </c>
      <c r="H1339" s="5">
        <v>47949924</v>
      </c>
    </row>
    <row r="1340" spans="1:8" x14ac:dyDescent="0.25">
      <c r="A1340" t="s">
        <v>267</v>
      </c>
      <c r="B1340">
        <v>2023</v>
      </c>
      <c r="C1340" t="s">
        <v>172</v>
      </c>
      <c r="D1340" t="s">
        <v>34</v>
      </c>
      <c r="E1340" t="s">
        <v>405</v>
      </c>
      <c r="F1340" t="s">
        <v>194</v>
      </c>
      <c r="G1340" s="5">
        <v>33569773</v>
      </c>
      <c r="H1340" s="5">
        <v>33851537</v>
      </c>
    </row>
    <row r="1341" spans="1:8" x14ac:dyDescent="0.25">
      <c r="A1341" t="s">
        <v>267</v>
      </c>
      <c r="B1341">
        <v>2023</v>
      </c>
      <c r="C1341" t="s">
        <v>172</v>
      </c>
      <c r="D1341" t="s">
        <v>34</v>
      </c>
      <c r="E1341" t="s">
        <v>406</v>
      </c>
      <c r="F1341" t="s">
        <v>195</v>
      </c>
      <c r="G1341" s="5">
        <v>27786323</v>
      </c>
      <c r="H1341" s="5">
        <v>27797327</v>
      </c>
    </row>
    <row r="1342" spans="1:8" x14ac:dyDescent="0.25">
      <c r="A1342" t="s">
        <v>267</v>
      </c>
      <c r="B1342">
        <v>2023</v>
      </c>
      <c r="C1342" t="s">
        <v>172</v>
      </c>
      <c r="D1342" t="s">
        <v>34</v>
      </c>
      <c r="E1342" t="s">
        <v>407</v>
      </c>
      <c r="F1342" t="s">
        <v>197</v>
      </c>
      <c r="G1342" s="5">
        <v>25727584</v>
      </c>
      <c r="H1342" s="5">
        <v>27023820</v>
      </c>
    </row>
    <row r="1343" spans="1:8" x14ac:dyDescent="0.25">
      <c r="A1343" t="s">
        <v>267</v>
      </c>
      <c r="B1343">
        <v>2023</v>
      </c>
      <c r="C1343" t="s">
        <v>172</v>
      </c>
      <c r="D1343" t="s">
        <v>34</v>
      </c>
      <c r="E1343" t="s">
        <v>408</v>
      </c>
      <c r="F1343" t="s">
        <v>198</v>
      </c>
      <c r="G1343" s="5">
        <v>25367270</v>
      </c>
      <c r="H1343" s="5">
        <v>25437078</v>
      </c>
    </row>
    <row r="1344" spans="1:8" x14ac:dyDescent="0.25">
      <c r="A1344" t="s">
        <v>267</v>
      </c>
      <c r="B1344">
        <v>2023</v>
      </c>
      <c r="C1344" t="s">
        <v>172</v>
      </c>
      <c r="D1344" t="s">
        <v>34</v>
      </c>
      <c r="E1344" t="s">
        <v>411</v>
      </c>
      <c r="F1344" t="s">
        <v>203</v>
      </c>
      <c r="G1344" s="5">
        <v>20537860</v>
      </c>
      <c r="H1344" s="5">
        <v>20547113</v>
      </c>
    </row>
    <row r="1345" spans="1:8" x14ac:dyDescent="0.25">
      <c r="A1345" t="s">
        <v>267</v>
      </c>
      <c r="B1345">
        <v>2023</v>
      </c>
      <c r="C1345" t="s">
        <v>172</v>
      </c>
      <c r="D1345" t="s">
        <v>34</v>
      </c>
      <c r="E1345" t="s">
        <v>409</v>
      </c>
      <c r="F1345" t="s">
        <v>199</v>
      </c>
      <c r="G1345" s="5">
        <v>10909256</v>
      </c>
      <c r="H1345" s="5">
        <v>14129502</v>
      </c>
    </row>
    <row r="1346" spans="1:8" x14ac:dyDescent="0.25">
      <c r="A1346" t="s">
        <v>267</v>
      </c>
      <c r="B1346">
        <v>2023</v>
      </c>
      <c r="C1346" t="s">
        <v>172</v>
      </c>
      <c r="D1346" t="s">
        <v>34</v>
      </c>
      <c r="E1346" t="s">
        <v>410</v>
      </c>
      <c r="F1346" t="s">
        <v>201</v>
      </c>
      <c r="G1346" s="5">
        <v>8678113</v>
      </c>
      <c r="H1346" s="5">
        <v>8683056</v>
      </c>
    </row>
    <row r="1347" spans="1:8" x14ac:dyDescent="0.25">
      <c r="A1347" t="s">
        <v>267</v>
      </c>
      <c r="B1347">
        <v>2023</v>
      </c>
      <c r="C1347" t="s">
        <v>172</v>
      </c>
      <c r="D1347" t="s">
        <v>34</v>
      </c>
      <c r="E1347" t="s">
        <v>412</v>
      </c>
      <c r="F1347" t="s">
        <v>204</v>
      </c>
      <c r="G1347" s="5">
        <v>7951810</v>
      </c>
      <c r="H1347" s="5">
        <v>8107333</v>
      </c>
    </row>
    <row r="1348" spans="1:8" x14ac:dyDescent="0.25">
      <c r="A1348" t="s">
        <v>267</v>
      </c>
      <c r="B1348">
        <v>2023</v>
      </c>
      <c r="C1348" t="s">
        <v>172</v>
      </c>
      <c r="D1348" t="s">
        <v>34</v>
      </c>
      <c r="E1348" t="s">
        <v>413</v>
      </c>
      <c r="F1348" t="s">
        <v>207</v>
      </c>
      <c r="G1348" s="5">
        <v>3279943</v>
      </c>
      <c r="H1348" s="5">
        <v>3391429</v>
      </c>
    </row>
    <row r="1349" spans="1:8" x14ac:dyDescent="0.25">
      <c r="A1349" t="s">
        <v>267</v>
      </c>
      <c r="B1349">
        <v>2023</v>
      </c>
      <c r="C1349" t="s">
        <v>172</v>
      </c>
      <c r="D1349" t="s">
        <v>34</v>
      </c>
      <c r="E1349" t="s">
        <v>414</v>
      </c>
      <c r="F1349" t="s">
        <v>209</v>
      </c>
      <c r="G1349" s="5">
        <v>1485786</v>
      </c>
      <c r="H1349" s="5">
        <v>1665632</v>
      </c>
    </row>
    <row r="1350" spans="1:8" x14ac:dyDescent="0.25">
      <c r="A1350" t="s">
        <v>267</v>
      </c>
      <c r="B1350">
        <v>2023</v>
      </c>
      <c r="C1350" t="s">
        <v>172</v>
      </c>
      <c r="D1350" t="s">
        <v>37</v>
      </c>
      <c r="E1350" t="s">
        <v>415</v>
      </c>
      <c r="F1350" t="s">
        <v>177</v>
      </c>
      <c r="G1350" s="5">
        <v>503041034</v>
      </c>
      <c r="H1350" s="5">
        <v>1614423578</v>
      </c>
    </row>
    <row r="1351" spans="1:8" x14ac:dyDescent="0.25">
      <c r="A1351" t="s">
        <v>267</v>
      </c>
      <c r="B1351">
        <v>2023</v>
      </c>
      <c r="C1351" t="s">
        <v>172</v>
      </c>
      <c r="D1351" t="s">
        <v>37</v>
      </c>
      <c r="E1351" t="s">
        <v>416</v>
      </c>
      <c r="F1351" t="s">
        <v>182</v>
      </c>
      <c r="G1351" s="5">
        <v>148112188</v>
      </c>
      <c r="H1351" s="5">
        <v>1062481695</v>
      </c>
    </row>
    <row r="1352" spans="1:8" x14ac:dyDescent="0.25">
      <c r="A1352" t="s">
        <v>267</v>
      </c>
      <c r="B1352">
        <v>2023</v>
      </c>
      <c r="C1352" t="s">
        <v>172</v>
      </c>
      <c r="D1352" t="s">
        <v>37</v>
      </c>
      <c r="E1352" t="s">
        <v>418</v>
      </c>
      <c r="F1352" t="s">
        <v>188</v>
      </c>
      <c r="G1352" s="5">
        <v>79511878</v>
      </c>
      <c r="H1352" s="5">
        <v>81406087</v>
      </c>
    </row>
    <row r="1353" spans="1:8" x14ac:dyDescent="0.25">
      <c r="A1353" t="s">
        <v>267</v>
      </c>
      <c r="B1353">
        <v>2023</v>
      </c>
      <c r="C1353" t="s">
        <v>172</v>
      </c>
      <c r="D1353" t="s">
        <v>37</v>
      </c>
      <c r="E1353" t="s">
        <v>417</v>
      </c>
      <c r="F1353" t="s">
        <v>185</v>
      </c>
      <c r="G1353" s="5">
        <v>48026014</v>
      </c>
      <c r="H1353" s="5">
        <v>48031371</v>
      </c>
    </row>
    <row r="1354" spans="1:8" x14ac:dyDescent="0.25">
      <c r="A1354" t="s">
        <v>267</v>
      </c>
      <c r="B1354">
        <v>2023</v>
      </c>
      <c r="C1354" t="s">
        <v>172</v>
      </c>
      <c r="D1354" t="s">
        <v>37</v>
      </c>
      <c r="E1354" t="s">
        <v>420</v>
      </c>
      <c r="F1354" t="s">
        <v>200</v>
      </c>
      <c r="G1354" s="5">
        <v>22564074</v>
      </c>
      <c r="H1354" s="5">
        <v>22565707</v>
      </c>
    </row>
    <row r="1355" spans="1:8" x14ac:dyDescent="0.25">
      <c r="A1355" t="s">
        <v>267</v>
      </c>
      <c r="B1355">
        <v>2023</v>
      </c>
      <c r="C1355" t="s">
        <v>172</v>
      </c>
      <c r="D1355" t="s">
        <v>37</v>
      </c>
      <c r="E1355" t="s">
        <v>419</v>
      </c>
      <c r="F1355" t="s">
        <v>196</v>
      </c>
      <c r="G1355" s="5">
        <v>14154181</v>
      </c>
      <c r="H1355" s="5">
        <v>14512294</v>
      </c>
    </row>
    <row r="1356" spans="1:8" x14ac:dyDescent="0.25">
      <c r="A1356" t="s">
        <v>267</v>
      </c>
      <c r="B1356">
        <v>2023</v>
      </c>
      <c r="C1356" t="s">
        <v>172</v>
      </c>
      <c r="D1356" t="s">
        <v>37</v>
      </c>
      <c r="E1356" t="s">
        <v>425</v>
      </c>
      <c r="F1356" t="s">
        <v>210</v>
      </c>
      <c r="G1356" s="5">
        <v>8143259</v>
      </c>
      <c r="H1356" s="5">
        <v>8143259</v>
      </c>
    </row>
    <row r="1357" spans="1:8" x14ac:dyDescent="0.25">
      <c r="A1357" t="s">
        <v>267</v>
      </c>
      <c r="B1357">
        <v>2023</v>
      </c>
      <c r="C1357" t="s">
        <v>172</v>
      </c>
      <c r="D1357" t="s">
        <v>37</v>
      </c>
      <c r="E1357" t="s">
        <v>421</v>
      </c>
      <c r="F1357" t="s">
        <v>202</v>
      </c>
      <c r="G1357" s="5">
        <v>6470673</v>
      </c>
      <c r="H1357" s="5">
        <v>6470673</v>
      </c>
    </row>
    <row r="1358" spans="1:8" x14ac:dyDescent="0.25">
      <c r="A1358" t="s">
        <v>267</v>
      </c>
      <c r="B1358">
        <v>2023</v>
      </c>
      <c r="C1358" t="s">
        <v>172</v>
      </c>
      <c r="D1358" t="s">
        <v>37</v>
      </c>
      <c r="E1358" t="s">
        <v>423</v>
      </c>
      <c r="F1358" t="s">
        <v>206</v>
      </c>
      <c r="G1358" s="5">
        <v>6309877</v>
      </c>
      <c r="H1358" s="5">
        <v>6309877</v>
      </c>
    </row>
    <row r="1359" spans="1:8" x14ac:dyDescent="0.25">
      <c r="A1359" t="s">
        <v>267</v>
      </c>
      <c r="B1359">
        <v>2023</v>
      </c>
      <c r="C1359" t="s">
        <v>172</v>
      </c>
      <c r="D1359" t="s">
        <v>37</v>
      </c>
      <c r="E1359" t="s">
        <v>424</v>
      </c>
      <c r="F1359" t="s">
        <v>208</v>
      </c>
      <c r="G1359" s="5">
        <v>5765329</v>
      </c>
      <c r="H1359" s="5">
        <v>5765329</v>
      </c>
    </row>
    <row r="1360" spans="1:8" x14ac:dyDescent="0.25">
      <c r="A1360" t="s">
        <v>267</v>
      </c>
      <c r="B1360">
        <v>2023</v>
      </c>
      <c r="C1360" t="s">
        <v>172</v>
      </c>
      <c r="D1360" t="s">
        <v>37</v>
      </c>
      <c r="E1360" t="s">
        <v>422</v>
      </c>
      <c r="F1360" t="s">
        <v>205</v>
      </c>
      <c r="G1360" s="5">
        <v>4657089</v>
      </c>
      <c r="H1360" s="5">
        <v>4670852</v>
      </c>
    </row>
    <row r="1361" spans="1:8" x14ac:dyDescent="0.25">
      <c r="A1361" t="s">
        <v>267</v>
      </c>
      <c r="B1361">
        <v>2023</v>
      </c>
      <c r="C1361" t="s">
        <v>172</v>
      </c>
      <c r="D1361" t="s">
        <v>37</v>
      </c>
      <c r="E1361" t="s">
        <v>426</v>
      </c>
      <c r="F1361" t="s">
        <v>211</v>
      </c>
      <c r="G1361" s="5">
        <v>1890880</v>
      </c>
      <c r="H1361" s="5">
        <v>1890880</v>
      </c>
    </row>
    <row r="1362" spans="1:8" x14ac:dyDescent="0.25">
      <c r="A1362" t="s">
        <v>267</v>
      </c>
      <c r="B1362">
        <v>2023</v>
      </c>
      <c r="C1362" t="s">
        <v>172</v>
      </c>
      <c r="D1362" t="s">
        <v>37</v>
      </c>
      <c r="E1362" t="s">
        <v>427</v>
      </c>
      <c r="F1362" t="s">
        <v>212</v>
      </c>
      <c r="G1362" s="5">
        <v>1569698</v>
      </c>
      <c r="H1362" s="5">
        <v>1569698</v>
      </c>
    </row>
    <row r="1363" spans="1:8" x14ac:dyDescent="0.25">
      <c r="A1363" t="s">
        <v>267</v>
      </c>
      <c r="B1363">
        <v>2023</v>
      </c>
      <c r="C1363" t="s">
        <v>172</v>
      </c>
      <c r="D1363" t="s">
        <v>37</v>
      </c>
      <c r="E1363" t="s">
        <v>428</v>
      </c>
      <c r="F1363" t="s">
        <v>213</v>
      </c>
      <c r="G1363" s="5">
        <v>870824</v>
      </c>
      <c r="H1363" s="5">
        <v>870824</v>
      </c>
    </row>
    <row r="1364" spans="1:8" x14ac:dyDescent="0.25">
      <c r="A1364" t="s">
        <v>267</v>
      </c>
      <c r="B1364">
        <v>2023</v>
      </c>
      <c r="C1364" t="s">
        <v>172</v>
      </c>
      <c r="D1364" t="s">
        <v>37</v>
      </c>
      <c r="E1364" t="s">
        <v>431</v>
      </c>
      <c r="F1364" t="s">
        <v>217</v>
      </c>
      <c r="G1364" s="5">
        <v>232806</v>
      </c>
      <c r="H1364" s="5">
        <v>232806</v>
      </c>
    </row>
    <row r="1365" spans="1:8" x14ac:dyDescent="0.25">
      <c r="A1365" t="s">
        <v>267</v>
      </c>
      <c r="B1365">
        <v>2023</v>
      </c>
      <c r="C1365" t="s">
        <v>172</v>
      </c>
      <c r="D1365" t="s">
        <v>37</v>
      </c>
      <c r="E1365" t="s">
        <v>430</v>
      </c>
      <c r="F1365" t="s">
        <v>216</v>
      </c>
      <c r="G1365" s="5">
        <v>114465</v>
      </c>
      <c r="H1365" s="5">
        <v>181684</v>
      </c>
    </row>
    <row r="1366" spans="1:8" x14ac:dyDescent="0.25">
      <c r="A1366" t="s">
        <v>267</v>
      </c>
      <c r="B1366">
        <v>2023</v>
      </c>
      <c r="C1366" t="s">
        <v>172</v>
      </c>
      <c r="D1366" t="s">
        <v>37</v>
      </c>
      <c r="E1366" t="s">
        <v>429</v>
      </c>
      <c r="F1366" t="s">
        <v>214</v>
      </c>
      <c r="G1366" s="5">
        <v>47715</v>
      </c>
      <c r="H1366" s="5">
        <v>47715</v>
      </c>
    </row>
    <row r="1367" spans="1:8" x14ac:dyDescent="0.25">
      <c r="A1367" t="s">
        <v>267</v>
      </c>
      <c r="B1367">
        <v>2023</v>
      </c>
      <c r="C1367" t="s">
        <v>172</v>
      </c>
      <c r="D1367" t="s">
        <v>37</v>
      </c>
      <c r="F1367" t="s">
        <v>215</v>
      </c>
      <c r="G1367" s="5">
        <v>3801</v>
      </c>
      <c r="H1367" s="5">
        <v>4121778</v>
      </c>
    </row>
    <row r="1368" spans="1:8" x14ac:dyDescent="0.25">
      <c r="A1368" t="s">
        <v>267</v>
      </c>
      <c r="B1368">
        <v>2023</v>
      </c>
      <c r="C1368" t="s">
        <v>40</v>
      </c>
      <c r="D1368" t="s">
        <v>40</v>
      </c>
      <c r="E1368" t="s">
        <v>432</v>
      </c>
      <c r="F1368" t="s">
        <v>218</v>
      </c>
      <c r="G1368" s="5">
        <v>118388969</v>
      </c>
      <c r="H1368" s="5">
        <v>120043606</v>
      </c>
    </row>
    <row r="1369" spans="1:8" x14ac:dyDescent="0.25">
      <c r="A1369" t="s">
        <v>267</v>
      </c>
      <c r="B1369">
        <v>2023</v>
      </c>
      <c r="C1369" t="s">
        <v>40</v>
      </c>
      <c r="D1369" t="s">
        <v>40</v>
      </c>
      <c r="E1369" t="s">
        <v>433</v>
      </c>
      <c r="F1369" t="s">
        <v>219</v>
      </c>
      <c r="G1369" s="5">
        <v>10680513</v>
      </c>
      <c r="H1369" s="5">
        <v>10691678</v>
      </c>
    </row>
    <row r="1370" spans="1:8" x14ac:dyDescent="0.25">
      <c r="A1370" t="s">
        <v>267</v>
      </c>
      <c r="B1370">
        <v>2023</v>
      </c>
      <c r="C1370" t="s">
        <v>40</v>
      </c>
      <c r="D1370" t="s">
        <v>40</v>
      </c>
      <c r="E1370" t="s">
        <v>436</v>
      </c>
      <c r="F1370" t="s">
        <v>222</v>
      </c>
      <c r="G1370" s="5">
        <v>151355</v>
      </c>
      <c r="H1370" s="5">
        <v>163605</v>
      </c>
    </row>
    <row r="1371" spans="1:8" x14ac:dyDescent="0.25">
      <c r="A1371" t="s">
        <v>267</v>
      </c>
      <c r="B1371">
        <v>2023</v>
      </c>
      <c r="C1371" t="s">
        <v>40</v>
      </c>
      <c r="D1371" t="s">
        <v>40</v>
      </c>
      <c r="E1371" t="s">
        <v>438</v>
      </c>
      <c r="F1371" t="s">
        <v>224</v>
      </c>
      <c r="G1371" s="5">
        <v>126387</v>
      </c>
      <c r="H1371" s="5">
        <v>126387</v>
      </c>
    </row>
    <row r="1372" spans="1:8" x14ac:dyDescent="0.25">
      <c r="A1372" t="s">
        <v>267</v>
      </c>
      <c r="B1372">
        <v>2023</v>
      </c>
      <c r="C1372" t="s">
        <v>40</v>
      </c>
      <c r="D1372" t="s">
        <v>40</v>
      </c>
      <c r="F1372" t="s">
        <v>225</v>
      </c>
      <c r="G1372" s="5">
        <v>106431</v>
      </c>
      <c r="H1372" s="5">
        <v>106431</v>
      </c>
    </row>
    <row r="1373" spans="1:8" x14ac:dyDescent="0.25">
      <c r="A1373" t="s">
        <v>267</v>
      </c>
      <c r="B1373">
        <v>2024</v>
      </c>
      <c r="C1373" t="s">
        <v>39</v>
      </c>
      <c r="D1373" t="s">
        <v>39</v>
      </c>
      <c r="E1373" t="s">
        <v>269</v>
      </c>
      <c r="F1373" t="s">
        <v>48</v>
      </c>
      <c r="G1373" s="5">
        <v>54574193</v>
      </c>
      <c r="H1373" s="5">
        <v>54704126</v>
      </c>
    </row>
    <row r="1374" spans="1:8" x14ac:dyDescent="0.25">
      <c r="A1374" t="s">
        <v>267</v>
      </c>
      <c r="B1374">
        <v>2024</v>
      </c>
      <c r="C1374" t="s">
        <v>39</v>
      </c>
      <c r="D1374" t="s">
        <v>39</v>
      </c>
      <c r="E1374" t="s">
        <v>268</v>
      </c>
      <c r="F1374" t="s">
        <v>47</v>
      </c>
      <c r="G1374" s="5">
        <v>36167477</v>
      </c>
      <c r="H1374" s="5">
        <v>36321570</v>
      </c>
    </row>
    <row r="1375" spans="1:8" x14ac:dyDescent="0.25">
      <c r="A1375" t="s">
        <v>267</v>
      </c>
      <c r="B1375">
        <v>2024</v>
      </c>
      <c r="C1375" t="s">
        <v>39</v>
      </c>
      <c r="D1375" t="s">
        <v>39</v>
      </c>
      <c r="E1375" t="s">
        <v>270</v>
      </c>
      <c r="F1375" t="s">
        <v>49</v>
      </c>
      <c r="G1375" s="5">
        <v>12849157</v>
      </c>
      <c r="H1375" s="5">
        <v>12849157</v>
      </c>
    </row>
    <row r="1376" spans="1:8" x14ac:dyDescent="0.25">
      <c r="A1376" t="s">
        <v>267</v>
      </c>
      <c r="B1376">
        <v>2024</v>
      </c>
      <c r="C1376" t="s">
        <v>39</v>
      </c>
      <c r="D1376" t="s">
        <v>39</v>
      </c>
      <c r="E1376" t="s">
        <v>275</v>
      </c>
      <c r="F1376" t="s">
        <v>54</v>
      </c>
      <c r="G1376" s="5">
        <v>10872265</v>
      </c>
      <c r="H1376" s="5">
        <v>10877067</v>
      </c>
    </row>
    <row r="1377" spans="1:8" x14ac:dyDescent="0.25">
      <c r="A1377" t="s">
        <v>267</v>
      </c>
      <c r="B1377">
        <v>2024</v>
      </c>
      <c r="C1377" t="s">
        <v>39</v>
      </c>
      <c r="D1377" t="s">
        <v>39</v>
      </c>
      <c r="E1377" t="s">
        <v>271</v>
      </c>
      <c r="F1377" t="s">
        <v>50</v>
      </c>
      <c r="G1377" s="5">
        <v>9838361</v>
      </c>
      <c r="H1377" s="5">
        <v>53658199</v>
      </c>
    </row>
    <row r="1378" spans="1:8" x14ac:dyDescent="0.25">
      <c r="A1378" t="s">
        <v>267</v>
      </c>
      <c r="B1378">
        <v>2024</v>
      </c>
      <c r="C1378" t="s">
        <v>39</v>
      </c>
      <c r="D1378" t="s">
        <v>39</v>
      </c>
      <c r="E1378" t="s">
        <v>273</v>
      </c>
      <c r="F1378" t="s">
        <v>52</v>
      </c>
      <c r="G1378" s="5">
        <v>8872412</v>
      </c>
      <c r="H1378" s="5">
        <v>8885018</v>
      </c>
    </row>
    <row r="1379" spans="1:8" x14ac:dyDescent="0.25">
      <c r="A1379" t="s">
        <v>267</v>
      </c>
      <c r="B1379">
        <v>2024</v>
      </c>
      <c r="C1379" t="s">
        <v>39</v>
      </c>
      <c r="D1379" t="s">
        <v>39</v>
      </c>
      <c r="E1379" t="s">
        <v>277</v>
      </c>
      <c r="F1379" t="s">
        <v>56</v>
      </c>
      <c r="G1379" s="5">
        <v>5791605</v>
      </c>
      <c r="H1379" s="5">
        <v>5791605</v>
      </c>
    </row>
    <row r="1380" spans="1:8" x14ac:dyDescent="0.25">
      <c r="A1380" t="s">
        <v>267</v>
      </c>
      <c r="B1380">
        <v>2024</v>
      </c>
      <c r="C1380" t="s">
        <v>39</v>
      </c>
      <c r="D1380" t="s">
        <v>39</v>
      </c>
      <c r="E1380" t="s">
        <v>274</v>
      </c>
      <c r="F1380" t="s">
        <v>53</v>
      </c>
      <c r="G1380" s="5">
        <v>4620106</v>
      </c>
      <c r="H1380" s="5">
        <v>4620106</v>
      </c>
    </row>
    <row r="1381" spans="1:8" x14ac:dyDescent="0.25">
      <c r="A1381" t="s">
        <v>267</v>
      </c>
      <c r="B1381">
        <v>2024</v>
      </c>
      <c r="C1381" t="s">
        <v>39</v>
      </c>
      <c r="D1381" t="s">
        <v>39</v>
      </c>
      <c r="E1381" t="s">
        <v>293</v>
      </c>
      <c r="F1381" t="s">
        <v>73</v>
      </c>
      <c r="G1381" s="5">
        <v>4539806</v>
      </c>
      <c r="H1381" s="5">
        <v>4539806</v>
      </c>
    </row>
    <row r="1382" spans="1:8" x14ac:dyDescent="0.25">
      <c r="A1382" t="s">
        <v>267</v>
      </c>
      <c r="B1382">
        <v>2024</v>
      </c>
      <c r="C1382" t="s">
        <v>39</v>
      </c>
      <c r="D1382" t="s">
        <v>39</v>
      </c>
      <c r="E1382" t="s">
        <v>311</v>
      </c>
      <c r="F1382" t="s">
        <v>91</v>
      </c>
      <c r="G1382" s="5">
        <v>3479842</v>
      </c>
      <c r="H1382" s="5">
        <v>3479842</v>
      </c>
    </row>
    <row r="1383" spans="1:8" x14ac:dyDescent="0.25">
      <c r="A1383" t="s">
        <v>267</v>
      </c>
      <c r="B1383">
        <v>2024</v>
      </c>
      <c r="C1383" t="s">
        <v>39</v>
      </c>
      <c r="D1383" t="s">
        <v>39</v>
      </c>
      <c r="E1383" t="s">
        <v>290</v>
      </c>
      <c r="F1383" t="s">
        <v>70</v>
      </c>
      <c r="G1383" s="5">
        <v>3346153</v>
      </c>
      <c r="H1383" s="5">
        <v>3346153</v>
      </c>
    </row>
    <row r="1384" spans="1:8" x14ac:dyDescent="0.25">
      <c r="A1384" t="s">
        <v>267</v>
      </c>
      <c r="B1384">
        <v>2024</v>
      </c>
      <c r="C1384" t="s">
        <v>39</v>
      </c>
      <c r="D1384" t="s">
        <v>39</v>
      </c>
      <c r="E1384" t="s">
        <v>284</v>
      </c>
      <c r="F1384" t="s">
        <v>63</v>
      </c>
      <c r="G1384" s="5">
        <v>2329709</v>
      </c>
      <c r="H1384" s="5">
        <v>2329709</v>
      </c>
    </row>
    <row r="1385" spans="1:8" x14ac:dyDescent="0.25">
      <c r="A1385" t="s">
        <v>267</v>
      </c>
      <c r="B1385">
        <v>2024</v>
      </c>
      <c r="C1385" t="s">
        <v>39</v>
      </c>
      <c r="D1385" t="s">
        <v>39</v>
      </c>
      <c r="E1385" t="s">
        <v>276</v>
      </c>
      <c r="F1385" t="s">
        <v>55</v>
      </c>
      <c r="G1385" s="5">
        <v>2277303</v>
      </c>
      <c r="H1385" s="5">
        <v>2277303</v>
      </c>
    </row>
    <row r="1386" spans="1:8" x14ac:dyDescent="0.25">
      <c r="A1386" t="s">
        <v>267</v>
      </c>
      <c r="B1386">
        <v>2024</v>
      </c>
      <c r="C1386" t="s">
        <v>39</v>
      </c>
      <c r="D1386" t="s">
        <v>39</v>
      </c>
      <c r="E1386" t="s">
        <v>280</v>
      </c>
      <c r="F1386" t="s">
        <v>59</v>
      </c>
      <c r="G1386" s="5">
        <v>2100044</v>
      </c>
      <c r="H1386" s="5">
        <v>2120766</v>
      </c>
    </row>
    <row r="1387" spans="1:8" x14ac:dyDescent="0.25">
      <c r="A1387" t="s">
        <v>267</v>
      </c>
      <c r="B1387">
        <v>2024</v>
      </c>
      <c r="C1387" t="s">
        <v>39</v>
      </c>
      <c r="D1387" t="s">
        <v>39</v>
      </c>
      <c r="E1387" t="s">
        <v>282</v>
      </c>
      <c r="F1387" t="s">
        <v>61</v>
      </c>
      <c r="G1387" s="5">
        <v>1980128</v>
      </c>
      <c r="H1387" s="5">
        <v>1980128</v>
      </c>
    </row>
    <row r="1388" spans="1:8" x14ac:dyDescent="0.25">
      <c r="A1388" t="s">
        <v>267</v>
      </c>
      <c r="B1388">
        <v>2024</v>
      </c>
      <c r="C1388" t="s">
        <v>39</v>
      </c>
      <c r="D1388" t="s">
        <v>39</v>
      </c>
      <c r="E1388" t="s">
        <v>297</v>
      </c>
      <c r="F1388" t="s">
        <v>77</v>
      </c>
      <c r="G1388" s="5">
        <v>1678494</v>
      </c>
      <c r="H1388" s="5">
        <v>1678494</v>
      </c>
    </row>
    <row r="1389" spans="1:8" x14ac:dyDescent="0.25">
      <c r="A1389" t="s">
        <v>267</v>
      </c>
      <c r="B1389">
        <v>2024</v>
      </c>
      <c r="C1389" t="s">
        <v>39</v>
      </c>
      <c r="D1389" t="s">
        <v>39</v>
      </c>
      <c r="E1389" t="s">
        <v>279</v>
      </c>
      <c r="F1389" t="s">
        <v>58</v>
      </c>
      <c r="G1389" s="5">
        <v>1590160</v>
      </c>
      <c r="H1389" s="5">
        <v>1590160</v>
      </c>
    </row>
    <row r="1390" spans="1:8" x14ac:dyDescent="0.25">
      <c r="A1390" t="s">
        <v>267</v>
      </c>
      <c r="B1390">
        <v>2024</v>
      </c>
      <c r="C1390" t="s">
        <v>39</v>
      </c>
      <c r="D1390" t="s">
        <v>39</v>
      </c>
      <c r="E1390" t="s">
        <v>281</v>
      </c>
      <c r="F1390" t="s">
        <v>60</v>
      </c>
      <c r="G1390" s="5">
        <v>1282785</v>
      </c>
      <c r="H1390" s="5">
        <v>1283036</v>
      </c>
    </row>
    <row r="1391" spans="1:8" x14ac:dyDescent="0.25">
      <c r="A1391" t="s">
        <v>267</v>
      </c>
      <c r="B1391">
        <v>2024</v>
      </c>
      <c r="C1391" t="s">
        <v>39</v>
      </c>
      <c r="D1391" t="s">
        <v>39</v>
      </c>
      <c r="E1391" t="s">
        <v>278</v>
      </c>
      <c r="F1391" t="s">
        <v>57</v>
      </c>
      <c r="G1391" s="5">
        <v>1263257</v>
      </c>
      <c r="H1391" s="5">
        <v>1263257</v>
      </c>
    </row>
    <row r="1392" spans="1:8" x14ac:dyDescent="0.25">
      <c r="A1392" t="s">
        <v>267</v>
      </c>
      <c r="B1392">
        <v>2024</v>
      </c>
      <c r="C1392" t="s">
        <v>39</v>
      </c>
      <c r="D1392" t="s">
        <v>39</v>
      </c>
      <c r="E1392" t="s">
        <v>287</v>
      </c>
      <c r="F1392" t="s">
        <v>67</v>
      </c>
      <c r="G1392" s="5">
        <v>1073772</v>
      </c>
      <c r="H1392" s="5">
        <v>1073772</v>
      </c>
    </row>
    <row r="1393" spans="1:8" x14ac:dyDescent="0.25">
      <c r="A1393" t="s">
        <v>267</v>
      </c>
      <c r="B1393">
        <v>2024</v>
      </c>
      <c r="C1393" t="s">
        <v>39</v>
      </c>
      <c r="D1393" t="s">
        <v>39</v>
      </c>
      <c r="E1393" t="s">
        <v>286</v>
      </c>
      <c r="F1393" t="s">
        <v>66</v>
      </c>
      <c r="G1393" s="5">
        <v>975418</v>
      </c>
      <c r="H1393" s="5">
        <v>975418</v>
      </c>
    </row>
    <row r="1394" spans="1:8" x14ac:dyDescent="0.25">
      <c r="A1394" t="s">
        <v>267</v>
      </c>
      <c r="B1394">
        <v>2024</v>
      </c>
      <c r="C1394" t="s">
        <v>39</v>
      </c>
      <c r="D1394" t="s">
        <v>39</v>
      </c>
      <c r="E1394" t="s">
        <v>283</v>
      </c>
      <c r="F1394" t="s">
        <v>62</v>
      </c>
      <c r="G1394" s="5">
        <v>516839</v>
      </c>
      <c r="H1394" s="5">
        <v>516839</v>
      </c>
    </row>
    <row r="1395" spans="1:8" x14ac:dyDescent="0.25">
      <c r="A1395" t="s">
        <v>267</v>
      </c>
      <c r="B1395">
        <v>2024</v>
      </c>
      <c r="C1395" t="s">
        <v>39</v>
      </c>
      <c r="D1395" t="s">
        <v>39</v>
      </c>
      <c r="F1395" t="s">
        <v>64</v>
      </c>
      <c r="G1395" s="5">
        <v>492718</v>
      </c>
      <c r="H1395" s="5">
        <v>492718</v>
      </c>
    </row>
    <row r="1396" spans="1:8" x14ac:dyDescent="0.25">
      <c r="A1396" t="s">
        <v>267</v>
      </c>
      <c r="B1396">
        <v>2024</v>
      </c>
      <c r="C1396" t="s">
        <v>39</v>
      </c>
      <c r="D1396" t="s">
        <v>39</v>
      </c>
      <c r="E1396" t="s">
        <v>294</v>
      </c>
      <c r="F1396" t="s">
        <v>74</v>
      </c>
      <c r="G1396" s="5">
        <v>452900</v>
      </c>
      <c r="H1396" s="5">
        <v>452900</v>
      </c>
    </row>
    <row r="1397" spans="1:8" x14ac:dyDescent="0.25">
      <c r="A1397" t="s">
        <v>267</v>
      </c>
      <c r="B1397">
        <v>2024</v>
      </c>
      <c r="C1397" t="s">
        <v>39</v>
      </c>
      <c r="D1397" t="s">
        <v>39</v>
      </c>
      <c r="E1397" t="s">
        <v>272</v>
      </c>
      <c r="F1397" t="s">
        <v>51</v>
      </c>
      <c r="G1397" s="5">
        <v>402387</v>
      </c>
      <c r="H1397" s="5">
        <v>402387</v>
      </c>
    </row>
    <row r="1398" spans="1:8" x14ac:dyDescent="0.25">
      <c r="A1398" t="s">
        <v>267</v>
      </c>
      <c r="B1398">
        <v>2024</v>
      </c>
      <c r="C1398" t="s">
        <v>39</v>
      </c>
      <c r="D1398" t="s">
        <v>39</v>
      </c>
      <c r="E1398" t="s">
        <v>298</v>
      </c>
      <c r="F1398" t="s">
        <v>78</v>
      </c>
      <c r="G1398" s="5">
        <v>310163</v>
      </c>
      <c r="H1398" s="5">
        <v>310663</v>
      </c>
    </row>
    <row r="1399" spans="1:8" x14ac:dyDescent="0.25">
      <c r="A1399" t="s">
        <v>267</v>
      </c>
      <c r="B1399">
        <v>2024</v>
      </c>
      <c r="C1399" t="s">
        <v>39</v>
      </c>
      <c r="D1399" t="s">
        <v>39</v>
      </c>
      <c r="E1399" t="s">
        <v>292</v>
      </c>
      <c r="F1399" t="s">
        <v>72</v>
      </c>
      <c r="G1399" s="5">
        <v>259242</v>
      </c>
      <c r="H1399" s="5">
        <v>259833</v>
      </c>
    </row>
    <row r="1400" spans="1:8" x14ac:dyDescent="0.25">
      <c r="A1400" t="s">
        <v>267</v>
      </c>
      <c r="B1400">
        <v>2024</v>
      </c>
      <c r="C1400" t="s">
        <v>39</v>
      </c>
      <c r="D1400" t="s">
        <v>39</v>
      </c>
      <c r="E1400" t="s">
        <v>295</v>
      </c>
      <c r="F1400" t="s">
        <v>75</v>
      </c>
      <c r="G1400" s="5">
        <v>195111</v>
      </c>
      <c r="H1400" s="5">
        <v>195111</v>
      </c>
    </row>
    <row r="1401" spans="1:8" x14ac:dyDescent="0.25">
      <c r="A1401" t="s">
        <v>267</v>
      </c>
      <c r="B1401">
        <v>2024</v>
      </c>
      <c r="C1401" t="s">
        <v>39</v>
      </c>
      <c r="D1401" t="s">
        <v>39</v>
      </c>
      <c r="E1401" t="s">
        <v>291</v>
      </c>
      <c r="F1401" t="s">
        <v>71</v>
      </c>
      <c r="G1401" s="5">
        <v>180667</v>
      </c>
      <c r="H1401" s="5">
        <v>180667</v>
      </c>
    </row>
    <row r="1402" spans="1:8" x14ac:dyDescent="0.25">
      <c r="A1402" t="s">
        <v>267</v>
      </c>
      <c r="B1402">
        <v>2024</v>
      </c>
      <c r="C1402" t="s">
        <v>39</v>
      </c>
      <c r="D1402" t="s">
        <v>39</v>
      </c>
      <c r="E1402" t="s">
        <v>288</v>
      </c>
      <c r="F1402" t="s">
        <v>68</v>
      </c>
      <c r="G1402" s="5">
        <v>166794</v>
      </c>
      <c r="H1402" s="5">
        <v>166794</v>
      </c>
    </row>
    <row r="1403" spans="1:8" x14ac:dyDescent="0.25">
      <c r="A1403" t="s">
        <v>267</v>
      </c>
      <c r="B1403">
        <v>2024</v>
      </c>
      <c r="C1403" t="s">
        <v>39</v>
      </c>
      <c r="D1403" t="s">
        <v>39</v>
      </c>
      <c r="E1403" t="s">
        <v>300</v>
      </c>
      <c r="F1403" t="s">
        <v>80</v>
      </c>
      <c r="G1403" s="5">
        <v>89977</v>
      </c>
      <c r="H1403" s="5">
        <v>89977</v>
      </c>
    </row>
    <row r="1404" spans="1:8" x14ac:dyDescent="0.25">
      <c r="A1404" t="s">
        <v>267</v>
      </c>
      <c r="B1404">
        <v>2024</v>
      </c>
      <c r="C1404" t="s">
        <v>39</v>
      </c>
      <c r="D1404" t="s">
        <v>39</v>
      </c>
      <c r="E1404" t="s">
        <v>296</v>
      </c>
      <c r="F1404" t="s">
        <v>76</v>
      </c>
      <c r="G1404" s="5">
        <v>84790</v>
      </c>
      <c r="H1404" s="5">
        <v>84790</v>
      </c>
    </row>
    <row r="1405" spans="1:8" x14ac:dyDescent="0.25">
      <c r="A1405" t="s">
        <v>267</v>
      </c>
      <c r="B1405">
        <v>2024</v>
      </c>
      <c r="C1405" t="s">
        <v>39</v>
      </c>
      <c r="D1405" t="s">
        <v>39</v>
      </c>
      <c r="E1405" t="s">
        <v>303</v>
      </c>
      <c r="F1405" t="s">
        <v>83</v>
      </c>
      <c r="G1405" s="5">
        <v>53787</v>
      </c>
      <c r="H1405" s="5">
        <v>53787</v>
      </c>
    </row>
    <row r="1406" spans="1:8" x14ac:dyDescent="0.25">
      <c r="A1406" t="s">
        <v>267</v>
      </c>
      <c r="B1406">
        <v>2024</v>
      </c>
      <c r="C1406" t="s">
        <v>39</v>
      </c>
      <c r="D1406" t="s">
        <v>39</v>
      </c>
      <c r="E1406" t="s">
        <v>307</v>
      </c>
      <c r="F1406" t="s">
        <v>87</v>
      </c>
      <c r="G1406" s="5">
        <v>41834</v>
      </c>
      <c r="H1406" s="5">
        <v>41834</v>
      </c>
    </row>
    <row r="1407" spans="1:8" x14ac:dyDescent="0.25">
      <c r="A1407" t="s">
        <v>267</v>
      </c>
      <c r="B1407">
        <v>2024</v>
      </c>
      <c r="C1407" t="s">
        <v>92</v>
      </c>
      <c r="D1407" t="s">
        <v>36</v>
      </c>
      <c r="E1407" t="s">
        <v>36</v>
      </c>
      <c r="F1407" t="s">
        <v>93</v>
      </c>
      <c r="G1407" s="5">
        <v>2327172124</v>
      </c>
      <c r="H1407" s="5">
        <v>3236346354</v>
      </c>
    </row>
    <row r="1408" spans="1:8" x14ac:dyDescent="0.25">
      <c r="A1408" t="s">
        <v>267</v>
      </c>
      <c r="B1408">
        <v>2024</v>
      </c>
      <c r="C1408" t="s">
        <v>92</v>
      </c>
      <c r="D1408" t="s">
        <v>38</v>
      </c>
      <c r="E1408" t="s">
        <v>313</v>
      </c>
      <c r="F1408" t="s">
        <v>95</v>
      </c>
      <c r="G1408" s="5">
        <v>135302805</v>
      </c>
      <c r="H1408" s="5">
        <v>146842482</v>
      </c>
    </row>
    <row r="1409" spans="1:8" x14ac:dyDescent="0.25">
      <c r="A1409" t="s">
        <v>267</v>
      </c>
      <c r="B1409">
        <v>2024</v>
      </c>
      <c r="C1409" t="s">
        <v>92</v>
      </c>
      <c r="D1409" t="s">
        <v>38</v>
      </c>
      <c r="E1409" t="s">
        <v>312</v>
      </c>
      <c r="F1409" t="s">
        <v>94</v>
      </c>
      <c r="G1409" s="5">
        <v>85957190</v>
      </c>
      <c r="H1409" s="5">
        <v>85994108</v>
      </c>
    </row>
    <row r="1410" spans="1:8" x14ac:dyDescent="0.25">
      <c r="A1410" t="s">
        <v>267</v>
      </c>
      <c r="B1410">
        <v>2024</v>
      </c>
      <c r="C1410" t="s">
        <v>92</v>
      </c>
      <c r="D1410" t="s">
        <v>38</v>
      </c>
      <c r="E1410" t="s">
        <v>314</v>
      </c>
      <c r="F1410" t="s">
        <v>96</v>
      </c>
      <c r="G1410" s="5">
        <v>78541022</v>
      </c>
      <c r="H1410" s="5">
        <v>78587072</v>
      </c>
    </row>
    <row r="1411" spans="1:8" x14ac:dyDescent="0.25">
      <c r="A1411" t="s">
        <v>267</v>
      </c>
      <c r="B1411">
        <v>2024</v>
      </c>
      <c r="C1411" t="s">
        <v>92</v>
      </c>
      <c r="D1411" t="s">
        <v>38</v>
      </c>
      <c r="E1411" t="s">
        <v>315</v>
      </c>
      <c r="F1411" t="s">
        <v>97</v>
      </c>
      <c r="G1411" s="5">
        <v>15620535</v>
      </c>
      <c r="H1411" s="5">
        <v>15647430</v>
      </c>
    </row>
    <row r="1412" spans="1:8" x14ac:dyDescent="0.25">
      <c r="A1412" t="s">
        <v>267</v>
      </c>
      <c r="B1412">
        <v>2024</v>
      </c>
      <c r="C1412" t="s">
        <v>92</v>
      </c>
      <c r="D1412" t="s">
        <v>38</v>
      </c>
      <c r="E1412" t="s">
        <v>316</v>
      </c>
      <c r="F1412" t="s">
        <v>98</v>
      </c>
      <c r="G1412" s="5">
        <v>11033856</v>
      </c>
      <c r="H1412" s="5">
        <v>11064368</v>
      </c>
    </row>
    <row r="1413" spans="1:8" x14ac:dyDescent="0.25">
      <c r="A1413" t="s">
        <v>267</v>
      </c>
      <c r="B1413">
        <v>2024</v>
      </c>
      <c r="C1413" t="s">
        <v>92</v>
      </c>
      <c r="D1413" t="s">
        <v>38</v>
      </c>
      <c r="E1413" t="s">
        <v>322</v>
      </c>
      <c r="F1413" t="s">
        <v>105</v>
      </c>
      <c r="G1413" s="5">
        <v>8855689</v>
      </c>
      <c r="H1413" s="5">
        <v>8869817</v>
      </c>
    </row>
    <row r="1414" spans="1:8" x14ac:dyDescent="0.25">
      <c r="A1414" t="s">
        <v>267</v>
      </c>
      <c r="B1414">
        <v>2024</v>
      </c>
      <c r="C1414" t="s">
        <v>92</v>
      </c>
      <c r="D1414" t="s">
        <v>38</v>
      </c>
      <c r="E1414" t="s">
        <v>317</v>
      </c>
      <c r="F1414" t="s">
        <v>99</v>
      </c>
      <c r="G1414" s="5">
        <v>8235001</v>
      </c>
      <c r="H1414" s="5">
        <v>8235001</v>
      </c>
    </row>
    <row r="1415" spans="1:8" x14ac:dyDescent="0.25">
      <c r="A1415" t="s">
        <v>267</v>
      </c>
      <c r="B1415">
        <v>2024</v>
      </c>
      <c r="C1415" t="s">
        <v>92</v>
      </c>
      <c r="D1415" t="s">
        <v>38</v>
      </c>
      <c r="E1415" t="s">
        <v>318</v>
      </c>
      <c r="F1415" t="s">
        <v>100</v>
      </c>
      <c r="G1415" s="5">
        <v>7875323</v>
      </c>
      <c r="H1415" s="5">
        <v>7876943</v>
      </c>
    </row>
    <row r="1416" spans="1:8" x14ac:dyDescent="0.25">
      <c r="A1416" t="s">
        <v>267</v>
      </c>
      <c r="B1416">
        <v>2024</v>
      </c>
      <c r="C1416" t="s">
        <v>92</v>
      </c>
      <c r="D1416" t="s">
        <v>38</v>
      </c>
      <c r="E1416" t="s">
        <v>324</v>
      </c>
      <c r="F1416" t="s">
        <v>107</v>
      </c>
      <c r="G1416" s="5">
        <v>4166814</v>
      </c>
      <c r="H1416" s="5">
        <v>4233245</v>
      </c>
    </row>
    <row r="1417" spans="1:8" x14ac:dyDescent="0.25">
      <c r="A1417" t="s">
        <v>267</v>
      </c>
      <c r="B1417">
        <v>2024</v>
      </c>
      <c r="C1417" t="s">
        <v>92</v>
      </c>
      <c r="D1417" t="s">
        <v>38</v>
      </c>
      <c r="E1417" t="s">
        <v>321</v>
      </c>
      <c r="F1417" t="s">
        <v>103</v>
      </c>
      <c r="G1417" s="5">
        <v>4065428</v>
      </c>
      <c r="H1417" s="5">
        <v>4065428</v>
      </c>
    </row>
    <row r="1418" spans="1:8" x14ac:dyDescent="0.25">
      <c r="A1418" t="s">
        <v>267</v>
      </c>
      <c r="B1418">
        <v>2024</v>
      </c>
      <c r="C1418" t="s">
        <v>92</v>
      </c>
      <c r="D1418" t="s">
        <v>38</v>
      </c>
      <c r="E1418" t="s">
        <v>319</v>
      </c>
      <c r="F1418" t="s">
        <v>101</v>
      </c>
      <c r="G1418" s="5">
        <v>3450992</v>
      </c>
      <c r="H1418" s="5">
        <v>3460558</v>
      </c>
    </row>
    <row r="1419" spans="1:8" x14ac:dyDescent="0.25">
      <c r="A1419" t="s">
        <v>267</v>
      </c>
      <c r="B1419">
        <v>2024</v>
      </c>
      <c r="C1419" t="s">
        <v>92</v>
      </c>
      <c r="D1419" t="s">
        <v>38</v>
      </c>
      <c r="E1419" t="s">
        <v>331</v>
      </c>
      <c r="F1419" t="s">
        <v>114</v>
      </c>
      <c r="G1419" s="5">
        <v>3279404</v>
      </c>
      <c r="H1419" s="5">
        <v>3282088</v>
      </c>
    </row>
    <row r="1420" spans="1:8" x14ac:dyDescent="0.25">
      <c r="A1420" t="s">
        <v>267</v>
      </c>
      <c r="B1420">
        <v>2024</v>
      </c>
      <c r="C1420" t="s">
        <v>92</v>
      </c>
      <c r="D1420" t="s">
        <v>38</v>
      </c>
      <c r="E1420" t="s">
        <v>325</v>
      </c>
      <c r="F1420" t="s">
        <v>108</v>
      </c>
      <c r="G1420" s="5">
        <v>3151736</v>
      </c>
      <c r="H1420" s="5">
        <v>3156225</v>
      </c>
    </row>
    <row r="1421" spans="1:8" x14ac:dyDescent="0.25">
      <c r="A1421" t="s">
        <v>267</v>
      </c>
      <c r="B1421">
        <v>2024</v>
      </c>
      <c r="C1421" t="s">
        <v>92</v>
      </c>
      <c r="D1421" t="s">
        <v>38</v>
      </c>
      <c r="E1421" t="s">
        <v>323</v>
      </c>
      <c r="F1421" t="s">
        <v>106</v>
      </c>
      <c r="G1421" s="5">
        <v>2886951</v>
      </c>
      <c r="H1421" s="5">
        <v>2886951</v>
      </c>
    </row>
    <row r="1422" spans="1:8" x14ac:dyDescent="0.25">
      <c r="A1422" t="s">
        <v>267</v>
      </c>
      <c r="B1422">
        <v>2024</v>
      </c>
      <c r="C1422" t="s">
        <v>92</v>
      </c>
      <c r="D1422" t="s">
        <v>38</v>
      </c>
      <c r="E1422" t="s">
        <v>327</v>
      </c>
      <c r="F1422" t="s">
        <v>110</v>
      </c>
      <c r="G1422" s="5">
        <v>2054479</v>
      </c>
      <c r="H1422" s="5">
        <v>2054479</v>
      </c>
    </row>
    <row r="1423" spans="1:8" x14ac:dyDescent="0.25">
      <c r="A1423" t="s">
        <v>267</v>
      </c>
      <c r="B1423">
        <v>2024</v>
      </c>
      <c r="C1423" t="s">
        <v>92</v>
      </c>
      <c r="D1423" t="s">
        <v>38</v>
      </c>
      <c r="E1423" t="s">
        <v>330</v>
      </c>
      <c r="F1423" t="s">
        <v>113</v>
      </c>
      <c r="G1423" s="5">
        <v>1172232</v>
      </c>
      <c r="H1423" s="5">
        <v>1220089</v>
      </c>
    </row>
    <row r="1424" spans="1:8" x14ac:dyDescent="0.25">
      <c r="A1424" t="s">
        <v>267</v>
      </c>
      <c r="B1424">
        <v>2024</v>
      </c>
      <c r="C1424" t="s">
        <v>92</v>
      </c>
      <c r="D1424" t="s">
        <v>38</v>
      </c>
      <c r="E1424" t="s">
        <v>332</v>
      </c>
      <c r="F1424" t="s">
        <v>115</v>
      </c>
      <c r="G1424" s="5">
        <v>1125181</v>
      </c>
      <c r="H1424" s="5">
        <v>1125181</v>
      </c>
    </row>
    <row r="1425" spans="1:8" x14ac:dyDescent="0.25">
      <c r="A1425" t="s">
        <v>267</v>
      </c>
      <c r="B1425">
        <v>2024</v>
      </c>
      <c r="C1425" t="s">
        <v>92</v>
      </c>
      <c r="D1425" t="s">
        <v>38</v>
      </c>
      <c r="E1425" t="s">
        <v>453</v>
      </c>
      <c r="F1425" t="s">
        <v>240</v>
      </c>
      <c r="G1425" s="5">
        <v>1053025</v>
      </c>
      <c r="H1425" s="5">
        <v>1053025</v>
      </c>
    </row>
    <row r="1426" spans="1:8" x14ac:dyDescent="0.25">
      <c r="A1426" t="s">
        <v>267</v>
      </c>
      <c r="B1426">
        <v>2024</v>
      </c>
      <c r="C1426" t="s">
        <v>92</v>
      </c>
      <c r="D1426" t="s">
        <v>38</v>
      </c>
      <c r="E1426" t="s">
        <v>328</v>
      </c>
      <c r="F1426" t="s">
        <v>111</v>
      </c>
      <c r="G1426" s="5">
        <v>1012305</v>
      </c>
      <c r="H1426" s="5">
        <v>1024980</v>
      </c>
    </row>
    <row r="1427" spans="1:8" x14ac:dyDescent="0.25">
      <c r="A1427" t="s">
        <v>267</v>
      </c>
      <c r="B1427">
        <v>2024</v>
      </c>
      <c r="C1427" t="s">
        <v>92</v>
      </c>
      <c r="D1427" t="s">
        <v>38</v>
      </c>
      <c r="E1427" t="s">
        <v>333</v>
      </c>
      <c r="F1427" t="s">
        <v>116</v>
      </c>
      <c r="G1427" s="5">
        <v>799600</v>
      </c>
      <c r="H1427" s="5">
        <v>799600</v>
      </c>
    </row>
    <row r="1428" spans="1:8" x14ac:dyDescent="0.25">
      <c r="A1428" t="s">
        <v>267</v>
      </c>
      <c r="B1428">
        <v>2024</v>
      </c>
      <c r="C1428" t="s">
        <v>92</v>
      </c>
      <c r="D1428" t="s">
        <v>38</v>
      </c>
      <c r="E1428" t="s">
        <v>329</v>
      </c>
      <c r="F1428" t="s">
        <v>112</v>
      </c>
      <c r="G1428" s="5">
        <v>621497</v>
      </c>
      <c r="H1428" s="5">
        <v>621497</v>
      </c>
    </row>
    <row r="1429" spans="1:8" x14ac:dyDescent="0.25">
      <c r="A1429" t="s">
        <v>267</v>
      </c>
      <c r="B1429">
        <v>2024</v>
      </c>
      <c r="C1429" t="s">
        <v>92</v>
      </c>
      <c r="D1429" t="s">
        <v>38</v>
      </c>
      <c r="E1429" t="s">
        <v>320</v>
      </c>
      <c r="F1429" t="s">
        <v>102</v>
      </c>
      <c r="G1429" s="5">
        <v>455888</v>
      </c>
      <c r="H1429" s="5">
        <v>685407</v>
      </c>
    </row>
    <row r="1430" spans="1:8" x14ac:dyDescent="0.25">
      <c r="A1430" t="s">
        <v>267</v>
      </c>
      <c r="B1430">
        <v>2024</v>
      </c>
      <c r="C1430" t="s">
        <v>92</v>
      </c>
      <c r="D1430" t="s">
        <v>38</v>
      </c>
      <c r="E1430" t="s">
        <v>326</v>
      </c>
      <c r="F1430" t="s">
        <v>109</v>
      </c>
      <c r="G1430" s="5">
        <v>446712</v>
      </c>
      <c r="H1430" s="5">
        <v>446712</v>
      </c>
    </row>
    <row r="1431" spans="1:8" x14ac:dyDescent="0.25">
      <c r="A1431" t="s">
        <v>267</v>
      </c>
      <c r="B1431">
        <v>2024</v>
      </c>
      <c r="C1431" t="s">
        <v>92</v>
      </c>
      <c r="D1431" t="s">
        <v>38</v>
      </c>
      <c r="E1431" t="s">
        <v>337</v>
      </c>
      <c r="F1431" t="s">
        <v>120</v>
      </c>
      <c r="G1431" s="5">
        <v>302240</v>
      </c>
      <c r="H1431" s="5">
        <v>302240</v>
      </c>
    </row>
    <row r="1432" spans="1:8" x14ac:dyDescent="0.25">
      <c r="A1432" t="s">
        <v>267</v>
      </c>
      <c r="B1432">
        <v>2024</v>
      </c>
      <c r="C1432" t="s">
        <v>92</v>
      </c>
      <c r="D1432" t="s">
        <v>38</v>
      </c>
      <c r="E1432" t="s">
        <v>335</v>
      </c>
      <c r="F1432" t="s">
        <v>118</v>
      </c>
      <c r="G1432" s="5">
        <v>212115</v>
      </c>
      <c r="H1432" s="5">
        <v>212115</v>
      </c>
    </row>
    <row r="1433" spans="1:8" x14ac:dyDescent="0.25">
      <c r="A1433" t="s">
        <v>267</v>
      </c>
      <c r="B1433">
        <v>2024</v>
      </c>
      <c r="C1433" t="s">
        <v>92</v>
      </c>
      <c r="D1433" t="s">
        <v>38</v>
      </c>
      <c r="E1433" t="s">
        <v>457</v>
      </c>
      <c r="F1433" t="s">
        <v>244</v>
      </c>
      <c r="G1433" s="5">
        <v>174386</v>
      </c>
      <c r="H1433" s="5">
        <v>174386</v>
      </c>
    </row>
    <row r="1434" spans="1:8" x14ac:dyDescent="0.25">
      <c r="A1434" t="s">
        <v>267</v>
      </c>
      <c r="B1434">
        <v>2024</v>
      </c>
      <c r="C1434" t="s">
        <v>92</v>
      </c>
      <c r="D1434" t="s">
        <v>38</v>
      </c>
      <c r="E1434" t="s">
        <v>340</v>
      </c>
      <c r="F1434" t="s">
        <v>123</v>
      </c>
      <c r="G1434" s="5">
        <v>169752</v>
      </c>
      <c r="H1434" s="5">
        <v>169752</v>
      </c>
    </row>
    <row r="1435" spans="1:8" x14ac:dyDescent="0.25">
      <c r="A1435" t="s">
        <v>267</v>
      </c>
      <c r="B1435">
        <v>2024</v>
      </c>
      <c r="C1435" t="s">
        <v>92</v>
      </c>
      <c r="D1435" t="s">
        <v>38</v>
      </c>
      <c r="F1435" t="s">
        <v>104</v>
      </c>
      <c r="G1435" s="5">
        <v>166092</v>
      </c>
      <c r="H1435" s="5">
        <v>172180</v>
      </c>
    </row>
    <row r="1436" spans="1:8" x14ac:dyDescent="0.25">
      <c r="A1436" t="s">
        <v>267</v>
      </c>
      <c r="B1436">
        <v>2024</v>
      </c>
      <c r="C1436" t="s">
        <v>92</v>
      </c>
      <c r="D1436" t="s">
        <v>38</v>
      </c>
      <c r="E1436" t="s">
        <v>339</v>
      </c>
      <c r="F1436" t="s">
        <v>122</v>
      </c>
      <c r="G1436" s="5">
        <v>136911</v>
      </c>
      <c r="H1436" s="5">
        <v>136911</v>
      </c>
    </row>
    <row r="1437" spans="1:8" x14ac:dyDescent="0.25">
      <c r="A1437" t="s">
        <v>267</v>
      </c>
      <c r="B1437">
        <v>2024</v>
      </c>
      <c r="C1437" t="s">
        <v>92</v>
      </c>
      <c r="D1437" t="s">
        <v>38</v>
      </c>
      <c r="E1437" t="s">
        <v>446</v>
      </c>
      <c r="F1437" t="s">
        <v>233</v>
      </c>
      <c r="G1437" s="5">
        <v>124598</v>
      </c>
      <c r="H1437" s="5">
        <v>124598</v>
      </c>
    </row>
    <row r="1438" spans="1:8" x14ac:dyDescent="0.25">
      <c r="A1438" t="s">
        <v>267</v>
      </c>
      <c r="B1438">
        <v>2024</v>
      </c>
      <c r="C1438" t="s">
        <v>92</v>
      </c>
      <c r="D1438" t="s">
        <v>38</v>
      </c>
      <c r="E1438" t="s">
        <v>336</v>
      </c>
      <c r="F1438" t="s">
        <v>119</v>
      </c>
      <c r="G1438" s="5">
        <v>107781</v>
      </c>
      <c r="H1438" s="5">
        <v>144435</v>
      </c>
    </row>
    <row r="1439" spans="1:8" x14ac:dyDescent="0.25">
      <c r="A1439" t="s">
        <v>267</v>
      </c>
      <c r="B1439">
        <v>2024</v>
      </c>
      <c r="C1439" t="s">
        <v>92</v>
      </c>
      <c r="D1439" t="s">
        <v>38</v>
      </c>
      <c r="E1439" t="s">
        <v>341</v>
      </c>
      <c r="F1439" t="s">
        <v>124</v>
      </c>
      <c r="G1439" s="5">
        <v>85205</v>
      </c>
      <c r="H1439" s="5">
        <v>85205</v>
      </c>
    </row>
    <row r="1440" spans="1:8" x14ac:dyDescent="0.25">
      <c r="A1440" t="s">
        <v>267</v>
      </c>
      <c r="B1440">
        <v>2024</v>
      </c>
      <c r="C1440" t="s">
        <v>92</v>
      </c>
      <c r="D1440" t="s">
        <v>38</v>
      </c>
      <c r="E1440" t="s">
        <v>452</v>
      </c>
      <c r="F1440" t="s">
        <v>239</v>
      </c>
      <c r="G1440" s="5">
        <v>73057</v>
      </c>
      <c r="H1440" s="5">
        <v>73057</v>
      </c>
    </row>
    <row r="1441" spans="1:8" x14ac:dyDescent="0.25">
      <c r="A1441" t="s">
        <v>267</v>
      </c>
      <c r="B1441">
        <v>2024</v>
      </c>
      <c r="C1441" t="s">
        <v>92</v>
      </c>
      <c r="D1441" t="s">
        <v>38</v>
      </c>
      <c r="E1441" t="s">
        <v>342</v>
      </c>
      <c r="F1441" t="s">
        <v>125</v>
      </c>
      <c r="G1441" s="5">
        <v>58258</v>
      </c>
      <c r="H1441" s="5">
        <v>58258</v>
      </c>
    </row>
    <row r="1442" spans="1:8" x14ac:dyDescent="0.25">
      <c r="A1442" t="s">
        <v>267</v>
      </c>
      <c r="B1442">
        <v>2024</v>
      </c>
      <c r="C1442" t="s">
        <v>92</v>
      </c>
      <c r="D1442" t="s">
        <v>38</v>
      </c>
      <c r="E1442" t="s">
        <v>334</v>
      </c>
      <c r="F1442" t="s">
        <v>117</v>
      </c>
      <c r="G1442" s="5">
        <v>45954</v>
      </c>
      <c r="H1442" s="5">
        <v>45954</v>
      </c>
    </row>
    <row r="1443" spans="1:8" x14ac:dyDescent="0.25">
      <c r="A1443" t="s">
        <v>267</v>
      </c>
      <c r="B1443">
        <v>2024</v>
      </c>
      <c r="C1443" t="s">
        <v>35</v>
      </c>
      <c r="D1443" t="s">
        <v>35</v>
      </c>
      <c r="E1443" t="s">
        <v>343</v>
      </c>
      <c r="F1443" t="s">
        <v>126</v>
      </c>
      <c r="G1443" s="5">
        <v>1254835783</v>
      </c>
      <c r="H1443" s="5">
        <v>6204500273</v>
      </c>
    </row>
    <row r="1444" spans="1:8" x14ac:dyDescent="0.25">
      <c r="A1444" t="s">
        <v>267</v>
      </c>
      <c r="B1444">
        <v>2024</v>
      </c>
      <c r="C1444" t="s">
        <v>35</v>
      </c>
      <c r="D1444" t="s">
        <v>35</v>
      </c>
      <c r="E1444" t="s">
        <v>346</v>
      </c>
      <c r="F1444" t="s">
        <v>129</v>
      </c>
      <c r="G1444" s="5">
        <v>264060560</v>
      </c>
      <c r="H1444" s="5">
        <v>1591660133</v>
      </c>
    </row>
    <row r="1445" spans="1:8" x14ac:dyDescent="0.25">
      <c r="A1445" t="s">
        <v>267</v>
      </c>
      <c r="B1445">
        <v>2024</v>
      </c>
      <c r="C1445" t="s">
        <v>35</v>
      </c>
      <c r="D1445" t="s">
        <v>35</v>
      </c>
      <c r="E1445" t="s">
        <v>345</v>
      </c>
      <c r="F1445" t="s">
        <v>128</v>
      </c>
      <c r="G1445" s="5">
        <v>257142681</v>
      </c>
      <c r="H1445" s="5">
        <v>532147533</v>
      </c>
    </row>
    <row r="1446" spans="1:8" x14ac:dyDescent="0.25">
      <c r="A1446" t="s">
        <v>267</v>
      </c>
      <c r="B1446">
        <v>2024</v>
      </c>
      <c r="C1446" t="s">
        <v>35</v>
      </c>
      <c r="D1446" t="s">
        <v>35</v>
      </c>
      <c r="E1446" t="s">
        <v>344</v>
      </c>
      <c r="F1446" t="s">
        <v>127</v>
      </c>
      <c r="G1446" s="5">
        <v>257066155</v>
      </c>
      <c r="H1446" s="5">
        <v>261905367</v>
      </c>
    </row>
    <row r="1447" spans="1:8" x14ac:dyDescent="0.25">
      <c r="A1447" t="s">
        <v>267</v>
      </c>
      <c r="B1447">
        <v>2024</v>
      </c>
      <c r="C1447" t="s">
        <v>35</v>
      </c>
      <c r="D1447" t="s">
        <v>35</v>
      </c>
      <c r="E1447" t="s">
        <v>348</v>
      </c>
      <c r="F1447" t="s">
        <v>131</v>
      </c>
      <c r="G1447" s="5">
        <v>221985868</v>
      </c>
      <c r="H1447" s="5">
        <v>235642046</v>
      </c>
    </row>
    <row r="1448" spans="1:8" x14ac:dyDescent="0.25">
      <c r="A1448" t="s">
        <v>267</v>
      </c>
      <c r="B1448">
        <v>2024</v>
      </c>
      <c r="C1448" t="s">
        <v>35</v>
      </c>
      <c r="D1448" t="s">
        <v>35</v>
      </c>
      <c r="E1448" t="s">
        <v>350</v>
      </c>
      <c r="F1448" t="s">
        <v>133</v>
      </c>
      <c r="G1448" s="5">
        <v>175831417</v>
      </c>
      <c r="H1448" s="5">
        <v>175876367</v>
      </c>
    </row>
    <row r="1449" spans="1:8" x14ac:dyDescent="0.25">
      <c r="A1449" t="s">
        <v>267</v>
      </c>
      <c r="B1449">
        <v>2024</v>
      </c>
      <c r="C1449" t="s">
        <v>35</v>
      </c>
      <c r="D1449" t="s">
        <v>35</v>
      </c>
      <c r="E1449" t="s">
        <v>347</v>
      </c>
      <c r="F1449" t="s">
        <v>130</v>
      </c>
      <c r="G1449" s="5">
        <v>170398973</v>
      </c>
      <c r="H1449" s="5">
        <v>328838312</v>
      </c>
    </row>
    <row r="1450" spans="1:8" x14ac:dyDescent="0.25">
      <c r="A1450" t="s">
        <v>267</v>
      </c>
      <c r="B1450">
        <v>2024</v>
      </c>
      <c r="C1450" t="s">
        <v>35</v>
      </c>
      <c r="D1450" t="s">
        <v>35</v>
      </c>
      <c r="E1450" t="s">
        <v>349</v>
      </c>
      <c r="F1450" t="s">
        <v>132</v>
      </c>
      <c r="G1450" s="5">
        <v>131028992</v>
      </c>
      <c r="H1450" s="5">
        <v>497250243</v>
      </c>
    </row>
    <row r="1451" spans="1:8" x14ac:dyDescent="0.25">
      <c r="A1451" t="s">
        <v>267</v>
      </c>
      <c r="B1451">
        <v>2024</v>
      </c>
      <c r="C1451" t="s">
        <v>35</v>
      </c>
      <c r="D1451" t="s">
        <v>35</v>
      </c>
      <c r="E1451" t="s">
        <v>354</v>
      </c>
      <c r="F1451" t="s">
        <v>137</v>
      </c>
      <c r="G1451" s="5">
        <v>129700612</v>
      </c>
      <c r="H1451" s="5">
        <v>129703685</v>
      </c>
    </row>
    <row r="1452" spans="1:8" x14ac:dyDescent="0.25">
      <c r="A1452" t="s">
        <v>267</v>
      </c>
      <c r="B1452">
        <v>2024</v>
      </c>
      <c r="C1452" t="s">
        <v>35</v>
      </c>
      <c r="D1452" t="s">
        <v>35</v>
      </c>
      <c r="E1452" t="s">
        <v>352</v>
      </c>
      <c r="F1452" t="s">
        <v>135</v>
      </c>
      <c r="G1452" s="5">
        <v>101553828</v>
      </c>
      <c r="H1452" s="5">
        <v>393584232</v>
      </c>
    </row>
    <row r="1453" spans="1:8" x14ac:dyDescent="0.25">
      <c r="A1453" t="s">
        <v>267</v>
      </c>
      <c r="B1453">
        <v>2024</v>
      </c>
      <c r="C1453" t="s">
        <v>35</v>
      </c>
      <c r="D1453" t="s">
        <v>35</v>
      </c>
      <c r="E1453" t="s">
        <v>356</v>
      </c>
      <c r="F1453" t="s">
        <v>139</v>
      </c>
      <c r="G1453" s="5">
        <v>97996691</v>
      </c>
      <c r="H1453" s="5">
        <v>122747052</v>
      </c>
    </row>
    <row r="1454" spans="1:8" x14ac:dyDescent="0.25">
      <c r="A1454" t="s">
        <v>267</v>
      </c>
      <c r="B1454">
        <v>2024</v>
      </c>
      <c r="C1454" t="s">
        <v>35</v>
      </c>
      <c r="D1454" t="s">
        <v>35</v>
      </c>
      <c r="E1454" t="s">
        <v>353</v>
      </c>
      <c r="F1454" t="s">
        <v>136</v>
      </c>
      <c r="G1454" s="5">
        <v>74722543</v>
      </c>
      <c r="H1454" s="5">
        <v>74725987</v>
      </c>
    </row>
    <row r="1455" spans="1:8" x14ac:dyDescent="0.25">
      <c r="A1455" t="s">
        <v>267</v>
      </c>
      <c r="B1455">
        <v>2024</v>
      </c>
      <c r="C1455" t="s">
        <v>35</v>
      </c>
      <c r="D1455" t="s">
        <v>35</v>
      </c>
      <c r="E1455" t="s">
        <v>351</v>
      </c>
      <c r="F1455" t="s">
        <v>134</v>
      </c>
      <c r="G1455" s="5">
        <v>64625649</v>
      </c>
      <c r="H1455" s="5">
        <v>68005182</v>
      </c>
    </row>
    <row r="1456" spans="1:8" x14ac:dyDescent="0.25">
      <c r="A1456" t="s">
        <v>267</v>
      </c>
      <c r="B1456">
        <v>2024</v>
      </c>
      <c r="C1456" t="s">
        <v>35</v>
      </c>
      <c r="D1456" t="s">
        <v>35</v>
      </c>
      <c r="E1456" t="s">
        <v>362</v>
      </c>
      <c r="F1456" t="s">
        <v>145</v>
      </c>
      <c r="G1456" s="5">
        <v>50543376</v>
      </c>
      <c r="H1456" s="5">
        <v>50547376</v>
      </c>
    </row>
    <row r="1457" spans="1:8" x14ac:dyDescent="0.25">
      <c r="A1457" t="s">
        <v>267</v>
      </c>
      <c r="B1457">
        <v>2024</v>
      </c>
      <c r="C1457" t="s">
        <v>35</v>
      </c>
      <c r="D1457" t="s">
        <v>35</v>
      </c>
      <c r="E1457" t="s">
        <v>355</v>
      </c>
      <c r="F1457" t="s">
        <v>138</v>
      </c>
      <c r="G1457" s="5">
        <v>34952985</v>
      </c>
      <c r="H1457" s="5">
        <v>34984035</v>
      </c>
    </row>
    <row r="1458" spans="1:8" x14ac:dyDescent="0.25">
      <c r="A1458" t="s">
        <v>267</v>
      </c>
      <c r="B1458">
        <v>2024</v>
      </c>
      <c r="C1458" t="s">
        <v>35</v>
      </c>
      <c r="D1458" t="s">
        <v>35</v>
      </c>
      <c r="E1458" t="s">
        <v>365</v>
      </c>
      <c r="F1458" t="s">
        <v>148</v>
      </c>
      <c r="G1458" s="5">
        <v>25252305</v>
      </c>
      <c r="H1458" s="5">
        <v>25387014</v>
      </c>
    </row>
    <row r="1459" spans="1:8" x14ac:dyDescent="0.25">
      <c r="A1459" t="s">
        <v>267</v>
      </c>
      <c r="B1459">
        <v>2024</v>
      </c>
      <c r="C1459" t="s">
        <v>35</v>
      </c>
      <c r="D1459" t="s">
        <v>35</v>
      </c>
      <c r="E1459" t="s">
        <v>361</v>
      </c>
      <c r="F1459" t="s">
        <v>144</v>
      </c>
      <c r="G1459" s="5">
        <v>22911115</v>
      </c>
      <c r="H1459" s="5">
        <v>24359121</v>
      </c>
    </row>
    <row r="1460" spans="1:8" x14ac:dyDescent="0.25">
      <c r="A1460" t="s">
        <v>267</v>
      </c>
      <c r="B1460">
        <v>2024</v>
      </c>
      <c r="C1460" t="s">
        <v>35</v>
      </c>
      <c r="D1460" t="s">
        <v>35</v>
      </c>
      <c r="E1460" t="s">
        <v>358</v>
      </c>
      <c r="F1460" t="s">
        <v>141</v>
      </c>
      <c r="G1460" s="5">
        <v>17142193</v>
      </c>
      <c r="H1460" s="5">
        <v>17240624</v>
      </c>
    </row>
    <row r="1461" spans="1:8" x14ac:dyDescent="0.25">
      <c r="A1461" t="s">
        <v>267</v>
      </c>
      <c r="B1461">
        <v>2024</v>
      </c>
      <c r="C1461" t="s">
        <v>35</v>
      </c>
      <c r="D1461" t="s">
        <v>35</v>
      </c>
      <c r="E1461" t="s">
        <v>357</v>
      </c>
      <c r="F1461" t="s">
        <v>140</v>
      </c>
      <c r="G1461" s="5">
        <v>15029635</v>
      </c>
      <c r="H1461" s="5">
        <v>15033501</v>
      </c>
    </row>
    <row r="1462" spans="1:8" x14ac:dyDescent="0.25">
      <c r="A1462" t="s">
        <v>267</v>
      </c>
      <c r="B1462">
        <v>2024</v>
      </c>
      <c r="C1462" t="s">
        <v>35</v>
      </c>
      <c r="D1462" t="s">
        <v>35</v>
      </c>
      <c r="E1462" t="s">
        <v>360</v>
      </c>
      <c r="F1462" t="s">
        <v>143</v>
      </c>
      <c r="G1462" s="5">
        <v>14069936</v>
      </c>
      <c r="H1462" s="5">
        <v>14069936</v>
      </c>
    </row>
    <row r="1463" spans="1:8" x14ac:dyDescent="0.25">
      <c r="A1463" t="s">
        <v>267</v>
      </c>
      <c r="B1463">
        <v>2024</v>
      </c>
      <c r="C1463" t="s">
        <v>35</v>
      </c>
      <c r="D1463" t="s">
        <v>35</v>
      </c>
      <c r="E1463" t="s">
        <v>363</v>
      </c>
      <c r="F1463" t="s">
        <v>146</v>
      </c>
      <c r="G1463" s="5">
        <v>11283504</v>
      </c>
      <c r="H1463" s="5">
        <v>11283504</v>
      </c>
    </row>
    <row r="1464" spans="1:8" x14ac:dyDescent="0.25">
      <c r="A1464" t="s">
        <v>267</v>
      </c>
      <c r="B1464">
        <v>2024</v>
      </c>
      <c r="C1464" t="s">
        <v>35</v>
      </c>
      <c r="D1464" t="s">
        <v>35</v>
      </c>
      <c r="E1464" t="s">
        <v>367</v>
      </c>
      <c r="F1464" t="s">
        <v>150</v>
      </c>
      <c r="G1464" s="5">
        <v>9268657</v>
      </c>
      <c r="H1464" s="5">
        <v>9475669</v>
      </c>
    </row>
    <row r="1465" spans="1:8" x14ac:dyDescent="0.25">
      <c r="A1465" t="s">
        <v>267</v>
      </c>
      <c r="B1465">
        <v>2024</v>
      </c>
      <c r="C1465" t="s">
        <v>35</v>
      </c>
      <c r="D1465" t="s">
        <v>35</v>
      </c>
      <c r="E1465" t="s">
        <v>370</v>
      </c>
      <c r="F1465" t="s">
        <v>153</v>
      </c>
      <c r="G1465" s="5">
        <v>8368809</v>
      </c>
      <c r="H1465" s="5">
        <v>8369149</v>
      </c>
    </row>
    <row r="1466" spans="1:8" x14ac:dyDescent="0.25">
      <c r="A1466" t="s">
        <v>267</v>
      </c>
      <c r="B1466">
        <v>2024</v>
      </c>
      <c r="C1466" t="s">
        <v>35</v>
      </c>
      <c r="D1466" t="s">
        <v>35</v>
      </c>
      <c r="E1466" t="s">
        <v>368</v>
      </c>
      <c r="F1466" t="s">
        <v>151</v>
      </c>
      <c r="G1466" s="5">
        <v>8085097</v>
      </c>
      <c r="H1466" s="5">
        <v>8085097</v>
      </c>
    </row>
    <row r="1467" spans="1:8" x14ac:dyDescent="0.25">
      <c r="A1467" t="s">
        <v>267</v>
      </c>
      <c r="B1467">
        <v>2024</v>
      </c>
      <c r="C1467" t="s">
        <v>35</v>
      </c>
      <c r="D1467" t="s">
        <v>35</v>
      </c>
      <c r="E1467" t="s">
        <v>375</v>
      </c>
      <c r="F1467" t="s">
        <v>158</v>
      </c>
      <c r="G1467" s="5">
        <v>7377753</v>
      </c>
      <c r="H1467" s="5">
        <v>7377753</v>
      </c>
    </row>
    <row r="1468" spans="1:8" x14ac:dyDescent="0.25">
      <c r="A1468" t="s">
        <v>267</v>
      </c>
      <c r="B1468">
        <v>2024</v>
      </c>
      <c r="C1468" t="s">
        <v>35</v>
      </c>
      <c r="D1468" t="s">
        <v>35</v>
      </c>
      <c r="E1468" t="s">
        <v>359</v>
      </c>
      <c r="F1468" t="s">
        <v>142</v>
      </c>
      <c r="G1468" s="5">
        <v>7334150</v>
      </c>
      <c r="H1468" s="5">
        <v>7426492</v>
      </c>
    </row>
    <row r="1469" spans="1:8" x14ac:dyDescent="0.25">
      <c r="A1469" t="s">
        <v>267</v>
      </c>
      <c r="B1469">
        <v>2024</v>
      </c>
      <c r="C1469" t="s">
        <v>35</v>
      </c>
      <c r="D1469" t="s">
        <v>35</v>
      </c>
      <c r="E1469" t="s">
        <v>371</v>
      </c>
      <c r="F1469" t="s">
        <v>154</v>
      </c>
      <c r="G1469" s="5">
        <v>6500639</v>
      </c>
      <c r="H1469" s="5">
        <v>6500639</v>
      </c>
    </row>
    <row r="1470" spans="1:8" x14ac:dyDescent="0.25">
      <c r="A1470" t="s">
        <v>267</v>
      </c>
      <c r="B1470">
        <v>2024</v>
      </c>
      <c r="C1470" t="s">
        <v>35</v>
      </c>
      <c r="D1470" t="s">
        <v>35</v>
      </c>
      <c r="E1470" t="s">
        <v>364</v>
      </c>
      <c r="F1470" t="s">
        <v>147</v>
      </c>
      <c r="G1470" s="5">
        <v>4769447</v>
      </c>
      <c r="H1470" s="5">
        <v>21805612</v>
      </c>
    </row>
    <row r="1471" spans="1:8" x14ac:dyDescent="0.25">
      <c r="A1471" t="s">
        <v>267</v>
      </c>
      <c r="B1471">
        <v>2024</v>
      </c>
      <c r="C1471" t="s">
        <v>35</v>
      </c>
      <c r="D1471" t="s">
        <v>35</v>
      </c>
      <c r="E1471" t="s">
        <v>366</v>
      </c>
      <c r="F1471" t="s">
        <v>149</v>
      </c>
      <c r="G1471" s="5">
        <v>4500005</v>
      </c>
      <c r="H1471" s="5">
        <v>4500005</v>
      </c>
    </row>
    <row r="1472" spans="1:8" x14ac:dyDescent="0.25">
      <c r="A1472" t="s">
        <v>267</v>
      </c>
      <c r="B1472">
        <v>2024</v>
      </c>
      <c r="C1472" t="s">
        <v>35</v>
      </c>
      <c r="D1472" t="s">
        <v>35</v>
      </c>
      <c r="E1472" t="s">
        <v>378</v>
      </c>
      <c r="F1472" t="s">
        <v>162</v>
      </c>
      <c r="G1472" s="5">
        <v>4081789</v>
      </c>
      <c r="H1472" s="5">
        <v>4081789</v>
      </c>
    </row>
    <row r="1473" spans="1:8" x14ac:dyDescent="0.25">
      <c r="A1473" t="s">
        <v>267</v>
      </c>
      <c r="B1473">
        <v>2024</v>
      </c>
      <c r="C1473" t="s">
        <v>35</v>
      </c>
      <c r="D1473" t="s">
        <v>35</v>
      </c>
      <c r="E1473" t="s">
        <v>372</v>
      </c>
      <c r="F1473" t="s">
        <v>155</v>
      </c>
      <c r="G1473" s="5">
        <v>3742718</v>
      </c>
      <c r="H1473" s="5">
        <v>4166568</v>
      </c>
    </row>
    <row r="1474" spans="1:8" x14ac:dyDescent="0.25">
      <c r="A1474" t="s">
        <v>267</v>
      </c>
      <c r="B1474">
        <v>2024</v>
      </c>
      <c r="C1474" t="s">
        <v>35</v>
      </c>
      <c r="D1474" t="s">
        <v>35</v>
      </c>
      <c r="E1474" t="s">
        <v>376</v>
      </c>
      <c r="F1474" t="s">
        <v>159</v>
      </c>
      <c r="G1474" s="5">
        <v>2049751</v>
      </c>
      <c r="H1474" s="5">
        <v>2468756</v>
      </c>
    </row>
    <row r="1475" spans="1:8" x14ac:dyDescent="0.25">
      <c r="A1475" t="s">
        <v>267</v>
      </c>
      <c r="B1475">
        <v>2024</v>
      </c>
      <c r="C1475" t="s">
        <v>35</v>
      </c>
      <c r="D1475" t="s">
        <v>35</v>
      </c>
      <c r="E1475" t="s">
        <v>377</v>
      </c>
      <c r="F1475" t="s">
        <v>160</v>
      </c>
      <c r="G1475" s="5">
        <v>1515011</v>
      </c>
      <c r="H1475" s="5">
        <v>1752394</v>
      </c>
    </row>
    <row r="1476" spans="1:8" x14ac:dyDescent="0.25">
      <c r="A1476" t="s">
        <v>267</v>
      </c>
      <c r="B1476">
        <v>2024</v>
      </c>
      <c r="C1476" t="s">
        <v>35</v>
      </c>
      <c r="D1476" t="s">
        <v>35</v>
      </c>
      <c r="E1476" t="s">
        <v>374</v>
      </c>
      <c r="F1476" t="s">
        <v>157</v>
      </c>
      <c r="G1476" s="5">
        <v>1450130</v>
      </c>
      <c r="H1476" s="5">
        <v>1450130</v>
      </c>
    </row>
    <row r="1477" spans="1:8" x14ac:dyDescent="0.25">
      <c r="A1477" t="s">
        <v>267</v>
      </c>
      <c r="B1477">
        <v>2024</v>
      </c>
      <c r="C1477" t="s">
        <v>35</v>
      </c>
      <c r="D1477" t="s">
        <v>35</v>
      </c>
      <c r="E1477" t="s">
        <v>380</v>
      </c>
      <c r="F1477" t="s">
        <v>164</v>
      </c>
      <c r="G1477" s="5">
        <v>696404</v>
      </c>
      <c r="H1477" s="5">
        <v>696404</v>
      </c>
    </row>
    <row r="1478" spans="1:8" x14ac:dyDescent="0.25">
      <c r="A1478" t="s">
        <v>267</v>
      </c>
      <c r="B1478">
        <v>2024</v>
      </c>
      <c r="C1478" t="s">
        <v>35</v>
      </c>
      <c r="D1478" t="s">
        <v>35</v>
      </c>
      <c r="E1478" t="s">
        <v>369</v>
      </c>
      <c r="F1478" t="s">
        <v>152</v>
      </c>
      <c r="G1478" s="5">
        <v>674965</v>
      </c>
      <c r="H1478" s="5">
        <v>674965</v>
      </c>
    </row>
    <row r="1479" spans="1:8" x14ac:dyDescent="0.25">
      <c r="A1479" t="s">
        <v>267</v>
      </c>
      <c r="B1479">
        <v>2024</v>
      </c>
      <c r="C1479" t="s">
        <v>35</v>
      </c>
      <c r="D1479" t="s">
        <v>35</v>
      </c>
      <c r="E1479" t="s">
        <v>383</v>
      </c>
      <c r="F1479" t="s">
        <v>167</v>
      </c>
      <c r="G1479" s="5">
        <v>405306</v>
      </c>
      <c r="H1479" s="5">
        <v>405306</v>
      </c>
    </row>
    <row r="1480" spans="1:8" x14ac:dyDescent="0.25">
      <c r="A1480" t="s">
        <v>267</v>
      </c>
      <c r="B1480">
        <v>2024</v>
      </c>
      <c r="C1480" t="s">
        <v>35</v>
      </c>
      <c r="D1480" t="s">
        <v>35</v>
      </c>
      <c r="E1480" t="s">
        <v>384</v>
      </c>
      <c r="F1480" t="s">
        <v>168</v>
      </c>
      <c r="G1480" s="5">
        <v>374149</v>
      </c>
      <c r="H1480" s="5">
        <v>374149</v>
      </c>
    </row>
    <row r="1481" spans="1:8" x14ac:dyDescent="0.25">
      <c r="A1481" t="s">
        <v>267</v>
      </c>
      <c r="B1481">
        <v>2024</v>
      </c>
      <c r="C1481" t="s">
        <v>35</v>
      </c>
      <c r="D1481" t="s">
        <v>35</v>
      </c>
      <c r="F1481" t="s">
        <v>161</v>
      </c>
      <c r="G1481" s="5">
        <v>372430</v>
      </c>
      <c r="H1481" s="5">
        <v>372430</v>
      </c>
    </row>
    <row r="1482" spans="1:8" x14ac:dyDescent="0.25">
      <c r="A1482" t="s">
        <v>267</v>
      </c>
      <c r="B1482">
        <v>2024</v>
      </c>
      <c r="C1482" t="s">
        <v>35</v>
      </c>
      <c r="D1482" t="s">
        <v>35</v>
      </c>
      <c r="E1482" t="s">
        <v>382</v>
      </c>
      <c r="F1482" t="s">
        <v>166</v>
      </c>
      <c r="G1482" s="5">
        <v>316190</v>
      </c>
      <c r="H1482" s="5">
        <v>316190</v>
      </c>
    </row>
    <row r="1483" spans="1:8" x14ac:dyDescent="0.25">
      <c r="A1483" t="s">
        <v>267</v>
      </c>
      <c r="B1483">
        <v>2024</v>
      </c>
      <c r="C1483" t="s">
        <v>35</v>
      </c>
      <c r="D1483" t="s">
        <v>35</v>
      </c>
      <c r="E1483" t="s">
        <v>456</v>
      </c>
      <c r="F1483" t="s">
        <v>243</v>
      </c>
      <c r="G1483" s="5">
        <v>214668</v>
      </c>
      <c r="H1483" s="5">
        <v>214668</v>
      </c>
    </row>
    <row r="1484" spans="1:8" x14ac:dyDescent="0.25">
      <c r="A1484" t="s">
        <v>267</v>
      </c>
      <c r="B1484">
        <v>2024</v>
      </c>
      <c r="C1484" t="s">
        <v>35</v>
      </c>
      <c r="D1484" t="s">
        <v>35</v>
      </c>
      <c r="E1484" t="s">
        <v>385</v>
      </c>
      <c r="F1484" t="s">
        <v>169</v>
      </c>
      <c r="G1484" s="5">
        <v>162543</v>
      </c>
      <c r="H1484" s="5">
        <v>162543</v>
      </c>
    </row>
    <row r="1485" spans="1:8" x14ac:dyDescent="0.25">
      <c r="A1485" t="s">
        <v>267</v>
      </c>
      <c r="B1485">
        <v>2024</v>
      </c>
      <c r="C1485" t="s">
        <v>35</v>
      </c>
      <c r="D1485" t="s">
        <v>35</v>
      </c>
      <c r="E1485" t="s">
        <v>387</v>
      </c>
      <c r="F1485" t="s">
        <v>171</v>
      </c>
      <c r="G1485" s="5">
        <v>43276</v>
      </c>
      <c r="H1485" s="5">
        <v>60125</v>
      </c>
    </row>
    <row r="1486" spans="1:8" x14ac:dyDescent="0.25">
      <c r="A1486" t="s">
        <v>267</v>
      </c>
      <c r="B1486">
        <v>2024</v>
      </c>
      <c r="C1486" t="s">
        <v>35</v>
      </c>
      <c r="D1486" t="s">
        <v>35</v>
      </c>
      <c r="E1486" t="s">
        <v>379</v>
      </c>
      <c r="F1486" t="s">
        <v>163</v>
      </c>
      <c r="G1486" s="5">
        <v>26675</v>
      </c>
      <c r="H1486" s="5">
        <v>26675</v>
      </c>
    </row>
    <row r="1487" spans="1:8" x14ac:dyDescent="0.25">
      <c r="A1487" t="s">
        <v>267</v>
      </c>
      <c r="B1487">
        <v>2024</v>
      </c>
      <c r="C1487" t="s">
        <v>172</v>
      </c>
      <c r="D1487" t="s">
        <v>34</v>
      </c>
      <c r="E1487" t="s">
        <v>388</v>
      </c>
      <c r="F1487" t="s">
        <v>173</v>
      </c>
      <c r="G1487" s="5">
        <v>3685506167</v>
      </c>
      <c r="H1487" s="5">
        <v>3808117329</v>
      </c>
    </row>
    <row r="1488" spans="1:8" x14ac:dyDescent="0.25">
      <c r="A1488" t="s">
        <v>267</v>
      </c>
      <c r="B1488">
        <v>2024</v>
      </c>
      <c r="C1488" t="s">
        <v>172</v>
      </c>
      <c r="D1488" t="s">
        <v>34</v>
      </c>
      <c r="E1488" t="s">
        <v>389</v>
      </c>
      <c r="F1488" t="s">
        <v>174</v>
      </c>
      <c r="G1488" s="5">
        <v>1259476287</v>
      </c>
      <c r="H1488" s="5">
        <v>1265813857</v>
      </c>
    </row>
    <row r="1489" spans="1:8" x14ac:dyDescent="0.25">
      <c r="A1489" t="s">
        <v>267</v>
      </c>
      <c r="B1489">
        <v>2024</v>
      </c>
      <c r="C1489" t="s">
        <v>172</v>
      </c>
      <c r="D1489" t="s">
        <v>34</v>
      </c>
      <c r="E1489" t="s">
        <v>390</v>
      </c>
      <c r="F1489" t="s">
        <v>175</v>
      </c>
      <c r="G1489" s="5">
        <v>730563100</v>
      </c>
      <c r="H1489" s="5">
        <v>741811221</v>
      </c>
    </row>
    <row r="1490" spans="1:8" x14ac:dyDescent="0.25">
      <c r="A1490" t="s">
        <v>267</v>
      </c>
      <c r="B1490">
        <v>2024</v>
      </c>
      <c r="C1490" t="s">
        <v>172</v>
      </c>
      <c r="D1490" t="s">
        <v>34</v>
      </c>
      <c r="E1490" t="s">
        <v>391</v>
      </c>
      <c r="F1490" t="s">
        <v>176</v>
      </c>
      <c r="G1490" s="5">
        <v>655979261</v>
      </c>
      <c r="H1490" s="5">
        <v>1200676835</v>
      </c>
    </row>
    <row r="1491" spans="1:8" x14ac:dyDescent="0.25">
      <c r="A1491" t="s">
        <v>267</v>
      </c>
      <c r="B1491">
        <v>2024</v>
      </c>
      <c r="C1491" t="s">
        <v>172</v>
      </c>
      <c r="D1491" t="s">
        <v>34</v>
      </c>
      <c r="E1491" t="s">
        <v>392</v>
      </c>
      <c r="F1491" t="s">
        <v>178</v>
      </c>
      <c r="G1491" s="5">
        <v>443352739</v>
      </c>
      <c r="H1491" s="5">
        <v>462604232</v>
      </c>
    </row>
    <row r="1492" spans="1:8" x14ac:dyDescent="0.25">
      <c r="A1492" t="s">
        <v>267</v>
      </c>
      <c r="B1492">
        <v>2024</v>
      </c>
      <c r="C1492" t="s">
        <v>172</v>
      </c>
      <c r="D1492" t="s">
        <v>34</v>
      </c>
      <c r="E1492" t="s">
        <v>393</v>
      </c>
      <c r="F1492" t="s">
        <v>179</v>
      </c>
      <c r="G1492" s="5">
        <v>321129040</v>
      </c>
      <c r="H1492" s="5">
        <v>321606062</v>
      </c>
    </row>
    <row r="1493" spans="1:8" x14ac:dyDescent="0.25">
      <c r="A1493" t="s">
        <v>267</v>
      </c>
      <c r="B1493">
        <v>2024</v>
      </c>
      <c r="C1493" t="s">
        <v>172</v>
      </c>
      <c r="D1493" t="s">
        <v>34</v>
      </c>
      <c r="E1493" t="s">
        <v>394</v>
      </c>
      <c r="F1493" t="s">
        <v>180</v>
      </c>
      <c r="G1493" s="5">
        <v>297933354</v>
      </c>
      <c r="H1493" s="5">
        <v>301862274</v>
      </c>
    </row>
    <row r="1494" spans="1:8" x14ac:dyDescent="0.25">
      <c r="A1494" t="s">
        <v>267</v>
      </c>
      <c r="B1494">
        <v>2024</v>
      </c>
      <c r="C1494" t="s">
        <v>172</v>
      </c>
      <c r="D1494" t="s">
        <v>34</v>
      </c>
      <c r="E1494" t="s">
        <v>395</v>
      </c>
      <c r="F1494" t="s">
        <v>181</v>
      </c>
      <c r="G1494" s="5">
        <v>257310917</v>
      </c>
      <c r="H1494" s="5">
        <v>268806197</v>
      </c>
    </row>
    <row r="1495" spans="1:8" x14ac:dyDescent="0.25">
      <c r="A1495" t="s">
        <v>267</v>
      </c>
      <c r="B1495">
        <v>2024</v>
      </c>
      <c r="C1495" t="s">
        <v>172</v>
      </c>
      <c r="D1495" t="s">
        <v>34</v>
      </c>
      <c r="E1495" t="s">
        <v>396</v>
      </c>
      <c r="F1495" t="s">
        <v>183</v>
      </c>
      <c r="G1495" s="5">
        <v>156365842</v>
      </c>
      <c r="H1495" s="5">
        <v>156959354</v>
      </c>
    </row>
    <row r="1496" spans="1:8" x14ac:dyDescent="0.25">
      <c r="A1496" t="s">
        <v>267</v>
      </c>
      <c r="B1496">
        <v>2024</v>
      </c>
      <c r="C1496" t="s">
        <v>172</v>
      </c>
      <c r="D1496" t="s">
        <v>34</v>
      </c>
      <c r="E1496" t="s">
        <v>397</v>
      </c>
      <c r="F1496" t="s">
        <v>184</v>
      </c>
      <c r="G1496" s="5">
        <v>140479251</v>
      </c>
      <c r="H1496" s="5">
        <v>150247789</v>
      </c>
    </row>
    <row r="1497" spans="1:8" x14ac:dyDescent="0.25">
      <c r="A1497" t="s">
        <v>267</v>
      </c>
      <c r="B1497">
        <v>2024</v>
      </c>
      <c r="C1497" t="s">
        <v>172</v>
      </c>
      <c r="D1497" t="s">
        <v>34</v>
      </c>
      <c r="E1497" t="s">
        <v>400</v>
      </c>
      <c r="F1497" t="s">
        <v>189</v>
      </c>
      <c r="G1497" s="5">
        <v>100043070</v>
      </c>
      <c r="H1497" s="5">
        <v>100186703</v>
      </c>
    </row>
    <row r="1498" spans="1:8" x14ac:dyDescent="0.25">
      <c r="A1498" t="s">
        <v>267</v>
      </c>
      <c r="B1498">
        <v>2024</v>
      </c>
      <c r="C1498" t="s">
        <v>172</v>
      </c>
      <c r="D1498" t="s">
        <v>34</v>
      </c>
      <c r="E1498" t="s">
        <v>398</v>
      </c>
      <c r="F1498" t="s">
        <v>186</v>
      </c>
      <c r="G1498" s="5">
        <v>94088791</v>
      </c>
      <c r="H1498" s="5">
        <v>95043012</v>
      </c>
    </row>
    <row r="1499" spans="1:8" x14ac:dyDescent="0.25">
      <c r="A1499" t="s">
        <v>267</v>
      </c>
      <c r="B1499">
        <v>2024</v>
      </c>
      <c r="C1499" t="s">
        <v>172</v>
      </c>
      <c r="D1499" t="s">
        <v>34</v>
      </c>
      <c r="E1499" t="s">
        <v>399</v>
      </c>
      <c r="F1499" t="s">
        <v>187</v>
      </c>
      <c r="G1499" s="5">
        <v>66347148</v>
      </c>
      <c r="H1499" s="5">
        <v>66455407</v>
      </c>
    </row>
    <row r="1500" spans="1:8" x14ac:dyDescent="0.25">
      <c r="A1500" t="s">
        <v>267</v>
      </c>
      <c r="B1500">
        <v>2024</v>
      </c>
      <c r="C1500" t="s">
        <v>172</v>
      </c>
      <c r="D1500" t="s">
        <v>34</v>
      </c>
      <c r="E1500" t="s">
        <v>403</v>
      </c>
      <c r="F1500" t="s">
        <v>192</v>
      </c>
      <c r="G1500" s="5">
        <v>65388990</v>
      </c>
      <c r="H1500" s="5">
        <v>65413786</v>
      </c>
    </row>
    <row r="1501" spans="1:8" x14ac:dyDescent="0.25">
      <c r="A1501" t="s">
        <v>267</v>
      </c>
      <c r="B1501">
        <v>2024</v>
      </c>
      <c r="C1501" t="s">
        <v>172</v>
      </c>
      <c r="D1501" t="s">
        <v>34</v>
      </c>
      <c r="E1501" t="s">
        <v>402</v>
      </c>
      <c r="F1501" t="s">
        <v>191</v>
      </c>
      <c r="G1501" s="5">
        <v>59233659</v>
      </c>
      <c r="H1501" s="5">
        <v>59550638</v>
      </c>
    </row>
    <row r="1502" spans="1:8" x14ac:dyDescent="0.25">
      <c r="A1502" t="s">
        <v>267</v>
      </c>
      <c r="B1502">
        <v>2024</v>
      </c>
      <c r="C1502" t="s">
        <v>172</v>
      </c>
      <c r="D1502" t="s">
        <v>34</v>
      </c>
      <c r="E1502" t="s">
        <v>404</v>
      </c>
      <c r="F1502" t="s">
        <v>193</v>
      </c>
      <c r="G1502" s="5">
        <v>45941309</v>
      </c>
      <c r="H1502" s="5">
        <v>46264074</v>
      </c>
    </row>
    <row r="1503" spans="1:8" x14ac:dyDescent="0.25">
      <c r="A1503" t="s">
        <v>267</v>
      </c>
      <c r="B1503">
        <v>2024</v>
      </c>
      <c r="C1503" t="s">
        <v>172</v>
      </c>
      <c r="D1503" t="s">
        <v>34</v>
      </c>
      <c r="E1503" t="s">
        <v>401</v>
      </c>
      <c r="F1503" t="s">
        <v>190</v>
      </c>
      <c r="G1503" s="5">
        <v>41322229</v>
      </c>
      <c r="H1503" s="5">
        <v>41347379</v>
      </c>
    </row>
    <row r="1504" spans="1:8" x14ac:dyDescent="0.25">
      <c r="A1504" t="s">
        <v>267</v>
      </c>
      <c r="B1504">
        <v>2024</v>
      </c>
      <c r="C1504" t="s">
        <v>172</v>
      </c>
      <c r="D1504" t="s">
        <v>34</v>
      </c>
      <c r="E1504" t="s">
        <v>406</v>
      </c>
      <c r="F1504" t="s">
        <v>195</v>
      </c>
      <c r="G1504" s="5">
        <v>33649769</v>
      </c>
      <c r="H1504" s="5">
        <v>33657325</v>
      </c>
    </row>
    <row r="1505" spans="1:8" x14ac:dyDescent="0.25">
      <c r="A1505" t="s">
        <v>267</v>
      </c>
      <c r="B1505">
        <v>2024</v>
      </c>
      <c r="C1505" t="s">
        <v>172</v>
      </c>
      <c r="D1505" t="s">
        <v>34</v>
      </c>
      <c r="E1505" t="s">
        <v>408</v>
      </c>
      <c r="F1505" t="s">
        <v>198</v>
      </c>
      <c r="G1505" s="5">
        <v>32527390</v>
      </c>
      <c r="H1505" s="5">
        <v>32534289</v>
      </c>
    </row>
    <row r="1506" spans="1:8" x14ac:dyDescent="0.25">
      <c r="A1506" t="s">
        <v>267</v>
      </c>
      <c r="B1506">
        <v>2024</v>
      </c>
      <c r="C1506" t="s">
        <v>172</v>
      </c>
      <c r="D1506" t="s">
        <v>34</v>
      </c>
      <c r="E1506" t="s">
        <v>405</v>
      </c>
      <c r="F1506" t="s">
        <v>194</v>
      </c>
      <c r="G1506" s="5">
        <v>29904331</v>
      </c>
      <c r="H1506" s="5">
        <v>30493293</v>
      </c>
    </row>
    <row r="1507" spans="1:8" x14ac:dyDescent="0.25">
      <c r="A1507" t="s">
        <v>267</v>
      </c>
      <c r="B1507">
        <v>2024</v>
      </c>
      <c r="C1507" t="s">
        <v>172</v>
      </c>
      <c r="D1507" t="s">
        <v>34</v>
      </c>
      <c r="E1507" t="s">
        <v>407</v>
      </c>
      <c r="F1507" t="s">
        <v>197</v>
      </c>
      <c r="G1507" s="5">
        <v>26250713</v>
      </c>
      <c r="H1507" s="5">
        <v>27410977</v>
      </c>
    </row>
    <row r="1508" spans="1:8" x14ac:dyDescent="0.25">
      <c r="A1508" t="s">
        <v>267</v>
      </c>
      <c r="B1508">
        <v>2024</v>
      </c>
      <c r="C1508" t="s">
        <v>172</v>
      </c>
      <c r="D1508" t="s">
        <v>34</v>
      </c>
      <c r="E1508" t="s">
        <v>411</v>
      </c>
      <c r="F1508" t="s">
        <v>203</v>
      </c>
      <c r="G1508" s="5">
        <v>14134485</v>
      </c>
      <c r="H1508" s="5">
        <v>14212348</v>
      </c>
    </row>
    <row r="1509" spans="1:8" x14ac:dyDescent="0.25">
      <c r="A1509" t="s">
        <v>267</v>
      </c>
      <c r="B1509">
        <v>2024</v>
      </c>
      <c r="C1509" t="s">
        <v>172</v>
      </c>
      <c r="D1509" t="s">
        <v>34</v>
      </c>
      <c r="E1509" t="s">
        <v>410</v>
      </c>
      <c r="F1509" t="s">
        <v>201</v>
      </c>
      <c r="G1509" s="5">
        <v>12445330</v>
      </c>
      <c r="H1509" s="5">
        <v>12445330</v>
      </c>
    </row>
    <row r="1510" spans="1:8" x14ac:dyDescent="0.25">
      <c r="A1510" t="s">
        <v>267</v>
      </c>
      <c r="B1510">
        <v>2024</v>
      </c>
      <c r="C1510" t="s">
        <v>172</v>
      </c>
      <c r="D1510" t="s">
        <v>34</v>
      </c>
      <c r="E1510" t="s">
        <v>409</v>
      </c>
      <c r="F1510" t="s">
        <v>199</v>
      </c>
      <c r="G1510" s="5">
        <v>9048859</v>
      </c>
      <c r="H1510" s="5">
        <v>17678920</v>
      </c>
    </row>
    <row r="1511" spans="1:8" x14ac:dyDescent="0.25">
      <c r="A1511" t="s">
        <v>267</v>
      </c>
      <c r="B1511">
        <v>2024</v>
      </c>
      <c r="C1511" t="s">
        <v>172</v>
      </c>
      <c r="D1511" t="s">
        <v>34</v>
      </c>
      <c r="E1511" t="s">
        <v>412</v>
      </c>
      <c r="F1511" t="s">
        <v>204</v>
      </c>
      <c r="G1511" s="5">
        <v>6282655</v>
      </c>
      <c r="H1511" s="5">
        <v>6360656</v>
      </c>
    </row>
    <row r="1512" spans="1:8" x14ac:dyDescent="0.25">
      <c r="A1512" t="s">
        <v>267</v>
      </c>
      <c r="B1512">
        <v>2024</v>
      </c>
      <c r="C1512" t="s">
        <v>172</v>
      </c>
      <c r="D1512" t="s">
        <v>34</v>
      </c>
      <c r="E1512" t="s">
        <v>413</v>
      </c>
      <c r="F1512" t="s">
        <v>207</v>
      </c>
      <c r="G1512" s="5">
        <v>2720998</v>
      </c>
      <c r="H1512" s="5">
        <v>2725653</v>
      </c>
    </row>
    <row r="1513" spans="1:8" x14ac:dyDescent="0.25">
      <c r="A1513" t="s">
        <v>267</v>
      </c>
      <c r="B1513">
        <v>2024</v>
      </c>
      <c r="C1513" t="s">
        <v>172</v>
      </c>
      <c r="D1513" t="s">
        <v>34</v>
      </c>
      <c r="E1513" t="s">
        <v>414</v>
      </c>
      <c r="F1513" t="s">
        <v>209</v>
      </c>
      <c r="G1513" s="5">
        <v>1559966</v>
      </c>
      <c r="H1513" s="5">
        <v>2878598</v>
      </c>
    </row>
    <row r="1514" spans="1:8" x14ac:dyDescent="0.25">
      <c r="A1514" t="s">
        <v>267</v>
      </c>
      <c r="B1514">
        <v>2024</v>
      </c>
      <c r="C1514" t="s">
        <v>172</v>
      </c>
      <c r="D1514" t="s">
        <v>37</v>
      </c>
      <c r="E1514" t="s">
        <v>415</v>
      </c>
      <c r="F1514" t="s">
        <v>177</v>
      </c>
      <c r="G1514" s="5">
        <v>457037324</v>
      </c>
      <c r="H1514" s="5">
        <v>4064154432</v>
      </c>
    </row>
    <row r="1515" spans="1:8" x14ac:dyDescent="0.25">
      <c r="A1515" t="s">
        <v>267</v>
      </c>
      <c r="B1515">
        <v>2024</v>
      </c>
      <c r="C1515" t="s">
        <v>172</v>
      </c>
      <c r="D1515" t="s">
        <v>37</v>
      </c>
      <c r="E1515" t="s">
        <v>416</v>
      </c>
      <c r="F1515" t="s">
        <v>182</v>
      </c>
      <c r="G1515" s="5">
        <v>128761855</v>
      </c>
      <c r="H1515" s="5">
        <v>853643933</v>
      </c>
    </row>
    <row r="1516" spans="1:8" x14ac:dyDescent="0.25">
      <c r="A1516" t="s">
        <v>267</v>
      </c>
      <c r="B1516">
        <v>2024</v>
      </c>
      <c r="C1516" t="s">
        <v>172</v>
      </c>
      <c r="D1516" t="s">
        <v>37</v>
      </c>
      <c r="E1516" t="s">
        <v>418</v>
      </c>
      <c r="F1516" t="s">
        <v>188</v>
      </c>
      <c r="G1516" s="5">
        <v>115433801</v>
      </c>
      <c r="H1516" s="5">
        <v>119847435</v>
      </c>
    </row>
    <row r="1517" spans="1:8" x14ac:dyDescent="0.25">
      <c r="A1517" t="s">
        <v>267</v>
      </c>
      <c r="B1517">
        <v>2024</v>
      </c>
      <c r="C1517" t="s">
        <v>172</v>
      </c>
      <c r="D1517" t="s">
        <v>37</v>
      </c>
      <c r="E1517" t="s">
        <v>417</v>
      </c>
      <c r="F1517" t="s">
        <v>185</v>
      </c>
      <c r="G1517" s="5">
        <v>35300714</v>
      </c>
      <c r="H1517" s="5">
        <v>35300714</v>
      </c>
    </row>
    <row r="1518" spans="1:8" x14ac:dyDescent="0.25">
      <c r="A1518" t="s">
        <v>267</v>
      </c>
      <c r="B1518">
        <v>2024</v>
      </c>
      <c r="C1518" t="s">
        <v>172</v>
      </c>
      <c r="D1518" t="s">
        <v>37</v>
      </c>
      <c r="E1518" t="s">
        <v>420</v>
      </c>
      <c r="F1518" t="s">
        <v>200</v>
      </c>
      <c r="G1518" s="5">
        <v>23702893</v>
      </c>
      <c r="H1518" s="5">
        <v>23704897</v>
      </c>
    </row>
    <row r="1519" spans="1:8" x14ac:dyDescent="0.25">
      <c r="A1519" t="s">
        <v>267</v>
      </c>
      <c r="B1519">
        <v>2024</v>
      </c>
      <c r="C1519" t="s">
        <v>172</v>
      </c>
      <c r="D1519" t="s">
        <v>37</v>
      </c>
      <c r="E1519" t="s">
        <v>419</v>
      </c>
      <c r="F1519" t="s">
        <v>196</v>
      </c>
      <c r="G1519" s="5">
        <v>16932011</v>
      </c>
      <c r="H1519" s="5">
        <v>17470083</v>
      </c>
    </row>
    <row r="1520" spans="1:8" x14ac:dyDescent="0.25">
      <c r="A1520" t="s">
        <v>267</v>
      </c>
      <c r="B1520">
        <v>2024</v>
      </c>
      <c r="C1520" t="s">
        <v>172</v>
      </c>
      <c r="D1520" t="s">
        <v>37</v>
      </c>
      <c r="E1520" t="s">
        <v>422</v>
      </c>
      <c r="F1520" t="s">
        <v>205</v>
      </c>
      <c r="G1520" s="5">
        <v>11097904</v>
      </c>
      <c r="H1520" s="5">
        <v>11156404</v>
      </c>
    </row>
    <row r="1521" spans="1:8" x14ac:dyDescent="0.25">
      <c r="A1521" t="s">
        <v>267</v>
      </c>
      <c r="B1521">
        <v>2024</v>
      </c>
      <c r="C1521" t="s">
        <v>172</v>
      </c>
      <c r="D1521" t="s">
        <v>37</v>
      </c>
      <c r="E1521" t="s">
        <v>423</v>
      </c>
      <c r="F1521" t="s">
        <v>206</v>
      </c>
      <c r="G1521" s="5">
        <v>6346180</v>
      </c>
      <c r="H1521" s="5">
        <v>6346180</v>
      </c>
    </row>
    <row r="1522" spans="1:8" x14ac:dyDescent="0.25">
      <c r="A1522" t="s">
        <v>267</v>
      </c>
      <c r="B1522">
        <v>2024</v>
      </c>
      <c r="C1522" t="s">
        <v>172</v>
      </c>
      <c r="D1522" t="s">
        <v>37</v>
      </c>
      <c r="E1522" t="s">
        <v>424</v>
      </c>
      <c r="F1522" t="s">
        <v>208</v>
      </c>
      <c r="G1522" s="5">
        <v>6108520</v>
      </c>
      <c r="H1522" s="5">
        <v>6108520</v>
      </c>
    </row>
    <row r="1523" spans="1:8" x14ac:dyDescent="0.25">
      <c r="A1523" t="s">
        <v>267</v>
      </c>
      <c r="B1523">
        <v>2024</v>
      </c>
      <c r="C1523" t="s">
        <v>172</v>
      </c>
      <c r="D1523" t="s">
        <v>37</v>
      </c>
      <c r="E1523" t="s">
        <v>421</v>
      </c>
      <c r="F1523" t="s">
        <v>202</v>
      </c>
      <c r="G1523" s="5">
        <v>5769274</v>
      </c>
      <c r="H1523" s="5">
        <v>5769274</v>
      </c>
    </row>
    <row r="1524" spans="1:8" x14ac:dyDescent="0.25">
      <c r="A1524" t="s">
        <v>267</v>
      </c>
      <c r="B1524">
        <v>2024</v>
      </c>
      <c r="C1524" t="s">
        <v>172</v>
      </c>
      <c r="D1524" t="s">
        <v>37</v>
      </c>
      <c r="E1524" t="s">
        <v>425</v>
      </c>
      <c r="F1524" t="s">
        <v>210</v>
      </c>
      <c r="G1524" s="5">
        <v>4089189</v>
      </c>
      <c r="H1524" s="5">
        <v>4089189</v>
      </c>
    </row>
    <row r="1525" spans="1:8" x14ac:dyDescent="0.25">
      <c r="A1525" t="s">
        <v>267</v>
      </c>
      <c r="B1525">
        <v>2024</v>
      </c>
      <c r="C1525" t="s">
        <v>172</v>
      </c>
      <c r="D1525" t="s">
        <v>37</v>
      </c>
      <c r="E1525" t="s">
        <v>426</v>
      </c>
      <c r="F1525" t="s">
        <v>211</v>
      </c>
      <c r="G1525" s="5">
        <v>2169114</v>
      </c>
      <c r="H1525" s="5">
        <v>2169114</v>
      </c>
    </row>
    <row r="1526" spans="1:8" x14ac:dyDescent="0.25">
      <c r="A1526" t="s">
        <v>267</v>
      </c>
      <c r="B1526">
        <v>2024</v>
      </c>
      <c r="C1526" t="s">
        <v>172</v>
      </c>
      <c r="D1526" t="s">
        <v>37</v>
      </c>
      <c r="E1526" t="s">
        <v>427</v>
      </c>
      <c r="F1526" t="s">
        <v>212</v>
      </c>
      <c r="G1526" s="5">
        <v>1679570</v>
      </c>
      <c r="H1526" s="5">
        <v>1679570</v>
      </c>
    </row>
    <row r="1527" spans="1:8" x14ac:dyDescent="0.25">
      <c r="A1527" t="s">
        <v>267</v>
      </c>
      <c r="B1527">
        <v>2024</v>
      </c>
      <c r="C1527" t="s">
        <v>172</v>
      </c>
      <c r="D1527" t="s">
        <v>37</v>
      </c>
      <c r="E1527" t="s">
        <v>428</v>
      </c>
      <c r="F1527" t="s">
        <v>213</v>
      </c>
      <c r="G1527" s="5">
        <v>1069331</v>
      </c>
      <c r="H1527" s="5">
        <v>1069331</v>
      </c>
    </row>
    <row r="1528" spans="1:8" x14ac:dyDescent="0.25">
      <c r="A1528" t="s">
        <v>267</v>
      </c>
      <c r="B1528">
        <v>2024</v>
      </c>
      <c r="C1528" t="s">
        <v>172</v>
      </c>
      <c r="D1528" t="s">
        <v>37</v>
      </c>
      <c r="E1528" t="s">
        <v>430</v>
      </c>
      <c r="F1528" t="s">
        <v>216</v>
      </c>
      <c r="G1528" s="5">
        <v>360855</v>
      </c>
      <c r="H1528" s="5">
        <v>567591</v>
      </c>
    </row>
    <row r="1529" spans="1:8" x14ac:dyDescent="0.25">
      <c r="A1529" t="s">
        <v>267</v>
      </c>
      <c r="B1529">
        <v>2024</v>
      </c>
      <c r="C1529" t="s">
        <v>172</v>
      </c>
      <c r="D1529" t="s">
        <v>37</v>
      </c>
      <c r="E1529" t="s">
        <v>431</v>
      </c>
      <c r="F1529" t="s">
        <v>217</v>
      </c>
      <c r="G1529" s="5">
        <v>204553</v>
      </c>
      <c r="H1529" s="5">
        <v>204553</v>
      </c>
    </row>
    <row r="1530" spans="1:8" x14ac:dyDescent="0.25">
      <c r="A1530" t="s">
        <v>267</v>
      </c>
      <c r="B1530">
        <v>2024</v>
      </c>
      <c r="C1530" t="s">
        <v>172</v>
      </c>
      <c r="D1530" t="s">
        <v>37</v>
      </c>
      <c r="F1530" t="s">
        <v>215</v>
      </c>
      <c r="G1530" s="5">
        <v>146540</v>
      </c>
      <c r="H1530" s="5">
        <v>146540</v>
      </c>
    </row>
    <row r="1531" spans="1:8" x14ac:dyDescent="0.25">
      <c r="A1531" t="s">
        <v>267</v>
      </c>
      <c r="B1531">
        <v>2024</v>
      </c>
      <c r="C1531" t="s">
        <v>172</v>
      </c>
      <c r="D1531" t="s">
        <v>37</v>
      </c>
      <c r="E1531" t="s">
        <v>429</v>
      </c>
      <c r="F1531" t="s">
        <v>214</v>
      </c>
      <c r="G1531" s="5">
        <v>136344</v>
      </c>
      <c r="H1531" s="5">
        <v>136344</v>
      </c>
    </row>
    <row r="1532" spans="1:8" x14ac:dyDescent="0.25">
      <c r="A1532" t="s">
        <v>267</v>
      </c>
      <c r="B1532">
        <v>2024</v>
      </c>
      <c r="C1532" t="s">
        <v>40</v>
      </c>
      <c r="D1532" t="s">
        <v>40</v>
      </c>
      <c r="E1532" t="s">
        <v>432</v>
      </c>
      <c r="F1532" t="s">
        <v>218</v>
      </c>
      <c r="G1532" s="5">
        <v>109258818</v>
      </c>
      <c r="H1532" s="5">
        <v>111921448</v>
      </c>
    </row>
    <row r="1533" spans="1:8" x14ac:dyDescent="0.25">
      <c r="A1533" t="s">
        <v>267</v>
      </c>
      <c r="B1533">
        <v>2024</v>
      </c>
      <c r="C1533" t="s">
        <v>40</v>
      </c>
      <c r="D1533" t="s">
        <v>40</v>
      </c>
      <c r="E1533" t="s">
        <v>433</v>
      </c>
      <c r="F1533" t="s">
        <v>219</v>
      </c>
      <c r="G1533" s="5">
        <v>10785162</v>
      </c>
      <c r="H1533" s="5">
        <v>10840244</v>
      </c>
    </row>
    <row r="1534" spans="1:8" x14ac:dyDescent="0.25">
      <c r="A1534" t="s">
        <v>267</v>
      </c>
      <c r="B1534">
        <v>2024</v>
      </c>
      <c r="C1534" t="s">
        <v>40</v>
      </c>
      <c r="D1534" t="s">
        <v>40</v>
      </c>
      <c r="F1534" t="s">
        <v>225</v>
      </c>
      <c r="G1534" s="5">
        <v>1932022</v>
      </c>
      <c r="H1534" s="5">
        <v>1945396</v>
      </c>
    </row>
    <row r="1535" spans="1:8" x14ac:dyDescent="0.25">
      <c r="A1535" t="s">
        <v>267</v>
      </c>
      <c r="B1535">
        <v>2024</v>
      </c>
      <c r="C1535" t="s">
        <v>40</v>
      </c>
      <c r="D1535" t="s">
        <v>40</v>
      </c>
      <c r="E1535" t="s">
        <v>436</v>
      </c>
      <c r="F1535" t="s">
        <v>222</v>
      </c>
      <c r="G1535" s="5">
        <v>69919</v>
      </c>
      <c r="H1535" s="5">
        <v>69919</v>
      </c>
    </row>
    <row r="1536" spans="1:8" x14ac:dyDescent="0.25">
      <c r="A1536" t="s">
        <v>267</v>
      </c>
      <c r="B1536">
        <v>2024</v>
      </c>
      <c r="C1536" t="s">
        <v>40</v>
      </c>
      <c r="D1536" t="s">
        <v>40</v>
      </c>
      <c r="E1536" t="s">
        <v>438</v>
      </c>
      <c r="F1536" t="s">
        <v>224</v>
      </c>
      <c r="G1536" s="5">
        <v>33909</v>
      </c>
      <c r="H1536" s="5">
        <v>33909</v>
      </c>
    </row>
    <row r="1537" spans="1:8" x14ac:dyDescent="0.25">
      <c r="A1537" t="s">
        <v>458</v>
      </c>
      <c r="B1537">
        <v>2016</v>
      </c>
      <c r="C1537" t="s">
        <v>39</v>
      </c>
      <c r="D1537" t="s">
        <v>39</v>
      </c>
      <c r="E1537" t="s">
        <v>268</v>
      </c>
      <c r="F1537" t="s">
        <v>47</v>
      </c>
      <c r="G1537" s="5">
        <v>99752795</v>
      </c>
      <c r="H1537" s="5">
        <v>240113874</v>
      </c>
    </row>
    <row r="1538" spans="1:8" x14ac:dyDescent="0.25">
      <c r="A1538" t="s">
        <v>458</v>
      </c>
      <c r="B1538">
        <v>2016</v>
      </c>
      <c r="C1538" t="s">
        <v>39</v>
      </c>
      <c r="D1538" t="s">
        <v>39</v>
      </c>
      <c r="E1538" t="s">
        <v>273</v>
      </c>
      <c r="F1538" t="s">
        <v>52</v>
      </c>
      <c r="G1538" s="5">
        <v>47918461</v>
      </c>
      <c r="H1538" s="5">
        <v>47918692</v>
      </c>
    </row>
    <row r="1539" spans="1:8" x14ac:dyDescent="0.25">
      <c r="A1539" t="s">
        <v>458</v>
      </c>
      <c r="B1539">
        <v>2016</v>
      </c>
      <c r="C1539" t="s">
        <v>39</v>
      </c>
      <c r="D1539" t="s">
        <v>39</v>
      </c>
      <c r="E1539" t="s">
        <v>281</v>
      </c>
      <c r="F1539" t="s">
        <v>60</v>
      </c>
      <c r="G1539" s="5">
        <v>43532634</v>
      </c>
      <c r="H1539" s="5">
        <v>43532634</v>
      </c>
    </row>
    <row r="1540" spans="1:8" x14ac:dyDescent="0.25">
      <c r="A1540" t="s">
        <v>458</v>
      </c>
      <c r="B1540">
        <v>2016</v>
      </c>
      <c r="C1540" t="s">
        <v>39</v>
      </c>
      <c r="D1540" t="s">
        <v>39</v>
      </c>
      <c r="E1540" t="s">
        <v>271</v>
      </c>
      <c r="F1540" t="s">
        <v>50</v>
      </c>
      <c r="G1540" s="5">
        <v>41352131</v>
      </c>
      <c r="H1540" s="5">
        <v>41352167</v>
      </c>
    </row>
    <row r="1541" spans="1:8" x14ac:dyDescent="0.25">
      <c r="A1541" t="s">
        <v>458</v>
      </c>
      <c r="B1541">
        <v>2016</v>
      </c>
      <c r="C1541" t="s">
        <v>39</v>
      </c>
      <c r="D1541" t="s">
        <v>39</v>
      </c>
      <c r="E1541" t="s">
        <v>296</v>
      </c>
      <c r="F1541" t="s">
        <v>76</v>
      </c>
      <c r="G1541" s="5">
        <v>14724540</v>
      </c>
      <c r="H1541" s="5">
        <v>14771352</v>
      </c>
    </row>
    <row r="1542" spans="1:8" x14ac:dyDescent="0.25">
      <c r="A1542" t="s">
        <v>458</v>
      </c>
      <c r="B1542">
        <v>2016</v>
      </c>
      <c r="C1542" t="s">
        <v>39</v>
      </c>
      <c r="D1542" t="s">
        <v>39</v>
      </c>
      <c r="E1542" t="s">
        <v>269</v>
      </c>
      <c r="F1542" t="s">
        <v>48</v>
      </c>
      <c r="G1542" s="5">
        <v>10750410</v>
      </c>
      <c r="H1542" s="5">
        <v>414488674</v>
      </c>
    </row>
    <row r="1543" spans="1:8" x14ac:dyDescent="0.25">
      <c r="A1543" t="s">
        <v>458</v>
      </c>
      <c r="B1543">
        <v>2016</v>
      </c>
      <c r="C1543" t="s">
        <v>39</v>
      </c>
      <c r="D1543" t="s">
        <v>39</v>
      </c>
      <c r="E1543" t="s">
        <v>279</v>
      </c>
      <c r="F1543" t="s">
        <v>58</v>
      </c>
      <c r="G1543" s="5">
        <v>9609089</v>
      </c>
      <c r="H1543" s="5">
        <v>9609089</v>
      </c>
    </row>
    <row r="1544" spans="1:8" x14ac:dyDescent="0.25">
      <c r="A1544" t="s">
        <v>458</v>
      </c>
      <c r="B1544">
        <v>2016</v>
      </c>
      <c r="C1544" t="s">
        <v>39</v>
      </c>
      <c r="D1544" t="s">
        <v>39</v>
      </c>
      <c r="E1544" t="s">
        <v>280</v>
      </c>
      <c r="F1544" t="s">
        <v>59</v>
      </c>
      <c r="G1544" s="5">
        <v>5910674</v>
      </c>
      <c r="H1544" s="5">
        <v>8002030</v>
      </c>
    </row>
    <row r="1545" spans="1:8" x14ac:dyDescent="0.25">
      <c r="A1545" t="s">
        <v>458</v>
      </c>
      <c r="B1545">
        <v>2016</v>
      </c>
      <c r="C1545" t="s">
        <v>39</v>
      </c>
      <c r="D1545" t="s">
        <v>39</v>
      </c>
      <c r="E1545" t="s">
        <v>272</v>
      </c>
      <c r="F1545" t="s">
        <v>51</v>
      </c>
      <c r="G1545" s="5">
        <v>5506366</v>
      </c>
      <c r="H1545" s="5">
        <v>5506366</v>
      </c>
    </row>
    <row r="1546" spans="1:8" x14ac:dyDescent="0.25">
      <c r="A1546" t="s">
        <v>458</v>
      </c>
      <c r="B1546">
        <v>2016</v>
      </c>
      <c r="C1546" t="s">
        <v>39</v>
      </c>
      <c r="D1546" t="s">
        <v>39</v>
      </c>
      <c r="F1546" t="s">
        <v>64</v>
      </c>
      <c r="G1546" s="5">
        <v>4999193</v>
      </c>
      <c r="H1546" s="5">
        <v>5118301</v>
      </c>
    </row>
    <row r="1547" spans="1:8" x14ac:dyDescent="0.25">
      <c r="A1547" t="s">
        <v>458</v>
      </c>
      <c r="B1547">
        <v>2016</v>
      </c>
      <c r="C1547" t="s">
        <v>39</v>
      </c>
      <c r="D1547" t="s">
        <v>39</v>
      </c>
      <c r="E1547" t="s">
        <v>270</v>
      </c>
      <c r="F1547" t="s">
        <v>49</v>
      </c>
      <c r="G1547" s="5">
        <v>930202</v>
      </c>
      <c r="H1547" s="5">
        <v>930202</v>
      </c>
    </row>
    <row r="1548" spans="1:8" x14ac:dyDescent="0.25">
      <c r="A1548" t="s">
        <v>458</v>
      </c>
      <c r="B1548">
        <v>2016</v>
      </c>
      <c r="C1548" t="s">
        <v>39</v>
      </c>
      <c r="D1548" t="s">
        <v>39</v>
      </c>
      <c r="E1548" t="s">
        <v>291</v>
      </c>
      <c r="F1548" t="s">
        <v>71</v>
      </c>
      <c r="G1548" s="5">
        <v>495325</v>
      </c>
      <c r="H1548" s="5">
        <v>495325</v>
      </c>
    </row>
    <row r="1549" spans="1:8" x14ac:dyDescent="0.25">
      <c r="A1549" t="s">
        <v>458</v>
      </c>
      <c r="B1549">
        <v>2016</v>
      </c>
      <c r="C1549" t="s">
        <v>39</v>
      </c>
      <c r="D1549" t="s">
        <v>39</v>
      </c>
      <c r="E1549" t="s">
        <v>307</v>
      </c>
      <c r="F1549" t="s">
        <v>87</v>
      </c>
      <c r="G1549" s="5">
        <v>475862</v>
      </c>
      <c r="H1549" s="5">
        <v>476777</v>
      </c>
    </row>
    <row r="1550" spans="1:8" x14ac:dyDescent="0.25">
      <c r="A1550" t="s">
        <v>458</v>
      </c>
      <c r="B1550">
        <v>2016</v>
      </c>
      <c r="C1550" t="s">
        <v>39</v>
      </c>
      <c r="D1550" t="s">
        <v>39</v>
      </c>
      <c r="E1550" t="s">
        <v>287</v>
      </c>
      <c r="F1550" t="s">
        <v>67</v>
      </c>
      <c r="G1550" s="5">
        <v>349268</v>
      </c>
      <c r="H1550" s="5">
        <v>349268</v>
      </c>
    </row>
    <row r="1551" spans="1:8" x14ac:dyDescent="0.25">
      <c r="A1551" t="s">
        <v>458</v>
      </c>
      <c r="B1551">
        <v>2016</v>
      </c>
      <c r="C1551" t="s">
        <v>39</v>
      </c>
      <c r="D1551" t="s">
        <v>39</v>
      </c>
      <c r="E1551" t="s">
        <v>294</v>
      </c>
      <c r="F1551" t="s">
        <v>74</v>
      </c>
      <c r="G1551" s="5">
        <v>336381</v>
      </c>
      <c r="H1551" s="5">
        <v>336381</v>
      </c>
    </row>
    <row r="1552" spans="1:8" x14ac:dyDescent="0.25">
      <c r="A1552" t="s">
        <v>458</v>
      </c>
      <c r="B1552">
        <v>2016</v>
      </c>
      <c r="C1552" t="s">
        <v>39</v>
      </c>
      <c r="D1552" t="s">
        <v>39</v>
      </c>
      <c r="E1552" t="s">
        <v>277</v>
      </c>
      <c r="F1552" t="s">
        <v>56</v>
      </c>
      <c r="G1552" s="5">
        <v>320015</v>
      </c>
      <c r="H1552" s="5">
        <v>320015</v>
      </c>
    </row>
    <row r="1553" spans="1:8" x14ac:dyDescent="0.25">
      <c r="A1553" t="s">
        <v>458</v>
      </c>
      <c r="B1553">
        <v>2016</v>
      </c>
      <c r="C1553" t="s">
        <v>39</v>
      </c>
      <c r="D1553" t="s">
        <v>39</v>
      </c>
      <c r="E1553" t="s">
        <v>284</v>
      </c>
      <c r="F1553" t="s">
        <v>63</v>
      </c>
      <c r="G1553" s="5">
        <v>250720</v>
      </c>
      <c r="H1553" s="5">
        <v>250720</v>
      </c>
    </row>
    <row r="1554" spans="1:8" x14ac:dyDescent="0.25">
      <c r="A1554" t="s">
        <v>458</v>
      </c>
      <c r="B1554">
        <v>2016</v>
      </c>
      <c r="C1554" t="s">
        <v>39</v>
      </c>
      <c r="D1554" t="s">
        <v>39</v>
      </c>
      <c r="E1554" t="s">
        <v>459</v>
      </c>
      <c r="F1554" t="s">
        <v>247</v>
      </c>
      <c r="G1554" s="5">
        <v>247490</v>
      </c>
      <c r="H1554" s="5">
        <v>247490</v>
      </c>
    </row>
    <row r="1555" spans="1:8" x14ac:dyDescent="0.25">
      <c r="A1555" t="s">
        <v>458</v>
      </c>
      <c r="B1555">
        <v>2016</v>
      </c>
      <c r="C1555" t="s">
        <v>39</v>
      </c>
      <c r="D1555" t="s">
        <v>39</v>
      </c>
      <c r="E1555" t="s">
        <v>286</v>
      </c>
      <c r="F1555" t="s">
        <v>66</v>
      </c>
      <c r="G1555" s="5">
        <v>206105</v>
      </c>
      <c r="H1555" s="5">
        <v>206105</v>
      </c>
    </row>
    <row r="1556" spans="1:8" x14ac:dyDescent="0.25">
      <c r="A1556" t="s">
        <v>458</v>
      </c>
      <c r="B1556">
        <v>2016</v>
      </c>
      <c r="C1556" t="s">
        <v>39</v>
      </c>
      <c r="D1556" t="s">
        <v>39</v>
      </c>
      <c r="E1556" t="s">
        <v>303</v>
      </c>
      <c r="F1556" t="s">
        <v>83</v>
      </c>
      <c r="G1556" s="5">
        <v>115898</v>
      </c>
      <c r="H1556" s="5">
        <v>116047</v>
      </c>
    </row>
    <row r="1557" spans="1:8" x14ac:dyDescent="0.25">
      <c r="A1557" t="s">
        <v>458</v>
      </c>
      <c r="B1557">
        <v>2016</v>
      </c>
      <c r="C1557" t="s">
        <v>39</v>
      </c>
      <c r="D1557" t="s">
        <v>39</v>
      </c>
      <c r="E1557" t="s">
        <v>278</v>
      </c>
      <c r="F1557" t="s">
        <v>57</v>
      </c>
      <c r="G1557" s="5">
        <v>113276</v>
      </c>
      <c r="H1557" s="5">
        <v>113276</v>
      </c>
    </row>
    <row r="1558" spans="1:8" x14ac:dyDescent="0.25">
      <c r="A1558" t="s">
        <v>458</v>
      </c>
      <c r="B1558">
        <v>2016</v>
      </c>
      <c r="C1558" t="s">
        <v>39</v>
      </c>
      <c r="D1558" t="s">
        <v>39</v>
      </c>
      <c r="E1558" t="s">
        <v>283</v>
      </c>
      <c r="F1558" t="s">
        <v>62</v>
      </c>
      <c r="G1558" s="5">
        <v>57685</v>
      </c>
      <c r="H1558" s="5">
        <v>70836</v>
      </c>
    </row>
    <row r="1559" spans="1:8" x14ac:dyDescent="0.25">
      <c r="A1559" t="s">
        <v>458</v>
      </c>
      <c r="B1559">
        <v>2016</v>
      </c>
      <c r="C1559" t="s">
        <v>39</v>
      </c>
      <c r="D1559" t="s">
        <v>39</v>
      </c>
      <c r="E1559" t="s">
        <v>305</v>
      </c>
      <c r="F1559" t="s">
        <v>85</v>
      </c>
      <c r="G1559" s="5">
        <v>50523</v>
      </c>
      <c r="H1559" s="5">
        <v>50523</v>
      </c>
    </row>
    <row r="1560" spans="1:8" x14ac:dyDescent="0.25">
      <c r="A1560" t="s">
        <v>458</v>
      </c>
      <c r="B1560">
        <v>2016</v>
      </c>
      <c r="C1560" t="s">
        <v>39</v>
      </c>
      <c r="D1560" t="s">
        <v>39</v>
      </c>
      <c r="E1560" t="s">
        <v>298</v>
      </c>
      <c r="F1560" t="s">
        <v>78</v>
      </c>
      <c r="G1560" s="5">
        <v>47131</v>
      </c>
      <c r="H1560" s="5">
        <v>47131</v>
      </c>
    </row>
    <row r="1561" spans="1:8" x14ac:dyDescent="0.25">
      <c r="A1561" t="s">
        <v>458</v>
      </c>
      <c r="B1561">
        <v>2016</v>
      </c>
      <c r="C1561" t="s">
        <v>39</v>
      </c>
      <c r="D1561" t="s">
        <v>39</v>
      </c>
      <c r="E1561" t="s">
        <v>290</v>
      </c>
      <c r="F1561" t="s">
        <v>70</v>
      </c>
      <c r="G1561" s="5">
        <v>44808</v>
      </c>
      <c r="H1561" s="5">
        <v>44808</v>
      </c>
    </row>
    <row r="1562" spans="1:8" x14ac:dyDescent="0.25">
      <c r="A1562" t="s">
        <v>458</v>
      </c>
      <c r="B1562">
        <v>2016</v>
      </c>
      <c r="C1562" t="s">
        <v>39</v>
      </c>
      <c r="D1562" t="s">
        <v>39</v>
      </c>
      <c r="E1562" t="s">
        <v>311</v>
      </c>
      <c r="F1562" t="s">
        <v>91</v>
      </c>
      <c r="G1562" s="5">
        <v>41523</v>
      </c>
      <c r="H1562" s="5">
        <v>41523</v>
      </c>
    </row>
    <row r="1563" spans="1:8" x14ac:dyDescent="0.25">
      <c r="A1563" t="s">
        <v>458</v>
      </c>
      <c r="B1563">
        <v>2016</v>
      </c>
      <c r="C1563" t="s">
        <v>39</v>
      </c>
      <c r="D1563" t="s">
        <v>39</v>
      </c>
      <c r="E1563" t="s">
        <v>275</v>
      </c>
      <c r="F1563" t="s">
        <v>54</v>
      </c>
      <c r="G1563" s="5">
        <v>20393</v>
      </c>
      <c r="H1563" s="5">
        <v>20793</v>
      </c>
    </row>
    <row r="1564" spans="1:8" x14ac:dyDescent="0.25">
      <c r="A1564" t="s">
        <v>458</v>
      </c>
      <c r="B1564">
        <v>2016</v>
      </c>
      <c r="C1564" t="s">
        <v>92</v>
      </c>
      <c r="D1564" t="s">
        <v>36</v>
      </c>
      <c r="E1564" t="s">
        <v>36</v>
      </c>
      <c r="F1564" t="s">
        <v>93</v>
      </c>
      <c r="G1564" s="5">
        <v>3919095140</v>
      </c>
      <c r="H1564" s="5">
        <v>4448620865</v>
      </c>
    </row>
    <row r="1565" spans="1:8" x14ac:dyDescent="0.25">
      <c r="A1565" t="s">
        <v>458</v>
      </c>
      <c r="B1565">
        <v>2016</v>
      </c>
      <c r="C1565" t="s">
        <v>92</v>
      </c>
      <c r="D1565" t="s">
        <v>38</v>
      </c>
      <c r="E1565" t="s">
        <v>313</v>
      </c>
      <c r="F1565" t="s">
        <v>95</v>
      </c>
      <c r="G1565" s="5">
        <v>296289094</v>
      </c>
      <c r="H1565" s="5">
        <v>337475218</v>
      </c>
    </row>
    <row r="1566" spans="1:8" x14ac:dyDescent="0.25">
      <c r="A1566" t="s">
        <v>458</v>
      </c>
      <c r="B1566">
        <v>2016</v>
      </c>
      <c r="C1566" t="s">
        <v>92</v>
      </c>
      <c r="D1566" t="s">
        <v>38</v>
      </c>
      <c r="E1566" t="s">
        <v>314</v>
      </c>
      <c r="F1566" t="s">
        <v>96</v>
      </c>
      <c r="G1566" s="5">
        <v>89875047</v>
      </c>
      <c r="H1566" s="5">
        <v>90181660</v>
      </c>
    </row>
    <row r="1567" spans="1:8" x14ac:dyDescent="0.25">
      <c r="A1567" t="s">
        <v>458</v>
      </c>
      <c r="B1567">
        <v>2016</v>
      </c>
      <c r="C1567" t="s">
        <v>92</v>
      </c>
      <c r="D1567" t="s">
        <v>38</v>
      </c>
      <c r="E1567" t="s">
        <v>312</v>
      </c>
      <c r="F1567" t="s">
        <v>94</v>
      </c>
      <c r="G1567" s="5">
        <v>69348603</v>
      </c>
      <c r="H1567" s="5">
        <v>69857414</v>
      </c>
    </row>
    <row r="1568" spans="1:8" x14ac:dyDescent="0.25">
      <c r="A1568" t="s">
        <v>458</v>
      </c>
      <c r="B1568">
        <v>2016</v>
      </c>
      <c r="C1568" t="s">
        <v>92</v>
      </c>
      <c r="D1568" t="s">
        <v>38</v>
      </c>
      <c r="E1568" t="s">
        <v>321</v>
      </c>
      <c r="F1568" t="s">
        <v>103</v>
      </c>
      <c r="G1568" s="5">
        <v>28146854</v>
      </c>
      <c r="H1568" s="5">
        <v>28146854</v>
      </c>
    </row>
    <row r="1569" spans="1:8" x14ac:dyDescent="0.25">
      <c r="A1569" t="s">
        <v>458</v>
      </c>
      <c r="B1569">
        <v>2016</v>
      </c>
      <c r="C1569" t="s">
        <v>92</v>
      </c>
      <c r="D1569" t="s">
        <v>38</v>
      </c>
      <c r="E1569" t="s">
        <v>325</v>
      </c>
      <c r="F1569" t="s">
        <v>108</v>
      </c>
      <c r="G1569" s="5">
        <v>23565783</v>
      </c>
      <c r="H1569" s="5">
        <v>23565787</v>
      </c>
    </row>
    <row r="1570" spans="1:8" x14ac:dyDescent="0.25">
      <c r="A1570" t="s">
        <v>458</v>
      </c>
      <c r="B1570">
        <v>2016</v>
      </c>
      <c r="C1570" t="s">
        <v>92</v>
      </c>
      <c r="D1570" t="s">
        <v>38</v>
      </c>
      <c r="E1570" t="s">
        <v>319</v>
      </c>
      <c r="F1570" t="s">
        <v>101</v>
      </c>
      <c r="G1570" s="5">
        <v>22786097</v>
      </c>
      <c r="H1570" s="5">
        <v>22786146</v>
      </c>
    </row>
    <row r="1571" spans="1:8" x14ac:dyDescent="0.25">
      <c r="A1571" t="s">
        <v>458</v>
      </c>
      <c r="B1571">
        <v>2016</v>
      </c>
      <c r="C1571" t="s">
        <v>92</v>
      </c>
      <c r="D1571" t="s">
        <v>38</v>
      </c>
      <c r="E1571" t="s">
        <v>315</v>
      </c>
      <c r="F1571" t="s">
        <v>97</v>
      </c>
      <c r="G1571" s="5">
        <v>11845058</v>
      </c>
      <c r="H1571" s="5">
        <v>12195291</v>
      </c>
    </row>
    <row r="1572" spans="1:8" x14ac:dyDescent="0.25">
      <c r="A1572" t="s">
        <v>458</v>
      </c>
      <c r="B1572">
        <v>2016</v>
      </c>
      <c r="C1572" t="s">
        <v>92</v>
      </c>
      <c r="D1572" t="s">
        <v>38</v>
      </c>
      <c r="E1572" t="s">
        <v>318</v>
      </c>
      <c r="F1572" t="s">
        <v>100</v>
      </c>
      <c r="G1572" s="5">
        <v>11222278</v>
      </c>
      <c r="H1572" s="5">
        <v>11222278</v>
      </c>
    </row>
    <row r="1573" spans="1:8" x14ac:dyDescent="0.25">
      <c r="A1573" t="s">
        <v>458</v>
      </c>
      <c r="B1573">
        <v>2016</v>
      </c>
      <c r="C1573" t="s">
        <v>92</v>
      </c>
      <c r="D1573" t="s">
        <v>38</v>
      </c>
      <c r="E1573" t="s">
        <v>316</v>
      </c>
      <c r="F1573" t="s">
        <v>98</v>
      </c>
      <c r="G1573" s="5">
        <v>7226996</v>
      </c>
      <c r="H1573" s="5">
        <v>7226996</v>
      </c>
    </row>
    <row r="1574" spans="1:8" x14ac:dyDescent="0.25">
      <c r="A1574" t="s">
        <v>458</v>
      </c>
      <c r="B1574">
        <v>2016</v>
      </c>
      <c r="C1574" t="s">
        <v>92</v>
      </c>
      <c r="D1574" t="s">
        <v>38</v>
      </c>
      <c r="E1574" t="s">
        <v>322</v>
      </c>
      <c r="F1574" t="s">
        <v>105</v>
      </c>
      <c r="G1574" s="5">
        <v>6517713</v>
      </c>
      <c r="H1574" s="5">
        <v>6517713</v>
      </c>
    </row>
    <row r="1575" spans="1:8" x14ac:dyDescent="0.25">
      <c r="A1575" t="s">
        <v>458</v>
      </c>
      <c r="B1575">
        <v>2016</v>
      </c>
      <c r="C1575" t="s">
        <v>92</v>
      </c>
      <c r="D1575" t="s">
        <v>38</v>
      </c>
      <c r="E1575" t="s">
        <v>332</v>
      </c>
      <c r="F1575" t="s">
        <v>115</v>
      </c>
      <c r="G1575" s="5">
        <v>5047101</v>
      </c>
      <c r="H1575" s="5">
        <v>5047101</v>
      </c>
    </row>
    <row r="1576" spans="1:8" x14ac:dyDescent="0.25">
      <c r="A1576" t="s">
        <v>458</v>
      </c>
      <c r="B1576">
        <v>2016</v>
      </c>
      <c r="C1576" t="s">
        <v>92</v>
      </c>
      <c r="D1576" t="s">
        <v>38</v>
      </c>
      <c r="E1576" t="s">
        <v>326</v>
      </c>
      <c r="F1576" t="s">
        <v>109</v>
      </c>
      <c r="G1576" s="5">
        <v>3547931</v>
      </c>
      <c r="H1576" s="5">
        <v>4112207</v>
      </c>
    </row>
    <row r="1577" spans="1:8" x14ac:dyDescent="0.25">
      <c r="A1577" t="s">
        <v>458</v>
      </c>
      <c r="B1577">
        <v>2016</v>
      </c>
      <c r="C1577" t="s">
        <v>92</v>
      </c>
      <c r="D1577" t="s">
        <v>38</v>
      </c>
      <c r="E1577" t="s">
        <v>328</v>
      </c>
      <c r="F1577" t="s">
        <v>111</v>
      </c>
      <c r="G1577" s="5">
        <v>3333659</v>
      </c>
      <c r="H1577" s="5">
        <v>3411159</v>
      </c>
    </row>
    <row r="1578" spans="1:8" x14ac:dyDescent="0.25">
      <c r="A1578" t="s">
        <v>458</v>
      </c>
      <c r="B1578">
        <v>2016</v>
      </c>
      <c r="C1578" t="s">
        <v>92</v>
      </c>
      <c r="D1578" t="s">
        <v>38</v>
      </c>
      <c r="E1578" t="s">
        <v>329</v>
      </c>
      <c r="F1578" t="s">
        <v>112</v>
      </c>
      <c r="G1578" s="5">
        <v>3332126</v>
      </c>
      <c r="H1578" s="5">
        <v>3332126</v>
      </c>
    </row>
    <row r="1579" spans="1:8" x14ac:dyDescent="0.25">
      <c r="A1579" t="s">
        <v>458</v>
      </c>
      <c r="B1579">
        <v>2016</v>
      </c>
      <c r="C1579" t="s">
        <v>92</v>
      </c>
      <c r="D1579" t="s">
        <v>38</v>
      </c>
      <c r="E1579" t="s">
        <v>324</v>
      </c>
      <c r="F1579" t="s">
        <v>107</v>
      </c>
      <c r="G1579" s="5">
        <v>3097753</v>
      </c>
      <c r="H1579" s="5">
        <v>3097753</v>
      </c>
    </row>
    <row r="1580" spans="1:8" x14ac:dyDescent="0.25">
      <c r="A1580" t="s">
        <v>458</v>
      </c>
      <c r="B1580">
        <v>2016</v>
      </c>
      <c r="C1580" t="s">
        <v>92</v>
      </c>
      <c r="D1580" t="s">
        <v>38</v>
      </c>
      <c r="E1580" t="s">
        <v>323</v>
      </c>
      <c r="F1580" t="s">
        <v>106</v>
      </c>
      <c r="G1580" s="5">
        <v>1654029</v>
      </c>
      <c r="H1580" s="5">
        <v>1674692</v>
      </c>
    </row>
    <row r="1581" spans="1:8" x14ac:dyDescent="0.25">
      <c r="A1581" t="s">
        <v>458</v>
      </c>
      <c r="B1581">
        <v>2016</v>
      </c>
      <c r="C1581" t="s">
        <v>92</v>
      </c>
      <c r="D1581" t="s">
        <v>38</v>
      </c>
      <c r="E1581" t="s">
        <v>337</v>
      </c>
      <c r="F1581" t="s">
        <v>120</v>
      </c>
      <c r="G1581" s="5">
        <v>1122696</v>
      </c>
      <c r="H1581" s="5">
        <v>1122696</v>
      </c>
    </row>
    <row r="1582" spans="1:8" x14ac:dyDescent="0.25">
      <c r="A1582" t="s">
        <v>458</v>
      </c>
      <c r="B1582">
        <v>2016</v>
      </c>
      <c r="C1582" t="s">
        <v>92</v>
      </c>
      <c r="D1582" t="s">
        <v>38</v>
      </c>
      <c r="E1582" t="s">
        <v>331</v>
      </c>
      <c r="F1582" t="s">
        <v>114</v>
      </c>
      <c r="G1582" s="5">
        <v>779808</v>
      </c>
      <c r="H1582" s="5">
        <v>779808</v>
      </c>
    </row>
    <row r="1583" spans="1:8" x14ac:dyDescent="0.25">
      <c r="A1583" t="s">
        <v>458</v>
      </c>
      <c r="B1583">
        <v>2016</v>
      </c>
      <c r="C1583" t="s">
        <v>92</v>
      </c>
      <c r="D1583" t="s">
        <v>38</v>
      </c>
      <c r="E1583" t="s">
        <v>327</v>
      </c>
      <c r="F1583" t="s">
        <v>110</v>
      </c>
      <c r="G1583" s="5">
        <v>690701</v>
      </c>
      <c r="H1583" s="5">
        <v>690701</v>
      </c>
    </row>
    <row r="1584" spans="1:8" x14ac:dyDescent="0.25">
      <c r="A1584" t="s">
        <v>458</v>
      </c>
      <c r="B1584">
        <v>2016</v>
      </c>
      <c r="C1584" t="s">
        <v>92</v>
      </c>
      <c r="D1584" t="s">
        <v>38</v>
      </c>
      <c r="E1584" t="s">
        <v>444</v>
      </c>
      <c r="F1584" t="s">
        <v>231</v>
      </c>
      <c r="G1584" s="5">
        <v>657303</v>
      </c>
      <c r="H1584" s="5">
        <v>657303</v>
      </c>
    </row>
    <row r="1585" spans="1:8" x14ac:dyDescent="0.25">
      <c r="A1585" t="s">
        <v>458</v>
      </c>
      <c r="B1585">
        <v>2016</v>
      </c>
      <c r="C1585" t="s">
        <v>92</v>
      </c>
      <c r="D1585" t="s">
        <v>38</v>
      </c>
      <c r="E1585" t="s">
        <v>330</v>
      </c>
      <c r="F1585" t="s">
        <v>113</v>
      </c>
      <c r="G1585" s="5">
        <v>464612</v>
      </c>
      <c r="H1585" s="5">
        <v>464612</v>
      </c>
    </row>
    <row r="1586" spans="1:8" x14ac:dyDescent="0.25">
      <c r="A1586" t="s">
        <v>458</v>
      </c>
      <c r="B1586">
        <v>2016</v>
      </c>
      <c r="C1586" t="s">
        <v>92</v>
      </c>
      <c r="D1586" t="s">
        <v>38</v>
      </c>
      <c r="F1586" t="s">
        <v>104</v>
      </c>
      <c r="G1586" s="5">
        <v>142644</v>
      </c>
      <c r="H1586" s="5">
        <v>15317479</v>
      </c>
    </row>
    <row r="1587" spans="1:8" x14ac:dyDescent="0.25">
      <c r="A1587" t="s">
        <v>458</v>
      </c>
      <c r="B1587">
        <v>2016</v>
      </c>
      <c r="C1587" t="s">
        <v>92</v>
      </c>
      <c r="D1587" t="s">
        <v>38</v>
      </c>
      <c r="E1587" t="s">
        <v>339</v>
      </c>
      <c r="F1587" t="s">
        <v>122</v>
      </c>
      <c r="G1587" s="5">
        <v>110054</v>
      </c>
      <c r="H1587" s="5">
        <v>110054</v>
      </c>
    </row>
    <row r="1588" spans="1:8" x14ac:dyDescent="0.25">
      <c r="A1588" t="s">
        <v>458</v>
      </c>
      <c r="B1588">
        <v>2016</v>
      </c>
      <c r="C1588" t="s">
        <v>92</v>
      </c>
      <c r="D1588" t="s">
        <v>38</v>
      </c>
      <c r="E1588" t="s">
        <v>335</v>
      </c>
      <c r="F1588" t="s">
        <v>118</v>
      </c>
      <c r="G1588" s="5">
        <v>101662</v>
      </c>
      <c r="H1588" s="5">
        <v>101662</v>
      </c>
    </row>
    <row r="1589" spans="1:8" x14ac:dyDescent="0.25">
      <c r="A1589" t="s">
        <v>458</v>
      </c>
      <c r="B1589">
        <v>2016</v>
      </c>
      <c r="C1589" t="s">
        <v>92</v>
      </c>
      <c r="D1589" t="s">
        <v>38</v>
      </c>
      <c r="E1589" t="s">
        <v>340</v>
      </c>
      <c r="F1589" t="s">
        <v>123</v>
      </c>
      <c r="G1589" s="5">
        <v>79064</v>
      </c>
      <c r="H1589" s="5">
        <v>79064</v>
      </c>
    </row>
    <row r="1590" spans="1:8" x14ac:dyDescent="0.25">
      <c r="A1590" t="s">
        <v>458</v>
      </c>
      <c r="B1590">
        <v>2016</v>
      </c>
      <c r="C1590" t="s">
        <v>92</v>
      </c>
      <c r="D1590" t="s">
        <v>38</v>
      </c>
      <c r="E1590" t="s">
        <v>336</v>
      </c>
      <c r="F1590" t="s">
        <v>119</v>
      </c>
      <c r="G1590" s="5">
        <v>65230</v>
      </c>
      <c r="H1590" s="5">
        <v>79344</v>
      </c>
    </row>
    <row r="1591" spans="1:8" x14ac:dyDescent="0.25">
      <c r="A1591" t="s">
        <v>458</v>
      </c>
      <c r="B1591">
        <v>2016</v>
      </c>
      <c r="C1591" t="s">
        <v>92</v>
      </c>
      <c r="D1591" t="s">
        <v>38</v>
      </c>
      <c r="E1591" t="s">
        <v>460</v>
      </c>
      <c r="F1591" t="s">
        <v>248</v>
      </c>
      <c r="G1591" s="5">
        <v>20385</v>
      </c>
      <c r="H1591" s="5">
        <v>20385</v>
      </c>
    </row>
    <row r="1592" spans="1:8" x14ac:dyDescent="0.25">
      <c r="A1592" t="s">
        <v>458</v>
      </c>
      <c r="B1592">
        <v>2016</v>
      </c>
      <c r="C1592" t="s">
        <v>35</v>
      </c>
      <c r="D1592" t="s">
        <v>35</v>
      </c>
      <c r="E1592" t="s">
        <v>343</v>
      </c>
      <c r="F1592" t="s">
        <v>126</v>
      </c>
      <c r="G1592" s="5">
        <v>3913738281</v>
      </c>
      <c r="H1592" s="5">
        <v>3915192062</v>
      </c>
    </row>
    <row r="1593" spans="1:8" x14ac:dyDescent="0.25">
      <c r="A1593" t="s">
        <v>458</v>
      </c>
      <c r="B1593">
        <v>2016</v>
      </c>
      <c r="C1593" t="s">
        <v>35</v>
      </c>
      <c r="D1593" t="s">
        <v>35</v>
      </c>
      <c r="E1593" t="s">
        <v>354</v>
      </c>
      <c r="F1593" t="s">
        <v>137</v>
      </c>
      <c r="G1593" s="5">
        <v>554982527</v>
      </c>
      <c r="H1593" s="5">
        <v>554982607</v>
      </c>
    </row>
    <row r="1594" spans="1:8" x14ac:dyDescent="0.25">
      <c r="A1594" t="s">
        <v>458</v>
      </c>
      <c r="B1594">
        <v>2016</v>
      </c>
      <c r="C1594" t="s">
        <v>35</v>
      </c>
      <c r="D1594" t="s">
        <v>35</v>
      </c>
      <c r="E1594" t="s">
        <v>348</v>
      </c>
      <c r="F1594" t="s">
        <v>131</v>
      </c>
      <c r="G1594" s="5">
        <v>530980187</v>
      </c>
      <c r="H1594" s="5">
        <v>685178207</v>
      </c>
    </row>
    <row r="1595" spans="1:8" x14ac:dyDescent="0.25">
      <c r="A1595" t="s">
        <v>458</v>
      </c>
      <c r="B1595">
        <v>2016</v>
      </c>
      <c r="C1595" t="s">
        <v>35</v>
      </c>
      <c r="D1595" t="s">
        <v>35</v>
      </c>
      <c r="E1595" t="s">
        <v>345</v>
      </c>
      <c r="F1595" t="s">
        <v>128</v>
      </c>
      <c r="G1595" s="5">
        <v>240366212</v>
      </c>
      <c r="H1595" s="5">
        <v>243825921</v>
      </c>
    </row>
    <row r="1596" spans="1:8" x14ac:dyDescent="0.25">
      <c r="A1596" t="s">
        <v>458</v>
      </c>
      <c r="B1596">
        <v>2016</v>
      </c>
      <c r="C1596" t="s">
        <v>35</v>
      </c>
      <c r="D1596" t="s">
        <v>35</v>
      </c>
      <c r="E1596" t="s">
        <v>356</v>
      </c>
      <c r="F1596" t="s">
        <v>139</v>
      </c>
      <c r="G1596" s="5">
        <v>238416247</v>
      </c>
      <c r="H1596" s="5">
        <v>238774764</v>
      </c>
    </row>
    <row r="1597" spans="1:8" x14ac:dyDescent="0.25">
      <c r="A1597" t="s">
        <v>458</v>
      </c>
      <c r="B1597">
        <v>2016</v>
      </c>
      <c r="C1597" t="s">
        <v>35</v>
      </c>
      <c r="D1597" t="s">
        <v>35</v>
      </c>
      <c r="E1597" t="s">
        <v>352</v>
      </c>
      <c r="F1597" t="s">
        <v>135</v>
      </c>
      <c r="G1597" s="5">
        <v>218759139</v>
      </c>
      <c r="H1597" s="5">
        <v>218765215</v>
      </c>
    </row>
    <row r="1598" spans="1:8" x14ac:dyDescent="0.25">
      <c r="A1598" t="s">
        <v>458</v>
      </c>
      <c r="B1598">
        <v>2016</v>
      </c>
      <c r="C1598" t="s">
        <v>35</v>
      </c>
      <c r="D1598" t="s">
        <v>35</v>
      </c>
      <c r="E1598" t="s">
        <v>344</v>
      </c>
      <c r="F1598" t="s">
        <v>127</v>
      </c>
      <c r="G1598" s="5">
        <v>195190351</v>
      </c>
      <c r="H1598" s="5">
        <v>195415567</v>
      </c>
    </row>
    <row r="1599" spans="1:8" x14ac:dyDescent="0.25">
      <c r="A1599" t="s">
        <v>458</v>
      </c>
      <c r="B1599">
        <v>2016</v>
      </c>
      <c r="C1599" t="s">
        <v>35</v>
      </c>
      <c r="D1599" t="s">
        <v>35</v>
      </c>
      <c r="E1599" t="s">
        <v>353</v>
      </c>
      <c r="F1599" t="s">
        <v>136</v>
      </c>
      <c r="G1599" s="5">
        <v>185119586</v>
      </c>
      <c r="H1599" s="5">
        <v>185119605</v>
      </c>
    </row>
    <row r="1600" spans="1:8" x14ac:dyDescent="0.25">
      <c r="A1600" t="s">
        <v>458</v>
      </c>
      <c r="B1600">
        <v>2016</v>
      </c>
      <c r="C1600" t="s">
        <v>35</v>
      </c>
      <c r="D1600" t="s">
        <v>35</v>
      </c>
      <c r="E1600" t="s">
        <v>355</v>
      </c>
      <c r="F1600" t="s">
        <v>138</v>
      </c>
      <c r="G1600" s="5">
        <v>114431953</v>
      </c>
      <c r="H1600" s="5">
        <v>114451460</v>
      </c>
    </row>
    <row r="1601" spans="1:8" x14ac:dyDescent="0.25">
      <c r="A1601" t="s">
        <v>458</v>
      </c>
      <c r="B1601">
        <v>2016</v>
      </c>
      <c r="C1601" t="s">
        <v>35</v>
      </c>
      <c r="D1601" t="s">
        <v>35</v>
      </c>
      <c r="E1601" t="s">
        <v>360</v>
      </c>
      <c r="F1601" t="s">
        <v>143</v>
      </c>
      <c r="G1601" s="5">
        <v>101696322</v>
      </c>
      <c r="H1601" s="5">
        <v>101696322</v>
      </c>
    </row>
    <row r="1602" spans="1:8" x14ac:dyDescent="0.25">
      <c r="A1602" t="s">
        <v>458</v>
      </c>
      <c r="B1602">
        <v>2016</v>
      </c>
      <c r="C1602" t="s">
        <v>35</v>
      </c>
      <c r="D1602" t="s">
        <v>35</v>
      </c>
      <c r="E1602" t="s">
        <v>349</v>
      </c>
      <c r="F1602" t="s">
        <v>132</v>
      </c>
      <c r="G1602" s="5">
        <v>81062497</v>
      </c>
      <c r="H1602" s="5">
        <v>310761801</v>
      </c>
    </row>
    <row r="1603" spans="1:8" x14ac:dyDescent="0.25">
      <c r="A1603" t="s">
        <v>458</v>
      </c>
      <c r="B1603">
        <v>2016</v>
      </c>
      <c r="C1603" t="s">
        <v>35</v>
      </c>
      <c r="D1603" t="s">
        <v>35</v>
      </c>
      <c r="E1603" t="s">
        <v>362</v>
      </c>
      <c r="F1603" t="s">
        <v>145</v>
      </c>
      <c r="G1603" s="5">
        <v>58111754</v>
      </c>
      <c r="H1603" s="5">
        <v>58115141</v>
      </c>
    </row>
    <row r="1604" spans="1:8" x14ac:dyDescent="0.25">
      <c r="A1604" t="s">
        <v>458</v>
      </c>
      <c r="B1604">
        <v>2016</v>
      </c>
      <c r="C1604" t="s">
        <v>35</v>
      </c>
      <c r="D1604" t="s">
        <v>35</v>
      </c>
      <c r="E1604" t="s">
        <v>346</v>
      </c>
      <c r="F1604" t="s">
        <v>129</v>
      </c>
      <c r="G1604" s="5">
        <v>54085627</v>
      </c>
      <c r="H1604" s="5">
        <v>933323005</v>
      </c>
    </row>
    <row r="1605" spans="1:8" x14ac:dyDescent="0.25">
      <c r="A1605" t="s">
        <v>458</v>
      </c>
      <c r="B1605">
        <v>2016</v>
      </c>
      <c r="C1605" t="s">
        <v>35</v>
      </c>
      <c r="D1605" t="s">
        <v>35</v>
      </c>
      <c r="E1605" t="s">
        <v>351</v>
      </c>
      <c r="F1605" t="s">
        <v>134</v>
      </c>
      <c r="G1605" s="5">
        <v>37237105</v>
      </c>
      <c r="H1605" s="5">
        <v>47290416</v>
      </c>
    </row>
    <row r="1606" spans="1:8" x14ac:dyDescent="0.25">
      <c r="A1606" t="s">
        <v>458</v>
      </c>
      <c r="B1606">
        <v>2016</v>
      </c>
      <c r="C1606" t="s">
        <v>35</v>
      </c>
      <c r="D1606" t="s">
        <v>35</v>
      </c>
      <c r="E1606" t="s">
        <v>383</v>
      </c>
      <c r="F1606" t="s">
        <v>167</v>
      </c>
      <c r="G1606" s="5">
        <v>31309244</v>
      </c>
      <c r="H1606" s="5">
        <v>31309244</v>
      </c>
    </row>
    <row r="1607" spans="1:8" x14ac:dyDescent="0.25">
      <c r="A1607" t="s">
        <v>458</v>
      </c>
      <c r="B1607">
        <v>2016</v>
      </c>
      <c r="C1607" t="s">
        <v>35</v>
      </c>
      <c r="D1607" t="s">
        <v>35</v>
      </c>
      <c r="E1607" t="s">
        <v>357</v>
      </c>
      <c r="F1607" t="s">
        <v>140</v>
      </c>
      <c r="G1607" s="5">
        <v>25638331</v>
      </c>
      <c r="H1607" s="5">
        <v>25639956</v>
      </c>
    </row>
    <row r="1608" spans="1:8" x14ac:dyDescent="0.25">
      <c r="A1608" t="s">
        <v>458</v>
      </c>
      <c r="B1608">
        <v>2016</v>
      </c>
      <c r="C1608" t="s">
        <v>35</v>
      </c>
      <c r="D1608" t="s">
        <v>35</v>
      </c>
      <c r="E1608" t="s">
        <v>347</v>
      </c>
      <c r="F1608" t="s">
        <v>130</v>
      </c>
      <c r="G1608" s="5">
        <v>22786069</v>
      </c>
      <c r="H1608" s="5">
        <v>123372189</v>
      </c>
    </row>
    <row r="1609" spans="1:8" x14ac:dyDescent="0.25">
      <c r="A1609" t="s">
        <v>458</v>
      </c>
      <c r="B1609">
        <v>2016</v>
      </c>
      <c r="C1609" t="s">
        <v>35</v>
      </c>
      <c r="D1609" t="s">
        <v>35</v>
      </c>
      <c r="E1609" t="s">
        <v>366</v>
      </c>
      <c r="F1609" t="s">
        <v>149</v>
      </c>
      <c r="G1609" s="5">
        <v>22061570</v>
      </c>
      <c r="H1609" s="5">
        <v>22068532</v>
      </c>
    </row>
    <row r="1610" spans="1:8" x14ac:dyDescent="0.25">
      <c r="A1610" t="s">
        <v>458</v>
      </c>
      <c r="B1610">
        <v>2016</v>
      </c>
      <c r="C1610" t="s">
        <v>35</v>
      </c>
      <c r="D1610" t="s">
        <v>35</v>
      </c>
      <c r="E1610" t="s">
        <v>350</v>
      </c>
      <c r="F1610" t="s">
        <v>133</v>
      </c>
      <c r="G1610" s="5">
        <v>6443420</v>
      </c>
      <c r="H1610" s="5">
        <v>6443420</v>
      </c>
    </row>
    <row r="1611" spans="1:8" x14ac:dyDescent="0.25">
      <c r="A1611" t="s">
        <v>458</v>
      </c>
      <c r="B1611">
        <v>2016</v>
      </c>
      <c r="C1611" t="s">
        <v>35</v>
      </c>
      <c r="D1611" t="s">
        <v>35</v>
      </c>
      <c r="E1611" t="s">
        <v>379</v>
      </c>
      <c r="F1611" t="s">
        <v>163</v>
      </c>
      <c r="G1611" s="5">
        <v>4416538</v>
      </c>
      <c r="H1611" s="5">
        <v>4448096</v>
      </c>
    </row>
    <row r="1612" spans="1:8" x14ac:dyDescent="0.25">
      <c r="A1612" t="s">
        <v>458</v>
      </c>
      <c r="B1612">
        <v>2016</v>
      </c>
      <c r="C1612" t="s">
        <v>35</v>
      </c>
      <c r="D1612" t="s">
        <v>35</v>
      </c>
      <c r="E1612" t="s">
        <v>359</v>
      </c>
      <c r="F1612" t="s">
        <v>142</v>
      </c>
      <c r="G1612" s="5">
        <v>3841512</v>
      </c>
      <c r="H1612" s="5">
        <v>3841512</v>
      </c>
    </row>
    <row r="1613" spans="1:8" x14ac:dyDescent="0.25">
      <c r="A1613" t="s">
        <v>458</v>
      </c>
      <c r="B1613">
        <v>2016</v>
      </c>
      <c r="C1613" t="s">
        <v>35</v>
      </c>
      <c r="D1613" t="s">
        <v>35</v>
      </c>
      <c r="E1613" t="s">
        <v>372</v>
      </c>
      <c r="F1613" t="s">
        <v>155</v>
      </c>
      <c r="G1613" s="5">
        <v>3495146</v>
      </c>
      <c r="H1613" s="5">
        <v>3495146</v>
      </c>
    </row>
    <row r="1614" spans="1:8" x14ac:dyDescent="0.25">
      <c r="A1614" t="s">
        <v>458</v>
      </c>
      <c r="B1614">
        <v>2016</v>
      </c>
      <c r="C1614" t="s">
        <v>35</v>
      </c>
      <c r="D1614" t="s">
        <v>35</v>
      </c>
      <c r="E1614" t="s">
        <v>382</v>
      </c>
      <c r="F1614" t="s">
        <v>166</v>
      </c>
      <c r="G1614" s="5">
        <v>2037903</v>
      </c>
      <c r="H1614" s="5">
        <v>2066204</v>
      </c>
    </row>
    <row r="1615" spans="1:8" x14ac:dyDescent="0.25">
      <c r="A1615" t="s">
        <v>458</v>
      </c>
      <c r="B1615">
        <v>2016</v>
      </c>
      <c r="C1615" t="s">
        <v>35</v>
      </c>
      <c r="D1615" t="s">
        <v>35</v>
      </c>
      <c r="E1615" t="s">
        <v>358</v>
      </c>
      <c r="F1615" t="s">
        <v>141</v>
      </c>
      <c r="G1615" s="5">
        <v>1753864</v>
      </c>
      <c r="H1615" s="5">
        <v>1753864</v>
      </c>
    </row>
    <row r="1616" spans="1:8" x14ac:dyDescent="0.25">
      <c r="A1616" t="s">
        <v>458</v>
      </c>
      <c r="B1616">
        <v>2016</v>
      </c>
      <c r="C1616" t="s">
        <v>35</v>
      </c>
      <c r="D1616" t="s">
        <v>35</v>
      </c>
      <c r="E1616" t="s">
        <v>376</v>
      </c>
      <c r="F1616" t="s">
        <v>159</v>
      </c>
      <c r="G1616" s="5">
        <v>1732686</v>
      </c>
      <c r="H1616" s="5">
        <v>1732686</v>
      </c>
    </row>
    <row r="1617" spans="1:8" x14ac:dyDescent="0.25">
      <c r="A1617" t="s">
        <v>458</v>
      </c>
      <c r="B1617">
        <v>2016</v>
      </c>
      <c r="C1617" t="s">
        <v>35</v>
      </c>
      <c r="D1617" t="s">
        <v>35</v>
      </c>
      <c r="E1617" t="s">
        <v>381</v>
      </c>
      <c r="F1617" t="s">
        <v>165</v>
      </c>
      <c r="G1617" s="5">
        <v>1687008</v>
      </c>
      <c r="H1617" s="5">
        <v>1687008</v>
      </c>
    </row>
    <row r="1618" spans="1:8" x14ac:dyDescent="0.25">
      <c r="A1618" t="s">
        <v>458</v>
      </c>
      <c r="B1618">
        <v>2016</v>
      </c>
      <c r="C1618" t="s">
        <v>35</v>
      </c>
      <c r="D1618" t="s">
        <v>35</v>
      </c>
      <c r="F1618" t="s">
        <v>161</v>
      </c>
      <c r="G1618" s="5">
        <v>1253884</v>
      </c>
      <c r="H1618" s="5">
        <v>2393364725</v>
      </c>
    </row>
    <row r="1619" spans="1:8" x14ac:dyDescent="0.25">
      <c r="A1619" t="s">
        <v>458</v>
      </c>
      <c r="B1619">
        <v>2016</v>
      </c>
      <c r="C1619" t="s">
        <v>35</v>
      </c>
      <c r="D1619" t="s">
        <v>35</v>
      </c>
      <c r="E1619" t="s">
        <v>367</v>
      </c>
      <c r="F1619" t="s">
        <v>150</v>
      </c>
      <c r="G1619" s="5">
        <v>1173999</v>
      </c>
      <c r="H1619" s="5">
        <v>1202453</v>
      </c>
    </row>
    <row r="1620" spans="1:8" x14ac:dyDescent="0.25">
      <c r="A1620" t="s">
        <v>458</v>
      </c>
      <c r="B1620">
        <v>2016</v>
      </c>
      <c r="C1620" t="s">
        <v>35</v>
      </c>
      <c r="D1620" t="s">
        <v>35</v>
      </c>
      <c r="E1620" t="s">
        <v>378</v>
      </c>
      <c r="F1620" t="s">
        <v>162</v>
      </c>
      <c r="G1620" s="5">
        <v>1136218</v>
      </c>
      <c r="H1620" s="5">
        <v>1136218</v>
      </c>
    </row>
    <row r="1621" spans="1:8" x14ac:dyDescent="0.25">
      <c r="A1621" t="s">
        <v>458</v>
      </c>
      <c r="B1621">
        <v>2016</v>
      </c>
      <c r="C1621" t="s">
        <v>35</v>
      </c>
      <c r="D1621" t="s">
        <v>35</v>
      </c>
      <c r="E1621" t="s">
        <v>364</v>
      </c>
      <c r="F1621" t="s">
        <v>147</v>
      </c>
      <c r="G1621" s="5">
        <v>1126495</v>
      </c>
      <c r="H1621" s="5">
        <v>26071586</v>
      </c>
    </row>
    <row r="1622" spans="1:8" x14ac:dyDescent="0.25">
      <c r="A1622" t="s">
        <v>458</v>
      </c>
      <c r="B1622">
        <v>2016</v>
      </c>
      <c r="C1622" t="s">
        <v>35</v>
      </c>
      <c r="D1622" t="s">
        <v>35</v>
      </c>
      <c r="E1622" t="s">
        <v>361</v>
      </c>
      <c r="F1622" t="s">
        <v>144</v>
      </c>
      <c r="G1622" s="5">
        <v>877229</v>
      </c>
      <c r="H1622" s="5">
        <v>973029</v>
      </c>
    </row>
    <row r="1623" spans="1:8" x14ac:dyDescent="0.25">
      <c r="A1623" t="s">
        <v>458</v>
      </c>
      <c r="B1623">
        <v>2016</v>
      </c>
      <c r="C1623" t="s">
        <v>35</v>
      </c>
      <c r="D1623" t="s">
        <v>35</v>
      </c>
      <c r="E1623" t="s">
        <v>365</v>
      </c>
      <c r="F1623" t="s">
        <v>148</v>
      </c>
      <c r="G1623" s="5">
        <v>647655</v>
      </c>
      <c r="H1623" s="5">
        <v>647655</v>
      </c>
    </row>
    <row r="1624" spans="1:8" x14ac:dyDescent="0.25">
      <c r="A1624" t="s">
        <v>458</v>
      </c>
      <c r="B1624">
        <v>2016</v>
      </c>
      <c r="C1624" t="s">
        <v>35</v>
      </c>
      <c r="D1624" t="s">
        <v>35</v>
      </c>
      <c r="E1624" t="s">
        <v>370</v>
      </c>
      <c r="F1624" t="s">
        <v>153</v>
      </c>
      <c r="G1624" s="5">
        <v>370892</v>
      </c>
      <c r="H1624" s="5">
        <v>370892</v>
      </c>
    </row>
    <row r="1625" spans="1:8" x14ac:dyDescent="0.25">
      <c r="A1625" t="s">
        <v>458</v>
      </c>
      <c r="B1625">
        <v>2016</v>
      </c>
      <c r="C1625" t="s">
        <v>35</v>
      </c>
      <c r="D1625" t="s">
        <v>35</v>
      </c>
      <c r="E1625" t="s">
        <v>371</v>
      </c>
      <c r="F1625" t="s">
        <v>154</v>
      </c>
      <c r="G1625" s="5">
        <v>267198</v>
      </c>
      <c r="H1625" s="5">
        <v>476611</v>
      </c>
    </row>
    <row r="1626" spans="1:8" x14ac:dyDescent="0.25">
      <c r="A1626" t="s">
        <v>458</v>
      </c>
      <c r="B1626">
        <v>2016</v>
      </c>
      <c r="C1626" t="s">
        <v>35</v>
      </c>
      <c r="D1626" t="s">
        <v>35</v>
      </c>
      <c r="E1626" t="s">
        <v>377</v>
      </c>
      <c r="F1626" t="s">
        <v>160</v>
      </c>
      <c r="G1626" s="5">
        <v>188908</v>
      </c>
      <c r="H1626" s="5">
        <v>188908</v>
      </c>
    </row>
    <row r="1627" spans="1:8" x14ac:dyDescent="0.25">
      <c r="A1627" t="s">
        <v>458</v>
      </c>
      <c r="B1627">
        <v>2016</v>
      </c>
      <c r="C1627" t="s">
        <v>35</v>
      </c>
      <c r="D1627" t="s">
        <v>35</v>
      </c>
      <c r="E1627" t="s">
        <v>384</v>
      </c>
      <c r="F1627" t="s">
        <v>168</v>
      </c>
      <c r="G1627" s="5">
        <v>186018</v>
      </c>
      <c r="H1627" s="5">
        <v>186018</v>
      </c>
    </row>
    <row r="1628" spans="1:8" x14ac:dyDescent="0.25">
      <c r="A1628" t="s">
        <v>458</v>
      </c>
      <c r="B1628">
        <v>2016</v>
      </c>
      <c r="C1628" t="s">
        <v>35</v>
      </c>
      <c r="D1628" t="s">
        <v>35</v>
      </c>
      <c r="E1628" t="s">
        <v>373</v>
      </c>
      <c r="F1628" t="s">
        <v>156</v>
      </c>
      <c r="G1628" s="5">
        <v>93013</v>
      </c>
      <c r="H1628" s="5">
        <v>93013</v>
      </c>
    </row>
    <row r="1629" spans="1:8" x14ac:dyDescent="0.25">
      <c r="A1629" t="s">
        <v>458</v>
      </c>
      <c r="B1629">
        <v>2016</v>
      </c>
      <c r="C1629" t="s">
        <v>35</v>
      </c>
      <c r="D1629" t="s">
        <v>35</v>
      </c>
      <c r="E1629" t="s">
        <v>375</v>
      </c>
      <c r="F1629" t="s">
        <v>158</v>
      </c>
      <c r="G1629" s="5">
        <v>35063</v>
      </c>
      <c r="H1629" s="5">
        <v>35063</v>
      </c>
    </row>
    <row r="1630" spans="1:8" x14ac:dyDescent="0.25">
      <c r="A1630" t="s">
        <v>458</v>
      </c>
      <c r="B1630">
        <v>2016</v>
      </c>
      <c r="C1630" t="s">
        <v>35</v>
      </c>
      <c r="D1630" t="s">
        <v>35</v>
      </c>
      <c r="E1630" t="s">
        <v>385</v>
      </c>
      <c r="F1630" t="s">
        <v>169</v>
      </c>
      <c r="G1630" s="5">
        <v>16489</v>
      </c>
      <c r="H1630" s="5">
        <v>16489</v>
      </c>
    </row>
    <row r="1631" spans="1:8" x14ac:dyDescent="0.25">
      <c r="A1631" t="s">
        <v>458</v>
      </c>
      <c r="B1631">
        <v>2016</v>
      </c>
      <c r="C1631" t="s">
        <v>172</v>
      </c>
      <c r="D1631" t="s">
        <v>34</v>
      </c>
      <c r="E1631" t="s">
        <v>388</v>
      </c>
      <c r="F1631" t="s">
        <v>173</v>
      </c>
      <c r="G1631" s="5">
        <v>10465022169</v>
      </c>
      <c r="H1631" s="5">
        <v>10665102529</v>
      </c>
    </row>
    <row r="1632" spans="1:8" x14ac:dyDescent="0.25">
      <c r="A1632" t="s">
        <v>458</v>
      </c>
      <c r="B1632">
        <v>2016</v>
      </c>
      <c r="C1632" t="s">
        <v>172</v>
      </c>
      <c r="D1632" t="s">
        <v>34</v>
      </c>
      <c r="E1632" t="s">
        <v>391</v>
      </c>
      <c r="F1632" t="s">
        <v>176</v>
      </c>
      <c r="G1632" s="5">
        <v>2217417913</v>
      </c>
      <c r="H1632" s="5">
        <v>2531098906</v>
      </c>
    </row>
    <row r="1633" spans="1:8" x14ac:dyDescent="0.25">
      <c r="A1633" t="s">
        <v>458</v>
      </c>
      <c r="B1633">
        <v>2016</v>
      </c>
      <c r="C1633" t="s">
        <v>172</v>
      </c>
      <c r="D1633" t="s">
        <v>34</v>
      </c>
      <c r="E1633" t="s">
        <v>390</v>
      </c>
      <c r="F1633" t="s">
        <v>175</v>
      </c>
      <c r="G1633" s="5">
        <v>1849881689</v>
      </c>
      <c r="H1633" s="5">
        <v>1867635312</v>
      </c>
    </row>
    <row r="1634" spans="1:8" x14ac:dyDescent="0.25">
      <c r="A1634" t="s">
        <v>458</v>
      </c>
      <c r="B1634">
        <v>2016</v>
      </c>
      <c r="C1634" t="s">
        <v>172</v>
      </c>
      <c r="D1634" t="s">
        <v>34</v>
      </c>
      <c r="E1634" t="s">
        <v>389</v>
      </c>
      <c r="F1634" t="s">
        <v>174</v>
      </c>
      <c r="G1634" s="5">
        <v>1207884729</v>
      </c>
      <c r="H1634" s="5">
        <v>1210114740</v>
      </c>
    </row>
    <row r="1635" spans="1:8" x14ac:dyDescent="0.25">
      <c r="A1635" t="s">
        <v>458</v>
      </c>
      <c r="B1635">
        <v>2016</v>
      </c>
      <c r="C1635" t="s">
        <v>172</v>
      </c>
      <c r="D1635" t="s">
        <v>34</v>
      </c>
      <c r="E1635" t="s">
        <v>392</v>
      </c>
      <c r="F1635" t="s">
        <v>178</v>
      </c>
      <c r="G1635" s="5">
        <v>985251647</v>
      </c>
      <c r="H1635" s="5">
        <v>1014447409</v>
      </c>
    </row>
    <row r="1636" spans="1:8" x14ac:dyDescent="0.25">
      <c r="A1636" t="s">
        <v>458</v>
      </c>
      <c r="B1636">
        <v>2016</v>
      </c>
      <c r="C1636" t="s">
        <v>172</v>
      </c>
      <c r="D1636" t="s">
        <v>34</v>
      </c>
      <c r="E1636" t="s">
        <v>394</v>
      </c>
      <c r="F1636" t="s">
        <v>180</v>
      </c>
      <c r="G1636" s="5">
        <v>956538733</v>
      </c>
      <c r="H1636" s="5">
        <v>957169320</v>
      </c>
    </row>
    <row r="1637" spans="1:8" x14ac:dyDescent="0.25">
      <c r="A1637" t="s">
        <v>458</v>
      </c>
      <c r="B1637">
        <v>2016</v>
      </c>
      <c r="C1637" t="s">
        <v>172</v>
      </c>
      <c r="D1637" t="s">
        <v>34</v>
      </c>
      <c r="E1637" t="s">
        <v>395</v>
      </c>
      <c r="F1637" t="s">
        <v>181</v>
      </c>
      <c r="G1637" s="5">
        <v>778337683</v>
      </c>
      <c r="H1637" s="5">
        <v>787506990</v>
      </c>
    </row>
    <row r="1638" spans="1:8" x14ac:dyDescent="0.25">
      <c r="A1638" t="s">
        <v>458</v>
      </c>
      <c r="B1638">
        <v>2016</v>
      </c>
      <c r="C1638" t="s">
        <v>172</v>
      </c>
      <c r="D1638" t="s">
        <v>34</v>
      </c>
      <c r="E1638" t="s">
        <v>396</v>
      </c>
      <c r="F1638" t="s">
        <v>183</v>
      </c>
      <c r="G1638" s="5">
        <v>701427882</v>
      </c>
      <c r="H1638" s="5">
        <v>702950753</v>
      </c>
    </row>
    <row r="1639" spans="1:8" x14ac:dyDescent="0.25">
      <c r="A1639" t="s">
        <v>458</v>
      </c>
      <c r="B1639">
        <v>2016</v>
      </c>
      <c r="C1639" t="s">
        <v>172</v>
      </c>
      <c r="D1639" t="s">
        <v>34</v>
      </c>
      <c r="E1639" t="s">
        <v>393</v>
      </c>
      <c r="F1639" t="s">
        <v>179</v>
      </c>
      <c r="G1639" s="5">
        <v>467186284</v>
      </c>
      <c r="H1639" s="5">
        <v>485037412</v>
      </c>
    </row>
    <row r="1640" spans="1:8" x14ac:dyDescent="0.25">
      <c r="A1640" t="s">
        <v>458</v>
      </c>
      <c r="B1640">
        <v>2016</v>
      </c>
      <c r="C1640" t="s">
        <v>172</v>
      </c>
      <c r="D1640" t="s">
        <v>34</v>
      </c>
      <c r="E1640" t="s">
        <v>397</v>
      </c>
      <c r="F1640" t="s">
        <v>184</v>
      </c>
      <c r="G1640" s="5">
        <v>362870438</v>
      </c>
      <c r="H1640" s="5">
        <v>363259711</v>
      </c>
    </row>
    <row r="1641" spans="1:8" x14ac:dyDescent="0.25">
      <c r="A1641" t="s">
        <v>458</v>
      </c>
      <c r="B1641">
        <v>2016</v>
      </c>
      <c r="C1641" t="s">
        <v>172</v>
      </c>
      <c r="D1641" t="s">
        <v>34</v>
      </c>
      <c r="E1641" t="s">
        <v>403</v>
      </c>
      <c r="F1641" t="s">
        <v>192</v>
      </c>
      <c r="G1641" s="5">
        <v>354434301</v>
      </c>
      <c r="H1641" s="5">
        <v>355276050</v>
      </c>
    </row>
    <row r="1642" spans="1:8" x14ac:dyDescent="0.25">
      <c r="A1642" t="s">
        <v>458</v>
      </c>
      <c r="B1642">
        <v>2016</v>
      </c>
      <c r="C1642" t="s">
        <v>172</v>
      </c>
      <c r="D1642" t="s">
        <v>34</v>
      </c>
      <c r="E1642" t="s">
        <v>399</v>
      </c>
      <c r="F1642" t="s">
        <v>187</v>
      </c>
      <c r="G1642" s="5">
        <v>334333409</v>
      </c>
      <c r="H1642" s="5">
        <v>334411987</v>
      </c>
    </row>
    <row r="1643" spans="1:8" x14ac:dyDescent="0.25">
      <c r="A1643" t="s">
        <v>458</v>
      </c>
      <c r="B1643">
        <v>2016</v>
      </c>
      <c r="C1643" t="s">
        <v>172</v>
      </c>
      <c r="D1643" t="s">
        <v>34</v>
      </c>
      <c r="E1643" t="s">
        <v>400</v>
      </c>
      <c r="F1643" t="s">
        <v>189</v>
      </c>
      <c r="G1643" s="5">
        <v>324324812</v>
      </c>
      <c r="H1643" s="5">
        <v>324329660</v>
      </c>
    </row>
    <row r="1644" spans="1:8" x14ac:dyDescent="0.25">
      <c r="A1644" t="s">
        <v>458</v>
      </c>
      <c r="B1644">
        <v>2016</v>
      </c>
      <c r="C1644" t="s">
        <v>172</v>
      </c>
      <c r="D1644" t="s">
        <v>34</v>
      </c>
      <c r="E1644" t="s">
        <v>398</v>
      </c>
      <c r="F1644" t="s">
        <v>186</v>
      </c>
      <c r="G1644" s="5">
        <v>186229940</v>
      </c>
      <c r="H1644" s="5">
        <v>186543714</v>
      </c>
    </row>
    <row r="1645" spans="1:8" x14ac:dyDescent="0.25">
      <c r="A1645" t="s">
        <v>458</v>
      </c>
      <c r="B1645">
        <v>2016</v>
      </c>
      <c r="C1645" t="s">
        <v>172</v>
      </c>
      <c r="D1645" t="s">
        <v>34</v>
      </c>
      <c r="E1645" t="s">
        <v>405</v>
      </c>
      <c r="F1645" t="s">
        <v>194</v>
      </c>
      <c r="G1645" s="5">
        <v>165284695</v>
      </c>
      <c r="H1645" s="5">
        <v>165893754</v>
      </c>
    </row>
    <row r="1646" spans="1:8" x14ac:dyDescent="0.25">
      <c r="A1646" t="s">
        <v>458</v>
      </c>
      <c r="B1646">
        <v>2016</v>
      </c>
      <c r="C1646" t="s">
        <v>172</v>
      </c>
      <c r="D1646" t="s">
        <v>34</v>
      </c>
      <c r="E1646" t="s">
        <v>402</v>
      </c>
      <c r="F1646" t="s">
        <v>191</v>
      </c>
      <c r="G1646" s="5">
        <v>137576067</v>
      </c>
      <c r="H1646" s="5">
        <v>137576985</v>
      </c>
    </row>
    <row r="1647" spans="1:8" x14ac:dyDescent="0.25">
      <c r="A1647" t="s">
        <v>458</v>
      </c>
      <c r="B1647">
        <v>2016</v>
      </c>
      <c r="C1647" t="s">
        <v>172</v>
      </c>
      <c r="D1647" t="s">
        <v>34</v>
      </c>
      <c r="E1647" t="s">
        <v>401</v>
      </c>
      <c r="F1647" t="s">
        <v>190</v>
      </c>
      <c r="G1647" s="5">
        <v>106796299</v>
      </c>
      <c r="H1647" s="5">
        <v>106837012</v>
      </c>
    </row>
    <row r="1648" spans="1:8" x14ac:dyDescent="0.25">
      <c r="A1648" t="s">
        <v>458</v>
      </c>
      <c r="B1648">
        <v>2016</v>
      </c>
      <c r="C1648" t="s">
        <v>172</v>
      </c>
      <c r="D1648" t="s">
        <v>34</v>
      </c>
      <c r="E1648" t="s">
        <v>404</v>
      </c>
      <c r="F1648" t="s">
        <v>193</v>
      </c>
      <c r="G1648" s="5">
        <v>59288893</v>
      </c>
      <c r="H1648" s="5">
        <v>59289034</v>
      </c>
    </row>
    <row r="1649" spans="1:8" x14ac:dyDescent="0.25">
      <c r="A1649" t="s">
        <v>458</v>
      </c>
      <c r="B1649">
        <v>2016</v>
      </c>
      <c r="C1649" t="s">
        <v>172</v>
      </c>
      <c r="D1649" t="s">
        <v>34</v>
      </c>
      <c r="E1649" t="s">
        <v>406</v>
      </c>
      <c r="F1649" t="s">
        <v>195</v>
      </c>
      <c r="G1649" s="5">
        <v>51215164</v>
      </c>
      <c r="H1649" s="5">
        <v>51215174</v>
      </c>
    </row>
    <row r="1650" spans="1:8" x14ac:dyDescent="0.25">
      <c r="A1650" t="s">
        <v>458</v>
      </c>
      <c r="B1650">
        <v>2016</v>
      </c>
      <c r="C1650" t="s">
        <v>172</v>
      </c>
      <c r="D1650" t="s">
        <v>34</v>
      </c>
      <c r="E1650" t="s">
        <v>409</v>
      </c>
      <c r="F1650" t="s">
        <v>199</v>
      </c>
      <c r="G1650" s="5">
        <v>51130645</v>
      </c>
      <c r="H1650" s="5">
        <v>101704057</v>
      </c>
    </row>
    <row r="1651" spans="1:8" x14ac:dyDescent="0.25">
      <c r="A1651" t="s">
        <v>458</v>
      </c>
      <c r="B1651">
        <v>2016</v>
      </c>
      <c r="C1651" t="s">
        <v>172</v>
      </c>
      <c r="D1651" t="s">
        <v>34</v>
      </c>
      <c r="E1651" t="s">
        <v>407</v>
      </c>
      <c r="F1651" t="s">
        <v>197</v>
      </c>
      <c r="G1651" s="5">
        <v>21379292</v>
      </c>
      <c r="H1651" s="5">
        <v>22082570</v>
      </c>
    </row>
    <row r="1652" spans="1:8" x14ac:dyDescent="0.25">
      <c r="A1652" t="s">
        <v>458</v>
      </c>
      <c r="B1652">
        <v>2016</v>
      </c>
      <c r="C1652" t="s">
        <v>172</v>
      </c>
      <c r="D1652" t="s">
        <v>34</v>
      </c>
      <c r="E1652" t="s">
        <v>408</v>
      </c>
      <c r="F1652" t="s">
        <v>198</v>
      </c>
      <c r="G1652" s="5">
        <v>19959608</v>
      </c>
      <c r="H1652" s="5">
        <v>19982876</v>
      </c>
    </row>
    <row r="1653" spans="1:8" x14ac:dyDescent="0.25">
      <c r="A1653" t="s">
        <v>458</v>
      </c>
      <c r="B1653">
        <v>2016</v>
      </c>
      <c r="C1653" t="s">
        <v>172</v>
      </c>
      <c r="D1653" t="s">
        <v>34</v>
      </c>
      <c r="E1653" t="s">
        <v>412</v>
      </c>
      <c r="F1653" t="s">
        <v>204</v>
      </c>
      <c r="G1653" s="5">
        <v>17377503</v>
      </c>
      <c r="H1653" s="5">
        <v>18983231</v>
      </c>
    </row>
    <row r="1654" spans="1:8" x14ac:dyDescent="0.25">
      <c r="A1654" t="s">
        <v>458</v>
      </c>
      <c r="B1654">
        <v>2016</v>
      </c>
      <c r="C1654" t="s">
        <v>172</v>
      </c>
      <c r="D1654" t="s">
        <v>34</v>
      </c>
      <c r="E1654" t="s">
        <v>411</v>
      </c>
      <c r="F1654" t="s">
        <v>203</v>
      </c>
      <c r="G1654" s="5">
        <v>15615586</v>
      </c>
      <c r="H1654" s="5">
        <v>15695293</v>
      </c>
    </row>
    <row r="1655" spans="1:8" x14ac:dyDescent="0.25">
      <c r="A1655" t="s">
        <v>458</v>
      </c>
      <c r="B1655">
        <v>2016</v>
      </c>
      <c r="C1655" t="s">
        <v>172</v>
      </c>
      <c r="D1655" t="s">
        <v>34</v>
      </c>
      <c r="E1655" t="s">
        <v>410</v>
      </c>
      <c r="F1655" t="s">
        <v>201</v>
      </c>
      <c r="G1655" s="5">
        <v>11232158</v>
      </c>
      <c r="H1655" s="5">
        <v>11255966</v>
      </c>
    </row>
    <row r="1656" spans="1:8" x14ac:dyDescent="0.25">
      <c r="A1656" t="s">
        <v>458</v>
      </c>
      <c r="B1656">
        <v>2016</v>
      </c>
      <c r="C1656" t="s">
        <v>172</v>
      </c>
      <c r="D1656" t="s">
        <v>34</v>
      </c>
      <c r="E1656" t="s">
        <v>413</v>
      </c>
      <c r="F1656" t="s">
        <v>207</v>
      </c>
      <c r="G1656" s="5">
        <v>5156442</v>
      </c>
      <c r="H1656" s="5">
        <v>5191232</v>
      </c>
    </row>
    <row r="1657" spans="1:8" x14ac:dyDescent="0.25">
      <c r="A1657" t="s">
        <v>458</v>
      </c>
      <c r="B1657">
        <v>2016</v>
      </c>
      <c r="C1657" t="s">
        <v>172</v>
      </c>
      <c r="D1657" t="s">
        <v>34</v>
      </c>
      <c r="E1657" t="s">
        <v>414</v>
      </c>
      <c r="F1657" t="s">
        <v>209</v>
      </c>
      <c r="G1657" s="5">
        <v>597847</v>
      </c>
      <c r="H1657" s="5">
        <v>1153114</v>
      </c>
    </row>
    <row r="1658" spans="1:8" x14ac:dyDescent="0.25">
      <c r="A1658" t="s">
        <v>458</v>
      </c>
      <c r="B1658">
        <v>2016</v>
      </c>
      <c r="C1658" t="s">
        <v>172</v>
      </c>
      <c r="D1658" t="s">
        <v>37</v>
      </c>
      <c r="E1658" t="s">
        <v>415</v>
      </c>
      <c r="F1658" t="s">
        <v>177</v>
      </c>
      <c r="G1658" s="5">
        <v>756671664</v>
      </c>
      <c r="H1658" s="5">
        <v>3887363848</v>
      </c>
    </row>
    <row r="1659" spans="1:8" x14ac:dyDescent="0.25">
      <c r="A1659" t="s">
        <v>458</v>
      </c>
      <c r="B1659">
        <v>2016</v>
      </c>
      <c r="C1659" t="s">
        <v>172</v>
      </c>
      <c r="D1659" t="s">
        <v>37</v>
      </c>
      <c r="E1659" t="s">
        <v>416</v>
      </c>
      <c r="F1659" t="s">
        <v>182</v>
      </c>
      <c r="G1659" s="5">
        <v>370505784</v>
      </c>
      <c r="H1659" s="5">
        <v>798883589</v>
      </c>
    </row>
    <row r="1660" spans="1:8" x14ac:dyDescent="0.25">
      <c r="A1660" t="s">
        <v>458</v>
      </c>
      <c r="B1660">
        <v>2016</v>
      </c>
      <c r="C1660" t="s">
        <v>172</v>
      </c>
      <c r="D1660" t="s">
        <v>37</v>
      </c>
      <c r="E1660" t="s">
        <v>418</v>
      </c>
      <c r="F1660" t="s">
        <v>188</v>
      </c>
      <c r="G1660" s="5">
        <v>41886030</v>
      </c>
      <c r="H1660" s="5">
        <v>42634727</v>
      </c>
    </row>
    <row r="1661" spans="1:8" x14ac:dyDescent="0.25">
      <c r="A1661" t="s">
        <v>458</v>
      </c>
      <c r="B1661">
        <v>2016</v>
      </c>
      <c r="C1661" t="s">
        <v>172</v>
      </c>
      <c r="D1661" t="s">
        <v>37</v>
      </c>
      <c r="E1661" t="s">
        <v>420</v>
      </c>
      <c r="F1661" t="s">
        <v>200</v>
      </c>
      <c r="G1661" s="5">
        <v>27626956</v>
      </c>
      <c r="H1661" s="5">
        <v>27626956</v>
      </c>
    </row>
    <row r="1662" spans="1:8" x14ac:dyDescent="0.25">
      <c r="A1662" t="s">
        <v>458</v>
      </c>
      <c r="B1662">
        <v>2016</v>
      </c>
      <c r="C1662" t="s">
        <v>172</v>
      </c>
      <c r="D1662" t="s">
        <v>37</v>
      </c>
      <c r="E1662" t="s">
        <v>417</v>
      </c>
      <c r="F1662" t="s">
        <v>185</v>
      </c>
      <c r="G1662" s="5">
        <v>19319333</v>
      </c>
      <c r="H1662" s="5">
        <v>672438536</v>
      </c>
    </row>
    <row r="1663" spans="1:8" x14ac:dyDescent="0.25">
      <c r="A1663" t="s">
        <v>458</v>
      </c>
      <c r="B1663">
        <v>2016</v>
      </c>
      <c r="C1663" t="s">
        <v>172</v>
      </c>
      <c r="D1663" t="s">
        <v>37</v>
      </c>
      <c r="E1663" t="s">
        <v>425</v>
      </c>
      <c r="F1663" t="s">
        <v>210</v>
      </c>
      <c r="G1663" s="5">
        <v>15708737</v>
      </c>
      <c r="H1663" s="5">
        <v>15708737</v>
      </c>
    </row>
    <row r="1664" spans="1:8" x14ac:dyDescent="0.25">
      <c r="A1664" t="s">
        <v>458</v>
      </c>
      <c r="B1664">
        <v>2016</v>
      </c>
      <c r="C1664" t="s">
        <v>172</v>
      </c>
      <c r="D1664" t="s">
        <v>37</v>
      </c>
      <c r="E1664" t="s">
        <v>419</v>
      </c>
      <c r="F1664" t="s">
        <v>196</v>
      </c>
      <c r="G1664" s="5">
        <v>13928162</v>
      </c>
      <c r="H1664" s="5">
        <v>13928590</v>
      </c>
    </row>
    <row r="1665" spans="1:8" x14ac:dyDescent="0.25">
      <c r="A1665" t="s">
        <v>458</v>
      </c>
      <c r="B1665">
        <v>2016</v>
      </c>
      <c r="C1665" t="s">
        <v>172</v>
      </c>
      <c r="D1665" t="s">
        <v>37</v>
      </c>
      <c r="E1665" t="s">
        <v>423</v>
      </c>
      <c r="F1665" t="s">
        <v>206</v>
      </c>
      <c r="G1665" s="5">
        <v>13024406</v>
      </c>
      <c r="H1665" s="5">
        <v>13024406</v>
      </c>
    </row>
    <row r="1666" spans="1:8" x14ac:dyDescent="0.25">
      <c r="A1666" t="s">
        <v>458</v>
      </c>
      <c r="B1666">
        <v>2016</v>
      </c>
      <c r="C1666" t="s">
        <v>172</v>
      </c>
      <c r="D1666" t="s">
        <v>37</v>
      </c>
      <c r="E1666" t="s">
        <v>426</v>
      </c>
      <c r="F1666" t="s">
        <v>211</v>
      </c>
      <c r="G1666" s="5">
        <v>2886590</v>
      </c>
      <c r="H1666" s="5">
        <v>2886590</v>
      </c>
    </row>
    <row r="1667" spans="1:8" x14ac:dyDescent="0.25">
      <c r="A1667" t="s">
        <v>458</v>
      </c>
      <c r="B1667">
        <v>2016</v>
      </c>
      <c r="C1667" t="s">
        <v>172</v>
      </c>
      <c r="D1667" t="s">
        <v>37</v>
      </c>
      <c r="E1667" t="s">
        <v>428</v>
      </c>
      <c r="F1667" t="s">
        <v>213</v>
      </c>
      <c r="G1667" s="5">
        <v>2504151</v>
      </c>
      <c r="H1667" s="5">
        <v>2504151</v>
      </c>
    </row>
    <row r="1668" spans="1:8" x14ac:dyDescent="0.25">
      <c r="A1668" t="s">
        <v>458</v>
      </c>
      <c r="B1668">
        <v>2016</v>
      </c>
      <c r="C1668" t="s">
        <v>172</v>
      </c>
      <c r="D1668" t="s">
        <v>37</v>
      </c>
      <c r="E1668" t="s">
        <v>427</v>
      </c>
      <c r="F1668" t="s">
        <v>212</v>
      </c>
      <c r="G1668" s="5">
        <v>2333492</v>
      </c>
      <c r="H1668" s="5">
        <v>2333492</v>
      </c>
    </row>
    <row r="1669" spans="1:8" x14ac:dyDescent="0.25">
      <c r="A1669" t="s">
        <v>458</v>
      </c>
      <c r="B1669">
        <v>2016</v>
      </c>
      <c r="C1669" t="s">
        <v>172</v>
      </c>
      <c r="D1669" t="s">
        <v>37</v>
      </c>
      <c r="E1669" t="s">
        <v>421</v>
      </c>
      <c r="F1669" t="s">
        <v>202</v>
      </c>
      <c r="G1669" s="5">
        <v>2281196</v>
      </c>
      <c r="H1669" s="5">
        <v>2281196</v>
      </c>
    </row>
    <row r="1670" spans="1:8" x14ac:dyDescent="0.25">
      <c r="A1670" t="s">
        <v>458</v>
      </c>
      <c r="B1670">
        <v>2016</v>
      </c>
      <c r="C1670" t="s">
        <v>172</v>
      </c>
      <c r="D1670" t="s">
        <v>37</v>
      </c>
      <c r="E1670" t="s">
        <v>424</v>
      </c>
      <c r="F1670" t="s">
        <v>208</v>
      </c>
      <c r="G1670" s="5">
        <v>1263974</v>
      </c>
      <c r="H1670" s="5">
        <v>1263974</v>
      </c>
    </row>
    <row r="1671" spans="1:8" x14ac:dyDescent="0.25">
      <c r="A1671" t="s">
        <v>458</v>
      </c>
      <c r="B1671">
        <v>2016</v>
      </c>
      <c r="C1671" t="s">
        <v>172</v>
      </c>
      <c r="D1671" t="s">
        <v>37</v>
      </c>
      <c r="E1671" t="s">
        <v>422</v>
      </c>
      <c r="F1671" t="s">
        <v>205</v>
      </c>
      <c r="G1671" s="5">
        <v>835528</v>
      </c>
      <c r="H1671" s="5">
        <v>835528</v>
      </c>
    </row>
    <row r="1672" spans="1:8" x14ac:dyDescent="0.25">
      <c r="A1672" t="s">
        <v>458</v>
      </c>
      <c r="B1672">
        <v>2016</v>
      </c>
      <c r="C1672" t="s">
        <v>172</v>
      </c>
      <c r="D1672" t="s">
        <v>37</v>
      </c>
      <c r="E1672" t="s">
        <v>447</v>
      </c>
      <c r="F1672" t="s">
        <v>234</v>
      </c>
      <c r="G1672" s="5">
        <v>590195</v>
      </c>
      <c r="H1672" s="5">
        <v>590195</v>
      </c>
    </row>
    <row r="1673" spans="1:8" x14ac:dyDescent="0.25">
      <c r="A1673" t="s">
        <v>458</v>
      </c>
      <c r="B1673">
        <v>2016</v>
      </c>
      <c r="C1673" t="s">
        <v>172</v>
      </c>
      <c r="D1673" t="s">
        <v>37</v>
      </c>
      <c r="E1673" t="s">
        <v>430</v>
      </c>
      <c r="F1673" t="s">
        <v>216</v>
      </c>
      <c r="G1673" s="5">
        <v>205374</v>
      </c>
      <c r="H1673" s="5">
        <v>238263</v>
      </c>
    </row>
    <row r="1674" spans="1:8" x14ac:dyDescent="0.25">
      <c r="A1674" t="s">
        <v>458</v>
      </c>
      <c r="B1674">
        <v>2016</v>
      </c>
      <c r="C1674" t="s">
        <v>172</v>
      </c>
      <c r="D1674" t="s">
        <v>37</v>
      </c>
      <c r="E1674" t="s">
        <v>429</v>
      </c>
      <c r="F1674" t="s">
        <v>214</v>
      </c>
      <c r="G1674" s="5">
        <v>49771</v>
      </c>
      <c r="H1674" s="5">
        <v>52373</v>
      </c>
    </row>
    <row r="1675" spans="1:8" x14ac:dyDescent="0.25">
      <c r="A1675" t="s">
        <v>458</v>
      </c>
      <c r="B1675">
        <v>2016</v>
      </c>
      <c r="C1675" t="s">
        <v>172</v>
      </c>
      <c r="D1675" t="s">
        <v>37</v>
      </c>
      <c r="F1675" t="s">
        <v>215</v>
      </c>
      <c r="G1675" s="5">
        <v>4463</v>
      </c>
      <c r="H1675" s="5">
        <v>4463</v>
      </c>
    </row>
    <row r="1676" spans="1:8" x14ac:dyDescent="0.25">
      <c r="A1676" t="s">
        <v>458</v>
      </c>
      <c r="B1676">
        <v>2016</v>
      </c>
      <c r="C1676" t="s">
        <v>40</v>
      </c>
      <c r="D1676" t="s">
        <v>40</v>
      </c>
      <c r="E1676" t="s">
        <v>432</v>
      </c>
      <c r="F1676" t="s">
        <v>218</v>
      </c>
      <c r="G1676" s="5">
        <v>14537003</v>
      </c>
      <c r="H1676" s="5">
        <v>18341573</v>
      </c>
    </row>
    <row r="1677" spans="1:8" x14ac:dyDescent="0.25">
      <c r="A1677" t="s">
        <v>458</v>
      </c>
      <c r="B1677">
        <v>2016</v>
      </c>
      <c r="C1677" t="s">
        <v>40</v>
      </c>
      <c r="D1677" t="s">
        <v>40</v>
      </c>
      <c r="E1677" t="s">
        <v>433</v>
      </c>
      <c r="F1677" t="s">
        <v>219</v>
      </c>
      <c r="G1677" s="5">
        <v>9978144</v>
      </c>
      <c r="H1677" s="5">
        <v>10063936</v>
      </c>
    </row>
    <row r="1678" spans="1:8" x14ac:dyDescent="0.25">
      <c r="A1678" t="s">
        <v>458</v>
      </c>
      <c r="B1678">
        <v>2016</v>
      </c>
      <c r="C1678" t="s">
        <v>40</v>
      </c>
      <c r="D1678" t="s">
        <v>40</v>
      </c>
      <c r="F1678" t="s">
        <v>225</v>
      </c>
      <c r="G1678" s="5">
        <v>78920</v>
      </c>
      <c r="H1678" s="5">
        <v>78920</v>
      </c>
    </row>
    <row r="1679" spans="1:8" x14ac:dyDescent="0.25">
      <c r="A1679" t="s">
        <v>458</v>
      </c>
      <c r="B1679">
        <v>2016</v>
      </c>
      <c r="C1679" t="s">
        <v>40</v>
      </c>
      <c r="D1679" t="s">
        <v>40</v>
      </c>
      <c r="E1679" t="s">
        <v>438</v>
      </c>
      <c r="F1679" t="s">
        <v>224</v>
      </c>
      <c r="G1679" s="5">
        <v>47701</v>
      </c>
      <c r="H1679" s="5">
        <v>383553</v>
      </c>
    </row>
    <row r="1680" spans="1:8" x14ac:dyDescent="0.25">
      <c r="A1680" t="s">
        <v>458</v>
      </c>
      <c r="B1680">
        <v>2017</v>
      </c>
      <c r="C1680" t="s">
        <v>39</v>
      </c>
      <c r="D1680" t="s">
        <v>39</v>
      </c>
      <c r="E1680" t="s">
        <v>268</v>
      </c>
      <c r="F1680" t="s">
        <v>47</v>
      </c>
      <c r="G1680" s="5">
        <v>72772148</v>
      </c>
      <c r="H1680" s="5">
        <v>143886989</v>
      </c>
    </row>
    <row r="1681" spans="1:8" x14ac:dyDescent="0.25">
      <c r="A1681" t="s">
        <v>458</v>
      </c>
      <c r="B1681">
        <v>2017</v>
      </c>
      <c r="C1681" t="s">
        <v>39</v>
      </c>
      <c r="D1681" t="s">
        <v>39</v>
      </c>
      <c r="E1681" t="s">
        <v>273</v>
      </c>
      <c r="F1681" t="s">
        <v>52</v>
      </c>
      <c r="G1681" s="5">
        <v>58846665</v>
      </c>
      <c r="H1681" s="5">
        <v>58847401</v>
      </c>
    </row>
    <row r="1682" spans="1:8" x14ac:dyDescent="0.25">
      <c r="A1682" t="s">
        <v>458</v>
      </c>
      <c r="B1682">
        <v>2017</v>
      </c>
      <c r="C1682" t="s">
        <v>39</v>
      </c>
      <c r="D1682" t="s">
        <v>39</v>
      </c>
      <c r="E1682" t="s">
        <v>271</v>
      </c>
      <c r="F1682" t="s">
        <v>50</v>
      </c>
      <c r="G1682" s="5">
        <v>54289268</v>
      </c>
      <c r="H1682" s="5">
        <v>54294403</v>
      </c>
    </row>
    <row r="1683" spans="1:8" x14ac:dyDescent="0.25">
      <c r="A1683" t="s">
        <v>458</v>
      </c>
      <c r="B1683">
        <v>2017</v>
      </c>
      <c r="C1683" t="s">
        <v>39</v>
      </c>
      <c r="D1683" t="s">
        <v>39</v>
      </c>
      <c r="E1683" t="s">
        <v>281</v>
      </c>
      <c r="F1683" t="s">
        <v>60</v>
      </c>
      <c r="G1683" s="5">
        <v>46398213</v>
      </c>
      <c r="H1683" s="5">
        <v>46398213</v>
      </c>
    </row>
    <row r="1684" spans="1:8" x14ac:dyDescent="0.25">
      <c r="A1684" t="s">
        <v>458</v>
      </c>
      <c r="B1684">
        <v>2017</v>
      </c>
      <c r="C1684" t="s">
        <v>39</v>
      </c>
      <c r="D1684" t="s">
        <v>39</v>
      </c>
      <c r="E1684" t="s">
        <v>296</v>
      </c>
      <c r="F1684" t="s">
        <v>76</v>
      </c>
      <c r="G1684" s="5">
        <v>19829577</v>
      </c>
      <c r="H1684" s="5">
        <v>19831990</v>
      </c>
    </row>
    <row r="1685" spans="1:8" x14ac:dyDescent="0.25">
      <c r="A1685" t="s">
        <v>458</v>
      </c>
      <c r="B1685">
        <v>2017</v>
      </c>
      <c r="C1685" t="s">
        <v>39</v>
      </c>
      <c r="D1685" t="s">
        <v>39</v>
      </c>
      <c r="E1685" t="s">
        <v>269</v>
      </c>
      <c r="F1685" t="s">
        <v>48</v>
      </c>
      <c r="G1685" s="5">
        <v>11439910</v>
      </c>
      <c r="H1685" s="5">
        <v>273430989</v>
      </c>
    </row>
    <row r="1686" spans="1:8" x14ac:dyDescent="0.25">
      <c r="A1686" t="s">
        <v>458</v>
      </c>
      <c r="B1686">
        <v>2017</v>
      </c>
      <c r="C1686" t="s">
        <v>39</v>
      </c>
      <c r="D1686" t="s">
        <v>39</v>
      </c>
      <c r="E1686" t="s">
        <v>279</v>
      </c>
      <c r="F1686" t="s">
        <v>58</v>
      </c>
      <c r="G1686" s="5">
        <v>8537593</v>
      </c>
      <c r="H1686" s="5">
        <v>8537593</v>
      </c>
    </row>
    <row r="1687" spans="1:8" x14ac:dyDescent="0.25">
      <c r="A1687" t="s">
        <v>458</v>
      </c>
      <c r="B1687">
        <v>2017</v>
      </c>
      <c r="C1687" t="s">
        <v>39</v>
      </c>
      <c r="D1687" t="s">
        <v>39</v>
      </c>
      <c r="E1687" t="s">
        <v>280</v>
      </c>
      <c r="F1687" t="s">
        <v>59</v>
      </c>
      <c r="G1687" s="5">
        <v>6415190</v>
      </c>
      <c r="H1687" s="5">
        <v>8550783</v>
      </c>
    </row>
    <row r="1688" spans="1:8" x14ac:dyDescent="0.25">
      <c r="A1688" t="s">
        <v>458</v>
      </c>
      <c r="B1688">
        <v>2017</v>
      </c>
      <c r="C1688" t="s">
        <v>39</v>
      </c>
      <c r="D1688" t="s">
        <v>39</v>
      </c>
      <c r="F1688" t="s">
        <v>64</v>
      </c>
      <c r="G1688" s="5">
        <v>4615423</v>
      </c>
      <c r="H1688" s="5">
        <v>4615423</v>
      </c>
    </row>
    <row r="1689" spans="1:8" x14ac:dyDescent="0.25">
      <c r="A1689" t="s">
        <v>458</v>
      </c>
      <c r="B1689">
        <v>2017</v>
      </c>
      <c r="C1689" t="s">
        <v>39</v>
      </c>
      <c r="D1689" t="s">
        <v>39</v>
      </c>
      <c r="E1689" t="s">
        <v>272</v>
      </c>
      <c r="F1689" t="s">
        <v>51</v>
      </c>
      <c r="G1689" s="5">
        <v>3064588</v>
      </c>
      <c r="H1689" s="5">
        <v>3064588</v>
      </c>
    </row>
    <row r="1690" spans="1:8" x14ac:dyDescent="0.25">
      <c r="A1690" t="s">
        <v>458</v>
      </c>
      <c r="B1690">
        <v>2017</v>
      </c>
      <c r="C1690" t="s">
        <v>39</v>
      </c>
      <c r="D1690" t="s">
        <v>39</v>
      </c>
      <c r="E1690" t="s">
        <v>275</v>
      </c>
      <c r="F1690" t="s">
        <v>54</v>
      </c>
      <c r="G1690" s="5">
        <v>2095202</v>
      </c>
      <c r="H1690" s="5">
        <v>2095202</v>
      </c>
    </row>
    <row r="1691" spans="1:8" x14ac:dyDescent="0.25">
      <c r="A1691" t="s">
        <v>458</v>
      </c>
      <c r="B1691">
        <v>2017</v>
      </c>
      <c r="C1691" t="s">
        <v>39</v>
      </c>
      <c r="D1691" t="s">
        <v>39</v>
      </c>
      <c r="E1691" t="s">
        <v>277</v>
      </c>
      <c r="F1691" t="s">
        <v>56</v>
      </c>
      <c r="G1691" s="5">
        <v>1499074</v>
      </c>
      <c r="H1691" s="5">
        <v>1499074</v>
      </c>
    </row>
    <row r="1692" spans="1:8" x14ac:dyDescent="0.25">
      <c r="A1692" t="s">
        <v>458</v>
      </c>
      <c r="B1692">
        <v>2017</v>
      </c>
      <c r="C1692" t="s">
        <v>39</v>
      </c>
      <c r="D1692" t="s">
        <v>39</v>
      </c>
      <c r="E1692" t="s">
        <v>286</v>
      </c>
      <c r="F1692" t="s">
        <v>66</v>
      </c>
      <c r="G1692" s="5">
        <v>1234567</v>
      </c>
      <c r="H1692" s="5">
        <v>1234567</v>
      </c>
    </row>
    <row r="1693" spans="1:8" x14ac:dyDescent="0.25">
      <c r="A1693" t="s">
        <v>458</v>
      </c>
      <c r="B1693">
        <v>2017</v>
      </c>
      <c r="C1693" t="s">
        <v>39</v>
      </c>
      <c r="D1693" t="s">
        <v>39</v>
      </c>
      <c r="E1693" t="s">
        <v>307</v>
      </c>
      <c r="F1693" t="s">
        <v>87</v>
      </c>
      <c r="G1693" s="5">
        <v>760558</v>
      </c>
      <c r="H1693" s="5">
        <v>760558</v>
      </c>
    </row>
    <row r="1694" spans="1:8" x14ac:dyDescent="0.25">
      <c r="A1694" t="s">
        <v>458</v>
      </c>
      <c r="B1694">
        <v>2017</v>
      </c>
      <c r="C1694" t="s">
        <v>39</v>
      </c>
      <c r="D1694" t="s">
        <v>39</v>
      </c>
      <c r="E1694" t="s">
        <v>284</v>
      </c>
      <c r="F1694" t="s">
        <v>63</v>
      </c>
      <c r="G1694" s="5">
        <v>390013</v>
      </c>
      <c r="H1694" s="5">
        <v>390013</v>
      </c>
    </row>
    <row r="1695" spans="1:8" x14ac:dyDescent="0.25">
      <c r="A1695" t="s">
        <v>458</v>
      </c>
      <c r="B1695">
        <v>2017</v>
      </c>
      <c r="C1695" t="s">
        <v>39</v>
      </c>
      <c r="D1695" t="s">
        <v>39</v>
      </c>
      <c r="E1695" t="s">
        <v>294</v>
      </c>
      <c r="F1695" t="s">
        <v>74</v>
      </c>
      <c r="G1695" s="5">
        <v>373404</v>
      </c>
      <c r="H1695" s="5">
        <v>373404</v>
      </c>
    </row>
    <row r="1696" spans="1:8" x14ac:dyDescent="0.25">
      <c r="A1696" t="s">
        <v>458</v>
      </c>
      <c r="B1696">
        <v>2017</v>
      </c>
      <c r="C1696" t="s">
        <v>39</v>
      </c>
      <c r="D1696" t="s">
        <v>39</v>
      </c>
      <c r="E1696" t="s">
        <v>270</v>
      </c>
      <c r="F1696" t="s">
        <v>49</v>
      </c>
      <c r="G1696" s="5">
        <v>349840</v>
      </c>
      <c r="H1696" s="5">
        <v>349840</v>
      </c>
    </row>
    <row r="1697" spans="1:8" x14ac:dyDescent="0.25">
      <c r="A1697" t="s">
        <v>458</v>
      </c>
      <c r="B1697">
        <v>2017</v>
      </c>
      <c r="C1697" t="s">
        <v>39</v>
      </c>
      <c r="D1697" t="s">
        <v>39</v>
      </c>
      <c r="E1697" t="s">
        <v>287</v>
      </c>
      <c r="F1697" t="s">
        <v>67</v>
      </c>
      <c r="G1697" s="5">
        <v>348588</v>
      </c>
      <c r="H1697" s="5">
        <v>348588</v>
      </c>
    </row>
    <row r="1698" spans="1:8" x14ac:dyDescent="0.25">
      <c r="A1698" t="s">
        <v>458</v>
      </c>
      <c r="B1698">
        <v>2017</v>
      </c>
      <c r="C1698" t="s">
        <v>39</v>
      </c>
      <c r="D1698" t="s">
        <v>39</v>
      </c>
      <c r="E1698" t="s">
        <v>303</v>
      </c>
      <c r="F1698" t="s">
        <v>83</v>
      </c>
      <c r="G1698" s="5">
        <v>243633</v>
      </c>
      <c r="H1698" s="5">
        <v>243633</v>
      </c>
    </row>
    <row r="1699" spans="1:8" x14ac:dyDescent="0.25">
      <c r="A1699" t="s">
        <v>458</v>
      </c>
      <c r="B1699">
        <v>2017</v>
      </c>
      <c r="C1699" t="s">
        <v>39</v>
      </c>
      <c r="D1699" t="s">
        <v>39</v>
      </c>
      <c r="E1699" t="s">
        <v>311</v>
      </c>
      <c r="F1699" t="s">
        <v>91</v>
      </c>
      <c r="G1699" s="5">
        <v>213439</v>
      </c>
      <c r="H1699" s="5">
        <v>213439</v>
      </c>
    </row>
    <row r="1700" spans="1:8" x14ac:dyDescent="0.25">
      <c r="A1700" t="s">
        <v>458</v>
      </c>
      <c r="B1700">
        <v>2017</v>
      </c>
      <c r="C1700" t="s">
        <v>39</v>
      </c>
      <c r="D1700" t="s">
        <v>39</v>
      </c>
      <c r="E1700" t="s">
        <v>291</v>
      </c>
      <c r="F1700" t="s">
        <v>71</v>
      </c>
      <c r="G1700" s="5">
        <v>173557</v>
      </c>
      <c r="H1700" s="5">
        <v>173557</v>
      </c>
    </row>
    <row r="1701" spans="1:8" x14ac:dyDescent="0.25">
      <c r="A1701" t="s">
        <v>458</v>
      </c>
      <c r="B1701">
        <v>2017</v>
      </c>
      <c r="C1701" t="s">
        <v>39</v>
      </c>
      <c r="D1701" t="s">
        <v>39</v>
      </c>
      <c r="E1701" t="s">
        <v>278</v>
      </c>
      <c r="F1701" t="s">
        <v>57</v>
      </c>
      <c r="G1701" s="5">
        <v>147291</v>
      </c>
      <c r="H1701" s="5">
        <v>147291</v>
      </c>
    </row>
    <row r="1702" spans="1:8" x14ac:dyDescent="0.25">
      <c r="A1702" t="s">
        <v>458</v>
      </c>
      <c r="B1702">
        <v>2017</v>
      </c>
      <c r="C1702" t="s">
        <v>39</v>
      </c>
      <c r="D1702" t="s">
        <v>39</v>
      </c>
      <c r="E1702" t="s">
        <v>276</v>
      </c>
      <c r="F1702" t="s">
        <v>55</v>
      </c>
      <c r="G1702" s="5">
        <v>118578</v>
      </c>
      <c r="H1702" s="5">
        <v>118578</v>
      </c>
    </row>
    <row r="1703" spans="1:8" x14ac:dyDescent="0.25">
      <c r="A1703" t="s">
        <v>458</v>
      </c>
      <c r="B1703">
        <v>2017</v>
      </c>
      <c r="C1703" t="s">
        <v>39</v>
      </c>
      <c r="D1703" t="s">
        <v>39</v>
      </c>
      <c r="E1703" t="s">
        <v>298</v>
      </c>
      <c r="F1703" t="s">
        <v>78</v>
      </c>
      <c r="G1703" s="5">
        <v>57880</v>
      </c>
      <c r="H1703" s="5">
        <v>57880</v>
      </c>
    </row>
    <row r="1704" spans="1:8" x14ac:dyDescent="0.25">
      <c r="A1704" t="s">
        <v>458</v>
      </c>
      <c r="B1704">
        <v>2017</v>
      </c>
      <c r="C1704" t="s">
        <v>39</v>
      </c>
      <c r="D1704" t="s">
        <v>39</v>
      </c>
      <c r="E1704" t="s">
        <v>459</v>
      </c>
      <c r="F1704" t="s">
        <v>247</v>
      </c>
      <c r="G1704" s="5">
        <v>52153</v>
      </c>
      <c r="H1704" s="5">
        <v>52153</v>
      </c>
    </row>
    <row r="1705" spans="1:8" x14ac:dyDescent="0.25">
      <c r="A1705" t="s">
        <v>458</v>
      </c>
      <c r="B1705">
        <v>2017</v>
      </c>
      <c r="C1705" t="s">
        <v>39</v>
      </c>
      <c r="D1705" t="s">
        <v>39</v>
      </c>
      <c r="E1705" t="s">
        <v>283</v>
      </c>
      <c r="F1705" t="s">
        <v>62</v>
      </c>
      <c r="G1705" s="5">
        <v>46897</v>
      </c>
      <c r="H1705" s="5">
        <v>46897</v>
      </c>
    </row>
    <row r="1706" spans="1:8" x14ac:dyDescent="0.25">
      <c r="A1706" t="s">
        <v>458</v>
      </c>
      <c r="B1706">
        <v>2017</v>
      </c>
      <c r="C1706" t="s">
        <v>39</v>
      </c>
      <c r="D1706" t="s">
        <v>39</v>
      </c>
      <c r="E1706" t="s">
        <v>295</v>
      </c>
      <c r="F1706" t="s">
        <v>75</v>
      </c>
      <c r="G1706" s="5">
        <v>26188</v>
      </c>
      <c r="H1706" s="5">
        <v>26188</v>
      </c>
    </row>
    <row r="1707" spans="1:8" x14ac:dyDescent="0.25">
      <c r="A1707" t="s">
        <v>458</v>
      </c>
      <c r="B1707">
        <v>2017</v>
      </c>
      <c r="C1707" t="s">
        <v>39</v>
      </c>
      <c r="D1707" t="s">
        <v>39</v>
      </c>
      <c r="E1707" t="s">
        <v>290</v>
      </c>
      <c r="F1707" t="s">
        <v>70</v>
      </c>
      <c r="G1707" s="5">
        <v>12544</v>
      </c>
      <c r="H1707" s="5">
        <v>12544</v>
      </c>
    </row>
    <row r="1708" spans="1:8" x14ac:dyDescent="0.25">
      <c r="A1708" t="s">
        <v>458</v>
      </c>
      <c r="B1708">
        <v>2017</v>
      </c>
      <c r="C1708" t="s">
        <v>39</v>
      </c>
      <c r="D1708" t="s">
        <v>39</v>
      </c>
      <c r="E1708" t="s">
        <v>305</v>
      </c>
      <c r="F1708" t="s">
        <v>85</v>
      </c>
      <c r="G1708" s="5">
        <v>10259</v>
      </c>
      <c r="H1708" s="5">
        <v>10259</v>
      </c>
    </row>
    <row r="1709" spans="1:8" x14ac:dyDescent="0.25">
      <c r="A1709" t="s">
        <v>458</v>
      </c>
      <c r="B1709">
        <v>2017</v>
      </c>
      <c r="C1709" t="s">
        <v>92</v>
      </c>
      <c r="D1709" t="s">
        <v>36</v>
      </c>
      <c r="E1709" t="s">
        <v>36</v>
      </c>
      <c r="F1709" t="s">
        <v>93</v>
      </c>
      <c r="G1709" s="5">
        <v>2802841517</v>
      </c>
      <c r="H1709" s="5">
        <v>3017459633</v>
      </c>
    </row>
    <row r="1710" spans="1:8" x14ac:dyDescent="0.25">
      <c r="A1710" t="s">
        <v>458</v>
      </c>
      <c r="B1710">
        <v>2017</v>
      </c>
      <c r="C1710" t="s">
        <v>92</v>
      </c>
      <c r="D1710" t="s">
        <v>38</v>
      </c>
      <c r="E1710" t="s">
        <v>313</v>
      </c>
      <c r="F1710" t="s">
        <v>95</v>
      </c>
      <c r="G1710" s="5">
        <v>759453282</v>
      </c>
      <c r="H1710" s="5">
        <v>990832666</v>
      </c>
    </row>
    <row r="1711" spans="1:8" x14ac:dyDescent="0.25">
      <c r="A1711" t="s">
        <v>458</v>
      </c>
      <c r="B1711">
        <v>2017</v>
      </c>
      <c r="C1711" t="s">
        <v>92</v>
      </c>
      <c r="D1711" t="s">
        <v>38</v>
      </c>
      <c r="E1711" t="s">
        <v>314</v>
      </c>
      <c r="F1711" t="s">
        <v>96</v>
      </c>
      <c r="G1711" s="5">
        <v>161871336</v>
      </c>
      <c r="H1711" s="5">
        <v>176849148</v>
      </c>
    </row>
    <row r="1712" spans="1:8" x14ac:dyDescent="0.25">
      <c r="A1712" t="s">
        <v>458</v>
      </c>
      <c r="B1712">
        <v>2017</v>
      </c>
      <c r="C1712" t="s">
        <v>92</v>
      </c>
      <c r="D1712" t="s">
        <v>38</v>
      </c>
      <c r="E1712" t="s">
        <v>312</v>
      </c>
      <c r="F1712" t="s">
        <v>94</v>
      </c>
      <c r="G1712" s="5">
        <v>63106458</v>
      </c>
      <c r="H1712" s="5">
        <v>69946780</v>
      </c>
    </row>
    <row r="1713" spans="1:8" x14ac:dyDescent="0.25">
      <c r="A1713" t="s">
        <v>458</v>
      </c>
      <c r="B1713">
        <v>2017</v>
      </c>
      <c r="C1713" t="s">
        <v>92</v>
      </c>
      <c r="D1713" t="s">
        <v>38</v>
      </c>
      <c r="E1713" t="s">
        <v>321</v>
      </c>
      <c r="F1713" t="s">
        <v>103</v>
      </c>
      <c r="G1713" s="5">
        <v>27663299</v>
      </c>
      <c r="H1713" s="5">
        <v>27663299</v>
      </c>
    </row>
    <row r="1714" spans="1:8" x14ac:dyDescent="0.25">
      <c r="A1714" t="s">
        <v>458</v>
      </c>
      <c r="B1714">
        <v>2017</v>
      </c>
      <c r="C1714" t="s">
        <v>92</v>
      </c>
      <c r="D1714" t="s">
        <v>38</v>
      </c>
      <c r="E1714" t="s">
        <v>325</v>
      </c>
      <c r="F1714" t="s">
        <v>108</v>
      </c>
      <c r="G1714" s="5">
        <v>24254073</v>
      </c>
      <c r="H1714" s="5">
        <v>24304413</v>
      </c>
    </row>
    <row r="1715" spans="1:8" x14ac:dyDescent="0.25">
      <c r="A1715" t="s">
        <v>458</v>
      </c>
      <c r="B1715">
        <v>2017</v>
      </c>
      <c r="C1715" t="s">
        <v>92</v>
      </c>
      <c r="D1715" t="s">
        <v>38</v>
      </c>
      <c r="E1715" t="s">
        <v>319</v>
      </c>
      <c r="F1715" t="s">
        <v>101</v>
      </c>
      <c r="G1715" s="5">
        <v>17030316</v>
      </c>
      <c r="H1715" s="5">
        <v>17030316</v>
      </c>
    </row>
    <row r="1716" spans="1:8" x14ac:dyDescent="0.25">
      <c r="A1716" t="s">
        <v>458</v>
      </c>
      <c r="B1716">
        <v>2017</v>
      </c>
      <c r="C1716" t="s">
        <v>92</v>
      </c>
      <c r="D1716" t="s">
        <v>38</v>
      </c>
      <c r="E1716" t="s">
        <v>318</v>
      </c>
      <c r="F1716" t="s">
        <v>100</v>
      </c>
      <c r="G1716" s="5">
        <v>12950613</v>
      </c>
      <c r="H1716" s="5">
        <v>13015060</v>
      </c>
    </row>
    <row r="1717" spans="1:8" x14ac:dyDescent="0.25">
      <c r="A1717" t="s">
        <v>458</v>
      </c>
      <c r="B1717">
        <v>2017</v>
      </c>
      <c r="C1717" t="s">
        <v>92</v>
      </c>
      <c r="D1717" t="s">
        <v>38</v>
      </c>
      <c r="E1717" t="s">
        <v>315</v>
      </c>
      <c r="F1717" t="s">
        <v>97</v>
      </c>
      <c r="G1717" s="5">
        <v>12323955</v>
      </c>
      <c r="H1717" s="5">
        <v>12351985</v>
      </c>
    </row>
    <row r="1718" spans="1:8" x14ac:dyDescent="0.25">
      <c r="A1718" t="s">
        <v>458</v>
      </c>
      <c r="B1718">
        <v>2017</v>
      </c>
      <c r="C1718" t="s">
        <v>92</v>
      </c>
      <c r="D1718" t="s">
        <v>38</v>
      </c>
      <c r="E1718" t="s">
        <v>316</v>
      </c>
      <c r="F1718" t="s">
        <v>98</v>
      </c>
      <c r="G1718" s="5">
        <v>7039273</v>
      </c>
      <c r="H1718" s="5">
        <v>7042280</v>
      </c>
    </row>
    <row r="1719" spans="1:8" x14ac:dyDescent="0.25">
      <c r="A1719" t="s">
        <v>458</v>
      </c>
      <c r="B1719">
        <v>2017</v>
      </c>
      <c r="C1719" t="s">
        <v>92</v>
      </c>
      <c r="D1719" t="s">
        <v>38</v>
      </c>
      <c r="E1719" t="s">
        <v>322</v>
      </c>
      <c r="F1719" t="s">
        <v>105</v>
      </c>
      <c r="G1719" s="5">
        <v>4974414</v>
      </c>
      <c r="H1719" s="5">
        <v>4974414</v>
      </c>
    </row>
    <row r="1720" spans="1:8" x14ac:dyDescent="0.25">
      <c r="A1720" t="s">
        <v>458</v>
      </c>
      <c r="B1720">
        <v>2017</v>
      </c>
      <c r="C1720" t="s">
        <v>92</v>
      </c>
      <c r="D1720" t="s">
        <v>38</v>
      </c>
      <c r="E1720" t="s">
        <v>332</v>
      </c>
      <c r="F1720" t="s">
        <v>115</v>
      </c>
      <c r="G1720" s="5">
        <v>4290724</v>
      </c>
      <c r="H1720" s="5">
        <v>4290724</v>
      </c>
    </row>
    <row r="1721" spans="1:8" x14ac:dyDescent="0.25">
      <c r="A1721" t="s">
        <v>458</v>
      </c>
      <c r="B1721">
        <v>2017</v>
      </c>
      <c r="C1721" t="s">
        <v>92</v>
      </c>
      <c r="D1721" t="s">
        <v>38</v>
      </c>
      <c r="E1721" t="s">
        <v>326</v>
      </c>
      <c r="F1721" t="s">
        <v>109</v>
      </c>
      <c r="G1721" s="5">
        <v>4135325</v>
      </c>
      <c r="H1721" s="5">
        <v>4655663</v>
      </c>
    </row>
    <row r="1722" spans="1:8" x14ac:dyDescent="0.25">
      <c r="A1722" t="s">
        <v>458</v>
      </c>
      <c r="B1722">
        <v>2017</v>
      </c>
      <c r="C1722" t="s">
        <v>92</v>
      </c>
      <c r="D1722" t="s">
        <v>38</v>
      </c>
      <c r="E1722" t="s">
        <v>328</v>
      </c>
      <c r="F1722" t="s">
        <v>111</v>
      </c>
      <c r="G1722" s="5">
        <v>2864030</v>
      </c>
      <c r="H1722" s="5">
        <v>2864030</v>
      </c>
    </row>
    <row r="1723" spans="1:8" x14ac:dyDescent="0.25">
      <c r="A1723" t="s">
        <v>458</v>
      </c>
      <c r="B1723">
        <v>2017</v>
      </c>
      <c r="C1723" t="s">
        <v>92</v>
      </c>
      <c r="D1723" t="s">
        <v>38</v>
      </c>
      <c r="E1723" t="s">
        <v>329</v>
      </c>
      <c r="F1723" t="s">
        <v>112</v>
      </c>
      <c r="G1723" s="5">
        <v>1725337</v>
      </c>
      <c r="H1723" s="5">
        <v>1725337</v>
      </c>
    </row>
    <row r="1724" spans="1:8" x14ac:dyDescent="0.25">
      <c r="A1724" t="s">
        <v>458</v>
      </c>
      <c r="B1724">
        <v>2017</v>
      </c>
      <c r="C1724" t="s">
        <v>92</v>
      </c>
      <c r="D1724" t="s">
        <v>38</v>
      </c>
      <c r="E1724" t="s">
        <v>324</v>
      </c>
      <c r="F1724" t="s">
        <v>107</v>
      </c>
      <c r="G1724" s="5">
        <v>1636963</v>
      </c>
      <c r="H1724" s="5">
        <v>1636963</v>
      </c>
    </row>
    <row r="1725" spans="1:8" x14ac:dyDescent="0.25">
      <c r="A1725" t="s">
        <v>458</v>
      </c>
      <c r="B1725">
        <v>2017</v>
      </c>
      <c r="C1725" t="s">
        <v>92</v>
      </c>
      <c r="D1725" t="s">
        <v>38</v>
      </c>
      <c r="F1725" t="s">
        <v>104</v>
      </c>
      <c r="G1725" s="5">
        <v>1629230</v>
      </c>
      <c r="H1725" s="5">
        <v>4019237</v>
      </c>
    </row>
    <row r="1726" spans="1:8" x14ac:dyDescent="0.25">
      <c r="A1726" t="s">
        <v>458</v>
      </c>
      <c r="B1726">
        <v>2017</v>
      </c>
      <c r="C1726" t="s">
        <v>92</v>
      </c>
      <c r="D1726" t="s">
        <v>38</v>
      </c>
      <c r="E1726" t="s">
        <v>323</v>
      </c>
      <c r="F1726" t="s">
        <v>106</v>
      </c>
      <c r="G1726" s="5">
        <v>1465396</v>
      </c>
      <c r="H1726" s="5">
        <v>1465396</v>
      </c>
    </row>
    <row r="1727" spans="1:8" x14ac:dyDescent="0.25">
      <c r="A1727" t="s">
        <v>458</v>
      </c>
      <c r="B1727">
        <v>2017</v>
      </c>
      <c r="C1727" t="s">
        <v>92</v>
      </c>
      <c r="D1727" t="s">
        <v>38</v>
      </c>
      <c r="E1727" t="s">
        <v>336</v>
      </c>
      <c r="F1727" t="s">
        <v>119</v>
      </c>
      <c r="G1727" s="5">
        <v>1298629</v>
      </c>
      <c r="H1727" s="5">
        <v>21060248</v>
      </c>
    </row>
    <row r="1728" spans="1:8" x14ac:dyDescent="0.25">
      <c r="A1728" t="s">
        <v>458</v>
      </c>
      <c r="B1728">
        <v>2017</v>
      </c>
      <c r="C1728" t="s">
        <v>92</v>
      </c>
      <c r="D1728" t="s">
        <v>38</v>
      </c>
      <c r="E1728" t="s">
        <v>331</v>
      </c>
      <c r="F1728" t="s">
        <v>114</v>
      </c>
      <c r="G1728" s="5">
        <v>982190</v>
      </c>
      <c r="H1728" s="5">
        <v>982190</v>
      </c>
    </row>
    <row r="1729" spans="1:8" x14ac:dyDescent="0.25">
      <c r="A1729" t="s">
        <v>458</v>
      </c>
      <c r="B1729">
        <v>2017</v>
      </c>
      <c r="C1729" t="s">
        <v>92</v>
      </c>
      <c r="D1729" t="s">
        <v>38</v>
      </c>
      <c r="E1729" t="s">
        <v>444</v>
      </c>
      <c r="F1729" t="s">
        <v>231</v>
      </c>
      <c r="G1729" s="5">
        <v>947528</v>
      </c>
      <c r="H1729" s="5">
        <v>947528</v>
      </c>
    </row>
    <row r="1730" spans="1:8" x14ac:dyDescent="0.25">
      <c r="A1730" t="s">
        <v>458</v>
      </c>
      <c r="B1730">
        <v>2017</v>
      </c>
      <c r="C1730" t="s">
        <v>92</v>
      </c>
      <c r="D1730" t="s">
        <v>38</v>
      </c>
      <c r="E1730" t="s">
        <v>337</v>
      </c>
      <c r="F1730" t="s">
        <v>120</v>
      </c>
      <c r="G1730" s="5">
        <v>857050</v>
      </c>
      <c r="H1730" s="5">
        <v>857050</v>
      </c>
    </row>
    <row r="1731" spans="1:8" x14ac:dyDescent="0.25">
      <c r="A1731" t="s">
        <v>458</v>
      </c>
      <c r="B1731">
        <v>2017</v>
      </c>
      <c r="C1731" t="s">
        <v>92</v>
      </c>
      <c r="D1731" t="s">
        <v>38</v>
      </c>
      <c r="E1731" t="s">
        <v>327</v>
      </c>
      <c r="F1731" t="s">
        <v>110</v>
      </c>
      <c r="G1731" s="5">
        <v>579094</v>
      </c>
      <c r="H1731" s="5">
        <v>579094</v>
      </c>
    </row>
    <row r="1732" spans="1:8" x14ac:dyDescent="0.25">
      <c r="A1732" t="s">
        <v>458</v>
      </c>
      <c r="B1732">
        <v>2017</v>
      </c>
      <c r="C1732" t="s">
        <v>92</v>
      </c>
      <c r="D1732" t="s">
        <v>38</v>
      </c>
      <c r="E1732" t="s">
        <v>330</v>
      </c>
      <c r="F1732" t="s">
        <v>113</v>
      </c>
      <c r="G1732" s="5">
        <v>490087</v>
      </c>
      <c r="H1732" s="5">
        <v>490087</v>
      </c>
    </row>
    <row r="1733" spans="1:8" x14ac:dyDescent="0.25">
      <c r="A1733" t="s">
        <v>458</v>
      </c>
      <c r="B1733">
        <v>2017</v>
      </c>
      <c r="C1733" t="s">
        <v>92</v>
      </c>
      <c r="D1733" t="s">
        <v>38</v>
      </c>
      <c r="E1733" t="s">
        <v>333</v>
      </c>
      <c r="F1733" t="s">
        <v>116</v>
      </c>
      <c r="G1733" s="5">
        <v>177753</v>
      </c>
      <c r="H1733" s="5">
        <v>177753</v>
      </c>
    </row>
    <row r="1734" spans="1:8" x14ac:dyDescent="0.25">
      <c r="A1734" t="s">
        <v>458</v>
      </c>
      <c r="B1734">
        <v>2017</v>
      </c>
      <c r="C1734" t="s">
        <v>92</v>
      </c>
      <c r="D1734" t="s">
        <v>38</v>
      </c>
      <c r="E1734" t="s">
        <v>460</v>
      </c>
      <c r="F1734" t="s">
        <v>248</v>
      </c>
      <c r="G1734" s="5">
        <v>147271</v>
      </c>
      <c r="H1734" s="5">
        <v>147271</v>
      </c>
    </row>
    <row r="1735" spans="1:8" x14ac:dyDescent="0.25">
      <c r="A1735" t="s">
        <v>458</v>
      </c>
      <c r="B1735">
        <v>2017</v>
      </c>
      <c r="C1735" t="s">
        <v>92</v>
      </c>
      <c r="D1735" t="s">
        <v>38</v>
      </c>
      <c r="E1735" t="s">
        <v>340</v>
      </c>
      <c r="F1735" t="s">
        <v>123</v>
      </c>
      <c r="G1735" s="5">
        <v>61457</v>
      </c>
      <c r="H1735" s="5">
        <v>61457</v>
      </c>
    </row>
    <row r="1736" spans="1:8" x14ac:dyDescent="0.25">
      <c r="A1736" t="s">
        <v>458</v>
      </c>
      <c r="B1736">
        <v>2017</v>
      </c>
      <c r="C1736" t="s">
        <v>92</v>
      </c>
      <c r="D1736" t="s">
        <v>38</v>
      </c>
      <c r="E1736" t="s">
        <v>335</v>
      </c>
      <c r="F1736" t="s">
        <v>118</v>
      </c>
      <c r="G1736" s="5">
        <v>23559</v>
      </c>
      <c r="H1736" s="5">
        <v>23559</v>
      </c>
    </row>
    <row r="1737" spans="1:8" x14ac:dyDescent="0.25">
      <c r="A1737" t="s">
        <v>458</v>
      </c>
      <c r="B1737">
        <v>2017</v>
      </c>
      <c r="C1737" t="s">
        <v>92</v>
      </c>
      <c r="D1737" t="s">
        <v>38</v>
      </c>
      <c r="E1737" t="s">
        <v>461</v>
      </c>
      <c r="F1737" t="s">
        <v>249</v>
      </c>
      <c r="G1737" s="5">
        <v>4532</v>
      </c>
      <c r="H1737" s="5">
        <v>4532</v>
      </c>
    </row>
    <row r="1738" spans="1:8" x14ac:dyDescent="0.25">
      <c r="A1738" t="s">
        <v>458</v>
      </c>
      <c r="B1738">
        <v>2017</v>
      </c>
      <c r="C1738" t="s">
        <v>35</v>
      </c>
      <c r="D1738" t="s">
        <v>35</v>
      </c>
      <c r="E1738" t="s">
        <v>343</v>
      </c>
      <c r="F1738" t="s">
        <v>126</v>
      </c>
      <c r="G1738" s="5">
        <v>4493565566</v>
      </c>
      <c r="H1738" s="5">
        <v>4494574848</v>
      </c>
    </row>
    <row r="1739" spans="1:8" x14ac:dyDescent="0.25">
      <c r="A1739" t="s">
        <v>458</v>
      </c>
      <c r="B1739">
        <v>2017</v>
      </c>
      <c r="C1739" t="s">
        <v>35</v>
      </c>
      <c r="D1739" t="s">
        <v>35</v>
      </c>
      <c r="E1739" t="s">
        <v>354</v>
      </c>
      <c r="F1739" t="s">
        <v>137</v>
      </c>
      <c r="G1739" s="5">
        <v>674444908</v>
      </c>
      <c r="H1739" s="5">
        <v>674445478</v>
      </c>
    </row>
    <row r="1740" spans="1:8" x14ac:dyDescent="0.25">
      <c r="A1740" t="s">
        <v>458</v>
      </c>
      <c r="B1740">
        <v>2017</v>
      </c>
      <c r="C1740" t="s">
        <v>35</v>
      </c>
      <c r="D1740" t="s">
        <v>35</v>
      </c>
      <c r="E1740" t="s">
        <v>348</v>
      </c>
      <c r="F1740" t="s">
        <v>131</v>
      </c>
      <c r="G1740" s="5">
        <v>613532557</v>
      </c>
      <c r="H1740" s="5">
        <v>668376891</v>
      </c>
    </row>
    <row r="1741" spans="1:8" x14ac:dyDescent="0.25">
      <c r="A1741" t="s">
        <v>458</v>
      </c>
      <c r="B1741">
        <v>2017</v>
      </c>
      <c r="C1741" t="s">
        <v>35</v>
      </c>
      <c r="D1741" t="s">
        <v>35</v>
      </c>
      <c r="E1741" t="s">
        <v>344</v>
      </c>
      <c r="F1741" t="s">
        <v>127</v>
      </c>
      <c r="G1741" s="5">
        <v>261349883</v>
      </c>
      <c r="H1741" s="5">
        <v>261559003</v>
      </c>
    </row>
    <row r="1742" spans="1:8" x14ac:dyDescent="0.25">
      <c r="A1742" t="s">
        <v>458</v>
      </c>
      <c r="B1742">
        <v>2017</v>
      </c>
      <c r="C1742" t="s">
        <v>35</v>
      </c>
      <c r="D1742" t="s">
        <v>35</v>
      </c>
      <c r="E1742" t="s">
        <v>345</v>
      </c>
      <c r="F1742" t="s">
        <v>128</v>
      </c>
      <c r="G1742" s="5">
        <v>252595855</v>
      </c>
      <c r="H1742" s="5">
        <v>254574427</v>
      </c>
    </row>
    <row r="1743" spans="1:8" x14ac:dyDescent="0.25">
      <c r="A1743" t="s">
        <v>458</v>
      </c>
      <c r="B1743">
        <v>2017</v>
      </c>
      <c r="C1743" t="s">
        <v>35</v>
      </c>
      <c r="D1743" t="s">
        <v>35</v>
      </c>
      <c r="E1743" t="s">
        <v>352</v>
      </c>
      <c r="F1743" t="s">
        <v>135</v>
      </c>
      <c r="G1743" s="5">
        <v>247768754</v>
      </c>
      <c r="H1743" s="5">
        <v>247771732</v>
      </c>
    </row>
    <row r="1744" spans="1:8" x14ac:dyDescent="0.25">
      <c r="A1744" t="s">
        <v>458</v>
      </c>
      <c r="B1744">
        <v>2017</v>
      </c>
      <c r="C1744" t="s">
        <v>35</v>
      </c>
      <c r="D1744" t="s">
        <v>35</v>
      </c>
      <c r="E1744" t="s">
        <v>356</v>
      </c>
      <c r="F1744" t="s">
        <v>139</v>
      </c>
      <c r="G1744" s="5">
        <v>229378696</v>
      </c>
      <c r="H1744" s="5">
        <v>336247061</v>
      </c>
    </row>
    <row r="1745" spans="1:8" x14ac:dyDescent="0.25">
      <c r="A1745" t="s">
        <v>458</v>
      </c>
      <c r="B1745">
        <v>2017</v>
      </c>
      <c r="C1745" t="s">
        <v>35</v>
      </c>
      <c r="D1745" t="s">
        <v>35</v>
      </c>
      <c r="E1745" t="s">
        <v>353</v>
      </c>
      <c r="F1745" t="s">
        <v>136</v>
      </c>
      <c r="G1745" s="5">
        <v>195699983</v>
      </c>
      <c r="H1745" s="5">
        <v>195699983</v>
      </c>
    </row>
    <row r="1746" spans="1:8" x14ac:dyDescent="0.25">
      <c r="A1746" t="s">
        <v>458</v>
      </c>
      <c r="B1746">
        <v>2017</v>
      </c>
      <c r="C1746" t="s">
        <v>35</v>
      </c>
      <c r="D1746" t="s">
        <v>35</v>
      </c>
      <c r="E1746" t="s">
        <v>360</v>
      </c>
      <c r="F1746" t="s">
        <v>143</v>
      </c>
      <c r="G1746" s="5">
        <v>116104286</v>
      </c>
      <c r="H1746" s="5">
        <v>116104286</v>
      </c>
    </row>
    <row r="1747" spans="1:8" x14ac:dyDescent="0.25">
      <c r="A1747" t="s">
        <v>458</v>
      </c>
      <c r="B1747">
        <v>2017</v>
      </c>
      <c r="C1747" t="s">
        <v>35</v>
      </c>
      <c r="D1747" t="s">
        <v>35</v>
      </c>
      <c r="E1747" t="s">
        <v>355</v>
      </c>
      <c r="F1747" t="s">
        <v>138</v>
      </c>
      <c r="G1747" s="5">
        <v>111507090</v>
      </c>
      <c r="H1747" s="5">
        <v>111511472</v>
      </c>
    </row>
    <row r="1748" spans="1:8" x14ac:dyDescent="0.25">
      <c r="A1748" t="s">
        <v>458</v>
      </c>
      <c r="B1748">
        <v>2017</v>
      </c>
      <c r="C1748" t="s">
        <v>35</v>
      </c>
      <c r="D1748" t="s">
        <v>35</v>
      </c>
      <c r="E1748" t="s">
        <v>362</v>
      </c>
      <c r="F1748" t="s">
        <v>145</v>
      </c>
      <c r="G1748" s="5">
        <v>73863111</v>
      </c>
      <c r="H1748" s="5">
        <v>73863271</v>
      </c>
    </row>
    <row r="1749" spans="1:8" x14ac:dyDescent="0.25">
      <c r="A1749" t="s">
        <v>458</v>
      </c>
      <c r="B1749">
        <v>2017</v>
      </c>
      <c r="C1749" t="s">
        <v>35</v>
      </c>
      <c r="D1749" t="s">
        <v>35</v>
      </c>
      <c r="E1749" t="s">
        <v>349</v>
      </c>
      <c r="F1749" t="s">
        <v>132</v>
      </c>
      <c r="G1749" s="5">
        <v>69414658</v>
      </c>
      <c r="H1749" s="5">
        <v>371626127</v>
      </c>
    </row>
    <row r="1750" spans="1:8" x14ac:dyDescent="0.25">
      <c r="A1750" t="s">
        <v>458</v>
      </c>
      <c r="B1750">
        <v>2017</v>
      </c>
      <c r="C1750" t="s">
        <v>35</v>
      </c>
      <c r="D1750" t="s">
        <v>35</v>
      </c>
      <c r="E1750" t="s">
        <v>346</v>
      </c>
      <c r="F1750" t="s">
        <v>129</v>
      </c>
      <c r="G1750" s="5">
        <v>65350909</v>
      </c>
      <c r="H1750" s="5">
        <v>1056605308</v>
      </c>
    </row>
    <row r="1751" spans="1:8" x14ac:dyDescent="0.25">
      <c r="A1751" t="s">
        <v>458</v>
      </c>
      <c r="B1751">
        <v>2017</v>
      </c>
      <c r="C1751" t="s">
        <v>35</v>
      </c>
      <c r="D1751" t="s">
        <v>35</v>
      </c>
      <c r="E1751" t="s">
        <v>383</v>
      </c>
      <c r="F1751" t="s">
        <v>167</v>
      </c>
      <c r="G1751" s="5">
        <v>35018141</v>
      </c>
      <c r="H1751" s="5">
        <v>35048848</v>
      </c>
    </row>
    <row r="1752" spans="1:8" x14ac:dyDescent="0.25">
      <c r="A1752" t="s">
        <v>458</v>
      </c>
      <c r="B1752">
        <v>2017</v>
      </c>
      <c r="C1752" t="s">
        <v>35</v>
      </c>
      <c r="D1752" t="s">
        <v>35</v>
      </c>
      <c r="E1752" t="s">
        <v>351</v>
      </c>
      <c r="F1752" t="s">
        <v>134</v>
      </c>
      <c r="G1752" s="5">
        <v>31103763</v>
      </c>
      <c r="H1752" s="5">
        <v>41300879</v>
      </c>
    </row>
    <row r="1753" spans="1:8" x14ac:dyDescent="0.25">
      <c r="A1753" t="s">
        <v>458</v>
      </c>
      <c r="B1753">
        <v>2017</v>
      </c>
      <c r="C1753" t="s">
        <v>35</v>
      </c>
      <c r="D1753" t="s">
        <v>35</v>
      </c>
      <c r="E1753" t="s">
        <v>357</v>
      </c>
      <c r="F1753" t="s">
        <v>140</v>
      </c>
      <c r="G1753" s="5">
        <v>28332026</v>
      </c>
      <c r="H1753" s="5">
        <v>28335368</v>
      </c>
    </row>
    <row r="1754" spans="1:8" x14ac:dyDescent="0.25">
      <c r="A1754" t="s">
        <v>458</v>
      </c>
      <c r="B1754">
        <v>2017</v>
      </c>
      <c r="C1754" t="s">
        <v>35</v>
      </c>
      <c r="D1754" t="s">
        <v>35</v>
      </c>
      <c r="E1754" t="s">
        <v>366</v>
      </c>
      <c r="F1754" t="s">
        <v>149</v>
      </c>
      <c r="G1754" s="5">
        <v>24796455</v>
      </c>
      <c r="H1754" s="5">
        <v>24811107</v>
      </c>
    </row>
    <row r="1755" spans="1:8" x14ac:dyDescent="0.25">
      <c r="A1755" t="s">
        <v>458</v>
      </c>
      <c r="B1755">
        <v>2017</v>
      </c>
      <c r="C1755" t="s">
        <v>35</v>
      </c>
      <c r="D1755" t="s">
        <v>35</v>
      </c>
      <c r="E1755" t="s">
        <v>347</v>
      </c>
      <c r="F1755" t="s">
        <v>130</v>
      </c>
      <c r="G1755" s="5">
        <v>14013781</v>
      </c>
      <c r="H1755" s="5">
        <v>217393372</v>
      </c>
    </row>
    <row r="1756" spans="1:8" x14ac:dyDescent="0.25">
      <c r="A1756" t="s">
        <v>458</v>
      </c>
      <c r="B1756">
        <v>2017</v>
      </c>
      <c r="C1756" t="s">
        <v>35</v>
      </c>
      <c r="D1756" t="s">
        <v>35</v>
      </c>
      <c r="E1756" t="s">
        <v>350</v>
      </c>
      <c r="F1756" t="s">
        <v>133</v>
      </c>
      <c r="G1756" s="5">
        <v>12352694</v>
      </c>
      <c r="H1756" s="5">
        <v>12352694</v>
      </c>
    </row>
    <row r="1757" spans="1:8" x14ac:dyDescent="0.25">
      <c r="A1757" t="s">
        <v>458</v>
      </c>
      <c r="B1757">
        <v>2017</v>
      </c>
      <c r="C1757" t="s">
        <v>35</v>
      </c>
      <c r="D1757" t="s">
        <v>35</v>
      </c>
      <c r="E1757" t="s">
        <v>379</v>
      </c>
      <c r="F1757" t="s">
        <v>163</v>
      </c>
      <c r="G1757" s="5">
        <v>10738379</v>
      </c>
      <c r="H1757" s="5">
        <v>10738541</v>
      </c>
    </row>
    <row r="1758" spans="1:8" x14ac:dyDescent="0.25">
      <c r="A1758" t="s">
        <v>458</v>
      </c>
      <c r="B1758">
        <v>2017</v>
      </c>
      <c r="C1758" t="s">
        <v>35</v>
      </c>
      <c r="D1758" t="s">
        <v>35</v>
      </c>
      <c r="E1758" t="s">
        <v>367</v>
      </c>
      <c r="F1758" t="s">
        <v>150</v>
      </c>
      <c r="G1758" s="5">
        <v>8165293</v>
      </c>
      <c r="H1758" s="5">
        <v>10888422</v>
      </c>
    </row>
    <row r="1759" spans="1:8" x14ac:dyDescent="0.25">
      <c r="A1759" t="s">
        <v>458</v>
      </c>
      <c r="B1759">
        <v>2017</v>
      </c>
      <c r="C1759" t="s">
        <v>35</v>
      </c>
      <c r="D1759" t="s">
        <v>35</v>
      </c>
      <c r="F1759" t="s">
        <v>161</v>
      </c>
      <c r="G1759" s="5">
        <v>2926005</v>
      </c>
      <c r="H1759" s="5">
        <v>2926005</v>
      </c>
    </row>
    <row r="1760" spans="1:8" x14ac:dyDescent="0.25">
      <c r="A1760" t="s">
        <v>458</v>
      </c>
      <c r="B1760">
        <v>2017</v>
      </c>
      <c r="C1760" t="s">
        <v>35</v>
      </c>
      <c r="D1760" t="s">
        <v>35</v>
      </c>
      <c r="E1760" t="s">
        <v>359</v>
      </c>
      <c r="F1760" t="s">
        <v>142</v>
      </c>
      <c r="G1760" s="5">
        <v>2905180</v>
      </c>
      <c r="H1760" s="5">
        <v>2908036</v>
      </c>
    </row>
    <row r="1761" spans="1:8" x14ac:dyDescent="0.25">
      <c r="A1761" t="s">
        <v>458</v>
      </c>
      <c r="B1761">
        <v>2017</v>
      </c>
      <c r="C1761" t="s">
        <v>35</v>
      </c>
      <c r="D1761" t="s">
        <v>35</v>
      </c>
      <c r="E1761" t="s">
        <v>382</v>
      </c>
      <c r="F1761" t="s">
        <v>166</v>
      </c>
      <c r="G1761" s="5">
        <v>2396725</v>
      </c>
      <c r="H1761" s="5">
        <v>2413601</v>
      </c>
    </row>
    <row r="1762" spans="1:8" x14ac:dyDescent="0.25">
      <c r="A1762" t="s">
        <v>458</v>
      </c>
      <c r="B1762">
        <v>2017</v>
      </c>
      <c r="C1762" t="s">
        <v>35</v>
      </c>
      <c r="D1762" t="s">
        <v>35</v>
      </c>
      <c r="E1762" t="s">
        <v>381</v>
      </c>
      <c r="F1762" t="s">
        <v>165</v>
      </c>
      <c r="G1762" s="5">
        <v>1835402</v>
      </c>
      <c r="H1762" s="5">
        <v>1835402</v>
      </c>
    </row>
    <row r="1763" spans="1:8" x14ac:dyDescent="0.25">
      <c r="A1763" t="s">
        <v>458</v>
      </c>
      <c r="B1763">
        <v>2017</v>
      </c>
      <c r="C1763" t="s">
        <v>35</v>
      </c>
      <c r="D1763" t="s">
        <v>35</v>
      </c>
      <c r="E1763" t="s">
        <v>364</v>
      </c>
      <c r="F1763" t="s">
        <v>147</v>
      </c>
      <c r="G1763" s="5">
        <v>1716543</v>
      </c>
      <c r="H1763" s="5">
        <v>51056484</v>
      </c>
    </row>
    <row r="1764" spans="1:8" x14ac:dyDescent="0.25">
      <c r="A1764" t="s">
        <v>458</v>
      </c>
      <c r="B1764">
        <v>2017</v>
      </c>
      <c r="C1764" t="s">
        <v>35</v>
      </c>
      <c r="D1764" t="s">
        <v>35</v>
      </c>
      <c r="E1764" t="s">
        <v>378</v>
      </c>
      <c r="F1764" t="s">
        <v>162</v>
      </c>
      <c r="G1764" s="5">
        <v>1336180</v>
      </c>
      <c r="H1764" s="5">
        <v>1336180</v>
      </c>
    </row>
    <row r="1765" spans="1:8" x14ac:dyDescent="0.25">
      <c r="A1765" t="s">
        <v>458</v>
      </c>
      <c r="B1765">
        <v>2017</v>
      </c>
      <c r="C1765" t="s">
        <v>35</v>
      </c>
      <c r="D1765" t="s">
        <v>35</v>
      </c>
      <c r="E1765" t="s">
        <v>361</v>
      </c>
      <c r="F1765" t="s">
        <v>144</v>
      </c>
      <c r="G1765" s="5">
        <v>1156458</v>
      </c>
      <c r="H1765" s="5">
        <v>2723994</v>
      </c>
    </row>
    <row r="1766" spans="1:8" x14ac:dyDescent="0.25">
      <c r="A1766" t="s">
        <v>458</v>
      </c>
      <c r="B1766">
        <v>2017</v>
      </c>
      <c r="C1766" t="s">
        <v>35</v>
      </c>
      <c r="D1766" t="s">
        <v>35</v>
      </c>
      <c r="E1766" t="s">
        <v>370</v>
      </c>
      <c r="F1766" t="s">
        <v>153</v>
      </c>
      <c r="G1766" s="5">
        <v>1124254</v>
      </c>
      <c r="H1766" s="5">
        <v>1124254</v>
      </c>
    </row>
    <row r="1767" spans="1:8" x14ac:dyDescent="0.25">
      <c r="A1767" t="s">
        <v>458</v>
      </c>
      <c r="B1767">
        <v>2017</v>
      </c>
      <c r="C1767" t="s">
        <v>35</v>
      </c>
      <c r="D1767" t="s">
        <v>35</v>
      </c>
      <c r="E1767" t="s">
        <v>376</v>
      </c>
      <c r="F1767" t="s">
        <v>159</v>
      </c>
      <c r="G1767" s="5">
        <v>1024322</v>
      </c>
      <c r="H1767" s="5">
        <v>1024322</v>
      </c>
    </row>
    <row r="1768" spans="1:8" x14ac:dyDescent="0.25">
      <c r="A1768" t="s">
        <v>458</v>
      </c>
      <c r="B1768">
        <v>2017</v>
      </c>
      <c r="C1768" t="s">
        <v>35</v>
      </c>
      <c r="D1768" t="s">
        <v>35</v>
      </c>
      <c r="E1768" t="s">
        <v>371</v>
      </c>
      <c r="F1768" t="s">
        <v>154</v>
      </c>
      <c r="G1768" s="5">
        <v>576171</v>
      </c>
      <c r="H1768" s="5">
        <v>576171</v>
      </c>
    </row>
    <row r="1769" spans="1:8" x14ac:dyDescent="0.25">
      <c r="A1769" t="s">
        <v>458</v>
      </c>
      <c r="B1769">
        <v>2017</v>
      </c>
      <c r="C1769" t="s">
        <v>35</v>
      </c>
      <c r="D1769" t="s">
        <v>35</v>
      </c>
      <c r="E1769" t="s">
        <v>385</v>
      </c>
      <c r="F1769" t="s">
        <v>169</v>
      </c>
      <c r="G1769" s="5">
        <v>352776</v>
      </c>
      <c r="H1769" s="5">
        <v>352776</v>
      </c>
    </row>
    <row r="1770" spans="1:8" x14ac:dyDescent="0.25">
      <c r="A1770" t="s">
        <v>458</v>
      </c>
      <c r="B1770">
        <v>2017</v>
      </c>
      <c r="C1770" t="s">
        <v>35</v>
      </c>
      <c r="D1770" t="s">
        <v>35</v>
      </c>
      <c r="E1770" t="s">
        <v>358</v>
      </c>
      <c r="F1770" t="s">
        <v>141</v>
      </c>
      <c r="G1770" s="5">
        <v>310996</v>
      </c>
      <c r="H1770" s="5">
        <v>310996</v>
      </c>
    </row>
    <row r="1771" spans="1:8" x14ac:dyDescent="0.25">
      <c r="A1771" t="s">
        <v>458</v>
      </c>
      <c r="B1771">
        <v>2017</v>
      </c>
      <c r="C1771" t="s">
        <v>35</v>
      </c>
      <c r="D1771" t="s">
        <v>35</v>
      </c>
      <c r="E1771" t="s">
        <v>365</v>
      </c>
      <c r="F1771" t="s">
        <v>148</v>
      </c>
      <c r="G1771" s="5">
        <v>277804</v>
      </c>
      <c r="H1771" s="5">
        <v>277804</v>
      </c>
    </row>
    <row r="1772" spans="1:8" x14ac:dyDescent="0.25">
      <c r="A1772" t="s">
        <v>458</v>
      </c>
      <c r="B1772">
        <v>2017</v>
      </c>
      <c r="C1772" t="s">
        <v>35</v>
      </c>
      <c r="D1772" t="s">
        <v>35</v>
      </c>
      <c r="E1772" t="s">
        <v>377</v>
      </c>
      <c r="F1772" t="s">
        <v>160</v>
      </c>
      <c r="G1772" s="5">
        <v>232141</v>
      </c>
      <c r="H1772" s="5">
        <v>232141</v>
      </c>
    </row>
    <row r="1773" spans="1:8" x14ac:dyDescent="0.25">
      <c r="A1773" t="s">
        <v>458</v>
      </c>
      <c r="B1773">
        <v>2017</v>
      </c>
      <c r="C1773" t="s">
        <v>35</v>
      </c>
      <c r="D1773" t="s">
        <v>35</v>
      </c>
      <c r="E1773" t="s">
        <v>372</v>
      </c>
      <c r="F1773" t="s">
        <v>155</v>
      </c>
      <c r="G1773" s="5">
        <v>184604</v>
      </c>
      <c r="H1773" s="5">
        <v>184604</v>
      </c>
    </row>
    <row r="1774" spans="1:8" x14ac:dyDescent="0.25">
      <c r="A1774" t="s">
        <v>458</v>
      </c>
      <c r="B1774">
        <v>2017</v>
      </c>
      <c r="C1774" t="s">
        <v>35</v>
      </c>
      <c r="D1774" t="s">
        <v>35</v>
      </c>
      <c r="E1774" t="s">
        <v>374</v>
      </c>
      <c r="F1774" t="s">
        <v>157</v>
      </c>
      <c r="G1774" s="5">
        <v>108685</v>
      </c>
      <c r="H1774" s="5">
        <v>235712503</v>
      </c>
    </row>
    <row r="1775" spans="1:8" x14ac:dyDescent="0.25">
      <c r="A1775" t="s">
        <v>458</v>
      </c>
      <c r="B1775">
        <v>2017</v>
      </c>
      <c r="C1775" t="s">
        <v>35</v>
      </c>
      <c r="D1775" t="s">
        <v>35</v>
      </c>
      <c r="E1775" t="s">
        <v>384</v>
      </c>
      <c r="F1775" t="s">
        <v>168</v>
      </c>
      <c r="G1775" s="5">
        <v>89395</v>
      </c>
      <c r="H1775" s="5">
        <v>89395</v>
      </c>
    </row>
    <row r="1776" spans="1:8" x14ac:dyDescent="0.25">
      <c r="A1776" t="s">
        <v>458</v>
      </c>
      <c r="B1776">
        <v>2017</v>
      </c>
      <c r="C1776" t="s">
        <v>35</v>
      </c>
      <c r="D1776" t="s">
        <v>35</v>
      </c>
      <c r="E1776" t="s">
        <v>363</v>
      </c>
      <c r="F1776" t="s">
        <v>146</v>
      </c>
      <c r="G1776" s="5">
        <v>82082</v>
      </c>
      <c r="H1776" s="5">
        <v>3113660682</v>
      </c>
    </row>
    <row r="1777" spans="1:8" x14ac:dyDescent="0.25">
      <c r="A1777" t="s">
        <v>458</v>
      </c>
      <c r="B1777">
        <v>2017</v>
      </c>
      <c r="C1777" t="s">
        <v>35</v>
      </c>
      <c r="D1777" t="s">
        <v>35</v>
      </c>
      <c r="E1777" t="s">
        <v>387</v>
      </c>
      <c r="F1777" t="s">
        <v>171</v>
      </c>
      <c r="G1777" s="5">
        <v>77709</v>
      </c>
      <c r="H1777" s="5">
        <v>77709</v>
      </c>
    </row>
    <row r="1778" spans="1:8" x14ac:dyDescent="0.25">
      <c r="A1778" t="s">
        <v>458</v>
      </c>
      <c r="B1778">
        <v>2017</v>
      </c>
      <c r="C1778" t="s">
        <v>35</v>
      </c>
      <c r="D1778" t="s">
        <v>35</v>
      </c>
      <c r="E1778" t="s">
        <v>375</v>
      </c>
      <c r="F1778" t="s">
        <v>158</v>
      </c>
      <c r="G1778" s="5">
        <v>19365</v>
      </c>
      <c r="H1778" s="5">
        <v>19365</v>
      </c>
    </row>
    <row r="1779" spans="1:8" x14ac:dyDescent="0.25">
      <c r="A1779" t="s">
        <v>458</v>
      </c>
      <c r="B1779">
        <v>2017</v>
      </c>
      <c r="C1779" t="s">
        <v>172</v>
      </c>
      <c r="D1779" t="s">
        <v>34</v>
      </c>
      <c r="E1779" t="s">
        <v>388</v>
      </c>
      <c r="F1779" t="s">
        <v>173</v>
      </c>
      <c r="G1779" s="5">
        <v>11059776164</v>
      </c>
      <c r="H1779" s="5">
        <v>11194229564</v>
      </c>
    </row>
    <row r="1780" spans="1:8" x14ac:dyDescent="0.25">
      <c r="A1780" t="s">
        <v>458</v>
      </c>
      <c r="B1780">
        <v>2017</v>
      </c>
      <c r="C1780" t="s">
        <v>172</v>
      </c>
      <c r="D1780" t="s">
        <v>34</v>
      </c>
      <c r="E1780" t="s">
        <v>391</v>
      </c>
      <c r="F1780" t="s">
        <v>176</v>
      </c>
      <c r="G1780" s="5">
        <v>2334025879</v>
      </c>
      <c r="H1780" s="5">
        <v>2482290479</v>
      </c>
    </row>
    <row r="1781" spans="1:8" x14ac:dyDescent="0.25">
      <c r="A1781" t="s">
        <v>458</v>
      </c>
      <c r="B1781">
        <v>2017</v>
      </c>
      <c r="C1781" t="s">
        <v>172</v>
      </c>
      <c r="D1781" t="s">
        <v>34</v>
      </c>
      <c r="E1781" t="s">
        <v>390</v>
      </c>
      <c r="F1781" t="s">
        <v>175</v>
      </c>
      <c r="G1781" s="5">
        <v>1702851425</v>
      </c>
      <c r="H1781" s="5">
        <v>1750690142</v>
      </c>
    </row>
    <row r="1782" spans="1:8" x14ac:dyDescent="0.25">
      <c r="A1782" t="s">
        <v>458</v>
      </c>
      <c r="B1782">
        <v>2017</v>
      </c>
      <c r="C1782" t="s">
        <v>172</v>
      </c>
      <c r="D1782" t="s">
        <v>34</v>
      </c>
      <c r="E1782" t="s">
        <v>389</v>
      </c>
      <c r="F1782" t="s">
        <v>174</v>
      </c>
      <c r="G1782" s="5">
        <v>1148829026</v>
      </c>
      <c r="H1782" s="5">
        <v>1152256808</v>
      </c>
    </row>
    <row r="1783" spans="1:8" x14ac:dyDescent="0.25">
      <c r="A1783" t="s">
        <v>458</v>
      </c>
      <c r="B1783">
        <v>2017</v>
      </c>
      <c r="C1783" t="s">
        <v>172</v>
      </c>
      <c r="D1783" t="s">
        <v>34</v>
      </c>
      <c r="E1783" t="s">
        <v>392</v>
      </c>
      <c r="F1783" t="s">
        <v>178</v>
      </c>
      <c r="G1783" s="5">
        <v>1019323630</v>
      </c>
      <c r="H1783" s="5">
        <v>1037013802</v>
      </c>
    </row>
    <row r="1784" spans="1:8" x14ac:dyDescent="0.25">
      <c r="A1784" t="s">
        <v>458</v>
      </c>
      <c r="B1784">
        <v>2017</v>
      </c>
      <c r="C1784" t="s">
        <v>172</v>
      </c>
      <c r="D1784" t="s">
        <v>34</v>
      </c>
      <c r="E1784" t="s">
        <v>394</v>
      </c>
      <c r="F1784" t="s">
        <v>180</v>
      </c>
      <c r="G1784" s="5">
        <v>947338358</v>
      </c>
      <c r="H1784" s="5">
        <v>961647533</v>
      </c>
    </row>
    <row r="1785" spans="1:8" x14ac:dyDescent="0.25">
      <c r="A1785" t="s">
        <v>458</v>
      </c>
      <c r="B1785">
        <v>2017</v>
      </c>
      <c r="C1785" t="s">
        <v>172</v>
      </c>
      <c r="D1785" t="s">
        <v>34</v>
      </c>
      <c r="E1785" t="s">
        <v>396</v>
      </c>
      <c r="F1785" t="s">
        <v>183</v>
      </c>
      <c r="G1785" s="5">
        <v>761345817</v>
      </c>
      <c r="H1785" s="5">
        <v>762431466</v>
      </c>
    </row>
    <row r="1786" spans="1:8" x14ac:dyDescent="0.25">
      <c r="A1786" t="s">
        <v>458</v>
      </c>
      <c r="B1786">
        <v>2017</v>
      </c>
      <c r="C1786" t="s">
        <v>172</v>
      </c>
      <c r="D1786" t="s">
        <v>34</v>
      </c>
      <c r="E1786" t="s">
        <v>395</v>
      </c>
      <c r="F1786" t="s">
        <v>181</v>
      </c>
      <c r="G1786" s="5">
        <v>719470364</v>
      </c>
      <c r="H1786" s="5">
        <v>734546720</v>
      </c>
    </row>
    <row r="1787" spans="1:8" x14ac:dyDescent="0.25">
      <c r="A1787" t="s">
        <v>458</v>
      </c>
      <c r="B1787">
        <v>2017</v>
      </c>
      <c r="C1787" t="s">
        <v>172</v>
      </c>
      <c r="D1787" t="s">
        <v>34</v>
      </c>
      <c r="E1787" t="s">
        <v>393</v>
      </c>
      <c r="F1787" t="s">
        <v>179</v>
      </c>
      <c r="G1787" s="5">
        <v>532316123</v>
      </c>
      <c r="H1787" s="5">
        <v>548846264</v>
      </c>
    </row>
    <row r="1788" spans="1:8" x14ac:dyDescent="0.25">
      <c r="A1788" t="s">
        <v>458</v>
      </c>
      <c r="B1788">
        <v>2017</v>
      </c>
      <c r="C1788" t="s">
        <v>172</v>
      </c>
      <c r="D1788" t="s">
        <v>34</v>
      </c>
      <c r="E1788" t="s">
        <v>397</v>
      </c>
      <c r="F1788" t="s">
        <v>184</v>
      </c>
      <c r="G1788" s="5">
        <v>419335536</v>
      </c>
      <c r="H1788" s="5">
        <v>427304972</v>
      </c>
    </row>
    <row r="1789" spans="1:8" x14ac:dyDescent="0.25">
      <c r="A1789" t="s">
        <v>458</v>
      </c>
      <c r="B1789">
        <v>2017</v>
      </c>
      <c r="C1789" t="s">
        <v>172</v>
      </c>
      <c r="D1789" t="s">
        <v>34</v>
      </c>
      <c r="E1789" t="s">
        <v>400</v>
      </c>
      <c r="F1789" t="s">
        <v>189</v>
      </c>
      <c r="G1789" s="5">
        <v>346217260</v>
      </c>
      <c r="H1789" s="5">
        <v>346217727</v>
      </c>
    </row>
    <row r="1790" spans="1:8" x14ac:dyDescent="0.25">
      <c r="A1790" t="s">
        <v>458</v>
      </c>
      <c r="B1790">
        <v>2017</v>
      </c>
      <c r="C1790" t="s">
        <v>172</v>
      </c>
      <c r="D1790" t="s">
        <v>34</v>
      </c>
      <c r="E1790" t="s">
        <v>403</v>
      </c>
      <c r="F1790" t="s">
        <v>192</v>
      </c>
      <c r="G1790" s="5">
        <v>334073242</v>
      </c>
      <c r="H1790" s="5">
        <v>334492460</v>
      </c>
    </row>
    <row r="1791" spans="1:8" x14ac:dyDescent="0.25">
      <c r="A1791" t="s">
        <v>458</v>
      </c>
      <c r="B1791">
        <v>2017</v>
      </c>
      <c r="C1791" t="s">
        <v>172</v>
      </c>
      <c r="D1791" t="s">
        <v>34</v>
      </c>
      <c r="E1791" t="s">
        <v>399</v>
      </c>
      <c r="F1791" t="s">
        <v>187</v>
      </c>
      <c r="G1791" s="5">
        <v>313834975</v>
      </c>
      <c r="H1791" s="5">
        <v>313856912</v>
      </c>
    </row>
    <row r="1792" spans="1:8" x14ac:dyDescent="0.25">
      <c r="A1792" t="s">
        <v>458</v>
      </c>
      <c r="B1792">
        <v>2017</v>
      </c>
      <c r="C1792" t="s">
        <v>172</v>
      </c>
      <c r="D1792" t="s">
        <v>34</v>
      </c>
      <c r="E1792" t="s">
        <v>398</v>
      </c>
      <c r="F1792" t="s">
        <v>186</v>
      </c>
      <c r="G1792" s="5">
        <v>185063692</v>
      </c>
      <c r="H1792" s="5">
        <v>185165874</v>
      </c>
    </row>
    <row r="1793" spans="1:8" x14ac:dyDescent="0.25">
      <c r="A1793" t="s">
        <v>458</v>
      </c>
      <c r="B1793">
        <v>2017</v>
      </c>
      <c r="C1793" t="s">
        <v>172</v>
      </c>
      <c r="D1793" t="s">
        <v>34</v>
      </c>
      <c r="E1793" t="s">
        <v>405</v>
      </c>
      <c r="F1793" t="s">
        <v>194</v>
      </c>
      <c r="G1793" s="5">
        <v>172182528</v>
      </c>
      <c r="H1793" s="5">
        <v>172214717</v>
      </c>
    </row>
    <row r="1794" spans="1:8" x14ac:dyDescent="0.25">
      <c r="A1794" t="s">
        <v>458</v>
      </c>
      <c r="B1794">
        <v>2017</v>
      </c>
      <c r="C1794" t="s">
        <v>172</v>
      </c>
      <c r="D1794" t="s">
        <v>34</v>
      </c>
      <c r="E1794" t="s">
        <v>402</v>
      </c>
      <c r="F1794" t="s">
        <v>191</v>
      </c>
      <c r="G1794" s="5">
        <v>141920292</v>
      </c>
      <c r="H1794" s="5">
        <v>141935648</v>
      </c>
    </row>
    <row r="1795" spans="1:8" x14ac:dyDescent="0.25">
      <c r="A1795" t="s">
        <v>458</v>
      </c>
      <c r="B1795">
        <v>2017</v>
      </c>
      <c r="C1795" t="s">
        <v>172</v>
      </c>
      <c r="D1795" t="s">
        <v>34</v>
      </c>
      <c r="E1795" t="s">
        <v>401</v>
      </c>
      <c r="F1795" t="s">
        <v>190</v>
      </c>
      <c r="G1795" s="5">
        <v>118475893</v>
      </c>
      <c r="H1795" s="5">
        <v>118486689</v>
      </c>
    </row>
    <row r="1796" spans="1:8" x14ac:dyDescent="0.25">
      <c r="A1796" t="s">
        <v>458</v>
      </c>
      <c r="B1796">
        <v>2017</v>
      </c>
      <c r="C1796" t="s">
        <v>172</v>
      </c>
      <c r="D1796" t="s">
        <v>34</v>
      </c>
      <c r="E1796" t="s">
        <v>404</v>
      </c>
      <c r="F1796" t="s">
        <v>193</v>
      </c>
      <c r="G1796" s="5">
        <v>65059641</v>
      </c>
      <c r="H1796" s="5">
        <v>65059641</v>
      </c>
    </row>
    <row r="1797" spans="1:8" x14ac:dyDescent="0.25">
      <c r="A1797" t="s">
        <v>458</v>
      </c>
      <c r="B1797">
        <v>2017</v>
      </c>
      <c r="C1797" t="s">
        <v>172</v>
      </c>
      <c r="D1797" t="s">
        <v>34</v>
      </c>
      <c r="E1797" t="s">
        <v>406</v>
      </c>
      <c r="F1797" t="s">
        <v>195</v>
      </c>
      <c r="G1797" s="5">
        <v>58685477</v>
      </c>
      <c r="H1797" s="5">
        <v>58685477</v>
      </c>
    </row>
    <row r="1798" spans="1:8" x14ac:dyDescent="0.25">
      <c r="A1798" t="s">
        <v>458</v>
      </c>
      <c r="B1798">
        <v>2017</v>
      </c>
      <c r="C1798" t="s">
        <v>172</v>
      </c>
      <c r="D1798" t="s">
        <v>34</v>
      </c>
      <c r="E1798" t="s">
        <v>409</v>
      </c>
      <c r="F1798" t="s">
        <v>199</v>
      </c>
      <c r="G1798" s="5">
        <v>50562367</v>
      </c>
      <c r="H1798" s="5">
        <v>206167424</v>
      </c>
    </row>
    <row r="1799" spans="1:8" x14ac:dyDescent="0.25">
      <c r="A1799" t="s">
        <v>458</v>
      </c>
      <c r="B1799">
        <v>2017</v>
      </c>
      <c r="C1799" t="s">
        <v>172</v>
      </c>
      <c r="D1799" t="s">
        <v>34</v>
      </c>
      <c r="E1799" t="s">
        <v>408</v>
      </c>
      <c r="F1799" t="s">
        <v>198</v>
      </c>
      <c r="G1799" s="5">
        <v>25283788</v>
      </c>
      <c r="H1799" s="5">
        <v>25290993</v>
      </c>
    </row>
    <row r="1800" spans="1:8" x14ac:dyDescent="0.25">
      <c r="A1800" t="s">
        <v>458</v>
      </c>
      <c r="B1800">
        <v>2017</v>
      </c>
      <c r="C1800" t="s">
        <v>172</v>
      </c>
      <c r="D1800" t="s">
        <v>34</v>
      </c>
      <c r="E1800" t="s">
        <v>407</v>
      </c>
      <c r="F1800" t="s">
        <v>197</v>
      </c>
      <c r="G1800" s="5">
        <v>22793149</v>
      </c>
      <c r="H1800" s="5">
        <v>25186263</v>
      </c>
    </row>
    <row r="1801" spans="1:8" x14ac:dyDescent="0.25">
      <c r="A1801" t="s">
        <v>458</v>
      </c>
      <c r="B1801">
        <v>2017</v>
      </c>
      <c r="C1801" t="s">
        <v>172</v>
      </c>
      <c r="D1801" t="s">
        <v>34</v>
      </c>
      <c r="E1801" t="s">
        <v>411</v>
      </c>
      <c r="F1801" t="s">
        <v>203</v>
      </c>
      <c r="G1801" s="5">
        <v>16287503</v>
      </c>
      <c r="H1801" s="5">
        <v>16288233</v>
      </c>
    </row>
    <row r="1802" spans="1:8" x14ac:dyDescent="0.25">
      <c r="A1802" t="s">
        <v>458</v>
      </c>
      <c r="B1802">
        <v>2017</v>
      </c>
      <c r="C1802" t="s">
        <v>172</v>
      </c>
      <c r="D1802" t="s">
        <v>34</v>
      </c>
      <c r="E1802" t="s">
        <v>410</v>
      </c>
      <c r="F1802" t="s">
        <v>201</v>
      </c>
      <c r="G1802" s="5">
        <v>14121637</v>
      </c>
      <c r="H1802" s="5">
        <v>14121637</v>
      </c>
    </row>
    <row r="1803" spans="1:8" x14ac:dyDescent="0.25">
      <c r="A1803" t="s">
        <v>458</v>
      </c>
      <c r="B1803">
        <v>2017</v>
      </c>
      <c r="C1803" t="s">
        <v>172</v>
      </c>
      <c r="D1803" t="s">
        <v>34</v>
      </c>
      <c r="E1803" t="s">
        <v>412</v>
      </c>
      <c r="F1803" t="s">
        <v>204</v>
      </c>
      <c r="G1803" s="5">
        <v>12511661</v>
      </c>
      <c r="H1803" s="5">
        <v>12781552</v>
      </c>
    </row>
    <row r="1804" spans="1:8" x14ac:dyDescent="0.25">
      <c r="A1804" t="s">
        <v>458</v>
      </c>
      <c r="B1804">
        <v>2017</v>
      </c>
      <c r="C1804" t="s">
        <v>172</v>
      </c>
      <c r="D1804" t="s">
        <v>34</v>
      </c>
      <c r="E1804" t="s">
        <v>413</v>
      </c>
      <c r="F1804" t="s">
        <v>207</v>
      </c>
      <c r="G1804" s="5">
        <v>1867024</v>
      </c>
      <c r="H1804" s="5">
        <v>1867024</v>
      </c>
    </row>
    <row r="1805" spans="1:8" x14ac:dyDescent="0.25">
      <c r="A1805" t="s">
        <v>458</v>
      </c>
      <c r="B1805">
        <v>2017</v>
      </c>
      <c r="C1805" t="s">
        <v>172</v>
      </c>
      <c r="D1805" t="s">
        <v>34</v>
      </c>
      <c r="E1805" t="s">
        <v>414</v>
      </c>
      <c r="F1805" t="s">
        <v>209</v>
      </c>
      <c r="G1805" s="5">
        <v>509629</v>
      </c>
      <c r="H1805" s="5">
        <v>509629</v>
      </c>
    </row>
    <row r="1806" spans="1:8" x14ac:dyDescent="0.25">
      <c r="A1806" t="s">
        <v>458</v>
      </c>
      <c r="B1806">
        <v>2017</v>
      </c>
      <c r="C1806" t="s">
        <v>172</v>
      </c>
      <c r="D1806" t="s">
        <v>37</v>
      </c>
      <c r="E1806" t="s">
        <v>415</v>
      </c>
      <c r="F1806" t="s">
        <v>177</v>
      </c>
      <c r="G1806" s="5">
        <v>767961392</v>
      </c>
      <c r="H1806" s="5">
        <v>4174136519</v>
      </c>
    </row>
    <row r="1807" spans="1:8" x14ac:dyDescent="0.25">
      <c r="A1807" t="s">
        <v>458</v>
      </c>
      <c r="B1807">
        <v>2017</v>
      </c>
      <c r="C1807" t="s">
        <v>172</v>
      </c>
      <c r="D1807" t="s">
        <v>37</v>
      </c>
      <c r="E1807" t="s">
        <v>416</v>
      </c>
      <c r="F1807" t="s">
        <v>182</v>
      </c>
      <c r="G1807" s="5">
        <v>413933257</v>
      </c>
      <c r="H1807" s="5">
        <v>426383949</v>
      </c>
    </row>
    <row r="1808" spans="1:8" x14ac:dyDescent="0.25">
      <c r="A1808" t="s">
        <v>458</v>
      </c>
      <c r="B1808">
        <v>2017</v>
      </c>
      <c r="C1808" t="s">
        <v>172</v>
      </c>
      <c r="D1808" t="s">
        <v>37</v>
      </c>
      <c r="E1808" t="s">
        <v>418</v>
      </c>
      <c r="F1808" t="s">
        <v>188</v>
      </c>
      <c r="G1808" s="5">
        <v>56180244</v>
      </c>
      <c r="H1808" s="5">
        <v>60832158</v>
      </c>
    </row>
    <row r="1809" spans="1:8" x14ac:dyDescent="0.25">
      <c r="A1809" t="s">
        <v>458</v>
      </c>
      <c r="B1809">
        <v>2017</v>
      </c>
      <c r="C1809" t="s">
        <v>172</v>
      </c>
      <c r="D1809" t="s">
        <v>37</v>
      </c>
      <c r="E1809" t="s">
        <v>417</v>
      </c>
      <c r="F1809" t="s">
        <v>185</v>
      </c>
      <c r="G1809" s="5">
        <v>32954661</v>
      </c>
      <c r="H1809" s="5">
        <v>487847835</v>
      </c>
    </row>
    <row r="1810" spans="1:8" x14ac:dyDescent="0.25">
      <c r="A1810" t="s">
        <v>458</v>
      </c>
      <c r="B1810">
        <v>2017</v>
      </c>
      <c r="C1810" t="s">
        <v>172</v>
      </c>
      <c r="D1810" t="s">
        <v>37</v>
      </c>
      <c r="E1810" t="s">
        <v>420</v>
      </c>
      <c r="F1810" t="s">
        <v>200</v>
      </c>
      <c r="G1810" s="5">
        <v>29566132</v>
      </c>
      <c r="H1810" s="5">
        <v>29579832</v>
      </c>
    </row>
    <row r="1811" spans="1:8" x14ac:dyDescent="0.25">
      <c r="A1811" t="s">
        <v>458</v>
      </c>
      <c r="B1811">
        <v>2017</v>
      </c>
      <c r="C1811" t="s">
        <v>172</v>
      </c>
      <c r="D1811" t="s">
        <v>37</v>
      </c>
      <c r="E1811" t="s">
        <v>425</v>
      </c>
      <c r="F1811" t="s">
        <v>210</v>
      </c>
      <c r="G1811" s="5">
        <v>15321273</v>
      </c>
      <c r="H1811" s="5">
        <v>15321273</v>
      </c>
    </row>
    <row r="1812" spans="1:8" x14ac:dyDescent="0.25">
      <c r="A1812" t="s">
        <v>458</v>
      </c>
      <c r="B1812">
        <v>2017</v>
      </c>
      <c r="C1812" t="s">
        <v>172</v>
      </c>
      <c r="D1812" t="s">
        <v>37</v>
      </c>
      <c r="E1812" t="s">
        <v>423</v>
      </c>
      <c r="F1812" t="s">
        <v>206</v>
      </c>
      <c r="G1812" s="5">
        <v>14357853</v>
      </c>
      <c r="H1812" s="5">
        <v>14357853</v>
      </c>
    </row>
    <row r="1813" spans="1:8" x14ac:dyDescent="0.25">
      <c r="A1813" t="s">
        <v>458</v>
      </c>
      <c r="B1813">
        <v>2017</v>
      </c>
      <c r="C1813" t="s">
        <v>172</v>
      </c>
      <c r="D1813" t="s">
        <v>37</v>
      </c>
      <c r="E1813" t="s">
        <v>419</v>
      </c>
      <c r="F1813" t="s">
        <v>196</v>
      </c>
      <c r="G1813" s="5">
        <v>14050325</v>
      </c>
      <c r="H1813" s="5">
        <v>16602940</v>
      </c>
    </row>
    <row r="1814" spans="1:8" x14ac:dyDescent="0.25">
      <c r="A1814" t="s">
        <v>458</v>
      </c>
      <c r="B1814">
        <v>2017</v>
      </c>
      <c r="C1814" t="s">
        <v>172</v>
      </c>
      <c r="D1814" t="s">
        <v>37</v>
      </c>
      <c r="E1814" t="s">
        <v>424</v>
      </c>
      <c r="F1814" t="s">
        <v>208</v>
      </c>
      <c r="G1814" s="5">
        <v>4300036</v>
      </c>
      <c r="H1814" s="5">
        <v>4300053</v>
      </c>
    </row>
    <row r="1815" spans="1:8" x14ac:dyDescent="0.25">
      <c r="A1815" t="s">
        <v>458</v>
      </c>
      <c r="B1815">
        <v>2017</v>
      </c>
      <c r="C1815" t="s">
        <v>172</v>
      </c>
      <c r="D1815" t="s">
        <v>37</v>
      </c>
      <c r="E1815" t="s">
        <v>426</v>
      </c>
      <c r="F1815" t="s">
        <v>211</v>
      </c>
      <c r="G1815" s="5">
        <v>3344290</v>
      </c>
      <c r="H1815" s="5">
        <v>3351757</v>
      </c>
    </row>
    <row r="1816" spans="1:8" x14ac:dyDescent="0.25">
      <c r="A1816" t="s">
        <v>458</v>
      </c>
      <c r="B1816">
        <v>2017</v>
      </c>
      <c r="C1816" t="s">
        <v>172</v>
      </c>
      <c r="D1816" t="s">
        <v>37</v>
      </c>
      <c r="E1816" t="s">
        <v>427</v>
      </c>
      <c r="F1816" t="s">
        <v>212</v>
      </c>
      <c r="G1816" s="5">
        <v>2466558</v>
      </c>
      <c r="H1816" s="5">
        <v>2466558</v>
      </c>
    </row>
    <row r="1817" spans="1:8" x14ac:dyDescent="0.25">
      <c r="A1817" t="s">
        <v>458</v>
      </c>
      <c r="B1817">
        <v>2017</v>
      </c>
      <c r="C1817" t="s">
        <v>172</v>
      </c>
      <c r="D1817" t="s">
        <v>37</v>
      </c>
      <c r="E1817" t="s">
        <v>421</v>
      </c>
      <c r="F1817" t="s">
        <v>202</v>
      </c>
      <c r="G1817" s="5">
        <v>2056742</v>
      </c>
      <c r="H1817" s="5">
        <v>2056742</v>
      </c>
    </row>
    <row r="1818" spans="1:8" x14ac:dyDescent="0.25">
      <c r="A1818" t="s">
        <v>458</v>
      </c>
      <c r="B1818">
        <v>2017</v>
      </c>
      <c r="C1818" t="s">
        <v>172</v>
      </c>
      <c r="D1818" t="s">
        <v>37</v>
      </c>
      <c r="E1818" t="s">
        <v>422</v>
      </c>
      <c r="F1818" t="s">
        <v>205</v>
      </c>
      <c r="G1818" s="5">
        <v>864638</v>
      </c>
      <c r="H1818" s="5">
        <v>1029710</v>
      </c>
    </row>
    <row r="1819" spans="1:8" x14ac:dyDescent="0.25">
      <c r="A1819" t="s">
        <v>458</v>
      </c>
      <c r="B1819">
        <v>2017</v>
      </c>
      <c r="C1819" t="s">
        <v>172</v>
      </c>
      <c r="D1819" t="s">
        <v>37</v>
      </c>
      <c r="F1819" t="s">
        <v>215</v>
      </c>
      <c r="G1819" s="5">
        <v>388619</v>
      </c>
      <c r="H1819" s="5">
        <v>388619</v>
      </c>
    </row>
    <row r="1820" spans="1:8" x14ac:dyDescent="0.25">
      <c r="A1820" t="s">
        <v>458</v>
      </c>
      <c r="B1820">
        <v>2017</v>
      </c>
      <c r="C1820" t="s">
        <v>172</v>
      </c>
      <c r="D1820" t="s">
        <v>37</v>
      </c>
      <c r="E1820" t="s">
        <v>428</v>
      </c>
      <c r="F1820" t="s">
        <v>213</v>
      </c>
      <c r="G1820" s="5">
        <v>373911</v>
      </c>
      <c r="H1820" s="5">
        <v>373911</v>
      </c>
    </row>
    <row r="1821" spans="1:8" x14ac:dyDescent="0.25">
      <c r="A1821" t="s">
        <v>458</v>
      </c>
      <c r="B1821">
        <v>2017</v>
      </c>
      <c r="C1821" t="s">
        <v>172</v>
      </c>
      <c r="D1821" t="s">
        <v>37</v>
      </c>
      <c r="E1821" t="s">
        <v>430</v>
      </c>
      <c r="F1821" t="s">
        <v>216</v>
      </c>
      <c r="G1821" s="5">
        <v>144485</v>
      </c>
      <c r="H1821" s="5">
        <v>144485</v>
      </c>
    </row>
    <row r="1822" spans="1:8" x14ac:dyDescent="0.25">
      <c r="A1822" t="s">
        <v>458</v>
      </c>
      <c r="B1822">
        <v>2017</v>
      </c>
      <c r="C1822" t="s">
        <v>172</v>
      </c>
      <c r="D1822" t="s">
        <v>37</v>
      </c>
      <c r="E1822" t="s">
        <v>429</v>
      </c>
      <c r="F1822" t="s">
        <v>214</v>
      </c>
      <c r="G1822" s="5">
        <v>25009</v>
      </c>
      <c r="H1822" s="5">
        <v>25009</v>
      </c>
    </row>
    <row r="1823" spans="1:8" x14ac:dyDescent="0.25">
      <c r="A1823" t="s">
        <v>458</v>
      </c>
      <c r="B1823">
        <v>2017</v>
      </c>
      <c r="C1823" t="s">
        <v>40</v>
      </c>
      <c r="D1823" t="s">
        <v>40</v>
      </c>
      <c r="E1823" t="s">
        <v>432</v>
      </c>
      <c r="F1823" t="s">
        <v>218</v>
      </c>
      <c r="G1823" s="5">
        <v>22255786</v>
      </c>
      <c r="H1823" s="5">
        <v>82996584</v>
      </c>
    </row>
    <row r="1824" spans="1:8" x14ac:dyDescent="0.25">
      <c r="A1824" t="s">
        <v>458</v>
      </c>
      <c r="B1824">
        <v>2017</v>
      </c>
      <c r="C1824" t="s">
        <v>40</v>
      </c>
      <c r="D1824" t="s">
        <v>40</v>
      </c>
      <c r="E1824" t="s">
        <v>433</v>
      </c>
      <c r="F1824" t="s">
        <v>219</v>
      </c>
      <c r="G1824" s="5">
        <v>8626296</v>
      </c>
      <c r="H1824" s="5">
        <v>8962018</v>
      </c>
    </row>
    <row r="1825" spans="1:8" x14ac:dyDescent="0.25">
      <c r="A1825" t="s">
        <v>458</v>
      </c>
      <c r="B1825">
        <v>2017</v>
      </c>
      <c r="C1825" t="s">
        <v>40</v>
      </c>
      <c r="D1825" t="s">
        <v>40</v>
      </c>
      <c r="E1825" t="s">
        <v>438</v>
      </c>
      <c r="F1825" t="s">
        <v>224</v>
      </c>
      <c r="G1825" s="5">
        <v>666841</v>
      </c>
      <c r="H1825" s="5">
        <v>914517</v>
      </c>
    </row>
    <row r="1826" spans="1:8" x14ac:dyDescent="0.25">
      <c r="A1826" t="s">
        <v>458</v>
      </c>
      <c r="B1826">
        <v>2017</v>
      </c>
      <c r="C1826" t="s">
        <v>40</v>
      </c>
      <c r="D1826" t="s">
        <v>40</v>
      </c>
      <c r="F1826" t="s">
        <v>225</v>
      </c>
      <c r="G1826" s="5">
        <v>179954</v>
      </c>
      <c r="H1826" s="5">
        <v>243706</v>
      </c>
    </row>
    <row r="1827" spans="1:8" x14ac:dyDescent="0.25">
      <c r="A1827" t="s">
        <v>458</v>
      </c>
      <c r="B1827">
        <v>2018</v>
      </c>
      <c r="C1827" t="s">
        <v>39</v>
      </c>
      <c r="D1827" t="s">
        <v>39</v>
      </c>
      <c r="E1827" t="s">
        <v>268</v>
      </c>
      <c r="F1827" t="s">
        <v>47</v>
      </c>
      <c r="G1827" s="5">
        <v>113831375</v>
      </c>
      <c r="H1827" s="5">
        <v>319243399</v>
      </c>
    </row>
    <row r="1828" spans="1:8" x14ac:dyDescent="0.25">
      <c r="A1828" t="s">
        <v>458</v>
      </c>
      <c r="B1828">
        <v>2018</v>
      </c>
      <c r="C1828" t="s">
        <v>39</v>
      </c>
      <c r="D1828" t="s">
        <v>39</v>
      </c>
      <c r="E1828" t="s">
        <v>273</v>
      </c>
      <c r="F1828" t="s">
        <v>52</v>
      </c>
      <c r="G1828" s="5">
        <v>65044338</v>
      </c>
      <c r="H1828" s="5">
        <v>65049514</v>
      </c>
    </row>
    <row r="1829" spans="1:8" x14ac:dyDescent="0.25">
      <c r="A1829" t="s">
        <v>458</v>
      </c>
      <c r="B1829">
        <v>2018</v>
      </c>
      <c r="C1829" t="s">
        <v>39</v>
      </c>
      <c r="D1829" t="s">
        <v>39</v>
      </c>
      <c r="E1829" t="s">
        <v>271</v>
      </c>
      <c r="F1829" t="s">
        <v>50</v>
      </c>
      <c r="G1829" s="5">
        <v>53342259</v>
      </c>
      <c r="H1829" s="5">
        <v>53343611</v>
      </c>
    </row>
    <row r="1830" spans="1:8" x14ac:dyDescent="0.25">
      <c r="A1830" t="s">
        <v>458</v>
      </c>
      <c r="B1830">
        <v>2018</v>
      </c>
      <c r="C1830" t="s">
        <v>39</v>
      </c>
      <c r="D1830" t="s">
        <v>39</v>
      </c>
      <c r="E1830" t="s">
        <v>281</v>
      </c>
      <c r="F1830" t="s">
        <v>60</v>
      </c>
      <c r="G1830" s="5">
        <v>40510999</v>
      </c>
      <c r="H1830" s="5">
        <v>40510999</v>
      </c>
    </row>
    <row r="1831" spans="1:8" x14ac:dyDescent="0.25">
      <c r="A1831" t="s">
        <v>458</v>
      </c>
      <c r="B1831">
        <v>2018</v>
      </c>
      <c r="C1831" t="s">
        <v>39</v>
      </c>
      <c r="D1831" t="s">
        <v>39</v>
      </c>
      <c r="E1831" t="s">
        <v>296</v>
      </c>
      <c r="F1831" t="s">
        <v>76</v>
      </c>
      <c r="G1831" s="5">
        <v>21071537</v>
      </c>
      <c r="H1831" s="5">
        <v>21071537</v>
      </c>
    </row>
    <row r="1832" spans="1:8" x14ac:dyDescent="0.25">
      <c r="A1832" t="s">
        <v>458</v>
      </c>
      <c r="B1832">
        <v>2018</v>
      </c>
      <c r="C1832" t="s">
        <v>39</v>
      </c>
      <c r="D1832" t="s">
        <v>39</v>
      </c>
      <c r="E1832" t="s">
        <v>269</v>
      </c>
      <c r="F1832" t="s">
        <v>48</v>
      </c>
      <c r="G1832" s="5">
        <v>11164887</v>
      </c>
      <c r="H1832" s="5">
        <v>86463009</v>
      </c>
    </row>
    <row r="1833" spans="1:8" x14ac:dyDescent="0.25">
      <c r="A1833" t="s">
        <v>458</v>
      </c>
      <c r="B1833">
        <v>2018</v>
      </c>
      <c r="C1833" t="s">
        <v>39</v>
      </c>
      <c r="D1833" t="s">
        <v>39</v>
      </c>
      <c r="E1833" t="s">
        <v>279</v>
      </c>
      <c r="F1833" t="s">
        <v>58</v>
      </c>
      <c r="G1833" s="5">
        <v>8214473</v>
      </c>
      <c r="H1833" s="5">
        <v>8214473</v>
      </c>
    </row>
    <row r="1834" spans="1:8" x14ac:dyDescent="0.25">
      <c r="A1834" t="s">
        <v>458</v>
      </c>
      <c r="B1834">
        <v>2018</v>
      </c>
      <c r="C1834" t="s">
        <v>39</v>
      </c>
      <c r="D1834" t="s">
        <v>39</v>
      </c>
      <c r="F1834" t="s">
        <v>64</v>
      </c>
      <c r="G1834" s="5">
        <v>4051356</v>
      </c>
      <c r="H1834" s="5">
        <v>4071738</v>
      </c>
    </row>
    <row r="1835" spans="1:8" x14ac:dyDescent="0.25">
      <c r="A1835" t="s">
        <v>458</v>
      </c>
      <c r="B1835">
        <v>2018</v>
      </c>
      <c r="C1835" t="s">
        <v>39</v>
      </c>
      <c r="D1835" t="s">
        <v>39</v>
      </c>
      <c r="E1835" t="s">
        <v>272</v>
      </c>
      <c r="F1835" t="s">
        <v>51</v>
      </c>
      <c r="G1835" s="5">
        <v>2543981</v>
      </c>
      <c r="H1835" s="5">
        <v>2543981</v>
      </c>
    </row>
    <row r="1836" spans="1:8" x14ac:dyDescent="0.25">
      <c r="A1836" t="s">
        <v>458</v>
      </c>
      <c r="B1836">
        <v>2018</v>
      </c>
      <c r="C1836" t="s">
        <v>39</v>
      </c>
      <c r="D1836" t="s">
        <v>39</v>
      </c>
      <c r="E1836" t="s">
        <v>280</v>
      </c>
      <c r="F1836" t="s">
        <v>59</v>
      </c>
      <c r="G1836" s="5">
        <v>2460727</v>
      </c>
      <c r="H1836" s="5">
        <v>2460727</v>
      </c>
    </row>
    <row r="1837" spans="1:8" x14ac:dyDescent="0.25">
      <c r="A1837" t="s">
        <v>458</v>
      </c>
      <c r="B1837">
        <v>2018</v>
      </c>
      <c r="C1837" t="s">
        <v>39</v>
      </c>
      <c r="D1837" t="s">
        <v>39</v>
      </c>
      <c r="E1837" t="s">
        <v>275</v>
      </c>
      <c r="F1837" t="s">
        <v>54</v>
      </c>
      <c r="G1837" s="5">
        <v>1228030</v>
      </c>
      <c r="H1837" s="5">
        <v>1229545</v>
      </c>
    </row>
    <row r="1838" spans="1:8" x14ac:dyDescent="0.25">
      <c r="A1838" t="s">
        <v>458</v>
      </c>
      <c r="B1838">
        <v>2018</v>
      </c>
      <c r="C1838" t="s">
        <v>39</v>
      </c>
      <c r="D1838" t="s">
        <v>39</v>
      </c>
      <c r="E1838" t="s">
        <v>277</v>
      </c>
      <c r="F1838" t="s">
        <v>56</v>
      </c>
      <c r="G1838" s="5">
        <v>710788</v>
      </c>
      <c r="H1838" s="5">
        <v>718185</v>
      </c>
    </row>
    <row r="1839" spans="1:8" x14ac:dyDescent="0.25">
      <c r="A1839" t="s">
        <v>458</v>
      </c>
      <c r="B1839">
        <v>2018</v>
      </c>
      <c r="C1839" t="s">
        <v>39</v>
      </c>
      <c r="D1839" t="s">
        <v>39</v>
      </c>
      <c r="E1839" t="s">
        <v>286</v>
      </c>
      <c r="F1839" t="s">
        <v>66</v>
      </c>
      <c r="G1839" s="5">
        <v>610692</v>
      </c>
      <c r="H1839" s="5">
        <v>610692</v>
      </c>
    </row>
    <row r="1840" spans="1:8" x14ac:dyDescent="0.25">
      <c r="A1840" t="s">
        <v>458</v>
      </c>
      <c r="B1840">
        <v>2018</v>
      </c>
      <c r="C1840" t="s">
        <v>39</v>
      </c>
      <c r="D1840" t="s">
        <v>39</v>
      </c>
      <c r="E1840" t="s">
        <v>287</v>
      </c>
      <c r="F1840" t="s">
        <v>67</v>
      </c>
      <c r="G1840" s="5">
        <v>556300</v>
      </c>
      <c r="H1840" s="5">
        <v>701715</v>
      </c>
    </row>
    <row r="1841" spans="1:8" x14ac:dyDescent="0.25">
      <c r="A1841" t="s">
        <v>458</v>
      </c>
      <c r="B1841">
        <v>2018</v>
      </c>
      <c r="C1841" t="s">
        <v>39</v>
      </c>
      <c r="D1841" t="s">
        <v>39</v>
      </c>
      <c r="E1841" t="s">
        <v>294</v>
      </c>
      <c r="F1841" t="s">
        <v>74</v>
      </c>
      <c r="G1841" s="5">
        <v>480286</v>
      </c>
      <c r="H1841" s="5">
        <v>480286</v>
      </c>
    </row>
    <row r="1842" spans="1:8" x14ac:dyDescent="0.25">
      <c r="A1842" t="s">
        <v>458</v>
      </c>
      <c r="B1842">
        <v>2018</v>
      </c>
      <c r="C1842" t="s">
        <v>39</v>
      </c>
      <c r="D1842" t="s">
        <v>39</v>
      </c>
      <c r="E1842" t="s">
        <v>307</v>
      </c>
      <c r="F1842" t="s">
        <v>87</v>
      </c>
      <c r="G1842" s="5">
        <v>442979</v>
      </c>
      <c r="H1842" s="5">
        <v>442979</v>
      </c>
    </row>
    <row r="1843" spans="1:8" x14ac:dyDescent="0.25">
      <c r="A1843" t="s">
        <v>458</v>
      </c>
      <c r="B1843">
        <v>2018</v>
      </c>
      <c r="C1843" t="s">
        <v>39</v>
      </c>
      <c r="D1843" t="s">
        <v>39</v>
      </c>
      <c r="E1843" t="s">
        <v>291</v>
      </c>
      <c r="F1843" t="s">
        <v>71</v>
      </c>
      <c r="G1843" s="5">
        <v>418248</v>
      </c>
      <c r="H1843" s="5">
        <v>418248</v>
      </c>
    </row>
    <row r="1844" spans="1:8" x14ac:dyDescent="0.25">
      <c r="A1844" t="s">
        <v>458</v>
      </c>
      <c r="B1844">
        <v>2018</v>
      </c>
      <c r="C1844" t="s">
        <v>39</v>
      </c>
      <c r="D1844" t="s">
        <v>39</v>
      </c>
      <c r="E1844" t="s">
        <v>284</v>
      </c>
      <c r="F1844" t="s">
        <v>63</v>
      </c>
      <c r="G1844" s="5">
        <v>277894</v>
      </c>
      <c r="H1844" s="5">
        <v>277894</v>
      </c>
    </row>
    <row r="1845" spans="1:8" x14ac:dyDescent="0.25">
      <c r="A1845" t="s">
        <v>458</v>
      </c>
      <c r="B1845">
        <v>2018</v>
      </c>
      <c r="C1845" t="s">
        <v>39</v>
      </c>
      <c r="D1845" t="s">
        <v>39</v>
      </c>
      <c r="E1845" t="s">
        <v>270</v>
      </c>
      <c r="F1845" t="s">
        <v>49</v>
      </c>
      <c r="G1845" s="5">
        <v>259597</v>
      </c>
      <c r="H1845" s="5">
        <v>259597</v>
      </c>
    </row>
    <row r="1846" spans="1:8" x14ac:dyDescent="0.25">
      <c r="A1846" t="s">
        <v>458</v>
      </c>
      <c r="B1846">
        <v>2018</v>
      </c>
      <c r="C1846" t="s">
        <v>39</v>
      </c>
      <c r="D1846" t="s">
        <v>39</v>
      </c>
      <c r="E1846" t="s">
        <v>311</v>
      </c>
      <c r="F1846" t="s">
        <v>91</v>
      </c>
      <c r="G1846" s="5">
        <v>187000</v>
      </c>
      <c r="H1846" s="5">
        <v>187000</v>
      </c>
    </row>
    <row r="1847" spans="1:8" x14ac:dyDescent="0.25">
      <c r="A1847" t="s">
        <v>458</v>
      </c>
      <c r="B1847">
        <v>2018</v>
      </c>
      <c r="C1847" t="s">
        <v>39</v>
      </c>
      <c r="D1847" t="s">
        <v>39</v>
      </c>
      <c r="E1847" t="s">
        <v>276</v>
      </c>
      <c r="F1847" t="s">
        <v>55</v>
      </c>
      <c r="G1847" s="5">
        <v>175230</v>
      </c>
      <c r="H1847" s="5">
        <v>175230</v>
      </c>
    </row>
    <row r="1848" spans="1:8" x14ac:dyDescent="0.25">
      <c r="A1848" t="s">
        <v>458</v>
      </c>
      <c r="B1848">
        <v>2018</v>
      </c>
      <c r="C1848" t="s">
        <v>39</v>
      </c>
      <c r="D1848" t="s">
        <v>39</v>
      </c>
      <c r="E1848" t="s">
        <v>459</v>
      </c>
      <c r="F1848" t="s">
        <v>247</v>
      </c>
      <c r="G1848" s="5">
        <v>166068</v>
      </c>
      <c r="H1848" s="5">
        <v>166068</v>
      </c>
    </row>
    <row r="1849" spans="1:8" x14ac:dyDescent="0.25">
      <c r="A1849" t="s">
        <v>458</v>
      </c>
      <c r="B1849">
        <v>2018</v>
      </c>
      <c r="C1849" t="s">
        <v>39</v>
      </c>
      <c r="D1849" t="s">
        <v>39</v>
      </c>
      <c r="E1849" t="s">
        <v>303</v>
      </c>
      <c r="F1849" t="s">
        <v>83</v>
      </c>
      <c r="G1849" s="5">
        <v>153881</v>
      </c>
      <c r="H1849" s="5">
        <v>153881</v>
      </c>
    </row>
    <row r="1850" spans="1:8" x14ac:dyDescent="0.25">
      <c r="A1850" t="s">
        <v>458</v>
      </c>
      <c r="B1850">
        <v>2018</v>
      </c>
      <c r="C1850" t="s">
        <v>39</v>
      </c>
      <c r="D1850" t="s">
        <v>39</v>
      </c>
      <c r="E1850" t="s">
        <v>278</v>
      </c>
      <c r="F1850" t="s">
        <v>57</v>
      </c>
      <c r="G1850" s="5">
        <v>62795</v>
      </c>
      <c r="H1850" s="5">
        <v>62892</v>
      </c>
    </row>
    <row r="1851" spans="1:8" x14ac:dyDescent="0.25">
      <c r="A1851" t="s">
        <v>458</v>
      </c>
      <c r="B1851">
        <v>2018</v>
      </c>
      <c r="C1851" t="s">
        <v>39</v>
      </c>
      <c r="D1851" t="s">
        <v>39</v>
      </c>
      <c r="E1851" t="s">
        <v>283</v>
      </c>
      <c r="F1851" t="s">
        <v>62</v>
      </c>
      <c r="G1851" s="5">
        <v>38927</v>
      </c>
      <c r="H1851" s="5">
        <v>38927</v>
      </c>
    </row>
    <row r="1852" spans="1:8" x14ac:dyDescent="0.25">
      <c r="A1852" t="s">
        <v>458</v>
      </c>
      <c r="B1852">
        <v>2018</v>
      </c>
      <c r="C1852" t="s">
        <v>92</v>
      </c>
      <c r="D1852" t="s">
        <v>36</v>
      </c>
      <c r="E1852" t="s">
        <v>36</v>
      </c>
      <c r="F1852" t="s">
        <v>93</v>
      </c>
      <c r="G1852" s="5">
        <v>2772595390</v>
      </c>
      <c r="H1852" s="5">
        <v>3221226909</v>
      </c>
    </row>
    <row r="1853" spans="1:8" x14ac:dyDescent="0.25">
      <c r="A1853" t="s">
        <v>458</v>
      </c>
      <c r="B1853">
        <v>2018</v>
      </c>
      <c r="C1853" t="s">
        <v>92</v>
      </c>
      <c r="D1853" t="s">
        <v>38</v>
      </c>
      <c r="E1853" t="s">
        <v>313</v>
      </c>
      <c r="F1853" t="s">
        <v>95</v>
      </c>
      <c r="G1853" s="5">
        <v>981383376</v>
      </c>
      <c r="H1853" s="5">
        <v>995583117</v>
      </c>
    </row>
    <row r="1854" spans="1:8" x14ac:dyDescent="0.25">
      <c r="A1854" t="s">
        <v>458</v>
      </c>
      <c r="B1854">
        <v>2018</v>
      </c>
      <c r="C1854" t="s">
        <v>92</v>
      </c>
      <c r="D1854" t="s">
        <v>38</v>
      </c>
      <c r="E1854" t="s">
        <v>314</v>
      </c>
      <c r="F1854" t="s">
        <v>96</v>
      </c>
      <c r="G1854" s="5">
        <v>216377304</v>
      </c>
      <c r="H1854" s="5">
        <v>216739729</v>
      </c>
    </row>
    <row r="1855" spans="1:8" x14ac:dyDescent="0.25">
      <c r="A1855" t="s">
        <v>458</v>
      </c>
      <c r="B1855">
        <v>2018</v>
      </c>
      <c r="C1855" t="s">
        <v>92</v>
      </c>
      <c r="D1855" t="s">
        <v>38</v>
      </c>
      <c r="E1855" t="s">
        <v>312</v>
      </c>
      <c r="F1855" t="s">
        <v>94</v>
      </c>
      <c r="G1855" s="5">
        <v>81979700</v>
      </c>
      <c r="H1855" s="5">
        <v>84659115</v>
      </c>
    </row>
    <row r="1856" spans="1:8" x14ac:dyDescent="0.25">
      <c r="A1856" t="s">
        <v>458</v>
      </c>
      <c r="B1856">
        <v>2018</v>
      </c>
      <c r="C1856" t="s">
        <v>92</v>
      </c>
      <c r="D1856" t="s">
        <v>38</v>
      </c>
      <c r="E1856" t="s">
        <v>321</v>
      </c>
      <c r="F1856" t="s">
        <v>103</v>
      </c>
      <c r="G1856" s="5">
        <v>24956053</v>
      </c>
      <c r="H1856" s="5">
        <v>24956053</v>
      </c>
    </row>
    <row r="1857" spans="1:8" x14ac:dyDescent="0.25">
      <c r="A1857" t="s">
        <v>458</v>
      </c>
      <c r="B1857">
        <v>2018</v>
      </c>
      <c r="C1857" t="s">
        <v>92</v>
      </c>
      <c r="D1857" t="s">
        <v>38</v>
      </c>
      <c r="E1857" t="s">
        <v>325</v>
      </c>
      <c r="F1857" t="s">
        <v>108</v>
      </c>
      <c r="G1857" s="5">
        <v>21076464</v>
      </c>
      <c r="H1857" s="5">
        <v>21108188</v>
      </c>
    </row>
    <row r="1858" spans="1:8" x14ac:dyDescent="0.25">
      <c r="A1858" t="s">
        <v>458</v>
      </c>
      <c r="B1858">
        <v>2018</v>
      </c>
      <c r="C1858" t="s">
        <v>92</v>
      </c>
      <c r="D1858" t="s">
        <v>38</v>
      </c>
      <c r="E1858" t="s">
        <v>319</v>
      </c>
      <c r="F1858" t="s">
        <v>101</v>
      </c>
      <c r="G1858" s="5">
        <v>17017829</v>
      </c>
      <c r="H1858" s="5">
        <v>17017829</v>
      </c>
    </row>
    <row r="1859" spans="1:8" x14ac:dyDescent="0.25">
      <c r="A1859" t="s">
        <v>458</v>
      </c>
      <c r="B1859">
        <v>2018</v>
      </c>
      <c r="C1859" t="s">
        <v>92</v>
      </c>
      <c r="D1859" t="s">
        <v>38</v>
      </c>
      <c r="E1859" t="s">
        <v>318</v>
      </c>
      <c r="F1859" t="s">
        <v>100</v>
      </c>
      <c r="G1859" s="5">
        <v>13890284</v>
      </c>
      <c r="H1859" s="5">
        <v>14647008</v>
      </c>
    </row>
    <row r="1860" spans="1:8" x14ac:dyDescent="0.25">
      <c r="A1860" t="s">
        <v>458</v>
      </c>
      <c r="B1860">
        <v>2018</v>
      </c>
      <c r="C1860" t="s">
        <v>92</v>
      </c>
      <c r="D1860" t="s">
        <v>38</v>
      </c>
      <c r="E1860" t="s">
        <v>315</v>
      </c>
      <c r="F1860" t="s">
        <v>97</v>
      </c>
      <c r="G1860" s="5">
        <v>13860466</v>
      </c>
      <c r="H1860" s="5">
        <v>13860466</v>
      </c>
    </row>
    <row r="1861" spans="1:8" x14ac:dyDescent="0.25">
      <c r="A1861" t="s">
        <v>458</v>
      </c>
      <c r="B1861">
        <v>2018</v>
      </c>
      <c r="C1861" t="s">
        <v>92</v>
      </c>
      <c r="D1861" t="s">
        <v>38</v>
      </c>
      <c r="E1861" t="s">
        <v>316</v>
      </c>
      <c r="F1861" t="s">
        <v>98</v>
      </c>
      <c r="G1861" s="5">
        <v>6888920</v>
      </c>
      <c r="H1861" s="5">
        <v>6888920</v>
      </c>
    </row>
    <row r="1862" spans="1:8" x14ac:dyDescent="0.25">
      <c r="A1862" t="s">
        <v>458</v>
      </c>
      <c r="B1862">
        <v>2018</v>
      </c>
      <c r="C1862" t="s">
        <v>92</v>
      </c>
      <c r="D1862" t="s">
        <v>38</v>
      </c>
      <c r="E1862" t="s">
        <v>322</v>
      </c>
      <c r="F1862" t="s">
        <v>105</v>
      </c>
      <c r="G1862" s="5">
        <v>5316035</v>
      </c>
      <c r="H1862" s="5">
        <v>5316035</v>
      </c>
    </row>
    <row r="1863" spans="1:8" x14ac:dyDescent="0.25">
      <c r="A1863" t="s">
        <v>458</v>
      </c>
      <c r="B1863">
        <v>2018</v>
      </c>
      <c r="C1863" t="s">
        <v>92</v>
      </c>
      <c r="D1863" t="s">
        <v>38</v>
      </c>
      <c r="E1863" t="s">
        <v>332</v>
      </c>
      <c r="F1863" t="s">
        <v>115</v>
      </c>
      <c r="G1863" s="5">
        <v>4782556</v>
      </c>
      <c r="H1863" s="5">
        <v>4782556</v>
      </c>
    </row>
    <row r="1864" spans="1:8" x14ac:dyDescent="0.25">
      <c r="A1864" t="s">
        <v>458</v>
      </c>
      <c r="B1864">
        <v>2018</v>
      </c>
      <c r="C1864" t="s">
        <v>92</v>
      </c>
      <c r="D1864" t="s">
        <v>38</v>
      </c>
      <c r="E1864" t="s">
        <v>326</v>
      </c>
      <c r="F1864" t="s">
        <v>109</v>
      </c>
      <c r="G1864" s="5">
        <v>3466935</v>
      </c>
      <c r="H1864" s="5">
        <v>3649852</v>
      </c>
    </row>
    <row r="1865" spans="1:8" x14ac:dyDescent="0.25">
      <c r="A1865" t="s">
        <v>458</v>
      </c>
      <c r="B1865">
        <v>2018</v>
      </c>
      <c r="C1865" t="s">
        <v>92</v>
      </c>
      <c r="D1865" t="s">
        <v>38</v>
      </c>
      <c r="E1865" t="s">
        <v>444</v>
      </c>
      <c r="F1865" t="s">
        <v>231</v>
      </c>
      <c r="G1865" s="5">
        <v>2072591</v>
      </c>
      <c r="H1865" s="5">
        <v>2072591</v>
      </c>
    </row>
    <row r="1866" spans="1:8" x14ac:dyDescent="0.25">
      <c r="A1866" t="s">
        <v>458</v>
      </c>
      <c r="B1866">
        <v>2018</v>
      </c>
      <c r="C1866" t="s">
        <v>92</v>
      </c>
      <c r="D1866" t="s">
        <v>38</v>
      </c>
      <c r="E1866" t="s">
        <v>324</v>
      </c>
      <c r="F1866" t="s">
        <v>107</v>
      </c>
      <c r="G1866" s="5">
        <v>1936290</v>
      </c>
      <c r="H1866" s="5">
        <v>1946180</v>
      </c>
    </row>
    <row r="1867" spans="1:8" x14ac:dyDescent="0.25">
      <c r="A1867" t="s">
        <v>458</v>
      </c>
      <c r="B1867">
        <v>2018</v>
      </c>
      <c r="C1867" t="s">
        <v>92</v>
      </c>
      <c r="D1867" t="s">
        <v>38</v>
      </c>
      <c r="E1867" t="s">
        <v>328</v>
      </c>
      <c r="F1867" t="s">
        <v>111</v>
      </c>
      <c r="G1867" s="5">
        <v>1622136</v>
      </c>
      <c r="H1867" s="5">
        <v>1622136</v>
      </c>
    </row>
    <row r="1868" spans="1:8" x14ac:dyDescent="0.25">
      <c r="A1868" t="s">
        <v>458</v>
      </c>
      <c r="B1868">
        <v>2018</v>
      </c>
      <c r="C1868" t="s">
        <v>92</v>
      </c>
      <c r="D1868" t="s">
        <v>38</v>
      </c>
      <c r="E1868" t="s">
        <v>323</v>
      </c>
      <c r="F1868" t="s">
        <v>106</v>
      </c>
      <c r="G1868" s="5">
        <v>1617918</v>
      </c>
      <c r="H1868" s="5">
        <v>1617918</v>
      </c>
    </row>
    <row r="1869" spans="1:8" x14ac:dyDescent="0.25">
      <c r="A1869" t="s">
        <v>458</v>
      </c>
      <c r="B1869">
        <v>2018</v>
      </c>
      <c r="C1869" t="s">
        <v>92</v>
      </c>
      <c r="D1869" t="s">
        <v>38</v>
      </c>
      <c r="E1869" t="s">
        <v>329</v>
      </c>
      <c r="F1869" t="s">
        <v>112</v>
      </c>
      <c r="G1869" s="5">
        <v>1484372</v>
      </c>
      <c r="H1869" s="5">
        <v>1484372</v>
      </c>
    </row>
    <row r="1870" spans="1:8" x14ac:dyDescent="0.25">
      <c r="A1870" t="s">
        <v>458</v>
      </c>
      <c r="B1870">
        <v>2018</v>
      </c>
      <c r="C1870" t="s">
        <v>92</v>
      </c>
      <c r="D1870" t="s">
        <v>38</v>
      </c>
      <c r="E1870" t="s">
        <v>337</v>
      </c>
      <c r="F1870" t="s">
        <v>120</v>
      </c>
      <c r="G1870" s="5">
        <v>1464985</v>
      </c>
      <c r="H1870" s="5">
        <v>1464985</v>
      </c>
    </row>
    <row r="1871" spans="1:8" x14ac:dyDescent="0.25">
      <c r="A1871" t="s">
        <v>458</v>
      </c>
      <c r="B1871">
        <v>2018</v>
      </c>
      <c r="C1871" t="s">
        <v>92</v>
      </c>
      <c r="D1871" t="s">
        <v>38</v>
      </c>
      <c r="E1871" t="s">
        <v>331</v>
      </c>
      <c r="F1871" t="s">
        <v>114</v>
      </c>
      <c r="G1871" s="5">
        <v>983137</v>
      </c>
      <c r="H1871" s="5">
        <v>983408</v>
      </c>
    </row>
    <row r="1872" spans="1:8" x14ac:dyDescent="0.25">
      <c r="A1872" t="s">
        <v>458</v>
      </c>
      <c r="B1872">
        <v>2018</v>
      </c>
      <c r="C1872" t="s">
        <v>92</v>
      </c>
      <c r="D1872" t="s">
        <v>38</v>
      </c>
      <c r="E1872" t="s">
        <v>327</v>
      </c>
      <c r="F1872" t="s">
        <v>110</v>
      </c>
      <c r="G1872" s="5">
        <v>776429</v>
      </c>
      <c r="H1872" s="5">
        <v>776429</v>
      </c>
    </row>
    <row r="1873" spans="1:8" x14ac:dyDescent="0.25">
      <c r="A1873" t="s">
        <v>458</v>
      </c>
      <c r="B1873">
        <v>2018</v>
      </c>
      <c r="C1873" t="s">
        <v>92</v>
      </c>
      <c r="D1873" t="s">
        <v>38</v>
      </c>
      <c r="F1873" t="s">
        <v>104</v>
      </c>
      <c r="G1873" s="5">
        <v>384783</v>
      </c>
      <c r="H1873" s="5">
        <v>982112</v>
      </c>
    </row>
    <row r="1874" spans="1:8" x14ac:dyDescent="0.25">
      <c r="A1874" t="s">
        <v>458</v>
      </c>
      <c r="B1874">
        <v>2018</v>
      </c>
      <c r="C1874" t="s">
        <v>92</v>
      </c>
      <c r="D1874" t="s">
        <v>38</v>
      </c>
      <c r="E1874" t="s">
        <v>330</v>
      </c>
      <c r="F1874" t="s">
        <v>113</v>
      </c>
      <c r="G1874" s="5">
        <v>288964</v>
      </c>
      <c r="H1874" s="5">
        <v>288964</v>
      </c>
    </row>
    <row r="1875" spans="1:8" x14ac:dyDescent="0.25">
      <c r="A1875" t="s">
        <v>458</v>
      </c>
      <c r="B1875">
        <v>2018</v>
      </c>
      <c r="C1875" t="s">
        <v>92</v>
      </c>
      <c r="D1875" t="s">
        <v>38</v>
      </c>
      <c r="E1875" t="s">
        <v>460</v>
      </c>
      <c r="F1875" t="s">
        <v>248</v>
      </c>
      <c r="G1875" s="5">
        <v>187114</v>
      </c>
      <c r="H1875" s="5">
        <v>187114</v>
      </c>
    </row>
    <row r="1876" spans="1:8" x14ac:dyDescent="0.25">
      <c r="A1876" t="s">
        <v>458</v>
      </c>
      <c r="B1876">
        <v>2018</v>
      </c>
      <c r="C1876" t="s">
        <v>92</v>
      </c>
      <c r="D1876" t="s">
        <v>38</v>
      </c>
      <c r="E1876" t="s">
        <v>441</v>
      </c>
      <c r="F1876" t="s">
        <v>228</v>
      </c>
      <c r="G1876" s="5">
        <v>94690</v>
      </c>
      <c r="H1876" s="5">
        <v>94690</v>
      </c>
    </row>
    <row r="1877" spans="1:8" x14ac:dyDescent="0.25">
      <c r="A1877" t="s">
        <v>458</v>
      </c>
      <c r="B1877">
        <v>2018</v>
      </c>
      <c r="C1877" t="s">
        <v>92</v>
      </c>
      <c r="D1877" t="s">
        <v>38</v>
      </c>
      <c r="E1877" t="s">
        <v>462</v>
      </c>
      <c r="F1877" t="s">
        <v>250</v>
      </c>
      <c r="G1877" s="5">
        <v>90356</v>
      </c>
      <c r="H1877" s="5">
        <v>90356</v>
      </c>
    </row>
    <row r="1878" spans="1:8" x14ac:dyDescent="0.25">
      <c r="A1878" t="s">
        <v>458</v>
      </c>
      <c r="B1878">
        <v>2018</v>
      </c>
      <c r="C1878" t="s">
        <v>92</v>
      </c>
      <c r="D1878" t="s">
        <v>38</v>
      </c>
      <c r="E1878" t="s">
        <v>339</v>
      </c>
      <c r="F1878" t="s">
        <v>122</v>
      </c>
      <c r="G1878" s="5">
        <v>83538</v>
      </c>
      <c r="H1878" s="5">
        <v>83538</v>
      </c>
    </row>
    <row r="1879" spans="1:8" x14ac:dyDescent="0.25">
      <c r="A1879" t="s">
        <v>458</v>
      </c>
      <c r="B1879">
        <v>2018</v>
      </c>
      <c r="C1879" t="s">
        <v>92</v>
      </c>
      <c r="D1879" t="s">
        <v>38</v>
      </c>
      <c r="E1879" t="s">
        <v>335</v>
      </c>
      <c r="F1879" t="s">
        <v>118</v>
      </c>
      <c r="G1879" s="5">
        <v>55842</v>
      </c>
      <c r="H1879" s="5">
        <v>55842</v>
      </c>
    </row>
    <row r="1880" spans="1:8" x14ac:dyDescent="0.25">
      <c r="A1880" t="s">
        <v>458</v>
      </c>
      <c r="B1880">
        <v>2018</v>
      </c>
      <c r="C1880" t="s">
        <v>92</v>
      </c>
      <c r="D1880" t="s">
        <v>38</v>
      </c>
      <c r="E1880" t="s">
        <v>340</v>
      </c>
      <c r="F1880" t="s">
        <v>123</v>
      </c>
      <c r="G1880" s="5">
        <v>42412</v>
      </c>
      <c r="H1880" s="5">
        <v>42412</v>
      </c>
    </row>
    <row r="1881" spans="1:8" x14ac:dyDescent="0.25">
      <c r="A1881" t="s">
        <v>458</v>
      </c>
      <c r="B1881">
        <v>2018</v>
      </c>
      <c r="C1881" t="s">
        <v>92</v>
      </c>
      <c r="D1881" t="s">
        <v>38</v>
      </c>
      <c r="E1881" t="s">
        <v>461</v>
      </c>
      <c r="F1881" t="s">
        <v>249</v>
      </c>
      <c r="G1881" s="5">
        <v>10205</v>
      </c>
      <c r="H1881" s="5">
        <v>10205</v>
      </c>
    </row>
    <row r="1882" spans="1:8" x14ac:dyDescent="0.25">
      <c r="A1882" t="s">
        <v>458</v>
      </c>
      <c r="B1882">
        <v>2018</v>
      </c>
      <c r="C1882" t="s">
        <v>35</v>
      </c>
      <c r="D1882" t="s">
        <v>35</v>
      </c>
      <c r="E1882" t="s">
        <v>343</v>
      </c>
      <c r="F1882" t="s">
        <v>126</v>
      </c>
      <c r="G1882" s="5">
        <v>4833042855</v>
      </c>
      <c r="H1882" s="5">
        <v>4849524983</v>
      </c>
    </row>
    <row r="1883" spans="1:8" x14ac:dyDescent="0.25">
      <c r="A1883" t="s">
        <v>458</v>
      </c>
      <c r="B1883">
        <v>2018</v>
      </c>
      <c r="C1883" t="s">
        <v>35</v>
      </c>
      <c r="D1883" t="s">
        <v>35</v>
      </c>
      <c r="E1883" t="s">
        <v>354</v>
      </c>
      <c r="F1883" t="s">
        <v>137</v>
      </c>
      <c r="G1883" s="5">
        <v>652557004</v>
      </c>
      <c r="H1883" s="5">
        <v>652557004</v>
      </c>
    </row>
    <row r="1884" spans="1:8" x14ac:dyDescent="0.25">
      <c r="A1884" t="s">
        <v>458</v>
      </c>
      <c r="B1884">
        <v>2018</v>
      </c>
      <c r="C1884" t="s">
        <v>35</v>
      </c>
      <c r="D1884" t="s">
        <v>35</v>
      </c>
      <c r="E1884" t="s">
        <v>348</v>
      </c>
      <c r="F1884" t="s">
        <v>131</v>
      </c>
      <c r="G1884" s="5">
        <v>586379984</v>
      </c>
      <c r="H1884" s="5">
        <v>598880299</v>
      </c>
    </row>
    <row r="1885" spans="1:8" x14ac:dyDescent="0.25">
      <c r="A1885" t="s">
        <v>458</v>
      </c>
      <c r="B1885">
        <v>2018</v>
      </c>
      <c r="C1885" t="s">
        <v>35</v>
      </c>
      <c r="D1885" t="s">
        <v>35</v>
      </c>
      <c r="E1885" t="s">
        <v>345</v>
      </c>
      <c r="F1885" t="s">
        <v>128</v>
      </c>
      <c r="G1885" s="5">
        <v>266458380</v>
      </c>
      <c r="H1885" s="5">
        <v>270903575</v>
      </c>
    </row>
    <row r="1886" spans="1:8" x14ac:dyDescent="0.25">
      <c r="A1886" t="s">
        <v>458</v>
      </c>
      <c r="B1886">
        <v>2018</v>
      </c>
      <c r="C1886" t="s">
        <v>35</v>
      </c>
      <c r="D1886" t="s">
        <v>35</v>
      </c>
      <c r="E1886" t="s">
        <v>344</v>
      </c>
      <c r="F1886" t="s">
        <v>127</v>
      </c>
      <c r="G1886" s="5">
        <v>262478264</v>
      </c>
      <c r="H1886" s="5">
        <v>262548375</v>
      </c>
    </row>
    <row r="1887" spans="1:8" x14ac:dyDescent="0.25">
      <c r="A1887" t="s">
        <v>458</v>
      </c>
      <c r="B1887">
        <v>2018</v>
      </c>
      <c r="C1887" t="s">
        <v>35</v>
      </c>
      <c r="D1887" t="s">
        <v>35</v>
      </c>
      <c r="E1887" t="s">
        <v>352</v>
      </c>
      <c r="F1887" t="s">
        <v>135</v>
      </c>
      <c r="G1887" s="5">
        <v>260321606</v>
      </c>
      <c r="H1887" s="5">
        <v>260379347</v>
      </c>
    </row>
    <row r="1888" spans="1:8" x14ac:dyDescent="0.25">
      <c r="A1888" t="s">
        <v>458</v>
      </c>
      <c r="B1888">
        <v>2018</v>
      </c>
      <c r="C1888" t="s">
        <v>35</v>
      </c>
      <c r="D1888" t="s">
        <v>35</v>
      </c>
      <c r="E1888" t="s">
        <v>356</v>
      </c>
      <c r="F1888" t="s">
        <v>139</v>
      </c>
      <c r="G1888" s="5">
        <v>249887087</v>
      </c>
      <c r="H1888" s="5">
        <v>250249788</v>
      </c>
    </row>
    <row r="1889" spans="1:8" x14ac:dyDescent="0.25">
      <c r="A1889" t="s">
        <v>458</v>
      </c>
      <c r="B1889">
        <v>2018</v>
      </c>
      <c r="C1889" t="s">
        <v>35</v>
      </c>
      <c r="D1889" t="s">
        <v>35</v>
      </c>
      <c r="E1889" t="s">
        <v>353</v>
      </c>
      <c r="F1889" t="s">
        <v>136</v>
      </c>
      <c r="G1889" s="5">
        <v>207300267</v>
      </c>
      <c r="H1889" s="5">
        <v>207300267</v>
      </c>
    </row>
    <row r="1890" spans="1:8" x14ac:dyDescent="0.25">
      <c r="A1890" t="s">
        <v>458</v>
      </c>
      <c r="B1890">
        <v>2018</v>
      </c>
      <c r="C1890" t="s">
        <v>35</v>
      </c>
      <c r="D1890" t="s">
        <v>35</v>
      </c>
      <c r="E1890" t="s">
        <v>360</v>
      </c>
      <c r="F1890" t="s">
        <v>143</v>
      </c>
      <c r="G1890" s="5">
        <v>136656684</v>
      </c>
      <c r="H1890" s="5">
        <v>136661398</v>
      </c>
    </row>
    <row r="1891" spans="1:8" x14ac:dyDescent="0.25">
      <c r="A1891" t="s">
        <v>458</v>
      </c>
      <c r="B1891">
        <v>2018</v>
      </c>
      <c r="C1891" t="s">
        <v>35</v>
      </c>
      <c r="D1891" t="s">
        <v>35</v>
      </c>
      <c r="E1891" t="s">
        <v>349</v>
      </c>
      <c r="F1891" t="s">
        <v>132</v>
      </c>
      <c r="G1891" s="5">
        <v>103378412</v>
      </c>
      <c r="H1891" s="5">
        <v>110705844</v>
      </c>
    </row>
    <row r="1892" spans="1:8" x14ac:dyDescent="0.25">
      <c r="A1892" t="s">
        <v>458</v>
      </c>
      <c r="B1892">
        <v>2018</v>
      </c>
      <c r="C1892" t="s">
        <v>35</v>
      </c>
      <c r="D1892" t="s">
        <v>35</v>
      </c>
      <c r="E1892" t="s">
        <v>355</v>
      </c>
      <c r="F1892" t="s">
        <v>138</v>
      </c>
      <c r="G1892" s="5">
        <v>92480142</v>
      </c>
      <c r="H1892" s="5">
        <v>92493583</v>
      </c>
    </row>
    <row r="1893" spans="1:8" x14ac:dyDescent="0.25">
      <c r="A1893" t="s">
        <v>458</v>
      </c>
      <c r="B1893">
        <v>2018</v>
      </c>
      <c r="C1893" t="s">
        <v>35</v>
      </c>
      <c r="D1893" t="s">
        <v>35</v>
      </c>
      <c r="E1893" t="s">
        <v>362</v>
      </c>
      <c r="F1893" t="s">
        <v>145</v>
      </c>
      <c r="G1893" s="5">
        <v>79457998</v>
      </c>
      <c r="H1893" s="5">
        <v>79481157</v>
      </c>
    </row>
    <row r="1894" spans="1:8" x14ac:dyDescent="0.25">
      <c r="A1894" t="s">
        <v>458</v>
      </c>
      <c r="B1894">
        <v>2018</v>
      </c>
      <c r="C1894" t="s">
        <v>35</v>
      </c>
      <c r="D1894" t="s">
        <v>35</v>
      </c>
      <c r="E1894" t="s">
        <v>346</v>
      </c>
      <c r="F1894" t="s">
        <v>129</v>
      </c>
      <c r="G1894" s="5">
        <v>60716595</v>
      </c>
      <c r="H1894" s="5">
        <v>71882054</v>
      </c>
    </row>
    <row r="1895" spans="1:8" x14ac:dyDescent="0.25">
      <c r="A1895" t="s">
        <v>458</v>
      </c>
      <c r="B1895">
        <v>2018</v>
      </c>
      <c r="C1895" t="s">
        <v>35</v>
      </c>
      <c r="D1895" t="s">
        <v>35</v>
      </c>
      <c r="E1895" t="s">
        <v>351</v>
      </c>
      <c r="F1895" t="s">
        <v>134</v>
      </c>
      <c r="G1895" s="5">
        <v>41103802</v>
      </c>
      <c r="H1895" s="5">
        <v>47834734</v>
      </c>
    </row>
    <row r="1896" spans="1:8" x14ac:dyDescent="0.25">
      <c r="A1896" t="s">
        <v>458</v>
      </c>
      <c r="B1896">
        <v>2018</v>
      </c>
      <c r="C1896" t="s">
        <v>35</v>
      </c>
      <c r="D1896" t="s">
        <v>35</v>
      </c>
      <c r="E1896" t="s">
        <v>383</v>
      </c>
      <c r="F1896" t="s">
        <v>167</v>
      </c>
      <c r="G1896" s="5">
        <v>40033963</v>
      </c>
      <c r="H1896" s="5">
        <v>40034404</v>
      </c>
    </row>
    <row r="1897" spans="1:8" x14ac:dyDescent="0.25">
      <c r="A1897" t="s">
        <v>458</v>
      </c>
      <c r="B1897">
        <v>2018</v>
      </c>
      <c r="C1897" t="s">
        <v>35</v>
      </c>
      <c r="D1897" t="s">
        <v>35</v>
      </c>
      <c r="E1897" t="s">
        <v>357</v>
      </c>
      <c r="F1897" t="s">
        <v>140</v>
      </c>
      <c r="G1897" s="5">
        <v>33862021</v>
      </c>
      <c r="H1897" s="5">
        <v>33911733</v>
      </c>
    </row>
    <row r="1898" spans="1:8" x14ac:dyDescent="0.25">
      <c r="A1898" t="s">
        <v>458</v>
      </c>
      <c r="B1898">
        <v>2018</v>
      </c>
      <c r="C1898" t="s">
        <v>35</v>
      </c>
      <c r="D1898" t="s">
        <v>35</v>
      </c>
      <c r="E1898" t="s">
        <v>366</v>
      </c>
      <c r="F1898" t="s">
        <v>149</v>
      </c>
      <c r="G1898" s="5">
        <v>24706957</v>
      </c>
      <c r="H1898" s="5">
        <v>24786009</v>
      </c>
    </row>
    <row r="1899" spans="1:8" x14ac:dyDescent="0.25">
      <c r="A1899" t="s">
        <v>458</v>
      </c>
      <c r="B1899">
        <v>2018</v>
      </c>
      <c r="C1899" t="s">
        <v>35</v>
      </c>
      <c r="D1899" t="s">
        <v>35</v>
      </c>
      <c r="E1899" t="s">
        <v>379</v>
      </c>
      <c r="F1899" t="s">
        <v>163</v>
      </c>
      <c r="G1899" s="5">
        <v>17732016</v>
      </c>
      <c r="H1899" s="5">
        <v>17769636</v>
      </c>
    </row>
    <row r="1900" spans="1:8" x14ac:dyDescent="0.25">
      <c r="A1900" t="s">
        <v>458</v>
      </c>
      <c r="B1900">
        <v>2018</v>
      </c>
      <c r="C1900" t="s">
        <v>35</v>
      </c>
      <c r="D1900" t="s">
        <v>35</v>
      </c>
      <c r="E1900" t="s">
        <v>347</v>
      </c>
      <c r="F1900" t="s">
        <v>130</v>
      </c>
      <c r="G1900" s="5">
        <v>12199041</v>
      </c>
      <c r="H1900" s="5">
        <v>242610867</v>
      </c>
    </row>
    <row r="1901" spans="1:8" x14ac:dyDescent="0.25">
      <c r="A1901" t="s">
        <v>458</v>
      </c>
      <c r="B1901">
        <v>2018</v>
      </c>
      <c r="C1901" t="s">
        <v>35</v>
      </c>
      <c r="D1901" t="s">
        <v>35</v>
      </c>
      <c r="E1901" t="s">
        <v>350</v>
      </c>
      <c r="F1901" t="s">
        <v>133</v>
      </c>
      <c r="G1901" s="5">
        <v>12152762</v>
      </c>
      <c r="H1901" s="5">
        <v>20637495</v>
      </c>
    </row>
    <row r="1902" spans="1:8" x14ac:dyDescent="0.25">
      <c r="A1902" t="s">
        <v>458</v>
      </c>
      <c r="B1902">
        <v>2018</v>
      </c>
      <c r="C1902" t="s">
        <v>35</v>
      </c>
      <c r="D1902" t="s">
        <v>35</v>
      </c>
      <c r="E1902" t="s">
        <v>359</v>
      </c>
      <c r="F1902" t="s">
        <v>142</v>
      </c>
      <c r="G1902" s="5">
        <v>4626319</v>
      </c>
      <c r="H1902" s="5">
        <v>4673976</v>
      </c>
    </row>
    <row r="1903" spans="1:8" x14ac:dyDescent="0.25">
      <c r="A1903" t="s">
        <v>458</v>
      </c>
      <c r="B1903">
        <v>2018</v>
      </c>
      <c r="C1903" t="s">
        <v>35</v>
      </c>
      <c r="D1903" t="s">
        <v>35</v>
      </c>
      <c r="E1903" t="s">
        <v>371</v>
      </c>
      <c r="F1903" t="s">
        <v>154</v>
      </c>
      <c r="G1903" s="5">
        <v>4591121</v>
      </c>
      <c r="H1903" s="5">
        <v>4591121</v>
      </c>
    </row>
    <row r="1904" spans="1:8" x14ac:dyDescent="0.25">
      <c r="A1904" t="s">
        <v>458</v>
      </c>
      <c r="B1904">
        <v>2018</v>
      </c>
      <c r="C1904" t="s">
        <v>35</v>
      </c>
      <c r="D1904" t="s">
        <v>35</v>
      </c>
      <c r="E1904" t="s">
        <v>380</v>
      </c>
      <c r="F1904" t="s">
        <v>164</v>
      </c>
      <c r="G1904" s="5">
        <v>2965605</v>
      </c>
      <c r="H1904" s="5">
        <v>2965605</v>
      </c>
    </row>
    <row r="1905" spans="1:8" x14ac:dyDescent="0.25">
      <c r="A1905" t="s">
        <v>458</v>
      </c>
      <c r="B1905">
        <v>2018</v>
      </c>
      <c r="C1905" t="s">
        <v>35</v>
      </c>
      <c r="D1905" t="s">
        <v>35</v>
      </c>
      <c r="E1905" t="s">
        <v>381</v>
      </c>
      <c r="F1905" t="s">
        <v>165</v>
      </c>
      <c r="G1905" s="5">
        <v>2552410</v>
      </c>
      <c r="H1905" s="5">
        <v>2552410</v>
      </c>
    </row>
    <row r="1906" spans="1:8" x14ac:dyDescent="0.25">
      <c r="A1906" t="s">
        <v>458</v>
      </c>
      <c r="B1906">
        <v>2018</v>
      </c>
      <c r="C1906" t="s">
        <v>35</v>
      </c>
      <c r="D1906" t="s">
        <v>35</v>
      </c>
      <c r="E1906" t="s">
        <v>382</v>
      </c>
      <c r="F1906" t="s">
        <v>166</v>
      </c>
      <c r="G1906" s="5">
        <v>2430761</v>
      </c>
      <c r="H1906" s="5">
        <v>2430761</v>
      </c>
    </row>
    <row r="1907" spans="1:8" x14ac:dyDescent="0.25">
      <c r="A1907" t="s">
        <v>458</v>
      </c>
      <c r="B1907">
        <v>2018</v>
      </c>
      <c r="C1907" t="s">
        <v>35</v>
      </c>
      <c r="D1907" t="s">
        <v>35</v>
      </c>
      <c r="E1907" t="s">
        <v>367</v>
      </c>
      <c r="F1907" t="s">
        <v>150</v>
      </c>
      <c r="G1907" s="5">
        <v>1880227</v>
      </c>
      <c r="H1907" s="5">
        <v>1880257</v>
      </c>
    </row>
    <row r="1908" spans="1:8" x14ac:dyDescent="0.25">
      <c r="A1908" t="s">
        <v>458</v>
      </c>
      <c r="B1908">
        <v>2018</v>
      </c>
      <c r="C1908" t="s">
        <v>35</v>
      </c>
      <c r="D1908" t="s">
        <v>35</v>
      </c>
      <c r="E1908" t="s">
        <v>378</v>
      </c>
      <c r="F1908" t="s">
        <v>162</v>
      </c>
      <c r="G1908" s="5">
        <v>1622381</v>
      </c>
      <c r="H1908" s="5">
        <v>1625743</v>
      </c>
    </row>
    <row r="1909" spans="1:8" x14ac:dyDescent="0.25">
      <c r="A1909" t="s">
        <v>458</v>
      </c>
      <c r="B1909">
        <v>2018</v>
      </c>
      <c r="C1909" t="s">
        <v>35</v>
      </c>
      <c r="D1909" t="s">
        <v>35</v>
      </c>
      <c r="E1909" t="s">
        <v>361</v>
      </c>
      <c r="F1909" t="s">
        <v>144</v>
      </c>
      <c r="G1909" s="5">
        <v>1494282</v>
      </c>
      <c r="H1909" s="5">
        <v>1494282</v>
      </c>
    </row>
    <row r="1910" spans="1:8" x14ac:dyDescent="0.25">
      <c r="A1910" t="s">
        <v>458</v>
      </c>
      <c r="B1910">
        <v>2018</v>
      </c>
      <c r="C1910" t="s">
        <v>35</v>
      </c>
      <c r="D1910" t="s">
        <v>35</v>
      </c>
      <c r="E1910" t="s">
        <v>370</v>
      </c>
      <c r="F1910" t="s">
        <v>153</v>
      </c>
      <c r="G1910" s="5">
        <v>1468835</v>
      </c>
      <c r="H1910" s="5">
        <v>1468835</v>
      </c>
    </row>
    <row r="1911" spans="1:8" x14ac:dyDescent="0.25">
      <c r="A1911" t="s">
        <v>458</v>
      </c>
      <c r="B1911">
        <v>2018</v>
      </c>
      <c r="C1911" t="s">
        <v>35</v>
      </c>
      <c r="D1911" t="s">
        <v>35</v>
      </c>
      <c r="E1911" t="s">
        <v>364</v>
      </c>
      <c r="F1911" t="s">
        <v>147</v>
      </c>
      <c r="G1911" s="5">
        <v>1436059</v>
      </c>
      <c r="H1911" s="5">
        <v>21947055</v>
      </c>
    </row>
    <row r="1912" spans="1:8" x14ac:dyDescent="0.25">
      <c r="A1912" t="s">
        <v>458</v>
      </c>
      <c r="B1912">
        <v>2018</v>
      </c>
      <c r="C1912" t="s">
        <v>35</v>
      </c>
      <c r="D1912" t="s">
        <v>35</v>
      </c>
      <c r="E1912" t="s">
        <v>358</v>
      </c>
      <c r="F1912" t="s">
        <v>141</v>
      </c>
      <c r="G1912" s="5">
        <v>571506</v>
      </c>
      <c r="H1912" s="5">
        <v>571506</v>
      </c>
    </row>
    <row r="1913" spans="1:8" x14ac:dyDescent="0.25">
      <c r="A1913" t="s">
        <v>458</v>
      </c>
      <c r="B1913">
        <v>2018</v>
      </c>
      <c r="C1913" t="s">
        <v>35</v>
      </c>
      <c r="D1913" t="s">
        <v>35</v>
      </c>
      <c r="E1913" t="s">
        <v>376</v>
      </c>
      <c r="F1913" t="s">
        <v>159</v>
      </c>
      <c r="G1913" s="5">
        <v>461738</v>
      </c>
      <c r="H1913" s="5">
        <v>461738</v>
      </c>
    </row>
    <row r="1914" spans="1:8" x14ac:dyDescent="0.25">
      <c r="A1914" t="s">
        <v>458</v>
      </c>
      <c r="B1914">
        <v>2018</v>
      </c>
      <c r="C1914" t="s">
        <v>35</v>
      </c>
      <c r="D1914" t="s">
        <v>35</v>
      </c>
      <c r="E1914" t="s">
        <v>377</v>
      </c>
      <c r="F1914" t="s">
        <v>160</v>
      </c>
      <c r="G1914" s="5">
        <v>439729</v>
      </c>
      <c r="H1914" s="5">
        <v>441719</v>
      </c>
    </row>
    <row r="1915" spans="1:8" x14ac:dyDescent="0.25">
      <c r="A1915" t="s">
        <v>458</v>
      </c>
      <c r="B1915">
        <v>2018</v>
      </c>
      <c r="C1915" t="s">
        <v>35</v>
      </c>
      <c r="D1915" t="s">
        <v>35</v>
      </c>
      <c r="F1915" t="s">
        <v>161</v>
      </c>
      <c r="G1915" s="5">
        <v>224921</v>
      </c>
      <c r="H1915" s="5">
        <v>224921</v>
      </c>
    </row>
    <row r="1916" spans="1:8" x14ac:dyDescent="0.25">
      <c r="A1916" t="s">
        <v>458</v>
      </c>
      <c r="B1916">
        <v>2018</v>
      </c>
      <c r="C1916" t="s">
        <v>35</v>
      </c>
      <c r="D1916" t="s">
        <v>35</v>
      </c>
      <c r="E1916" t="s">
        <v>385</v>
      </c>
      <c r="F1916" t="s">
        <v>169</v>
      </c>
      <c r="G1916" s="5">
        <v>219915</v>
      </c>
      <c r="H1916" s="5">
        <v>220617</v>
      </c>
    </row>
    <row r="1917" spans="1:8" x14ac:dyDescent="0.25">
      <c r="A1917" t="s">
        <v>458</v>
      </c>
      <c r="B1917">
        <v>2018</v>
      </c>
      <c r="C1917" t="s">
        <v>35</v>
      </c>
      <c r="D1917" t="s">
        <v>35</v>
      </c>
      <c r="E1917" t="s">
        <v>365</v>
      </c>
      <c r="F1917" t="s">
        <v>148</v>
      </c>
      <c r="G1917" s="5">
        <v>183885</v>
      </c>
      <c r="H1917" s="5">
        <v>183885</v>
      </c>
    </row>
    <row r="1918" spans="1:8" x14ac:dyDescent="0.25">
      <c r="A1918" t="s">
        <v>458</v>
      </c>
      <c r="B1918">
        <v>2018</v>
      </c>
      <c r="C1918" t="s">
        <v>35</v>
      </c>
      <c r="D1918" t="s">
        <v>35</v>
      </c>
      <c r="E1918" t="s">
        <v>387</v>
      </c>
      <c r="F1918" t="s">
        <v>171</v>
      </c>
      <c r="G1918" s="5">
        <v>123993</v>
      </c>
      <c r="H1918" s="5">
        <v>123993</v>
      </c>
    </row>
    <row r="1919" spans="1:8" x14ac:dyDescent="0.25">
      <c r="A1919" t="s">
        <v>458</v>
      </c>
      <c r="B1919">
        <v>2018</v>
      </c>
      <c r="C1919" t="s">
        <v>35</v>
      </c>
      <c r="D1919" t="s">
        <v>35</v>
      </c>
      <c r="E1919" t="s">
        <v>384</v>
      </c>
      <c r="F1919" t="s">
        <v>168</v>
      </c>
      <c r="G1919" s="5">
        <v>120377</v>
      </c>
      <c r="H1919" s="5">
        <v>120377</v>
      </c>
    </row>
    <row r="1920" spans="1:8" x14ac:dyDescent="0.25">
      <c r="A1920" t="s">
        <v>458</v>
      </c>
      <c r="B1920">
        <v>2018</v>
      </c>
      <c r="C1920" t="s">
        <v>35</v>
      </c>
      <c r="D1920" t="s">
        <v>35</v>
      </c>
      <c r="E1920" t="s">
        <v>363</v>
      </c>
      <c r="F1920" t="s">
        <v>146</v>
      </c>
      <c r="G1920" s="5">
        <v>98460</v>
      </c>
      <c r="H1920" s="5">
        <v>2326887568</v>
      </c>
    </row>
    <row r="1921" spans="1:8" x14ac:dyDescent="0.25">
      <c r="A1921" t="s">
        <v>458</v>
      </c>
      <c r="B1921">
        <v>2018</v>
      </c>
      <c r="C1921" t="s">
        <v>35</v>
      </c>
      <c r="D1921" t="s">
        <v>35</v>
      </c>
      <c r="E1921" t="s">
        <v>372</v>
      </c>
      <c r="F1921" t="s">
        <v>155</v>
      </c>
      <c r="G1921" s="5">
        <v>83249</v>
      </c>
      <c r="H1921" s="5">
        <v>83249</v>
      </c>
    </row>
    <row r="1922" spans="1:8" x14ac:dyDescent="0.25">
      <c r="A1922" t="s">
        <v>458</v>
      </c>
      <c r="B1922">
        <v>2018</v>
      </c>
      <c r="C1922" t="s">
        <v>35</v>
      </c>
      <c r="D1922" t="s">
        <v>35</v>
      </c>
      <c r="E1922" t="s">
        <v>373</v>
      </c>
      <c r="F1922" t="s">
        <v>156</v>
      </c>
      <c r="G1922" s="5">
        <v>66840</v>
      </c>
      <c r="H1922" s="5">
        <v>66840</v>
      </c>
    </row>
    <row r="1923" spans="1:8" x14ac:dyDescent="0.25">
      <c r="A1923" t="s">
        <v>458</v>
      </c>
      <c r="B1923">
        <v>2018</v>
      </c>
      <c r="C1923" t="s">
        <v>35</v>
      </c>
      <c r="D1923" t="s">
        <v>35</v>
      </c>
      <c r="E1923" t="s">
        <v>374</v>
      </c>
      <c r="F1923" t="s">
        <v>157</v>
      </c>
      <c r="G1923" s="5">
        <v>31304</v>
      </c>
      <c r="H1923" s="5">
        <v>31304</v>
      </c>
    </row>
    <row r="1924" spans="1:8" x14ac:dyDescent="0.25">
      <c r="A1924" t="s">
        <v>458</v>
      </c>
      <c r="B1924">
        <v>2018</v>
      </c>
      <c r="C1924" t="s">
        <v>35</v>
      </c>
      <c r="D1924" t="s">
        <v>35</v>
      </c>
      <c r="E1924" t="s">
        <v>375</v>
      </c>
      <c r="F1924" t="s">
        <v>158</v>
      </c>
      <c r="G1924" s="5">
        <v>26951</v>
      </c>
      <c r="H1924" s="5">
        <v>26951</v>
      </c>
    </row>
    <row r="1925" spans="1:8" x14ac:dyDescent="0.25">
      <c r="A1925" t="s">
        <v>458</v>
      </c>
      <c r="B1925">
        <v>2018</v>
      </c>
      <c r="C1925" t="s">
        <v>172</v>
      </c>
      <c r="D1925" t="s">
        <v>34</v>
      </c>
      <c r="E1925" t="s">
        <v>388</v>
      </c>
      <c r="F1925" t="s">
        <v>173</v>
      </c>
      <c r="G1925" s="5">
        <v>11272262944</v>
      </c>
      <c r="H1925" s="5">
        <v>11374843580</v>
      </c>
    </row>
    <row r="1926" spans="1:8" x14ac:dyDescent="0.25">
      <c r="A1926" t="s">
        <v>458</v>
      </c>
      <c r="B1926">
        <v>2018</v>
      </c>
      <c r="C1926" t="s">
        <v>172</v>
      </c>
      <c r="D1926" t="s">
        <v>34</v>
      </c>
      <c r="E1926" t="s">
        <v>391</v>
      </c>
      <c r="F1926" t="s">
        <v>176</v>
      </c>
      <c r="G1926" s="5">
        <v>2504095314</v>
      </c>
      <c r="H1926" s="5">
        <v>2822647966</v>
      </c>
    </row>
    <row r="1927" spans="1:8" x14ac:dyDescent="0.25">
      <c r="A1927" t="s">
        <v>458</v>
      </c>
      <c r="B1927">
        <v>2018</v>
      </c>
      <c r="C1927" t="s">
        <v>172</v>
      </c>
      <c r="D1927" t="s">
        <v>34</v>
      </c>
      <c r="E1927" t="s">
        <v>390</v>
      </c>
      <c r="F1927" t="s">
        <v>175</v>
      </c>
      <c r="G1927" s="5">
        <v>1810490120</v>
      </c>
      <c r="H1927" s="5">
        <v>1842789968</v>
      </c>
    </row>
    <row r="1928" spans="1:8" x14ac:dyDescent="0.25">
      <c r="A1928" t="s">
        <v>458</v>
      </c>
      <c r="B1928">
        <v>2018</v>
      </c>
      <c r="C1928" t="s">
        <v>172</v>
      </c>
      <c r="D1928" t="s">
        <v>34</v>
      </c>
      <c r="E1928" t="s">
        <v>389</v>
      </c>
      <c r="F1928" t="s">
        <v>174</v>
      </c>
      <c r="G1928" s="5">
        <v>1299821763</v>
      </c>
      <c r="H1928" s="5">
        <v>1304430112</v>
      </c>
    </row>
    <row r="1929" spans="1:8" x14ac:dyDescent="0.25">
      <c r="A1929" t="s">
        <v>458</v>
      </c>
      <c r="B1929">
        <v>2018</v>
      </c>
      <c r="C1929" t="s">
        <v>172</v>
      </c>
      <c r="D1929" t="s">
        <v>34</v>
      </c>
      <c r="E1929" t="s">
        <v>392</v>
      </c>
      <c r="F1929" t="s">
        <v>178</v>
      </c>
      <c r="G1929" s="5">
        <v>1025100551</v>
      </c>
      <c r="H1929" s="5">
        <v>1056261590</v>
      </c>
    </row>
    <row r="1930" spans="1:8" x14ac:dyDescent="0.25">
      <c r="A1930" t="s">
        <v>458</v>
      </c>
      <c r="B1930">
        <v>2018</v>
      </c>
      <c r="C1930" t="s">
        <v>172</v>
      </c>
      <c r="D1930" t="s">
        <v>34</v>
      </c>
      <c r="E1930" t="s">
        <v>394</v>
      </c>
      <c r="F1930" t="s">
        <v>180</v>
      </c>
      <c r="G1930" s="5">
        <v>979417570</v>
      </c>
      <c r="H1930" s="5">
        <v>989392830</v>
      </c>
    </row>
    <row r="1931" spans="1:8" x14ac:dyDescent="0.25">
      <c r="A1931" t="s">
        <v>458</v>
      </c>
      <c r="B1931">
        <v>2018</v>
      </c>
      <c r="C1931" t="s">
        <v>172</v>
      </c>
      <c r="D1931" t="s">
        <v>34</v>
      </c>
      <c r="E1931" t="s">
        <v>396</v>
      </c>
      <c r="F1931" t="s">
        <v>183</v>
      </c>
      <c r="G1931" s="5">
        <v>843807960</v>
      </c>
      <c r="H1931" s="5">
        <v>843938879</v>
      </c>
    </row>
    <row r="1932" spans="1:8" x14ac:dyDescent="0.25">
      <c r="A1932" t="s">
        <v>458</v>
      </c>
      <c r="B1932">
        <v>2018</v>
      </c>
      <c r="C1932" t="s">
        <v>172</v>
      </c>
      <c r="D1932" t="s">
        <v>34</v>
      </c>
      <c r="E1932" t="s">
        <v>395</v>
      </c>
      <c r="F1932" t="s">
        <v>181</v>
      </c>
      <c r="G1932" s="5">
        <v>703218918</v>
      </c>
      <c r="H1932" s="5">
        <v>722457980</v>
      </c>
    </row>
    <row r="1933" spans="1:8" x14ac:dyDescent="0.25">
      <c r="A1933" t="s">
        <v>458</v>
      </c>
      <c r="B1933">
        <v>2018</v>
      </c>
      <c r="C1933" t="s">
        <v>172</v>
      </c>
      <c r="D1933" t="s">
        <v>34</v>
      </c>
      <c r="E1933" t="s">
        <v>393</v>
      </c>
      <c r="F1933" t="s">
        <v>179</v>
      </c>
      <c r="G1933" s="5">
        <v>646740602</v>
      </c>
      <c r="H1933" s="5">
        <v>646881797</v>
      </c>
    </row>
    <row r="1934" spans="1:8" x14ac:dyDescent="0.25">
      <c r="A1934" t="s">
        <v>458</v>
      </c>
      <c r="B1934">
        <v>2018</v>
      </c>
      <c r="C1934" t="s">
        <v>172</v>
      </c>
      <c r="D1934" t="s">
        <v>34</v>
      </c>
      <c r="E1934" t="s">
        <v>397</v>
      </c>
      <c r="F1934" t="s">
        <v>184</v>
      </c>
      <c r="G1934" s="5">
        <v>455280779</v>
      </c>
      <c r="H1934" s="5">
        <v>455483774</v>
      </c>
    </row>
    <row r="1935" spans="1:8" x14ac:dyDescent="0.25">
      <c r="A1935" t="s">
        <v>458</v>
      </c>
      <c r="B1935">
        <v>2018</v>
      </c>
      <c r="C1935" t="s">
        <v>172</v>
      </c>
      <c r="D1935" t="s">
        <v>34</v>
      </c>
      <c r="E1935" t="s">
        <v>400</v>
      </c>
      <c r="F1935" t="s">
        <v>189</v>
      </c>
      <c r="G1935" s="5">
        <v>433769088</v>
      </c>
      <c r="H1935" s="5">
        <v>433782770</v>
      </c>
    </row>
    <row r="1936" spans="1:8" x14ac:dyDescent="0.25">
      <c r="A1936" t="s">
        <v>458</v>
      </c>
      <c r="B1936">
        <v>2018</v>
      </c>
      <c r="C1936" t="s">
        <v>172</v>
      </c>
      <c r="D1936" t="s">
        <v>34</v>
      </c>
      <c r="E1936" t="s">
        <v>403</v>
      </c>
      <c r="F1936" t="s">
        <v>192</v>
      </c>
      <c r="G1936" s="5">
        <v>353544416</v>
      </c>
      <c r="H1936" s="5">
        <v>353831883</v>
      </c>
    </row>
    <row r="1937" spans="1:8" x14ac:dyDescent="0.25">
      <c r="A1937" t="s">
        <v>458</v>
      </c>
      <c r="B1937">
        <v>2018</v>
      </c>
      <c r="C1937" t="s">
        <v>172</v>
      </c>
      <c r="D1937" t="s">
        <v>34</v>
      </c>
      <c r="E1937" t="s">
        <v>399</v>
      </c>
      <c r="F1937" t="s">
        <v>187</v>
      </c>
      <c r="G1937" s="5">
        <v>317614836</v>
      </c>
      <c r="H1937" s="5">
        <v>317808764</v>
      </c>
    </row>
    <row r="1938" spans="1:8" x14ac:dyDescent="0.25">
      <c r="A1938" t="s">
        <v>458</v>
      </c>
      <c r="B1938">
        <v>2018</v>
      </c>
      <c r="C1938" t="s">
        <v>172</v>
      </c>
      <c r="D1938" t="s">
        <v>34</v>
      </c>
      <c r="E1938" t="s">
        <v>405</v>
      </c>
      <c r="F1938" t="s">
        <v>194</v>
      </c>
      <c r="G1938" s="5">
        <v>228965033</v>
      </c>
      <c r="H1938" s="5">
        <v>231005264</v>
      </c>
    </row>
    <row r="1939" spans="1:8" x14ac:dyDescent="0.25">
      <c r="A1939" t="s">
        <v>458</v>
      </c>
      <c r="B1939">
        <v>2018</v>
      </c>
      <c r="C1939" t="s">
        <v>172</v>
      </c>
      <c r="D1939" t="s">
        <v>34</v>
      </c>
      <c r="E1939" t="s">
        <v>398</v>
      </c>
      <c r="F1939" t="s">
        <v>186</v>
      </c>
      <c r="G1939" s="5">
        <v>221120122</v>
      </c>
      <c r="H1939" s="5">
        <v>221364776</v>
      </c>
    </row>
    <row r="1940" spans="1:8" x14ac:dyDescent="0.25">
      <c r="A1940" t="s">
        <v>458</v>
      </c>
      <c r="B1940">
        <v>2018</v>
      </c>
      <c r="C1940" t="s">
        <v>172</v>
      </c>
      <c r="D1940" t="s">
        <v>34</v>
      </c>
      <c r="E1940" t="s">
        <v>402</v>
      </c>
      <c r="F1940" t="s">
        <v>191</v>
      </c>
      <c r="G1940" s="5">
        <v>184929969</v>
      </c>
      <c r="H1940" s="5">
        <v>184994195</v>
      </c>
    </row>
    <row r="1941" spans="1:8" x14ac:dyDescent="0.25">
      <c r="A1941" t="s">
        <v>458</v>
      </c>
      <c r="B1941">
        <v>2018</v>
      </c>
      <c r="C1941" t="s">
        <v>172</v>
      </c>
      <c r="D1941" t="s">
        <v>34</v>
      </c>
      <c r="E1941" t="s">
        <v>401</v>
      </c>
      <c r="F1941" t="s">
        <v>190</v>
      </c>
      <c r="G1941" s="5">
        <v>137219085</v>
      </c>
      <c r="H1941" s="5">
        <v>137272966</v>
      </c>
    </row>
    <row r="1942" spans="1:8" x14ac:dyDescent="0.25">
      <c r="A1942" t="s">
        <v>458</v>
      </c>
      <c r="B1942">
        <v>2018</v>
      </c>
      <c r="C1942" t="s">
        <v>172</v>
      </c>
      <c r="D1942" t="s">
        <v>34</v>
      </c>
      <c r="E1942" t="s">
        <v>404</v>
      </c>
      <c r="F1942" t="s">
        <v>193</v>
      </c>
      <c r="G1942" s="5">
        <v>72113765</v>
      </c>
      <c r="H1942" s="5">
        <v>72113765</v>
      </c>
    </row>
    <row r="1943" spans="1:8" x14ac:dyDescent="0.25">
      <c r="A1943" t="s">
        <v>458</v>
      </c>
      <c r="B1943">
        <v>2018</v>
      </c>
      <c r="C1943" t="s">
        <v>172</v>
      </c>
      <c r="D1943" t="s">
        <v>34</v>
      </c>
      <c r="E1943" t="s">
        <v>406</v>
      </c>
      <c r="F1943" t="s">
        <v>195</v>
      </c>
      <c r="G1943" s="5">
        <v>68918242</v>
      </c>
      <c r="H1943" s="5">
        <v>69318549</v>
      </c>
    </row>
    <row r="1944" spans="1:8" x14ac:dyDescent="0.25">
      <c r="A1944" t="s">
        <v>458</v>
      </c>
      <c r="B1944">
        <v>2018</v>
      </c>
      <c r="C1944" t="s">
        <v>172</v>
      </c>
      <c r="D1944" t="s">
        <v>34</v>
      </c>
      <c r="E1944" t="s">
        <v>409</v>
      </c>
      <c r="F1944" t="s">
        <v>199</v>
      </c>
      <c r="G1944" s="5">
        <v>54630313</v>
      </c>
      <c r="H1944" s="5">
        <v>98114417</v>
      </c>
    </row>
    <row r="1945" spans="1:8" x14ac:dyDescent="0.25">
      <c r="A1945" t="s">
        <v>458</v>
      </c>
      <c r="B1945">
        <v>2018</v>
      </c>
      <c r="C1945" t="s">
        <v>172</v>
      </c>
      <c r="D1945" t="s">
        <v>34</v>
      </c>
      <c r="E1945" t="s">
        <v>408</v>
      </c>
      <c r="F1945" t="s">
        <v>198</v>
      </c>
      <c r="G1945" s="5">
        <v>27553450</v>
      </c>
      <c r="H1945" s="5">
        <v>27553521</v>
      </c>
    </row>
    <row r="1946" spans="1:8" x14ac:dyDescent="0.25">
      <c r="A1946" t="s">
        <v>458</v>
      </c>
      <c r="B1946">
        <v>2018</v>
      </c>
      <c r="C1946" t="s">
        <v>172</v>
      </c>
      <c r="D1946" t="s">
        <v>34</v>
      </c>
      <c r="E1946" t="s">
        <v>407</v>
      </c>
      <c r="F1946" t="s">
        <v>197</v>
      </c>
      <c r="G1946" s="5">
        <v>25059082</v>
      </c>
      <c r="H1946" s="5">
        <v>25588273</v>
      </c>
    </row>
    <row r="1947" spans="1:8" x14ac:dyDescent="0.25">
      <c r="A1947" t="s">
        <v>458</v>
      </c>
      <c r="B1947">
        <v>2018</v>
      </c>
      <c r="C1947" t="s">
        <v>172</v>
      </c>
      <c r="D1947" t="s">
        <v>34</v>
      </c>
      <c r="E1947" t="s">
        <v>412</v>
      </c>
      <c r="F1947" t="s">
        <v>204</v>
      </c>
      <c r="G1947" s="5">
        <v>17758360</v>
      </c>
      <c r="H1947" s="5">
        <v>17804550</v>
      </c>
    </row>
    <row r="1948" spans="1:8" x14ac:dyDescent="0.25">
      <c r="A1948" t="s">
        <v>458</v>
      </c>
      <c r="B1948">
        <v>2018</v>
      </c>
      <c r="C1948" t="s">
        <v>172</v>
      </c>
      <c r="D1948" t="s">
        <v>34</v>
      </c>
      <c r="E1948" t="s">
        <v>411</v>
      </c>
      <c r="F1948" t="s">
        <v>203</v>
      </c>
      <c r="G1948" s="5">
        <v>16086295</v>
      </c>
      <c r="H1948" s="5">
        <v>16086295</v>
      </c>
    </row>
    <row r="1949" spans="1:8" x14ac:dyDescent="0.25">
      <c r="A1949" t="s">
        <v>458</v>
      </c>
      <c r="B1949">
        <v>2018</v>
      </c>
      <c r="C1949" t="s">
        <v>172</v>
      </c>
      <c r="D1949" t="s">
        <v>34</v>
      </c>
      <c r="E1949" t="s">
        <v>410</v>
      </c>
      <c r="F1949" t="s">
        <v>201</v>
      </c>
      <c r="G1949" s="5">
        <v>10929836</v>
      </c>
      <c r="H1949" s="5">
        <v>10929836</v>
      </c>
    </row>
    <row r="1950" spans="1:8" x14ac:dyDescent="0.25">
      <c r="A1950" t="s">
        <v>458</v>
      </c>
      <c r="B1950">
        <v>2018</v>
      </c>
      <c r="C1950" t="s">
        <v>172</v>
      </c>
      <c r="D1950" t="s">
        <v>34</v>
      </c>
      <c r="E1950" t="s">
        <v>413</v>
      </c>
      <c r="F1950" t="s">
        <v>207</v>
      </c>
      <c r="G1950" s="5">
        <v>3722900</v>
      </c>
      <c r="H1950" s="5">
        <v>3722900</v>
      </c>
    </row>
    <row r="1951" spans="1:8" x14ac:dyDescent="0.25">
      <c r="A1951" t="s">
        <v>458</v>
      </c>
      <c r="B1951">
        <v>2018</v>
      </c>
      <c r="C1951" t="s">
        <v>172</v>
      </c>
      <c r="D1951" t="s">
        <v>34</v>
      </c>
      <c r="E1951" t="s">
        <v>414</v>
      </c>
      <c r="F1951" t="s">
        <v>209</v>
      </c>
      <c r="G1951" s="5">
        <v>1669390</v>
      </c>
      <c r="H1951" s="5">
        <v>3735952</v>
      </c>
    </row>
    <row r="1952" spans="1:8" x14ac:dyDescent="0.25">
      <c r="A1952" t="s">
        <v>458</v>
      </c>
      <c r="B1952">
        <v>2018</v>
      </c>
      <c r="C1952" t="s">
        <v>172</v>
      </c>
      <c r="D1952" t="s">
        <v>37</v>
      </c>
      <c r="E1952" t="s">
        <v>415</v>
      </c>
      <c r="F1952" t="s">
        <v>177</v>
      </c>
      <c r="G1952" s="5">
        <v>793749888</v>
      </c>
      <c r="H1952" s="5">
        <v>11472422117</v>
      </c>
    </row>
    <row r="1953" spans="1:8" x14ac:dyDescent="0.25">
      <c r="A1953" t="s">
        <v>458</v>
      </c>
      <c r="B1953">
        <v>2018</v>
      </c>
      <c r="C1953" t="s">
        <v>172</v>
      </c>
      <c r="D1953" t="s">
        <v>37</v>
      </c>
      <c r="E1953" t="s">
        <v>416</v>
      </c>
      <c r="F1953" t="s">
        <v>182</v>
      </c>
      <c r="G1953" s="5">
        <v>455308154</v>
      </c>
      <c r="H1953" s="5">
        <v>548372224</v>
      </c>
    </row>
    <row r="1954" spans="1:8" x14ac:dyDescent="0.25">
      <c r="A1954" t="s">
        <v>458</v>
      </c>
      <c r="B1954">
        <v>2018</v>
      </c>
      <c r="C1954" t="s">
        <v>172</v>
      </c>
      <c r="D1954" t="s">
        <v>37</v>
      </c>
      <c r="E1954" t="s">
        <v>418</v>
      </c>
      <c r="F1954" t="s">
        <v>188</v>
      </c>
      <c r="G1954" s="5">
        <v>61588293</v>
      </c>
      <c r="H1954" s="5">
        <v>61828232</v>
      </c>
    </row>
    <row r="1955" spans="1:8" x14ac:dyDescent="0.25">
      <c r="A1955" t="s">
        <v>458</v>
      </c>
      <c r="B1955">
        <v>2018</v>
      </c>
      <c r="C1955" t="s">
        <v>172</v>
      </c>
      <c r="D1955" t="s">
        <v>37</v>
      </c>
      <c r="E1955" t="s">
        <v>417</v>
      </c>
      <c r="F1955" t="s">
        <v>185</v>
      </c>
      <c r="G1955" s="5">
        <v>48036287</v>
      </c>
      <c r="H1955" s="5">
        <v>111393742</v>
      </c>
    </row>
    <row r="1956" spans="1:8" x14ac:dyDescent="0.25">
      <c r="A1956" t="s">
        <v>458</v>
      </c>
      <c r="B1956">
        <v>2018</v>
      </c>
      <c r="C1956" t="s">
        <v>172</v>
      </c>
      <c r="D1956" t="s">
        <v>37</v>
      </c>
      <c r="E1956" t="s">
        <v>420</v>
      </c>
      <c r="F1956" t="s">
        <v>200</v>
      </c>
      <c r="G1956" s="5">
        <v>31224790</v>
      </c>
      <c r="H1956" s="5">
        <v>31230326</v>
      </c>
    </row>
    <row r="1957" spans="1:8" x14ac:dyDescent="0.25">
      <c r="A1957" t="s">
        <v>458</v>
      </c>
      <c r="B1957">
        <v>2018</v>
      </c>
      <c r="C1957" t="s">
        <v>172</v>
      </c>
      <c r="D1957" t="s">
        <v>37</v>
      </c>
      <c r="E1957" t="s">
        <v>419</v>
      </c>
      <c r="F1957" t="s">
        <v>196</v>
      </c>
      <c r="G1957" s="5">
        <v>20571257</v>
      </c>
      <c r="H1957" s="5">
        <v>20572511</v>
      </c>
    </row>
    <row r="1958" spans="1:8" x14ac:dyDescent="0.25">
      <c r="A1958" t="s">
        <v>458</v>
      </c>
      <c r="B1958">
        <v>2018</v>
      </c>
      <c r="C1958" t="s">
        <v>172</v>
      </c>
      <c r="D1958" t="s">
        <v>37</v>
      </c>
      <c r="E1958" t="s">
        <v>425</v>
      </c>
      <c r="F1958" t="s">
        <v>210</v>
      </c>
      <c r="G1958" s="5">
        <v>16457838</v>
      </c>
      <c r="H1958" s="5">
        <v>16457838</v>
      </c>
    </row>
    <row r="1959" spans="1:8" x14ac:dyDescent="0.25">
      <c r="A1959" t="s">
        <v>458</v>
      </c>
      <c r="B1959">
        <v>2018</v>
      </c>
      <c r="C1959" t="s">
        <v>172</v>
      </c>
      <c r="D1959" t="s">
        <v>37</v>
      </c>
      <c r="E1959" t="s">
        <v>423</v>
      </c>
      <c r="F1959" t="s">
        <v>206</v>
      </c>
      <c r="G1959" s="5">
        <v>13694920</v>
      </c>
      <c r="H1959" s="5">
        <v>13694920</v>
      </c>
    </row>
    <row r="1960" spans="1:8" x14ac:dyDescent="0.25">
      <c r="A1960" t="s">
        <v>458</v>
      </c>
      <c r="B1960">
        <v>2018</v>
      </c>
      <c r="C1960" t="s">
        <v>172</v>
      </c>
      <c r="D1960" t="s">
        <v>37</v>
      </c>
      <c r="E1960" t="s">
        <v>424</v>
      </c>
      <c r="F1960" t="s">
        <v>208</v>
      </c>
      <c r="G1960" s="5">
        <v>6037700</v>
      </c>
      <c r="H1960" s="5">
        <v>6037700</v>
      </c>
    </row>
    <row r="1961" spans="1:8" x14ac:dyDescent="0.25">
      <c r="A1961" t="s">
        <v>458</v>
      </c>
      <c r="B1961">
        <v>2018</v>
      </c>
      <c r="C1961" t="s">
        <v>172</v>
      </c>
      <c r="D1961" t="s">
        <v>37</v>
      </c>
      <c r="E1961" t="s">
        <v>426</v>
      </c>
      <c r="F1961" t="s">
        <v>211</v>
      </c>
      <c r="G1961" s="5">
        <v>3721938</v>
      </c>
      <c r="H1961" s="5">
        <v>3721938</v>
      </c>
    </row>
    <row r="1962" spans="1:8" x14ac:dyDescent="0.25">
      <c r="A1962" t="s">
        <v>458</v>
      </c>
      <c r="B1962">
        <v>2018</v>
      </c>
      <c r="C1962" t="s">
        <v>172</v>
      </c>
      <c r="D1962" t="s">
        <v>37</v>
      </c>
      <c r="E1962" t="s">
        <v>427</v>
      </c>
      <c r="F1962" t="s">
        <v>212</v>
      </c>
      <c r="G1962" s="5">
        <v>3077100</v>
      </c>
      <c r="H1962" s="5">
        <v>3077100</v>
      </c>
    </row>
    <row r="1963" spans="1:8" x14ac:dyDescent="0.25">
      <c r="A1963" t="s">
        <v>458</v>
      </c>
      <c r="B1963">
        <v>2018</v>
      </c>
      <c r="C1963" t="s">
        <v>172</v>
      </c>
      <c r="D1963" t="s">
        <v>37</v>
      </c>
      <c r="E1963" t="s">
        <v>421</v>
      </c>
      <c r="F1963" t="s">
        <v>202</v>
      </c>
      <c r="G1963" s="5">
        <v>2851703</v>
      </c>
      <c r="H1963" s="5">
        <v>2851703</v>
      </c>
    </row>
    <row r="1964" spans="1:8" x14ac:dyDescent="0.25">
      <c r="A1964" t="s">
        <v>458</v>
      </c>
      <c r="B1964">
        <v>2018</v>
      </c>
      <c r="C1964" t="s">
        <v>172</v>
      </c>
      <c r="D1964" t="s">
        <v>37</v>
      </c>
      <c r="E1964" t="s">
        <v>422</v>
      </c>
      <c r="F1964" t="s">
        <v>205</v>
      </c>
      <c r="G1964" s="5">
        <v>739142</v>
      </c>
      <c r="H1964" s="5">
        <v>1244932</v>
      </c>
    </row>
    <row r="1965" spans="1:8" x14ac:dyDescent="0.25">
      <c r="A1965" t="s">
        <v>458</v>
      </c>
      <c r="B1965">
        <v>2018</v>
      </c>
      <c r="C1965" t="s">
        <v>172</v>
      </c>
      <c r="D1965" t="s">
        <v>37</v>
      </c>
      <c r="E1965" t="s">
        <v>428</v>
      </c>
      <c r="F1965" t="s">
        <v>213</v>
      </c>
      <c r="G1965" s="5">
        <v>630060</v>
      </c>
      <c r="H1965" s="5">
        <v>630060</v>
      </c>
    </row>
    <row r="1966" spans="1:8" x14ac:dyDescent="0.25">
      <c r="A1966" t="s">
        <v>458</v>
      </c>
      <c r="B1966">
        <v>2018</v>
      </c>
      <c r="C1966" t="s">
        <v>172</v>
      </c>
      <c r="D1966" t="s">
        <v>37</v>
      </c>
      <c r="E1966" t="s">
        <v>430</v>
      </c>
      <c r="F1966" t="s">
        <v>216</v>
      </c>
      <c r="G1966" s="5">
        <v>216410</v>
      </c>
      <c r="H1966" s="5">
        <v>222663</v>
      </c>
    </row>
    <row r="1967" spans="1:8" x14ac:dyDescent="0.25">
      <c r="A1967" t="s">
        <v>458</v>
      </c>
      <c r="B1967">
        <v>2018</v>
      </c>
      <c r="C1967" t="s">
        <v>172</v>
      </c>
      <c r="D1967" t="s">
        <v>37</v>
      </c>
      <c r="E1967" t="s">
        <v>429</v>
      </c>
      <c r="F1967" t="s">
        <v>214</v>
      </c>
      <c r="G1967" s="5">
        <v>185283</v>
      </c>
      <c r="H1967" s="5">
        <v>185283</v>
      </c>
    </row>
    <row r="1968" spans="1:8" x14ac:dyDescent="0.25">
      <c r="A1968" t="s">
        <v>458</v>
      </c>
      <c r="B1968">
        <v>2018</v>
      </c>
      <c r="C1968" t="s">
        <v>172</v>
      </c>
      <c r="D1968" t="s">
        <v>37</v>
      </c>
      <c r="F1968" t="s">
        <v>215</v>
      </c>
      <c r="G1968" s="5">
        <v>138055</v>
      </c>
      <c r="H1968" s="5">
        <v>138055</v>
      </c>
    </row>
    <row r="1969" spans="1:8" x14ac:dyDescent="0.25">
      <c r="A1969" t="s">
        <v>458</v>
      </c>
      <c r="B1969">
        <v>2018</v>
      </c>
      <c r="C1969" t="s">
        <v>40</v>
      </c>
      <c r="D1969" t="s">
        <v>40</v>
      </c>
      <c r="E1969" t="s">
        <v>432</v>
      </c>
      <c r="F1969" t="s">
        <v>218</v>
      </c>
      <c r="G1969" s="5">
        <v>18193807</v>
      </c>
      <c r="H1969" s="5">
        <v>18925036</v>
      </c>
    </row>
    <row r="1970" spans="1:8" x14ac:dyDescent="0.25">
      <c r="A1970" t="s">
        <v>458</v>
      </c>
      <c r="B1970">
        <v>2018</v>
      </c>
      <c r="C1970" t="s">
        <v>40</v>
      </c>
      <c r="D1970" t="s">
        <v>40</v>
      </c>
      <c r="E1970" t="s">
        <v>433</v>
      </c>
      <c r="F1970" t="s">
        <v>219</v>
      </c>
      <c r="G1970" s="5">
        <v>11736759</v>
      </c>
      <c r="H1970" s="5">
        <v>11839601</v>
      </c>
    </row>
    <row r="1971" spans="1:8" x14ac:dyDescent="0.25">
      <c r="A1971" t="s">
        <v>458</v>
      </c>
      <c r="B1971">
        <v>2018</v>
      </c>
      <c r="C1971" t="s">
        <v>40</v>
      </c>
      <c r="D1971" t="s">
        <v>40</v>
      </c>
      <c r="F1971" t="s">
        <v>225</v>
      </c>
      <c r="G1971" s="5">
        <v>137728</v>
      </c>
      <c r="H1971" s="5">
        <v>238376</v>
      </c>
    </row>
    <row r="1972" spans="1:8" x14ac:dyDescent="0.25">
      <c r="A1972" t="s">
        <v>458</v>
      </c>
      <c r="B1972">
        <v>2019</v>
      </c>
      <c r="C1972" t="s">
        <v>39</v>
      </c>
      <c r="D1972" t="s">
        <v>39</v>
      </c>
      <c r="E1972" t="s">
        <v>268</v>
      </c>
      <c r="F1972" t="s">
        <v>47</v>
      </c>
      <c r="G1972" s="5">
        <v>166981198</v>
      </c>
      <c r="H1972" s="5">
        <v>255868135</v>
      </c>
    </row>
    <row r="1973" spans="1:8" x14ac:dyDescent="0.25">
      <c r="A1973" t="s">
        <v>458</v>
      </c>
      <c r="B1973">
        <v>2019</v>
      </c>
      <c r="C1973" t="s">
        <v>39</v>
      </c>
      <c r="D1973" t="s">
        <v>39</v>
      </c>
      <c r="E1973" t="s">
        <v>273</v>
      </c>
      <c r="F1973" t="s">
        <v>52</v>
      </c>
      <c r="G1973" s="5">
        <v>65409375</v>
      </c>
      <c r="H1973" s="5">
        <v>65409387</v>
      </c>
    </row>
    <row r="1974" spans="1:8" x14ac:dyDescent="0.25">
      <c r="A1974" t="s">
        <v>458</v>
      </c>
      <c r="B1974">
        <v>2019</v>
      </c>
      <c r="C1974" t="s">
        <v>39</v>
      </c>
      <c r="D1974" t="s">
        <v>39</v>
      </c>
      <c r="E1974" t="s">
        <v>271</v>
      </c>
      <c r="F1974" t="s">
        <v>50</v>
      </c>
      <c r="G1974" s="5">
        <v>48003489</v>
      </c>
      <c r="H1974" s="5">
        <v>48003489</v>
      </c>
    </row>
    <row r="1975" spans="1:8" x14ac:dyDescent="0.25">
      <c r="A1975" t="s">
        <v>458</v>
      </c>
      <c r="B1975">
        <v>2019</v>
      </c>
      <c r="C1975" t="s">
        <v>39</v>
      </c>
      <c r="D1975" t="s">
        <v>39</v>
      </c>
      <c r="E1975" t="s">
        <v>281</v>
      </c>
      <c r="F1975" t="s">
        <v>60</v>
      </c>
      <c r="G1975" s="5">
        <v>41203581</v>
      </c>
      <c r="H1975" s="5">
        <v>41207587</v>
      </c>
    </row>
    <row r="1976" spans="1:8" x14ac:dyDescent="0.25">
      <c r="A1976" t="s">
        <v>458</v>
      </c>
      <c r="B1976">
        <v>2019</v>
      </c>
      <c r="C1976" t="s">
        <v>39</v>
      </c>
      <c r="D1976" t="s">
        <v>39</v>
      </c>
      <c r="E1976" t="s">
        <v>296</v>
      </c>
      <c r="F1976" t="s">
        <v>76</v>
      </c>
      <c r="G1976" s="5">
        <v>14977622</v>
      </c>
      <c r="H1976" s="5">
        <v>14977622</v>
      </c>
    </row>
    <row r="1977" spans="1:8" x14ac:dyDescent="0.25">
      <c r="A1977" t="s">
        <v>458</v>
      </c>
      <c r="B1977">
        <v>2019</v>
      </c>
      <c r="C1977" t="s">
        <v>39</v>
      </c>
      <c r="D1977" t="s">
        <v>39</v>
      </c>
      <c r="E1977" t="s">
        <v>269</v>
      </c>
      <c r="F1977" t="s">
        <v>48</v>
      </c>
      <c r="G1977" s="5">
        <v>10989651</v>
      </c>
      <c r="H1977" s="5">
        <v>11014661</v>
      </c>
    </row>
    <row r="1978" spans="1:8" x14ac:dyDescent="0.25">
      <c r="A1978" t="s">
        <v>458</v>
      </c>
      <c r="B1978">
        <v>2019</v>
      </c>
      <c r="C1978" t="s">
        <v>39</v>
      </c>
      <c r="D1978" t="s">
        <v>39</v>
      </c>
      <c r="E1978" t="s">
        <v>272</v>
      </c>
      <c r="F1978" t="s">
        <v>51</v>
      </c>
      <c r="G1978" s="5">
        <v>9260658</v>
      </c>
      <c r="H1978" s="5">
        <v>9260764</v>
      </c>
    </row>
    <row r="1979" spans="1:8" x14ac:dyDescent="0.25">
      <c r="A1979" t="s">
        <v>458</v>
      </c>
      <c r="B1979">
        <v>2019</v>
      </c>
      <c r="C1979" t="s">
        <v>39</v>
      </c>
      <c r="D1979" t="s">
        <v>39</v>
      </c>
      <c r="E1979" t="s">
        <v>279</v>
      </c>
      <c r="F1979" t="s">
        <v>58</v>
      </c>
      <c r="G1979" s="5">
        <v>8238161</v>
      </c>
      <c r="H1979" s="5">
        <v>8239814</v>
      </c>
    </row>
    <row r="1980" spans="1:8" x14ac:dyDescent="0.25">
      <c r="A1980" t="s">
        <v>458</v>
      </c>
      <c r="B1980">
        <v>2019</v>
      </c>
      <c r="C1980" t="s">
        <v>39</v>
      </c>
      <c r="D1980" t="s">
        <v>39</v>
      </c>
      <c r="F1980" t="s">
        <v>64</v>
      </c>
      <c r="G1980" s="5">
        <v>6209318</v>
      </c>
      <c r="H1980" s="5">
        <v>6980555</v>
      </c>
    </row>
    <row r="1981" spans="1:8" x14ac:dyDescent="0.25">
      <c r="A1981" t="s">
        <v>458</v>
      </c>
      <c r="B1981">
        <v>2019</v>
      </c>
      <c r="C1981" t="s">
        <v>39</v>
      </c>
      <c r="D1981" t="s">
        <v>39</v>
      </c>
      <c r="E1981" t="s">
        <v>280</v>
      </c>
      <c r="F1981" t="s">
        <v>59</v>
      </c>
      <c r="G1981" s="5">
        <v>2462163</v>
      </c>
      <c r="H1981" s="5">
        <v>2462163</v>
      </c>
    </row>
    <row r="1982" spans="1:8" x14ac:dyDescent="0.25">
      <c r="A1982" t="s">
        <v>458</v>
      </c>
      <c r="B1982">
        <v>2019</v>
      </c>
      <c r="C1982" t="s">
        <v>39</v>
      </c>
      <c r="D1982" t="s">
        <v>39</v>
      </c>
      <c r="E1982" t="s">
        <v>300</v>
      </c>
      <c r="F1982" t="s">
        <v>80</v>
      </c>
      <c r="G1982" s="5">
        <v>2276617</v>
      </c>
      <c r="H1982" s="5">
        <v>2276617</v>
      </c>
    </row>
    <row r="1983" spans="1:8" x14ac:dyDescent="0.25">
      <c r="A1983" t="s">
        <v>458</v>
      </c>
      <c r="B1983">
        <v>2019</v>
      </c>
      <c r="C1983" t="s">
        <v>39</v>
      </c>
      <c r="D1983" t="s">
        <v>39</v>
      </c>
      <c r="E1983" t="s">
        <v>286</v>
      </c>
      <c r="F1983" t="s">
        <v>66</v>
      </c>
      <c r="G1983" s="5">
        <v>883016</v>
      </c>
      <c r="H1983" s="5">
        <v>883016</v>
      </c>
    </row>
    <row r="1984" spans="1:8" x14ac:dyDescent="0.25">
      <c r="A1984" t="s">
        <v>458</v>
      </c>
      <c r="B1984">
        <v>2019</v>
      </c>
      <c r="C1984" t="s">
        <v>39</v>
      </c>
      <c r="D1984" t="s">
        <v>39</v>
      </c>
      <c r="E1984" t="s">
        <v>277</v>
      </c>
      <c r="F1984" t="s">
        <v>56</v>
      </c>
      <c r="G1984" s="5">
        <v>836001</v>
      </c>
      <c r="H1984" s="5">
        <v>836001</v>
      </c>
    </row>
    <row r="1985" spans="1:8" x14ac:dyDescent="0.25">
      <c r="A1985" t="s">
        <v>458</v>
      </c>
      <c r="B1985">
        <v>2019</v>
      </c>
      <c r="C1985" t="s">
        <v>39</v>
      </c>
      <c r="D1985" t="s">
        <v>39</v>
      </c>
      <c r="E1985" t="s">
        <v>294</v>
      </c>
      <c r="F1985" t="s">
        <v>74</v>
      </c>
      <c r="G1985" s="5">
        <v>524515</v>
      </c>
      <c r="H1985" s="5">
        <v>524515</v>
      </c>
    </row>
    <row r="1986" spans="1:8" x14ac:dyDescent="0.25">
      <c r="A1986" t="s">
        <v>458</v>
      </c>
      <c r="B1986">
        <v>2019</v>
      </c>
      <c r="C1986" t="s">
        <v>39</v>
      </c>
      <c r="D1986" t="s">
        <v>39</v>
      </c>
      <c r="E1986" t="s">
        <v>287</v>
      </c>
      <c r="F1986" t="s">
        <v>67</v>
      </c>
      <c r="G1986" s="5">
        <v>510941</v>
      </c>
      <c r="H1986" s="5">
        <v>529325</v>
      </c>
    </row>
    <row r="1987" spans="1:8" x14ac:dyDescent="0.25">
      <c r="A1987" t="s">
        <v>458</v>
      </c>
      <c r="B1987">
        <v>2019</v>
      </c>
      <c r="C1987" t="s">
        <v>39</v>
      </c>
      <c r="D1987" t="s">
        <v>39</v>
      </c>
      <c r="E1987" t="s">
        <v>307</v>
      </c>
      <c r="F1987" t="s">
        <v>87</v>
      </c>
      <c r="G1987" s="5">
        <v>378690</v>
      </c>
      <c r="H1987" s="5">
        <v>378690</v>
      </c>
    </row>
    <row r="1988" spans="1:8" x14ac:dyDescent="0.25">
      <c r="A1988" t="s">
        <v>458</v>
      </c>
      <c r="B1988">
        <v>2019</v>
      </c>
      <c r="C1988" t="s">
        <v>39</v>
      </c>
      <c r="D1988" t="s">
        <v>39</v>
      </c>
      <c r="E1988" t="s">
        <v>270</v>
      </c>
      <c r="F1988" t="s">
        <v>49</v>
      </c>
      <c r="G1988" s="5">
        <v>296102</v>
      </c>
      <c r="H1988" s="5">
        <v>296102</v>
      </c>
    </row>
    <row r="1989" spans="1:8" x14ac:dyDescent="0.25">
      <c r="A1989" t="s">
        <v>458</v>
      </c>
      <c r="B1989">
        <v>2019</v>
      </c>
      <c r="C1989" t="s">
        <v>39</v>
      </c>
      <c r="D1989" t="s">
        <v>39</v>
      </c>
      <c r="E1989" t="s">
        <v>459</v>
      </c>
      <c r="F1989" t="s">
        <v>247</v>
      </c>
      <c r="G1989" s="5">
        <v>201157</v>
      </c>
      <c r="H1989" s="5">
        <v>201157</v>
      </c>
    </row>
    <row r="1990" spans="1:8" x14ac:dyDescent="0.25">
      <c r="A1990" t="s">
        <v>458</v>
      </c>
      <c r="B1990">
        <v>2019</v>
      </c>
      <c r="C1990" t="s">
        <v>39</v>
      </c>
      <c r="D1990" t="s">
        <v>39</v>
      </c>
      <c r="E1990" t="s">
        <v>291</v>
      </c>
      <c r="F1990" t="s">
        <v>71</v>
      </c>
      <c r="G1990" s="5">
        <v>199838</v>
      </c>
      <c r="H1990" s="5">
        <v>199845</v>
      </c>
    </row>
    <row r="1991" spans="1:8" x14ac:dyDescent="0.25">
      <c r="A1991" t="s">
        <v>458</v>
      </c>
      <c r="B1991">
        <v>2019</v>
      </c>
      <c r="C1991" t="s">
        <v>39</v>
      </c>
      <c r="D1991" t="s">
        <v>39</v>
      </c>
      <c r="E1991" t="s">
        <v>275</v>
      </c>
      <c r="F1991" t="s">
        <v>54</v>
      </c>
      <c r="G1991" s="5">
        <v>189659</v>
      </c>
      <c r="H1991" s="5">
        <v>213561</v>
      </c>
    </row>
    <row r="1992" spans="1:8" x14ac:dyDescent="0.25">
      <c r="A1992" t="s">
        <v>458</v>
      </c>
      <c r="B1992">
        <v>2019</v>
      </c>
      <c r="C1992" t="s">
        <v>39</v>
      </c>
      <c r="D1992" t="s">
        <v>39</v>
      </c>
      <c r="E1992" t="s">
        <v>284</v>
      </c>
      <c r="F1992" t="s">
        <v>63</v>
      </c>
      <c r="G1992" s="5">
        <v>125554</v>
      </c>
      <c r="H1992" s="5">
        <v>128763</v>
      </c>
    </row>
    <row r="1993" spans="1:8" x14ac:dyDescent="0.25">
      <c r="A1993" t="s">
        <v>458</v>
      </c>
      <c r="B1993">
        <v>2019</v>
      </c>
      <c r="C1993" t="s">
        <v>39</v>
      </c>
      <c r="D1993" t="s">
        <v>39</v>
      </c>
      <c r="E1993" t="s">
        <v>282</v>
      </c>
      <c r="F1993" t="s">
        <v>61</v>
      </c>
      <c r="G1993" s="5">
        <v>106201</v>
      </c>
      <c r="H1993" s="5">
        <v>106201</v>
      </c>
    </row>
    <row r="1994" spans="1:8" x14ac:dyDescent="0.25">
      <c r="A1994" t="s">
        <v>458</v>
      </c>
      <c r="B1994">
        <v>2019</v>
      </c>
      <c r="C1994" t="s">
        <v>39</v>
      </c>
      <c r="D1994" t="s">
        <v>39</v>
      </c>
      <c r="E1994" t="s">
        <v>278</v>
      </c>
      <c r="F1994" t="s">
        <v>57</v>
      </c>
      <c r="G1994" s="5">
        <v>102585</v>
      </c>
      <c r="H1994" s="5">
        <v>102662</v>
      </c>
    </row>
    <row r="1995" spans="1:8" x14ac:dyDescent="0.25">
      <c r="A1995" t="s">
        <v>458</v>
      </c>
      <c r="B1995">
        <v>2019</v>
      </c>
      <c r="C1995" t="s">
        <v>39</v>
      </c>
      <c r="D1995" t="s">
        <v>39</v>
      </c>
      <c r="E1995" t="s">
        <v>276</v>
      </c>
      <c r="F1995" t="s">
        <v>55</v>
      </c>
      <c r="G1995" s="5">
        <v>71547</v>
      </c>
      <c r="H1995" s="5">
        <v>71547</v>
      </c>
    </row>
    <row r="1996" spans="1:8" x14ac:dyDescent="0.25">
      <c r="A1996" t="s">
        <v>458</v>
      </c>
      <c r="B1996">
        <v>2019</v>
      </c>
      <c r="C1996" t="s">
        <v>39</v>
      </c>
      <c r="D1996" t="s">
        <v>39</v>
      </c>
      <c r="E1996" t="s">
        <v>298</v>
      </c>
      <c r="F1996" t="s">
        <v>78</v>
      </c>
      <c r="G1996" s="5">
        <v>50450</v>
      </c>
      <c r="H1996" s="5">
        <v>50450</v>
      </c>
    </row>
    <row r="1997" spans="1:8" x14ac:dyDescent="0.25">
      <c r="A1997" t="s">
        <v>458</v>
      </c>
      <c r="B1997">
        <v>2019</v>
      </c>
      <c r="C1997" t="s">
        <v>39</v>
      </c>
      <c r="D1997" t="s">
        <v>39</v>
      </c>
      <c r="E1997" t="s">
        <v>311</v>
      </c>
      <c r="F1997" t="s">
        <v>91</v>
      </c>
      <c r="G1997" s="5">
        <v>41611</v>
      </c>
      <c r="H1997" s="5">
        <v>41611</v>
      </c>
    </row>
    <row r="1998" spans="1:8" x14ac:dyDescent="0.25">
      <c r="A1998" t="s">
        <v>458</v>
      </c>
      <c r="B1998">
        <v>2019</v>
      </c>
      <c r="C1998" t="s">
        <v>39</v>
      </c>
      <c r="D1998" t="s">
        <v>39</v>
      </c>
      <c r="E1998" t="s">
        <v>283</v>
      </c>
      <c r="F1998" t="s">
        <v>62</v>
      </c>
      <c r="G1998" s="5">
        <v>37963</v>
      </c>
      <c r="H1998" s="5">
        <v>37963</v>
      </c>
    </row>
    <row r="1999" spans="1:8" x14ac:dyDescent="0.25">
      <c r="A1999" t="s">
        <v>458</v>
      </c>
      <c r="B1999">
        <v>2019</v>
      </c>
      <c r="C1999" t="s">
        <v>39</v>
      </c>
      <c r="D1999" t="s">
        <v>39</v>
      </c>
      <c r="E1999" t="s">
        <v>303</v>
      </c>
      <c r="F1999" t="s">
        <v>83</v>
      </c>
      <c r="G1999" s="5">
        <v>34504</v>
      </c>
      <c r="H1999" s="5">
        <v>34504</v>
      </c>
    </row>
    <row r="2000" spans="1:8" x14ac:dyDescent="0.25">
      <c r="A2000" t="s">
        <v>458</v>
      </c>
      <c r="B2000">
        <v>2019</v>
      </c>
      <c r="C2000" t="s">
        <v>39</v>
      </c>
      <c r="D2000" t="s">
        <v>39</v>
      </c>
      <c r="E2000" t="s">
        <v>305</v>
      </c>
      <c r="F2000" t="s">
        <v>85</v>
      </c>
      <c r="G2000" s="5">
        <v>18581</v>
      </c>
      <c r="H2000" s="5">
        <v>18581</v>
      </c>
    </row>
    <row r="2001" spans="1:8" x14ac:dyDescent="0.25">
      <c r="A2001" t="s">
        <v>458</v>
      </c>
      <c r="B2001">
        <v>2019</v>
      </c>
      <c r="C2001" t="s">
        <v>92</v>
      </c>
      <c r="D2001" t="s">
        <v>36</v>
      </c>
      <c r="E2001" t="s">
        <v>36</v>
      </c>
      <c r="F2001" t="s">
        <v>93</v>
      </c>
      <c r="G2001" s="5">
        <v>3272043585</v>
      </c>
      <c r="H2001" s="5">
        <v>3401602040</v>
      </c>
    </row>
    <row r="2002" spans="1:8" x14ac:dyDescent="0.25">
      <c r="A2002" t="s">
        <v>458</v>
      </c>
      <c r="B2002">
        <v>2019</v>
      </c>
      <c r="C2002" t="s">
        <v>92</v>
      </c>
      <c r="D2002" t="s">
        <v>38</v>
      </c>
      <c r="E2002" t="s">
        <v>313</v>
      </c>
      <c r="F2002" t="s">
        <v>95</v>
      </c>
      <c r="G2002" s="5">
        <v>194750189</v>
      </c>
      <c r="H2002" s="5">
        <v>197576963</v>
      </c>
    </row>
    <row r="2003" spans="1:8" x14ac:dyDescent="0.25">
      <c r="A2003" t="s">
        <v>458</v>
      </c>
      <c r="B2003">
        <v>2019</v>
      </c>
      <c r="C2003" t="s">
        <v>92</v>
      </c>
      <c r="D2003" t="s">
        <v>38</v>
      </c>
      <c r="E2003" t="s">
        <v>314</v>
      </c>
      <c r="F2003" t="s">
        <v>96</v>
      </c>
      <c r="G2003" s="5">
        <v>194496630</v>
      </c>
      <c r="H2003" s="5">
        <v>194682125</v>
      </c>
    </row>
    <row r="2004" spans="1:8" x14ac:dyDescent="0.25">
      <c r="A2004" t="s">
        <v>458</v>
      </c>
      <c r="B2004">
        <v>2019</v>
      </c>
      <c r="C2004" t="s">
        <v>92</v>
      </c>
      <c r="D2004" t="s">
        <v>38</v>
      </c>
      <c r="E2004" t="s">
        <v>312</v>
      </c>
      <c r="F2004" t="s">
        <v>94</v>
      </c>
      <c r="G2004" s="5">
        <v>127513487</v>
      </c>
      <c r="H2004" s="5">
        <v>127993104</v>
      </c>
    </row>
    <row r="2005" spans="1:8" x14ac:dyDescent="0.25">
      <c r="A2005" t="s">
        <v>458</v>
      </c>
      <c r="B2005">
        <v>2019</v>
      </c>
      <c r="C2005" t="s">
        <v>92</v>
      </c>
      <c r="D2005" t="s">
        <v>38</v>
      </c>
      <c r="E2005" t="s">
        <v>321</v>
      </c>
      <c r="F2005" t="s">
        <v>103</v>
      </c>
      <c r="G2005" s="5">
        <v>25088315</v>
      </c>
      <c r="H2005" s="5">
        <v>25094582</v>
      </c>
    </row>
    <row r="2006" spans="1:8" x14ac:dyDescent="0.25">
      <c r="A2006" t="s">
        <v>458</v>
      </c>
      <c r="B2006">
        <v>2019</v>
      </c>
      <c r="C2006" t="s">
        <v>92</v>
      </c>
      <c r="D2006" t="s">
        <v>38</v>
      </c>
      <c r="E2006" t="s">
        <v>325</v>
      </c>
      <c r="F2006" t="s">
        <v>108</v>
      </c>
      <c r="G2006" s="5">
        <v>19089975</v>
      </c>
      <c r="H2006" s="5">
        <v>19089975</v>
      </c>
    </row>
    <row r="2007" spans="1:8" x14ac:dyDescent="0.25">
      <c r="A2007" t="s">
        <v>458</v>
      </c>
      <c r="B2007">
        <v>2019</v>
      </c>
      <c r="C2007" t="s">
        <v>92</v>
      </c>
      <c r="D2007" t="s">
        <v>38</v>
      </c>
      <c r="E2007" t="s">
        <v>318</v>
      </c>
      <c r="F2007" t="s">
        <v>100</v>
      </c>
      <c r="G2007" s="5">
        <v>12156511</v>
      </c>
      <c r="H2007" s="5">
        <v>12209142</v>
      </c>
    </row>
    <row r="2008" spans="1:8" x14ac:dyDescent="0.25">
      <c r="A2008" t="s">
        <v>458</v>
      </c>
      <c r="B2008">
        <v>2019</v>
      </c>
      <c r="C2008" t="s">
        <v>92</v>
      </c>
      <c r="D2008" t="s">
        <v>38</v>
      </c>
      <c r="E2008" t="s">
        <v>315</v>
      </c>
      <c r="F2008" t="s">
        <v>97</v>
      </c>
      <c r="G2008" s="5">
        <v>12111856</v>
      </c>
      <c r="H2008" s="5">
        <v>12172659</v>
      </c>
    </row>
    <row r="2009" spans="1:8" x14ac:dyDescent="0.25">
      <c r="A2009" t="s">
        <v>458</v>
      </c>
      <c r="B2009">
        <v>2019</v>
      </c>
      <c r="C2009" t="s">
        <v>92</v>
      </c>
      <c r="D2009" t="s">
        <v>38</v>
      </c>
      <c r="E2009" t="s">
        <v>319</v>
      </c>
      <c r="F2009" t="s">
        <v>101</v>
      </c>
      <c r="G2009" s="5">
        <v>8898001</v>
      </c>
      <c r="H2009" s="5">
        <v>8898080</v>
      </c>
    </row>
    <row r="2010" spans="1:8" x14ac:dyDescent="0.25">
      <c r="A2010" t="s">
        <v>458</v>
      </c>
      <c r="B2010">
        <v>2019</v>
      </c>
      <c r="C2010" t="s">
        <v>92</v>
      </c>
      <c r="D2010" t="s">
        <v>38</v>
      </c>
      <c r="E2010" t="s">
        <v>322</v>
      </c>
      <c r="F2010" t="s">
        <v>105</v>
      </c>
      <c r="G2010" s="5">
        <v>8016131</v>
      </c>
      <c r="H2010" s="5">
        <v>8076139</v>
      </c>
    </row>
    <row r="2011" spans="1:8" x14ac:dyDescent="0.25">
      <c r="A2011" t="s">
        <v>458</v>
      </c>
      <c r="B2011">
        <v>2019</v>
      </c>
      <c r="C2011" t="s">
        <v>92</v>
      </c>
      <c r="D2011" t="s">
        <v>38</v>
      </c>
      <c r="E2011" t="s">
        <v>316</v>
      </c>
      <c r="F2011" t="s">
        <v>98</v>
      </c>
      <c r="G2011" s="5">
        <v>6936024</v>
      </c>
      <c r="H2011" s="5">
        <v>6940043</v>
      </c>
    </row>
    <row r="2012" spans="1:8" x14ac:dyDescent="0.25">
      <c r="A2012" t="s">
        <v>458</v>
      </c>
      <c r="B2012">
        <v>2019</v>
      </c>
      <c r="C2012" t="s">
        <v>92</v>
      </c>
      <c r="D2012" t="s">
        <v>38</v>
      </c>
      <c r="E2012" t="s">
        <v>332</v>
      </c>
      <c r="F2012" t="s">
        <v>115</v>
      </c>
      <c r="G2012" s="5">
        <v>3551129</v>
      </c>
      <c r="H2012" s="5">
        <v>3695505</v>
      </c>
    </row>
    <row r="2013" spans="1:8" x14ac:dyDescent="0.25">
      <c r="A2013" t="s">
        <v>458</v>
      </c>
      <c r="B2013">
        <v>2019</v>
      </c>
      <c r="C2013" t="s">
        <v>92</v>
      </c>
      <c r="D2013" t="s">
        <v>38</v>
      </c>
      <c r="E2013" t="s">
        <v>326</v>
      </c>
      <c r="F2013" t="s">
        <v>109</v>
      </c>
      <c r="G2013" s="5">
        <v>2939192</v>
      </c>
      <c r="H2013" s="5">
        <v>3289125</v>
      </c>
    </row>
    <row r="2014" spans="1:8" x14ac:dyDescent="0.25">
      <c r="A2014" t="s">
        <v>458</v>
      </c>
      <c r="B2014">
        <v>2019</v>
      </c>
      <c r="C2014" t="s">
        <v>92</v>
      </c>
      <c r="D2014" t="s">
        <v>38</v>
      </c>
      <c r="E2014" t="s">
        <v>328</v>
      </c>
      <c r="F2014" t="s">
        <v>111</v>
      </c>
      <c r="G2014" s="5">
        <v>2658565</v>
      </c>
      <c r="H2014" s="5">
        <v>2663046</v>
      </c>
    </row>
    <row r="2015" spans="1:8" x14ac:dyDescent="0.25">
      <c r="A2015" t="s">
        <v>458</v>
      </c>
      <c r="B2015">
        <v>2019</v>
      </c>
      <c r="C2015" t="s">
        <v>92</v>
      </c>
      <c r="D2015" t="s">
        <v>38</v>
      </c>
      <c r="E2015" t="s">
        <v>337</v>
      </c>
      <c r="F2015" t="s">
        <v>120</v>
      </c>
      <c r="G2015" s="5">
        <v>1727093</v>
      </c>
      <c r="H2015" s="5">
        <v>1727093</v>
      </c>
    </row>
    <row r="2016" spans="1:8" x14ac:dyDescent="0.25">
      <c r="A2016" t="s">
        <v>458</v>
      </c>
      <c r="B2016">
        <v>2019</v>
      </c>
      <c r="C2016" t="s">
        <v>92</v>
      </c>
      <c r="D2016" t="s">
        <v>38</v>
      </c>
      <c r="E2016" t="s">
        <v>323</v>
      </c>
      <c r="F2016" t="s">
        <v>106</v>
      </c>
      <c r="G2016" s="5">
        <v>1700233</v>
      </c>
      <c r="H2016" s="5">
        <v>1714475</v>
      </c>
    </row>
    <row r="2017" spans="1:8" x14ac:dyDescent="0.25">
      <c r="A2017" t="s">
        <v>458</v>
      </c>
      <c r="B2017">
        <v>2019</v>
      </c>
      <c r="C2017" t="s">
        <v>92</v>
      </c>
      <c r="D2017" t="s">
        <v>38</v>
      </c>
      <c r="E2017" t="s">
        <v>324</v>
      </c>
      <c r="F2017" t="s">
        <v>107</v>
      </c>
      <c r="G2017" s="5">
        <v>1534952</v>
      </c>
      <c r="H2017" s="5">
        <v>1535782</v>
      </c>
    </row>
    <row r="2018" spans="1:8" x14ac:dyDescent="0.25">
      <c r="A2018" t="s">
        <v>458</v>
      </c>
      <c r="B2018">
        <v>2019</v>
      </c>
      <c r="C2018" t="s">
        <v>92</v>
      </c>
      <c r="D2018" t="s">
        <v>38</v>
      </c>
      <c r="E2018" t="s">
        <v>329</v>
      </c>
      <c r="F2018" t="s">
        <v>112</v>
      </c>
      <c r="G2018" s="5">
        <v>1369174</v>
      </c>
      <c r="H2018" s="5">
        <v>1369174</v>
      </c>
    </row>
    <row r="2019" spans="1:8" x14ac:dyDescent="0.25">
      <c r="A2019" t="s">
        <v>458</v>
      </c>
      <c r="B2019">
        <v>2019</v>
      </c>
      <c r="C2019" t="s">
        <v>92</v>
      </c>
      <c r="D2019" t="s">
        <v>38</v>
      </c>
      <c r="F2019" t="s">
        <v>104</v>
      </c>
      <c r="G2019" s="5">
        <v>1280985</v>
      </c>
      <c r="H2019" s="5">
        <v>2410054</v>
      </c>
    </row>
    <row r="2020" spans="1:8" x14ac:dyDescent="0.25">
      <c r="A2020" t="s">
        <v>458</v>
      </c>
      <c r="B2020">
        <v>2019</v>
      </c>
      <c r="C2020" t="s">
        <v>92</v>
      </c>
      <c r="D2020" t="s">
        <v>38</v>
      </c>
      <c r="E2020" t="s">
        <v>444</v>
      </c>
      <c r="F2020" t="s">
        <v>231</v>
      </c>
      <c r="G2020" s="5">
        <v>1272097</v>
      </c>
      <c r="H2020" s="5">
        <v>1272097</v>
      </c>
    </row>
    <row r="2021" spans="1:8" x14ac:dyDescent="0.25">
      <c r="A2021" t="s">
        <v>458</v>
      </c>
      <c r="B2021">
        <v>2019</v>
      </c>
      <c r="C2021" t="s">
        <v>92</v>
      </c>
      <c r="D2021" t="s">
        <v>38</v>
      </c>
      <c r="E2021" t="s">
        <v>331</v>
      </c>
      <c r="F2021" t="s">
        <v>114</v>
      </c>
      <c r="G2021" s="5">
        <v>1105997</v>
      </c>
      <c r="H2021" s="5">
        <v>1105997</v>
      </c>
    </row>
    <row r="2022" spans="1:8" x14ac:dyDescent="0.25">
      <c r="A2022" t="s">
        <v>458</v>
      </c>
      <c r="B2022">
        <v>2019</v>
      </c>
      <c r="C2022" t="s">
        <v>92</v>
      </c>
      <c r="D2022" t="s">
        <v>38</v>
      </c>
      <c r="E2022" t="s">
        <v>327</v>
      </c>
      <c r="F2022" t="s">
        <v>110</v>
      </c>
      <c r="G2022" s="5">
        <v>729401</v>
      </c>
      <c r="H2022" s="5">
        <v>729401</v>
      </c>
    </row>
    <row r="2023" spans="1:8" x14ac:dyDescent="0.25">
      <c r="A2023" t="s">
        <v>458</v>
      </c>
      <c r="B2023">
        <v>2019</v>
      </c>
      <c r="C2023" t="s">
        <v>92</v>
      </c>
      <c r="D2023" t="s">
        <v>38</v>
      </c>
      <c r="E2023" t="s">
        <v>330</v>
      </c>
      <c r="F2023" t="s">
        <v>113</v>
      </c>
      <c r="G2023" s="5">
        <v>203728</v>
      </c>
      <c r="H2023" s="5">
        <v>203728</v>
      </c>
    </row>
    <row r="2024" spans="1:8" x14ac:dyDescent="0.25">
      <c r="A2024" t="s">
        <v>458</v>
      </c>
      <c r="B2024">
        <v>2019</v>
      </c>
      <c r="C2024" t="s">
        <v>92</v>
      </c>
      <c r="D2024" t="s">
        <v>38</v>
      </c>
      <c r="E2024" t="s">
        <v>333</v>
      </c>
      <c r="F2024" t="s">
        <v>116</v>
      </c>
      <c r="G2024" s="5">
        <v>177542</v>
      </c>
      <c r="H2024" s="5">
        <v>177542</v>
      </c>
    </row>
    <row r="2025" spans="1:8" x14ac:dyDescent="0.25">
      <c r="A2025" t="s">
        <v>458</v>
      </c>
      <c r="B2025">
        <v>2019</v>
      </c>
      <c r="C2025" t="s">
        <v>92</v>
      </c>
      <c r="D2025" t="s">
        <v>38</v>
      </c>
      <c r="E2025" t="s">
        <v>320</v>
      </c>
      <c r="F2025" t="s">
        <v>102</v>
      </c>
      <c r="G2025" s="5">
        <v>103208</v>
      </c>
      <c r="H2025" s="5">
        <v>1267738</v>
      </c>
    </row>
    <row r="2026" spans="1:8" x14ac:dyDescent="0.25">
      <c r="A2026" t="s">
        <v>458</v>
      </c>
      <c r="B2026">
        <v>2019</v>
      </c>
      <c r="C2026" t="s">
        <v>92</v>
      </c>
      <c r="D2026" t="s">
        <v>38</v>
      </c>
      <c r="E2026" t="s">
        <v>441</v>
      </c>
      <c r="F2026" t="s">
        <v>228</v>
      </c>
      <c r="G2026" s="5">
        <v>76348</v>
      </c>
      <c r="H2026" s="5">
        <v>76348</v>
      </c>
    </row>
    <row r="2027" spans="1:8" x14ac:dyDescent="0.25">
      <c r="A2027" t="s">
        <v>458</v>
      </c>
      <c r="B2027">
        <v>2019</v>
      </c>
      <c r="C2027" t="s">
        <v>92</v>
      </c>
      <c r="D2027" t="s">
        <v>38</v>
      </c>
      <c r="E2027" t="s">
        <v>460</v>
      </c>
      <c r="F2027" t="s">
        <v>248</v>
      </c>
      <c r="G2027" s="5">
        <v>19964</v>
      </c>
      <c r="H2027" s="5">
        <v>19964</v>
      </c>
    </row>
    <row r="2028" spans="1:8" x14ac:dyDescent="0.25">
      <c r="A2028" t="s">
        <v>458</v>
      </c>
      <c r="B2028">
        <v>2019</v>
      </c>
      <c r="C2028" t="s">
        <v>92</v>
      </c>
      <c r="D2028" t="s">
        <v>38</v>
      </c>
      <c r="E2028" t="s">
        <v>340</v>
      </c>
      <c r="F2028" t="s">
        <v>123</v>
      </c>
      <c r="G2028" s="5">
        <v>14869</v>
      </c>
      <c r="H2028" s="5">
        <v>14869</v>
      </c>
    </row>
    <row r="2029" spans="1:8" x14ac:dyDescent="0.25">
      <c r="A2029" t="s">
        <v>458</v>
      </c>
      <c r="B2029">
        <v>2019</v>
      </c>
      <c r="C2029" t="s">
        <v>92</v>
      </c>
      <c r="D2029" t="s">
        <v>38</v>
      </c>
      <c r="E2029" t="s">
        <v>461</v>
      </c>
      <c r="F2029" t="s">
        <v>249</v>
      </c>
      <c r="G2029" s="5">
        <v>14367</v>
      </c>
      <c r="H2029" s="5">
        <v>14367</v>
      </c>
    </row>
    <row r="2030" spans="1:8" x14ac:dyDescent="0.25">
      <c r="A2030" t="s">
        <v>458</v>
      </c>
      <c r="B2030">
        <v>2019</v>
      </c>
      <c r="C2030" t="s">
        <v>92</v>
      </c>
      <c r="D2030" t="s">
        <v>38</v>
      </c>
      <c r="E2030" t="s">
        <v>335</v>
      </c>
      <c r="F2030" t="s">
        <v>118</v>
      </c>
      <c r="G2030" s="5">
        <v>8791</v>
      </c>
      <c r="H2030" s="5">
        <v>8791</v>
      </c>
    </row>
    <row r="2031" spans="1:8" x14ac:dyDescent="0.25">
      <c r="A2031" t="s">
        <v>458</v>
      </c>
      <c r="B2031">
        <v>2019</v>
      </c>
      <c r="C2031" t="s">
        <v>35</v>
      </c>
      <c r="D2031" t="s">
        <v>35</v>
      </c>
      <c r="E2031" t="s">
        <v>343</v>
      </c>
      <c r="F2031" t="s">
        <v>126</v>
      </c>
      <c r="G2031" s="5">
        <v>5021237654</v>
      </c>
      <c r="H2031" s="5">
        <v>5023837890</v>
      </c>
    </row>
    <row r="2032" spans="1:8" x14ac:dyDescent="0.25">
      <c r="A2032" t="s">
        <v>458</v>
      </c>
      <c r="B2032">
        <v>2019</v>
      </c>
      <c r="C2032" t="s">
        <v>35</v>
      </c>
      <c r="D2032" t="s">
        <v>35</v>
      </c>
      <c r="E2032" t="s">
        <v>354</v>
      </c>
      <c r="F2032" t="s">
        <v>137</v>
      </c>
      <c r="G2032" s="5">
        <v>634310416</v>
      </c>
      <c r="H2032" s="5">
        <v>634321411</v>
      </c>
    </row>
    <row r="2033" spans="1:8" x14ac:dyDescent="0.25">
      <c r="A2033" t="s">
        <v>458</v>
      </c>
      <c r="B2033">
        <v>2019</v>
      </c>
      <c r="C2033" t="s">
        <v>35</v>
      </c>
      <c r="D2033" t="s">
        <v>35</v>
      </c>
      <c r="E2033" t="s">
        <v>348</v>
      </c>
      <c r="F2033" t="s">
        <v>131</v>
      </c>
      <c r="G2033" s="5">
        <v>549424284</v>
      </c>
      <c r="H2033" s="5">
        <v>641025667</v>
      </c>
    </row>
    <row r="2034" spans="1:8" x14ac:dyDescent="0.25">
      <c r="A2034" t="s">
        <v>458</v>
      </c>
      <c r="B2034">
        <v>2019</v>
      </c>
      <c r="C2034" t="s">
        <v>35</v>
      </c>
      <c r="D2034" t="s">
        <v>35</v>
      </c>
      <c r="E2034" t="s">
        <v>352</v>
      </c>
      <c r="F2034" t="s">
        <v>135</v>
      </c>
      <c r="G2034" s="5">
        <v>287936127</v>
      </c>
      <c r="H2034" s="5">
        <v>288030130</v>
      </c>
    </row>
    <row r="2035" spans="1:8" x14ac:dyDescent="0.25">
      <c r="A2035" t="s">
        <v>458</v>
      </c>
      <c r="B2035">
        <v>2019</v>
      </c>
      <c r="C2035" t="s">
        <v>35</v>
      </c>
      <c r="D2035" t="s">
        <v>35</v>
      </c>
      <c r="E2035" t="s">
        <v>345</v>
      </c>
      <c r="F2035" t="s">
        <v>128</v>
      </c>
      <c r="G2035" s="5">
        <v>278962848</v>
      </c>
      <c r="H2035" s="5">
        <v>282154659</v>
      </c>
    </row>
    <row r="2036" spans="1:8" x14ac:dyDescent="0.25">
      <c r="A2036" t="s">
        <v>458</v>
      </c>
      <c r="B2036">
        <v>2019</v>
      </c>
      <c r="C2036" t="s">
        <v>35</v>
      </c>
      <c r="D2036" t="s">
        <v>35</v>
      </c>
      <c r="E2036" t="s">
        <v>344</v>
      </c>
      <c r="F2036" t="s">
        <v>127</v>
      </c>
      <c r="G2036" s="5">
        <v>266266401</v>
      </c>
      <c r="H2036" s="5">
        <v>266282037</v>
      </c>
    </row>
    <row r="2037" spans="1:8" x14ac:dyDescent="0.25">
      <c r="A2037" t="s">
        <v>458</v>
      </c>
      <c r="B2037">
        <v>2019</v>
      </c>
      <c r="C2037" t="s">
        <v>35</v>
      </c>
      <c r="D2037" t="s">
        <v>35</v>
      </c>
      <c r="E2037" t="s">
        <v>356</v>
      </c>
      <c r="F2037" t="s">
        <v>139</v>
      </c>
      <c r="G2037" s="5">
        <v>245758200</v>
      </c>
      <c r="H2037" s="5">
        <v>246156010</v>
      </c>
    </row>
    <row r="2038" spans="1:8" x14ac:dyDescent="0.25">
      <c r="A2038" t="s">
        <v>458</v>
      </c>
      <c r="B2038">
        <v>2019</v>
      </c>
      <c r="C2038" t="s">
        <v>35</v>
      </c>
      <c r="D2038" t="s">
        <v>35</v>
      </c>
      <c r="E2038" t="s">
        <v>353</v>
      </c>
      <c r="F2038" t="s">
        <v>136</v>
      </c>
      <c r="G2038" s="5">
        <v>229483067</v>
      </c>
      <c r="H2038" s="5">
        <v>229483187</v>
      </c>
    </row>
    <row r="2039" spans="1:8" x14ac:dyDescent="0.25">
      <c r="A2039" t="s">
        <v>458</v>
      </c>
      <c r="B2039">
        <v>2019</v>
      </c>
      <c r="C2039" t="s">
        <v>35</v>
      </c>
      <c r="D2039" t="s">
        <v>35</v>
      </c>
      <c r="E2039" t="s">
        <v>360</v>
      </c>
      <c r="F2039" t="s">
        <v>143</v>
      </c>
      <c r="G2039" s="5">
        <v>146662114</v>
      </c>
      <c r="H2039" s="5">
        <v>146662114</v>
      </c>
    </row>
    <row r="2040" spans="1:8" x14ac:dyDescent="0.25">
      <c r="A2040" t="s">
        <v>458</v>
      </c>
      <c r="B2040">
        <v>2019</v>
      </c>
      <c r="C2040" t="s">
        <v>35</v>
      </c>
      <c r="D2040" t="s">
        <v>35</v>
      </c>
      <c r="E2040" t="s">
        <v>362</v>
      </c>
      <c r="F2040" t="s">
        <v>145</v>
      </c>
      <c r="G2040" s="5">
        <v>94642697</v>
      </c>
      <c r="H2040" s="5">
        <v>94649127</v>
      </c>
    </row>
    <row r="2041" spans="1:8" x14ac:dyDescent="0.25">
      <c r="A2041" t="s">
        <v>458</v>
      </c>
      <c r="B2041">
        <v>2019</v>
      </c>
      <c r="C2041" t="s">
        <v>35</v>
      </c>
      <c r="D2041" t="s">
        <v>35</v>
      </c>
      <c r="E2041" t="s">
        <v>355</v>
      </c>
      <c r="F2041" t="s">
        <v>138</v>
      </c>
      <c r="G2041" s="5">
        <v>92310307</v>
      </c>
      <c r="H2041" s="5">
        <v>92332670</v>
      </c>
    </row>
    <row r="2042" spans="1:8" x14ac:dyDescent="0.25">
      <c r="A2042" t="s">
        <v>458</v>
      </c>
      <c r="B2042">
        <v>2019</v>
      </c>
      <c r="C2042" t="s">
        <v>35</v>
      </c>
      <c r="D2042" t="s">
        <v>35</v>
      </c>
      <c r="E2042" t="s">
        <v>349</v>
      </c>
      <c r="F2042" t="s">
        <v>132</v>
      </c>
      <c r="G2042" s="5">
        <v>92063042</v>
      </c>
      <c r="H2042" s="5">
        <v>109753855</v>
      </c>
    </row>
    <row r="2043" spans="1:8" x14ac:dyDescent="0.25">
      <c r="A2043" t="s">
        <v>458</v>
      </c>
      <c r="B2043">
        <v>2019</v>
      </c>
      <c r="C2043" t="s">
        <v>35</v>
      </c>
      <c r="D2043" t="s">
        <v>35</v>
      </c>
      <c r="E2043" t="s">
        <v>346</v>
      </c>
      <c r="F2043" t="s">
        <v>129</v>
      </c>
      <c r="G2043" s="5">
        <v>48247325</v>
      </c>
      <c r="H2043" s="5">
        <v>66320008</v>
      </c>
    </row>
    <row r="2044" spans="1:8" x14ac:dyDescent="0.25">
      <c r="A2044" t="s">
        <v>458</v>
      </c>
      <c r="B2044">
        <v>2019</v>
      </c>
      <c r="C2044" t="s">
        <v>35</v>
      </c>
      <c r="D2044" t="s">
        <v>35</v>
      </c>
      <c r="E2044" t="s">
        <v>351</v>
      </c>
      <c r="F2044" t="s">
        <v>134</v>
      </c>
      <c r="G2044" s="5">
        <v>42741012</v>
      </c>
      <c r="H2044" s="5">
        <v>56494281</v>
      </c>
    </row>
    <row r="2045" spans="1:8" x14ac:dyDescent="0.25">
      <c r="A2045" t="s">
        <v>458</v>
      </c>
      <c r="B2045">
        <v>2019</v>
      </c>
      <c r="C2045" t="s">
        <v>35</v>
      </c>
      <c r="D2045" t="s">
        <v>35</v>
      </c>
      <c r="E2045" t="s">
        <v>383</v>
      </c>
      <c r="F2045" t="s">
        <v>167</v>
      </c>
      <c r="G2045" s="5">
        <v>42353595</v>
      </c>
      <c r="H2045" s="5">
        <v>42353595</v>
      </c>
    </row>
    <row r="2046" spans="1:8" x14ac:dyDescent="0.25">
      <c r="A2046" t="s">
        <v>458</v>
      </c>
      <c r="B2046">
        <v>2019</v>
      </c>
      <c r="C2046" t="s">
        <v>35</v>
      </c>
      <c r="D2046" t="s">
        <v>35</v>
      </c>
      <c r="E2046" t="s">
        <v>357</v>
      </c>
      <c r="F2046" t="s">
        <v>140</v>
      </c>
      <c r="G2046" s="5">
        <v>40532424</v>
      </c>
      <c r="H2046" s="5">
        <v>40532424</v>
      </c>
    </row>
    <row r="2047" spans="1:8" x14ac:dyDescent="0.25">
      <c r="A2047" t="s">
        <v>458</v>
      </c>
      <c r="B2047">
        <v>2019</v>
      </c>
      <c r="C2047" t="s">
        <v>35</v>
      </c>
      <c r="D2047" t="s">
        <v>35</v>
      </c>
      <c r="E2047" t="s">
        <v>347</v>
      </c>
      <c r="F2047" t="s">
        <v>130</v>
      </c>
      <c r="G2047" s="5">
        <v>34913117</v>
      </c>
      <c r="H2047" s="5">
        <v>75344979</v>
      </c>
    </row>
    <row r="2048" spans="1:8" x14ac:dyDescent="0.25">
      <c r="A2048" t="s">
        <v>458</v>
      </c>
      <c r="B2048">
        <v>2019</v>
      </c>
      <c r="C2048" t="s">
        <v>35</v>
      </c>
      <c r="D2048" t="s">
        <v>35</v>
      </c>
      <c r="E2048" t="s">
        <v>350</v>
      </c>
      <c r="F2048" t="s">
        <v>133</v>
      </c>
      <c r="G2048" s="5">
        <v>29070510</v>
      </c>
      <c r="H2048" s="5">
        <v>29389386</v>
      </c>
    </row>
    <row r="2049" spans="1:8" x14ac:dyDescent="0.25">
      <c r="A2049" t="s">
        <v>458</v>
      </c>
      <c r="B2049">
        <v>2019</v>
      </c>
      <c r="C2049" t="s">
        <v>35</v>
      </c>
      <c r="D2049" t="s">
        <v>35</v>
      </c>
      <c r="E2049" t="s">
        <v>366</v>
      </c>
      <c r="F2049" t="s">
        <v>149</v>
      </c>
      <c r="G2049" s="5">
        <v>27217652</v>
      </c>
      <c r="H2049" s="5">
        <v>27509548</v>
      </c>
    </row>
    <row r="2050" spans="1:8" x14ac:dyDescent="0.25">
      <c r="A2050" t="s">
        <v>458</v>
      </c>
      <c r="B2050">
        <v>2019</v>
      </c>
      <c r="C2050" t="s">
        <v>35</v>
      </c>
      <c r="D2050" t="s">
        <v>35</v>
      </c>
      <c r="E2050" t="s">
        <v>379</v>
      </c>
      <c r="F2050" t="s">
        <v>163</v>
      </c>
      <c r="G2050" s="5">
        <v>21375744</v>
      </c>
      <c r="H2050" s="5">
        <v>21389443</v>
      </c>
    </row>
    <row r="2051" spans="1:8" x14ac:dyDescent="0.25">
      <c r="A2051" t="s">
        <v>458</v>
      </c>
      <c r="B2051">
        <v>2019</v>
      </c>
      <c r="C2051" t="s">
        <v>35</v>
      </c>
      <c r="D2051" t="s">
        <v>35</v>
      </c>
      <c r="E2051" t="s">
        <v>367</v>
      </c>
      <c r="F2051" t="s">
        <v>150</v>
      </c>
      <c r="G2051" s="5">
        <v>19925930</v>
      </c>
      <c r="H2051" s="5">
        <v>19925930</v>
      </c>
    </row>
    <row r="2052" spans="1:8" x14ac:dyDescent="0.25">
      <c r="A2052" t="s">
        <v>458</v>
      </c>
      <c r="B2052">
        <v>2019</v>
      </c>
      <c r="C2052" t="s">
        <v>35</v>
      </c>
      <c r="D2052" t="s">
        <v>35</v>
      </c>
      <c r="E2052" t="s">
        <v>381</v>
      </c>
      <c r="F2052" t="s">
        <v>165</v>
      </c>
      <c r="G2052" s="5">
        <v>3373253</v>
      </c>
      <c r="H2052" s="5">
        <v>3373253</v>
      </c>
    </row>
    <row r="2053" spans="1:8" x14ac:dyDescent="0.25">
      <c r="A2053" t="s">
        <v>458</v>
      </c>
      <c r="B2053">
        <v>2019</v>
      </c>
      <c r="C2053" t="s">
        <v>35</v>
      </c>
      <c r="D2053" t="s">
        <v>35</v>
      </c>
      <c r="E2053" t="s">
        <v>359</v>
      </c>
      <c r="F2053" t="s">
        <v>142</v>
      </c>
      <c r="G2053" s="5">
        <v>3260139</v>
      </c>
      <c r="H2053" s="5">
        <v>3260139</v>
      </c>
    </row>
    <row r="2054" spans="1:8" x14ac:dyDescent="0.25">
      <c r="A2054" t="s">
        <v>458</v>
      </c>
      <c r="B2054">
        <v>2019</v>
      </c>
      <c r="C2054" t="s">
        <v>35</v>
      </c>
      <c r="D2054" t="s">
        <v>35</v>
      </c>
      <c r="F2054" t="s">
        <v>161</v>
      </c>
      <c r="G2054" s="5">
        <v>2681213</v>
      </c>
      <c r="H2054" s="5">
        <v>2681213</v>
      </c>
    </row>
    <row r="2055" spans="1:8" x14ac:dyDescent="0.25">
      <c r="A2055" t="s">
        <v>458</v>
      </c>
      <c r="B2055">
        <v>2019</v>
      </c>
      <c r="C2055" t="s">
        <v>35</v>
      </c>
      <c r="D2055" t="s">
        <v>35</v>
      </c>
      <c r="E2055" t="s">
        <v>382</v>
      </c>
      <c r="F2055" t="s">
        <v>166</v>
      </c>
      <c r="G2055" s="5">
        <v>2217063</v>
      </c>
      <c r="H2055" s="5">
        <v>2217063</v>
      </c>
    </row>
    <row r="2056" spans="1:8" x14ac:dyDescent="0.25">
      <c r="A2056" t="s">
        <v>458</v>
      </c>
      <c r="B2056">
        <v>2019</v>
      </c>
      <c r="C2056" t="s">
        <v>35</v>
      </c>
      <c r="D2056" t="s">
        <v>35</v>
      </c>
      <c r="E2056" t="s">
        <v>364</v>
      </c>
      <c r="F2056" t="s">
        <v>147</v>
      </c>
      <c r="G2056" s="5">
        <v>2064850</v>
      </c>
      <c r="H2056" s="5">
        <v>314842299</v>
      </c>
    </row>
    <row r="2057" spans="1:8" x14ac:dyDescent="0.25">
      <c r="A2057" t="s">
        <v>458</v>
      </c>
      <c r="B2057">
        <v>2019</v>
      </c>
      <c r="C2057" t="s">
        <v>35</v>
      </c>
      <c r="D2057" t="s">
        <v>35</v>
      </c>
      <c r="E2057" t="s">
        <v>370</v>
      </c>
      <c r="F2057" t="s">
        <v>153</v>
      </c>
      <c r="G2057" s="5">
        <v>1844643</v>
      </c>
      <c r="H2057" s="5">
        <v>29996082</v>
      </c>
    </row>
    <row r="2058" spans="1:8" x14ac:dyDescent="0.25">
      <c r="A2058" t="s">
        <v>458</v>
      </c>
      <c r="B2058">
        <v>2019</v>
      </c>
      <c r="C2058" t="s">
        <v>35</v>
      </c>
      <c r="D2058" t="s">
        <v>35</v>
      </c>
      <c r="E2058" t="s">
        <v>378</v>
      </c>
      <c r="F2058" t="s">
        <v>162</v>
      </c>
      <c r="G2058" s="5">
        <v>1545689</v>
      </c>
      <c r="H2058" s="5">
        <v>1545689</v>
      </c>
    </row>
    <row r="2059" spans="1:8" x14ac:dyDescent="0.25">
      <c r="A2059" t="s">
        <v>458</v>
      </c>
      <c r="B2059">
        <v>2019</v>
      </c>
      <c r="C2059" t="s">
        <v>35</v>
      </c>
      <c r="D2059" t="s">
        <v>35</v>
      </c>
      <c r="E2059" t="s">
        <v>377</v>
      </c>
      <c r="F2059" t="s">
        <v>160</v>
      </c>
      <c r="G2059" s="5">
        <v>800427</v>
      </c>
      <c r="H2059" s="5">
        <v>825218</v>
      </c>
    </row>
    <row r="2060" spans="1:8" x14ac:dyDescent="0.25">
      <c r="A2060" t="s">
        <v>458</v>
      </c>
      <c r="B2060">
        <v>2019</v>
      </c>
      <c r="C2060" t="s">
        <v>35</v>
      </c>
      <c r="D2060" t="s">
        <v>35</v>
      </c>
      <c r="E2060" t="s">
        <v>361</v>
      </c>
      <c r="F2060" t="s">
        <v>144</v>
      </c>
      <c r="G2060" s="5">
        <v>690024</v>
      </c>
      <c r="H2060" s="5">
        <v>690024</v>
      </c>
    </row>
    <row r="2061" spans="1:8" x14ac:dyDescent="0.25">
      <c r="A2061" t="s">
        <v>458</v>
      </c>
      <c r="B2061">
        <v>2019</v>
      </c>
      <c r="C2061" t="s">
        <v>35</v>
      </c>
      <c r="D2061" t="s">
        <v>35</v>
      </c>
      <c r="E2061" t="s">
        <v>371</v>
      </c>
      <c r="F2061" t="s">
        <v>154</v>
      </c>
      <c r="G2061" s="5">
        <v>638103</v>
      </c>
      <c r="H2061" s="5">
        <v>638103</v>
      </c>
    </row>
    <row r="2062" spans="1:8" x14ac:dyDescent="0.25">
      <c r="A2062" t="s">
        <v>458</v>
      </c>
      <c r="B2062">
        <v>2019</v>
      </c>
      <c r="C2062" t="s">
        <v>35</v>
      </c>
      <c r="D2062" t="s">
        <v>35</v>
      </c>
      <c r="E2062" t="s">
        <v>376</v>
      </c>
      <c r="F2062" t="s">
        <v>159</v>
      </c>
      <c r="G2062" s="5">
        <v>390442</v>
      </c>
      <c r="H2062" s="5">
        <v>390442</v>
      </c>
    </row>
    <row r="2063" spans="1:8" x14ac:dyDescent="0.25">
      <c r="A2063" t="s">
        <v>458</v>
      </c>
      <c r="B2063">
        <v>2019</v>
      </c>
      <c r="C2063" t="s">
        <v>35</v>
      </c>
      <c r="D2063" t="s">
        <v>35</v>
      </c>
      <c r="E2063" t="s">
        <v>363</v>
      </c>
      <c r="F2063" t="s">
        <v>146</v>
      </c>
      <c r="G2063" s="5">
        <v>300677</v>
      </c>
      <c r="H2063" s="5">
        <v>2572035554</v>
      </c>
    </row>
    <row r="2064" spans="1:8" x14ac:dyDescent="0.25">
      <c r="A2064" t="s">
        <v>458</v>
      </c>
      <c r="B2064">
        <v>2019</v>
      </c>
      <c r="C2064" t="s">
        <v>35</v>
      </c>
      <c r="D2064" t="s">
        <v>35</v>
      </c>
      <c r="E2064" t="s">
        <v>358</v>
      </c>
      <c r="F2064" t="s">
        <v>141</v>
      </c>
      <c r="G2064" s="5">
        <v>251906</v>
      </c>
      <c r="H2064" s="5">
        <v>251906</v>
      </c>
    </row>
    <row r="2065" spans="1:8" x14ac:dyDescent="0.25">
      <c r="A2065" t="s">
        <v>458</v>
      </c>
      <c r="B2065">
        <v>2019</v>
      </c>
      <c r="C2065" t="s">
        <v>35</v>
      </c>
      <c r="D2065" t="s">
        <v>35</v>
      </c>
      <c r="E2065" t="s">
        <v>385</v>
      </c>
      <c r="F2065" t="s">
        <v>169</v>
      </c>
      <c r="G2065" s="5">
        <v>129310</v>
      </c>
      <c r="H2065" s="5">
        <v>135369</v>
      </c>
    </row>
    <row r="2066" spans="1:8" x14ac:dyDescent="0.25">
      <c r="A2066" t="s">
        <v>458</v>
      </c>
      <c r="B2066">
        <v>2019</v>
      </c>
      <c r="C2066" t="s">
        <v>35</v>
      </c>
      <c r="D2066" t="s">
        <v>35</v>
      </c>
      <c r="E2066" t="s">
        <v>365</v>
      </c>
      <c r="F2066" t="s">
        <v>148</v>
      </c>
      <c r="G2066" s="5">
        <v>114237</v>
      </c>
      <c r="H2066" s="5">
        <v>383178</v>
      </c>
    </row>
    <row r="2067" spans="1:8" x14ac:dyDescent="0.25">
      <c r="A2067" t="s">
        <v>458</v>
      </c>
      <c r="B2067">
        <v>2019</v>
      </c>
      <c r="C2067" t="s">
        <v>35</v>
      </c>
      <c r="D2067" t="s">
        <v>35</v>
      </c>
      <c r="E2067" t="s">
        <v>384</v>
      </c>
      <c r="F2067" t="s">
        <v>168</v>
      </c>
      <c r="G2067" s="5">
        <v>104558</v>
      </c>
      <c r="H2067" s="5">
        <v>104558</v>
      </c>
    </row>
    <row r="2068" spans="1:8" x14ac:dyDescent="0.25">
      <c r="A2068" t="s">
        <v>458</v>
      </c>
      <c r="B2068">
        <v>2019</v>
      </c>
      <c r="C2068" t="s">
        <v>35</v>
      </c>
      <c r="D2068" t="s">
        <v>35</v>
      </c>
      <c r="E2068" t="s">
        <v>387</v>
      </c>
      <c r="F2068" t="s">
        <v>171</v>
      </c>
      <c r="G2068" s="5">
        <v>45278</v>
      </c>
      <c r="H2068" s="5">
        <v>45278</v>
      </c>
    </row>
    <row r="2069" spans="1:8" x14ac:dyDescent="0.25">
      <c r="A2069" t="s">
        <v>458</v>
      </c>
      <c r="B2069">
        <v>2019</v>
      </c>
      <c r="C2069" t="s">
        <v>35</v>
      </c>
      <c r="D2069" t="s">
        <v>35</v>
      </c>
      <c r="E2069" t="s">
        <v>372</v>
      </c>
      <c r="F2069" t="s">
        <v>155</v>
      </c>
      <c r="G2069" s="5">
        <v>30945</v>
      </c>
      <c r="H2069" s="5">
        <v>30945</v>
      </c>
    </row>
    <row r="2070" spans="1:8" x14ac:dyDescent="0.25">
      <c r="A2070" t="s">
        <v>458</v>
      </c>
      <c r="B2070">
        <v>2019</v>
      </c>
      <c r="C2070" t="s">
        <v>35</v>
      </c>
      <c r="D2070" t="s">
        <v>35</v>
      </c>
      <c r="E2070" t="s">
        <v>374</v>
      </c>
      <c r="F2070" t="s">
        <v>157</v>
      </c>
      <c r="G2070" s="5">
        <v>27835</v>
      </c>
      <c r="H2070" s="5">
        <v>27835</v>
      </c>
    </row>
    <row r="2071" spans="1:8" x14ac:dyDescent="0.25">
      <c r="A2071" t="s">
        <v>458</v>
      </c>
      <c r="B2071">
        <v>2019</v>
      </c>
      <c r="C2071" t="s">
        <v>35</v>
      </c>
      <c r="D2071" t="s">
        <v>35</v>
      </c>
      <c r="E2071" t="s">
        <v>375</v>
      </c>
      <c r="F2071" t="s">
        <v>158</v>
      </c>
      <c r="G2071" s="5">
        <v>22720</v>
      </c>
      <c r="H2071" s="5">
        <v>22720</v>
      </c>
    </row>
    <row r="2072" spans="1:8" x14ac:dyDescent="0.25">
      <c r="A2072" t="s">
        <v>458</v>
      </c>
      <c r="B2072">
        <v>2019</v>
      </c>
      <c r="C2072" t="s">
        <v>172</v>
      </c>
      <c r="D2072" t="s">
        <v>34</v>
      </c>
      <c r="E2072" t="s">
        <v>388</v>
      </c>
      <c r="F2072" t="s">
        <v>173</v>
      </c>
      <c r="G2072" s="5">
        <v>11375369421</v>
      </c>
      <c r="H2072" s="5">
        <v>11521006178</v>
      </c>
    </row>
    <row r="2073" spans="1:8" x14ac:dyDescent="0.25">
      <c r="A2073" t="s">
        <v>458</v>
      </c>
      <c r="B2073">
        <v>2019</v>
      </c>
      <c r="C2073" t="s">
        <v>172</v>
      </c>
      <c r="D2073" t="s">
        <v>34</v>
      </c>
      <c r="E2073" t="s">
        <v>391</v>
      </c>
      <c r="F2073" t="s">
        <v>176</v>
      </c>
      <c r="G2073" s="5">
        <v>2421603801</v>
      </c>
      <c r="H2073" s="5">
        <v>3809713111</v>
      </c>
    </row>
    <row r="2074" spans="1:8" x14ac:dyDescent="0.25">
      <c r="A2074" t="s">
        <v>458</v>
      </c>
      <c r="B2074">
        <v>2019</v>
      </c>
      <c r="C2074" t="s">
        <v>172</v>
      </c>
      <c r="D2074" t="s">
        <v>34</v>
      </c>
      <c r="E2074" t="s">
        <v>390</v>
      </c>
      <c r="F2074" t="s">
        <v>175</v>
      </c>
      <c r="G2074" s="5">
        <v>1831960802</v>
      </c>
      <c r="H2074" s="5">
        <v>1847481584</v>
      </c>
    </row>
    <row r="2075" spans="1:8" x14ac:dyDescent="0.25">
      <c r="A2075" t="s">
        <v>458</v>
      </c>
      <c r="B2075">
        <v>2019</v>
      </c>
      <c r="C2075" t="s">
        <v>172</v>
      </c>
      <c r="D2075" t="s">
        <v>34</v>
      </c>
      <c r="E2075" t="s">
        <v>389</v>
      </c>
      <c r="F2075" t="s">
        <v>174</v>
      </c>
      <c r="G2075" s="5">
        <v>1139401279</v>
      </c>
      <c r="H2075" s="5">
        <v>1145244901</v>
      </c>
    </row>
    <row r="2076" spans="1:8" x14ac:dyDescent="0.25">
      <c r="A2076" t="s">
        <v>458</v>
      </c>
      <c r="B2076">
        <v>2019</v>
      </c>
      <c r="C2076" t="s">
        <v>172</v>
      </c>
      <c r="D2076" t="s">
        <v>34</v>
      </c>
      <c r="E2076" t="s">
        <v>392</v>
      </c>
      <c r="F2076" t="s">
        <v>178</v>
      </c>
      <c r="G2076" s="5">
        <v>1074926263</v>
      </c>
      <c r="H2076" s="5">
        <v>1120168736</v>
      </c>
    </row>
    <row r="2077" spans="1:8" x14ac:dyDescent="0.25">
      <c r="A2077" t="s">
        <v>458</v>
      </c>
      <c r="B2077">
        <v>2019</v>
      </c>
      <c r="C2077" t="s">
        <v>172</v>
      </c>
      <c r="D2077" t="s">
        <v>34</v>
      </c>
      <c r="E2077" t="s">
        <v>394</v>
      </c>
      <c r="F2077" t="s">
        <v>180</v>
      </c>
      <c r="G2077" s="5">
        <v>1021071738</v>
      </c>
      <c r="H2077" s="5">
        <v>1026945629</v>
      </c>
    </row>
    <row r="2078" spans="1:8" x14ac:dyDescent="0.25">
      <c r="A2078" t="s">
        <v>458</v>
      </c>
      <c r="B2078">
        <v>2019</v>
      </c>
      <c r="C2078" t="s">
        <v>172</v>
      </c>
      <c r="D2078" t="s">
        <v>34</v>
      </c>
      <c r="E2078" t="s">
        <v>396</v>
      </c>
      <c r="F2078" t="s">
        <v>183</v>
      </c>
      <c r="G2078" s="5">
        <v>896085666</v>
      </c>
      <c r="H2078" s="5">
        <v>896161642</v>
      </c>
    </row>
    <row r="2079" spans="1:8" x14ac:dyDescent="0.25">
      <c r="A2079" t="s">
        <v>458</v>
      </c>
      <c r="B2079">
        <v>2019</v>
      </c>
      <c r="C2079" t="s">
        <v>172</v>
      </c>
      <c r="D2079" t="s">
        <v>34</v>
      </c>
      <c r="E2079" t="s">
        <v>395</v>
      </c>
      <c r="F2079" t="s">
        <v>181</v>
      </c>
      <c r="G2079" s="5">
        <v>798585360</v>
      </c>
      <c r="H2079" s="5">
        <v>844072695</v>
      </c>
    </row>
    <row r="2080" spans="1:8" x14ac:dyDescent="0.25">
      <c r="A2080" t="s">
        <v>458</v>
      </c>
      <c r="B2080">
        <v>2019</v>
      </c>
      <c r="C2080" t="s">
        <v>172</v>
      </c>
      <c r="D2080" t="s">
        <v>34</v>
      </c>
      <c r="E2080" t="s">
        <v>393</v>
      </c>
      <c r="F2080" t="s">
        <v>179</v>
      </c>
      <c r="G2080" s="5">
        <v>599608911</v>
      </c>
      <c r="H2080" s="5">
        <v>647634598</v>
      </c>
    </row>
    <row r="2081" spans="1:8" x14ac:dyDescent="0.25">
      <c r="A2081" t="s">
        <v>458</v>
      </c>
      <c r="B2081">
        <v>2019</v>
      </c>
      <c r="C2081" t="s">
        <v>172</v>
      </c>
      <c r="D2081" t="s">
        <v>34</v>
      </c>
      <c r="E2081" t="s">
        <v>400</v>
      </c>
      <c r="F2081" t="s">
        <v>189</v>
      </c>
      <c r="G2081" s="5">
        <v>505955774</v>
      </c>
      <c r="H2081" s="5">
        <v>506048120</v>
      </c>
    </row>
    <row r="2082" spans="1:8" x14ac:dyDescent="0.25">
      <c r="A2082" t="s">
        <v>458</v>
      </c>
      <c r="B2082">
        <v>2019</v>
      </c>
      <c r="C2082" t="s">
        <v>172</v>
      </c>
      <c r="D2082" t="s">
        <v>34</v>
      </c>
      <c r="E2082" t="s">
        <v>397</v>
      </c>
      <c r="F2082" t="s">
        <v>184</v>
      </c>
      <c r="G2082" s="5">
        <v>475085576</v>
      </c>
      <c r="H2082" s="5">
        <v>475716225</v>
      </c>
    </row>
    <row r="2083" spans="1:8" x14ac:dyDescent="0.25">
      <c r="A2083" t="s">
        <v>458</v>
      </c>
      <c r="B2083">
        <v>2019</v>
      </c>
      <c r="C2083" t="s">
        <v>172</v>
      </c>
      <c r="D2083" t="s">
        <v>34</v>
      </c>
      <c r="E2083" t="s">
        <v>399</v>
      </c>
      <c r="F2083" t="s">
        <v>187</v>
      </c>
      <c r="G2083" s="5">
        <v>364319019</v>
      </c>
      <c r="H2083" s="5">
        <v>364337565</v>
      </c>
    </row>
    <row r="2084" spans="1:8" x14ac:dyDescent="0.25">
      <c r="A2084" t="s">
        <v>458</v>
      </c>
      <c r="B2084">
        <v>2019</v>
      </c>
      <c r="C2084" t="s">
        <v>172</v>
      </c>
      <c r="D2084" t="s">
        <v>34</v>
      </c>
      <c r="E2084" t="s">
        <v>403</v>
      </c>
      <c r="F2084" t="s">
        <v>192</v>
      </c>
      <c r="G2084" s="5">
        <v>290338014</v>
      </c>
      <c r="H2084" s="5">
        <v>290861846</v>
      </c>
    </row>
    <row r="2085" spans="1:8" x14ac:dyDescent="0.25">
      <c r="A2085" t="s">
        <v>458</v>
      </c>
      <c r="B2085">
        <v>2019</v>
      </c>
      <c r="C2085" t="s">
        <v>172</v>
      </c>
      <c r="D2085" t="s">
        <v>34</v>
      </c>
      <c r="E2085" t="s">
        <v>405</v>
      </c>
      <c r="F2085" t="s">
        <v>194</v>
      </c>
      <c r="G2085" s="5">
        <v>249523529</v>
      </c>
      <c r="H2085" s="5">
        <v>249880473</v>
      </c>
    </row>
    <row r="2086" spans="1:8" x14ac:dyDescent="0.25">
      <c r="A2086" t="s">
        <v>458</v>
      </c>
      <c r="B2086">
        <v>2019</v>
      </c>
      <c r="C2086" t="s">
        <v>172</v>
      </c>
      <c r="D2086" t="s">
        <v>34</v>
      </c>
      <c r="E2086" t="s">
        <v>398</v>
      </c>
      <c r="F2086" t="s">
        <v>186</v>
      </c>
      <c r="G2086" s="5">
        <v>245229196</v>
      </c>
      <c r="H2086" s="5">
        <v>246072634</v>
      </c>
    </row>
    <row r="2087" spans="1:8" x14ac:dyDescent="0.25">
      <c r="A2087" t="s">
        <v>458</v>
      </c>
      <c r="B2087">
        <v>2019</v>
      </c>
      <c r="C2087" t="s">
        <v>172</v>
      </c>
      <c r="D2087" t="s">
        <v>34</v>
      </c>
      <c r="E2087" t="s">
        <v>401</v>
      </c>
      <c r="F2087" t="s">
        <v>190</v>
      </c>
      <c r="G2087" s="5">
        <v>192926202</v>
      </c>
      <c r="H2087" s="5">
        <v>193768810</v>
      </c>
    </row>
    <row r="2088" spans="1:8" x14ac:dyDescent="0.25">
      <c r="A2088" t="s">
        <v>458</v>
      </c>
      <c r="B2088">
        <v>2019</v>
      </c>
      <c r="C2088" t="s">
        <v>172</v>
      </c>
      <c r="D2088" t="s">
        <v>34</v>
      </c>
      <c r="E2088" t="s">
        <v>402</v>
      </c>
      <c r="F2088" t="s">
        <v>191</v>
      </c>
      <c r="G2088" s="5">
        <v>167030962</v>
      </c>
      <c r="H2088" s="5">
        <v>168463319</v>
      </c>
    </row>
    <row r="2089" spans="1:8" x14ac:dyDescent="0.25">
      <c r="A2089" t="s">
        <v>458</v>
      </c>
      <c r="B2089">
        <v>2019</v>
      </c>
      <c r="C2089" t="s">
        <v>172</v>
      </c>
      <c r="D2089" t="s">
        <v>34</v>
      </c>
      <c r="E2089" t="s">
        <v>404</v>
      </c>
      <c r="F2089" t="s">
        <v>193</v>
      </c>
      <c r="G2089" s="5">
        <v>76044189</v>
      </c>
      <c r="H2089" s="5">
        <v>76058427</v>
      </c>
    </row>
    <row r="2090" spans="1:8" x14ac:dyDescent="0.25">
      <c r="A2090" t="s">
        <v>458</v>
      </c>
      <c r="B2090">
        <v>2019</v>
      </c>
      <c r="C2090" t="s">
        <v>172</v>
      </c>
      <c r="D2090" t="s">
        <v>34</v>
      </c>
      <c r="E2090" t="s">
        <v>406</v>
      </c>
      <c r="F2090" t="s">
        <v>195</v>
      </c>
      <c r="G2090" s="5">
        <v>74244550</v>
      </c>
      <c r="H2090" s="5">
        <v>74357229</v>
      </c>
    </row>
    <row r="2091" spans="1:8" x14ac:dyDescent="0.25">
      <c r="A2091" t="s">
        <v>458</v>
      </c>
      <c r="B2091">
        <v>2019</v>
      </c>
      <c r="C2091" t="s">
        <v>172</v>
      </c>
      <c r="D2091" t="s">
        <v>34</v>
      </c>
      <c r="E2091" t="s">
        <v>409</v>
      </c>
      <c r="F2091" t="s">
        <v>199</v>
      </c>
      <c r="G2091" s="5">
        <v>43827460</v>
      </c>
      <c r="H2091" s="5">
        <v>60387452</v>
      </c>
    </row>
    <row r="2092" spans="1:8" x14ac:dyDescent="0.25">
      <c r="A2092" t="s">
        <v>458</v>
      </c>
      <c r="B2092">
        <v>2019</v>
      </c>
      <c r="C2092" t="s">
        <v>172</v>
      </c>
      <c r="D2092" t="s">
        <v>34</v>
      </c>
      <c r="E2092" t="s">
        <v>407</v>
      </c>
      <c r="F2092" t="s">
        <v>197</v>
      </c>
      <c r="G2092" s="5">
        <v>24686166</v>
      </c>
      <c r="H2092" s="5">
        <v>25377942</v>
      </c>
    </row>
    <row r="2093" spans="1:8" x14ac:dyDescent="0.25">
      <c r="A2093" t="s">
        <v>458</v>
      </c>
      <c r="B2093">
        <v>2019</v>
      </c>
      <c r="C2093" t="s">
        <v>172</v>
      </c>
      <c r="D2093" t="s">
        <v>34</v>
      </c>
      <c r="E2093" t="s">
        <v>408</v>
      </c>
      <c r="F2093" t="s">
        <v>198</v>
      </c>
      <c r="G2093" s="5">
        <v>24145442</v>
      </c>
      <c r="H2093" s="5">
        <v>24204307</v>
      </c>
    </row>
    <row r="2094" spans="1:8" x14ac:dyDescent="0.25">
      <c r="A2094" t="s">
        <v>458</v>
      </c>
      <c r="B2094">
        <v>2019</v>
      </c>
      <c r="C2094" t="s">
        <v>172</v>
      </c>
      <c r="D2094" t="s">
        <v>34</v>
      </c>
      <c r="E2094" t="s">
        <v>411</v>
      </c>
      <c r="F2094" t="s">
        <v>203</v>
      </c>
      <c r="G2094" s="5">
        <v>18884960</v>
      </c>
      <c r="H2094" s="5">
        <v>18890838</v>
      </c>
    </row>
    <row r="2095" spans="1:8" x14ac:dyDescent="0.25">
      <c r="A2095" t="s">
        <v>458</v>
      </c>
      <c r="B2095">
        <v>2019</v>
      </c>
      <c r="C2095" t="s">
        <v>172</v>
      </c>
      <c r="D2095" t="s">
        <v>34</v>
      </c>
      <c r="E2095" t="s">
        <v>412</v>
      </c>
      <c r="F2095" t="s">
        <v>204</v>
      </c>
      <c r="G2095" s="5">
        <v>18107774</v>
      </c>
      <c r="H2095" s="5">
        <v>18621764</v>
      </c>
    </row>
    <row r="2096" spans="1:8" x14ac:dyDescent="0.25">
      <c r="A2096" t="s">
        <v>458</v>
      </c>
      <c r="B2096">
        <v>2019</v>
      </c>
      <c r="C2096" t="s">
        <v>172</v>
      </c>
      <c r="D2096" t="s">
        <v>34</v>
      </c>
      <c r="E2096" t="s">
        <v>410</v>
      </c>
      <c r="F2096" t="s">
        <v>201</v>
      </c>
      <c r="G2096" s="5">
        <v>11570665</v>
      </c>
      <c r="H2096" s="5">
        <v>11577388</v>
      </c>
    </row>
    <row r="2097" spans="1:8" x14ac:dyDescent="0.25">
      <c r="A2097" t="s">
        <v>458</v>
      </c>
      <c r="B2097">
        <v>2019</v>
      </c>
      <c r="C2097" t="s">
        <v>172</v>
      </c>
      <c r="D2097" t="s">
        <v>34</v>
      </c>
      <c r="E2097" t="s">
        <v>413</v>
      </c>
      <c r="F2097" t="s">
        <v>207</v>
      </c>
      <c r="G2097" s="5">
        <v>1708263</v>
      </c>
      <c r="H2097" s="5">
        <v>1708263</v>
      </c>
    </row>
    <row r="2098" spans="1:8" x14ac:dyDescent="0.25">
      <c r="A2098" t="s">
        <v>458</v>
      </c>
      <c r="B2098">
        <v>2019</v>
      </c>
      <c r="C2098" t="s">
        <v>172</v>
      </c>
      <c r="D2098" t="s">
        <v>34</v>
      </c>
      <c r="E2098" t="s">
        <v>414</v>
      </c>
      <c r="F2098" t="s">
        <v>209</v>
      </c>
      <c r="G2098" s="5">
        <v>1347834</v>
      </c>
      <c r="H2098" s="5">
        <v>1348234</v>
      </c>
    </row>
    <row r="2099" spans="1:8" x14ac:dyDescent="0.25">
      <c r="A2099" t="s">
        <v>458</v>
      </c>
      <c r="B2099">
        <v>2019</v>
      </c>
      <c r="C2099" t="s">
        <v>172</v>
      </c>
      <c r="D2099" t="s">
        <v>37</v>
      </c>
      <c r="E2099" t="s">
        <v>415</v>
      </c>
      <c r="F2099" t="s">
        <v>177</v>
      </c>
      <c r="G2099" s="5">
        <v>786462269</v>
      </c>
      <c r="H2099" s="5">
        <v>6406982976</v>
      </c>
    </row>
    <row r="2100" spans="1:8" x14ac:dyDescent="0.25">
      <c r="A2100" t="s">
        <v>458</v>
      </c>
      <c r="B2100">
        <v>2019</v>
      </c>
      <c r="C2100" t="s">
        <v>172</v>
      </c>
      <c r="D2100" t="s">
        <v>37</v>
      </c>
      <c r="E2100" t="s">
        <v>416</v>
      </c>
      <c r="F2100" t="s">
        <v>182</v>
      </c>
      <c r="G2100" s="5">
        <v>433224879</v>
      </c>
      <c r="H2100" s="5">
        <v>434160804</v>
      </c>
    </row>
    <row r="2101" spans="1:8" x14ac:dyDescent="0.25">
      <c r="A2101" t="s">
        <v>458</v>
      </c>
      <c r="B2101">
        <v>2019</v>
      </c>
      <c r="C2101" t="s">
        <v>172</v>
      </c>
      <c r="D2101" t="s">
        <v>37</v>
      </c>
      <c r="E2101" t="s">
        <v>418</v>
      </c>
      <c r="F2101" t="s">
        <v>188</v>
      </c>
      <c r="G2101" s="5">
        <v>60692175</v>
      </c>
      <c r="H2101" s="5">
        <v>60734638</v>
      </c>
    </row>
    <row r="2102" spans="1:8" x14ac:dyDescent="0.25">
      <c r="A2102" t="s">
        <v>458</v>
      </c>
      <c r="B2102">
        <v>2019</v>
      </c>
      <c r="C2102" t="s">
        <v>172</v>
      </c>
      <c r="D2102" t="s">
        <v>37</v>
      </c>
      <c r="E2102" t="s">
        <v>417</v>
      </c>
      <c r="F2102" t="s">
        <v>185</v>
      </c>
      <c r="G2102" s="5">
        <v>46597000</v>
      </c>
      <c r="H2102" s="5">
        <v>91598047</v>
      </c>
    </row>
    <row r="2103" spans="1:8" x14ac:dyDescent="0.25">
      <c r="A2103" t="s">
        <v>458</v>
      </c>
      <c r="B2103">
        <v>2019</v>
      </c>
      <c r="C2103" t="s">
        <v>172</v>
      </c>
      <c r="D2103" t="s">
        <v>37</v>
      </c>
      <c r="E2103" t="s">
        <v>420</v>
      </c>
      <c r="F2103" t="s">
        <v>200</v>
      </c>
      <c r="G2103" s="5">
        <v>33401845</v>
      </c>
      <c r="H2103" s="5">
        <v>33474622</v>
      </c>
    </row>
    <row r="2104" spans="1:8" x14ac:dyDescent="0.25">
      <c r="A2104" t="s">
        <v>458</v>
      </c>
      <c r="B2104">
        <v>2019</v>
      </c>
      <c r="C2104" t="s">
        <v>172</v>
      </c>
      <c r="D2104" t="s">
        <v>37</v>
      </c>
      <c r="E2104" t="s">
        <v>419</v>
      </c>
      <c r="F2104" t="s">
        <v>196</v>
      </c>
      <c r="G2104" s="5">
        <v>24445364</v>
      </c>
      <c r="H2104" s="5">
        <v>24568676</v>
      </c>
    </row>
    <row r="2105" spans="1:8" x14ac:dyDescent="0.25">
      <c r="A2105" t="s">
        <v>458</v>
      </c>
      <c r="B2105">
        <v>2019</v>
      </c>
      <c r="C2105" t="s">
        <v>172</v>
      </c>
      <c r="D2105" t="s">
        <v>37</v>
      </c>
      <c r="E2105" t="s">
        <v>425</v>
      </c>
      <c r="F2105" t="s">
        <v>210</v>
      </c>
      <c r="G2105" s="5">
        <v>15455475</v>
      </c>
      <c r="H2105" s="5">
        <v>15455475</v>
      </c>
    </row>
    <row r="2106" spans="1:8" x14ac:dyDescent="0.25">
      <c r="A2106" t="s">
        <v>458</v>
      </c>
      <c r="B2106">
        <v>2019</v>
      </c>
      <c r="C2106" t="s">
        <v>172</v>
      </c>
      <c r="D2106" t="s">
        <v>37</v>
      </c>
      <c r="E2106" t="s">
        <v>423</v>
      </c>
      <c r="F2106" t="s">
        <v>206</v>
      </c>
      <c r="G2106" s="5">
        <v>14321242</v>
      </c>
      <c r="H2106" s="5">
        <v>14321242</v>
      </c>
    </row>
    <row r="2107" spans="1:8" x14ac:dyDescent="0.25">
      <c r="A2107" t="s">
        <v>458</v>
      </c>
      <c r="B2107">
        <v>2019</v>
      </c>
      <c r="C2107" t="s">
        <v>172</v>
      </c>
      <c r="D2107" t="s">
        <v>37</v>
      </c>
      <c r="E2107" t="s">
        <v>424</v>
      </c>
      <c r="F2107" t="s">
        <v>208</v>
      </c>
      <c r="G2107" s="5">
        <v>3789740</v>
      </c>
      <c r="H2107" s="5">
        <v>3818715</v>
      </c>
    </row>
    <row r="2108" spans="1:8" x14ac:dyDescent="0.25">
      <c r="A2108" t="s">
        <v>458</v>
      </c>
      <c r="B2108">
        <v>2019</v>
      </c>
      <c r="C2108" t="s">
        <v>172</v>
      </c>
      <c r="D2108" t="s">
        <v>37</v>
      </c>
      <c r="E2108" t="s">
        <v>426</v>
      </c>
      <c r="F2108" t="s">
        <v>211</v>
      </c>
      <c r="G2108" s="5">
        <v>3568384</v>
      </c>
      <c r="H2108" s="5">
        <v>3568384</v>
      </c>
    </row>
    <row r="2109" spans="1:8" x14ac:dyDescent="0.25">
      <c r="A2109" t="s">
        <v>458</v>
      </c>
      <c r="B2109">
        <v>2019</v>
      </c>
      <c r="C2109" t="s">
        <v>172</v>
      </c>
      <c r="D2109" t="s">
        <v>37</v>
      </c>
      <c r="E2109" t="s">
        <v>421</v>
      </c>
      <c r="F2109" t="s">
        <v>202</v>
      </c>
      <c r="G2109" s="5">
        <v>3343170</v>
      </c>
      <c r="H2109" s="5">
        <v>3343170</v>
      </c>
    </row>
    <row r="2110" spans="1:8" x14ac:dyDescent="0.25">
      <c r="A2110" t="s">
        <v>458</v>
      </c>
      <c r="B2110">
        <v>2019</v>
      </c>
      <c r="C2110" t="s">
        <v>172</v>
      </c>
      <c r="D2110" t="s">
        <v>37</v>
      </c>
      <c r="E2110" t="s">
        <v>427</v>
      </c>
      <c r="F2110" t="s">
        <v>212</v>
      </c>
      <c r="G2110" s="5">
        <v>2549721</v>
      </c>
      <c r="H2110" s="5">
        <v>2549721</v>
      </c>
    </row>
    <row r="2111" spans="1:8" x14ac:dyDescent="0.25">
      <c r="A2111" t="s">
        <v>458</v>
      </c>
      <c r="B2111">
        <v>2019</v>
      </c>
      <c r="C2111" t="s">
        <v>172</v>
      </c>
      <c r="D2111" t="s">
        <v>37</v>
      </c>
      <c r="E2111" t="s">
        <v>422</v>
      </c>
      <c r="F2111" t="s">
        <v>205</v>
      </c>
      <c r="G2111" s="5">
        <v>615809</v>
      </c>
      <c r="H2111" s="5">
        <v>684962</v>
      </c>
    </row>
    <row r="2112" spans="1:8" x14ac:dyDescent="0.25">
      <c r="A2112" t="s">
        <v>458</v>
      </c>
      <c r="B2112">
        <v>2019</v>
      </c>
      <c r="C2112" t="s">
        <v>172</v>
      </c>
      <c r="D2112" t="s">
        <v>37</v>
      </c>
      <c r="E2112" t="s">
        <v>428</v>
      </c>
      <c r="F2112" t="s">
        <v>213</v>
      </c>
      <c r="G2112" s="5">
        <v>437698</v>
      </c>
      <c r="H2112" s="5">
        <v>437698</v>
      </c>
    </row>
    <row r="2113" spans="1:8" x14ac:dyDescent="0.25">
      <c r="A2113" t="s">
        <v>458</v>
      </c>
      <c r="B2113">
        <v>2019</v>
      </c>
      <c r="C2113" t="s">
        <v>172</v>
      </c>
      <c r="D2113" t="s">
        <v>37</v>
      </c>
      <c r="E2113" t="s">
        <v>429</v>
      </c>
      <c r="F2113" t="s">
        <v>214</v>
      </c>
      <c r="G2113" s="5">
        <v>405897</v>
      </c>
      <c r="H2113" s="5">
        <v>405897</v>
      </c>
    </row>
    <row r="2114" spans="1:8" x14ac:dyDescent="0.25">
      <c r="A2114" t="s">
        <v>458</v>
      </c>
      <c r="B2114">
        <v>2019</v>
      </c>
      <c r="C2114" t="s">
        <v>172</v>
      </c>
      <c r="D2114" t="s">
        <v>37</v>
      </c>
      <c r="E2114" t="s">
        <v>430</v>
      </c>
      <c r="F2114" t="s">
        <v>216</v>
      </c>
      <c r="G2114" s="5">
        <v>149192</v>
      </c>
      <c r="H2114" s="5">
        <v>149192</v>
      </c>
    </row>
    <row r="2115" spans="1:8" x14ac:dyDescent="0.25">
      <c r="A2115" t="s">
        <v>458</v>
      </c>
      <c r="B2115">
        <v>2019</v>
      </c>
      <c r="C2115" t="s">
        <v>172</v>
      </c>
      <c r="D2115" t="s">
        <v>37</v>
      </c>
      <c r="F2115" t="s">
        <v>215</v>
      </c>
      <c r="G2115" s="5">
        <v>55028</v>
      </c>
      <c r="H2115" s="5">
        <v>55028</v>
      </c>
    </row>
    <row r="2116" spans="1:8" x14ac:dyDescent="0.25">
      <c r="A2116" t="s">
        <v>458</v>
      </c>
      <c r="B2116">
        <v>2019</v>
      </c>
      <c r="C2116" t="s">
        <v>40</v>
      </c>
      <c r="D2116" t="s">
        <v>40</v>
      </c>
      <c r="E2116" t="s">
        <v>432</v>
      </c>
      <c r="F2116" t="s">
        <v>218</v>
      </c>
      <c r="G2116" s="5">
        <v>22641687</v>
      </c>
      <c r="H2116" s="5">
        <v>23306881</v>
      </c>
    </row>
    <row r="2117" spans="1:8" x14ac:dyDescent="0.25">
      <c r="A2117" t="s">
        <v>458</v>
      </c>
      <c r="B2117">
        <v>2019</v>
      </c>
      <c r="C2117" t="s">
        <v>40</v>
      </c>
      <c r="D2117" t="s">
        <v>40</v>
      </c>
      <c r="E2117" t="s">
        <v>433</v>
      </c>
      <c r="F2117" t="s">
        <v>219</v>
      </c>
      <c r="G2117" s="5">
        <v>9838703</v>
      </c>
      <c r="H2117" s="5">
        <v>9883532</v>
      </c>
    </row>
    <row r="2118" spans="1:8" x14ac:dyDescent="0.25">
      <c r="A2118" t="s">
        <v>458</v>
      </c>
      <c r="B2118">
        <v>2019</v>
      </c>
      <c r="C2118" t="s">
        <v>40</v>
      </c>
      <c r="D2118" t="s">
        <v>40</v>
      </c>
      <c r="F2118" t="s">
        <v>225</v>
      </c>
      <c r="G2118" s="5">
        <v>236017</v>
      </c>
      <c r="H2118" s="5">
        <v>240169</v>
      </c>
    </row>
    <row r="2119" spans="1:8" x14ac:dyDescent="0.25">
      <c r="A2119" t="s">
        <v>458</v>
      </c>
      <c r="B2119">
        <v>2019</v>
      </c>
      <c r="C2119" t="s">
        <v>40</v>
      </c>
      <c r="D2119" t="s">
        <v>40</v>
      </c>
      <c r="E2119" t="s">
        <v>438</v>
      </c>
      <c r="F2119" t="s">
        <v>224</v>
      </c>
      <c r="G2119" s="5">
        <v>53309</v>
      </c>
      <c r="H2119" s="5">
        <v>147154</v>
      </c>
    </row>
    <row r="2120" spans="1:8" x14ac:dyDescent="0.25">
      <c r="A2120" t="s">
        <v>458</v>
      </c>
      <c r="B2120">
        <v>2020</v>
      </c>
      <c r="C2120" t="s">
        <v>39</v>
      </c>
      <c r="D2120" t="s">
        <v>39</v>
      </c>
      <c r="E2120" t="s">
        <v>268</v>
      </c>
      <c r="F2120" t="s">
        <v>47</v>
      </c>
      <c r="G2120" s="5">
        <v>121937387</v>
      </c>
      <c r="H2120" s="5">
        <v>1239416947</v>
      </c>
    </row>
    <row r="2121" spans="1:8" x14ac:dyDescent="0.25">
      <c r="A2121" t="s">
        <v>458</v>
      </c>
      <c r="B2121">
        <v>2020</v>
      </c>
      <c r="C2121" t="s">
        <v>39</v>
      </c>
      <c r="D2121" t="s">
        <v>39</v>
      </c>
      <c r="E2121" t="s">
        <v>273</v>
      </c>
      <c r="F2121" t="s">
        <v>52</v>
      </c>
      <c r="G2121" s="5">
        <v>69201900</v>
      </c>
      <c r="H2121" s="5">
        <v>69207304</v>
      </c>
    </row>
    <row r="2122" spans="1:8" x14ac:dyDescent="0.25">
      <c r="A2122" t="s">
        <v>458</v>
      </c>
      <c r="B2122">
        <v>2020</v>
      </c>
      <c r="C2122" t="s">
        <v>39</v>
      </c>
      <c r="D2122" t="s">
        <v>39</v>
      </c>
      <c r="E2122" t="s">
        <v>271</v>
      </c>
      <c r="F2122" t="s">
        <v>50</v>
      </c>
      <c r="G2122" s="5">
        <v>45968551</v>
      </c>
      <c r="H2122" s="5">
        <v>45968551</v>
      </c>
    </row>
    <row r="2123" spans="1:8" x14ac:dyDescent="0.25">
      <c r="A2123" t="s">
        <v>458</v>
      </c>
      <c r="B2123">
        <v>2020</v>
      </c>
      <c r="C2123" t="s">
        <v>39</v>
      </c>
      <c r="D2123" t="s">
        <v>39</v>
      </c>
      <c r="E2123" t="s">
        <v>281</v>
      </c>
      <c r="F2123" t="s">
        <v>60</v>
      </c>
      <c r="G2123" s="5">
        <v>40511904</v>
      </c>
      <c r="H2123" s="5">
        <v>40517141</v>
      </c>
    </row>
    <row r="2124" spans="1:8" x14ac:dyDescent="0.25">
      <c r="A2124" t="s">
        <v>458</v>
      </c>
      <c r="B2124">
        <v>2020</v>
      </c>
      <c r="C2124" t="s">
        <v>39</v>
      </c>
      <c r="D2124" t="s">
        <v>39</v>
      </c>
      <c r="E2124" t="s">
        <v>296</v>
      </c>
      <c r="F2124" t="s">
        <v>76</v>
      </c>
      <c r="G2124" s="5">
        <v>13694981</v>
      </c>
      <c r="H2124" s="5">
        <v>13696290</v>
      </c>
    </row>
    <row r="2125" spans="1:8" x14ac:dyDescent="0.25">
      <c r="A2125" t="s">
        <v>458</v>
      </c>
      <c r="B2125">
        <v>2020</v>
      </c>
      <c r="C2125" t="s">
        <v>39</v>
      </c>
      <c r="D2125" t="s">
        <v>39</v>
      </c>
      <c r="E2125" t="s">
        <v>269</v>
      </c>
      <c r="F2125" t="s">
        <v>48</v>
      </c>
      <c r="G2125" s="5">
        <v>11227289</v>
      </c>
      <c r="H2125" s="5">
        <v>32552216</v>
      </c>
    </row>
    <row r="2126" spans="1:8" x14ac:dyDescent="0.25">
      <c r="A2126" t="s">
        <v>458</v>
      </c>
      <c r="B2126">
        <v>2020</v>
      </c>
      <c r="C2126" t="s">
        <v>39</v>
      </c>
      <c r="D2126" t="s">
        <v>39</v>
      </c>
      <c r="E2126" t="s">
        <v>279</v>
      </c>
      <c r="F2126" t="s">
        <v>58</v>
      </c>
      <c r="G2126" s="5">
        <v>7541764</v>
      </c>
      <c r="H2126" s="5">
        <v>7542992</v>
      </c>
    </row>
    <row r="2127" spans="1:8" x14ac:dyDescent="0.25">
      <c r="A2127" t="s">
        <v>458</v>
      </c>
      <c r="B2127">
        <v>2020</v>
      </c>
      <c r="C2127" t="s">
        <v>39</v>
      </c>
      <c r="D2127" t="s">
        <v>39</v>
      </c>
      <c r="F2127" t="s">
        <v>64</v>
      </c>
      <c r="G2127" s="5">
        <v>5362777</v>
      </c>
      <c r="H2127" s="5">
        <v>5388039</v>
      </c>
    </row>
    <row r="2128" spans="1:8" x14ac:dyDescent="0.25">
      <c r="A2128" t="s">
        <v>458</v>
      </c>
      <c r="B2128">
        <v>2020</v>
      </c>
      <c r="C2128" t="s">
        <v>39</v>
      </c>
      <c r="D2128" t="s">
        <v>39</v>
      </c>
      <c r="E2128" t="s">
        <v>280</v>
      </c>
      <c r="F2128" t="s">
        <v>59</v>
      </c>
      <c r="G2128" s="5">
        <v>3032029</v>
      </c>
      <c r="H2128" s="5">
        <v>3032029</v>
      </c>
    </row>
    <row r="2129" spans="1:8" x14ac:dyDescent="0.25">
      <c r="A2129" t="s">
        <v>458</v>
      </c>
      <c r="B2129">
        <v>2020</v>
      </c>
      <c r="C2129" t="s">
        <v>39</v>
      </c>
      <c r="D2129" t="s">
        <v>39</v>
      </c>
      <c r="E2129" t="s">
        <v>272</v>
      </c>
      <c r="F2129" t="s">
        <v>51</v>
      </c>
      <c r="G2129" s="5">
        <v>2054205</v>
      </c>
      <c r="H2129" s="5">
        <v>2054205</v>
      </c>
    </row>
    <row r="2130" spans="1:8" x14ac:dyDescent="0.25">
      <c r="A2130" t="s">
        <v>458</v>
      </c>
      <c r="B2130">
        <v>2020</v>
      </c>
      <c r="C2130" t="s">
        <v>39</v>
      </c>
      <c r="D2130" t="s">
        <v>39</v>
      </c>
      <c r="E2130" t="s">
        <v>294</v>
      </c>
      <c r="F2130" t="s">
        <v>74</v>
      </c>
      <c r="G2130" s="5">
        <v>479082</v>
      </c>
      <c r="H2130" s="5">
        <v>502099</v>
      </c>
    </row>
    <row r="2131" spans="1:8" x14ac:dyDescent="0.25">
      <c r="A2131" t="s">
        <v>458</v>
      </c>
      <c r="B2131">
        <v>2020</v>
      </c>
      <c r="C2131" t="s">
        <v>39</v>
      </c>
      <c r="D2131" t="s">
        <v>39</v>
      </c>
      <c r="E2131" t="s">
        <v>277</v>
      </c>
      <c r="F2131" t="s">
        <v>56</v>
      </c>
      <c r="G2131" s="5">
        <v>408338</v>
      </c>
      <c r="H2131" s="5">
        <v>408338</v>
      </c>
    </row>
    <row r="2132" spans="1:8" x14ac:dyDescent="0.25">
      <c r="A2132" t="s">
        <v>458</v>
      </c>
      <c r="B2132">
        <v>2020</v>
      </c>
      <c r="C2132" t="s">
        <v>39</v>
      </c>
      <c r="D2132" t="s">
        <v>39</v>
      </c>
      <c r="E2132" t="s">
        <v>307</v>
      </c>
      <c r="F2132" t="s">
        <v>87</v>
      </c>
      <c r="G2132" s="5">
        <v>337740</v>
      </c>
      <c r="H2132" s="5">
        <v>337740</v>
      </c>
    </row>
    <row r="2133" spans="1:8" x14ac:dyDescent="0.25">
      <c r="A2133" t="s">
        <v>458</v>
      </c>
      <c r="B2133">
        <v>2020</v>
      </c>
      <c r="C2133" t="s">
        <v>39</v>
      </c>
      <c r="D2133" t="s">
        <v>39</v>
      </c>
      <c r="E2133" t="s">
        <v>286</v>
      </c>
      <c r="F2133" t="s">
        <v>66</v>
      </c>
      <c r="G2133" s="5">
        <v>315719</v>
      </c>
      <c r="H2133" s="5">
        <v>315719</v>
      </c>
    </row>
    <row r="2134" spans="1:8" x14ac:dyDescent="0.25">
      <c r="A2134" t="s">
        <v>458</v>
      </c>
      <c r="B2134">
        <v>2020</v>
      </c>
      <c r="C2134" t="s">
        <v>39</v>
      </c>
      <c r="D2134" t="s">
        <v>39</v>
      </c>
      <c r="E2134" t="s">
        <v>284</v>
      </c>
      <c r="F2134" t="s">
        <v>63</v>
      </c>
      <c r="G2134" s="5">
        <v>165341</v>
      </c>
      <c r="H2134" s="5">
        <v>165341</v>
      </c>
    </row>
    <row r="2135" spans="1:8" x14ac:dyDescent="0.25">
      <c r="A2135" t="s">
        <v>458</v>
      </c>
      <c r="B2135">
        <v>2020</v>
      </c>
      <c r="C2135" t="s">
        <v>39</v>
      </c>
      <c r="D2135" t="s">
        <v>39</v>
      </c>
      <c r="E2135" t="s">
        <v>291</v>
      </c>
      <c r="F2135" t="s">
        <v>71</v>
      </c>
      <c r="G2135" s="5">
        <v>149346</v>
      </c>
      <c r="H2135" s="5">
        <v>149346</v>
      </c>
    </row>
    <row r="2136" spans="1:8" x14ac:dyDescent="0.25">
      <c r="A2136" t="s">
        <v>458</v>
      </c>
      <c r="B2136">
        <v>2020</v>
      </c>
      <c r="C2136" t="s">
        <v>39</v>
      </c>
      <c r="D2136" t="s">
        <v>39</v>
      </c>
      <c r="E2136" t="s">
        <v>459</v>
      </c>
      <c r="F2136" t="s">
        <v>247</v>
      </c>
      <c r="G2136" s="5">
        <v>139408</v>
      </c>
      <c r="H2136" s="5">
        <v>139408</v>
      </c>
    </row>
    <row r="2137" spans="1:8" x14ac:dyDescent="0.25">
      <c r="A2137" t="s">
        <v>458</v>
      </c>
      <c r="B2137">
        <v>2020</v>
      </c>
      <c r="C2137" t="s">
        <v>39</v>
      </c>
      <c r="D2137" t="s">
        <v>39</v>
      </c>
      <c r="E2137" t="s">
        <v>287</v>
      </c>
      <c r="F2137" t="s">
        <v>67</v>
      </c>
      <c r="G2137" s="5">
        <v>131537</v>
      </c>
      <c r="H2137" s="5">
        <v>131537</v>
      </c>
    </row>
    <row r="2138" spans="1:8" x14ac:dyDescent="0.25">
      <c r="A2138" t="s">
        <v>458</v>
      </c>
      <c r="B2138">
        <v>2020</v>
      </c>
      <c r="C2138" t="s">
        <v>39</v>
      </c>
      <c r="D2138" t="s">
        <v>39</v>
      </c>
      <c r="E2138" t="s">
        <v>276</v>
      </c>
      <c r="F2138" t="s">
        <v>55</v>
      </c>
      <c r="G2138" s="5">
        <v>126136</v>
      </c>
      <c r="H2138" s="5">
        <v>126136</v>
      </c>
    </row>
    <row r="2139" spans="1:8" x14ac:dyDescent="0.25">
      <c r="A2139" t="s">
        <v>458</v>
      </c>
      <c r="B2139">
        <v>2020</v>
      </c>
      <c r="C2139" t="s">
        <v>39</v>
      </c>
      <c r="D2139" t="s">
        <v>39</v>
      </c>
      <c r="E2139" t="s">
        <v>278</v>
      </c>
      <c r="F2139" t="s">
        <v>57</v>
      </c>
      <c r="G2139" s="5">
        <v>120547</v>
      </c>
      <c r="H2139" s="5">
        <v>120606</v>
      </c>
    </row>
    <row r="2140" spans="1:8" x14ac:dyDescent="0.25">
      <c r="A2140" t="s">
        <v>458</v>
      </c>
      <c r="B2140">
        <v>2020</v>
      </c>
      <c r="C2140" t="s">
        <v>39</v>
      </c>
      <c r="D2140" t="s">
        <v>39</v>
      </c>
      <c r="E2140" t="s">
        <v>303</v>
      </c>
      <c r="F2140" t="s">
        <v>83</v>
      </c>
      <c r="G2140" s="5">
        <v>104220</v>
      </c>
      <c r="H2140" s="5">
        <v>109584</v>
      </c>
    </row>
    <row r="2141" spans="1:8" x14ac:dyDescent="0.25">
      <c r="A2141" t="s">
        <v>458</v>
      </c>
      <c r="B2141">
        <v>2020</v>
      </c>
      <c r="C2141" t="s">
        <v>39</v>
      </c>
      <c r="D2141" t="s">
        <v>39</v>
      </c>
      <c r="E2141" t="s">
        <v>275</v>
      </c>
      <c r="F2141" t="s">
        <v>54</v>
      </c>
      <c r="G2141" s="5">
        <v>93443</v>
      </c>
      <c r="H2141" s="5">
        <v>93443</v>
      </c>
    </row>
    <row r="2142" spans="1:8" x14ac:dyDescent="0.25">
      <c r="A2142" t="s">
        <v>458</v>
      </c>
      <c r="B2142">
        <v>2020</v>
      </c>
      <c r="C2142" t="s">
        <v>39</v>
      </c>
      <c r="D2142" t="s">
        <v>39</v>
      </c>
      <c r="E2142" t="s">
        <v>308</v>
      </c>
      <c r="F2142" t="s">
        <v>88</v>
      </c>
      <c r="G2142" s="5">
        <v>90446</v>
      </c>
      <c r="H2142" s="5">
        <v>90446</v>
      </c>
    </row>
    <row r="2143" spans="1:8" x14ac:dyDescent="0.25">
      <c r="A2143" t="s">
        <v>458</v>
      </c>
      <c r="B2143">
        <v>2020</v>
      </c>
      <c r="C2143" t="s">
        <v>39</v>
      </c>
      <c r="D2143" t="s">
        <v>39</v>
      </c>
      <c r="E2143" t="s">
        <v>298</v>
      </c>
      <c r="F2143" t="s">
        <v>78</v>
      </c>
      <c r="G2143" s="5">
        <v>83378</v>
      </c>
      <c r="H2143" s="5">
        <v>83378</v>
      </c>
    </row>
    <row r="2144" spans="1:8" x14ac:dyDescent="0.25">
      <c r="A2144" t="s">
        <v>458</v>
      </c>
      <c r="B2144">
        <v>2020</v>
      </c>
      <c r="C2144" t="s">
        <v>39</v>
      </c>
      <c r="D2144" t="s">
        <v>39</v>
      </c>
      <c r="E2144" t="s">
        <v>270</v>
      </c>
      <c r="F2144" t="s">
        <v>49</v>
      </c>
      <c r="G2144" s="5">
        <v>67181</v>
      </c>
      <c r="H2144" s="5">
        <v>67181</v>
      </c>
    </row>
    <row r="2145" spans="1:8" x14ac:dyDescent="0.25">
      <c r="A2145" t="s">
        <v>458</v>
      </c>
      <c r="B2145">
        <v>2020</v>
      </c>
      <c r="C2145" t="s">
        <v>39</v>
      </c>
      <c r="D2145" t="s">
        <v>39</v>
      </c>
      <c r="E2145" t="s">
        <v>305</v>
      </c>
      <c r="F2145" t="s">
        <v>85</v>
      </c>
      <c r="G2145" s="5">
        <v>56851</v>
      </c>
      <c r="H2145" s="5">
        <v>56851</v>
      </c>
    </row>
    <row r="2146" spans="1:8" x14ac:dyDescent="0.25">
      <c r="A2146" t="s">
        <v>458</v>
      </c>
      <c r="B2146">
        <v>2020</v>
      </c>
      <c r="C2146" t="s">
        <v>39</v>
      </c>
      <c r="D2146" t="s">
        <v>39</v>
      </c>
      <c r="E2146" t="s">
        <v>283</v>
      </c>
      <c r="F2146" t="s">
        <v>62</v>
      </c>
      <c r="G2146" s="5">
        <v>50539</v>
      </c>
      <c r="H2146" s="5">
        <v>51207</v>
      </c>
    </row>
    <row r="2147" spans="1:8" x14ac:dyDescent="0.25">
      <c r="A2147" t="s">
        <v>458</v>
      </c>
      <c r="B2147">
        <v>2020</v>
      </c>
      <c r="C2147" t="s">
        <v>39</v>
      </c>
      <c r="D2147" t="s">
        <v>39</v>
      </c>
      <c r="E2147" t="s">
        <v>311</v>
      </c>
      <c r="F2147" t="s">
        <v>91</v>
      </c>
      <c r="G2147" s="5">
        <v>36282</v>
      </c>
      <c r="H2147" s="5">
        <v>36282</v>
      </c>
    </row>
    <row r="2148" spans="1:8" x14ac:dyDescent="0.25">
      <c r="A2148" t="s">
        <v>458</v>
      </c>
      <c r="B2148">
        <v>2020</v>
      </c>
      <c r="C2148" t="s">
        <v>39</v>
      </c>
      <c r="D2148" t="s">
        <v>39</v>
      </c>
      <c r="E2148" t="s">
        <v>290</v>
      </c>
      <c r="F2148" t="s">
        <v>70</v>
      </c>
      <c r="G2148" s="5">
        <v>9484</v>
      </c>
      <c r="H2148" s="5">
        <v>9484</v>
      </c>
    </row>
    <row r="2149" spans="1:8" x14ac:dyDescent="0.25">
      <c r="A2149" t="s">
        <v>458</v>
      </c>
      <c r="B2149">
        <v>2020</v>
      </c>
      <c r="C2149" t="s">
        <v>92</v>
      </c>
      <c r="D2149" t="s">
        <v>36</v>
      </c>
      <c r="E2149" t="s">
        <v>36</v>
      </c>
      <c r="F2149" t="s">
        <v>93</v>
      </c>
      <c r="G2149" s="5">
        <v>1941287033</v>
      </c>
      <c r="H2149" s="5">
        <v>4306823359</v>
      </c>
    </row>
    <row r="2150" spans="1:8" x14ac:dyDescent="0.25">
      <c r="A2150" t="s">
        <v>458</v>
      </c>
      <c r="B2150">
        <v>2020</v>
      </c>
      <c r="C2150" t="s">
        <v>92</v>
      </c>
      <c r="D2150" t="s">
        <v>38</v>
      </c>
      <c r="E2150" t="s">
        <v>314</v>
      </c>
      <c r="F2150" t="s">
        <v>96</v>
      </c>
      <c r="G2150" s="5">
        <v>202060946</v>
      </c>
      <c r="H2150" s="5">
        <v>202240586</v>
      </c>
    </row>
    <row r="2151" spans="1:8" x14ac:dyDescent="0.25">
      <c r="A2151" t="s">
        <v>458</v>
      </c>
      <c r="B2151">
        <v>2020</v>
      </c>
      <c r="C2151" t="s">
        <v>92</v>
      </c>
      <c r="D2151" t="s">
        <v>38</v>
      </c>
      <c r="E2151" t="s">
        <v>312</v>
      </c>
      <c r="F2151" t="s">
        <v>94</v>
      </c>
      <c r="G2151" s="5">
        <v>182588035</v>
      </c>
      <c r="H2151" s="5">
        <v>183806925</v>
      </c>
    </row>
    <row r="2152" spans="1:8" x14ac:dyDescent="0.25">
      <c r="A2152" t="s">
        <v>458</v>
      </c>
      <c r="B2152">
        <v>2020</v>
      </c>
      <c r="C2152" t="s">
        <v>92</v>
      </c>
      <c r="D2152" t="s">
        <v>38</v>
      </c>
      <c r="E2152" t="s">
        <v>313</v>
      </c>
      <c r="F2152" t="s">
        <v>95</v>
      </c>
      <c r="G2152" s="5">
        <v>57205959</v>
      </c>
      <c r="H2152" s="5">
        <v>63365488</v>
      </c>
    </row>
    <row r="2153" spans="1:8" x14ac:dyDescent="0.25">
      <c r="A2153" t="s">
        <v>458</v>
      </c>
      <c r="B2153">
        <v>2020</v>
      </c>
      <c r="C2153" t="s">
        <v>92</v>
      </c>
      <c r="D2153" t="s">
        <v>38</v>
      </c>
      <c r="E2153" t="s">
        <v>321</v>
      </c>
      <c r="F2153" t="s">
        <v>103</v>
      </c>
      <c r="G2153" s="5">
        <v>29060474</v>
      </c>
      <c r="H2153" s="5">
        <v>29060474</v>
      </c>
    </row>
    <row r="2154" spans="1:8" x14ac:dyDescent="0.25">
      <c r="A2154" t="s">
        <v>458</v>
      </c>
      <c r="B2154">
        <v>2020</v>
      </c>
      <c r="C2154" t="s">
        <v>92</v>
      </c>
      <c r="D2154" t="s">
        <v>38</v>
      </c>
      <c r="E2154" t="s">
        <v>325</v>
      </c>
      <c r="F2154" t="s">
        <v>108</v>
      </c>
      <c r="G2154" s="5">
        <v>15664900</v>
      </c>
      <c r="H2154" s="5">
        <v>15664900</v>
      </c>
    </row>
    <row r="2155" spans="1:8" x14ac:dyDescent="0.25">
      <c r="A2155" t="s">
        <v>458</v>
      </c>
      <c r="B2155">
        <v>2020</v>
      </c>
      <c r="C2155" t="s">
        <v>92</v>
      </c>
      <c r="D2155" t="s">
        <v>38</v>
      </c>
      <c r="E2155" t="s">
        <v>318</v>
      </c>
      <c r="F2155" t="s">
        <v>100</v>
      </c>
      <c r="G2155" s="5">
        <v>13620474</v>
      </c>
      <c r="H2155" s="5">
        <v>14010913</v>
      </c>
    </row>
    <row r="2156" spans="1:8" x14ac:dyDescent="0.25">
      <c r="A2156" t="s">
        <v>458</v>
      </c>
      <c r="B2156">
        <v>2020</v>
      </c>
      <c r="C2156" t="s">
        <v>92</v>
      </c>
      <c r="D2156" t="s">
        <v>38</v>
      </c>
      <c r="E2156" t="s">
        <v>319</v>
      </c>
      <c r="F2156" t="s">
        <v>101</v>
      </c>
      <c r="G2156" s="5">
        <v>11096907</v>
      </c>
      <c r="H2156" s="5">
        <v>11096907</v>
      </c>
    </row>
    <row r="2157" spans="1:8" x14ac:dyDescent="0.25">
      <c r="A2157" t="s">
        <v>458</v>
      </c>
      <c r="B2157">
        <v>2020</v>
      </c>
      <c r="C2157" t="s">
        <v>92</v>
      </c>
      <c r="D2157" t="s">
        <v>38</v>
      </c>
      <c r="E2157" t="s">
        <v>322</v>
      </c>
      <c r="F2157" t="s">
        <v>105</v>
      </c>
      <c r="G2157" s="5">
        <v>8479550</v>
      </c>
      <c r="H2157" s="5">
        <v>8634368</v>
      </c>
    </row>
    <row r="2158" spans="1:8" x14ac:dyDescent="0.25">
      <c r="A2158" t="s">
        <v>458</v>
      </c>
      <c r="B2158">
        <v>2020</v>
      </c>
      <c r="C2158" t="s">
        <v>92</v>
      </c>
      <c r="D2158" t="s">
        <v>38</v>
      </c>
      <c r="E2158" t="s">
        <v>315</v>
      </c>
      <c r="F2158" t="s">
        <v>97</v>
      </c>
      <c r="G2158" s="5">
        <v>8311336</v>
      </c>
      <c r="H2158" s="5">
        <v>8516497</v>
      </c>
    </row>
    <row r="2159" spans="1:8" x14ac:dyDescent="0.25">
      <c r="A2159" t="s">
        <v>458</v>
      </c>
      <c r="B2159">
        <v>2020</v>
      </c>
      <c r="C2159" t="s">
        <v>92</v>
      </c>
      <c r="D2159" t="s">
        <v>38</v>
      </c>
      <c r="E2159" t="s">
        <v>316</v>
      </c>
      <c r="F2159" t="s">
        <v>98</v>
      </c>
      <c r="G2159" s="5">
        <v>7148576</v>
      </c>
      <c r="H2159" s="5">
        <v>7148576</v>
      </c>
    </row>
    <row r="2160" spans="1:8" x14ac:dyDescent="0.25">
      <c r="A2160" t="s">
        <v>458</v>
      </c>
      <c r="B2160">
        <v>2020</v>
      </c>
      <c r="C2160" t="s">
        <v>92</v>
      </c>
      <c r="D2160" t="s">
        <v>38</v>
      </c>
      <c r="E2160" t="s">
        <v>328</v>
      </c>
      <c r="F2160" t="s">
        <v>111</v>
      </c>
      <c r="G2160" s="5">
        <v>3280115</v>
      </c>
      <c r="H2160" s="5">
        <v>3280115</v>
      </c>
    </row>
    <row r="2161" spans="1:8" x14ac:dyDescent="0.25">
      <c r="A2161" t="s">
        <v>458</v>
      </c>
      <c r="B2161">
        <v>2020</v>
      </c>
      <c r="C2161" t="s">
        <v>92</v>
      </c>
      <c r="D2161" t="s">
        <v>38</v>
      </c>
      <c r="E2161" t="s">
        <v>326</v>
      </c>
      <c r="F2161" t="s">
        <v>109</v>
      </c>
      <c r="G2161" s="5">
        <v>2876128</v>
      </c>
      <c r="H2161" s="5">
        <v>3229859</v>
      </c>
    </row>
    <row r="2162" spans="1:8" x14ac:dyDescent="0.25">
      <c r="A2162" t="s">
        <v>458</v>
      </c>
      <c r="B2162">
        <v>2020</v>
      </c>
      <c r="C2162" t="s">
        <v>92</v>
      </c>
      <c r="D2162" t="s">
        <v>38</v>
      </c>
      <c r="E2162" t="s">
        <v>337</v>
      </c>
      <c r="F2162" t="s">
        <v>120</v>
      </c>
      <c r="G2162" s="5">
        <v>2497051</v>
      </c>
      <c r="H2162" s="5">
        <v>2497051</v>
      </c>
    </row>
    <row r="2163" spans="1:8" x14ac:dyDescent="0.25">
      <c r="A2163" t="s">
        <v>458</v>
      </c>
      <c r="B2163">
        <v>2020</v>
      </c>
      <c r="C2163" t="s">
        <v>92</v>
      </c>
      <c r="D2163" t="s">
        <v>38</v>
      </c>
      <c r="E2163" t="s">
        <v>332</v>
      </c>
      <c r="F2163" t="s">
        <v>115</v>
      </c>
      <c r="G2163" s="5">
        <v>2402576</v>
      </c>
      <c r="H2163" s="5">
        <v>2402576</v>
      </c>
    </row>
    <row r="2164" spans="1:8" x14ac:dyDescent="0.25">
      <c r="A2164" t="s">
        <v>458</v>
      </c>
      <c r="B2164">
        <v>2020</v>
      </c>
      <c r="C2164" t="s">
        <v>92</v>
      </c>
      <c r="D2164" t="s">
        <v>38</v>
      </c>
      <c r="E2164" t="s">
        <v>329</v>
      </c>
      <c r="F2164" t="s">
        <v>112</v>
      </c>
      <c r="G2164" s="5">
        <v>1946812</v>
      </c>
      <c r="H2164" s="5">
        <v>1946812</v>
      </c>
    </row>
    <row r="2165" spans="1:8" x14ac:dyDescent="0.25">
      <c r="A2165" t="s">
        <v>458</v>
      </c>
      <c r="B2165">
        <v>2020</v>
      </c>
      <c r="C2165" t="s">
        <v>92</v>
      </c>
      <c r="D2165" t="s">
        <v>38</v>
      </c>
      <c r="E2165" t="s">
        <v>323</v>
      </c>
      <c r="F2165" t="s">
        <v>106</v>
      </c>
      <c r="G2165" s="5">
        <v>1508515</v>
      </c>
      <c r="H2165" s="5">
        <v>1508515</v>
      </c>
    </row>
    <row r="2166" spans="1:8" x14ac:dyDescent="0.25">
      <c r="A2166" t="s">
        <v>458</v>
      </c>
      <c r="B2166">
        <v>2020</v>
      </c>
      <c r="C2166" t="s">
        <v>92</v>
      </c>
      <c r="D2166" t="s">
        <v>38</v>
      </c>
      <c r="E2166" t="s">
        <v>444</v>
      </c>
      <c r="F2166" t="s">
        <v>231</v>
      </c>
      <c r="G2166" s="5">
        <v>1136620</v>
      </c>
      <c r="H2166" s="5">
        <v>1136620</v>
      </c>
    </row>
    <row r="2167" spans="1:8" x14ac:dyDescent="0.25">
      <c r="A2167" t="s">
        <v>458</v>
      </c>
      <c r="B2167">
        <v>2020</v>
      </c>
      <c r="C2167" t="s">
        <v>92</v>
      </c>
      <c r="D2167" t="s">
        <v>38</v>
      </c>
      <c r="E2167" t="s">
        <v>324</v>
      </c>
      <c r="F2167" t="s">
        <v>107</v>
      </c>
      <c r="G2167" s="5">
        <v>932624</v>
      </c>
      <c r="H2167" s="5">
        <v>933921</v>
      </c>
    </row>
    <row r="2168" spans="1:8" x14ac:dyDescent="0.25">
      <c r="A2168" t="s">
        <v>458</v>
      </c>
      <c r="B2168">
        <v>2020</v>
      </c>
      <c r="C2168" t="s">
        <v>92</v>
      </c>
      <c r="D2168" t="s">
        <v>38</v>
      </c>
      <c r="E2168" t="s">
        <v>331</v>
      </c>
      <c r="F2168" t="s">
        <v>114</v>
      </c>
      <c r="G2168" s="5">
        <v>897658</v>
      </c>
      <c r="H2168" s="5">
        <v>897658</v>
      </c>
    </row>
    <row r="2169" spans="1:8" x14ac:dyDescent="0.25">
      <c r="A2169" t="s">
        <v>458</v>
      </c>
      <c r="B2169">
        <v>2020</v>
      </c>
      <c r="C2169" t="s">
        <v>92</v>
      </c>
      <c r="D2169" t="s">
        <v>38</v>
      </c>
      <c r="E2169" t="s">
        <v>327</v>
      </c>
      <c r="F2169" t="s">
        <v>110</v>
      </c>
      <c r="G2169" s="5">
        <v>579625</v>
      </c>
      <c r="H2169" s="5">
        <v>579625</v>
      </c>
    </row>
    <row r="2170" spans="1:8" x14ac:dyDescent="0.25">
      <c r="A2170" t="s">
        <v>458</v>
      </c>
      <c r="B2170">
        <v>2020</v>
      </c>
      <c r="C2170" t="s">
        <v>92</v>
      </c>
      <c r="D2170" t="s">
        <v>38</v>
      </c>
      <c r="F2170" t="s">
        <v>104</v>
      </c>
      <c r="G2170" s="5">
        <v>567216</v>
      </c>
      <c r="H2170" s="5">
        <v>648716</v>
      </c>
    </row>
    <row r="2171" spans="1:8" x14ac:dyDescent="0.25">
      <c r="A2171" t="s">
        <v>458</v>
      </c>
      <c r="B2171">
        <v>2020</v>
      </c>
      <c r="C2171" t="s">
        <v>92</v>
      </c>
      <c r="D2171" t="s">
        <v>38</v>
      </c>
      <c r="E2171" t="s">
        <v>441</v>
      </c>
      <c r="F2171" t="s">
        <v>228</v>
      </c>
      <c r="G2171" s="5">
        <v>114071</v>
      </c>
      <c r="H2171" s="5">
        <v>114071</v>
      </c>
    </row>
    <row r="2172" spans="1:8" x14ac:dyDescent="0.25">
      <c r="A2172" t="s">
        <v>458</v>
      </c>
      <c r="B2172">
        <v>2020</v>
      </c>
      <c r="C2172" t="s">
        <v>92</v>
      </c>
      <c r="D2172" t="s">
        <v>38</v>
      </c>
      <c r="E2172" t="s">
        <v>463</v>
      </c>
      <c r="F2172" t="s">
        <v>251</v>
      </c>
      <c r="G2172" s="5">
        <v>95353</v>
      </c>
      <c r="H2172" s="5">
        <v>95353</v>
      </c>
    </row>
    <row r="2173" spans="1:8" x14ac:dyDescent="0.25">
      <c r="A2173" t="s">
        <v>458</v>
      </c>
      <c r="B2173">
        <v>2020</v>
      </c>
      <c r="C2173" t="s">
        <v>92</v>
      </c>
      <c r="D2173" t="s">
        <v>38</v>
      </c>
      <c r="E2173" t="s">
        <v>340</v>
      </c>
      <c r="F2173" t="s">
        <v>123</v>
      </c>
      <c r="G2173" s="5">
        <v>60843</v>
      </c>
      <c r="H2173" s="5">
        <v>60843</v>
      </c>
    </row>
    <row r="2174" spans="1:8" x14ac:dyDescent="0.25">
      <c r="A2174" t="s">
        <v>458</v>
      </c>
      <c r="B2174">
        <v>2020</v>
      </c>
      <c r="C2174" t="s">
        <v>92</v>
      </c>
      <c r="D2174" t="s">
        <v>38</v>
      </c>
      <c r="E2174" t="s">
        <v>330</v>
      </c>
      <c r="F2174" t="s">
        <v>113</v>
      </c>
      <c r="G2174" s="5">
        <v>60522</v>
      </c>
      <c r="H2174" s="5">
        <v>60522</v>
      </c>
    </row>
    <row r="2175" spans="1:8" x14ac:dyDescent="0.25">
      <c r="A2175" t="s">
        <v>458</v>
      </c>
      <c r="B2175">
        <v>2020</v>
      </c>
      <c r="C2175" t="s">
        <v>92</v>
      </c>
      <c r="D2175" t="s">
        <v>38</v>
      </c>
      <c r="E2175" t="s">
        <v>334</v>
      </c>
      <c r="F2175" t="s">
        <v>117</v>
      </c>
      <c r="G2175" s="5">
        <v>60307</v>
      </c>
      <c r="H2175" s="5">
        <v>60307</v>
      </c>
    </row>
    <row r="2176" spans="1:8" x14ac:dyDescent="0.25">
      <c r="A2176" t="s">
        <v>458</v>
      </c>
      <c r="B2176">
        <v>2020</v>
      </c>
      <c r="C2176" t="s">
        <v>92</v>
      </c>
      <c r="D2176" t="s">
        <v>38</v>
      </c>
      <c r="E2176" t="s">
        <v>452</v>
      </c>
      <c r="F2176" t="s">
        <v>239</v>
      </c>
      <c r="G2176" s="5">
        <v>46875</v>
      </c>
      <c r="H2176" s="5">
        <v>46875</v>
      </c>
    </row>
    <row r="2177" spans="1:8" x14ac:dyDescent="0.25">
      <c r="A2177" t="s">
        <v>458</v>
      </c>
      <c r="B2177">
        <v>2020</v>
      </c>
      <c r="C2177" t="s">
        <v>92</v>
      </c>
      <c r="D2177" t="s">
        <v>38</v>
      </c>
      <c r="E2177" t="s">
        <v>333</v>
      </c>
      <c r="F2177" t="s">
        <v>116</v>
      </c>
      <c r="G2177" s="5">
        <v>34475</v>
      </c>
      <c r="H2177" s="5">
        <v>34475</v>
      </c>
    </row>
    <row r="2178" spans="1:8" x14ac:dyDescent="0.25">
      <c r="A2178" t="s">
        <v>458</v>
      </c>
      <c r="B2178">
        <v>2020</v>
      </c>
      <c r="C2178" t="s">
        <v>92</v>
      </c>
      <c r="D2178" t="s">
        <v>38</v>
      </c>
      <c r="E2178" t="s">
        <v>335</v>
      </c>
      <c r="F2178" t="s">
        <v>118</v>
      </c>
      <c r="G2178" s="5">
        <v>27332</v>
      </c>
      <c r="H2178" s="5">
        <v>27332</v>
      </c>
    </row>
    <row r="2179" spans="1:8" x14ac:dyDescent="0.25">
      <c r="A2179" t="s">
        <v>458</v>
      </c>
      <c r="B2179">
        <v>2020</v>
      </c>
      <c r="C2179" t="s">
        <v>92</v>
      </c>
      <c r="D2179" t="s">
        <v>38</v>
      </c>
      <c r="E2179" t="s">
        <v>455</v>
      </c>
      <c r="F2179" t="s">
        <v>242</v>
      </c>
      <c r="G2179" s="5">
        <v>23988</v>
      </c>
      <c r="H2179" s="5">
        <v>23988</v>
      </c>
    </row>
    <row r="2180" spans="1:8" x14ac:dyDescent="0.25">
      <c r="A2180" t="s">
        <v>458</v>
      </c>
      <c r="B2180">
        <v>2020</v>
      </c>
      <c r="C2180" t="s">
        <v>92</v>
      </c>
      <c r="D2180" t="s">
        <v>38</v>
      </c>
      <c r="E2180" t="s">
        <v>460</v>
      </c>
      <c r="F2180" t="s">
        <v>248</v>
      </c>
      <c r="G2180" s="5">
        <v>18857</v>
      </c>
      <c r="H2180" s="5">
        <v>18857</v>
      </c>
    </row>
    <row r="2181" spans="1:8" x14ac:dyDescent="0.25">
      <c r="A2181" t="s">
        <v>458</v>
      </c>
      <c r="B2181">
        <v>2020</v>
      </c>
      <c r="C2181" t="s">
        <v>92</v>
      </c>
      <c r="D2181" t="s">
        <v>38</v>
      </c>
      <c r="E2181" t="s">
        <v>461</v>
      </c>
      <c r="F2181" t="s">
        <v>249</v>
      </c>
      <c r="G2181" s="5">
        <v>14413</v>
      </c>
      <c r="H2181" s="5">
        <v>14413</v>
      </c>
    </row>
    <row r="2182" spans="1:8" x14ac:dyDescent="0.25">
      <c r="A2182" t="s">
        <v>458</v>
      </c>
      <c r="B2182">
        <v>2020</v>
      </c>
      <c r="C2182" t="s">
        <v>92</v>
      </c>
      <c r="D2182" t="s">
        <v>38</v>
      </c>
      <c r="E2182" t="s">
        <v>320</v>
      </c>
      <c r="F2182" t="s">
        <v>102</v>
      </c>
      <c r="G2182" s="5">
        <v>10967</v>
      </c>
      <c r="H2182" s="5">
        <v>10967</v>
      </c>
    </row>
    <row r="2183" spans="1:8" x14ac:dyDescent="0.25">
      <c r="A2183" t="s">
        <v>458</v>
      </c>
      <c r="B2183">
        <v>2020</v>
      </c>
      <c r="C2183" t="s">
        <v>35</v>
      </c>
      <c r="D2183" t="s">
        <v>35</v>
      </c>
      <c r="E2183" t="s">
        <v>343</v>
      </c>
      <c r="F2183" t="s">
        <v>126</v>
      </c>
      <c r="G2183" s="5">
        <v>5266024284</v>
      </c>
      <c r="H2183" s="5">
        <v>5268678360</v>
      </c>
    </row>
    <row r="2184" spans="1:8" x14ac:dyDescent="0.25">
      <c r="A2184" t="s">
        <v>458</v>
      </c>
      <c r="B2184">
        <v>2020</v>
      </c>
      <c r="C2184" t="s">
        <v>35</v>
      </c>
      <c r="D2184" t="s">
        <v>35</v>
      </c>
      <c r="E2184" t="s">
        <v>354</v>
      </c>
      <c r="F2184" t="s">
        <v>137</v>
      </c>
      <c r="G2184" s="5">
        <v>601155921</v>
      </c>
      <c r="H2184" s="5">
        <v>601157195</v>
      </c>
    </row>
    <row r="2185" spans="1:8" x14ac:dyDescent="0.25">
      <c r="A2185" t="s">
        <v>458</v>
      </c>
      <c r="B2185">
        <v>2020</v>
      </c>
      <c r="C2185" t="s">
        <v>35</v>
      </c>
      <c r="D2185" t="s">
        <v>35</v>
      </c>
      <c r="E2185" t="s">
        <v>348</v>
      </c>
      <c r="F2185" t="s">
        <v>131</v>
      </c>
      <c r="G2185" s="5">
        <v>482913140</v>
      </c>
      <c r="H2185" s="5">
        <v>622414549</v>
      </c>
    </row>
    <row r="2186" spans="1:8" x14ac:dyDescent="0.25">
      <c r="A2186" t="s">
        <v>458</v>
      </c>
      <c r="B2186">
        <v>2020</v>
      </c>
      <c r="C2186" t="s">
        <v>35</v>
      </c>
      <c r="D2186" t="s">
        <v>35</v>
      </c>
      <c r="E2186" t="s">
        <v>352</v>
      </c>
      <c r="F2186" t="s">
        <v>135</v>
      </c>
      <c r="G2186" s="5">
        <v>273036836</v>
      </c>
      <c r="H2186" s="5">
        <v>273373420</v>
      </c>
    </row>
    <row r="2187" spans="1:8" x14ac:dyDescent="0.25">
      <c r="A2187" t="s">
        <v>458</v>
      </c>
      <c r="B2187">
        <v>2020</v>
      </c>
      <c r="C2187" t="s">
        <v>35</v>
      </c>
      <c r="D2187" t="s">
        <v>35</v>
      </c>
      <c r="E2187" t="s">
        <v>344</v>
      </c>
      <c r="F2187" t="s">
        <v>127</v>
      </c>
      <c r="G2187" s="5">
        <v>253661981</v>
      </c>
      <c r="H2187" s="5">
        <v>253766161</v>
      </c>
    </row>
    <row r="2188" spans="1:8" x14ac:dyDescent="0.25">
      <c r="A2188" t="s">
        <v>458</v>
      </c>
      <c r="B2188">
        <v>2020</v>
      </c>
      <c r="C2188" t="s">
        <v>35</v>
      </c>
      <c r="D2188" t="s">
        <v>35</v>
      </c>
      <c r="E2188" t="s">
        <v>356</v>
      </c>
      <c r="F2188" t="s">
        <v>139</v>
      </c>
      <c r="G2188" s="5">
        <v>250095551</v>
      </c>
      <c r="H2188" s="5">
        <v>250551119</v>
      </c>
    </row>
    <row r="2189" spans="1:8" x14ac:dyDescent="0.25">
      <c r="A2189" t="s">
        <v>458</v>
      </c>
      <c r="B2189">
        <v>2020</v>
      </c>
      <c r="C2189" t="s">
        <v>35</v>
      </c>
      <c r="D2189" t="s">
        <v>35</v>
      </c>
      <c r="E2189" t="s">
        <v>353</v>
      </c>
      <c r="F2189" t="s">
        <v>136</v>
      </c>
      <c r="G2189" s="5">
        <v>241337561</v>
      </c>
      <c r="H2189" s="5">
        <v>241342770</v>
      </c>
    </row>
    <row r="2190" spans="1:8" x14ac:dyDescent="0.25">
      <c r="A2190" t="s">
        <v>458</v>
      </c>
      <c r="B2190">
        <v>2020</v>
      </c>
      <c r="C2190" t="s">
        <v>35</v>
      </c>
      <c r="D2190" t="s">
        <v>35</v>
      </c>
      <c r="E2190" t="s">
        <v>345</v>
      </c>
      <c r="F2190" t="s">
        <v>128</v>
      </c>
      <c r="G2190" s="5">
        <v>240281993</v>
      </c>
      <c r="H2190" s="5">
        <v>243225659</v>
      </c>
    </row>
    <row r="2191" spans="1:8" x14ac:dyDescent="0.25">
      <c r="A2191" t="s">
        <v>458</v>
      </c>
      <c r="B2191">
        <v>2020</v>
      </c>
      <c r="C2191" t="s">
        <v>35</v>
      </c>
      <c r="D2191" t="s">
        <v>35</v>
      </c>
      <c r="E2191" t="s">
        <v>360</v>
      </c>
      <c r="F2191" t="s">
        <v>143</v>
      </c>
      <c r="G2191" s="5">
        <v>164164082</v>
      </c>
      <c r="H2191" s="5">
        <v>164164082</v>
      </c>
    </row>
    <row r="2192" spans="1:8" x14ac:dyDescent="0.25">
      <c r="A2192" t="s">
        <v>458</v>
      </c>
      <c r="B2192">
        <v>2020</v>
      </c>
      <c r="C2192" t="s">
        <v>35</v>
      </c>
      <c r="D2192" t="s">
        <v>35</v>
      </c>
      <c r="E2192" t="s">
        <v>355</v>
      </c>
      <c r="F2192" t="s">
        <v>138</v>
      </c>
      <c r="G2192" s="5">
        <v>93701707</v>
      </c>
      <c r="H2192" s="5">
        <v>93706860</v>
      </c>
    </row>
    <row r="2193" spans="1:8" x14ac:dyDescent="0.25">
      <c r="A2193" t="s">
        <v>458</v>
      </c>
      <c r="B2193">
        <v>2020</v>
      </c>
      <c r="C2193" t="s">
        <v>35</v>
      </c>
      <c r="D2193" t="s">
        <v>35</v>
      </c>
      <c r="E2193" t="s">
        <v>362</v>
      </c>
      <c r="F2193" t="s">
        <v>145</v>
      </c>
      <c r="G2193" s="5">
        <v>80122221</v>
      </c>
      <c r="H2193" s="5">
        <v>80122327</v>
      </c>
    </row>
    <row r="2194" spans="1:8" x14ac:dyDescent="0.25">
      <c r="A2194" t="s">
        <v>458</v>
      </c>
      <c r="B2194">
        <v>2020</v>
      </c>
      <c r="C2194" t="s">
        <v>35</v>
      </c>
      <c r="D2194" t="s">
        <v>35</v>
      </c>
      <c r="E2194" t="s">
        <v>349</v>
      </c>
      <c r="F2194" t="s">
        <v>132</v>
      </c>
      <c r="G2194" s="5">
        <v>79943222</v>
      </c>
      <c r="H2194" s="5">
        <v>189366499</v>
      </c>
    </row>
    <row r="2195" spans="1:8" x14ac:dyDescent="0.25">
      <c r="A2195" t="s">
        <v>458</v>
      </c>
      <c r="B2195">
        <v>2020</v>
      </c>
      <c r="C2195" t="s">
        <v>35</v>
      </c>
      <c r="D2195" t="s">
        <v>35</v>
      </c>
      <c r="E2195" t="s">
        <v>357</v>
      </c>
      <c r="F2195" t="s">
        <v>140</v>
      </c>
      <c r="G2195" s="5">
        <v>47999704</v>
      </c>
      <c r="H2195" s="5">
        <v>48024212</v>
      </c>
    </row>
    <row r="2196" spans="1:8" x14ac:dyDescent="0.25">
      <c r="A2196" t="s">
        <v>458</v>
      </c>
      <c r="B2196">
        <v>2020</v>
      </c>
      <c r="C2196" t="s">
        <v>35</v>
      </c>
      <c r="D2196" t="s">
        <v>35</v>
      </c>
      <c r="E2196" t="s">
        <v>383</v>
      </c>
      <c r="F2196" t="s">
        <v>167</v>
      </c>
      <c r="G2196" s="5">
        <v>39938584</v>
      </c>
      <c r="H2196" s="5">
        <v>39950369</v>
      </c>
    </row>
    <row r="2197" spans="1:8" x14ac:dyDescent="0.25">
      <c r="A2197" t="s">
        <v>458</v>
      </c>
      <c r="B2197">
        <v>2020</v>
      </c>
      <c r="C2197" t="s">
        <v>35</v>
      </c>
      <c r="D2197" t="s">
        <v>35</v>
      </c>
      <c r="E2197" t="s">
        <v>346</v>
      </c>
      <c r="F2197" t="s">
        <v>129</v>
      </c>
      <c r="G2197" s="5">
        <v>37820549</v>
      </c>
      <c r="H2197" s="5">
        <v>1994072026</v>
      </c>
    </row>
    <row r="2198" spans="1:8" x14ac:dyDescent="0.25">
      <c r="A2198" t="s">
        <v>458</v>
      </c>
      <c r="B2198">
        <v>2020</v>
      </c>
      <c r="C2198" t="s">
        <v>35</v>
      </c>
      <c r="D2198" t="s">
        <v>35</v>
      </c>
      <c r="E2198" t="s">
        <v>351</v>
      </c>
      <c r="F2198" t="s">
        <v>134</v>
      </c>
      <c r="G2198" s="5">
        <v>36504293</v>
      </c>
      <c r="H2198" s="5">
        <v>41275768</v>
      </c>
    </row>
    <row r="2199" spans="1:8" x14ac:dyDescent="0.25">
      <c r="A2199" t="s">
        <v>458</v>
      </c>
      <c r="B2199">
        <v>2020</v>
      </c>
      <c r="C2199" t="s">
        <v>35</v>
      </c>
      <c r="D2199" t="s">
        <v>35</v>
      </c>
      <c r="E2199" t="s">
        <v>366</v>
      </c>
      <c r="F2199" t="s">
        <v>149</v>
      </c>
      <c r="G2199" s="5">
        <v>27109718</v>
      </c>
      <c r="H2199" s="5">
        <v>27204504</v>
      </c>
    </row>
    <row r="2200" spans="1:8" x14ac:dyDescent="0.25">
      <c r="A2200" t="s">
        <v>458</v>
      </c>
      <c r="B2200">
        <v>2020</v>
      </c>
      <c r="C2200" t="s">
        <v>35</v>
      </c>
      <c r="D2200" t="s">
        <v>35</v>
      </c>
      <c r="E2200" t="s">
        <v>367</v>
      </c>
      <c r="F2200" t="s">
        <v>150</v>
      </c>
      <c r="G2200" s="5">
        <v>25492000</v>
      </c>
      <c r="H2200" s="5">
        <v>25492000</v>
      </c>
    </row>
    <row r="2201" spans="1:8" x14ac:dyDescent="0.25">
      <c r="A2201" t="s">
        <v>458</v>
      </c>
      <c r="B2201">
        <v>2020</v>
      </c>
      <c r="C2201" t="s">
        <v>35</v>
      </c>
      <c r="D2201" t="s">
        <v>35</v>
      </c>
      <c r="E2201" t="s">
        <v>379</v>
      </c>
      <c r="F2201" t="s">
        <v>163</v>
      </c>
      <c r="G2201" s="5">
        <v>24982218</v>
      </c>
      <c r="H2201" s="5">
        <v>24982218</v>
      </c>
    </row>
    <row r="2202" spans="1:8" x14ac:dyDescent="0.25">
      <c r="A2202" t="s">
        <v>458</v>
      </c>
      <c r="B2202">
        <v>2020</v>
      </c>
      <c r="C2202" t="s">
        <v>35</v>
      </c>
      <c r="D2202" t="s">
        <v>35</v>
      </c>
      <c r="E2202" t="s">
        <v>350</v>
      </c>
      <c r="F2202" t="s">
        <v>133</v>
      </c>
      <c r="G2202" s="5">
        <v>17253257</v>
      </c>
      <c r="H2202" s="5">
        <v>17253321</v>
      </c>
    </row>
    <row r="2203" spans="1:8" x14ac:dyDescent="0.25">
      <c r="A2203" t="s">
        <v>458</v>
      </c>
      <c r="B2203">
        <v>2020</v>
      </c>
      <c r="C2203" t="s">
        <v>35</v>
      </c>
      <c r="D2203" t="s">
        <v>35</v>
      </c>
      <c r="E2203" t="s">
        <v>347</v>
      </c>
      <c r="F2203" t="s">
        <v>130</v>
      </c>
      <c r="G2203" s="5">
        <v>14858493</v>
      </c>
      <c r="H2203" s="5">
        <v>46479437</v>
      </c>
    </row>
    <row r="2204" spans="1:8" x14ac:dyDescent="0.25">
      <c r="A2204" t="s">
        <v>458</v>
      </c>
      <c r="B2204">
        <v>2020</v>
      </c>
      <c r="C2204" t="s">
        <v>35</v>
      </c>
      <c r="D2204" t="s">
        <v>35</v>
      </c>
      <c r="E2204" t="s">
        <v>381</v>
      </c>
      <c r="F2204" t="s">
        <v>165</v>
      </c>
      <c r="G2204" s="5">
        <v>4639711</v>
      </c>
      <c r="H2204" s="5">
        <v>4646828</v>
      </c>
    </row>
    <row r="2205" spans="1:8" x14ac:dyDescent="0.25">
      <c r="A2205" t="s">
        <v>458</v>
      </c>
      <c r="B2205">
        <v>2020</v>
      </c>
      <c r="C2205" t="s">
        <v>35</v>
      </c>
      <c r="D2205" t="s">
        <v>35</v>
      </c>
      <c r="E2205" t="s">
        <v>378</v>
      </c>
      <c r="F2205" t="s">
        <v>162</v>
      </c>
      <c r="G2205" s="5">
        <v>2913403</v>
      </c>
      <c r="H2205" s="5">
        <v>2913403</v>
      </c>
    </row>
    <row r="2206" spans="1:8" x14ac:dyDescent="0.25">
      <c r="A2206" t="s">
        <v>458</v>
      </c>
      <c r="B2206">
        <v>2020</v>
      </c>
      <c r="C2206" t="s">
        <v>35</v>
      </c>
      <c r="D2206" t="s">
        <v>35</v>
      </c>
      <c r="E2206" t="s">
        <v>359</v>
      </c>
      <c r="F2206" t="s">
        <v>142</v>
      </c>
      <c r="G2206" s="5">
        <v>2124405</v>
      </c>
      <c r="H2206" s="5">
        <v>2480125</v>
      </c>
    </row>
    <row r="2207" spans="1:8" x14ac:dyDescent="0.25">
      <c r="A2207" t="s">
        <v>458</v>
      </c>
      <c r="B2207">
        <v>2020</v>
      </c>
      <c r="C2207" t="s">
        <v>35</v>
      </c>
      <c r="D2207" t="s">
        <v>35</v>
      </c>
      <c r="F2207" t="s">
        <v>161</v>
      </c>
      <c r="G2207" s="5">
        <v>1778157</v>
      </c>
      <c r="H2207" s="5">
        <v>1778157</v>
      </c>
    </row>
    <row r="2208" spans="1:8" x14ac:dyDescent="0.25">
      <c r="A2208" t="s">
        <v>458</v>
      </c>
      <c r="B2208">
        <v>2020</v>
      </c>
      <c r="C2208" t="s">
        <v>35</v>
      </c>
      <c r="D2208" t="s">
        <v>35</v>
      </c>
      <c r="E2208" t="s">
        <v>382</v>
      </c>
      <c r="F2208" t="s">
        <v>166</v>
      </c>
      <c r="G2208" s="5">
        <v>1751846</v>
      </c>
      <c r="H2208" s="5">
        <v>1751863</v>
      </c>
    </row>
    <row r="2209" spans="1:8" x14ac:dyDescent="0.25">
      <c r="A2209" t="s">
        <v>458</v>
      </c>
      <c r="B2209">
        <v>2020</v>
      </c>
      <c r="C2209" t="s">
        <v>35</v>
      </c>
      <c r="D2209" t="s">
        <v>35</v>
      </c>
      <c r="E2209" t="s">
        <v>364</v>
      </c>
      <c r="F2209" t="s">
        <v>147</v>
      </c>
      <c r="G2209" s="5">
        <v>1742926</v>
      </c>
      <c r="H2209" s="5">
        <v>329323008</v>
      </c>
    </row>
    <row r="2210" spans="1:8" x14ac:dyDescent="0.25">
      <c r="A2210" t="s">
        <v>458</v>
      </c>
      <c r="B2210">
        <v>2020</v>
      </c>
      <c r="C2210" t="s">
        <v>35</v>
      </c>
      <c r="D2210" t="s">
        <v>35</v>
      </c>
      <c r="E2210" t="s">
        <v>370</v>
      </c>
      <c r="F2210" t="s">
        <v>153</v>
      </c>
      <c r="G2210" s="5">
        <v>1372294</v>
      </c>
      <c r="H2210" s="5">
        <v>126841238</v>
      </c>
    </row>
    <row r="2211" spans="1:8" x14ac:dyDescent="0.25">
      <c r="A2211" t="s">
        <v>458</v>
      </c>
      <c r="B2211">
        <v>2020</v>
      </c>
      <c r="C2211" t="s">
        <v>35</v>
      </c>
      <c r="D2211" t="s">
        <v>35</v>
      </c>
      <c r="E2211" t="s">
        <v>358</v>
      </c>
      <c r="F2211" t="s">
        <v>141</v>
      </c>
      <c r="G2211" s="5">
        <v>952914</v>
      </c>
      <c r="H2211" s="5">
        <v>952914</v>
      </c>
    </row>
    <row r="2212" spans="1:8" x14ac:dyDescent="0.25">
      <c r="A2212" t="s">
        <v>458</v>
      </c>
      <c r="B2212">
        <v>2020</v>
      </c>
      <c r="C2212" t="s">
        <v>35</v>
      </c>
      <c r="D2212" t="s">
        <v>35</v>
      </c>
      <c r="E2212" t="s">
        <v>377</v>
      </c>
      <c r="F2212" t="s">
        <v>160</v>
      </c>
      <c r="G2212" s="5">
        <v>949808</v>
      </c>
      <c r="H2212" s="5">
        <v>949808</v>
      </c>
    </row>
    <row r="2213" spans="1:8" x14ac:dyDescent="0.25">
      <c r="A2213" t="s">
        <v>458</v>
      </c>
      <c r="B2213">
        <v>2020</v>
      </c>
      <c r="C2213" t="s">
        <v>35</v>
      </c>
      <c r="D2213" t="s">
        <v>35</v>
      </c>
      <c r="E2213" t="s">
        <v>371</v>
      </c>
      <c r="F2213" t="s">
        <v>154</v>
      </c>
      <c r="G2213" s="5">
        <v>769166</v>
      </c>
      <c r="H2213" s="5">
        <v>769166</v>
      </c>
    </row>
    <row r="2214" spans="1:8" x14ac:dyDescent="0.25">
      <c r="A2214" t="s">
        <v>458</v>
      </c>
      <c r="B2214">
        <v>2020</v>
      </c>
      <c r="C2214" t="s">
        <v>35</v>
      </c>
      <c r="D2214" t="s">
        <v>35</v>
      </c>
      <c r="E2214" t="s">
        <v>361</v>
      </c>
      <c r="F2214" t="s">
        <v>144</v>
      </c>
      <c r="G2214" s="5">
        <v>516167</v>
      </c>
      <c r="H2214" s="5">
        <v>516167</v>
      </c>
    </row>
    <row r="2215" spans="1:8" x14ac:dyDescent="0.25">
      <c r="A2215" t="s">
        <v>458</v>
      </c>
      <c r="B2215">
        <v>2020</v>
      </c>
      <c r="C2215" t="s">
        <v>35</v>
      </c>
      <c r="D2215" t="s">
        <v>35</v>
      </c>
      <c r="E2215" t="s">
        <v>376</v>
      </c>
      <c r="F2215" t="s">
        <v>159</v>
      </c>
      <c r="G2215" s="5">
        <v>361701</v>
      </c>
      <c r="H2215" s="5">
        <v>361701</v>
      </c>
    </row>
    <row r="2216" spans="1:8" x14ac:dyDescent="0.25">
      <c r="A2216" t="s">
        <v>458</v>
      </c>
      <c r="B2216">
        <v>2020</v>
      </c>
      <c r="C2216" t="s">
        <v>35</v>
      </c>
      <c r="D2216" t="s">
        <v>35</v>
      </c>
      <c r="E2216" t="s">
        <v>375</v>
      </c>
      <c r="F2216" t="s">
        <v>158</v>
      </c>
      <c r="G2216" s="5">
        <v>181905</v>
      </c>
      <c r="H2216" s="5">
        <v>247420039</v>
      </c>
    </row>
    <row r="2217" spans="1:8" x14ac:dyDescent="0.25">
      <c r="A2217" t="s">
        <v>458</v>
      </c>
      <c r="B2217">
        <v>2020</v>
      </c>
      <c r="C2217" t="s">
        <v>35</v>
      </c>
      <c r="D2217" t="s">
        <v>35</v>
      </c>
      <c r="E2217" t="s">
        <v>363</v>
      </c>
      <c r="F2217" t="s">
        <v>146</v>
      </c>
      <c r="G2217" s="5">
        <v>162028</v>
      </c>
      <c r="H2217" s="5">
        <v>162028</v>
      </c>
    </row>
    <row r="2218" spans="1:8" x14ac:dyDescent="0.25">
      <c r="A2218" t="s">
        <v>458</v>
      </c>
      <c r="B2218">
        <v>2020</v>
      </c>
      <c r="C2218" t="s">
        <v>35</v>
      </c>
      <c r="D2218" t="s">
        <v>35</v>
      </c>
      <c r="E2218" t="s">
        <v>385</v>
      </c>
      <c r="F2218" t="s">
        <v>169</v>
      </c>
      <c r="G2218" s="5">
        <v>104020</v>
      </c>
      <c r="H2218" s="5">
        <v>129434</v>
      </c>
    </row>
    <row r="2219" spans="1:8" x14ac:dyDescent="0.25">
      <c r="A2219" t="s">
        <v>458</v>
      </c>
      <c r="B2219">
        <v>2020</v>
      </c>
      <c r="C2219" t="s">
        <v>35</v>
      </c>
      <c r="D2219" t="s">
        <v>35</v>
      </c>
      <c r="E2219" t="s">
        <v>365</v>
      </c>
      <c r="F2219" t="s">
        <v>148</v>
      </c>
      <c r="G2219" s="5">
        <v>83561</v>
      </c>
      <c r="H2219" s="5">
        <v>83561</v>
      </c>
    </row>
    <row r="2220" spans="1:8" x14ac:dyDescent="0.25">
      <c r="A2220" t="s">
        <v>458</v>
      </c>
      <c r="B2220">
        <v>2020</v>
      </c>
      <c r="C2220" t="s">
        <v>35</v>
      </c>
      <c r="D2220" t="s">
        <v>35</v>
      </c>
      <c r="E2220" t="s">
        <v>384</v>
      </c>
      <c r="F2220" t="s">
        <v>168</v>
      </c>
      <c r="G2220" s="5">
        <v>56712</v>
      </c>
      <c r="H2220" s="5">
        <v>56712</v>
      </c>
    </row>
    <row r="2221" spans="1:8" x14ac:dyDescent="0.25">
      <c r="A2221" t="s">
        <v>458</v>
      </c>
      <c r="B2221">
        <v>2020</v>
      </c>
      <c r="C2221" t="s">
        <v>35</v>
      </c>
      <c r="D2221" t="s">
        <v>35</v>
      </c>
      <c r="E2221" t="s">
        <v>369</v>
      </c>
      <c r="F2221" t="s">
        <v>152</v>
      </c>
      <c r="G2221" s="5">
        <v>34930</v>
      </c>
      <c r="H2221" s="5">
        <v>34930</v>
      </c>
    </row>
    <row r="2222" spans="1:8" x14ac:dyDescent="0.25">
      <c r="A2222" t="s">
        <v>458</v>
      </c>
      <c r="B2222">
        <v>2020</v>
      </c>
      <c r="C2222" t="s">
        <v>35</v>
      </c>
      <c r="D2222" t="s">
        <v>35</v>
      </c>
      <c r="E2222" t="s">
        <v>372</v>
      </c>
      <c r="F2222" t="s">
        <v>155</v>
      </c>
      <c r="G2222" s="5">
        <v>28008</v>
      </c>
      <c r="H2222" s="5">
        <v>28008</v>
      </c>
    </row>
    <row r="2223" spans="1:8" x14ac:dyDescent="0.25">
      <c r="A2223" t="s">
        <v>458</v>
      </c>
      <c r="B2223">
        <v>2020</v>
      </c>
      <c r="C2223" t="s">
        <v>35</v>
      </c>
      <c r="D2223" t="s">
        <v>35</v>
      </c>
      <c r="E2223" t="s">
        <v>387</v>
      </c>
      <c r="F2223" t="s">
        <v>171</v>
      </c>
      <c r="G2223" s="5">
        <v>8130</v>
      </c>
      <c r="H2223" s="5">
        <v>8130</v>
      </c>
    </row>
    <row r="2224" spans="1:8" x14ac:dyDescent="0.25">
      <c r="A2224" t="s">
        <v>458</v>
      </c>
      <c r="B2224">
        <v>2020</v>
      </c>
      <c r="C2224" t="s">
        <v>172</v>
      </c>
      <c r="D2224" t="s">
        <v>34</v>
      </c>
      <c r="E2224" t="s">
        <v>388</v>
      </c>
      <c r="F2224" t="s">
        <v>173</v>
      </c>
      <c r="G2224" s="5">
        <v>10063430986</v>
      </c>
      <c r="H2224" s="5">
        <v>10337018497</v>
      </c>
    </row>
    <row r="2225" spans="1:8" x14ac:dyDescent="0.25">
      <c r="A2225" t="s">
        <v>458</v>
      </c>
      <c r="B2225">
        <v>2020</v>
      </c>
      <c r="C2225" t="s">
        <v>172</v>
      </c>
      <c r="D2225" t="s">
        <v>34</v>
      </c>
      <c r="E2225" t="s">
        <v>391</v>
      </c>
      <c r="F2225" t="s">
        <v>176</v>
      </c>
      <c r="G2225" s="5">
        <v>2295646329</v>
      </c>
      <c r="H2225" s="5">
        <v>5196098790</v>
      </c>
    </row>
    <row r="2226" spans="1:8" x14ac:dyDescent="0.25">
      <c r="A2226" t="s">
        <v>458</v>
      </c>
      <c r="B2226">
        <v>2020</v>
      </c>
      <c r="C2226" t="s">
        <v>172</v>
      </c>
      <c r="D2226" t="s">
        <v>34</v>
      </c>
      <c r="E2226" t="s">
        <v>390</v>
      </c>
      <c r="F2226" t="s">
        <v>175</v>
      </c>
      <c r="G2226" s="5">
        <v>1633337490</v>
      </c>
      <c r="H2226" s="5">
        <v>2352902037</v>
      </c>
    </row>
    <row r="2227" spans="1:8" x14ac:dyDescent="0.25">
      <c r="A2227" t="s">
        <v>458</v>
      </c>
      <c r="B2227">
        <v>2020</v>
      </c>
      <c r="C2227" t="s">
        <v>172</v>
      </c>
      <c r="D2227" t="s">
        <v>34</v>
      </c>
      <c r="E2227" t="s">
        <v>389</v>
      </c>
      <c r="F2227" t="s">
        <v>174</v>
      </c>
      <c r="G2227" s="5">
        <v>1067307856</v>
      </c>
      <c r="H2227" s="5">
        <v>1069030422</v>
      </c>
    </row>
    <row r="2228" spans="1:8" x14ac:dyDescent="0.25">
      <c r="A2228" t="s">
        <v>458</v>
      </c>
      <c r="B2228">
        <v>2020</v>
      </c>
      <c r="C2228" t="s">
        <v>172</v>
      </c>
      <c r="D2228" t="s">
        <v>34</v>
      </c>
      <c r="E2228" t="s">
        <v>392</v>
      </c>
      <c r="F2228" t="s">
        <v>178</v>
      </c>
      <c r="G2228" s="5">
        <v>965582539</v>
      </c>
      <c r="H2228" s="5">
        <v>1003405517</v>
      </c>
    </row>
    <row r="2229" spans="1:8" x14ac:dyDescent="0.25">
      <c r="A2229" t="s">
        <v>458</v>
      </c>
      <c r="B2229">
        <v>2020</v>
      </c>
      <c r="C2229" t="s">
        <v>172</v>
      </c>
      <c r="D2229" t="s">
        <v>34</v>
      </c>
      <c r="E2229" t="s">
        <v>394</v>
      </c>
      <c r="F2229" t="s">
        <v>180</v>
      </c>
      <c r="G2229" s="5">
        <v>889004604</v>
      </c>
      <c r="H2229" s="5">
        <v>902524549</v>
      </c>
    </row>
    <row r="2230" spans="1:8" x14ac:dyDescent="0.25">
      <c r="A2230" t="s">
        <v>458</v>
      </c>
      <c r="B2230">
        <v>2020</v>
      </c>
      <c r="C2230" t="s">
        <v>172</v>
      </c>
      <c r="D2230" t="s">
        <v>34</v>
      </c>
      <c r="E2230" t="s">
        <v>396</v>
      </c>
      <c r="F2230" t="s">
        <v>183</v>
      </c>
      <c r="G2230" s="5">
        <v>684885454</v>
      </c>
      <c r="H2230" s="5">
        <v>684925554</v>
      </c>
    </row>
    <row r="2231" spans="1:8" x14ac:dyDescent="0.25">
      <c r="A2231" t="s">
        <v>458</v>
      </c>
      <c r="B2231">
        <v>2020</v>
      </c>
      <c r="C2231" t="s">
        <v>172</v>
      </c>
      <c r="D2231" t="s">
        <v>34</v>
      </c>
      <c r="E2231" t="s">
        <v>395</v>
      </c>
      <c r="F2231" t="s">
        <v>181</v>
      </c>
      <c r="G2231" s="5">
        <v>683602792</v>
      </c>
      <c r="H2231" s="5">
        <v>743322564</v>
      </c>
    </row>
    <row r="2232" spans="1:8" x14ac:dyDescent="0.25">
      <c r="A2232" t="s">
        <v>458</v>
      </c>
      <c r="B2232">
        <v>2020</v>
      </c>
      <c r="C2232" t="s">
        <v>172</v>
      </c>
      <c r="D2232" t="s">
        <v>34</v>
      </c>
      <c r="E2232" t="s">
        <v>393</v>
      </c>
      <c r="F2232" t="s">
        <v>179</v>
      </c>
      <c r="G2232" s="5">
        <v>556320119</v>
      </c>
      <c r="H2232" s="5">
        <v>556355026</v>
      </c>
    </row>
    <row r="2233" spans="1:8" x14ac:dyDescent="0.25">
      <c r="A2233" t="s">
        <v>458</v>
      </c>
      <c r="B2233">
        <v>2020</v>
      </c>
      <c r="C2233" t="s">
        <v>172</v>
      </c>
      <c r="D2233" t="s">
        <v>34</v>
      </c>
      <c r="E2233" t="s">
        <v>400</v>
      </c>
      <c r="F2233" t="s">
        <v>189</v>
      </c>
      <c r="G2233" s="5">
        <v>492139372</v>
      </c>
      <c r="H2233" s="5">
        <v>492213300</v>
      </c>
    </row>
    <row r="2234" spans="1:8" x14ac:dyDescent="0.25">
      <c r="A2234" t="s">
        <v>458</v>
      </c>
      <c r="B2234">
        <v>2020</v>
      </c>
      <c r="C2234" t="s">
        <v>172</v>
      </c>
      <c r="D2234" t="s">
        <v>34</v>
      </c>
      <c r="E2234" t="s">
        <v>397</v>
      </c>
      <c r="F2234" t="s">
        <v>184</v>
      </c>
      <c r="G2234" s="5">
        <v>469019396</v>
      </c>
      <c r="H2234" s="5">
        <v>469146436</v>
      </c>
    </row>
    <row r="2235" spans="1:8" x14ac:dyDescent="0.25">
      <c r="A2235" t="s">
        <v>458</v>
      </c>
      <c r="B2235">
        <v>2020</v>
      </c>
      <c r="C2235" t="s">
        <v>172</v>
      </c>
      <c r="D2235" t="s">
        <v>34</v>
      </c>
      <c r="E2235" t="s">
        <v>399</v>
      </c>
      <c r="F2235" t="s">
        <v>187</v>
      </c>
      <c r="G2235" s="5">
        <v>383021750</v>
      </c>
      <c r="H2235" s="5">
        <v>383033296</v>
      </c>
    </row>
    <row r="2236" spans="1:8" x14ac:dyDescent="0.25">
      <c r="A2236" t="s">
        <v>458</v>
      </c>
      <c r="B2236">
        <v>2020</v>
      </c>
      <c r="C2236" t="s">
        <v>172</v>
      </c>
      <c r="D2236" t="s">
        <v>34</v>
      </c>
      <c r="E2236" t="s">
        <v>403</v>
      </c>
      <c r="F2236" t="s">
        <v>192</v>
      </c>
      <c r="G2236" s="5">
        <v>318113305</v>
      </c>
      <c r="H2236" s="5">
        <v>318442333</v>
      </c>
    </row>
    <row r="2237" spans="1:8" x14ac:dyDescent="0.25">
      <c r="A2237" t="s">
        <v>458</v>
      </c>
      <c r="B2237">
        <v>2020</v>
      </c>
      <c r="C2237" t="s">
        <v>172</v>
      </c>
      <c r="D2237" t="s">
        <v>34</v>
      </c>
      <c r="E2237" t="s">
        <v>398</v>
      </c>
      <c r="F2237" t="s">
        <v>186</v>
      </c>
      <c r="G2237" s="5">
        <v>293943524</v>
      </c>
      <c r="H2237" s="5">
        <v>294053095</v>
      </c>
    </row>
    <row r="2238" spans="1:8" x14ac:dyDescent="0.25">
      <c r="A2238" t="s">
        <v>458</v>
      </c>
      <c r="B2238">
        <v>2020</v>
      </c>
      <c r="C2238" t="s">
        <v>172</v>
      </c>
      <c r="D2238" t="s">
        <v>34</v>
      </c>
      <c r="E2238" t="s">
        <v>405</v>
      </c>
      <c r="F2238" t="s">
        <v>194</v>
      </c>
      <c r="G2238" s="5">
        <v>191777047</v>
      </c>
      <c r="H2238" s="5">
        <v>192158503</v>
      </c>
    </row>
    <row r="2239" spans="1:8" x14ac:dyDescent="0.25">
      <c r="A2239" t="s">
        <v>458</v>
      </c>
      <c r="B2239">
        <v>2020</v>
      </c>
      <c r="C2239" t="s">
        <v>172</v>
      </c>
      <c r="D2239" t="s">
        <v>34</v>
      </c>
      <c r="E2239" t="s">
        <v>402</v>
      </c>
      <c r="F2239" t="s">
        <v>191</v>
      </c>
      <c r="G2239" s="5">
        <v>167470974</v>
      </c>
      <c r="H2239" s="5">
        <v>167738408</v>
      </c>
    </row>
    <row r="2240" spans="1:8" x14ac:dyDescent="0.25">
      <c r="A2240" t="s">
        <v>458</v>
      </c>
      <c r="B2240">
        <v>2020</v>
      </c>
      <c r="C2240" t="s">
        <v>172</v>
      </c>
      <c r="D2240" t="s">
        <v>34</v>
      </c>
      <c r="E2240" t="s">
        <v>401</v>
      </c>
      <c r="F2240" t="s">
        <v>190</v>
      </c>
      <c r="G2240" s="5">
        <v>120781211</v>
      </c>
      <c r="H2240" s="5">
        <v>120791099</v>
      </c>
    </row>
    <row r="2241" spans="1:8" x14ac:dyDescent="0.25">
      <c r="A2241" t="s">
        <v>458</v>
      </c>
      <c r="B2241">
        <v>2020</v>
      </c>
      <c r="C2241" t="s">
        <v>172</v>
      </c>
      <c r="D2241" t="s">
        <v>34</v>
      </c>
      <c r="E2241" t="s">
        <v>404</v>
      </c>
      <c r="F2241" t="s">
        <v>193</v>
      </c>
      <c r="G2241" s="5">
        <v>79999813</v>
      </c>
      <c r="H2241" s="5">
        <v>80005233</v>
      </c>
    </row>
    <row r="2242" spans="1:8" x14ac:dyDescent="0.25">
      <c r="A2242" t="s">
        <v>458</v>
      </c>
      <c r="B2242">
        <v>2020</v>
      </c>
      <c r="C2242" t="s">
        <v>172</v>
      </c>
      <c r="D2242" t="s">
        <v>34</v>
      </c>
      <c r="E2242" t="s">
        <v>406</v>
      </c>
      <c r="F2242" t="s">
        <v>195</v>
      </c>
      <c r="G2242" s="5">
        <v>68439610</v>
      </c>
      <c r="H2242" s="5">
        <v>68455743</v>
      </c>
    </row>
    <row r="2243" spans="1:8" x14ac:dyDescent="0.25">
      <c r="A2243" t="s">
        <v>458</v>
      </c>
      <c r="B2243">
        <v>2020</v>
      </c>
      <c r="C2243" t="s">
        <v>172</v>
      </c>
      <c r="D2243" t="s">
        <v>34</v>
      </c>
      <c r="E2243" t="s">
        <v>409</v>
      </c>
      <c r="F2243" t="s">
        <v>199</v>
      </c>
      <c r="G2243" s="5">
        <v>40004004</v>
      </c>
      <c r="H2243" s="5">
        <v>43214535</v>
      </c>
    </row>
    <row r="2244" spans="1:8" x14ac:dyDescent="0.25">
      <c r="A2244" t="s">
        <v>458</v>
      </c>
      <c r="B2244">
        <v>2020</v>
      </c>
      <c r="C2244" t="s">
        <v>172</v>
      </c>
      <c r="D2244" t="s">
        <v>34</v>
      </c>
      <c r="E2244" t="s">
        <v>407</v>
      </c>
      <c r="F2244" t="s">
        <v>197</v>
      </c>
      <c r="G2244" s="5">
        <v>30524775</v>
      </c>
      <c r="H2244" s="5">
        <v>33205948</v>
      </c>
    </row>
    <row r="2245" spans="1:8" x14ac:dyDescent="0.25">
      <c r="A2245" t="s">
        <v>458</v>
      </c>
      <c r="B2245">
        <v>2020</v>
      </c>
      <c r="C2245" t="s">
        <v>172</v>
      </c>
      <c r="D2245" t="s">
        <v>34</v>
      </c>
      <c r="E2245" t="s">
        <v>411</v>
      </c>
      <c r="F2245" t="s">
        <v>203</v>
      </c>
      <c r="G2245" s="5">
        <v>26201869</v>
      </c>
      <c r="H2245" s="5">
        <v>26202165</v>
      </c>
    </row>
    <row r="2246" spans="1:8" x14ac:dyDescent="0.25">
      <c r="A2246" t="s">
        <v>458</v>
      </c>
      <c r="B2246">
        <v>2020</v>
      </c>
      <c r="C2246" t="s">
        <v>172</v>
      </c>
      <c r="D2246" t="s">
        <v>34</v>
      </c>
      <c r="E2246" t="s">
        <v>408</v>
      </c>
      <c r="F2246" t="s">
        <v>198</v>
      </c>
      <c r="G2246" s="5">
        <v>24052550</v>
      </c>
      <c r="H2246" s="5">
        <v>24058294</v>
      </c>
    </row>
    <row r="2247" spans="1:8" x14ac:dyDescent="0.25">
      <c r="A2247" t="s">
        <v>458</v>
      </c>
      <c r="B2247">
        <v>2020</v>
      </c>
      <c r="C2247" t="s">
        <v>172</v>
      </c>
      <c r="D2247" t="s">
        <v>34</v>
      </c>
      <c r="E2247" t="s">
        <v>412</v>
      </c>
      <c r="F2247" t="s">
        <v>204</v>
      </c>
      <c r="G2247" s="5">
        <v>21390034</v>
      </c>
      <c r="H2247" s="5">
        <v>21509844</v>
      </c>
    </row>
    <row r="2248" spans="1:8" x14ac:dyDescent="0.25">
      <c r="A2248" t="s">
        <v>458</v>
      </c>
      <c r="B2248">
        <v>2020</v>
      </c>
      <c r="C2248" t="s">
        <v>172</v>
      </c>
      <c r="D2248" t="s">
        <v>34</v>
      </c>
      <c r="E2248" t="s">
        <v>410</v>
      </c>
      <c r="F2248" t="s">
        <v>201</v>
      </c>
      <c r="G2248" s="5">
        <v>11587620</v>
      </c>
      <c r="H2248" s="5">
        <v>11607540</v>
      </c>
    </row>
    <row r="2249" spans="1:8" x14ac:dyDescent="0.25">
      <c r="A2249" t="s">
        <v>458</v>
      </c>
      <c r="B2249">
        <v>2020</v>
      </c>
      <c r="C2249" t="s">
        <v>172</v>
      </c>
      <c r="D2249" t="s">
        <v>34</v>
      </c>
      <c r="E2249" t="s">
        <v>414</v>
      </c>
      <c r="F2249" t="s">
        <v>209</v>
      </c>
      <c r="G2249" s="5">
        <v>3072571</v>
      </c>
      <c r="H2249" s="5">
        <v>3073121</v>
      </c>
    </row>
    <row r="2250" spans="1:8" x14ac:dyDescent="0.25">
      <c r="A2250" t="s">
        <v>458</v>
      </c>
      <c r="B2250">
        <v>2020</v>
      </c>
      <c r="C2250" t="s">
        <v>172</v>
      </c>
      <c r="D2250" t="s">
        <v>34</v>
      </c>
      <c r="E2250" t="s">
        <v>413</v>
      </c>
      <c r="F2250" t="s">
        <v>207</v>
      </c>
      <c r="G2250" s="5">
        <v>1428269</v>
      </c>
      <c r="H2250" s="5">
        <v>1430922</v>
      </c>
    </row>
    <row r="2251" spans="1:8" x14ac:dyDescent="0.25">
      <c r="A2251" t="s">
        <v>458</v>
      </c>
      <c r="B2251">
        <v>2020</v>
      </c>
      <c r="C2251" t="s">
        <v>172</v>
      </c>
      <c r="D2251" t="s">
        <v>37</v>
      </c>
      <c r="E2251" t="s">
        <v>415</v>
      </c>
      <c r="F2251" t="s">
        <v>177</v>
      </c>
      <c r="G2251" s="5">
        <v>731739868</v>
      </c>
      <c r="H2251" s="5">
        <v>6570274282</v>
      </c>
    </row>
    <row r="2252" spans="1:8" x14ac:dyDescent="0.25">
      <c r="A2252" t="s">
        <v>458</v>
      </c>
      <c r="B2252">
        <v>2020</v>
      </c>
      <c r="C2252" t="s">
        <v>172</v>
      </c>
      <c r="D2252" t="s">
        <v>37</v>
      </c>
      <c r="E2252" t="s">
        <v>416</v>
      </c>
      <c r="F2252" t="s">
        <v>182</v>
      </c>
      <c r="G2252" s="5">
        <v>447218665</v>
      </c>
      <c r="H2252" s="5">
        <v>448296575</v>
      </c>
    </row>
    <row r="2253" spans="1:8" x14ac:dyDescent="0.25">
      <c r="A2253" t="s">
        <v>458</v>
      </c>
      <c r="B2253">
        <v>2020</v>
      </c>
      <c r="C2253" t="s">
        <v>172</v>
      </c>
      <c r="D2253" t="s">
        <v>37</v>
      </c>
      <c r="E2253" t="s">
        <v>418</v>
      </c>
      <c r="F2253" t="s">
        <v>188</v>
      </c>
      <c r="G2253" s="5">
        <v>55204179</v>
      </c>
      <c r="H2253" s="5">
        <v>55255854</v>
      </c>
    </row>
    <row r="2254" spans="1:8" x14ac:dyDescent="0.25">
      <c r="A2254" t="s">
        <v>458</v>
      </c>
      <c r="B2254">
        <v>2020</v>
      </c>
      <c r="C2254" t="s">
        <v>172</v>
      </c>
      <c r="D2254" t="s">
        <v>37</v>
      </c>
      <c r="E2254" t="s">
        <v>420</v>
      </c>
      <c r="F2254" t="s">
        <v>200</v>
      </c>
      <c r="G2254" s="5">
        <v>38916586</v>
      </c>
      <c r="H2254" s="5">
        <v>38916710</v>
      </c>
    </row>
    <row r="2255" spans="1:8" x14ac:dyDescent="0.25">
      <c r="A2255" t="s">
        <v>458</v>
      </c>
      <c r="B2255">
        <v>2020</v>
      </c>
      <c r="C2255" t="s">
        <v>172</v>
      </c>
      <c r="D2255" t="s">
        <v>37</v>
      </c>
      <c r="E2255" t="s">
        <v>417</v>
      </c>
      <c r="F2255" t="s">
        <v>185</v>
      </c>
      <c r="G2255" s="5">
        <v>37579426</v>
      </c>
      <c r="H2255" s="5">
        <v>106555126</v>
      </c>
    </row>
    <row r="2256" spans="1:8" x14ac:dyDescent="0.25">
      <c r="A2256" t="s">
        <v>458</v>
      </c>
      <c r="B2256">
        <v>2020</v>
      </c>
      <c r="C2256" t="s">
        <v>172</v>
      </c>
      <c r="D2256" t="s">
        <v>37</v>
      </c>
      <c r="E2256" t="s">
        <v>419</v>
      </c>
      <c r="F2256" t="s">
        <v>196</v>
      </c>
      <c r="G2256" s="5">
        <v>21444940</v>
      </c>
      <c r="H2256" s="5">
        <v>21452122</v>
      </c>
    </row>
    <row r="2257" spans="1:8" x14ac:dyDescent="0.25">
      <c r="A2257" t="s">
        <v>458</v>
      </c>
      <c r="B2257">
        <v>2020</v>
      </c>
      <c r="C2257" t="s">
        <v>172</v>
      </c>
      <c r="D2257" t="s">
        <v>37</v>
      </c>
      <c r="E2257" t="s">
        <v>423</v>
      </c>
      <c r="F2257" t="s">
        <v>206</v>
      </c>
      <c r="G2257" s="5">
        <v>15221460</v>
      </c>
      <c r="H2257" s="5">
        <v>15221460</v>
      </c>
    </row>
    <row r="2258" spans="1:8" x14ac:dyDescent="0.25">
      <c r="A2258" t="s">
        <v>458</v>
      </c>
      <c r="B2258">
        <v>2020</v>
      </c>
      <c r="C2258" t="s">
        <v>172</v>
      </c>
      <c r="D2258" t="s">
        <v>37</v>
      </c>
      <c r="E2258" t="s">
        <v>425</v>
      </c>
      <c r="F2258" t="s">
        <v>210</v>
      </c>
      <c r="G2258" s="5">
        <v>15121501</v>
      </c>
      <c r="H2258" s="5">
        <v>15121501</v>
      </c>
    </row>
    <row r="2259" spans="1:8" x14ac:dyDescent="0.25">
      <c r="A2259" t="s">
        <v>458</v>
      </c>
      <c r="B2259">
        <v>2020</v>
      </c>
      <c r="C2259" t="s">
        <v>172</v>
      </c>
      <c r="D2259" t="s">
        <v>37</v>
      </c>
      <c r="E2259" t="s">
        <v>424</v>
      </c>
      <c r="F2259" t="s">
        <v>208</v>
      </c>
      <c r="G2259" s="5">
        <v>4703210</v>
      </c>
      <c r="H2259" s="5">
        <v>4754688</v>
      </c>
    </row>
    <row r="2260" spans="1:8" x14ac:dyDescent="0.25">
      <c r="A2260" t="s">
        <v>458</v>
      </c>
      <c r="B2260">
        <v>2020</v>
      </c>
      <c r="C2260" t="s">
        <v>172</v>
      </c>
      <c r="D2260" t="s">
        <v>37</v>
      </c>
      <c r="E2260" t="s">
        <v>421</v>
      </c>
      <c r="F2260" t="s">
        <v>202</v>
      </c>
      <c r="G2260" s="5">
        <v>4445559</v>
      </c>
      <c r="H2260" s="5">
        <v>4557725</v>
      </c>
    </row>
    <row r="2261" spans="1:8" x14ac:dyDescent="0.25">
      <c r="A2261" t="s">
        <v>458</v>
      </c>
      <c r="B2261">
        <v>2020</v>
      </c>
      <c r="C2261" t="s">
        <v>172</v>
      </c>
      <c r="D2261" t="s">
        <v>37</v>
      </c>
      <c r="E2261" t="s">
        <v>426</v>
      </c>
      <c r="F2261" t="s">
        <v>211</v>
      </c>
      <c r="G2261" s="5">
        <v>3077967</v>
      </c>
      <c r="H2261" s="5">
        <v>3077967</v>
      </c>
    </row>
    <row r="2262" spans="1:8" x14ac:dyDescent="0.25">
      <c r="A2262" t="s">
        <v>458</v>
      </c>
      <c r="B2262">
        <v>2020</v>
      </c>
      <c r="C2262" t="s">
        <v>172</v>
      </c>
      <c r="D2262" t="s">
        <v>37</v>
      </c>
      <c r="E2262" t="s">
        <v>427</v>
      </c>
      <c r="F2262" t="s">
        <v>212</v>
      </c>
      <c r="G2262" s="5">
        <v>2471059</v>
      </c>
      <c r="H2262" s="5">
        <v>2471059</v>
      </c>
    </row>
    <row r="2263" spans="1:8" x14ac:dyDescent="0.25">
      <c r="A2263" t="s">
        <v>458</v>
      </c>
      <c r="B2263">
        <v>2020</v>
      </c>
      <c r="C2263" t="s">
        <v>172</v>
      </c>
      <c r="D2263" t="s">
        <v>37</v>
      </c>
      <c r="E2263" t="s">
        <v>422</v>
      </c>
      <c r="F2263" t="s">
        <v>205</v>
      </c>
      <c r="G2263" s="5">
        <v>733122</v>
      </c>
      <c r="H2263" s="5">
        <v>733122</v>
      </c>
    </row>
    <row r="2264" spans="1:8" x14ac:dyDescent="0.25">
      <c r="A2264" t="s">
        <v>458</v>
      </c>
      <c r="B2264">
        <v>2020</v>
      </c>
      <c r="C2264" t="s">
        <v>172</v>
      </c>
      <c r="D2264" t="s">
        <v>37</v>
      </c>
      <c r="F2264" t="s">
        <v>215</v>
      </c>
      <c r="G2264" s="5">
        <v>552378</v>
      </c>
      <c r="H2264" s="5">
        <v>552378</v>
      </c>
    </row>
    <row r="2265" spans="1:8" x14ac:dyDescent="0.25">
      <c r="A2265" t="s">
        <v>458</v>
      </c>
      <c r="B2265">
        <v>2020</v>
      </c>
      <c r="C2265" t="s">
        <v>172</v>
      </c>
      <c r="D2265" t="s">
        <v>37</v>
      </c>
      <c r="E2265" t="s">
        <v>428</v>
      </c>
      <c r="F2265" t="s">
        <v>213</v>
      </c>
      <c r="G2265" s="5">
        <v>281376</v>
      </c>
      <c r="H2265" s="5">
        <v>281376</v>
      </c>
    </row>
    <row r="2266" spans="1:8" x14ac:dyDescent="0.25">
      <c r="A2266" t="s">
        <v>458</v>
      </c>
      <c r="B2266">
        <v>2020</v>
      </c>
      <c r="C2266" t="s">
        <v>172</v>
      </c>
      <c r="D2266" t="s">
        <v>37</v>
      </c>
      <c r="E2266" t="s">
        <v>430</v>
      </c>
      <c r="F2266" t="s">
        <v>216</v>
      </c>
      <c r="G2266" s="5">
        <v>111875</v>
      </c>
      <c r="H2266" s="5">
        <v>111875</v>
      </c>
    </row>
    <row r="2267" spans="1:8" x14ac:dyDescent="0.25">
      <c r="A2267" t="s">
        <v>458</v>
      </c>
      <c r="B2267">
        <v>2020</v>
      </c>
      <c r="C2267" t="s">
        <v>172</v>
      </c>
      <c r="D2267" t="s">
        <v>37</v>
      </c>
      <c r="E2267" t="s">
        <v>429</v>
      </c>
      <c r="F2267" t="s">
        <v>214</v>
      </c>
      <c r="G2267" s="5">
        <v>12591</v>
      </c>
      <c r="H2267" s="5">
        <v>12591</v>
      </c>
    </row>
    <row r="2268" spans="1:8" x14ac:dyDescent="0.25">
      <c r="A2268" t="s">
        <v>458</v>
      </c>
      <c r="B2268">
        <v>2020</v>
      </c>
      <c r="C2268" t="s">
        <v>40</v>
      </c>
      <c r="D2268" t="s">
        <v>40</v>
      </c>
      <c r="E2268" t="s">
        <v>432</v>
      </c>
      <c r="F2268" t="s">
        <v>218</v>
      </c>
      <c r="G2268" s="5">
        <v>11281161</v>
      </c>
      <c r="H2268" s="5">
        <v>285870366</v>
      </c>
    </row>
    <row r="2269" spans="1:8" x14ac:dyDescent="0.25">
      <c r="A2269" t="s">
        <v>458</v>
      </c>
      <c r="B2269">
        <v>2020</v>
      </c>
      <c r="C2269" t="s">
        <v>40</v>
      </c>
      <c r="D2269" t="s">
        <v>40</v>
      </c>
      <c r="E2269" t="s">
        <v>433</v>
      </c>
      <c r="F2269" t="s">
        <v>219</v>
      </c>
      <c r="G2269" s="5">
        <v>7702886</v>
      </c>
      <c r="H2269" s="5">
        <v>7713649</v>
      </c>
    </row>
    <row r="2270" spans="1:8" x14ac:dyDescent="0.25">
      <c r="A2270" t="s">
        <v>458</v>
      </c>
      <c r="B2270">
        <v>2020</v>
      </c>
      <c r="C2270" t="s">
        <v>40</v>
      </c>
      <c r="D2270" t="s">
        <v>40</v>
      </c>
      <c r="E2270" t="s">
        <v>435</v>
      </c>
      <c r="F2270" t="s">
        <v>221</v>
      </c>
      <c r="G2270" s="5">
        <v>225221</v>
      </c>
      <c r="H2270" s="5">
        <v>228203</v>
      </c>
    </row>
    <row r="2271" spans="1:8" x14ac:dyDescent="0.25">
      <c r="A2271" t="s">
        <v>458</v>
      </c>
      <c r="B2271">
        <v>2020</v>
      </c>
      <c r="C2271" t="s">
        <v>40</v>
      </c>
      <c r="D2271" t="s">
        <v>40</v>
      </c>
      <c r="E2271" t="s">
        <v>438</v>
      </c>
      <c r="F2271" t="s">
        <v>224</v>
      </c>
      <c r="G2271" s="5">
        <v>48863</v>
      </c>
      <c r="H2271" s="5">
        <v>69109</v>
      </c>
    </row>
    <row r="2272" spans="1:8" x14ac:dyDescent="0.25">
      <c r="A2272" t="s">
        <v>458</v>
      </c>
      <c r="B2272">
        <v>2020</v>
      </c>
      <c r="C2272" t="s">
        <v>40</v>
      </c>
      <c r="D2272" t="s">
        <v>40</v>
      </c>
      <c r="F2272" t="s">
        <v>225</v>
      </c>
      <c r="G2272" s="5">
        <v>38446</v>
      </c>
      <c r="H2272" s="5">
        <v>40511</v>
      </c>
    </row>
    <row r="2273" spans="1:8" x14ac:dyDescent="0.25">
      <c r="A2273" t="s">
        <v>458</v>
      </c>
      <c r="B2273">
        <v>2021</v>
      </c>
      <c r="C2273" t="s">
        <v>39</v>
      </c>
      <c r="D2273" t="s">
        <v>39</v>
      </c>
      <c r="E2273" t="s">
        <v>268</v>
      </c>
      <c r="F2273" t="s">
        <v>47</v>
      </c>
      <c r="G2273" s="5">
        <v>140578428</v>
      </c>
      <c r="H2273" s="5">
        <v>496776827</v>
      </c>
    </row>
    <row r="2274" spans="1:8" x14ac:dyDescent="0.25">
      <c r="A2274" t="s">
        <v>458</v>
      </c>
      <c r="B2274">
        <v>2021</v>
      </c>
      <c r="C2274" t="s">
        <v>39</v>
      </c>
      <c r="D2274" t="s">
        <v>39</v>
      </c>
      <c r="E2274" t="s">
        <v>273</v>
      </c>
      <c r="F2274" t="s">
        <v>52</v>
      </c>
      <c r="G2274" s="5">
        <v>62427330</v>
      </c>
      <c r="H2274" s="5">
        <v>62447200</v>
      </c>
    </row>
    <row r="2275" spans="1:8" x14ac:dyDescent="0.25">
      <c r="A2275" t="s">
        <v>458</v>
      </c>
      <c r="B2275">
        <v>2021</v>
      </c>
      <c r="C2275" t="s">
        <v>39</v>
      </c>
      <c r="D2275" t="s">
        <v>39</v>
      </c>
      <c r="E2275" t="s">
        <v>281</v>
      </c>
      <c r="F2275" t="s">
        <v>60</v>
      </c>
      <c r="G2275" s="5">
        <v>52518220</v>
      </c>
      <c r="H2275" s="5">
        <v>52518220</v>
      </c>
    </row>
    <row r="2276" spans="1:8" x14ac:dyDescent="0.25">
      <c r="A2276" t="s">
        <v>458</v>
      </c>
      <c r="B2276">
        <v>2021</v>
      </c>
      <c r="C2276" t="s">
        <v>39</v>
      </c>
      <c r="D2276" t="s">
        <v>39</v>
      </c>
      <c r="E2276" t="s">
        <v>271</v>
      </c>
      <c r="F2276" t="s">
        <v>50</v>
      </c>
      <c r="G2276" s="5">
        <v>52501698</v>
      </c>
      <c r="H2276" s="5">
        <v>52507198</v>
      </c>
    </row>
    <row r="2277" spans="1:8" x14ac:dyDescent="0.25">
      <c r="A2277" t="s">
        <v>458</v>
      </c>
      <c r="B2277">
        <v>2021</v>
      </c>
      <c r="C2277" t="s">
        <v>39</v>
      </c>
      <c r="D2277" t="s">
        <v>39</v>
      </c>
      <c r="E2277" t="s">
        <v>296</v>
      </c>
      <c r="F2277" t="s">
        <v>76</v>
      </c>
      <c r="G2277" s="5">
        <v>13236451</v>
      </c>
      <c r="H2277" s="5">
        <v>13392085</v>
      </c>
    </row>
    <row r="2278" spans="1:8" x14ac:dyDescent="0.25">
      <c r="A2278" t="s">
        <v>458</v>
      </c>
      <c r="B2278">
        <v>2021</v>
      </c>
      <c r="C2278" t="s">
        <v>39</v>
      </c>
      <c r="D2278" t="s">
        <v>39</v>
      </c>
      <c r="E2278" t="s">
        <v>269</v>
      </c>
      <c r="F2278" t="s">
        <v>48</v>
      </c>
      <c r="G2278" s="5">
        <v>13037465</v>
      </c>
      <c r="H2278" s="5">
        <v>13367419</v>
      </c>
    </row>
    <row r="2279" spans="1:8" x14ac:dyDescent="0.25">
      <c r="A2279" t="s">
        <v>458</v>
      </c>
      <c r="B2279">
        <v>2021</v>
      </c>
      <c r="C2279" t="s">
        <v>39</v>
      </c>
      <c r="D2279" t="s">
        <v>39</v>
      </c>
      <c r="E2279" t="s">
        <v>279</v>
      </c>
      <c r="F2279" t="s">
        <v>58</v>
      </c>
      <c r="G2279" s="5">
        <v>8183806</v>
      </c>
      <c r="H2279" s="5">
        <v>8184526</v>
      </c>
    </row>
    <row r="2280" spans="1:8" x14ac:dyDescent="0.25">
      <c r="A2280" t="s">
        <v>458</v>
      </c>
      <c r="B2280">
        <v>2021</v>
      </c>
      <c r="C2280" t="s">
        <v>39</v>
      </c>
      <c r="D2280" t="s">
        <v>39</v>
      </c>
      <c r="F2280" t="s">
        <v>64</v>
      </c>
      <c r="G2280" s="5">
        <v>2130447</v>
      </c>
      <c r="H2280" s="5">
        <v>2941618</v>
      </c>
    </row>
    <row r="2281" spans="1:8" x14ac:dyDescent="0.25">
      <c r="A2281" t="s">
        <v>458</v>
      </c>
      <c r="B2281">
        <v>2021</v>
      </c>
      <c r="C2281" t="s">
        <v>39</v>
      </c>
      <c r="D2281" t="s">
        <v>39</v>
      </c>
      <c r="E2281" t="s">
        <v>272</v>
      </c>
      <c r="F2281" t="s">
        <v>51</v>
      </c>
      <c r="G2281" s="5">
        <v>2124387</v>
      </c>
      <c r="H2281" s="5">
        <v>2124387</v>
      </c>
    </row>
    <row r="2282" spans="1:8" x14ac:dyDescent="0.25">
      <c r="A2282" t="s">
        <v>458</v>
      </c>
      <c r="B2282">
        <v>2021</v>
      </c>
      <c r="C2282" t="s">
        <v>39</v>
      </c>
      <c r="D2282" t="s">
        <v>39</v>
      </c>
      <c r="E2282" t="s">
        <v>280</v>
      </c>
      <c r="F2282" t="s">
        <v>59</v>
      </c>
      <c r="G2282" s="5">
        <v>2026835</v>
      </c>
      <c r="H2282" s="5">
        <v>2026835</v>
      </c>
    </row>
    <row r="2283" spans="1:8" x14ac:dyDescent="0.25">
      <c r="A2283" t="s">
        <v>458</v>
      </c>
      <c r="B2283">
        <v>2021</v>
      </c>
      <c r="C2283" t="s">
        <v>39</v>
      </c>
      <c r="D2283" t="s">
        <v>39</v>
      </c>
      <c r="E2283" t="s">
        <v>277</v>
      </c>
      <c r="F2283" t="s">
        <v>56</v>
      </c>
      <c r="G2283" s="5">
        <v>1867024</v>
      </c>
      <c r="H2283" s="5">
        <v>1867955</v>
      </c>
    </row>
    <row r="2284" spans="1:8" x14ac:dyDescent="0.25">
      <c r="A2284" t="s">
        <v>458</v>
      </c>
      <c r="B2284">
        <v>2021</v>
      </c>
      <c r="C2284" t="s">
        <v>39</v>
      </c>
      <c r="D2284" t="s">
        <v>39</v>
      </c>
      <c r="E2284" t="s">
        <v>307</v>
      </c>
      <c r="F2284" t="s">
        <v>87</v>
      </c>
      <c r="G2284" s="5">
        <v>663156</v>
      </c>
      <c r="H2284" s="5">
        <v>663156</v>
      </c>
    </row>
    <row r="2285" spans="1:8" x14ac:dyDescent="0.25">
      <c r="A2285" t="s">
        <v>458</v>
      </c>
      <c r="B2285">
        <v>2021</v>
      </c>
      <c r="C2285" t="s">
        <v>39</v>
      </c>
      <c r="D2285" t="s">
        <v>39</v>
      </c>
      <c r="E2285" t="s">
        <v>286</v>
      </c>
      <c r="F2285" t="s">
        <v>66</v>
      </c>
      <c r="G2285" s="5">
        <v>596442</v>
      </c>
      <c r="H2285" s="5">
        <v>596442</v>
      </c>
    </row>
    <row r="2286" spans="1:8" x14ac:dyDescent="0.25">
      <c r="A2286" t="s">
        <v>458</v>
      </c>
      <c r="B2286">
        <v>2021</v>
      </c>
      <c r="C2286" t="s">
        <v>39</v>
      </c>
      <c r="D2286" t="s">
        <v>39</v>
      </c>
      <c r="E2286" t="s">
        <v>294</v>
      </c>
      <c r="F2286" t="s">
        <v>74</v>
      </c>
      <c r="G2286" s="5">
        <v>514495</v>
      </c>
      <c r="H2286" s="5">
        <v>514495</v>
      </c>
    </row>
    <row r="2287" spans="1:8" x14ac:dyDescent="0.25">
      <c r="A2287" t="s">
        <v>458</v>
      </c>
      <c r="B2287">
        <v>2021</v>
      </c>
      <c r="C2287" t="s">
        <v>39</v>
      </c>
      <c r="D2287" t="s">
        <v>39</v>
      </c>
      <c r="E2287" t="s">
        <v>270</v>
      </c>
      <c r="F2287" t="s">
        <v>49</v>
      </c>
      <c r="G2287" s="5">
        <v>324588</v>
      </c>
      <c r="H2287" s="5">
        <v>324588</v>
      </c>
    </row>
    <row r="2288" spans="1:8" x14ac:dyDescent="0.25">
      <c r="A2288" t="s">
        <v>458</v>
      </c>
      <c r="B2288">
        <v>2021</v>
      </c>
      <c r="C2288" t="s">
        <v>39</v>
      </c>
      <c r="D2288" t="s">
        <v>39</v>
      </c>
      <c r="E2288" t="s">
        <v>303</v>
      </c>
      <c r="F2288" t="s">
        <v>83</v>
      </c>
      <c r="G2288" s="5">
        <v>286182</v>
      </c>
      <c r="H2288" s="5">
        <v>286182</v>
      </c>
    </row>
    <row r="2289" spans="1:8" x14ac:dyDescent="0.25">
      <c r="A2289" t="s">
        <v>458</v>
      </c>
      <c r="B2289">
        <v>2021</v>
      </c>
      <c r="C2289" t="s">
        <v>39</v>
      </c>
      <c r="D2289" t="s">
        <v>39</v>
      </c>
      <c r="E2289" t="s">
        <v>275</v>
      </c>
      <c r="F2289" t="s">
        <v>54</v>
      </c>
      <c r="G2289" s="5">
        <v>282716</v>
      </c>
      <c r="H2289" s="5">
        <v>300094</v>
      </c>
    </row>
    <row r="2290" spans="1:8" x14ac:dyDescent="0.25">
      <c r="A2290" t="s">
        <v>458</v>
      </c>
      <c r="B2290">
        <v>2021</v>
      </c>
      <c r="C2290" t="s">
        <v>39</v>
      </c>
      <c r="D2290" t="s">
        <v>39</v>
      </c>
      <c r="E2290" t="s">
        <v>284</v>
      </c>
      <c r="F2290" t="s">
        <v>63</v>
      </c>
      <c r="G2290" s="5">
        <v>268033</v>
      </c>
      <c r="H2290" s="5">
        <v>268033</v>
      </c>
    </row>
    <row r="2291" spans="1:8" x14ac:dyDescent="0.25">
      <c r="A2291" t="s">
        <v>458</v>
      </c>
      <c r="B2291">
        <v>2021</v>
      </c>
      <c r="C2291" t="s">
        <v>39</v>
      </c>
      <c r="D2291" t="s">
        <v>39</v>
      </c>
      <c r="E2291" t="s">
        <v>298</v>
      </c>
      <c r="F2291" t="s">
        <v>78</v>
      </c>
      <c r="G2291" s="5">
        <v>221865</v>
      </c>
      <c r="H2291" s="5">
        <v>221865</v>
      </c>
    </row>
    <row r="2292" spans="1:8" x14ac:dyDescent="0.25">
      <c r="A2292" t="s">
        <v>458</v>
      </c>
      <c r="B2292">
        <v>2021</v>
      </c>
      <c r="C2292" t="s">
        <v>39</v>
      </c>
      <c r="D2292" t="s">
        <v>39</v>
      </c>
      <c r="E2292" t="s">
        <v>276</v>
      </c>
      <c r="F2292" t="s">
        <v>55</v>
      </c>
      <c r="G2292" s="5">
        <v>204458</v>
      </c>
      <c r="H2292" s="5">
        <v>204458</v>
      </c>
    </row>
    <row r="2293" spans="1:8" x14ac:dyDescent="0.25">
      <c r="A2293" t="s">
        <v>458</v>
      </c>
      <c r="B2293">
        <v>2021</v>
      </c>
      <c r="C2293" t="s">
        <v>39</v>
      </c>
      <c r="D2293" t="s">
        <v>39</v>
      </c>
      <c r="E2293" t="s">
        <v>287</v>
      </c>
      <c r="F2293" t="s">
        <v>67</v>
      </c>
      <c r="G2293" s="5">
        <v>174731</v>
      </c>
      <c r="H2293" s="5">
        <v>174731</v>
      </c>
    </row>
    <row r="2294" spans="1:8" x14ac:dyDescent="0.25">
      <c r="A2294" t="s">
        <v>458</v>
      </c>
      <c r="B2294">
        <v>2021</v>
      </c>
      <c r="C2294" t="s">
        <v>39</v>
      </c>
      <c r="D2294" t="s">
        <v>39</v>
      </c>
      <c r="E2294" t="s">
        <v>282</v>
      </c>
      <c r="F2294" t="s">
        <v>61</v>
      </c>
      <c r="G2294" s="5">
        <v>145459</v>
      </c>
      <c r="H2294" s="5">
        <v>145459</v>
      </c>
    </row>
    <row r="2295" spans="1:8" x14ac:dyDescent="0.25">
      <c r="A2295" t="s">
        <v>458</v>
      </c>
      <c r="B2295">
        <v>2021</v>
      </c>
      <c r="C2295" t="s">
        <v>39</v>
      </c>
      <c r="D2295" t="s">
        <v>39</v>
      </c>
      <c r="E2295" t="s">
        <v>459</v>
      </c>
      <c r="F2295" t="s">
        <v>247</v>
      </c>
      <c r="G2295" s="5">
        <v>139390</v>
      </c>
      <c r="H2295" s="5">
        <v>139390</v>
      </c>
    </row>
    <row r="2296" spans="1:8" x14ac:dyDescent="0.25">
      <c r="A2296" t="s">
        <v>458</v>
      </c>
      <c r="B2296">
        <v>2021</v>
      </c>
      <c r="C2296" t="s">
        <v>39</v>
      </c>
      <c r="D2296" t="s">
        <v>39</v>
      </c>
      <c r="E2296" t="s">
        <v>290</v>
      </c>
      <c r="F2296" t="s">
        <v>70</v>
      </c>
      <c r="G2296" s="5">
        <v>120501</v>
      </c>
      <c r="H2296" s="5">
        <v>127773</v>
      </c>
    </row>
    <row r="2297" spans="1:8" x14ac:dyDescent="0.25">
      <c r="A2297" t="s">
        <v>458</v>
      </c>
      <c r="B2297">
        <v>2021</v>
      </c>
      <c r="C2297" t="s">
        <v>39</v>
      </c>
      <c r="D2297" t="s">
        <v>39</v>
      </c>
      <c r="E2297" t="s">
        <v>278</v>
      </c>
      <c r="F2297" t="s">
        <v>57</v>
      </c>
      <c r="G2297" s="5">
        <v>116431</v>
      </c>
      <c r="H2297" s="5">
        <v>116431</v>
      </c>
    </row>
    <row r="2298" spans="1:8" x14ac:dyDescent="0.25">
      <c r="A2298" t="s">
        <v>458</v>
      </c>
      <c r="B2298">
        <v>2021</v>
      </c>
      <c r="C2298" t="s">
        <v>39</v>
      </c>
      <c r="D2298" t="s">
        <v>39</v>
      </c>
      <c r="E2298" t="s">
        <v>291</v>
      </c>
      <c r="F2298" t="s">
        <v>71</v>
      </c>
      <c r="G2298" s="5">
        <v>115366</v>
      </c>
      <c r="H2298" s="5">
        <v>119813</v>
      </c>
    </row>
    <row r="2299" spans="1:8" x14ac:dyDescent="0.25">
      <c r="A2299" t="s">
        <v>458</v>
      </c>
      <c r="B2299">
        <v>2021</v>
      </c>
      <c r="C2299" t="s">
        <v>39</v>
      </c>
      <c r="D2299" t="s">
        <v>39</v>
      </c>
      <c r="E2299" t="s">
        <v>292</v>
      </c>
      <c r="F2299" t="s">
        <v>72</v>
      </c>
      <c r="G2299" s="5">
        <v>96886</v>
      </c>
      <c r="H2299" s="5">
        <v>100573</v>
      </c>
    </row>
    <row r="2300" spans="1:8" x14ac:dyDescent="0.25">
      <c r="A2300" t="s">
        <v>458</v>
      </c>
      <c r="B2300">
        <v>2021</v>
      </c>
      <c r="C2300" t="s">
        <v>39</v>
      </c>
      <c r="D2300" t="s">
        <v>39</v>
      </c>
      <c r="E2300" t="s">
        <v>283</v>
      </c>
      <c r="F2300" t="s">
        <v>62</v>
      </c>
      <c r="G2300" s="5">
        <v>82106</v>
      </c>
      <c r="H2300" s="5">
        <v>82405</v>
      </c>
    </row>
    <row r="2301" spans="1:8" x14ac:dyDescent="0.25">
      <c r="A2301" t="s">
        <v>458</v>
      </c>
      <c r="B2301">
        <v>2021</v>
      </c>
      <c r="C2301" t="s">
        <v>39</v>
      </c>
      <c r="D2301" t="s">
        <v>39</v>
      </c>
      <c r="E2301" t="s">
        <v>300</v>
      </c>
      <c r="F2301" t="s">
        <v>80</v>
      </c>
      <c r="G2301" s="5">
        <v>70306</v>
      </c>
      <c r="H2301" s="5">
        <v>70306</v>
      </c>
    </row>
    <row r="2302" spans="1:8" x14ac:dyDescent="0.25">
      <c r="A2302" t="s">
        <v>458</v>
      </c>
      <c r="B2302">
        <v>2021</v>
      </c>
      <c r="C2302" t="s">
        <v>39</v>
      </c>
      <c r="D2302" t="s">
        <v>39</v>
      </c>
      <c r="E2302" t="s">
        <v>285</v>
      </c>
      <c r="F2302" t="s">
        <v>65</v>
      </c>
      <c r="G2302" s="5">
        <v>65601</v>
      </c>
      <c r="H2302" s="5">
        <v>65601</v>
      </c>
    </row>
    <row r="2303" spans="1:8" x14ac:dyDescent="0.25">
      <c r="A2303" t="s">
        <v>458</v>
      </c>
      <c r="B2303">
        <v>2021</v>
      </c>
      <c r="C2303" t="s">
        <v>39</v>
      </c>
      <c r="D2303" t="s">
        <v>39</v>
      </c>
      <c r="E2303" t="s">
        <v>305</v>
      </c>
      <c r="F2303" t="s">
        <v>85</v>
      </c>
      <c r="G2303" s="5">
        <v>49930</v>
      </c>
      <c r="H2303" s="5">
        <v>99696</v>
      </c>
    </row>
    <row r="2304" spans="1:8" x14ac:dyDescent="0.25">
      <c r="A2304" t="s">
        <v>458</v>
      </c>
      <c r="B2304">
        <v>2021</v>
      </c>
      <c r="C2304" t="s">
        <v>39</v>
      </c>
      <c r="D2304" t="s">
        <v>39</v>
      </c>
      <c r="E2304" t="s">
        <v>311</v>
      </c>
      <c r="F2304" t="s">
        <v>91</v>
      </c>
      <c r="G2304" s="5">
        <v>36428</v>
      </c>
      <c r="H2304" s="5">
        <v>36428</v>
      </c>
    </row>
    <row r="2305" spans="1:8" x14ac:dyDescent="0.25">
      <c r="A2305" t="s">
        <v>458</v>
      </c>
      <c r="B2305">
        <v>2021</v>
      </c>
      <c r="C2305" t="s">
        <v>39</v>
      </c>
      <c r="D2305" t="s">
        <v>39</v>
      </c>
      <c r="E2305" t="s">
        <v>295</v>
      </c>
      <c r="F2305" t="s">
        <v>75</v>
      </c>
      <c r="G2305" s="5">
        <v>16232</v>
      </c>
      <c r="H2305" s="5">
        <v>16232</v>
      </c>
    </row>
    <row r="2306" spans="1:8" x14ac:dyDescent="0.25">
      <c r="A2306" t="s">
        <v>458</v>
      </c>
      <c r="B2306">
        <v>2021</v>
      </c>
      <c r="C2306" t="s">
        <v>39</v>
      </c>
      <c r="D2306" t="s">
        <v>39</v>
      </c>
      <c r="E2306" t="s">
        <v>449</v>
      </c>
      <c r="F2306" t="s">
        <v>236</v>
      </c>
      <c r="G2306" s="5">
        <v>11974</v>
      </c>
      <c r="H2306" s="5">
        <v>11974</v>
      </c>
    </row>
    <row r="2307" spans="1:8" x14ac:dyDescent="0.25">
      <c r="A2307" t="s">
        <v>458</v>
      </c>
      <c r="B2307">
        <v>2021</v>
      </c>
      <c r="C2307" t="s">
        <v>39</v>
      </c>
      <c r="D2307" t="s">
        <v>39</v>
      </c>
      <c r="E2307" t="s">
        <v>464</v>
      </c>
      <c r="F2307" t="s">
        <v>252</v>
      </c>
      <c r="G2307" s="5">
        <v>11032</v>
      </c>
      <c r="H2307" s="5">
        <v>11032</v>
      </c>
    </row>
    <row r="2308" spans="1:8" x14ac:dyDescent="0.25">
      <c r="A2308" t="s">
        <v>458</v>
      </c>
      <c r="B2308">
        <v>2021</v>
      </c>
      <c r="C2308" t="s">
        <v>39</v>
      </c>
      <c r="D2308" t="s">
        <v>39</v>
      </c>
      <c r="E2308" t="s">
        <v>465</v>
      </c>
      <c r="F2308" t="s">
        <v>253</v>
      </c>
      <c r="G2308" s="5">
        <v>1866</v>
      </c>
      <c r="H2308" s="5">
        <v>1866</v>
      </c>
    </row>
    <row r="2309" spans="1:8" x14ac:dyDescent="0.25">
      <c r="A2309" t="s">
        <v>458</v>
      </c>
      <c r="B2309">
        <v>2021</v>
      </c>
      <c r="C2309" t="s">
        <v>92</v>
      </c>
      <c r="D2309" t="s">
        <v>36</v>
      </c>
      <c r="E2309" t="s">
        <v>36</v>
      </c>
      <c r="F2309" t="s">
        <v>93</v>
      </c>
      <c r="G2309" s="5">
        <v>1832581583</v>
      </c>
      <c r="H2309" s="5">
        <v>4840460910</v>
      </c>
    </row>
    <row r="2310" spans="1:8" x14ac:dyDescent="0.25">
      <c r="A2310" t="s">
        <v>458</v>
      </c>
      <c r="B2310">
        <v>2021</v>
      </c>
      <c r="C2310" t="s">
        <v>92</v>
      </c>
      <c r="D2310" t="s">
        <v>38</v>
      </c>
      <c r="E2310" t="s">
        <v>312</v>
      </c>
      <c r="F2310" t="s">
        <v>94</v>
      </c>
      <c r="G2310" s="5">
        <v>240001919</v>
      </c>
      <c r="H2310" s="5">
        <v>240671614</v>
      </c>
    </row>
    <row r="2311" spans="1:8" x14ac:dyDescent="0.25">
      <c r="A2311" t="s">
        <v>458</v>
      </c>
      <c r="B2311">
        <v>2021</v>
      </c>
      <c r="C2311" t="s">
        <v>92</v>
      </c>
      <c r="D2311" t="s">
        <v>38</v>
      </c>
      <c r="E2311" t="s">
        <v>314</v>
      </c>
      <c r="F2311" t="s">
        <v>96</v>
      </c>
      <c r="G2311" s="5">
        <v>192481415</v>
      </c>
      <c r="H2311" s="5">
        <v>192581783</v>
      </c>
    </row>
    <row r="2312" spans="1:8" x14ac:dyDescent="0.25">
      <c r="A2312" t="s">
        <v>458</v>
      </c>
      <c r="B2312">
        <v>2021</v>
      </c>
      <c r="C2312" t="s">
        <v>92</v>
      </c>
      <c r="D2312" t="s">
        <v>38</v>
      </c>
      <c r="E2312" t="s">
        <v>313</v>
      </c>
      <c r="F2312" t="s">
        <v>95</v>
      </c>
      <c r="G2312" s="5">
        <v>189866527</v>
      </c>
      <c r="H2312" s="5">
        <v>538984637</v>
      </c>
    </row>
    <row r="2313" spans="1:8" x14ac:dyDescent="0.25">
      <c r="A2313" t="s">
        <v>458</v>
      </c>
      <c r="B2313">
        <v>2021</v>
      </c>
      <c r="C2313" t="s">
        <v>92</v>
      </c>
      <c r="D2313" t="s">
        <v>38</v>
      </c>
      <c r="E2313" t="s">
        <v>321</v>
      </c>
      <c r="F2313" t="s">
        <v>103</v>
      </c>
      <c r="G2313" s="5">
        <v>34804101</v>
      </c>
      <c r="H2313" s="5">
        <v>34804101</v>
      </c>
    </row>
    <row r="2314" spans="1:8" x14ac:dyDescent="0.25">
      <c r="A2314" t="s">
        <v>458</v>
      </c>
      <c r="B2314">
        <v>2021</v>
      </c>
      <c r="C2314" t="s">
        <v>92</v>
      </c>
      <c r="D2314" t="s">
        <v>38</v>
      </c>
      <c r="E2314" t="s">
        <v>318</v>
      </c>
      <c r="F2314" t="s">
        <v>100</v>
      </c>
      <c r="G2314" s="5">
        <v>13361515</v>
      </c>
      <c r="H2314" s="5">
        <v>13846911</v>
      </c>
    </row>
    <row r="2315" spans="1:8" x14ac:dyDescent="0.25">
      <c r="A2315" t="s">
        <v>458</v>
      </c>
      <c r="B2315">
        <v>2021</v>
      </c>
      <c r="C2315" t="s">
        <v>92</v>
      </c>
      <c r="D2315" t="s">
        <v>38</v>
      </c>
      <c r="E2315" t="s">
        <v>319</v>
      </c>
      <c r="F2315" t="s">
        <v>101</v>
      </c>
      <c r="G2315" s="5">
        <v>13304094</v>
      </c>
      <c r="H2315" s="5">
        <v>13340481</v>
      </c>
    </row>
    <row r="2316" spans="1:8" x14ac:dyDescent="0.25">
      <c r="A2316" t="s">
        <v>458</v>
      </c>
      <c r="B2316">
        <v>2021</v>
      </c>
      <c r="C2316" t="s">
        <v>92</v>
      </c>
      <c r="D2316" t="s">
        <v>38</v>
      </c>
      <c r="E2316" t="s">
        <v>322</v>
      </c>
      <c r="F2316" t="s">
        <v>105</v>
      </c>
      <c r="G2316" s="5">
        <v>11054768</v>
      </c>
      <c r="H2316" s="5">
        <v>11057424</v>
      </c>
    </row>
    <row r="2317" spans="1:8" x14ac:dyDescent="0.25">
      <c r="A2317" t="s">
        <v>458</v>
      </c>
      <c r="B2317">
        <v>2021</v>
      </c>
      <c r="C2317" t="s">
        <v>92</v>
      </c>
      <c r="D2317" t="s">
        <v>38</v>
      </c>
      <c r="E2317" t="s">
        <v>315</v>
      </c>
      <c r="F2317" t="s">
        <v>97</v>
      </c>
      <c r="G2317" s="5">
        <v>9703045</v>
      </c>
      <c r="H2317" s="5">
        <v>10028358</v>
      </c>
    </row>
    <row r="2318" spans="1:8" x14ac:dyDescent="0.25">
      <c r="A2318" t="s">
        <v>458</v>
      </c>
      <c r="B2318">
        <v>2021</v>
      </c>
      <c r="C2318" t="s">
        <v>92</v>
      </c>
      <c r="D2318" t="s">
        <v>38</v>
      </c>
      <c r="E2318" t="s">
        <v>316</v>
      </c>
      <c r="F2318" t="s">
        <v>98</v>
      </c>
      <c r="G2318" s="5">
        <v>7644932</v>
      </c>
      <c r="H2318" s="5">
        <v>7715316</v>
      </c>
    </row>
    <row r="2319" spans="1:8" x14ac:dyDescent="0.25">
      <c r="A2319" t="s">
        <v>458</v>
      </c>
      <c r="B2319">
        <v>2021</v>
      </c>
      <c r="C2319" t="s">
        <v>92</v>
      </c>
      <c r="D2319" t="s">
        <v>38</v>
      </c>
      <c r="E2319" t="s">
        <v>325</v>
      </c>
      <c r="F2319" t="s">
        <v>108</v>
      </c>
      <c r="G2319" s="5">
        <v>7571388</v>
      </c>
      <c r="H2319" s="5">
        <v>7571388</v>
      </c>
    </row>
    <row r="2320" spans="1:8" x14ac:dyDescent="0.25">
      <c r="A2320" t="s">
        <v>458</v>
      </c>
      <c r="B2320">
        <v>2021</v>
      </c>
      <c r="C2320" t="s">
        <v>92</v>
      </c>
      <c r="D2320" t="s">
        <v>38</v>
      </c>
      <c r="E2320" t="s">
        <v>331</v>
      </c>
      <c r="F2320" t="s">
        <v>114</v>
      </c>
      <c r="G2320" s="5">
        <v>3674862</v>
      </c>
      <c r="H2320" s="5">
        <v>3674862</v>
      </c>
    </row>
    <row r="2321" spans="1:8" x14ac:dyDescent="0.25">
      <c r="A2321" t="s">
        <v>458</v>
      </c>
      <c r="B2321">
        <v>2021</v>
      </c>
      <c r="C2321" t="s">
        <v>92</v>
      </c>
      <c r="D2321" t="s">
        <v>38</v>
      </c>
      <c r="E2321" t="s">
        <v>326</v>
      </c>
      <c r="F2321" t="s">
        <v>109</v>
      </c>
      <c r="G2321" s="5">
        <v>2540238</v>
      </c>
      <c r="H2321" s="5">
        <v>2582651</v>
      </c>
    </row>
    <row r="2322" spans="1:8" x14ac:dyDescent="0.25">
      <c r="A2322" t="s">
        <v>458</v>
      </c>
      <c r="B2322">
        <v>2021</v>
      </c>
      <c r="C2322" t="s">
        <v>92</v>
      </c>
      <c r="D2322" t="s">
        <v>38</v>
      </c>
      <c r="E2322" t="s">
        <v>332</v>
      </c>
      <c r="F2322" t="s">
        <v>115</v>
      </c>
      <c r="G2322" s="5">
        <v>2478702</v>
      </c>
      <c r="H2322" s="5">
        <v>2478702</v>
      </c>
    </row>
    <row r="2323" spans="1:8" x14ac:dyDescent="0.25">
      <c r="A2323" t="s">
        <v>458</v>
      </c>
      <c r="B2323">
        <v>2021</v>
      </c>
      <c r="C2323" t="s">
        <v>92</v>
      </c>
      <c r="D2323" t="s">
        <v>38</v>
      </c>
      <c r="E2323" t="s">
        <v>337</v>
      </c>
      <c r="F2323" t="s">
        <v>120</v>
      </c>
      <c r="G2323" s="5">
        <v>2417708</v>
      </c>
      <c r="H2323" s="5">
        <v>2417708</v>
      </c>
    </row>
    <row r="2324" spans="1:8" x14ac:dyDescent="0.25">
      <c r="A2324" t="s">
        <v>458</v>
      </c>
      <c r="B2324">
        <v>2021</v>
      </c>
      <c r="C2324" t="s">
        <v>92</v>
      </c>
      <c r="D2324" t="s">
        <v>38</v>
      </c>
      <c r="E2324" t="s">
        <v>323</v>
      </c>
      <c r="F2324" t="s">
        <v>106</v>
      </c>
      <c r="G2324" s="5">
        <v>2309666</v>
      </c>
      <c r="H2324" s="5">
        <v>2313135</v>
      </c>
    </row>
    <row r="2325" spans="1:8" x14ac:dyDescent="0.25">
      <c r="A2325" t="s">
        <v>458</v>
      </c>
      <c r="B2325">
        <v>2021</v>
      </c>
      <c r="C2325" t="s">
        <v>92</v>
      </c>
      <c r="D2325" t="s">
        <v>38</v>
      </c>
      <c r="E2325" t="s">
        <v>324</v>
      </c>
      <c r="F2325" t="s">
        <v>107</v>
      </c>
      <c r="G2325" s="5">
        <v>1634762</v>
      </c>
      <c r="H2325" s="5">
        <v>1637815</v>
      </c>
    </row>
    <row r="2326" spans="1:8" x14ac:dyDescent="0.25">
      <c r="A2326" t="s">
        <v>458</v>
      </c>
      <c r="B2326">
        <v>2021</v>
      </c>
      <c r="C2326" t="s">
        <v>92</v>
      </c>
      <c r="D2326" t="s">
        <v>38</v>
      </c>
      <c r="E2326" t="s">
        <v>329</v>
      </c>
      <c r="F2326" t="s">
        <v>112</v>
      </c>
      <c r="G2326" s="5">
        <v>1414275</v>
      </c>
      <c r="H2326" s="5">
        <v>1414275</v>
      </c>
    </row>
    <row r="2327" spans="1:8" x14ac:dyDescent="0.25">
      <c r="A2327" t="s">
        <v>458</v>
      </c>
      <c r="B2327">
        <v>2021</v>
      </c>
      <c r="C2327" t="s">
        <v>92</v>
      </c>
      <c r="D2327" t="s">
        <v>38</v>
      </c>
      <c r="F2327" t="s">
        <v>104</v>
      </c>
      <c r="G2327" s="5">
        <v>1126864</v>
      </c>
      <c r="H2327" s="5">
        <v>1592862</v>
      </c>
    </row>
    <row r="2328" spans="1:8" x14ac:dyDescent="0.25">
      <c r="A2328" t="s">
        <v>458</v>
      </c>
      <c r="B2328">
        <v>2021</v>
      </c>
      <c r="C2328" t="s">
        <v>92</v>
      </c>
      <c r="D2328" t="s">
        <v>38</v>
      </c>
      <c r="E2328" t="s">
        <v>328</v>
      </c>
      <c r="F2328" t="s">
        <v>111</v>
      </c>
      <c r="G2328" s="5">
        <v>1090414</v>
      </c>
      <c r="H2328" s="5">
        <v>1090414</v>
      </c>
    </row>
    <row r="2329" spans="1:8" x14ac:dyDescent="0.25">
      <c r="A2329" t="s">
        <v>458</v>
      </c>
      <c r="B2329">
        <v>2021</v>
      </c>
      <c r="C2329" t="s">
        <v>92</v>
      </c>
      <c r="D2329" t="s">
        <v>38</v>
      </c>
      <c r="E2329" t="s">
        <v>327</v>
      </c>
      <c r="F2329" t="s">
        <v>110</v>
      </c>
      <c r="G2329" s="5">
        <v>683855</v>
      </c>
      <c r="H2329" s="5">
        <v>683855</v>
      </c>
    </row>
    <row r="2330" spans="1:8" x14ac:dyDescent="0.25">
      <c r="A2330" t="s">
        <v>458</v>
      </c>
      <c r="B2330">
        <v>2021</v>
      </c>
      <c r="C2330" t="s">
        <v>92</v>
      </c>
      <c r="D2330" t="s">
        <v>38</v>
      </c>
      <c r="E2330" t="s">
        <v>444</v>
      </c>
      <c r="F2330" t="s">
        <v>231</v>
      </c>
      <c r="G2330" s="5">
        <v>573906</v>
      </c>
      <c r="H2330" s="5">
        <v>573906</v>
      </c>
    </row>
    <row r="2331" spans="1:8" x14ac:dyDescent="0.25">
      <c r="A2331" t="s">
        <v>458</v>
      </c>
      <c r="B2331">
        <v>2021</v>
      </c>
      <c r="C2331" t="s">
        <v>92</v>
      </c>
      <c r="D2331" t="s">
        <v>38</v>
      </c>
      <c r="E2331" t="s">
        <v>340</v>
      </c>
      <c r="F2331" t="s">
        <v>123</v>
      </c>
      <c r="G2331" s="5">
        <v>187392</v>
      </c>
      <c r="H2331" s="5">
        <v>187392</v>
      </c>
    </row>
    <row r="2332" spans="1:8" x14ac:dyDescent="0.25">
      <c r="A2332" t="s">
        <v>458</v>
      </c>
      <c r="B2332">
        <v>2021</v>
      </c>
      <c r="C2332" t="s">
        <v>92</v>
      </c>
      <c r="D2332" t="s">
        <v>38</v>
      </c>
      <c r="E2332" t="s">
        <v>462</v>
      </c>
      <c r="F2332" t="s">
        <v>250</v>
      </c>
      <c r="G2332" s="5">
        <v>161362</v>
      </c>
      <c r="H2332" s="5">
        <v>161362</v>
      </c>
    </row>
    <row r="2333" spans="1:8" x14ac:dyDescent="0.25">
      <c r="A2333" t="s">
        <v>458</v>
      </c>
      <c r="B2333">
        <v>2021</v>
      </c>
      <c r="C2333" t="s">
        <v>92</v>
      </c>
      <c r="D2333" t="s">
        <v>38</v>
      </c>
      <c r="E2333" t="s">
        <v>441</v>
      </c>
      <c r="F2333" t="s">
        <v>228</v>
      </c>
      <c r="G2333" s="5">
        <v>154629</v>
      </c>
      <c r="H2333" s="5">
        <v>155586</v>
      </c>
    </row>
    <row r="2334" spans="1:8" x14ac:dyDescent="0.25">
      <c r="A2334" t="s">
        <v>458</v>
      </c>
      <c r="B2334">
        <v>2021</v>
      </c>
      <c r="C2334" t="s">
        <v>92</v>
      </c>
      <c r="D2334" t="s">
        <v>38</v>
      </c>
      <c r="E2334" t="s">
        <v>334</v>
      </c>
      <c r="F2334" t="s">
        <v>117</v>
      </c>
      <c r="G2334" s="5">
        <v>78510</v>
      </c>
      <c r="H2334" s="5">
        <v>3909750</v>
      </c>
    </row>
    <row r="2335" spans="1:8" x14ac:dyDescent="0.25">
      <c r="A2335" t="s">
        <v>458</v>
      </c>
      <c r="B2335">
        <v>2021</v>
      </c>
      <c r="C2335" t="s">
        <v>92</v>
      </c>
      <c r="D2335" t="s">
        <v>38</v>
      </c>
      <c r="E2335" t="s">
        <v>330</v>
      </c>
      <c r="F2335" t="s">
        <v>113</v>
      </c>
      <c r="G2335" s="5">
        <v>56918</v>
      </c>
      <c r="H2335" s="5">
        <v>66906</v>
      </c>
    </row>
    <row r="2336" spans="1:8" x14ac:dyDescent="0.25">
      <c r="A2336" t="s">
        <v>458</v>
      </c>
      <c r="B2336">
        <v>2021</v>
      </c>
      <c r="C2336" t="s">
        <v>92</v>
      </c>
      <c r="D2336" t="s">
        <v>38</v>
      </c>
      <c r="E2336" t="s">
        <v>461</v>
      </c>
      <c r="F2336" t="s">
        <v>249</v>
      </c>
      <c r="G2336" s="5">
        <v>44850</v>
      </c>
      <c r="H2336" s="5">
        <v>103778</v>
      </c>
    </row>
    <row r="2337" spans="1:8" x14ac:dyDescent="0.25">
      <c r="A2337" t="s">
        <v>458</v>
      </c>
      <c r="B2337">
        <v>2021</v>
      </c>
      <c r="C2337" t="s">
        <v>92</v>
      </c>
      <c r="D2337" t="s">
        <v>38</v>
      </c>
      <c r="E2337" t="s">
        <v>333</v>
      </c>
      <c r="F2337" t="s">
        <v>116</v>
      </c>
      <c r="G2337" s="5">
        <v>43173</v>
      </c>
      <c r="H2337" s="5">
        <v>43173</v>
      </c>
    </row>
    <row r="2338" spans="1:8" x14ac:dyDescent="0.25">
      <c r="A2338" t="s">
        <v>458</v>
      </c>
      <c r="B2338">
        <v>2021</v>
      </c>
      <c r="C2338" t="s">
        <v>92</v>
      </c>
      <c r="D2338" t="s">
        <v>38</v>
      </c>
      <c r="E2338" t="s">
        <v>460</v>
      </c>
      <c r="F2338" t="s">
        <v>248</v>
      </c>
      <c r="G2338" s="5">
        <v>38978</v>
      </c>
      <c r="H2338" s="5">
        <v>38978</v>
      </c>
    </row>
    <row r="2339" spans="1:8" x14ac:dyDescent="0.25">
      <c r="A2339" t="s">
        <v>458</v>
      </c>
      <c r="B2339">
        <v>2021</v>
      </c>
      <c r="C2339" t="s">
        <v>92</v>
      </c>
      <c r="D2339" t="s">
        <v>38</v>
      </c>
      <c r="E2339" t="s">
        <v>455</v>
      </c>
      <c r="F2339" t="s">
        <v>242</v>
      </c>
      <c r="G2339" s="5">
        <v>29857</v>
      </c>
      <c r="H2339" s="5">
        <v>29857</v>
      </c>
    </row>
    <row r="2340" spans="1:8" x14ac:dyDescent="0.25">
      <c r="A2340" t="s">
        <v>458</v>
      </c>
      <c r="B2340">
        <v>2021</v>
      </c>
      <c r="C2340" t="s">
        <v>92</v>
      </c>
      <c r="D2340" t="s">
        <v>38</v>
      </c>
      <c r="E2340" t="s">
        <v>335</v>
      </c>
      <c r="F2340" t="s">
        <v>118</v>
      </c>
      <c r="G2340" s="5">
        <v>27435</v>
      </c>
      <c r="H2340" s="5">
        <v>27435</v>
      </c>
    </row>
    <row r="2341" spans="1:8" x14ac:dyDescent="0.25">
      <c r="A2341" t="s">
        <v>458</v>
      </c>
      <c r="B2341">
        <v>2021</v>
      </c>
      <c r="C2341" t="s">
        <v>92</v>
      </c>
      <c r="D2341" t="s">
        <v>38</v>
      </c>
      <c r="E2341" t="s">
        <v>463</v>
      </c>
      <c r="F2341" t="s">
        <v>251</v>
      </c>
      <c r="G2341" s="5">
        <v>24975</v>
      </c>
      <c r="H2341" s="5">
        <v>24975</v>
      </c>
    </row>
    <row r="2342" spans="1:8" x14ac:dyDescent="0.25">
      <c r="A2342" t="s">
        <v>458</v>
      </c>
      <c r="B2342">
        <v>2021</v>
      </c>
      <c r="C2342" t="s">
        <v>92</v>
      </c>
      <c r="D2342" t="s">
        <v>38</v>
      </c>
      <c r="E2342" t="s">
        <v>336</v>
      </c>
      <c r="F2342" t="s">
        <v>119</v>
      </c>
      <c r="G2342" s="5">
        <v>11524</v>
      </c>
      <c r="H2342" s="5">
        <v>11524</v>
      </c>
    </row>
    <row r="2343" spans="1:8" x14ac:dyDescent="0.25">
      <c r="A2343" t="s">
        <v>458</v>
      </c>
      <c r="B2343">
        <v>2021</v>
      </c>
      <c r="C2343" t="s">
        <v>92</v>
      </c>
      <c r="D2343" t="s">
        <v>38</v>
      </c>
      <c r="E2343" t="s">
        <v>320</v>
      </c>
      <c r="F2343" t="s">
        <v>102</v>
      </c>
      <c r="G2343" s="5">
        <v>3621</v>
      </c>
      <c r="H2343" s="5">
        <v>189795</v>
      </c>
    </row>
    <row r="2344" spans="1:8" x14ac:dyDescent="0.25">
      <c r="A2344" t="s">
        <v>458</v>
      </c>
      <c r="B2344">
        <v>2021</v>
      </c>
      <c r="C2344" t="s">
        <v>35</v>
      </c>
      <c r="D2344" t="s">
        <v>35</v>
      </c>
      <c r="E2344" t="s">
        <v>343</v>
      </c>
      <c r="F2344" t="s">
        <v>126</v>
      </c>
      <c r="G2344" s="5">
        <v>5976661946</v>
      </c>
      <c r="H2344" s="5">
        <v>5978990232</v>
      </c>
    </row>
    <row r="2345" spans="1:8" x14ac:dyDescent="0.25">
      <c r="A2345" t="s">
        <v>458</v>
      </c>
      <c r="B2345">
        <v>2021</v>
      </c>
      <c r="C2345" t="s">
        <v>35</v>
      </c>
      <c r="D2345" t="s">
        <v>35</v>
      </c>
      <c r="E2345" t="s">
        <v>354</v>
      </c>
      <c r="F2345" t="s">
        <v>137</v>
      </c>
      <c r="G2345" s="5">
        <v>684196120</v>
      </c>
      <c r="H2345" s="5">
        <v>684211565</v>
      </c>
    </row>
    <row r="2346" spans="1:8" x14ac:dyDescent="0.25">
      <c r="A2346" t="s">
        <v>458</v>
      </c>
      <c r="B2346">
        <v>2021</v>
      </c>
      <c r="C2346" t="s">
        <v>35</v>
      </c>
      <c r="D2346" t="s">
        <v>35</v>
      </c>
      <c r="E2346" t="s">
        <v>348</v>
      </c>
      <c r="F2346" t="s">
        <v>131</v>
      </c>
      <c r="G2346" s="5">
        <v>524450175</v>
      </c>
      <c r="H2346" s="5">
        <v>583382514</v>
      </c>
    </row>
    <row r="2347" spans="1:8" x14ac:dyDescent="0.25">
      <c r="A2347" t="s">
        <v>458</v>
      </c>
      <c r="B2347">
        <v>2021</v>
      </c>
      <c r="C2347" t="s">
        <v>35</v>
      </c>
      <c r="D2347" t="s">
        <v>35</v>
      </c>
      <c r="E2347" t="s">
        <v>352</v>
      </c>
      <c r="F2347" t="s">
        <v>135</v>
      </c>
      <c r="G2347" s="5">
        <v>372003632</v>
      </c>
      <c r="H2347" s="5">
        <v>372084829</v>
      </c>
    </row>
    <row r="2348" spans="1:8" x14ac:dyDescent="0.25">
      <c r="A2348" t="s">
        <v>458</v>
      </c>
      <c r="B2348">
        <v>2021</v>
      </c>
      <c r="C2348" t="s">
        <v>35</v>
      </c>
      <c r="D2348" t="s">
        <v>35</v>
      </c>
      <c r="E2348" t="s">
        <v>344</v>
      </c>
      <c r="F2348" t="s">
        <v>127</v>
      </c>
      <c r="G2348" s="5">
        <v>293291889</v>
      </c>
      <c r="H2348" s="5">
        <v>294875903</v>
      </c>
    </row>
    <row r="2349" spans="1:8" x14ac:dyDescent="0.25">
      <c r="A2349" t="s">
        <v>458</v>
      </c>
      <c r="B2349">
        <v>2021</v>
      </c>
      <c r="C2349" t="s">
        <v>35</v>
      </c>
      <c r="D2349" t="s">
        <v>35</v>
      </c>
      <c r="E2349" t="s">
        <v>356</v>
      </c>
      <c r="F2349" t="s">
        <v>139</v>
      </c>
      <c r="G2349" s="5">
        <v>290410841</v>
      </c>
      <c r="H2349" s="5">
        <v>291030698</v>
      </c>
    </row>
    <row r="2350" spans="1:8" x14ac:dyDescent="0.25">
      <c r="A2350" t="s">
        <v>458</v>
      </c>
      <c r="B2350">
        <v>2021</v>
      </c>
      <c r="C2350" t="s">
        <v>35</v>
      </c>
      <c r="D2350" t="s">
        <v>35</v>
      </c>
      <c r="E2350" t="s">
        <v>345</v>
      </c>
      <c r="F2350" t="s">
        <v>128</v>
      </c>
      <c r="G2350" s="5">
        <v>267308251</v>
      </c>
      <c r="H2350" s="5">
        <v>270709312</v>
      </c>
    </row>
    <row r="2351" spans="1:8" x14ac:dyDescent="0.25">
      <c r="A2351" t="s">
        <v>458</v>
      </c>
      <c r="B2351">
        <v>2021</v>
      </c>
      <c r="C2351" t="s">
        <v>35</v>
      </c>
      <c r="D2351" t="s">
        <v>35</v>
      </c>
      <c r="E2351" t="s">
        <v>353</v>
      </c>
      <c r="F2351" t="s">
        <v>136</v>
      </c>
      <c r="G2351" s="5">
        <v>263308243</v>
      </c>
      <c r="H2351" s="5">
        <v>263308290</v>
      </c>
    </row>
    <row r="2352" spans="1:8" x14ac:dyDescent="0.25">
      <c r="A2352" t="s">
        <v>458</v>
      </c>
      <c r="B2352">
        <v>2021</v>
      </c>
      <c r="C2352" t="s">
        <v>35</v>
      </c>
      <c r="D2352" t="s">
        <v>35</v>
      </c>
      <c r="E2352" t="s">
        <v>360</v>
      </c>
      <c r="F2352" t="s">
        <v>143</v>
      </c>
      <c r="G2352" s="5">
        <v>194482477</v>
      </c>
      <c r="H2352" s="5">
        <v>194482477</v>
      </c>
    </row>
    <row r="2353" spans="1:8" x14ac:dyDescent="0.25">
      <c r="A2353" t="s">
        <v>458</v>
      </c>
      <c r="B2353">
        <v>2021</v>
      </c>
      <c r="C2353" t="s">
        <v>35</v>
      </c>
      <c r="D2353" t="s">
        <v>35</v>
      </c>
      <c r="E2353" t="s">
        <v>349</v>
      </c>
      <c r="F2353" t="s">
        <v>132</v>
      </c>
      <c r="G2353" s="5">
        <v>98161230</v>
      </c>
      <c r="H2353" s="5">
        <v>269929404</v>
      </c>
    </row>
    <row r="2354" spans="1:8" x14ac:dyDescent="0.25">
      <c r="A2354" t="s">
        <v>458</v>
      </c>
      <c r="B2354">
        <v>2021</v>
      </c>
      <c r="C2354" t="s">
        <v>35</v>
      </c>
      <c r="D2354" t="s">
        <v>35</v>
      </c>
      <c r="E2354" t="s">
        <v>355</v>
      </c>
      <c r="F2354" t="s">
        <v>138</v>
      </c>
      <c r="G2354" s="5">
        <v>90279386</v>
      </c>
      <c r="H2354" s="5">
        <v>90309171</v>
      </c>
    </row>
    <row r="2355" spans="1:8" x14ac:dyDescent="0.25">
      <c r="A2355" t="s">
        <v>458</v>
      </c>
      <c r="B2355">
        <v>2021</v>
      </c>
      <c r="C2355" t="s">
        <v>35</v>
      </c>
      <c r="D2355" t="s">
        <v>35</v>
      </c>
      <c r="E2355" t="s">
        <v>350</v>
      </c>
      <c r="F2355" t="s">
        <v>133</v>
      </c>
      <c r="G2355" s="5">
        <v>86521791</v>
      </c>
      <c r="H2355" s="5">
        <v>86522403</v>
      </c>
    </row>
    <row r="2356" spans="1:8" x14ac:dyDescent="0.25">
      <c r="A2356" t="s">
        <v>458</v>
      </c>
      <c r="B2356">
        <v>2021</v>
      </c>
      <c r="C2356" t="s">
        <v>35</v>
      </c>
      <c r="D2356" t="s">
        <v>35</v>
      </c>
      <c r="E2356" t="s">
        <v>362</v>
      </c>
      <c r="F2356" t="s">
        <v>145</v>
      </c>
      <c r="G2356" s="5">
        <v>80890808</v>
      </c>
      <c r="H2356" s="5">
        <v>80891775</v>
      </c>
    </row>
    <row r="2357" spans="1:8" x14ac:dyDescent="0.25">
      <c r="A2357" t="s">
        <v>458</v>
      </c>
      <c r="B2357">
        <v>2021</v>
      </c>
      <c r="C2357" t="s">
        <v>35</v>
      </c>
      <c r="D2357" t="s">
        <v>35</v>
      </c>
      <c r="E2357" t="s">
        <v>347</v>
      </c>
      <c r="F2357" t="s">
        <v>130</v>
      </c>
      <c r="G2357" s="5">
        <v>76558826</v>
      </c>
      <c r="H2357" s="5">
        <v>83303938</v>
      </c>
    </row>
    <row r="2358" spans="1:8" x14ac:dyDescent="0.25">
      <c r="A2358" t="s">
        <v>458</v>
      </c>
      <c r="B2358">
        <v>2021</v>
      </c>
      <c r="C2358" t="s">
        <v>35</v>
      </c>
      <c r="D2358" t="s">
        <v>35</v>
      </c>
      <c r="E2358" t="s">
        <v>346</v>
      </c>
      <c r="F2358" t="s">
        <v>129</v>
      </c>
      <c r="G2358" s="5">
        <v>55987487</v>
      </c>
      <c r="H2358" s="5">
        <v>212042389</v>
      </c>
    </row>
    <row r="2359" spans="1:8" x14ac:dyDescent="0.25">
      <c r="A2359" t="s">
        <v>458</v>
      </c>
      <c r="B2359">
        <v>2021</v>
      </c>
      <c r="C2359" t="s">
        <v>35</v>
      </c>
      <c r="D2359" t="s">
        <v>35</v>
      </c>
      <c r="E2359" t="s">
        <v>357</v>
      </c>
      <c r="F2359" t="s">
        <v>140</v>
      </c>
      <c r="G2359" s="5">
        <v>49414849</v>
      </c>
      <c r="H2359" s="5">
        <v>49419743</v>
      </c>
    </row>
    <row r="2360" spans="1:8" x14ac:dyDescent="0.25">
      <c r="A2360" t="s">
        <v>458</v>
      </c>
      <c r="B2360">
        <v>2021</v>
      </c>
      <c r="C2360" t="s">
        <v>35</v>
      </c>
      <c r="D2360" t="s">
        <v>35</v>
      </c>
      <c r="E2360" t="s">
        <v>351</v>
      </c>
      <c r="F2360" t="s">
        <v>134</v>
      </c>
      <c r="G2360" s="5">
        <v>41940841</v>
      </c>
      <c r="H2360" s="5">
        <v>48467221</v>
      </c>
    </row>
    <row r="2361" spans="1:8" x14ac:dyDescent="0.25">
      <c r="A2361" t="s">
        <v>458</v>
      </c>
      <c r="B2361">
        <v>2021</v>
      </c>
      <c r="C2361" t="s">
        <v>35</v>
      </c>
      <c r="D2361" t="s">
        <v>35</v>
      </c>
      <c r="E2361" t="s">
        <v>383</v>
      </c>
      <c r="F2361" t="s">
        <v>167</v>
      </c>
      <c r="G2361" s="5">
        <v>40028251</v>
      </c>
      <c r="H2361" s="5">
        <v>40028251</v>
      </c>
    </row>
    <row r="2362" spans="1:8" x14ac:dyDescent="0.25">
      <c r="A2362" t="s">
        <v>458</v>
      </c>
      <c r="B2362">
        <v>2021</v>
      </c>
      <c r="C2362" t="s">
        <v>35</v>
      </c>
      <c r="D2362" t="s">
        <v>35</v>
      </c>
      <c r="E2362" t="s">
        <v>367</v>
      </c>
      <c r="F2362" t="s">
        <v>150</v>
      </c>
      <c r="G2362" s="5">
        <v>35099139</v>
      </c>
      <c r="H2362" s="5">
        <v>35100409</v>
      </c>
    </row>
    <row r="2363" spans="1:8" x14ac:dyDescent="0.25">
      <c r="A2363" t="s">
        <v>458</v>
      </c>
      <c r="B2363">
        <v>2021</v>
      </c>
      <c r="C2363" t="s">
        <v>35</v>
      </c>
      <c r="D2363" t="s">
        <v>35</v>
      </c>
      <c r="E2363" t="s">
        <v>366</v>
      </c>
      <c r="F2363" t="s">
        <v>149</v>
      </c>
      <c r="G2363" s="5">
        <v>30697495</v>
      </c>
      <c r="H2363" s="5">
        <v>30747571</v>
      </c>
    </row>
    <row r="2364" spans="1:8" x14ac:dyDescent="0.25">
      <c r="A2364" t="s">
        <v>458</v>
      </c>
      <c r="B2364">
        <v>2021</v>
      </c>
      <c r="C2364" t="s">
        <v>35</v>
      </c>
      <c r="D2364" t="s">
        <v>35</v>
      </c>
      <c r="E2364" t="s">
        <v>379</v>
      </c>
      <c r="F2364" t="s">
        <v>163</v>
      </c>
      <c r="G2364" s="5">
        <v>21223728</v>
      </c>
      <c r="H2364" s="5">
        <v>21223728</v>
      </c>
    </row>
    <row r="2365" spans="1:8" x14ac:dyDescent="0.25">
      <c r="A2365" t="s">
        <v>458</v>
      </c>
      <c r="B2365">
        <v>2021</v>
      </c>
      <c r="C2365" t="s">
        <v>35</v>
      </c>
      <c r="D2365" t="s">
        <v>35</v>
      </c>
      <c r="E2365" t="s">
        <v>381</v>
      </c>
      <c r="F2365" t="s">
        <v>165</v>
      </c>
      <c r="G2365" s="5">
        <v>5962452</v>
      </c>
      <c r="H2365" s="5">
        <v>5962452</v>
      </c>
    </row>
    <row r="2366" spans="1:8" x14ac:dyDescent="0.25">
      <c r="A2366" t="s">
        <v>458</v>
      </c>
      <c r="B2366">
        <v>2021</v>
      </c>
      <c r="C2366" t="s">
        <v>35</v>
      </c>
      <c r="D2366" t="s">
        <v>35</v>
      </c>
      <c r="E2366" t="s">
        <v>378</v>
      </c>
      <c r="F2366" t="s">
        <v>162</v>
      </c>
      <c r="G2366" s="5">
        <v>3364740</v>
      </c>
      <c r="H2366" s="5">
        <v>3391210</v>
      </c>
    </row>
    <row r="2367" spans="1:8" x14ac:dyDescent="0.25">
      <c r="A2367" t="s">
        <v>458</v>
      </c>
      <c r="B2367">
        <v>2021</v>
      </c>
      <c r="C2367" t="s">
        <v>35</v>
      </c>
      <c r="D2367" t="s">
        <v>35</v>
      </c>
      <c r="E2367" t="s">
        <v>370</v>
      </c>
      <c r="F2367" t="s">
        <v>153</v>
      </c>
      <c r="G2367" s="5">
        <v>3068442</v>
      </c>
      <c r="H2367" s="5">
        <v>3068442</v>
      </c>
    </row>
    <row r="2368" spans="1:8" x14ac:dyDescent="0.25">
      <c r="A2368" t="s">
        <v>458</v>
      </c>
      <c r="B2368">
        <v>2021</v>
      </c>
      <c r="C2368" t="s">
        <v>35</v>
      </c>
      <c r="D2368" t="s">
        <v>35</v>
      </c>
      <c r="E2368" t="s">
        <v>359</v>
      </c>
      <c r="F2368" t="s">
        <v>142</v>
      </c>
      <c r="G2368" s="5">
        <v>2312751</v>
      </c>
      <c r="H2368" s="5">
        <v>2321077</v>
      </c>
    </row>
    <row r="2369" spans="1:8" x14ac:dyDescent="0.25">
      <c r="A2369" t="s">
        <v>458</v>
      </c>
      <c r="B2369">
        <v>2021</v>
      </c>
      <c r="C2369" t="s">
        <v>35</v>
      </c>
      <c r="D2369" t="s">
        <v>35</v>
      </c>
      <c r="E2369" t="s">
        <v>382</v>
      </c>
      <c r="F2369" t="s">
        <v>166</v>
      </c>
      <c r="G2369" s="5">
        <v>2068803</v>
      </c>
      <c r="H2369" s="5">
        <v>2068830</v>
      </c>
    </row>
    <row r="2370" spans="1:8" x14ac:dyDescent="0.25">
      <c r="A2370" t="s">
        <v>458</v>
      </c>
      <c r="B2370">
        <v>2021</v>
      </c>
      <c r="C2370" t="s">
        <v>35</v>
      </c>
      <c r="D2370" t="s">
        <v>35</v>
      </c>
      <c r="E2370" t="s">
        <v>358</v>
      </c>
      <c r="F2370" t="s">
        <v>141</v>
      </c>
      <c r="G2370" s="5">
        <v>2016687</v>
      </c>
      <c r="H2370" s="5">
        <v>2016772</v>
      </c>
    </row>
    <row r="2371" spans="1:8" x14ac:dyDescent="0.25">
      <c r="A2371" t="s">
        <v>458</v>
      </c>
      <c r="B2371">
        <v>2021</v>
      </c>
      <c r="C2371" t="s">
        <v>35</v>
      </c>
      <c r="D2371" t="s">
        <v>35</v>
      </c>
      <c r="E2371" t="s">
        <v>380</v>
      </c>
      <c r="F2371" t="s">
        <v>164</v>
      </c>
      <c r="G2371" s="5">
        <v>1686941</v>
      </c>
      <c r="H2371" s="5">
        <v>1686941</v>
      </c>
    </row>
    <row r="2372" spans="1:8" x14ac:dyDescent="0.25">
      <c r="A2372" t="s">
        <v>458</v>
      </c>
      <c r="B2372">
        <v>2021</v>
      </c>
      <c r="C2372" t="s">
        <v>35</v>
      </c>
      <c r="D2372" t="s">
        <v>35</v>
      </c>
      <c r="E2372" t="s">
        <v>364</v>
      </c>
      <c r="F2372" t="s">
        <v>147</v>
      </c>
      <c r="G2372" s="5">
        <v>1182591</v>
      </c>
      <c r="H2372" s="5">
        <v>67246757</v>
      </c>
    </row>
    <row r="2373" spans="1:8" x14ac:dyDescent="0.25">
      <c r="A2373" t="s">
        <v>458</v>
      </c>
      <c r="B2373">
        <v>2021</v>
      </c>
      <c r="C2373" t="s">
        <v>35</v>
      </c>
      <c r="D2373" t="s">
        <v>35</v>
      </c>
      <c r="E2373" t="s">
        <v>371</v>
      </c>
      <c r="F2373" t="s">
        <v>154</v>
      </c>
      <c r="G2373" s="5">
        <v>1098290</v>
      </c>
      <c r="H2373" s="5">
        <v>2160214</v>
      </c>
    </row>
    <row r="2374" spans="1:8" x14ac:dyDescent="0.25">
      <c r="A2374" t="s">
        <v>458</v>
      </c>
      <c r="B2374">
        <v>2021</v>
      </c>
      <c r="C2374" t="s">
        <v>35</v>
      </c>
      <c r="D2374" t="s">
        <v>35</v>
      </c>
      <c r="E2374" t="s">
        <v>361</v>
      </c>
      <c r="F2374" t="s">
        <v>144</v>
      </c>
      <c r="G2374" s="5">
        <v>571435</v>
      </c>
      <c r="H2374" s="5">
        <v>571435</v>
      </c>
    </row>
    <row r="2375" spans="1:8" x14ac:dyDescent="0.25">
      <c r="A2375" t="s">
        <v>458</v>
      </c>
      <c r="B2375">
        <v>2021</v>
      </c>
      <c r="C2375" t="s">
        <v>35</v>
      </c>
      <c r="D2375" t="s">
        <v>35</v>
      </c>
      <c r="E2375" t="s">
        <v>386</v>
      </c>
      <c r="F2375" t="s">
        <v>170</v>
      </c>
      <c r="G2375" s="5">
        <v>519494</v>
      </c>
      <c r="H2375" s="5">
        <v>681433</v>
      </c>
    </row>
    <row r="2376" spans="1:8" x14ac:dyDescent="0.25">
      <c r="A2376" t="s">
        <v>458</v>
      </c>
      <c r="B2376">
        <v>2021</v>
      </c>
      <c r="C2376" t="s">
        <v>35</v>
      </c>
      <c r="D2376" t="s">
        <v>35</v>
      </c>
      <c r="E2376" t="s">
        <v>377</v>
      </c>
      <c r="F2376" t="s">
        <v>160</v>
      </c>
      <c r="G2376" s="5">
        <v>383184</v>
      </c>
      <c r="H2376" s="5">
        <v>384862</v>
      </c>
    </row>
    <row r="2377" spans="1:8" x14ac:dyDescent="0.25">
      <c r="A2377" t="s">
        <v>458</v>
      </c>
      <c r="B2377">
        <v>2021</v>
      </c>
      <c r="C2377" t="s">
        <v>35</v>
      </c>
      <c r="D2377" t="s">
        <v>35</v>
      </c>
      <c r="E2377" t="s">
        <v>372</v>
      </c>
      <c r="F2377" t="s">
        <v>155</v>
      </c>
      <c r="G2377" s="5">
        <v>331284</v>
      </c>
      <c r="H2377" s="5">
        <v>331284</v>
      </c>
    </row>
    <row r="2378" spans="1:8" x14ac:dyDescent="0.25">
      <c r="A2378" t="s">
        <v>458</v>
      </c>
      <c r="B2378">
        <v>2021</v>
      </c>
      <c r="C2378" t="s">
        <v>35</v>
      </c>
      <c r="D2378" t="s">
        <v>35</v>
      </c>
      <c r="E2378" t="s">
        <v>363</v>
      </c>
      <c r="F2378" t="s">
        <v>146</v>
      </c>
      <c r="G2378" s="5">
        <v>297829</v>
      </c>
      <c r="H2378" s="5">
        <v>2017008350</v>
      </c>
    </row>
    <row r="2379" spans="1:8" x14ac:dyDescent="0.25">
      <c r="A2379" t="s">
        <v>458</v>
      </c>
      <c r="B2379">
        <v>2021</v>
      </c>
      <c r="C2379" t="s">
        <v>35</v>
      </c>
      <c r="D2379" t="s">
        <v>35</v>
      </c>
      <c r="E2379" t="s">
        <v>376</v>
      </c>
      <c r="F2379" t="s">
        <v>159</v>
      </c>
      <c r="G2379" s="5">
        <v>206219</v>
      </c>
      <c r="H2379" s="5">
        <v>206219</v>
      </c>
    </row>
    <row r="2380" spans="1:8" x14ac:dyDescent="0.25">
      <c r="A2380" t="s">
        <v>458</v>
      </c>
      <c r="B2380">
        <v>2021</v>
      </c>
      <c r="C2380" t="s">
        <v>35</v>
      </c>
      <c r="D2380" t="s">
        <v>35</v>
      </c>
      <c r="E2380" t="s">
        <v>365</v>
      </c>
      <c r="F2380" t="s">
        <v>148</v>
      </c>
      <c r="G2380" s="5">
        <v>200963</v>
      </c>
      <c r="H2380" s="5">
        <v>200963</v>
      </c>
    </row>
    <row r="2381" spans="1:8" x14ac:dyDescent="0.25">
      <c r="A2381" t="s">
        <v>458</v>
      </c>
      <c r="B2381">
        <v>2021</v>
      </c>
      <c r="C2381" t="s">
        <v>35</v>
      </c>
      <c r="D2381" t="s">
        <v>35</v>
      </c>
      <c r="E2381" t="s">
        <v>385</v>
      </c>
      <c r="F2381" t="s">
        <v>169</v>
      </c>
      <c r="G2381" s="5">
        <v>130560</v>
      </c>
      <c r="H2381" s="5">
        <v>168848</v>
      </c>
    </row>
    <row r="2382" spans="1:8" x14ac:dyDescent="0.25">
      <c r="A2382" t="s">
        <v>458</v>
      </c>
      <c r="B2382">
        <v>2021</v>
      </c>
      <c r="C2382" t="s">
        <v>35</v>
      </c>
      <c r="D2382" t="s">
        <v>35</v>
      </c>
      <c r="E2382" t="s">
        <v>384</v>
      </c>
      <c r="F2382" t="s">
        <v>168</v>
      </c>
      <c r="G2382" s="5">
        <v>49294</v>
      </c>
      <c r="H2382" s="5">
        <v>52054</v>
      </c>
    </row>
    <row r="2383" spans="1:8" x14ac:dyDescent="0.25">
      <c r="A2383" t="s">
        <v>458</v>
      </c>
      <c r="B2383">
        <v>2021</v>
      </c>
      <c r="C2383" t="s">
        <v>35</v>
      </c>
      <c r="D2383" t="s">
        <v>35</v>
      </c>
      <c r="F2383" t="s">
        <v>161</v>
      </c>
      <c r="G2383" s="5">
        <v>48509</v>
      </c>
      <c r="H2383" s="5">
        <v>55364</v>
      </c>
    </row>
    <row r="2384" spans="1:8" x14ac:dyDescent="0.25">
      <c r="A2384" t="s">
        <v>458</v>
      </c>
      <c r="B2384">
        <v>2021</v>
      </c>
      <c r="C2384" t="s">
        <v>35</v>
      </c>
      <c r="D2384" t="s">
        <v>35</v>
      </c>
      <c r="E2384" t="s">
        <v>375</v>
      </c>
      <c r="F2384" t="s">
        <v>158</v>
      </c>
      <c r="G2384" s="5">
        <v>48265</v>
      </c>
      <c r="H2384" s="5">
        <v>48265</v>
      </c>
    </row>
    <row r="2385" spans="1:8" x14ac:dyDescent="0.25">
      <c r="A2385" t="s">
        <v>458</v>
      </c>
      <c r="B2385">
        <v>2021</v>
      </c>
      <c r="C2385" t="s">
        <v>35</v>
      </c>
      <c r="D2385" t="s">
        <v>35</v>
      </c>
      <c r="E2385" t="s">
        <v>374</v>
      </c>
      <c r="F2385" t="s">
        <v>157</v>
      </c>
      <c r="G2385" s="5">
        <v>47993</v>
      </c>
      <c r="H2385" s="5">
        <v>832921379</v>
      </c>
    </row>
    <row r="2386" spans="1:8" x14ac:dyDescent="0.25">
      <c r="A2386" t="s">
        <v>458</v>
      </c>
      <c r="B2386">
        <v>2021</v>
      </c>
      <c r="C2386" t="s">
        <v>35</v>
      </c>
      <c r="D2386" t="s">
        <v>35</v>
      </c>
      <c r="E2386" t="s">
        <v>387</v>
      </c>
      <c r="F2386" t="s">
        <v>171</v>
      </c>
      <c r="G2386" s="5">
        <v>7442</v>
      </c>
      <c r="H2386" s="5">
        <v>7442</v>
      </c>
    </row>
    <row r="2387" spans="1:8" x14ac:dyDescent="0.25">
      <c r="A2387" t="s">
        <v>458</v>
      </c>
      <c r="B2387">
        <v>2021</v>
      </c>
      <c r="C2387" t="s">
        <v>172</v>
      </c>
      <c r="D2387" t="s">
        <v>34</v>
      </c>
      <c r="E2387" t="s">
        <v>388</v>
      </c>
      <c r="F2387" t="s">
        <v>173</v>
      </c>
      <c r="G2387" s="5">
        <v>10705965503</v>
      </c>
      <c r="H2387" s="5">
        <v>10908721441</v>
      </c>
    </row>
    <row r="2388" spans="1:8" x14ac:dyDescent="0.25">
      <c r="A2388" t="s">
        <v>458</v>
      </c>
      <c r="B2388">
        <v>2021</v>
      </c>
      <c r="C2388" t="s">
        <v>172</v>
      </c>
      <c r="D2388" t="s">
        <v>34</v>
      </c>
      <c r="E2388" t="s">
        <v>391</v>
      </c>
      <c r="F2388" t="s">
        <v>176</v>
      </c>
      <c r="G2388" s="5">
        <v>2441964086</v>
      </c>
      <c r="H2388" s="5">
        <v>3795816695</v>
      </c>
    </row>
    <row r="2389" spans="1:8" x14ac:dyDescent="0.25">
      <c r="A2389" t="s">
        <v>458</v>
      </c>
      <c r="B2389">
        <v>2021</v>
      </c>
      <c r="C2389" t="s">
        <v>172</v>
      </c>
      <c r="D2389" t="s">
        <v>34</v>
      </c>
      <c r="E2389" t="s">
        <v>390</v>
      </c>
      <c r="F2389" t="s">
        <v>175</v>
      </c>
      <c r="G2389" s="5">
        <v>1744571182</v>
      </c>
      <c r="H2389" s="5">
        <v>1930300659</v>
      </c>
    </row>
    <row r="2390" spans="1:8" x14ac:dyDescent="0.25">
      <c r="A2390" t="s">
        <v>458</v>
      </c>
      <c r="B2390">
        <v>2021</v>
      </c>
      <c r="C2390" t="s">
        <v>172</v>
      </c>
      <c r="D2390" t="s">
        <v>34</v>
      </c>
      <c r="E2390" t="s">
        <v>389</v>
      </c>
      <c r="F2390" t="s">
        <v>174</v>
      </c>
      <c r="G2390" s="5">
        <v>1178487361</v>
      </c>
      <c r="H2390" s="5">
        <v>1179411883</v>
      </c>
    </row>
    <row r="2391" spans="1:8" x14ac:dyDescent="0.25">
      <c r="A2391" t="s">
        <v>458</v>
      </c>
      <c r="B2391">
        <v>2021</v>
      </c>
      <c r="C2391" t="s">
        <v>172</v>
      </c>
      <c r="D2391" t="s">
        <v>34</v>
      </c>
      <c r="E2391" t="s">
        <v>392</v>
      </c>
      <c r="F2391" t="s">
        <v>178</v>
      </c>
      <c r="G2391" s="5">
        <v>966113774</v>
      </c>
      <c r="H2391" s="5">
        <v>989266190</v>
      </c>
    </row>
    <row r="2392" spans="1:8" x14ac:dyDescent="0.25">
      <c r="A2392" t="s">
        <v>458</v>
      </c>
      <c r="B2392">
        <v>2021</v>
      </c>
      <c r="C2392" t="s">
        <v>172</v>
      </c>
      <c r="D2392" t="s">
        <v>34</v>
      </c>
      <c r="E2392" t="s">
        <v>394</v>
      </c>
      <c r="F2392" t="s">
        <v>180</v>
      </c>
      <c r="G2392" s="5">
        <v>861340155</v>
      </c>
      <c r="H2392" s="5">
        <v>865187624</v>
      </c>
    </row>
    <row r="2393" spans="1:8" x14ac:dyDescent="0.25">
      <c r="A2393" t="s">
        <v>458</v>
      </c>
      <c r="B2393">
        <v>2021</v>
      </c>
      <c r="C2393" t="s">
        <v>172</v>
      </c>
      <c r="D2393" t="s">
        <v>34</v>
      </c>
      <c r="E2393" t="s">
        <v>395</v>
      </c>
      <c r="F2393" t="s">
        <v>181</v>
      </c>
      <c r="G2393" s="5">
        <v>693651011</v>
      </c>
      <c r="H2393" s="5">
        <v>764672494</v>
      </c>
    </row>
    <row r="2394" spans="1:8" x14ac:dyDescent="0.25">
      <c r="A2394" t="s">
        <v>458</v>
      </c>
      <c r="B2394">
        <v>2021</v>
      </c>
      <c r="C2394" t="s">
        <v>172</v>
      </c>
      <c r="D2394" t="s">
        <v>34</v>
      </c>
      <c r="E2394" t="s">
        <v>396</v>
      </c>
      <c r="F2394" t="s">
        <v>183</v>
      </c>
      <c r="G2394" s="5">
        <v>633464776</v>
      </c>
      <c r="H2394" s="5">
        <v>634099418</v>
      </c>
    </row>
    <row r="2395" spans="1:8" x14ac:dyDescent="0.25">
      <c r="A2395" t="s">
        <v>458</v>
      </c>
      <c r="B2395">
        <v>2021</v>
      </c>
      <c r="C2395" t="s">
        <v>172</v>
      </c>
      <c r="D2395" t="s">
        <v>34</v>
      </c>
      <c r="E2395" t="s">
        <v>393</v>
      </c>
      <c r="F2395" t="s">
        <v>179</v>
      </c>
      <c r="G2395" s="5">
        <v>586785477</v>
      </c>
      <c r="H2395" s="5">
        <v>587002627</v>
      </c>
    </row>
    <row r="2396" spans="1:8" x14ac:dyDescent="0.25">
      <c r="A2396" t="s">
        <v>458</v>
      </c>
      <c r="B2396">
        <v>2021</v>
      </c>
      <c r="C2396" t="s">
        <v>172</v>
      </c>
      <c r="D2396" t="s">
        <v>34</v>
      </c>
      <c r="E2396" t="s">
        <v>397</v>
      </c>
      <c r="F2396" t="s">
        <v>184</v>
      </c>
      <c r="G2396" s="5">
        <v>534162538</v>
      </c>
      <c r="H2396" s="5">
        <v>534678972</v>
      </c>
    </row>
    <row r="2397" spans="1:8" x14ac:dyDescent="0.25">
      <c r="A2397" t="s">
        <v>458</v>
      </c>
      <c r="B2397">
        <v>2021</v>
      </c>
      <c r="C2397" t="s">
        <v>172</v>
      </c>
      <c r="D2397" t="s">
        <v>34</v>
      </c>
      <c r="E2397" t="s">
        <v>400</v>
      </c>
      <c r="F2397" t="s">
        <v>189</v>
      </c>
      <c r="G2397" s="5">
        <v>464830782</v>
      </c>
      <c r="H2397" s="5">
        <v>465728641</v>
      </c>
    </row>
    <row r="2398" spans="1:8" x14ac:dyDescent="0.25">
      <c r="A2398" t="s">
        <v>458</v>
      </c>
      <c r="B2398">
        <v>2021</v>
      </c>
      <c r="C2398" t="s">
        <v>172</v>
      </c>
      <c r="D2398" t="s">
        <v>34</v>
      </c>
      <c r="E2398" t="s">
        <v>399</v>
      </c>
      <c r="F2398" t="s">
        <v>187</v>
      </c>
      <c r="G2398" s="5">
        <v>441717495</v>
      </c>
      <c r="H2398" s="5">
        <v>441731403</v>
      </c>
    </row>
    <row r="2399" spans="1:8" x14ac:dyDescent="0.25">
      <c r="A2399" t="s">
        <v>458</v>
      </c>
      <c r="B2399">
        <v>2021</v>
      </c>
      <c r="C2399" t="s">
        <v>172</v>
      </c>
      <c r="D2399" t="s">
        <v>34</v>
      </c>
      <c r="E2399" t="s">
        <v>403</v>
      </c>
      <c r="F2399" t="s">
        <v>192</v>
      </c>
      <c r="G2399" s="5">
        <v>307508000</v>
      </c>
      <c r="H2399" s="5">
        <v>308018897</v>
      </c>
    </row>
    <row r="2400" spans="1:8" x14ac:dyDescent="0.25">
      <c r="A2400" t="s">
        <v>458</v>
      </c>
      <c r="B2400">
        <v>2021</v>
      </c>
      <c r="C2400" t="s">
        <v>172</v>
      </c>
      <c r="D2400" t="s">
        <v>34</v>
      </c>
      <c r="E2400" t="s">
        <v>398</v>
      </c>
      <c r="F2400" t="s">
        <v>186</v>
      </c>
      <c r="G2400" s="5">
        <v>283801927</v>
      </c>
      <c r="H2400" s="5">
        <v>283981227</v>
      </c>
    </row>
    <row r="2401" spans="1:8" x14ac:dyDescent="0.25">
      <c r="A2401" t="s">
        <v>458</v>
      </c>
      <c r="B2401">
        <v>2021</v>
      </c>
      <c r="C2401" t="s">
        <v>172</v>
      </c>
      <c r="D2401" t="s">
        <v>34</v>
      </c>
      <c r="E2401" t="s">
        <v>402</v>
      </c>
      <c r="F2401" t="s">
        <v>191</v>
      </c>
      <c r="G2401" s="5">
        <v>182954543</v>
      </c>
      <c r="H2401" s="5">
        <v>183775516</v>
      </c>
    </row>
    <row r="2402" spans="1:8" x14ac:dyDescent="0.25">
      <c r="A2402" t="s">
        <v>458</v>
      </c>
      <c r="B2402">
        <v>2021</v>
      </c>
      <c r="C2402" t="s">
        <v>172</v>
      </c>
      <c r="D2402" t="s">
        <v>34</v>
      </c>
      <c r="E2402" t="s">
        <v>405</v>
      </c>
      <c r="F2402" t="s">
        <v>194</v>
      </c>
      <c r="G2402" s="5">
        <v>164245186</v>
      </c>
      <c r="H2402" s="5">
        <v>164309096</v>
      </c>
    </row>
    <row r="2403" spans="1:8" x14ac:dyDescent="0.25">
      <c r="A2403" t="s">
        <v>458</v>
      </c>
      <c r="B2403">
        <v>2021</v>
      </c>
      <c r="C2403" t="s">
        <v>172</v>
      </c>
      <c r="D2403" t="s">
        <v>34</v>
      </c>
      <c r="E2403" t="s">
        <v>401</v>
      </c>
      <c r="F2403" t="s">
        <v>190</v>
      </c>
      <c r="G2403" s="5">
        <v>134062657</v>
      </c>
      <c r="H2403" s="5">
        <v>134123943</v>
      </c>
    </row>
    <row r="2404" spans="1:8" x14ac:dyDescent="0.25">
      <c r="A2404" t="s">
        <v>458</v>
      </c>
      <c r="B2404">
        <v>2021</v>
      </c>
      <c r="C2404" t="s">
        <v>172</v>
      </c>
      <c r="D2404" t="s">
        <v>34</v>
      </c>
      <c r="E2404" t="s">
        <v>404</v>
      </c>
      <c r="F2404" t="s">
        <v>193</v>
      </c>
      <c r="G2404" s="5">
        <v>89467429</v>
      </c>
      <c r="H2404" s="5">
        <v>89513791</v>
      </c>
    </row>
    <row r="2405" spans="1:8" x14ac:dyDescent="0.25">
      <c r="A2405" t="s">
        <v>458</v>
      </c>
      <c r="B2405">
        <v>2021</v>
      </c>
      <c r="C2405" t="s">
        <v>172</v>
      </c>
      <c r="D2405" t="s">
        <v>34</v>
      </c>
      <c r="E2405" t="s">
        <v>406</v>
      </c>
      <c r="F2405" t="s">
        <v>195</v>
      </c>
      <c r="G2405" s="5">
        <v>69470394</v>
      </c>
      <c r="H2405" s="5">
        <v>69496408</v>
      </c>
    </row>
    <row r="2406" spans="1:8" x14ac:dyDescent="0.25">
      <c r="A2406" t="s">
        <v>458</v>
      </c>
      <c r="B2406">
        <v>2021</v>
      </c>
      <c r="C2406" t="s">
        <v>172</v>
      </c>
      <c r="D2406" t="s">
        <v>34</v>
      </c>
      <c r="E2406" t="s">
        <v>409</v>
      </c>
      <c r="F2406" t="s">
        <v>199</v>
      </c>
      <c r="G2406" s="5">
        <v>40391093</v>
      </c>
      <c r="H2406" s="5">
        <v>45221254</v>
      </c>
    </row>
    <row r="2407" spans="1:8" x14ac:dyDescent="0.25">
      <c r="A2407" t="s">
        <v>458</v>
      </c>
      <c r="B2407">
        <v>2021</v>
      </c>
      <c r="C2407" t="s">
        <v>172</v>
      </c>
      <c r="D2407" t="s">
        <v>34</v>
      </c>
      <c r="E2407" t="s">
        <v>407</v>
      </c>
      <c r="F2407" t="s">
        <v>197</v>
      </c>
      <c r="G2407" s="5">
        <v>37170941</v>
      </c>
      <c r="H2407" s="5">
        <v>38225588</v>
      </c>
    </row>
    <row r="2408" spans="1:8" x14ac:dyDescent="0.25">
      <c r="A2408" t="s">
        <v>458</v>
      </c>
      <c r="B2408">
        <v>2021</v>
      </c>
      <c r="C2408" t="s">
        <v>172</v>
      </c>
      <c r="D2408" t="s">
        <v>34</v>
      </c>
      <c r="E2408" t="s">
        <v>411</v>
      </c>
      <c r="F2408" t="s">
        <v>203</v>
      </c>
      <c r="G2408" s="5">
        <v>34972100</v>
      </c>
      <c r="H2408" s="5">
        <v>34972957</v>
      </c>
    </row>
    <row r="2409" spans="1:8" x14ac:dyDescent="0.25">
      <c r="A2409" t="s">
        <v>458</v>
      </c>
      <c r="B2409">
        <v>2021</v>
      </c>
      <c r="C2409" t="s">
        <v>172</v>
      </c>
      <c r="D2409" t="s">
        <v>34</v>
      </c>
      <c r="E2409" t="s">
        <v>408</v>
      </c>
      <c r="F2409" t="s">
        <v>198</v>
      </c>
      <c r="G2409" s="5">
        <v>26448573</v>
      </c>
      <c r="H2409" s="5">
        <v>26452586</v>
      </c>
    </row>
    <row r="2410" spans="1:8" x14ac:dyDescent="0.25">
      <c r="A2410" t="s">
        <v>458</v>
      </c>
      <c r="B2410">
        <v>2021</v>
      </c>
      <c r="C2410" t="s">
        <v>172</v>
      </c>
      <c r="D2410" t="s">
        <v>34</v>
      </c>
      <c r="E2410" t="s">
        <v>412</v>
      </c>
      <c r="F2410" t="s">
        <v>204</v>
      </c>
      <c r="G2410" s="5">
        <v>19894685</v>
      </c>
      <c r="H2410" s="5">
        <v>19975871</v>
      </c>
    </row>
    <row r="2411" spans="1:8" x14ac:dyDescent="0.25">
      <c r="A2411" t="s">
        <v>458</v>
      </c>
      <c r="B2411">
        <v>2021</v>
      </c>
      <c r="C2411" t="s">
        <v>172</v>
      </c>
      <c r="D2411" t="s">
        <v>34</v>
      </c>
      <c r="E2411" t="s">
        <v>410</v>
      </c>
      <c r="F2411" t="s">
        <v>201</v>
      </c>
      <c r="G2411" s="5">
        <v>15547975</v>
      </c>
      <c r="H2411" s="5">
        <v>15548988</v>
      </c>
    </row>
    <row r="2412" spans="1:8" x14ac:dyDescent="0.25">
      <c r="A2412" t="s">
        <v>458</v>
      </c>
      <c r="B2412">
        <v>2021</v>
      </c>
      <c r="C2412" t="s">
        <v>172</v>
      </c>
      <c r="D2412" t="s">
        <v>34</v>
      </c>
      <c r="E2412" t="s">
        <v>414</v>
      </c>
      <c r="F2412" t="s">
        <v>209</v>
      </c>
      <c r="G2412" s="5">
        <v>1908219</v>
      </c>
      <c r="H2412" s="5">
        <v>1911419</v>
      </c>
    </row>
    <row r="2413" spans="1:8" x14ac:dyDescent="0.25">
      <c r="A2413" t="s">
        <v>458</v>
      </c>
      <c r="B2413">
        <v>2021</v>
      </c>
      <c r="C2413" t="s">
        <v>172</v>
      </c>
      <c r="D2413" t="s">
        <v>34</v>
      </c>
      <c r="E2413" t="s">
        <v>413</v>
      </c>
      <c r="F2413" t="s">
        <v>207</v>
      </c>
      <c r="G2413" s="5">
        <v>1812749</v>
      </c>
      <c r="H2413" s="5">
        <v>1822456</v>
      </c>
    </row>
    <row r="2414" spans="1:8" x14ac:dyDescent="0.25">
      <c r="A2414" t="s">
        <v>458</v>
      </c>
      <c r="B2414">
        <v>2021</v>
      </c>
      <c r="C2414" t="s">
        <v>172</v>
      </c>
      <c r="D2414" t="s">
        <v>37</v>
      </c>
      <c r="E2414" t="s">
        <v>415</v>
      </c>
      <c r="F2414" t="s">
        <v>177</v>
      </c>
      <c r="G2414" s="5">
        <v>692853706</v>
      </c>
      <c r="H2414" s="5">
        <v>20682953302</v>
      </c>
    </row>
    <row r="2415" spans="1:8" x14ac:dyDescent="0.25">
      <c r="A2415" t="s">
        <v>458</v>
      </c>
      <c r="B2415">
        <v>2021</v>
      </c>
      <c r="C2415" t="s">
        <v>172</v>
      </c>
      <c r="D2415" t="s">
        <v>37</v>
      </c>
      <c r="E2415" t="s">
        <v>416</v>
      </c>
      <c r="F2415" t="s">
        <v>182</v>
      </c>
      <c r="G2415" s="5">
        <v>488092496</v>
      </c>
      <c r="H2415" s="5">
        <v>490025756</v>
      </c>
    </row>
    <row r="2416" spans="1:8" x14ac:dyDescent="0.25">
      <c r="A2416" t="s">
        <v>458</v>
      </c>
      <c r="B2416">
        <v>2021</v>
      </c>
      <c r="C2416" t="s">
        <v>172</v>
      </c>
      <c r="D2416" t="s">
        <v>37</v>
      </c>
      <c r="E2416" t="s">
        <v>417</v>
      </c>
      <c r="F2416" t="s">
        <v>185</v>
      </c>
      <c r="G2416" s="5">
        <v>56922039</v>
      </c>
      <c r="H2416" s="5">
        <v>357197407</v>
      </c>
    </row>
    <row r="2417" spans="1:8" x14ac:dyDescent="0.25">
      <c r="A2417" t="s">
        <v>458</v>
      </c>
      <c r="B2417">
        <v>2021</v>
      </c>
      <c r="C2417" t="s">
        <v>172</v>
      </c>
      <c r="D2417" t="s">
        <v>37</v>
      </c>
      <c r="E2417" t="s">
        <v>418</v>
      </c>
      <c r="F2417" t="s">
        <v>188</v>
      </c>
      <c r="G2417" s="5">
        <v>49492121</v>
      </c>
      <c r="H2417" s="5">
        <v>49566375</v>
      </c>
    </row>
    <row r="2418" spans="1:8" x14ac:dyDescent="0.25">
      <c r="A2418" t="s">
        <v>458</v>
      </c>
      <c r="B2418">
        <v>2021</v>
      </c>
      <c r="C2418" t="s">
        <v>172</v>
      </c>
      <c r="D2418" t="s">
        <v>37</v>
      </c>
      <c r="E2418" t="s">
        <v>420</v>
      </c>
      <c r="F2418" t="s">
        <v>200</v>
      </c>
      <c r="G2418" s="5">
        <v>41470209</v>
      </c>
      <c r="H2418" s="5">
        <v>41499038</v>
      </c>
    </row>
    <row r="2419" spans="1:8" x14ac:dyDescent="0.25">
      <c r="A2419" t="s">
        <v>458</v>
      </c>
      <c r="B2419">
        <v>2021</v>
      </c>
      <c r="C2419" t="s">
        <v>172</v>
      </c>
      <c r="D2419" t="s">
        <v>37</v>
      </c>
      <c r="E2419" t="s">
        <v>419</v>
      </c>
      <c r="F2419" t="s">
        <v>196</v>
      </c>
      <c r="G2419" s="5">
        <v>31117776</v>
      </c>
      <c r="H2419" s="5">
        <v>31204987</v>
      </c>
    </row>
    <row r="2420" spans="1:8" x14ac:dyDescent="0.25">
      <c r="A2420" t="s">
        <v>458</v>
      </c>
      <c r="B2420">
        <v>2021</v>
      </c>
      <c r="C2420" t="s">
        <v>172</v>
      </c>
      <c r="D2420" t="s">
        <v>37</v>
      </c>
      <c r="E2420" t="s">
        <v>423</v>
      </c>
      <c r="F2420" t="s">
        <v>206</v>
      </c>
      <c r="G2420" s="5">
        <v>18717289</v>
      </c>
      <c r="H2420" s="5">
        <v>18717289</v>
      </c>
    </row>
    <row r="2421" spans="1:8" x14ac:dyDescent="0.25">
      <c r="A2421" t="s">
        <v>458</v>
      </c>
      <c r="B2421">
        <v>2021</v>
      </c>
      <c r="C2421" t="s">
        <v>172</v>
      </c>
      <c r="D2421" t="s">
        <v>37</v>
      </c>
      <c r="E2421" t="s">
        <v>425</v>
      </c>
      <c r="F2421" t="s">
        <v>210</v>
      </c>
      <c r="G2421" s="5">
        <v>16181232</v>
      </c>
      <c r="H2421" s="5">
        <v>16187635</v>
      </c>
    </row>
    <row r="2422" spans="1:8" x14ac:dyDescent="0.25">
      <c r="A2422" t="s">
        <v>458</v>
      </c>
      <c r="B2422">
        <v>2021</v>
      </c>
      <c r="C2422" t="s">
        <v>172</v>
      </c>
      <c r="D2422" t="s">
        <v>37</v>
      </c>
      <c r="E2422" t="s">
        <v>424</v>
      </c>
      <c r="F2422" t="s">
        <v>208</v>
      </c>
      <c r="G2422" s="5">
        <v>5237582</v>
      </c>
      <c r="H2422" s="5">
        <v>5302883</v>
      </c>
    </row>
    <row r="2423" spans="1:8" x14ac:dyDescent="0.25">
      <c r="A2423" t="s">
        <v>458</v>
      </c>
      <c r="B2423">
        <v>2021</v>
      </c>
      <c r="C2423" t="s">
        <v>172</v>
      </c>
      <c r="D2423" t="s">
        <v>37</v>
      </c>
      <c r="E2423" t="s">
        <v>421</v>
      </c>
      <c r="F2423" t="s">
        <v>202</v>
      </c>
      <c r="G2423" s="5">
        <v>4040726</v>
      </c>
      <c r="H2423" s="5">
        <v>4042726</v>
      </c>
    </row>
    <row r="2424" spans="1:8" x14ac:dyDescent="0.25">
      <c r="A2424" t="s">
        <v>458</v>
      </c>
      <c r="B2424">
        <v>2021</v>
      </c>
      <c r="C2424" t="s">
        <v>172</v>
      </c>
      <c r="D2424" t="s">
        <v>37</v>
      </c>
      <c r="E2424" t="s">
        <v>426</v>
      </c>
      <c r="F2424" t="s">
        <v>211</v>
      </c>
      <c r="G2424" s="5">
        <v>3397240</v>
      </c>
      <c r="H2424" s="5">
        <v>3397240</v>
      </c>
    </row>
    <row r="2425" spans="1:8" x14ac:dyDescent="0.25">
      <c r="A2425" t="s">
        <v>458</v>
      </c>
      <c r="B2425">
        <v>2021</v>
      </c>
      <c r="C2425" t="s">
        <v>172</v>
      </c>
      <c r="D2425" t="s">
        <v>37</v>
      </c>
      <c r="E2425" t="s">
        <v>427</v>
      </c>
      <c r="F2425" t="s">
        <v>212</v>
      </c>
      <c r="G2425" s="5">
        <v>3160385</v>
      </c>
      <c r="H2425" s="5">
        <v>3160385</v>
      </c>
    </row>
    <row r="2426" spans="1:8" x14ac:dyDescent="0.25">
      <c r="A2426" t="s">
        <v>458</v>
      </c>
      <c r="B2426">
        <v>2021</v>
      </c>
      <c r="C2426" t="s">
        <v>172</v>
      </c>
      <c r="D2426" t="s">
        <v>37</v>
      </c>
      <c r="E2426" t="s">
        <v>422</v>
      </c>
      <c r="F2426" t="s">
        <v>205</v>
      </c>
      <c r="G2426" s="5">
        <v>1235654</v>
      </c>
      <c r="H2426" s="5">
        <v>1236193</v>
      </c>
    </row>
    <row r="2427" spans="1:8" x14ac:dyDescent="0.25">
      <c r="A2427" t="s">
        <v>458</v>
      </c>
      <c r="B2427">
        <v>2021</v>
      </c>
      <c r="C2427" t="s">
        <v>172</v>
      </c>
      <c r="D2427" t="s">
        <v>37</v>
      </c>
      <c r="E2427" t="s">
        <v>447</v>
      </c>
      <c r="F2427" t="s">
        <v>234</v>
      </c>
      <c r="G2427" s="5">
        <v>699215</v>
      </c>
      <c r="H2427" s="5">
        <v>699215</v>
      </c>
    </row>
    <row r="2428" spans="1:8" x14ac:dyDescent="0.25">
      <c r="A2428" t="s">
        <v>458</v>
      </c>
      <c r="B2428">
        <v>2021</v>
      </c>
      <c r="C2428" t="s">
        <v>172</v>
      </c>
      <c r="D2428" t="s">
        <v>37</v>
      </c>
      <c r="E2428" t="s">
        <v>428</v>
      </c>
      <c r="F2428" t="s">
        <v>213</v>
      </c>
      <c r="G2428" s="5">
        <v>338791</v>
      </c>
      <c r="H2428" s="5">
        <v>338791</v>
      </c>
    </row>
    <row r="2429" spans="1:8" x14ac:dyDescent="0.25">
      <c r="A2429" t="s">
        <v>458</v>
      </c>
      <c r="B2429">
        <v>2021</v>
      </c>
      <c r="C2429" t="s">
        <v>172</v>
      </c>
      <c r="D2429" t="s">
        <v>37</v>
      </c>
      <c r="E2429" t="s">
        <v>430</v>
      </c>
      <c r="F2429" t="s">
        <v>216</v>
      </c>
      <c r="G2429" s="5">
        <v>96640</v>
      </c>
      <c r="H2429" s="5">
        <v>96640</v>
      </c>
    </row>
    <row r="2430" spans="1:8" x14ac:dyDescent="0.25">
      <c r="A2430" t="s">
        <v>458</v>
      </c>
      <c r="B2430">
        <v>2021</v>
      </c>
      <c r="C2430" t="s">
        <v>172</v>
      </c>
      <c r="D2430" t="s">
        <v>37</v>
      </c>
      <c r="E2430" t="s">
        <v>429</v>
      </c>
      <c r="F2430" t="s">
        <v>214</v>
      </c>
      <c r="G2430" s="5">
        <v>21895</v>
      </c>
      <c r="H2430" s="5">
        <v>21895</v>
      </c>
    </row>
    <row r="2431" spans="1:8" x14ac:dyDescent="0.25">
      <c r="A2431" t="s">
        <v>458</v>
      </c>
      <c r="B2431">
        <v>2021</v>
      </c>
      <c r="C2431" t="s">
        <v>172</v>
      </c>
      <c r="D2431" t="s">
        <v>37</v>
      </c>
      <c r="F2431" t="s">
        <v>215</v>
      </c>
      <c r="G2431" s="5">
        <v>20720</v>
      </c>
      <c r="H2431" s="5">
        <v>20720</v>
      </c>
    </row>
    <row r="2432" spans="1:8" x14ac:dyDescent="0.25">
      <c r="A2432" t="s">
        <v>458</v>
      </c>
      <c r="B2432">
        <v>2021</v>
      </c>
      <c r="C2432" t="s">
        <v>40</v>
      </c>
      <c r="D2432" t="s">
        <v>40</v>
      </c>
      <c r="E2432" t="s">
        <v>432</v>
      </c>
      <c r="F2432" t="s">
        <v>218</v>
      </c>
      <c r="G2432" s="5">
        <v>14676163</v>
      </c>
      <c r="H2432" s="5">
        <v>15815788</v>
      </c>
    </row>
    <row r="2433" spans="1:8" x14ac:dyDescent="0.25">
      <c r="A2433" t="s">
        <v>458</v>
      </c>
      <c r="B2433">
        <v>2021</v>
      </c>
      <c r="C2433" t="s">
        <v>40</v>
      </c>
      <c r="D2433" t="s">
        <v>40</v>
      </c>
      <c r="E2433" t="s">
        <v>433</v>
      </c>
      <c r="F2433" t="s">
        <v>219</v>
      </c>
      <c r="G2433" s="5">
        <v>11350045</v>
      </c>
      <c r="H2433" s="5">
        <v>11352874</v>
      </c>
    </row>
    <row r="2434" spans="1:8" x14ac:dyDescent="0.25">
      <c r="A2434" t="s">
        <v>458</v>
      </c>
      <c r="B2434">
        <v>2021</v>
      </c>
      <c r="C2434" t="s">
        <v>40</v>
      </c>
      <c r="D2434" t="s">
        <v>40</v>
      </c>
      <c r="E2434" t="s">
        <v>435</v>
      </c>
      <c r="F2434" t="s">
        <v>221</v>
      </c>
      <c r="G2434" s="5">
        <v>113892</v>
      </c>
      <c r="H2434" s="5">
        <v>118625</v>
      </c>
    </row>
    <row r="2435" spans="1:8" x14ac:dyDescent="0.25">
      <c r="A2435" t="s">
        <v>458</v>
      </c>
      <c r="B2435">
        <v>2021</v>
      </c>
      <c r="C2435" t="s">
        <v>40</v>
      </c>
      <c r="D2435" t="s">
        <v>40</v>
      </c>
      <c r="F2435" t="s">
        <v>225</v>
      </c>
      <c r="G2435" s="5">
        <v>68342</v>
      </c>
      <c r="H2435" s="5">
        <v>89717</v>
      </c>
    </row>
    <row r="2436" spans="1:8" x14ac:dyDescent="0.25">
      <c r="A2436" t="s">
        <v>458</v>
      </c>
      <c r="B2436">
        <v>2021</v>
      </c>
      <c r="C2436" t="s">
        <v>40</v>
      </c>
      <c r="D2436" t="s">
        <v>40</v>
      </c>
      <c r="E2436" t="s">
        <v>438</v>
      </c>
      <c r="F2436" t="s">
        <v>224</v>
      </c>
      <c r="G2436" s="5">
        <v>28128</v>
      </c>
      <c r="H2436" s="5">
        <v>214606</v>
      </c>
    </row>
    <row r="2437" spans="1:8" x14ac:dyDescent="0.25">
      <c r="A2437" t="s">
        <v>458</v>
      </c>
      <c r="B2437">
        <v>2022</v>
      </c>
      <c r="C2437" t="s">
        <v>39</v>
      </c>
      <c r="D2437" t="s">
        <v>39</v>
      </c>
      <c r="E2437" t="s">
        <v>268</v>
      </c>
      <c r="F2437" t="s">
        <v>47</v>
      </c>
      <c r="G2437" s="5">
        <v>162756839</v>
      </c>
      <c r="H2437" s="5">
        <v>1457730121</v>
      </c>
    </row>
    <row r="2438" spans="1:8" x14ac:dyDescent="0.25">
      <c r="A2438" t="s">
        <v>458</v>
      </c>
      <c r="B2438">
        <v>2022</v>
      </c>
      <c r="C2438" t="s">
        <v>39</v>
      </c>
      <c r="D2438" t="s">
        <v>39</v>
      </c>
      <c r="E2438" t="s">
        <v>273</v>
      </c>
      <c r="F2438" t="s">
        <v>52</v>
      </c>
      <c r="G2438" s="5">
        <v>84209849</v>
      </c>
      <c r="H2438" s="5">
        <v>84209849</v>
      </c>
    </row>
    <row r="2439" spans="1:8" x14ac:dyDescent="0.25">
      <c r="A2439" t="s">
        <v>458</v>
      </c>
      <c r="B2439">
        <v>2022</v>
      </c>
      <c r="C2439" t="s">
        <v>39</v>
      </c>
      <c r="D2439" t="s">
        <v>39</v>
      </c>
      <c r="E2439" t="s">
        <v>271</v>
      </c>
      <c r="F2439" t="s">
        <v>50</v>
      </c>
      <c r="G2439" s="5">
        <v>68361599</v>
      </c>
      <c r="H2439" s="5">
        <v>70274883</v>
      </c>
    </row>
    <row r="2440" spans="1:8" x14ac:dyDescent="0.25">
      <c r="A2440" t="s">
        <v>458</v>
      </c>
      <c r="B2440">
        <v>2022</v>
      </c>
      <c r="C2440" t="s">
        <v>39</v>
      </c>
      <c r="D2440" t="s">
        <v>39</v>
      </c>
      <c r="E2440" t="s">
        <v>281</v>
      </c>
      <c r="F2440" t="s">
        <v>60</v>
      </c>
      <c r="G2440" s="5">
        <v>49354890</v>
      </c>
      <c r="H2440" s="5">
        <v>49354890</v>
      </c>
    </row>
    <row r="2441" spans="1:8" x14ac:dyDescent="0.25">
      <c r="A2441" t="s">
        <v>458</v>
      </c>
      <c r="B2441">
        <v>2022</v>
      </c>
      <c r="C2441" t="s">
        <v>39</v>
      </c>
      <c r="D2441" t="s">
        <v>39</v>
      </c>
      <c r="E2441" t="s">
        <v>269</v>
      </c>
      <c r="F2441" t="s">
        <v>48</v>
      </c>
      <c r="G2441" s="5">
        <v>13088080</v>
      </c>
      <c r="H2441" s="5">
        <v>13795748</v>
      </c>
    </row>
    <row r="2442" spans="1:8" x14ac:dyDescent="0.25">
      <c r="A2442" t="s">
        <v>458</v>
      </c>
      <c r="B2442">
        <v>2022</v>
      </c>
      <c r="C2442" t="s">
        <v>39</v>
      </c>
      <c r="D2442" t="s">
        <v>39</v>
      </c>
      <c r="E2442" t="s">
        <v>296</v>
      </c>
      <c r="F2442" t="s">
        <v>76</v>
      </c>
      <c r="G2442" s="5">
        <v>12475907</v>
      </c>
      <c r="H2442" s="5">
        <v>12534329</v>
      </c>
    </row>
    <row r="2443" spans="1:8" x14ac:dyDescent="0.25">
      <c r="A2443" t="s">
        <v>458</v>
      </c>
      <c r="B2443">
        <v>2022</v>
      </c>
      <c r="C2443" t="s">
        <v>39</v>
      </c>
      <c r="D2443" t="s">
        <v>39</v>
      </c>
      <c r="E2443" t="s">
        <v>279</v>
      </c>
      <c r="F2443" t="s">
        <v>58</v>
      </c>
      <c r="G2443" s="5">
        <v>8831998</v>
      </c>
      <c r="H2443" s="5">
        <v>8842202</v>
      </c>
    </row>
    <row r="2444" spans="1:8" x14ac:dyDescent="0.25">
      <c r="A2444" t="s">
        <v>458</v>
      </c>
      <c r="B2444">
        <v>2022</v>
      </c>
      <c r="C2444" t="s">
        <v>39</v>
      </c>
      <c r="D2444" t="s">
        <v>39</v>
      </c>
      <c r="E2444" t="s">
        <v>277</v>
      </c>
      <c r="F2444" t="s">
        <v>56</v>
      </c>
      <c r="G2444" s="5">
        <v>2453985</v>
      </c>
      <c r="H2444" s="5">
        <v>2456171</v>
      </c>
    </row>
    <row r="2445" spans="1:8" x14ac:dyDescent="0.25">
      <c r="A2445" t="s">
        <v>458</v>
      </c>
      <c r="B2445">
        <v>2022</v>
      </c>
      <c r="C2445" t="s">
        <v>39</v>
      </c>
      <c r="D2445" t="s">
        <v>39</v>
      </c>
      <c r="E2445" t="s">
        <v>280</v>
      </c>
      <c r="F2445" t="s">
        <v>59</v>
      </c>
      <c r="G2445" s="5">
        <v>2166481</v>
      </c>
      <c r="H2445" s="5">
        <v>2166481</v>
      </c>
    </row>
    <row r="2446" spans="1:8" x14ac:dyDescent="0.25">
      <c r="A2446" t="s">
        <v>458</v>
      </c>
      <c r="B2446">
        <v>2022</v>
      </c>
      <c r="C2446" t="s">
        <v>39</v>
      </c>
      <c r="D2446" t="s">
        <v>39</v>
      </c>
      <c r="E2446" t="s">
        <v>286</v>
      </c>
      <c r="F2446" t="s">
        <v>66</v>
      </c>
      <c r="G2446" s="5">
        <v>2121430</v>
      </c>
      <c r="H2446" s="5">
        <v>2121430</v>
      </c>
    </row>
    <row r="2447" spans="1:8" x14ac:dyDescent="0.25">
      <c r="A2447" t="s">
        <v>458</v>
      </c>
      <c r="B2447">
        <v>2022</v>
      </c>
      <c r="C2447" t="s">
        <v>39</v>
      </c>
      <c r="D2447" t="s">
        <v>39</v>
      </c>
      <c r="E2447" t="s">
        <v>272</v>
      </c>
      <c r="F2447" t="s">
        <v>51</v>
      </c>
      <c r="G2447" s="5">
        <v>1861282</v>
      </c>
      <c r="H2447" s="5">
        <v>1894172</v>
      </c>
    </row>
    <row r="2448" spans="1:8" x14ac:dyDescent="0.25">
      <c r="A2448" t="s">
        <v>458</v>
      </c>
      <c r="B2448">
        <v>2022</v>
      </c>
      <c r="C2448" t="s">
        <v>39</v>
      </c>
      <c r="D2448" t="s">
        <v>39</v>
      </c>
      <c r="E2448" t="s">
        <v>466</v>
      </c>
      <c r="F2448" t="s">
        <v>254</v>
      </c>
      <c r="G2448" s="5">
        <v>1351539</v>
      </c>
      <c r="H2448" s="5">
        <v>1351539</v>
      </c>
    </row>
    <row r="2449" spans="1:8" x14ac:dyDescent="0.25">
      <c r="A2449" t="s">
        <v>458</v>
      </c>
      <c r="B2449">
        <v>2022</v>
      </c>
      <c r="C2449" t="s">
        <v>39</v>
      </c>
      <c r="D2449" t="s">
        <v>39</v>
      </c>
      <c r="E2449" t="s">
        <v>270</v>
      </c>
      <c r="F2449" t="s">
        <v>49</v>
      </c>
      <c r="G2449" s="5">
        <v>1308369</v>
      </c>
      <c r="H2449" s="5">
        <v>1308369</v>
      </c>
    </row>
    <row r="2450" spans="1:8" x14ac:dyDescent="0.25">
      <c r="A2450" t="s">
        <v>458</v>
      </c>
      <c r="B2450">
        <v>2022</v>
      </c>
      <c r="C2450" t="s">
        <v>39</v>
      </c>
      <c r="D2450" t="s">
        <v>39</v>
      </c>
      <c r="E2450" t="s">
        <v>275</v>
      </c>
      <c r="F2450" t="s">
        <v>54</v>
      </c>
      <c r="G2450" s="5">
        <v>805736</v>
      </c>
      <c r="H2450" s="5">
        <v>818307</v>
      </c>
    </row>
    <row r="2451" spans="1:8" x14ac:dyDescent="0.25">
      <c r="A2451" t="s">
        <v>458</v>
      </c>
      <c r="B2451">
        <v>2022</v>
      </c>
      <c r="C2451" t="s">
        <v>39</v>
      </c>
      <c r="D2451" t="s">
        <v>39</v>
      </c>
      <c r="F2451" t="s">
        <v>64</v>
      </c>
      <c r="G2451" s="5">
        <v>674050</v>
      </c>
      <c r="H2451" s="5">
        <v>1433625</v>
      </c>
    </row>
    <row r="2452" spans="1:8" x14ac:dyDescent="0.25">
      <c r="A2452" t="s">
        <v>458</v>
      </c>
      <c r="B2452">
        <v>2022</v>
      </c>
      <c r="C2452" t="s">
        <v>39</v>
      </c>
      <c r="D2452" t="s">
        <v>39</v>
      </c>
      <c r="E2452" t="s">
        <v>307</v>
      </c>
      <c r="F2452" t="s">
        <v>87</v>
      </c>
      <c r="G2452" s="5">
        <v>629249</v>
      </c>
      <c r="H2452" s="5">
        <v>629249</v>
      </c>
    </row>
    <row r="2453" spans="1:8" x14ac:dyDescent="0.25">
      <c r="A2453" t="s">
        <v>458</v>
      </c>
      <c r="B2453">
        <v>2022</v>
      </c>
      <c r="C2453" t="s">
        <v>39</v>
      </c>
      <c r="D2453" t="s">
        <v>39</v>
      </c>
      <c r="E2453" t="s">
        <v>294</v>
      </c>
      <c r="F2453" t="s">
        <v>74</v>
      </c>
      <c r="G2453" s="5">
        <v>427591</v>
      </c>
      <c r="H2453" s="5">
        <v>428072</v>
      </c>
    </row>
    <row r="2454" spans="1:8" x14ac:dyDescent="0.25">
      <c r="A2454" t="s">
        <v>458</v>
      </c>
      <c r="B2454">
        <v>2022</v>
      </c>
      <c r="C2454" t="s">
        <v>39</v>
      </c>
      <c r="D2454" t="s">
        <v>39</v>
      </c>
      <c r="E2454" t="s">
        <v>284</v>
      </c>
      <c r="F2454" t="s">
        <v>63</v>
      </c>
      <c r="G2454" s="5">
        <v>351263</v>
      </c>
      <c r="H2454" s="5">
        <v>351263</v>
      </c>
    </row>
    <row r="2455" spans="1:8" x14ac:dyDescent="0.25">
      <c r="A2455" t="s">
        <v>458</v>
      </c>
      <c r="B2455">
        <v>2022</v>
      </c>
      <c r="C2455" t="s">
        <v>39</v>
      </c>
      <c r="D2455" t="s">
        <v>39</v>
      </c>
      <c r="E2455" t="s">
        <v>276</v>
      </c>
      <c r="F2455" t="s">
        <v>55</v>
      </c>
      <c r="G2455" s="5">
        <v>300665</v>
      </c>
      <c r="H2455" s="5">
        <v>300665</v>
      </c>
    </row>
    <row r="2456" spans="1:8" x14ac:dyDescent="0.25">
      <c r="A2456" t="s">
        <v>458</v>
      </c>
      <c r="B2456">
        <v>2022</v>
      </c>
      <c r="C2456" t="s">
        <v>39</v>
      </c>
      <c r="D2456" t="s">
        <v>39</v>
      </c>
      <c r="E2456" t="s">
        <v>459</v>
      </c>
      <c r="F2456" t="s">
        <v>247</v>
      </c>
      <c r="G2456" s="5">
        <v>268865</v>
      </c>
      <c r="H2456" s="5">
        <v>268865</v>
      </c>
    </row>
    <row r="2457" spans="1:8" x14ac:dyDescent="0.25">
      <c r="A2457" t="s">
        <v>458</v>
      </c>
      <c r="B2457">
        <v>2022</v>
      </c>
      <c r="C2457" t="s">
        <v>39</v>
      </c>
      <c r="D2457" t="s">
        <v>39</v>
      </c>
      <c r="E2457" t="s">
        <v>278</v>
      </c>
      <c r="F2457" t="s">
        <v>57</v>
      </c>
      <c r="G2457" s="5">
        <v>264393</v>
      </c>
      <c r="H2457" s="5">
        <v>264393</v>
      </c>
    </row>
    <row r="2458" spans="1:8" x14ac:dyDescent="0.25">
      <c r="A2458" t="s">
        <v>458</v>
      </c>
      <c r="B2458">
        <v>2022</v>
      </c>
      <c r="C2458" t="s">
        <v>39</v>
      </c>
      <c r="D2458" t="s">
        <v>39</v>
      </c>
      <c r="E2458" t="s">
        <v>287</v>
      </c>
      <c r="F2458" t="s">
        <v>67</v>
      </c>
      <c r="G2458" s="5">
        <v>238809</v>
      </c>
      <c r="H2458" s="5">
        <v>241074</v>
      </c>
    </row>
    <row r="2459" spans="1:8" x14ac:dyDescent="0.25">
      <c r="A2459" t="s">
        <v>458</v>
      </c>
      <c r="B2459">
        <v>2022</v>
      </c>
      <c r="C2459" t="s">
        <v>39</v>
      </c>
      <c r="D2459" t="s">
        <v>39</v>
      </c>
      <c r="E2459" t="s">
        <v>303</v>
      </c>
      <c r="F2459" t="s">
        <v>83</v>
      </c>
      <c r="G2459" s="5">
        <v>174576</v>
      </c>
      <c r="H2459" s="5">
        <v>178885</v>
      </c>
    </row>
    <row r="2460" spans="1:8" x14ac:dyDescent="0.25">
      <c r="A2460" t="s">
        <v>458</v>
      </c>
      <c r="B2460">
        <v>2022</v>
      </c>
      <c r="C2460" t="s">
        <v>39</v>
      </c>
      <c r="D2460" t="s">
        <v>39</v>
      </c>
      <c r="E2460" t="s">
        <v>291</v>
      </c>
      <c r="F2460" t="s">
        <v>71</v>
      </c>
      <c r="G2460" s="5">
        <v>163573</v>
      </c>
      <c r="H2460" s="5">
        <v>5787895</v>
      </c>
    </row>
    <row r="2461" spans="1:8" x14ac:dyDescent="0.25">
      <c r="A2461" t="s">
        <v>458</v>
      </c>
      <c r="B2461">
        <v>2022</v>
      </c>
      <c r="C2461" t="s">
        <v>39</v>
      </c>
      <c r="D2461" t="s">
        <v>39</v>
      </c>
      <c r="E2461" t="s">
        <v>283</v>
      </c>
      <c r="F2461" t="s">
        <v>62</v>
      </c>
      <c r="G2461" s="5">
        <v>127741</v>
      </c>
      <c r="H2461" s="5">
        <v>154823</v>
      </c>
    </row>
    <row r="2462" spans="1:8" x14ac:dyDescent="0.25">
      <c r="A2462" t="s">
        <v>458</v>
      </c>
      <c r="B2462">
        <v>2022</v>
      </c>
      <c r="C2462" t="s">
        <v>39</v>
      </c>
      <c r="D2462" t="s">
        <v>39</v>
      </c>
      <c r="E2462" t="s">
        <v>295</v>
      </c>
      <c r="F2462" t="s">
        <v>75</v>
      </c>
      <c r="G2462" s="5">
        <v>63896</v>
      </c>
      <c r="H2462" s="5">
        <v>63896</v>
      </c>
    </row>
    <row r="2463" spans="1:8" x14ac:dyDescent="0.25">
      <c r="A2463" t="s">
        <v>458</v>
      </c>
      <c r="B2463">
        <v>2022</v>
      </c>
      <c r="C2463" t="s">
        <v>39</v>
      </c>
      <c r="D2463" t="s">
        <v>39</v>
      </c>
      <c r="E2463" t="s">
        <v>290</v>
      </c>
      <c r="F2463" t="s">
        <v>70</v>
      </c>
      <c r="G2463" s="5">
        <v>57410</v>
      </c>
      <c r="H2463" s="5">
        <v>57410</v>
      </c>
    </row>
    <row r="2464" spans="1:8" x14ac:dyDescent="0.25">
      <c r="A2464" t="s">
        <v>458</v>
      </c>
      <c r="B2464">
        <v>2022</v>
      </c>
      <c r="C2464" t="s">
        <v>39</v>
      </c>
      <c r="D2464" t="s">
        <v>39</v>
      </c>
      <c r="E2464" t="s">
        <v>311</v>
      </c>
      <c r="F2464" t="s">
        <v>91</v>
      </c>
      <c r="G2464" s="5">
        <v>51411</v>
      </c>
      <c r="H2464" s="5">
        <v>51411</v>
      </c>
    </row>
    <row r="2465" spans="1:8" x14ac:dyDescent="0.25">
      <c r="A2465" t="s">
        <v>458</v>
      </c>
      <c r="B2465">
        <v>2022</v>
      </c>
      <c r="C2465" t="s">
        <v>39</v>
      </c>
      <c r="D2465" t="s">
        <v>39</v>
      </c>
      <c r="E2465" t="s">
        <v>305</v>
      </c>
      <c r="F2465" t="s">
        <v>85</v>
      </c>
      <c r="G2465" s="5">
        <v>40674</v>
      </c>
      <c r="H2465" s="5">
        <v>41086</v>
      </c>
    </row>
    <row r="2466" spans="1:8" x14ac:dyDescent="0.25">
      <c r="A2466" t="s">
        <v>458</v>
      </c>
      <c r="B2466">
        <v>2022</v>
      </c>
      <c r="C2466" t="s">
        <v>39</v>
      </c>
      <c r="D2466" t="s">
        <v>39</v>
      </c>
      <c r="E2466" t="s">
        <v>439</v>
      </c>
      <c r="F2466" t="s">
        <v>226</v>
      </c>
      <c r="G2466" s="5">
        <v>38341</v>
      </c>
      <c r="H2466" s="5">
        <v>38341</v>
      </c>
    </row>
    <row r="2467" spans="1:8" x14ac:dyDescent="0.25">
      <c r="A2467" t="s">
        <v>458</v>
      </c>
      <c r="B2467">
        <v>2022</v>
      </c>
      <c r="C2467" t="s">
        <v>39</v>
      </c>
      <c r="D2467" t="s">
        <v>39</v>
      </c>
      <c r="E2467" t="s">
        <v>298</v>
      </c>
      <c r="F2467" t="s">
        <v>78</v>
      </c>
      <c r="G2467" s="5">
        <v>33357</v>
      </c>
      <c r="H2467" s="5">
        <v>33357</v>
      </c>
    </row>
    <row r="2468" spans="1:8" x14ac:dyDescent="0.25">
      <c r="A2468" t="s">
        <v>458</v>
      </c>
      <c r="B2468">
        <v>2022</v>
      </c>
      <c r="C2468" t="s">
        <v>39</v>
      </c>
      <c r="D2468" t="s">
        <v>39</v>
      </c>
      <c r="E2468" t="s">
        <v>464</v>
      </c>
      <c r="F2468" t="s">
        <v>252</v>
      </c>
      <c r="G2468" s="5">
        <v>29037</v>
      </c>
      <c r="H2468" s="5">
        <v>31463</v>
      </c>
    </row>
    <row r="2469" spans="1:8" x14ac:dyDescent="0.25">
      <c r="A2469" t="s">
        <v>458</v>
      </c>
      <c r="B2469">
        <v>2022</v>
      </c>
      <c r="C2469" t="s">
        <v>39</v>
      </c>
      <c r="D2469" t="s">
        <v>39</v>
      </c>
      <c r="E2469" t="s">
        <v>301</v>
      </c>
      <c r="F2469" t="s">
        <v>81</v>
      </c>
      <c r="G2469" s="5">
        <v>28933</v>
      </c>
      <c r="H2469" s="5">
        <v>28933</v>
      </c>
    </row>
    <row r="2470" spans="1:8" x14ac:dyDescent="0.25">
      <c r="A2470" t="s">
        <v>458</v>
      </c>
      <c r="B2470">
        <v>2022</v>
      </c>
      <c r="C2470" t="s">
        <v>39</v>
      </c>
      <c r="D2470" t="s">
        <v>39</v>
      </c>
      <c r="E2470" t="s">
        <v>308</v>
      </c>
      <c r="F2470" t="s">
        <v>88</v>
      </c>
      <c r="G2470" s="5">
        <v>28134</v>
      </c>
      <c r="H2470" s="5">
        <v>28134</v>
      </c>
    </row>
    <row r="2471" spans="1:8" x14ac:dyDescent="0.25">
      <c r="A2471" t="s">
        <v>458</v>
      </c>
      <c r="B2471">
        <v>2022</v>
      </c>
      <c r="C2471" t="s">
        <v>39</v>
      </c>
      <c r="D2471" t="s">
        <v>39</v>
      </c>
      <c r="E2471" t="s">
        <v>465</v>
      </c>
      <c r="F2471" t="s">
        <v>253</v>
      </c>
      <c r="G2471" s="5">
        <v>18372</v>
      </c>
      <c r="H2471" s="5">
        <v>18472</v>
      </c>
    </row>
    <row r="2472" spans="1:8" x14ac:dyDescent="0.25">
      <c r="A2472" t="s">
        <v>458</v>
      </c>
      <c r="B2472">
        <v>2022</v>
      </c>
      <c r="C2472" t="s">
        <v>39</v>
      </c>
      <c r="D2472" t="s">
        <v>39</v>
      </c>
      <c r="E2472" t="s">
        <v>300</v>
      </c>
      <c r="F2472" t="s">
        <v>80</v>
      </c>
      <c r="G2472" s="5">
        <v>12436</v>
      </c>
      <c r="H2472" s="5">
        <v>12438</v>
      </c>
    </row>
    <row r="2473" spans="1:8" x14ac:dyDescent="0.25">
      <c r="A2473" t="s">
        <v>458</v>
      </c>
      <c r="B2473">
        <v>2022</v>
      </c>
      <c r="C2473" t="s">
        <v>39</v>
      </c>
      <c r="D2473" t="s">
        <v>39</v>
      </c>
      <c r="E2473" t="s">
        <v>285</v>
      </c>
      <c r="F2473" t="s">
        <v>65</v>
      </c>
      <c r="G2473" s="5">
        <v>10680</v>
      </c>
      <c r="H2473" s="5">
        <v>10680</v>
      </c>
    </row>
    <row r="2474" spans="1:8" x14ac:dyDescent="0.25">
      <c r="A2474" t="s">
        <v>458</v>
      </c>
      <c r="B2474">
        <v>2022</v>
      </c>
      <c r="C2474" t="s">
        <v>92</v>
      </c>
      <c r="D2474" t="s">
        <v>36</v>
      </c>
      <c r="E2474" t="s">
        <v>36</v>
      </c>
      <c r="F2474" t="s">
        <v>93</v>
      </c>
      <c r="G2474" s="5">
        <v>2179540596</v>
      </c>
      <c r="H2474" s="5">
        <v>6400147193</v>
      </c>
    </row>
    <row r="2475" spans="1:8" x14ac:dyDescent="0.25">
      <c r="A2475" t="s">
        <v>458</v>
      </c>
      <c r="B2475">
        <v>2022</v>
      </c>
      <c r="C2475" t="s">
        <v>92</v>
      </c>
      <c r="D2475" t="s">
        <v>38</v>
      </c>
      <c r="E2475" t="s">
        <v>314</v>
      </c>
      <c r="F2475" t="s">
        <v>96</v>
      </c>
      <c r="G2475" s="5">
        <v>225673026</v>
      </c>
      <c r="H2475" s="5">
        <v>569695173</v>
      </c>
    </row>
    <row r="2476" spans="1:8" x14ac:dyDescent="0.25">
      <c r="A2476" t="s">
        <v>458</v>
      </c>
      <c r="B2476">
        <v>2022</v>
      </c>
      <c r="C2476" t="s">
        <v>92</v>
      </c>
      <c r="D2476" t="s">
        <v>38</v>
      </c>
      <c r="E2476" t="s">
        <v>313</v>
      </c>
      <c r="F2476" t="s">
        <v>95</v>
      </c>
      <c r="G2476" s="5">
        <v>95234495</v>
      </c>
      <c r="H2476" s="5">
        <v>2719042471</v>
      </c>
    </row>
    <row r="2477" spans="1:8" x14ac:dyDescent="0.25">
      <c r="A2477" t="s">
        <v>458</v>
      </c>
      <c r="B2477">
        <v>2022</v>
      </c>
      <c r="C2477" t="s">
        <v>92</v>
      </c>
      <c r="D2477" t="s">
        <v>38</v>
      </c>
      <c r="E2477" t="s">
        <v>312</v>
      </c>
      <c r="F2477" t="s">
        <v>94</v>
      </c>
      <c r="G2477" s="5">
        <v>60655898</v>
      </c>
      <c r="H2477" s="5">
        <v>224545713</v>
      </c>
    </row>
    <row r="2478" spans="1:8" x14ac:dyDescent="0.25">
      <c r="A2478" t="s">
        <v>458</v>
      </c>
      <c r="B2478">
        <v>2022</v>
      </c>
      <c r="C2478" t="s">
        <v>92</v>
      </c>
      <c r="D2478" t="s">
        <v>38</v>
      </c>
      <c r="E2478" t="s">
        <v>321</v>
      </c>
      <c r="F2478" t="s">
        <v>103</v>
      </c>
      <c r="G2478" s="5">
        <v>33618697</v>
      </c>
      <c r="H2478" s="5">
        <v>33618697</v>
      </c>
    </row>
    <row r="2479" spans="1:8" x14ac:dyDescent="0.25">
      <c r="A2479" t="s">
        <v>458</v>
      </c>
      <c r="B2479">
        <v>2022</v>
      </c>
      <c r="C2479" t="s">
        <v>92</v>
      </c>
      <c r="D2479" t="s">
        <v>38</v>
      </c>
      <c r="E2479" t="s">
        <v>322</v>
      </c>
      <c r="F2479" t="s">
        <v>105</v>
      </c>
      <c r="G2479" s="5">
        <v>19574293</v>
      </c>
      <c r="H2479" s="5">
        <v>19575239</v>
      </c>
    </row>
    <row r="2480" spans="1:8" x14ac:dyDescent="0.25">
      <c r="A2480" t="s">
        <v>458</v>
      </c>
      <c r="B2480">
        <v>2022</v>
      </c>
      <c r="C2480" t="s">
        <v>92</v>
      </c>
      <c r="D2480" t="s">
        <v>38</v>
      </c>
      <c r="E2480" t="s">
        <v>319</v>
      </c>
      <c r="F2480" t="s">
        <v>101</v>
      </c>
      <c r="G2480" s="5">
        <v>19494223</v>
      </c>
      <c r="H2480" s="5">
        <v>19495406</v>
      </c>
    </row>
    <row r="2481" spans="1:8" x14ac:dyDescent="0.25">
      <c r="A2481" t="s">
        <v>458</v>
      </c>
      <c r="B2481">
        <v>2022</v>
      </c>
      <c r="C2481" t="s">
        <v>92</v>
      </c>
      <c r="D2481" t="s">
        <v>38</v>
      </c>
      <c r="E2481" t="s">
        <v>318</v>
      </c>
      <c r="F2481" t="s">
        <v>100</v>
      </c>
      <c r="G2481" s="5">
        <v>15189774</v>
      </c>
      <c r="H2481" s="5">
        <v>15323211</v>
      </c>
    </row>
    <row r="2482" spans="1:8" x14ac:dyDescent="0.25">
      <c r="A2482" t="s">
        <v>458</v>
      </c>
      <c r="B2482">
        <v>2022</v>
      </c>
      <c r="C2482" t="s">
        <v>92</v>
      </c>
      <c r="D2482" t="s">
        <v>38</v>
      </c>
      <c r="E2482" t="s">
        <v>315</v>
      </c>
      <c r="F2482" t="s">
        <v>97</v>
      </c>
      <c r="G2482" s="5">
        <v>11972730</v>
      </c>
      <c r="H2482" s="5">
        <v>11972730</v>
      </c>
    </row>
    <row r="2483" spans="1:8" x14ac:dyDescent="0.25">
      <c r="A2483" t="s">
        <v>458</v>
      </c>
      <c r="B2483">
        <v>2022</v>
      </c>
      <c r="C2483" t="s">
        <v>92</v>
      </c>
      <c r="D2483" t="s">
        <v>38</v>
      </c>
      <c r="E2483" t="s">
        <v>325</v>
      </c>
      <c r="F2483" t="s">
        <v>108</v>
      </c>
      <c r="G2483" s="5">
        <v>7889695</v>
      </c>
      <c r="H2483" s="5">
        <v>7892888</v>
      </c>
    </row>
    <row r="2484" spans="1:8" x14ac:dyDescent="0.25">
      <c r="A2484" t="s">
        <v>458</v>
      </c>
      <c r="B2484">
        <v>2022</v>
      </c>
      <c r="C2484" t="s">
        <v>92</v>
      </c>
      <c r="D2484" t="s">
        <v>38</v>
      </c>
      <c r="E2484" t="s">
        <v>331</v>
      </c>
      <c r="F2484" t="s">
        <v>114</v>
      </c>
      <c r="G2484" s="5">
        <v>7355328</v>
      </c>
      <c r="H2484" s="5">
        <v>7355671</v>
      </c>
    </row>
    <row r="2485" spans="1:8" x14ac:dyDescent="0.25">
      <c r="A2485" t="s">
        <v>458</v>
      </c>
      <c r="B2485">
        <v>2022</v>
      </c>
      <c r="C2485" t="s">
        <v>92</v>
      </c>
      <c r="D2485" t="s">
        <v>38</v>
      </c>
      <c r="E2485" t="s">
        <v>316</v>
      </c>
      <c r="F2485" t="s">
        <v>98</v>
      </c>
      <c r="G2485" s="5">
        <v>6295209</v>
      </c>
      <c r="H2485" s="5">
        <v>6295209</v>
      </c>
    </row>
    <row r="2486" spans="1:8" x14ac:dyDescent="0.25">
      <c r="A2486" t="s">
        <v>458</v>
      </c>
      <c r="B2486">
        <v>2022</v>
      </c>
      <c r="C2486" t="s">
        <v>92</v>
      </c>
      <c r="D2486" t="s">
        <v>38</v>
      </c>
      <c r="E2486" t="s">
        <v>326</v>
      </c>
      <c r="F2486" t="s">
        <v>109</v>
      </c>
      <c r="G2486" s="5">
        <v>3968491</v>
      </c>
      <c r="H2486" s="5">
        <v>3983491</v>
      </c>
    </row>
    <row r="2487" spans="1:8" x14ac:dyDescent="0.25">
      <c r="A2487" t="s">
        <v>458</v>
      </c>
      <c r="B2487">
        <v>2022</v>
      </c>
      <c r="C2487" t="s">
        <v>92</v>
      </c>
      <c r="D2487" t="s">
        <v>38</v>
      </c>
      <c r="E2487" t="s">
        <v>323</v>
      </c>
      <c r="F2487" t="s">
        <v>106</v>
      </c>
      <c r="G2487" s="5">
        <v>3612651</v>
      </c>
      <c r="H2487" s="5">
        <v>3686570</v>
      </c>
    </row>
    <row r="2488" spans="1:8" x14ac:dyDescent="0.25">
      <c r="A2488" t="s">
        <v>458</v>
      </c>
      <c r="B2488">
        <v>2022</v>
      </c>
      <c r="C2488" t="s">
        <v>92</v>
      </c>
      <c r="D2488" t="s">
        <v>38</v>
      </c>
      <c r="E2488" t="s">
        <v>332</v>
      </c>
      <c r="F2488" t="s">
        <v>115</v>
      </c>
      <c r="G2488" s="5">
        <v>3311078</v>
      </c>
      <c r="H2488" s="5">
        <v>3311078</v>
      </c>
    </row>
    <row r="2489" spans="1:8" x14ac:dyDescent="0.25">
      <c r="A2489" t="s">
        <v>458</v>
      </c>
      <c r="B2489">
        <v>2022</v>
      </c>
      <c r="C2489" t="s">
        <v>92</v>
      </c>
      <c r="D2489" t="s">
        <v>38</v>
      </c>
      <c r="E2489" t="s">
        <v>337</v>
      </c>
      <c r="F2489" t="s">
        <v>120</v>
      </c>
      <c r="G2489" s="5">
        <v>2519375</v>
      </c>
      <c r="H2489" s="5">
        <v>2519375</v>
      </c>
    </row>
    <row r="2490" spans="1:8" x14ac:dyDescent="0.25">
      <c r="A2490" t="s">
        <v>458</v>
      </c>
      <c r="B2490">
        <v>2022</v>
      </c>
      <c r="C2490" t="s">
        <v>92</v>
      </c>
      <c r="D2490" t="s">
        <v>38</v>
      </c>
      <c r="E2490" t="s">
        <v>329</v>
      </c>
      <c r="F2490" t="s">
        <v>112</v>
      </c>
      <c r="G2490" s="5">
        <v>2127622</v>
      </c>
      <c r="H2490" s="5">
        <v>2127622</v>
      </c>
    </row>
    <row r="2491" spans="1:8" x14ac:dyDescent="0.25">
      <c r="A2491" t="s">
        <v>458</v>
      </c>
      <c r="B2491">
        <v>2022</v>
      </c>
      <c r="C2491" t="s">
        <v>92</v>
      </c>
      <c r="D2491" t="s">
        <v>38</v>
      </c>
      <c r="E2491" t="s">
        <v>324</v>
      </c>
      <c r="F2491" t="s">
        <v>107</v>
      </c>
      <c r="G2491" s="5">
        <v>2026472</v>
      </c>
      <c r="H2491" s="5">
        <v>2026472</v>
      </c>
    </row>
    <row r="2492" spans="1:8" x14ac:dyDescent="0.25">
      <c r="A2492" t="s">
        <v>458</v>
      </c>
      <c r="B2492">
        <v>2022</v>
      </c>
      <c r="C2492" t="s">
        <v>92</v>
      </c>
      <c r="D2492" t="s">
        <v>38</v>
      </c>
      <c r="E2492" t="s">
        <v>327</v>
      </c>
      <c r="F2492" t="s">
        <v>110</v>
      </c>
      <c r="G2492" s="5">
        <v>1585763</v>
      </c>
      <c r="H2492" s="5">
        <v>1585763</v>
      </c>
    </row>
    <row r="2493" spans="1:8" x14ac:dyDescent="0.25">
      <c r="A2493" t="s">
        <v>458</v>
      </c>
      <c r="B2493">
        <v>2022</v>
      </c>
      <c r="C2493" t="s">
        <v>92</v>
      </c>
      <c r="D2493" t="s">
        <v>38</v>
      </c>
      <c r="F2493" t="s">
        <v>104</v>
      </c>
      <c r="G2493" s="5">
        <v>1290780</v>
      </c>
      <c r="H2493" s="5">
        <v>2026632</v>
      </c>
    </row>
    <row r="2494" spans="1:8" x14ac:dyDescent="0.25">
      <c r="A2494" t="s">
        <v>458</v>
      </c>
      <c r="B2494">
        <v>2022</v>
      </c>
      <c r="C2494" t="s">
        <v>92</v>
      </c>
      <c r="D2494" t="s">
        <v>38</v>
      </c>
      <c r="E2494" t="s">
        <v>444</v>
      </c>
      <c r="F2494" t="s">
        <v>231</v>
      </c>
      <c r="G2494" s="5">
        <v>1110340</v>
      </c>
      <c r="H2494" s="5">
        <v>1110340</v>
      </c>
    </row>
    <row r="2495" spans="1:8" x14ac:dyDescent="0.25">
      <c r="A2495" t="s">
        <v>458</v>
      </c>
      <c r="B2495">
        <v>2022</v>
      </c>
      <c r="C2495" t="s">
        <v>92</v>
      </c>
      <c r="D2495" t="s">
        <v>38</v>
      </c>
      <c r="E2495" t="s">
        <v>328</v>
      </c>
      <c r="F2495" t="s">
        <v>111</v>
      </c>
      <c r="G2495" s="5">
        <v>914552</v>
      </c>
      <c r="H2495" s="5">
        <v>929839</v>
      </c>
    </row>
    <row r="2496" spans="1:8" x14ac:dyDescent="0.25">
      <c r="A2496" t="s">
        <v>458</v>
      </c>
      <c r="B2496">
        <v>2022</v>
      </c>
      <c r="C2496" t="s">
        <v>92</v>
      </c>
      <c r="D2496" t="s">
        <v>38</v>
      </c>
      <c r="E2496" t="s">
        <v>320</v>
      </c>
      <c r="F2496" t="s">
        <v>102</v>
      </c>
      <c r="G2496" s="5">
        <v>805862</v>
      </c>
      <c r="H2496" s="5">
        <v>903896</v>
      </c>
    </row>
    <row r="2497" spans="1:8" x14ac:dyDescent="0.25">
      <c r="A2497" t="s">
        <v>458</v>
      </c>
      <c r="B2497">
        <v>2022</v>
      </c>
      <c r="C2497" t="s">
        <v>92</v>
      </c>
      <c r="D2497" t="s">
        <v>38</v>
      </c>
      <c r="E2497" t="s">
        <v>462</v>
      </c>
      <c r="F2497" t="s">
        <v>250</v>
      </c>
      <c r="G2497" s="5">
        <v>169638</v>
      </c>
      <c r="H2497" s="5">
        <v>169638</v>
      </c>
    </row>
    <row r="2498" spans="1:8" x14ac:dyDescent="0.25">
      <c r="A2498" t="s">
        <v>458</v>
      </c>
      <c r="B2498">
        <v>2022</v>
      </c>
      <c r="C2498" t="s">
        <v>92</v>
      </c>
      <c r="D2498" t="s">
        <v>38</v>
      </c>
      <c r="E2498" t="s">
        <v>441</v>
      </c>
      <c r="F2498" t="s">
        <v>228</v>
      </c>
      <c r="G2498" s="5">
        <v>154514</v>
      </c>
      <c r="H2498" s="5">
        <v>158235</v>
      </c>
    </row>
    <row r="2499" spans="1:8" x14ac:dyDescent="0.25">
      <c r="A2499" t="s">
        <v>458</v>
      </c>
      <c r="B2499">
        <v>2022</v>
      </c>
      <c r="C2499" t="s">
        <v>92</v>
      </c>
      <c r="D2499" t="s">
        <v>38</v>
      </c>
      <c r="E2499" t="s">
        <v>340</v>
      </c>
      <c r="F2499" t="s">
        <v>123</v>
      </c>
      <c r="G2499" s="5">
        <v>141783</v>
      </c>
      <c r="H2499" s="5">
        <v>141783</v>
      </c>
    </row>
    <row r="2500" spans="1:8" x14ac:dyDescent="0.25">
      <c r="A2500" t="s">
        <v>458</v>
      </c>
      <c r="B2500">
        <v>2022</v>
      </c>
      <c r="C2500" t="s">
        <v>92</v>
      </c>
      <c r="D2500" t="s">
        <v>38</v>
      </c>
      <c r="E2500" t="s">
        <v>330</v>
      </c>
      <c r="F2500" t="s">
        <v>113</v>
      </c>
      <c r="G2500" s="5">
        <v>61158</v>
      </c>
      <c r="H2500" s="5">
        <v>61158</v>
      </c>
    </row>
    <row r="2501" spans="1:8" x14ac:dyDescent="0.25">
      <c r="A2501" t="s">
        <v>458</v>
      </c>
      <c r="B2501">
        <v>2022</v>
      </c>
      <c r="C2501" t="s">
        <v>92</v>
      </c>
      <c r="D2501" t="s">
        <v>38</v>
      </c>
      <c r="E2501" t="s">
        <v>333</v>
      </c>
      <c r="F2501" t="s">
        <v>116</v>
      </c>
      <c r="G2501" s="5">
        <v>44105</v>
      </c>
      <c r="H2501" s="5">
        <v>44105</v>
      </c>
    </row>
    <row r="2502" spans="1:8" x14ac:dyDescent="0.25">
      <c r="A2502" t="s">
        <v>458</v>
      </c>
      <c r="B2502">
        <v>2022</v>
      </c>
      <c r="C2502" t="s">
        <v>92</v>
      </c>
      <c r="D2502" t="s">
        <v>38</v>
      </c>
      <c r="E2502" t="s">
        <v>455</v>
      </c>
      <c r="F2502" t="s">
        <v>242</v>
      </c>
      <c r="G2502" s="5">
        <v>40613</v>
      </c>
      <c r="H2502" s="5">
        <v>40613</v>
      </c>
    </row>
    <row r="2503" spans="1:8" x14ac:dyDescent="0.25">
      <c r="A2503" t="s">
        <v>458</v>
      </c>
      <c r="B2503">
        <v>2022</v>
      </c>
      <c r="C2503" t="s">
        <v>92</v>
      </c>
      <c r="D2503" t="s">
        <v>38</v>
      </c>
      <c r="E2503" t="s">
        <v>461</v>
      </c>
      <c r="F2503" t="s">
        <v>249</v>
      </c>
      <c r="G2503" s="5">
        <v>30639</v>
      </c>
      <c r="H2503" s="5">
        <v>30639</v>
      </c>
    </row>
    <row r="2504" spans="1:8" x14ac:dyDescent="0.25">
      <c r="A2504" t="s">
        <v>458</v>
      </c>
      <c r="B2504">
        <v>2022</v>
      </c>
      <c r="C2504" t="s">
        <v>92</v>
      </c>
      <c r="D2504" t="s">
        <v>38</v>
      </c>
      <c r="E2504" t="s">
        <v>460</v>
      </c>
      <c r="F2504" t="s">
        <v>248</v>
      </c>
      <c r="G2504" s="5">
        <v>23827</v>
      </c>
      <c r="H2504" s="5">
        <v>23827</v>
      </c>
    </row>
    <row r="2505" spans="1:8" x14ac:dyDescent="0.25">
      <c r="A2505" t="s">
        <v>458</v>
      </c>
      <c r="B2505">
        <v>2022</v>
      </c>
      <c r="C2505" t="s">
        <v>92</v>
      </c>
      <c r="D2505" t="s">
        <v>38</v>
      </c>
      <c r="E2505" t="s">
        <v>335</v>
      </c>
      <c r="F2505" t="s">
        <v>118</v>
      </c>
      <c r="G2505" s="5">
        <v>22428</v>
      </c>
      <c r="H2505" s="5">
        <v>22428</v>
      </c>
    </row>
    <row r="2506" spans="1:8" x14ac:dyDescent="0.25">
      <c r="A2506" t="s">
        <v>458</v>
      </c>
      <c r="B2506">
        <v>2022</v>
      </c>
      <c r="C2506" t="s">
        <v>92</v>
      </c>
      <c r="D2506" t="s">
        <v>38</v>
      </c>
      <c r="E2506" t="s">
        <v>334</v>
      </c>
      <c r="F2506" t="s">
        <v>117</v>
      </c>
      <c r="G2506" s="5">
        <v>20713</v>
      </c>
      <c r="H2506" s="5">
        <v>20713</v>
      </c>
    </row>
    <row r="2507" spans="1:8" x14ac:dyDescent="0.25">
      <c r="A2507" t="s">
        <v>458</v>
      </c>
      <c r="B2507">
        <v>2022</v>
      </c>
      <c r="C2507" t="s">
        <v>92</v>
      </c>
      <c r="D2507" t="s">
        <v>38</v>
      </c>
      <c r="E2507" t="s">
        <v>463</v>
      </c>
      <c r="F2507" t="s">
        <v>251</v>
      </c>
      <c r="G2507" s="5">
        <v>13751</v>
      </c>
      <c r="H2507" s="5">
        <v>13751</v>
      </c>
    </row>
    <row r="2508" spans="1:8" x14ac:dyDescent="0.25">
      <c r="A2508" t="s">
        <v>458</v>
      </c>
      <c r="B2508">
        <v>2022</v>
      </c>
      <c r="C2508" t="s">
        <v>92</v>
      </c>
      <c r="D2508" t="s">
        <v>38</v>
      </c>
      <c r="E2508" t="s">
        <v>336</v>
      </c>
      <c r="F2508" t="s">
        <v>119</v>
      </c>
      <c r="G2508" s="5">
        <v>12577</v>
      </c>
      <c r="H2508" s="5">
        <v>12577</v>
      </c>
    </row>
    <row r="2509" spans="1:8" x14ac:dyDescent="0.25">
      <c r="A2509" t="s">
        <v>458</v>
      </c>
      <c r="B2509">
        <v>2022</v>
      </c>
      <c r="C2509" t="s">
        <v>35</v>
      </c>
      <c r="D2509" t="s">
        <v>35</v>
      </c>
      <c r="E2509" t="s">
        <v>343</v>
      </c>
      <c r="F2509" t="s">
        <v>126</v>
      </c>
      <c r="G2509" s="5">
        <v>6847394910</v>
      </c>
      <c r="H2509" s="5">
        <v>6948949423</v>
      </c>
    </row>
    <row r="2510" spans="1:8" x14ac:dyDescent="0.25">
      <c r="A2510" t="s">
        <v>458</v>
      </c>
      <c r="B2510">
        <v>2022</v>
      </c>
      <c r="C2510" t="s">
        <v>35</v>
      </c>
      <c r="D2510" t="s">
        <v>35</v>
      </c>
      <c r="E2510" t="s">
        <v>354</v>
      </c>
      <c r="F2510" t="s">
        <v>137</v>
      </c>
      <c r="G2510" s="5">
        <v>746599925</v>
      </c>
      <c r="H2510" s="5">
        <v>746601914</v>
      </c>
    </row>
    <row r="2511" spans="1:8" x14ac:dyDescent="0.25">
      <c r="A2511" t="s">
        <v>458</v>
      </c>
      <c r="B2511">
        <v>2022</v>
      </c>
      <c r="C2511" t="s">
        <v>35</v>
      </c>
      <c r="D2511" t="s">
        <v>35</v>
      </c>
      <c r="E2511" t="s">
        <v>348</v>
      </c>
      <c r="F2511" t="s">
        <v>131</v>
      </c>
      <c r="G2511" s="5">
        <v>526557676</v>
      </c>
      <c r="H2511" s="5">
        <v>1035584507</v>
      </c>
    </row>
    <row r="2512" spans="1:8" x14ac:dyDescent="0.25">
      <c r="A2512" t="s">
        <v>458</v>
      </c>
      <c r="B2512">
        <v>2022</v>
      </c>
      <c r="C2512" t="s">
        <v>35</v>
      </c>
      <c r="D2512" t="s">
        <v>35</v>
      </c>
      <c r="E2512" t="s">
        <v>345</v>
      </c>
      <c r="F2512" t="s">
        <v>128</v>
      </c>
      <c r="G2512" s="5">
        <v>515622778</v>
      </c>
      <c r="H2512" s="5">
        <v>520905669</v>
      </c>
    </row>
    <row r="2513" spans="1:8" x14ac:dyDescent="0.25">
      <c r="A2513" t="s">
        <v>458</v>
      </c>
      <c r="B2513">
        <v>2022</v>
      </c>
      <c r="C2513" t="s">
        <v>35</v>
      </c>
      <c r="D2513" t="s">
        <v>35</v>
      </c>
      <c r="E2513" t="s">
        <v>352</v>
      </c>
      <c r="F2513" t="s">
        <v>135</v>
      </c>
      <c r="G2513" s="5">
        <v>376439576</v>
      </c>
      <c r="H2513" s="5">
        <v>376765163</v>
      </c>
    </row>
    <row r="2514" spans="1:8" x14ac:dyDescent="0.25">
      <c r="A2514" t="s">
        <v>458</v>
      </c>
      <c r="B2514">
        <v>2022</v>
      </c>
      <c r="C2514" t="s">
        <v>35</v>
      </c>
      <c r="D2514" t="s">
        <v>35</v>
      </c>
      <c r="E2514" t="s">
        <v>356</v>
      </c>
      <c r="F2514" t="s">
        <v>139</v>
      </c>
      <c r="G2514" s="5">
        <v>342980992</v>
      </c>
      <c r="H2514" s="5">
        <v>344892567</v>
      </c>
    </row>
    <row r="2515" spans="1:8" x14ac:dyDescent="0.25">
      <c r="A2515" t="s">
        <v>458</v>
      </c>
      <c r="B2515">
        <v>2022</v>
      </c>
      <c r="C2515" t="s">
        <v>35</v>
      </c>
      <c r="D2515" t="s">
        <v>35</v>
      </c>
      <c r="E2515" t="s">
        <v>344</v>
      </c>
      <c r="F2515" t="s">
        <v>127</v>
      </c>
      <c r="G2515" s="5">
        <v>327326226</v>
      </c>
      <c r="H2515" s="5">
        <v>327408474</v>
      </c>
    </row>
    <row r="2516" spans="1:8" x14ac:dyDescent="0.25">
      <c r="A2516" t="s">
        <v>458</v>
      </c>
      <c r="B2516">
        <v>2022</v>
      </c>
      <c r="C2516" t="s">
        <v>35</v>
      </c>
      <c r="D2516" t="s">
        <v>35</v>
      </c>
      <c r="E2516" t="s">
        <v>353</v>
      </c>
      <c r="F2516" t="s">
        <v>136</v>
      </c>
      <c r="G2516" s="5">
        <v>257755664</v>
      </c>
      <c r="H2516" s="5">
        <v>257755664</v>
      </c>
    </row>
    <row r="2517" spans="1:8" x14ac:dyDescent="0.25">
      <c r="A2517" t="s">
        <v>458</v>
      </c>
      <c r="B2517">
        <v>2022</v>
      </c>
      <c r="C2517" t="s">
        <v>35</v>
      </c>
      <c r="D2517" t="s">
        <v>35</v>
      </c>
      <c r="E2517" t="s">
        <v>360</v>
      </c>
      <c r="F2517" t="s">
        <v>143</v>
      </c>
      <c r="G2517" s="5">
        <v>218174066</v>
      </c>
      <c r="H2517" s="5">
        <v>218174066</v>
      </c>
    </row>
    <row r="2518" spans="1:8" x14ac:dyDescent="0.25">
      <c r="A2518" t="s">
        <v>458</v>
      </c>
      <c r="B2518">
        <v>2022</v>
      </c>
      <c r="C2518" t="s">
        <v>35</v>
      </c>
      <c r="D2518" t="s">
        <v>35</v>
      </c>
      <c r="E2518" t="s">
        <v>362</v>
      </c>
      <c r="F2518" t="s">
        <v>145</v>
      </c>
      <c r="G2518" s="5">
        <v>112751794</v>
      </c>
      <c r="H2518" s="5">
        <v>741850498</v>
      </c>
    </row>
    <row r="2519" spans="1:8" x14ac:dyDescent="0.25">
      <c r="A2519" t="s">
        <v>458</v>
      </c>
      <c r="B2519">
        <v>2022</v>
      </c>
      <c r="C2519" t="s">
        <v>35</v>
      </c>
      <c r="D2519" t="s">
        <v>35</v>
      </c>
      <c r="E2519" t="s">
        <v>349</v>
      </c>
      <c r="F2519" t="s">
        <v>132</v>
      </c>
      <c r="G2519" s="5">
        <v>104038048</v>
      </c>
      <c r="H2519" s="5">
        <v>254004099</v>
      </c>
    </row>
    <row r="2520" spans="1:8" x14ac:dyDescent="0.25">
      <c r="A2520" t="s">
        <v>458</v>
      </c>
      <c r="B2520">
        <v>2022</v>
      </c>
      <c r="C2520" t="s">
        <v>35</v>
      </c>
      <c r="D2520" t="s">
        <v>35</v>
      </c>
      <c r="E2520" t="s">
        <v>347</v>
      </c>
      <c r="F2520" t="s">
        <v>130</v>
      </c>
      <c r="G2520" s="5">
        <v>93417651</v>
      </c>
      <c r="H2520" s="5">
        <v>99507575</v>
      </c>
    </row>
    <row r="2521" spans="1:8" x14ac:dyDescent="0.25">
      <c r="A2521" t="s">
        <v>458</v>
      </c>
      <c r="B2521">
        <v>2022</v>
      </c>
      <c r="C2521" t="s">
        <v>35</v>
      </c>
      <c r="D2521" t="s">
        <v>35</v>
      </c>
      <c r="E2521" t="s">
        <v>355</v>
      </c>
      <c r="F2521" t="s">
        <v>138</v>
      </c>
      <c r="G2521" s="5">
        <v>86259981</v>
      </c>
      <c r="H2521" s="5">
        <v>86322604</v>
      </c>
    </row>
    <row r="2522" spans="1:8" x14ac:dyDescent="0.25">
      <c r="A2522" t="s">
        <v>458</v>
      </c>
      <c r="B2522">
        <v>2022</v>
      </c>
      <c r="C2522" t="s">
        <v>35</v>
      </c>
      <c r="D2522" t="s">
        <v>35</v>
      </c>
      <c r="E2522" t="s">
        <v>346</v>
      </c>
      <c r="F2522" t="s">
        <v>129</v>
      </c>
      <c r="G2522" s="5">
        <v>65426762</v>
      </c>
      <c r="H2522" s="5">
        <v>1021313192</v>
      </c>
    </row>
    <row r="2523" spans="1:8" x14ac:dyDescent="0.25">
      <c r="A2523" t="s">
        <v>458</v>
      </c>
      <c r="B2523">
        <v>2022</v>
      </c>
      <c r="C2523" t="s">
        <v>35</v>
      </c>
      <c r="D2523" t="s">
        <v>35</v>
      </c>
      <c r="E2523" t="s">
        <v>357</v>
      </c>
      <c r="F2523" t="s">
        <v>140</v>
      </c>
      <c r="G2523" s="5">
        <v>48247973</v>
      </c>
      <c r="H2523" s="5">
        <v>48299416</v>
      </c>
    </row>
    <row r="2524" spans="1:8" x14ac:dyDescent="0.25">
      <c r="A2524" t="s">
        <v>458</v>
      </c>
      <c r="B2524">
        <v>2022</v>
      </c>
      <c r="C2524" t="s">
        <v>35</v>
      </c>
      <c r="D2524" t="s">
        <v>35</v>
      </c>
      <c r="E2524" t="s">
        <v>383</v>
      </c>
      <c r="F2524" t="s">
        <v>167</v>
      </c>
      <c r="G2524" s="5">
        <v>46963244</v>
      </c>
      <c r="H2524" s="5">
        <v>46963244</v>
      </c>
    </row>
    <row r="2525" spans="1:8" x14ac:dyDescent="0.25">
      <c r="A2525" t="s">
        <v>458</v>
      </c>
      <c r="B2525">
        <v>2022</v>
      </c>
      <c r="C2525" t="s">
        <v>35</v>
      </c>
      <c r="D2525" t="s">
        <v>35</v>
      </c>
      <c r="E2525" t="s">
        <v>351</v>
      </c>
      <c r="F2525" t="s">
        <v>134</v>
      </c>
      <c r="G2525" s="5">
        <v>43480409</v>
      </c>
      <c r="H2525" s="5">
        <v>58190981</v>
      </c>
    </row>
    <row r="2526" spans="1:8" x14ac:dyDescent="0.25">
      <c r="A2526" t="s">
        <v>458</v>
      </c>
      <c r="B2526">
        <v>2022</v>
      </c>
      <c r="C2526" t="s">
        <v>35</v>
      </c>
      <c r="D2526" t="s">
        <v>35</v>
      </c>
      <c r="E2526" t="s">
        <v>366</v>
      </c>
      <c r="F2526" t="s">
        <v>149</v>
      </c>
      <c r="G2526" s="5">
        <v>36239917</v>
      </c>
      <c r="H2526" s="5">
        <v>36272218</v>
      </c>
    </row>
    <row r="2527" spans="1:8" x14ac:dyDescent="0.25">
      <c r="A2527" t="s">
        <v>458</v>
      </c>
      <c r="B2527">
        <v>2022</v>
      </c>
      <c r="C2527" t="s">
        <v>35</v>
      </c>
      <c r="D2527" t="s">
        <v>35</v>
      </c>
      <c r="E2527" t="s">
        <v>350</v>
      </c>
      <c r="F2527" t="s">
        <v>133</v>
      </c>
      <c r="G2527" s="5">
        <v>33544160</v>
      </c>
      <c r="H2527" s="5">
        <v>33544410</v>
      </c>
    </row>
    <row r="2528" spans="1:8" x14ac:dyDescent="0.25">
      <c r="A2528" t="s">
        <v>458</v>
      </c>
      <c r="B2528">
        <v>2022</v>
      </c>
      <c r="C2528" t="s">
        <v>35</v>
      </c>
      <c r="D2528" t="s">
        <v>35</v>
      </c>
      <c r="E2528" t="s">
        <v>367</v>
      </c>
      <c r="F2528" t="s">
        <v>150</v>
      </c>
      <c r="G2528" s="5">
        <v>30389157</v>
      </c>
      <c r="H2528" s="5">
        <v>30389157</v>
      </c>
    </row>
    <row r="2529" spans="1:8" x14ac:dyDescent="0.25">
      <c r="A2529" t="s">
        <v>458</v>
      </c>
      <c r="B2529">
        <v>2022</v>
      </c>
      <c r="C2529" t="s">
        <v>35</v>
      </c>
      <c r="D2529" t="s">
        <v>35</v>
      </c>
      <c r="E2529" t="s">
        <v>379</v>
      </c>
      <c r="F2529" t="s">
        <v>163</v>
      </c>
      <c r="G2529" s="5">
        <v>24536856</v>
      </c>
      <c r="H2529" s="5">
        <v>24536856</v>
      </c>
    </row>
    <row r="2530" spans="1:8" x14ac:dyDescent="0.25">
      <c r="A2530" t="s">
        <v>458</v>
      </c>
      <c r="B2530">
        <v>2022</v>
      </c>
      <c r="C2530" t="s">
        <v>35</v>
      </c>
      <c r="D2530" t="s">
        <v>35</v>
      </c>
      <c r="E2530" t="s">
        <v>381</v>
      </c>
      <c r="F2530" t="s">
        <v>165</v>
      </c>
      <c r="G2530" s="5">
        <v>7245426</v>
      </c>
      <c r="H2530" s="5">
        <v>7277852</v>
      </c>
    </row>
    <row r="2531" spans="1:8" x14ac:dyDescent="0.25">
      <c r="A2531" t="s">
        <v>458</v>
      </c>
      <c r="B2531">
        <v>2022</v>
      </c>
      <c r="C2531" t="s">
        <v>35</v>
      </c>
      <c r="D2531" t="s">
        <v>35</v>
      </c>
      <c r="E2531" t="s">
        <v>378</v>
      </c>
      <c r="F2531" t="s">
        <v>162</v>
      </c>
      <c r="G2531" s="5">
        <v>3306950</v>
      </c>
      <c r="H2531" s="5">
        <v>3306950</v>
      </c>
    </row>
    <row r="2532" spans="1:8" x14ac:dyDescent="0.25">
      <c r="A2532" t="s">
        <v>458</v>
      </c>
      <c r="B2532">
        <v>2022</v>
      </c>
      <c r="C2532" t="s">
        <v>35</v>
      </c>
      <c r="D2532" t="s">
        <v>35</v>
      </c>
      <c r="E2532" t="s">
        <v>359</v>
      </c>
      <c r="F2532" t="s">
        <v>142</v>
      </c>
      <c r="G2532" s="5">
        <v>3153000</v>
      </c>
      <c r="H2532" s="5">
        <v>3264039</v>
      </c>
    </row>
    <row r="2533" spans="1:8" x14ac:dyDescent="0.25">
      <c r="A2533" t="s">
        <v>458</v>
      </c>
      <c r="B2533">
        <v>2022</v>
      </c>
      <c r="C2533" t="s">
        <v>35</v>
      </c>
      <c r="D2533" t="s">
        <v>35</v>
      </c>
      <c r="E2533" t="s">
        <v>361</v>
      </c>
      <c r="F2533" t="s">
        <v>144</v>
      </c>
      <c r="G2533" s="5">
        <v>3131209</v>
      </c>
      <c r="H2533" s="5">
        <v>3135212</v>
      </c>
    </row>
    <row r="2534" spans="1:8" x14ac:dyDescent="0.25">
      <c r="A2534" t="s">
        <v>458</v>
      </c>
      <c r="B2534">
        <v>2022</v>
      </c>
      <c r="C2534" t="s">
        <v>35</v>
      </c>
      <c r="D2534" t="s">
        <v>35</v>
      </c>
      <c r="E2534" t="s">
        <v>382</v>
      </c>
      <c r="F2534" t="s">
        <v>166</v>
      </c>
      <c r="G2534" s="5">
        <v>2890491</v>
      </c>
      <c r="H2534" s="5">
        <v>2931795</v>
      </c>
    </row>
    <row r="2535" spans="1:8" x14ac:dyDescent="0.25">
      <c r="A2535" t="s">
        <v>458</v>
      </c>
      <c r="B2535">
        <v>2022</v>
      </c>
      <c r="C2535" t="s">
        <v>35</v>
      </c>
      <c r="D2535" t="s">
        <v>35</v>
      </c>
      <c r="E2535" t="s">
        <v>380</v>
      </c>
      <c r="F2535" t="s">
        <v>164</v>
      </c>
      <c r="G2535" s="5">
        <v>2420834</v>
      </c>
      <c r="H2535" s="5">
        <v>2420834</v>
      </c>
    </row>
    <row r="2536" spans="1:8" x14ac:dyDescent="0.25">
      <c r="A2536" t="s">
        <v>458</v>
      </c>
      <c r="B2536">
        <v>2022</v>
      </c>
      <c r="C2536" t="s">
        <v>35</v>
      </c>
      <c r="D2536" t="s">
        <v>35</v>
      </c>
      <c r="E2536" t="s">
        <v>370</v>
      </c>
      <c r="F2536" t="s">
        <v>153</v>
      </c>
      <c r="G2536" s="5">
        <v>2370321</v>
      </c>
      <c r="H2536" s="5">
        <v>2370546</v>
      </c>
    </row>
    <row r="2537" spans="1:8" x14ac:dyDescent="0.25">
      <c r="A2537" t="s">
        <v>458</v>
      </c>
      <c r="B2537">
        <v>2022</v>
      </c>
      <c r="C2537" t="s">
        <v>35</v>
      </c>
      <c r="D2537" t="s">
        <v>35</v>
      </c>
      <c r="E2537" t="s">
        <v>364</v>
      </c>
      <c r="F2537" t="s">
        <v>147</v>
      </c>
      <c r="G2537" s="5">
        <v>1431593</v>
      </c>
      <c r="H2537" s="5">
        <v>1572999</v>
      </c>
    </row>
    <row r="2538" spans="1:8" x14ac:dyDescent="0.25">
      <c r="A2538" t="s">
        <v>458</v>
      </c>
      <c r="B2538">
        <v>2022</v>
      </c>
      <c r="C2538" t="s">
        <v>35</v>
      </c>
      <c r="D2538" t="s">
        <v>35</v>
      </c>
      <c r="E2538" t="s">
        <v>377</v>
      </c>
      <c r="F2538" t="s">
        <v>160</v>
      </c>
      <c r="G2538" s="5">
        <v>1244242</v>
      </c>
      <c r="H2538" s="5">
        <v>1248693</v>
      </c>
    </row>
    <row r="2539" spans="1:8" x14ac:dyDescent="0.25">
      <c r="A2539" t="s">
        <v>458</v>
      </c>
      <c r="B2539">
        <v>2022</v>
      </c>
      <c r="C2539" t="s">
        <v>35</v>
      </c>
      <c r="D2539" t="s">
        <v>35</v>
      </c>
      <c r="E2539" t="s">
        <v>371</v>
      </c>
      <c r="F2539" t="s">
        <v>154</v>
      </c>
      <c r="G2539" s="5">
        <v>1084908</v>
      </c>
      <c r="H2539" s="5">
        <v>1792023813</v>
      </c>
    </row>
    <row r="2540" spans="1:8" x14ac:dyDescent="0.25">
      <c r="A2540" t="s">
        <v>458</v>
      </c>
      <c r="B2540">
        <v>2022</v>
      </c>
      <c r="C2540" t="s">
        <v>35</v>
      </c>
      <c r="D2540" t="s">
        <v>35</v>
      </c>
      <c r="E2540" t="s">
        <v>372</v>
      </c>
      <c r="F2540" t="s">
        <v>155</v>
      </c>
      <c r="G2540" s="5">
        <v>1002446</v>
      </c>
      <c r="H2540" s="5">
        <v>1002446</v>
      </c>
    </row>
    <row r="2541" spans="1:8" x14ac:dyDescent="0.25">
      <c r="A2541" t="s">
        <v>458</v>
      </c>
      <c r="B2541">
        <v>2022</v>
      </c>
      <c r="C2541" t="s">
        <v>35</v>
      </c>
      <c r="D2541" t="s">
        <v>35</v>
      </c>
      <c r="E2541" t="s">
        <v>376</v>
      </c>
      <c r="F2541" t="s">
        <v>159</v>
      </c>
      <c r="G2541" s="5">
        <v>517549</v>
      </c>
      <c r="H2541" s="5">
        <v>518399</v>
      </c>
    </row>
    <row r="2542" spans="1:8" x14ac:dyDescent="0.25">
      <c r="A2542" t="s">
        <v>458</v>
      </c>
      <c r="B2542">
        <v>2022</v>
      </c>
      <c r="C2542" t="s">
        <v>35</v>
      </c>
      <c r="D2542" t="s">
        <v>35</v>
      </c>
      <c r="F2542" t="s">
        <v>161</v>
      </c>
      <c r="G2542" s="5">
        <v>413648</v>
      </c>
      <c r="H2542" s="5">
        <v>860198</v>
      </c>
    </row>
    <row r="2543" spans="1:8" x14ac:dyDescent="0.25">
      <c r="A2543" t="s">
        <v>458</v>
      </c>
      <c r="B2543">
        <v>2022</v>
      </c>
      <c r="C2543" t="s">
        <v>35</v>
      </c>
      <c r="D2543" t="s">
        <v>35</v>
      </c>
      <c r="E2543" t="s">
        <v>365</v>
      </c>
      <c r="F2543" t="s">
        <v>148</v>
      </c>
      <c r="G2543" s="5">
        <v>346327</v>
      </c>
      <c r="H2543" s="5">
        <v>346327</v>
      </c>
    </row>
    <row r="2544" spans="1:8" x14ac:dyDescent="0.25">
      <c r="A2544" t="s">
        <v>458</v>
      </c>
      <c r="B2544">
        <v>2022</v>
      </c>
      <c r="C2544" t="s">
        <v>35</v>
      </c>
      <c r="D2544" t="s">
        <v>35</v>
      </c>
      <c r="E2544" t="s">
        <v>358</v>
      </c>
      <c r="F2544" t="s">
        <v>141</v>
      </c>
      <c r="G2544" s="5">
        <v>290590</v>
      </c>
      <c r="H2544" s="5">
        <v>294390</v>
      </c>
    </row>
    <row r="2545" spans="1:8" x14ac:dyDescent="0.25">
      <c r="A2545" t="s">
        <v>458</v>
      </c>
      <c r="B2545">
        <v>2022</v>
      </c>
      <c r="C2545" t="s">
        <v>35</v>
      </c>
      <c r="D2545" t="s">
        <v>35</v>
      </c>
      <c r="E2545" t="s">
        <v>363</v>
      </c>
      <c r="F2545" t="s">
        <v>146</v>
      </c>
      <c r="G2545" s="5">
        <v>241038</v>
      </c>
      <c r="H2545" s="5">
        <v>1809003936</v>
      </c>
    </row>
    <row r="2546" spans="1:8" x14ac:dyDescent="0.25">
      <c r="A2546" t="s">
        <v>458</v>
      </c>
      <c r="B2546">
        <v>2022</v>
      </c>
      <c r="C2546" t="s">
        <v>35</v>
      </c>
      <c r="D2546" t="s">
        <v>35</v>
      </c>
      <c r="E2546" t="s">
        <v>384</v>
      </c>
      <c r="F2546" t="s">
        <v>168</v>
      </c>
      <c r="G2546" s="5">
        <v>221587</v>
      </c>
      <c r="H2546" s="5">
        <v>221587</v>
      </c>
    </row>
    <row r="2547" spans="1:8" x14ac:dyDescent="0.25">
      <c r="A2547" t="s">
        <v>458</v>
      </c>
      <c r="B2547">
        <v>2022</v>
      </c>
      <c r="C2547" t="s">
        <v>35</v>
      </c>
      <c r="D2547" t="s">
        <v>35</v>
      </c>
      <c r="E2547" t="s">
        <v>385</v>
      </c>
      <c r="F2547" t="s">
        <v>169</v>
      </c>
      <c r="G2547" s="5">
        <v>199264</v>
      </c>
      <c r="H2547" s="5">
        <v>233236</v>
      </c>
    </row>
    <row r="2548" spans="1:8" x14ac:dyDescent="0.25">
      <c r="A2548" t="s">
        <v>458</v>
      </c>
      <c r="B2548">
        <v>2022</v>
      </c>
      <c r="C2548" t="s">
        <v>35</v>
      </c>
      <c r="D2548" t="s">
        <v>35</v>
      </c>
      <c r="E2548" t="s">
        <v>375</v>
      </c>
      <c r="F2548" t="s">
        <v>158</v>
      </c>
      <c r="G2548" s="5">
        <v>51514</v>
      </c>
      <c r="H2548" s="5">
        <v>51514</v>
      </c>
    </row>
    <row r="2549" spans="1:8" x14ac:dyDescent="0.25">
      <c r="A2549" t="s">
        <v>458</v>
      </c>
      <c r="B2549">
        <v>2022</v>
      </c>
      <c r="C2549" t="s">
        <v>35</v>
      </c>
      <c r="D2549" t="s">
        <v>35</v>
      </c>
      <c r="E2549" t="s">
        <v>374</v>
      </c>
      <c r="F2549" t="s">
        <v>157</v>
      </c>
      <c r="G2549" s="5">
        <v>16309</v>
      </c>
      <c r="H2549" s="5">
        <v>16553155</v>
      </c>
    </row>
    <row r="2550" spans="1:8" x14ac:dyDescent="0.25">
      <c r="A2550" t="s">
        <v>458</v>
      </c>
      <c r="B2550">
        <v>2022</v>
      </c>
      <c r="C2550" t="s">
        <v>35</v>
      </c>
      <c r="D2550" t="s">
        <v>35</v>
      </c>
      <c r="E2550" t="s">
        <v>387</v>
      </c>
      <c r="F2550" t="s">
        <v>171</v>
      </c>
      <c r="G2550" s="5">
        <v>13322</v>
      </c>
      <c r="H2550" s="5">
        <v>13322</v>
      </c>
    </row>
    <row r="2551" spans="1:8" x14ac:dyDescent="0.25">
      <c r="A2551" t="s">
        <v>458</v>
      </c>
      <c r="B2551">
        <v>2022</v>
      </c>
      <c r="C2551" t="s">
        <v>172</v>
      </c>
      <c r="D2551" t="s">
        <v>34</v>
      </c>
      <c r="E2551" t="s">
        <v>388</v>
      </c>
      <c r="F2551" t="s">
        <v>173</v>
      </c>
      <c r="G2551" s="5">
        <v>13068073822</v>
      </c>
      <c r="H2551" s="5">
        <v>13361161301</v>
      </c>
    </row>
    <row r="2552" spans="1:8" x14ac:dyDescent="0.25">
      <c r="A2552" t="s">
        <v>458</v>
      </c>
      <c r="B2552">
        <v>2022</v>
      </c>
      <c r="C2552" t="s">
        <v>172</v>
      </c>
      <c r="D2552" t="s">
        <v>34</v>
      </c>
      <c r="E2552" t="s">
        <v>391</v>
      </c>
      <c r="F2552" t="s">
        <v>176</v>
      </c>
      <c r="G2552" s="5">
        <v>2856516105</v>
      </c>
      <c r="H2552" s="5">
        <v>3434335656</v>
      </c>
    </row>
    <row r="2553" spans="1:8" x14ac:dyDescent="0.25">
      <c r="A2553" t="s">
        <v>458</v>
      </c>
      <c r="B2553">
        <v>2022</v>
      </c>
      <c r="C2553" t="s">
        <v>172</v>
      </c>
      <c r="D2553" t="s">
        <v>34</v>
      </c>
      <c r="E2553" t="s">
        <v>390</v>
      </c>
      <c r="F2553" t="s">
        <v>175</v>
      </c>
      <c r="G2553" s="5">
        <v>2627981817</v>
      </c>
      <c r="H2553" s="5">
        <v>2722850283</v>
      </c>
    </row>
    <row r="2554" spans="1:8" x14ac:dyDescent="0.25">
      <c r="A2554" t="s">
        <v>458</v>
      </c>
      <c r="B2554">
        <v>2022</v>
      </c>
      <c r="C2554" t="s">
        <v>172</v>
      </c>
      <c r="D2554" t="s">
        <v>34</v>
      </c>
      <c r="E2554" t="s">
        <v>392</v>
      </c>
      <c r="F2554" t="s">
        <v>178</v>
      </c>
      <c r="G2554" s="5">
        <v>1293059170</v>
      </c>
      <c r="H2554" s="5">
        <v>1331788303</v>
      </c>
    </row>
    <row r="2555" spans="1:8" x14ac:dyDescent="0.25">
      <c r="A2555" t="s">
        <v>458</v>
      </c>
      <c r="B2555">
        <v>2022</v>
      </c>
      <c r="C2555" t="s">
        <v>172</v>
      </c>
      <c r="D2555" t="s">
        <v>34</v>
      </c>
      <c r="E2555" t="s">
        <v>389</v>
      </c>
      <c r="F2555" t="s">
        <v>174</v>
      </c>
      <c r="G2555" s="5">
        <v>1177631462</v>
      </c>
      <c r="H2555" s="5">
        <v>1181874769</v>
      </c>
    </row>
    <row r="2556" spans="1:8" x14ac:dyDescent="0.25">
      <c r="A2556" t="s">
        <v>458</v>
      </c>
      <c r="B2556">
        <v>2022</v>
      </c>
      <c r="C2556" t="s">
        <v>172</v>
      </c>
      <c r="D2556" t="s">
        <v>34</v>
      </c>
      <c r="E2556" t="s">
        <v>394</v>
      </c>
      <c r="F2556" t="s">
        <v>180</v>
      </c>
      <c r="G2556" s="5">
        <v>904694277</v>
      </c>
      <c r="H2556" s="5">
        <v>929792988</v>
      </c>
    </row>
    <row r="2557" spans="1:8" x14ac:dyDescent="0.25">
      <c r="A2557" t="s">
        <v>458</v>
      </c>
      <c r="B2557">
        <v>2022</v>
      </c>
      <c r="C2557" t="s">
        <v>172</v>
      </c>
      <c r="D2557" t="s">
        <v>34</v>
      </c>
      <c r="E2557" t="s">
        <v>395</v>
      </c>
      <c r="F2557" t="s">
        <v>181</v>
      </c>
      <c r="G2557" s="5">
        <v>753861945</v>
      </c>
      <c r="H2557" s="5">
        <v>883002904</v>
      </c>
    </row>
    <row r="2558" spans="1:8" x14ac:dyDescent="0.25">
      <c r="A2558" t="s">
        <v>458</v>
      </c>
      <c r="B2558">
        <v>2022</v>
      </c>
      <c r="C2558" t="s">
        <v>172</v>
      </c>
      <c r="D2558" t="s">
        <v>34</v>
      </c>
      <c r="E2558" t="s">
        <v>396</v>
      </c>
      <c r="F2558" t="s">
        <v>183</v>
      </c>
      <c r="G2558" s="5">
        <v>710828596</v>
      </c>
      <c r="H2558" s="5">
        <v>712832810</v>
      </c>
    </row>
    <row r="2559" spans="1:8" x14ac:dyDescent="0.25">
      <c r="A2559" t="s">
        <v>458</v>
      </c>
      <c r="B2559">
        <v>2022</v>
      </c>
      <c r="C2559" t="s">
        <v>172</v>
      </c>
      <c r="D2559" t="s">
        <v>34</v>
      </c>
      <c r="E2559" t="s">
        <v>393</v>
      </c>
      <c r="F2559" t="s">
        <v>179</v>
      </c>
      <c r="G2559" s="5">
        <v>675636563</v>
      </c>
      <c r="H2559" s="5">
        <v>675895429</v>
      </c>
    </row>
    <row r="2560" spans="1:8" x14ac:dyDescent="0.25">
      <c r="A2560" t="s">
        <v>458</v>
      </c>
      <c r="B2560">
        <v>2022</v>
      </c>
      <c r="C2560" t="s">
        <v>172</v>
      </c>
      <c r="D2560" t="s">
        <v>34</v>
      </c>
      <c r="E2560" t="s">
        <v>400</v>
      </c>
      <c r="F2560" t="s">
        <v>189</v>
      </c>
      <c r="G2560" s="5">
        <v>464013263</v>
      </c>
      <c r="H2560" s="5">
        <v>464069616</v>
      </c>
    </row>
    <row r="2561" spans="1:8" x14ac:dyDescent="0.25">
      <c r="A2561" t="s">
        <v>458</v>
      </c>
      <c r="B2561">
        <v>2022</v>
      </c>
      <c r="C2561" t="s">
        <v>172</v>
      </c>
      <c r="D2561" t="s">
        <v>34</v>
      </c>
      <c r="E2561" t="s">
        <v>397</v>
      </c>
      <c r="F2561" t="s">
        <v>184</v>
      </c>
      <c r="G2561" s="5">
        <v>456252798</v>
      </c>
      <c r="H2561" s="5">
        <v>467300565</v>
      </c>
    </row>
    <row r="2562" spans="1:8" x14ac:dyDescent="0.25">
      <c r="A2562" t="s">
        <v>458</v>
      </c>
      <c r="B2562">
        <v>2022</v>
      </c>
      <c r="C2562" t="s">
        <v>172</v>
      </c>
      <c r="D2562" t="s">
        <v>34</v>
      </c>
      <c r="E2562" t="s">
        <v>399</v>
      </c>
      <c r="F2562" t="s">
        <v>187</v>
      </c>
      <c r="G2562" s="5">
        <v>418634546</v>
      </c>
      <c r="H2562" s="5">
        <v>418644848</v>
      </c>
    </row>
    <row r="2563" spans="1:8" x14ac:dyDescent="0.25">
      <c r="A2563" t="s">
        <v>458</v>
      </c>
      <c r="B2563">
        <v>2022</v>
      </c>
      <c r="C2563" t="s">
        <v>172</v>
      </c>
      <c r="D2563" t="s">
        <v>34</v>
      </c>
      <c r="E2563" t="s">
        <v>398</v>
      </c>
      <c r="F2563" t="s">
        <v>186</v>
      </c>
      <c r="G2563" s="5">
        <v>316227349</v>
      </c>
      <c r="H2563" s="5">
        <v>316395910</v>
      </c>
    </row>
    <row r="2564" spans="1:8" x14ac:dyDescent="0.25">
      <c r="A2564" t="s">
        <v>458</v>
      </c>
      <c r="B2564">
        <v>2022</v>
      </c>
      <c r="C2564" t="s">
        <v>172</v>
      </c>
      <c r="D2564" t="s">
        <v>34</v>
      </c>
      <c r="E2564" t="s">
        <v>403</v>
      </c>
      <c r="F2564" t="s">
        <v>192</v>
      </c>
      <c r="G2564" s="5">
        <v>236626153</v>
      </c>
      <c r="H2564" s="5">
        <v>237297069</v>
      </c>
    </row>
    <row r="2565" spans="1:8" x14ac:dyDescent="0.25">
      <c r="A2565" t="s">
        <v>458</v>
      </c>
      <c r="B2565">
        <v>2022</v>
      </c>
      <c r="C2565" t="s">
        <v>172</v>
      </c>
      <c r="D2565" t="s">
        <v>34</v>
      </c>
      <c r="E2565" t="s">
        <v>402</v>
      </c>
      <c r="F2565" t="s">
        <v>191</v>
      </c>
      <c r="G2565" s="5">
        <v>233756683</v>
      </c>
      <c r="H2565" s="5">
        <v>239997143</v>
      </c>
    </row>
    <row r="2566" spans="1:8" x14ac:dyDescent="0.25">
      <c r="A2566" t="s">
        <v>458</v>
      </c>
      <c r="B2566">
        <v>2022</v>
      </c>
      <c r="C2566" t="s">
        <v>172</v>
      </c>
      <c r="D2566" t="s">
        <v>34</v>
      </c>
      <c r="E2566" t="s">
        <v>405</v>
      </c>
      <c r="F2566" t="s">
        <v>194</v>
      </c>
      <c r="G2566" s="5">
        <v>179695160</v>
      </c>
      <c r="H2566" s="5">
        <v>179716237</v>
      </c>
    </row>
    <row r="2567" spans="1:8" x14ac:dyDescent="0.25">
      <c r="A2567" t="s">
        <v>458</v>
      </c>
      <c r="B2567">
        <v>2022</v>
      </c>
      <c r="C2567" t="s">
        <v>172</v>
      </c>
      <c r="D2567" t="s">
        <v>34</v>
      </c>
      <c r="E2567" t="s">
        <v>401</v>
      </c>
      <c r="F2567" t="s">
        <v>190</v>
      </c>
      <c r="G2567" s="5">
        <v>158666893</v>
      </c>
      <c r="H2567" s="5">
        <v>158725094</v>
      </c>
    </row>
    <row r="2568" spans="1:8" x14ac:dyDescent="0.25">
      <c r="A2568" t="s">
        <v>458</v>
      </c>
      <c r="B2568">
        <v>2022</v>
      </c>
      <c r="C2568" t="s">
        <v>172</v>
      </c>
      <c r="D2568" t="s">
        <v>34</v>
      </c>
      <c r="E2568" t="s">
        <v>404</v>
      </c>
      <c r="F2568" t="s">
        <v>193</v>
      </c>
      <c r="G2568" s="5">
        <v>121334321</v>
      </c>
      <c r="H2568" s="5">
        <v>121718486</v>
      </c>
    </row>
    <row r="2569" spans="1:8" x14ac:dyDescent="0.25">
      <c r="A2569" t="s">
        <v>458</v>
      </c>
      <c r="B2569">
        <v>2022</v>
      </c>
      <c r="C2569" t="s">
        <v>172</v>
      </c>
      <c r="D2569" t="s">
        <v>34</v>
      </c>
      <c r="E2569" t="s">
        <v>406</v>
      </c>
      <c r="F2569" t="s">
        <v>195</v>
      </c>
      <c r="G2569" s="5">
        <v>61907048</v>
      </c>
      <c r="H2569" s="5">
        <v>61953907</v>
      </c>
    </row>
    <row r="2570" spans="1:8" x14ac:dyDescent="0.25">
      <c r="A2570" t="s">
        <v>458</v>
      </c>
      <c r="B2570">
        <v>2022</v>
      </c>
      <c r="C2570" t="s">
        <v>172</v>
      </c>
      <c r="D2570" t="s">
        <v>34</v>
      </c>
      <c r="E2570" t="s">
        <v>409</v>
      </c>
      <c r="F2570" t="s">
        <v>199</v>
      </c>
      <c r="G2570" s="5">
        <v>44683724</v>
      </c>
      <c r="H2570" s="5">
        <v>47084255</v>
      </c>
    </row>
    <row r="2571" spans="1:8" x14ac:dyDescent="0.25">
      <c r="A2571" t="s">
        <v>458</v>
      </c>
      <c r="B2571">
        <v>2022</v>
      </c>
      <c r="C2571" t="s">
        <v>172</v>
      </c>
      <c r="D2571" t="s">
        <v>34</v>
      </c>
      <c r="E2571" t="s">
        <v>407</v>
      </c>
      <c r="F2571" t="s">
        <v>197</v>
      </c>
      <c r="G2571" s="5">
        <v>40926879</v>
      </c>
      <c r="H2571" s="5">
        <v>48224498</v>
      </c>
    </row>
    <row r="2572" spans="1:8" x14ac:dyDescent="0.25">
      <c r="A2572" t="s">
        <v>458</v>
      </c>
      <c r="B2572">
        <v>2022</v>
      </c>
      <c r="C2572" t="s">
        <v>172</v>
      </c>
      <c r="D2572" t="s">
        <v>34</v>
      </c>
      <c r="E2572" t="s">
        <v>411</v>
      </c>
      <c r="F2572" t="s">
        <v>203</v>
      </c>
      <c r="G2572" s="5">
        <v>40297771</v>
      </c>
      <c r="H2572" s="5">
        <v>40302179</v>
      </c>
    </row>
    <row r="2573" spans="1:8" x14ac:dyDescent="0.25">
      <c r="A2573" t="s">
        <v>458</v>
      </c>
      <c r="B2573">
        <v>2022</v>
      </c>
      <c r="C2573" t="s">
        <v>172</v>
      </c>
      <c r="D2573" t="s">
        <v>34</v>
      </c>
      <c r="E2573" t="s">
        <v>408</v>
      </c>
      <c r="F2573" t="s">
        <v>198</v>
      </c>
      <c r="G2573" s="5">
        <v>29244303</v>
      </c>
      <c r="H2573" s="5">
        <v>30043582</v>
      </c>
    </row>
    <row r="2574" spans="1:8" x14ac:dyDescent="0.25">
      <c r="A2574" t="s">
        <v>458</v>
      </c>
      <c r="B2574">
        <v>2022</v>
      </c>
      <c r="C2574" t="s">
        <v>172</v>
      </c>
      <c r="D2574" t="s">
        <v>34</v>
      </c>
      <c r="E2574" t="s">
        <v>412</v>
      </c>
      <c r="F2574" t="s">
        <v>204</v>
      </c>
      <c r="G2574" s="5">
        <v>24067099</v>
      </c>
      <c r="H2574" s="5">
        <v>24226394</v>
      </c>
    </row>
    <row r="2575" spans="1:8" x14ac:dyDescent="0.25">
      <c r="A2575" t="s">
        <v>458</v>
      </c>
      <c r="B2575">
        <v>2022</v>
      </c>
      <c r="C2575" t="s">
        <v>172</v>
      </c>
      <c r="D2575" t="s">
        <v>34</v>
      </c>
      <c r="E2575" t="s">
        <v>410</v>
      </c>
      <c r="F2575" t="s">
        <v>201</v>
      </c>
      <c r="G2575" s="5">
        <v>18145614</v>
      </c>
      <c r="H2575" s="5">
        <v>18152556</v>
      </c>
    </row>
    <row r="2576" spans="1:8" x14ac:dyDescent="0.25">
      <c r="A2576" t="s">
        <v>458</v>
      </c>
      <c r="B2576">
        <v>2022</v>
      </c>
      <c r="C2576" t="s">
        <v>172</v>
      </c>
      <c r="D2576" t="s">
        <v>34</v>
      </c>
      <c r="E2576" t="s">
        <v>413</v>
      </c>
      <c r="F2576" t="s">
        <v>207</v>
      </c>
      <c r="G2576" s="5">
        <v>10524795</v>
      </c>
      <c r="H2576" s="5">
        <v>10525721</v>
      </c>
    </row>
    <row r="2577" spans="1:8" x14ac:dyDescent="0.25">
      <c r="A2577" t="s">
        <v>458</v>
      </c>
      <c r="B2577">
        <v>2022</v>
      </c>
      <c r="C2577" t="s">
        <v>172</v>
      </c>
      <c r="D2577" t="s">
        <v>34</v>
      </c>
      <c r="E2577" t="s">
        <v>414</v>
      </c>
      <c r="F2577" t="s">
        <v>209</v>
      </c>
      <c r="G2577" s="5">
        <v>1954224</v>
      </c>
      <c r="H2577" s="5">
        <v>2035455</v>
      </c>
    </row>
    <row r="2578" spans="1:8" x14ac:dyDescent="0.25">
      <c r="A2578" t="s">
        <v>458</v>
      </c>
      <c r="B2578">
        <v>2022</v>
      </c>
      <c r="C2578" t="s">
        <v>172</v>
      </c>
      <c r="D2578" t="s">
        <v>37</v>
      </c>
      <c r="E2578" t="s">
        <v>415</v>
      </c>
      <c r="F2578" t="s">
        <v>177</v>
      </c>
      <c r="G2578" s="5">
        <v>780534547</v>
      </c>
      <c r="H2578" s="5">
        <v>2376282133</v>
      </c>
    </row>
    <row r="2579" spans="1:8" x14ac:dyDescent="0.25">
      <c r="A2579" t="s">
        <v>458</v>
      </c>
      <c r="B2579">
        <v>2022</v>
      </c>
      <c r="C2579" t="s">
        <v>172</v>
      </c>
      <c r="D2579" t="s">
        <v>37</v>
      </c>
      <c r="E2579" t="s">
        <v>416</v>
      </c>
      <c r="F2579" t="s">
        <v>182</v>
      </c>
      <c r="G2579" s="5">
        <v>518145220</v>
      </c>
      <c r="H2579" s="5">
        <v>570564640</v>
      </c>
    </row>
    <row r="2580" spans="1:8" x14ac:dyDescent="0.25">
      <c r="A2580" t="s">
        <v>458</v>
      </c>
      <c r="B2580">
        <v>2022</v>
      </c>
      <c r="C2580" t="s">
        <v>172</v>
      </c>
      <c r="D2580" t="s">
        <v>37</v>
      </c>
      <c r="E2580" t="s">
        <v>418</v>
      </c>
      <c r="F2580" t="s">
        <v>188</v>
      </c>
      <c r="G2580" s="5">
        <v>92706403</v>
      </c>
      <c r="H2580" s="5">
        <v>93004715</v>
      </c>
    </row>
    <row r="2581" spans="1:8" x14ac:dyDescent="0.25">
      <c r="A2581" t="s">
        <v>458</v>
      </c>
      <c r="B2581">
        <v>2022</v>
      </c>
      <c r="C2581" t="s">
        <v>172</v>
      </c>
      <c r="D2581" t="s">
        <v>37</v>
      </c>
      <c r="E2581" t="s">
        <v>420</v>
      </c>
      <c r="F2581" t="s">
        <v>200</v>
      </c>
      <c r="G2581" s="5">
        <v>57895007</v>
      </c>
      <c r="H2581" s="5">
        <v>57926277</v>
      </c>
    </row>
    <row r="2582" spans="1:8" x14ac:dyDescent="0.25">
      <c r="A2582" t="s">
        <v>458</v>
      </c>
      <c r="B2582">
        <v>2022</v>
      </c>
      <c r="C2582" t="s">
        <v>172</v>
      </c>
      <c r="D2582" t="s">
        <v>37</v>
      </c>
      <c r="E2582" t="s">
        <v>417</v>
      </c>
      <c r="F2582" t="s">
        <v>185</v>
      </c>
      <c r="G2582" s="5">
        <v>38852763</v>
      </c>
      <c r="H2582" s="5">
        <v>2553958139</v>
      </c>
    </row>
    <row r="2583" spans="1:8" x14ac:dyDescent="0.25">
      <c r="A2583" t="s">
        <v>458</v>
      </c>
      <c r="B2583">
        <v>2022</v>
      </c>
      <c r="C2583" t="s">
        <v>172</v>
      </c>
      <c r="D2583" t="s">
        <v>37</v>
      </c>
      <c r="E2583" t="s">
        <v>419</v>
      </c>
      <c r="F2583" t="s">
        <v>196</v>
      </c>
      <c r="G2583" s="5">
        <v>19024694</v>
      </c>
      <c r="H2583" s="5">
        <v>19274930</v>
      </c>
    </row>
    <row r="2584" spans="1:8" x14ac:dyDescent="0.25">
      <c r="A2584" t="s">
        <v>458</v>
      </c>
      <c r="B2584">
        <v>2022</v>
      </c>
      <c r="C2584" t="s">
        <v>172</v>
      </c>
      <c r="D2584" t="s">
        <v>37</v>
      </c>
      <c r="E2584" t="s">
        <v>423</v>
      </c>
      <c r="F2584" t="s">
        <v>206</v>
      </c>
      <c r="G2584" s="5">
        <v>18189870</v>
      </c>
      <c r="H2584" s="5">
        <v>18190692</v>
      </c>
    </row>
    <row r="2585" spans="1:8" x14ac:dyDescent="0.25">
      <c r="A2585" t="s">
        <v>458</v>
      </c>
      <c r="B2585">
        <v>2022</v>
      </c>
      <c r="C2585" t="s">
        <v>172</v>
      </c>
      <c r="D2585" t="s">
        <v>37</v>
      </c>
      <c r="E2585" t="s">
        <v>425</v>
      </c>
      <c r="F2585" t="s">
        <v>210</v>
      </c>
      <c r="G2585" s="5">
        <v>15254335</v>
      </c>
      <c r="H2585" s="5">
        <v>15257625</v>
      </c>
    </row>
    <row r="2586" spans="1:8" x14ac:dyDescent="0.25">
      <c r="A2586" t="s">
        <v>458</v>
      </c>
      <c r="B2586">
        <v>2022</v>
      </c>
      <c r="C2586" t="s">
        <v>172</v>
      </c>
      <c r="D2586" t="s">
        <v>37</v>
      </c>
      <c r="E2586" t="s">
        <v>424</v>
      </c>
      <c r="F2586" t="s">
        <v>208</v>
      </c>
      <c r="G2586" s="5">
        <v>5484420</v>
      </c>
      <c r="H2586" s="5">
        <v>5484420</v>
      </c>
    </row>
    <row r="2587" spans="1:8" x14ac:dyDescent="0.25">
      <c r="A2587" t="s">
        <v>458</v>
      </c>
      <c r="B2587">
        <v>2022</v>
      </c>
      <c r="C2587" t="s">
        <v>172</v>
      </c>
      <c r="D2587" t="s">
        <v>37</v>
      </c>
      <c r="E2587" t="s">
        <v>426</v>
      </c>
      <c r="F2587" t="s">
        <v>211</v>
      </c>
      <c r="G2587" s="5">
        <v>4302689</v>
      </c>
      <c r="H2587" s="5">
        <v>4316399</v>
      </c>
    </row>
    <row r="2588" spans="1:8" x14ac:dyDescent="0.25">
      <c r="A2588" t="s">
        <v>458</v>
      </c>
      <c r="B2588">
        <v>2022</v>
      </c>
      <c r="C2588" t="s">
        <v>172</v>
      </c>
      <c r="D2588" t="s">
        <v>37</v>
      </c>
      <c r="E2588" t="s">
        <v>427</v>
      </c>
      <c r="F2588" t="s">
        <v>212</v>
      </c>
      <c r="G2588" s="5">
        <v>3992648</v>
      </c>
      <c r="H2588" s="5">
        <v>3992848</v>
      </c>
    </row>
    <row r="2589" spans="1:8" x14ac:dyDescent="0.25">
      <c r="A2589" t="s">
        <v>458</v>
      </c>
      <c r="B2589">
        <v>2022</v>
      </c>
      <c r="C2589" t="s">
        <v>172</v>
      </c>
      <c r="D2589" t="s">
        <v>37</v>
      </c>
      <c r="E2589" t="s">
        <v>421</v>
      </c>
      <c r="F2589" t="s">
        <v>202</v>
      </c>
      <c r="G2589" s="5">
        <v>3191314</v>
      </c>
      <c r="H2589" s="5">
        <v>3191314</v>
      </c>
    </row>
    <row r="2590" spans="1:8" x14ac:dyDescent="0.25">
      <c r="A2590" t="s">
        <v>458</v>
      </c>
      <c r="B2590">
        <v>2022</v>
      </c>
      <c r="C2590" t="s">
        <v>172</v>
      </c>
      <c r="D2590" t="s">
        <v>37</v>
      </c>
      <c r="E2590" t="s">
        <v>422</v>
      </c>
      <c r="F2590" t="s">
        <v>205</v>
      </c>
      <c r="G2590" s="5">
        <v>1667741</v>
      </c>
      <c r="H2590" s="5">
        <v>1682022</v>
      </c>
    </row>
    <row r="2591" spans="1:8" x14ac:dyDescent="0.25">
      <c r="A2591" t="s">
        <v>458</v>
      </c>
      <c r="B2591">
        <v>2022</v>
      </c>
      <c r="C2591" t="s">
        <v>172</v>
      </c>
      <c r="D2591" t="s">
        <v>37</v>
      </c>
      <c r="E2591" t="s">
        <v>447</v>
      </c>
      <c r="F2591" t="s">
        <v>234</v>
      </c>
      <c r="G2591" s="5">
        <v>1009684</v>
      </c>
      <c r="H2591" s="5">
        <v>1009684</v>
      </c>
    </row>
    <row r="2592" spans="1:8" x14ac:dyDescent="0.25">
      <c r="A2592" t="s">
        <v>458</v>
      </c>
      <c r="B2592">
        <v>2022</v>
      </c>
      <c r="C2592" t="s">
        <v>172</v>
      </c>
      <c r="D2592" t="s">
        <v>37</v>
      </c>
      <c r="E2592" t="s">
        <v>428</v>
      </c>
      <c r="F2592" t="s">
        <v>213</v>
      </c>
      <c r="G2592" s="5">
        <v>261429</v>
      </c>
      <c r="H2592" s="5">
        <v>261429</v>
      </c>
    </row>
    <row r="2593" spans="1:8" x14ac:dyDescent="0.25">
      <c r="A2593" t="s">
        <v>458</v>
      </c>
      <c r="B2593">
        <v>2022</v>
      </c>
      <c r="C2593" t="s">
        <v>172</v>
      </c>
      <c r="D2593" t="s">
        <v>37</v>
      </c>
      <c r="E2593" t="s">
        <v>429</v>
      </c>
      <c r="F2593" t="s">
        <v>214</v>
      </c>
      <c r="G2593" s="5">
        <v>217354</v>
      </c>
      <c r="H2593" s="5">
        <v>217354</v>
      </c>
    </row>
    <row r="2594" spans="1:8" x14ac:dyDescent="0.25">
      <c r="A2594" t="s">
        <v>458</v>
      </c>
      <c r="B2594">
        <v>2022</v>
      </c>
      <c r="C2594" t="s">
        <v>172</v>
      </c>
      <c r="D2594" t="s">
        <v>37</v>
      </c>
      <c r="E2594" t="s">
        <v>430</v>
      </c>
      <c r="F2594" t="s">
        <v>216</v>
      </c>
      <c r="G2594" s="5">
        <v>132362</v>
      </c>
      <c r="H2594" s="5">
        <v>171321</v>
      </c>
    </row>
    <row r="2595" spans="1:8" x14ac:dyDescent="0.25">
      <c r="A2595" t="s">
        <v>458</v>
      </c>
      <c r="B2595">
        <v>2022</v>
      </c>
      <c r="C2595" t="s">
        <v>172</v>
      </c>
      <c r="D2595" t="s">
        <v>37</v>
      </c>
      <c r="F2595" t="s">
        <v>215</v>
      </c>
      <c r="G2595" s="5">
        <v>113431</v>
      </c>
      <c r="H2595" s="5">
        <v>199460</v>
      </c>
    </row>
    <row r="2596" spans="1:8" x14ac:dyDescent="0.25">
      <c r="A2596" t="s">
        <v>458</v>
      </c>
      <c r="B2596">
        <v>2022</v>
      </c>
      <c r="C2596" t="s">
        <v>40</v>
      </c>
      <c r="D2596" t="s">
        <v>40</v>
      </c>
      <c r="E2596" t="s">
        <v>432</v>
      </c>
      <c r="F2596" t="s">
        <v>218</v>
      </c>
      <c r="G2596" s="5">
        <v>16700964</v>
      </c>
      <c r="H2596" s="5">
        <v>620405286</v>
      </c>
    </row>
    <row r="2597" spans="1:8" x14ac:dyDescent="0.25">
      <c r="A2597" t="s">
        <v>458</v>
      </c>
      <c r="B2597">
        <v>2022</v>
      </c>
      <c r="C2597" t="s">
        <v>40</v>
      </c>
      <c r="D2597" t="s">
        <v>40</v>
      </c>
      <c r="E2597" t="s">
        <v>433</v>
      </c>
      <c r="F2597" t="s">
        <v>219</v>
      </c>
      <c r="G2597" s="5">
        <v>9293541</v>
      </c>
      <c r="H2597" s="5">
        <v>9320862</v>
      </c>
    </row>
    <row r="2598" spans="1:8" x14ac:dyDescent="0.25">
      <c r="A2598" t="s">
        <v>458</v>
      </c>
      <c r="B2598">
        <v>2022</v>
      </c>
      <c r="C2598" t="s">
        <v>40</v>
      </c>
      <c r="D2598" t="s">
        <v>40</v>
      </c>
      <c r="F2598" t="s">
        <v>225</v>
      </c>
      <c r="G2598" s="5">
        <v>945151</v>
      </c>
      <c r="H2598" s="5">
        <v>1002770</v>
      </c>
    </row>
    <row r="2599" spans="1:8" x14ac:dyDescent="0.25">
      <c r="A2599" t="s">
        <v>458</v>
      </c>
      <c r="B2599">
        <v>2022</v>
      </c>
      <c r="C2599" t="s">
        <v>40</v>
      </c>
      <c r="D2599" t="s">
        <v>40</v>
      </c>
      <c r="E2599" t="s">
        <v>435</v>
      </c>
      <c r="F2599" t="s">
        <v>221</v>
      </c>
      <c r="G2599" s="5">
        <v>163189</v>
      </c>
      <c r="H2599" s="5">
        <v>165121</v>
      </c>
    </row>
    <row r="2600" spans="1:8" x14ac:dyDescent="0.25">
      <c r="A2600" t="s">
        <v>458</v>
      </c>
      <c r="B2600">
        <v>2022</v>
      </c>
      <c r="C2600" t="s">
        <v>40</v>
      </c>
      <c r="D2600" t="s">
        <v>40</v>
      </c>
      <c r="E2600" t="s">
        <v>438</v>
      </c>
      <c r="F2600" t="s">
        <v>224</v>
      </c>
      <c r="G2600" s="5">
        <v>15858</v>
      </c>
      <c r="H2600" s="5">
        <v>188780</v>
      </c>
    </row>
    <row r="2601" spans="1:8" x14ac:dyDescent="0.25">
      <c r="A2601" t="s">
        <v>458</v>
      </c>
      <c r="B2601">
        <v>2023</v>
      </c>
      <c r="C2601" t="s">
        <v>39</v>
      </c>
      <c r="D2601" t="s">
        <v>39</v>
      </c>
      <c r="E2601" t="s">
        <v>268</v>
      </c>
      <c r="F2601" t="s">
        <v>47</v>
      </c>
      <c r="G2601" s="5">
        <v>166104414</v>
      </c>
      <c r="H2601" s="5">
        <v>1571194433</v>
      </c>
    </row>
    <row r="2602" spans="1:8" x14ac:dyDescent="0.25">
      <c r="A2602" t="s">
        <v>458</v>
      </c>
      <c r="B2602">
        <v>2023</v>
      </c>
      <c r="C2602" t="s">
        <v>39</v>
      </c>
      <c r="D2602" t="s">
        <v>39</v>
      </c>
      <c r="E2602" t="s">
        <v>273</v>
      </c>
      <c r="F2602" t="s">
        <v>52</v>
      </c>
      <c r="G2602" s="5">
        <v>95782947</v>
      </c>
      <c r="H2602" s="5">
        <v>95797645</v>
      </c>
    </row>
    <row r="2603" spans="1:8" x14ac:dyDescent="0.25">
      <c r="A2603" t="s">
        <v>458</v>
      </c>
      <c r="B2603">
        <v>2023</v>
      </c>
      <c r="C2603" t="s">
        <v>39</v>
      </c>
      <c r="D2603" t="s">
        <v>39</v>
      </c>
      <c r="E2603" t="s">
        <v>271</v>
      </c>
      <c r="F2603" t="s">
        <v>50</v>
      </c>
      <c r="G2603" s="5">
        <v>60553855</v>
      </c>
      <c r="H2603" s="5">
        <v>60959018</v>
      </c>
    </row>
    <row r="2604" spans="1:8" x14ac:dyDescent="0.25">
      <c r="A2604" t="s">
        <v>458</v>
      </c>
      <c r="B2604">
        <v>2023</v>
      </c>
      <c r="C2604" t="s">
        <v>39</v>
      </c>
      <c r="D2604" t="s">
        <v>39</v>
      </c>
      <c r="E2604" t="s">
        <v>281</v>
      </c>
      <c r="F2604" t="s">
        <v>60</v>
      </c>
      <c r="G2604" s="5">
        <v>42516652</v>
      </c>
      <c r="H2604" s="5">
        <v>42516652</v>
      </c>
    </row>
    <row r="2605" spans="1:8" x14ac:dyDescent="0.25">
      <c r="A2605" t="s">
        <v>458</v>
      </c>
      <c r="B2605">
        <v>2023</v>
      </c>
      <c r="C2605" t="s">
        <v>39</v>
      </c>
      <c r="D2605" t="s">
        <v>39</v>
      </c>
      <c r="E2605" t="s">
        <v>269</v>
      </c>
      <c r="F2605" t="s">
        <v>48</v>
      </c>
      <c r="G2605" s="5">
        <v>18306055</v>
      </c>
      <c r="H2605" s="5">
        <v>19199995</v>
      </c>
    </row>
    <row r="2606" spans="1:8" x14ac:dyDescent="0.25">
      <c r="A2606" t="s">
        <v>458</v>
      </c>
      <c r="B2606">
        <v>2023</v>
      </c>
      <c r="C2606" t="s">
        <v>39</v>
      </c>
      <c r="D2606" t="s">
        <v>39</v>
      </c>
      <c r="E2606" t="s">
        <v>279</v>
      </c>
      <c r="F2606" t="s">
        <v>58</v>
      </c>
      <c r="G2606" s="5">
        <v>10619098</v>
      </c>
      <c r="H2606" s="5">
        <v>10623631</v>
      </c>
    </row>
    <row r="2607" spans="1:8" x14ac:dyDescent="0.25">
      <c r="A2607" t="s">
        <v>458</v>
      </c>
      <c r="B2607">
        <v>2023</v>
      </c>
      <c r="C2607" t="s">
        <v>39</v>
      </c>
      <c r="D2607" t="s">
        <v>39</v>
      </c>
      <c r="E2607" t="s">
        <v>296</v>
      </c>
      <c r="F2607" t="s">
        <v>76</v>
      </c>
      <c r="G2607" s="5">
        <v>8740287</v>
      </c>
      <c r="H2607" s="5">
        <v>8747882</v>
      </c>
    </row>
    <row r="2608" spans="1:8" x14ac:dyDescent="0.25">
      <c r="A2608" t="s">
        <v>458</v>
      </c>
      <c r="B2608">
        <v>2023</v>
      </c>
      <c r="C2608" t="s">
        <v>39</v>
      </c>
      <c r="D2608" t="s">
        <v>39</v>
      </c>
      <c r="E2608" t="s">
        <v>277</v>
      </c>
      <c r="F2608" t="s">
        <v>56</v>
      </c>
      <c r="G2608" s="5">
        <v>5640220</v>
      </c>
      <c r="H2608" s="5">
        <v>5640220</v>
      </c>
    </row>
    <row r="2609" spans="1:8" x14ac:dyDescent="0.25">
      <c r="A2609" t="s">
        <v>458</v>
      </c>
      <c r="B2609">
        <v>2023</v>
      </c>
      <c r="C2609" t="s">
        <v>39</v>
      </c>
      <c r="D2609" t="s">
        <v>39</v>
      </c>
      <c r="E2609" t="s">
        <v>286</v>
      </c>
      <c r="F2609" t="s">
        <v>66</v>
      </c>
      <c r="G2609" s="5">
        <v>3388620</v>
      </c>
      <c r="H2609" s="5">
        <v>3388620</v>
      </c>
    </row>
    <row r="2610" spans="1:8" x14ac:dyDescent="0.25">
      <c r="A2610" t="s">
        <v>458</v>
      </c>
      <c r="B2610">
        <v>2023</v>
      </c>
      <c r="C2610" t="s">
        <v>39</v>
      </c>
      <c r="D2610" t="s">
        <v>39</v>
      </c>
      <c r="E2610" t="s">
        <v>270</v>
      </c>
      <c r="F2610" t="s">
        <v>49</v>
      </c>
      <c r="G2610" s="5">
        <v>2891232</v>
      </c>
      <c r="H2610" s="5">
        <v>2898497</v>
      </c>
    </row>
    <row r="2611" spans="1:8" x14ac:dyDescent="0.25">
      <c r="A2611" t="s">
        <v>458</v>
      </c>
      <c r="B2611">
        <v>2023</v>
      </c>
      <c r="C2611" t="s">
        <v>39</v>
      </c>
      <c r="D2611" t="s">
        <v>39</v>
      </c>
      <c r="E2611" t="s">
        <v>272</v>
      </c>
      <c r="F2611" t="s">
        <v>51</v>
      </c>
      <c r="G2611" s="5">
        <v>2070190</v>
      </c>
      <c r="H2611" s="5">
        <v>2202446</v>
      </c>
    </row>
    <row r="2612" spans="1:8" x14ac:dyDescent="0.25">
      <c r="A2612" t="s">
        <v>458</v>
      </c>
      <c r="B2612">
        <v>2023</v>
      </c>
      <c r="C2612" t="s">
        <v>39</v>
      </c>
      <c r="D2612" t="s">
        <v>39</v>
      </c>
      <c r="E2612" t="s">
        <v>280</v>
      </c>
      <c r="F2612" t="s">
        <v>59</v>
      </c>
      <c r="G2612" s="5">
        <v>1871644</v>
      </c>
      <c r="H2612" s="5">
        <v>1890248</v>
      </c>
    </row>
    <row r="2613" spans="1:8" x14ac:dyDescent="0.25">
      <c r="A2613" t="s">
        <v>458</v>
      </c>
      <c r="B2613">
        <v>2023</v>
      </c>
      <c r="C2613" t="s">
        <v>39</v>
      </c>
      <c r="D2613" t="s">
        <v>39</v>
      </c>
      <c r="E2613" t="s">
        <v>466</v>
      </c>
      <c r="F2613" t="s">
        <v>254</v>
      </c>
      <c r="G2613" s="5">
        <v>906273</v>
      </c>
      <c r="H2613" s="5">
        <v>906273</v>
      </c>
    </row>
    <row r="2614" spans="1:8" x14ac:dyDescent="0.25">
      <c r="A2614" t="s">
        <v>458</v>
      </c>
      <c r="B2614">
        <v>2023</v>
      </c>
      <c r="C2614" t="s">
        <v>39</v>
      </c>
      <c r="D2614" t="s">
        <v>39</v>
      </c>
      <c r="E2614" t="s">
        <v>307</v>
      </c>
      <c r="F2614" t="s">
        <v>87</v>
      </c>
      <c r="G2614" s="5">
        <v>824991</v>
      </c>
      <c r="H2614" s="5">
        <v>824991</v>
      </c>
    </row>
    <row r="2615" spans="1:8" x14ac:dyDescent="0.25">
      <c r="A2615" t="s">
        <v>458</v>
      </c>
      <c r="B2615">
        <v>2023</v>
      </c>
      <c r="C2615" t="s">
        <v>39</v>
      </c>
      <c r="D2615" t="s">
        <v>39</v>
      </c>
      <c r="E2615" t="s">
        <v>290</v>
      </c>
      <c r="F2615" t="s">
        <v>70</v>
      </c>
      <c r="G2615" s="5">
        <v>754066</v>
      </c>
      <c r="H2615" s="5">
        <v>825066</v>
      </c>
    </row>
    <row r="2616" spans="1:8" x14ac:dyDescent="0.25">
      <c r="A2616" t="s">
        <v>458</v>
      </c>
      <c r="B2616">
        <v>2023</v>
      </c>
      <c r="C2616" t="s">
        <v>39</v>
      </c>
      <c r="D2616" t="s">
        <v>39</v>
      </c>
      <c r="E2616" t="s">
        <v>287</v>
      </c>
      <c r="F2616" t="s">
        <v>67</v>
      </c>
      <c r="G2616" s="5">
        <v>718436</v>
      </c>
      <c r="H2616" s="5">
        <v>718436</v>
      </c>
    </row>
    <row r="2617" spans="1:8" x14ac:dyDescent="0.25">
      <c r="A2617" t="s">
        <v>458</v>
      </c>
      <c r="B2617">
        <v>2023</v>
      </c>
      <c r="C2617" t="s">
        <v>39</v>
      </c>
      <c r="D2617" t="s">
        <v>39</v>
      </c>
      <c r="E2617" t="s">
        <v>275</v>
      </c>
      <c r="F2617" t="s">
        <v>54</v>
      </c>
      <c r="G2617" s="5">
        <v>684651</v>
      </c>
      <c r="H2617" s="5">
        <v>727900</v>
      </c>
    </row>
    <row r="2618" spans="1:8" x14ac:dyDescent="0.25">
      <c r="A2618" t="s">
        <v>458</v>
      </c>
      <c r="B2618">
        <v>2023</v>
      </c>
      <c r="C2618" t="s">
        <v>39</v>
      </c>
      <c r="D2618" t="s">
        <v>39</v>
      </c>
      <c r="F2618" t="s">
        <v>64</v>
      </c>
      <c r="G2618" s="5">
        <v>591330</v>
      </c>
      <c r="H2618" s="5">
        <v>1769951</v>
      </c>
    </row>
    <row r="2619" spans="1:8" x14ac:dyDescent="0.25">
      <c r="A2619" t="s">
        <v>458</v>
      </c>
      <c r="B2619">
        <v>2023</v>
      </c>
      <c r="C2619" t="s">
        <v>39</v>
      </c>
      <c r="D2619" t="s">
        <v>39</v>
      </c>
      <c r="E2619" t="s">
        <v>294</v>
      </c>
      <c r="F2619" t="s">
        <v>74</v>
      </c>
      <c r="G2619" s="5">
        <v>469721</v>
      </c>
      <c r="H2619" s="5">
        <v>469721</v>
      </c>
    </row>
    <row r="2620" spans="1:8" x14ac:dyDescent="0.25">
      <c r="A2620" t="s">
        <v>458</v>
      </c>
      <c r="B2620">
        <v>2023</v>
      </c>
      <c r="C2620" t="s">
        <v>39</v>
      </c>
      <c r="D2620" t="s">
        <v>39</v>
      </c>
      <c r="E2620" t="s">
        <v>284</v>
      </c>
      <c r="F2620" t="s">
        <v>63</v>
      </c>
      <c r="G2620" s="5">
        <v>428764</v>
      </c>
      <c r="H2620" s="5">
        <v>429278</v>
      </c>
    </row>
    <row r="2621" spans="1:8" x14ac:dyDescent="0.25">
      <c r="A2621" t="s">
        <v>458</v>
      </c>
      <c r="B2621">
        <v>2023</v>
      </c>
      <c r="C2621" t="s">
        <v>39</v>
      </c>
      <c r="D2621" t="s">
        <v>39</v>
      </c>
      <c r="E2621" t="s">
        <v>459</v>
      </c>
      <c r="F2621" t="s">
        <v>247</v>
      </c>
      <c r="G2621" s="5">
        <v>326400</v>
      </c>
      <c r="H2621" s="5">
        <v>326400</v>
      </c>
    </row>
    <row r="2622" spans="1:8" x14ac:dyDescent="0.25">
      <c r="A2622" t="s">
        <v>458</v>
      </c>
      <c r="B2622">
        <v>2023</v>
      </c>
      <c r="C2622" t="s">
        <v>39</v>
      </c>
      <c r="D2622" t="s">
        <v>39</v>
      </c>
      <c r="E2622" t="s">
        <v>295</v>
      </c>
      <c r="F2622" t="s">
        <v>75</v>
      </c>
      <c r="G2622" s="5">
        <v>304132</v>
      </c>
      <c r="H2622" s="5">
        <v>304132</v>
      </c>
    </row>
    <row r="2623" spans="1:8" x14ac:dyDescent="0.25">
      <c r="A2623" t="s">
        <v>458</v>
      </c>
      <c r="B2623">
        <v>2023</v>
      </c>
      <c r="C2623" t="s">
        <v>39</v>
      </c>
      <c r="D2623" t="s">
        <v>39</v>
      </c>
      <c r="E2623" t="s">
        <v>308</v>
      </c>
      <c r="F2623" t="s">
        <v>88</v>
      </c>
      <c r="G2623" s="5">
        <v>290514</v>
      </c>
      <c r="H2623" s="5">
        <v>290514</v>
      </c>
    </row>
    <row r="2624" spans="1:8" x14ac:dyDescent="0.25">
      <c r="A2624" t="s">
        <v>458</v>
      </c>
      <c r="B2624">
        <v>2023</v>
      </c>
      <c r="C2624" t="s">
        <v>39</v>
      </c>
      <c r="D2624" t="s">
        <v>39</v>
      </c>
      <c r="E2624" t="s">
        <v>276</v>
      </c>
      <c r="F2624" t="s">
        <v>55</v>
      </c>
      <c r="G2624" s="5">
        <v>216501</v>
      </c>
      <c r="H2624" s="5">
        <v>216501</v>
      </c>
    </row>
    <row r="2625" spans="1:8" x14ac:dyDescent="0.25">
      <c r="A2625" t="s">
        <v>458</v>
      </c>
      <c r="B2625">
        <v>2023</v>
      </c>
      <c r="C2625" t="s">
        <v>39</v>
      </c>
      <c r="D2625" t="s">
        <v>39</v>
      </c>
      <c r="E2625" t="s">
        <v>291</v>
      </c>
      <c r="F2625" t="s">
        <v>71</v>
      </c>
      <c r="G2625" s="5">
        <v>208226</v>
      </c>
      <c r="H2625" s="5">
        <v>1623711</v>
      </c>
    </row>
    <row r="2626" spans="1:8" x14ac:dyDescent="0.25">
      <c r="A2626" t="s">
        <v>458</v>
      </c>
      <c r="B2626">
        <v>2023</v>
      </c>
      <c r="C2626" t="s">
        <v>39</v>
      </c>
      <c r="D2626" t="s">
        <v>39</v>
      </c>
      <c r="E2626" t="s">
        <v>303</v>
      </c>
      <c r="F2626" t="s">
        <v>83</v>
      </c>
      <c r="G2626" s="5">
        <v>169818</v>
      </c>
      <c r="H2626" s="5">
        <v>270683</v>
      </c>
    </row>
    <row r="2627" spans="1:8" x14ac:dyDescent="0.25">
      <c r="A2627" t="s">
        <v>458</v>
      </c>
      <c r="B2627">
        <v>2023</v>
      </c>
      <c r="C2627" t="s">
        <v>39</v>
      </c>
      <c r="D2627" t="s">
        <v>39</v>
      </c>
      <c r="E2627" t="s">
        <v>278</v>
      </c>
      <c r="F2627" t="s">
        <v>57</v>
      </c>
      <c r="G2627" s="5">
        <v>104580</v>
      </c>
      <c r="H2627" s="5">
        <v>104580</v>
      </c>
    </row>
    <row r="2628" spans="1:8" x14ac:dyDescent="0.25">
      <c r="A2628" t="s">
        <v>458</v>
      </c>
      <c r="B2628">
        <v>2023</v>
      </c>
      <c r="C2628" t="s">
        <v>39</v>
      </c>
      <c r="D2628" t="s">
        <v>39</v>
      </c>
      <c r="E2628" t="s">
        <v>283</v>
      </c>
      <c r="F2628" t="s">
        <v>62</v>
      </c>
      <c r="G2628" s="5">
        <v>101306</v>
      </c>
      <c r="H2628" s="5">
        <v>254339</v>
      </c>
    </row>
    <row r="2629" spans="1:8" x14ac:dyDescent="0.25">
      <c r="A2629" t="s">
        <v>458</v>
      </c>
      <c r="B2629">
        <v>2023</v>
      </c>
      <c r="C2629" t="s">
        <v>39</v>
      </c>
      <c r="D2629" t="s">
        <v>39</v>
      </c>
      <c r="E2629" t="s">
        <v>311</v>
      </c>
      <c r="F2629" t="s">
        <v>91</v>
      </c>
      <c r="G2629" s="5">
        <v>76815</v>
      </c>
      <c r="H2629" s="5">
        <v>76815</v>
      </c>
    </row>
    <row r="2630" spans="1:8" x14ac:dyDescent="0.25">
      <c r="A2630" t="s">
        <v>458</v>
      </c>
      <c r="B2630">
        <v>2023</v>
      </c>
      <c r="C2630" t="s">
        <v>39</v>
      </c>
      <c r="D2630" t="s">
        <v>39</v>
      </c>
      <c r="E2630" t="s">
        <v>305</v>
      </c>
      <c r="F2630" t="s">
        <v>85</v>
      </c>
      <c r="G2630" s="5">
        <v>39517</v>
      </c>
      <c r="H2630" s="5">
        <v>43608</v>
      </c>
    </row>
    <row r="2631" spans="1:8" x14ac:dyDescent="0.25">
      <c r="A2631" t="s">
        <v>458</v>
      </c>
      <c r="B2631">
        <v>2023</v>
      </c>
      <c r="C2631" t="s">
        <v>39</v>
      </c>
      <c r="D2631" t="s">
        <v>39</v>
      </c>
      <c r="E2631" t="s">
        <v>449</v>
      </c>
      <c r="F2631" t="s">
        <v>236</v>
      </c>
      <c r="G2631" s="5">
        <v>33211</v>
      </c>
      <c r="H2631" s="5">
        <v>37211</v>
      </c>
    </row>
    <row r="2632" spans="1:8" x14ac:dyDescent="0.25">
      <c r="A2632" t="s">
        <v>458</v>
      </c>
      <c r="B2632">
        <v>2023</v>
      </c>
      <c r="C2632" t="s">
        <v>39</v>
      </c>
      <c r="D2632" t="s">
        <v>39</v>
      </c>
      <c r="E2632" t="s">
        <v>293</v>
      </c>
      <c r="F2632" t="s">
        <v>73</v>
      </c>
      <c r="G2632" s="5">
        <v>28119</v>
      </c>
      <c r="H2632" s="5">
        <v>28119</v>
      </c>
    </row>
    <row r="2633" spans="1:8" x14ac:dyDescent="0.25">
      <c r="A2633" t="s">
        <v>458</v>
      </c>
      <c r="B2633">
        <v>2023</v>
      </c>
      <c r="C2633" t="s">
        <v>39</v>
      </c>
      <c r="D2633" t="s">
        <v>39</v>
      </c>
      <c r="E2633" t="s">
        <v>298</v>
      </c>
      <c r="F2633" t="s">
        <v>78</v>
      </c>
      <c r="G2633" s="5">
        <v>20977</v>
      </c>
      <c r="H2633" s="5">
        <v>20977</v>
      </c>
    </row>
    <row r="2634" spans="1:8" x14ac:dyDescent="0.25">
      <c r="A2634" t="s">
        <v>458</v>
      </c>
      <c r="B2634">
        <v>2023</v>
      </c>
      <c r="C2634" t="s">
        <v>39</v>
      </c>
      <c r="D2634" t="s">
        <v>39</v>
      </c>
      <c r="E2634" t="s">
        <v>439</v>
      </c>
      <c r="F2634" t="s">
        <v>226</v>
      </c>
      <c r="G2634" s="5">
        <v>16756</v>
      </c>
      <c r="H2634" s="5">
        <v>16756</v>
      </c>
    </row>
    <row r="2635" spans="1:8" x14ac:dyDescent="0.25">
      <c r="A2635" t="s">
        <v>458</v>
      </c>
      <c r="B2635">
        <v>2023</v>
      </c>
      <c r="C2635" t="s">
        <v>39</v>
      </c>
      <c r="D2635" t="s">
        <v>39</v>
      </c>
      <c r="E2635" t="s">
        <v>285</v>
      </c>
      <c r="F2635" t="s">
        <v>65</v>
      </c>
      <c r="G2635" s="5">
        <v>14873</v>
      </c>
      <c r="H2635" s="5">
        <v>14873</v>
      </c>
    </row>
    <row r="2636" spans="1:8" x14ac:dyDescent="0.25">
      <c r="A2636" t="s">
        <v>458</v>
      </c>
      <c r="B2636">
        <v>2023</v>
      </c>
      <c r="C2636" t="s">
        <v>39</v>
      </c>
      <c r="D2636" t="s">
        <v>39</v>
      </c>
      <c r="E2636" t="s">
        <v>300</v>
      </c>
      <c r="F2636" t="s">
        <v>80</v>
      </c>
      <c r="G2636" s="5">
        <v>7496</v>
      </c>
      <c r="H2636" s="5">
        <v>7496</v>
      </c>
    </row>
    <row r="2637" spans="1:8" x14ac:dyDescent="0.25">
      <c r="A2637" t="s">
        <v>458</v>
      </c>
      <c r="B2637">
        <v>2023</v>
      </c>
      <c r="C2637" t="s">
        <v>39</v>
      </c>
      <c r="D2637" t="s">
        <v>39</v>
      </c>
      <c r="E2637" t="s">
        <v>465</v>
      </c>
      <c r="F2637" t="s">
        <v>253</v>
      </c>
      <c r="G2637" s="5">
        <v>4349</v>
      </c>
      <c r="H2637" s="5">
        <v>4349</v>
      </c>
    </row>
    <row r="2638" spans="1:8" x14ac:dyDescent="0.25">
      <c r="A2638" t="s">
        <v>458</v>
      </c>
      <c r="B2638">
        <v>2023</v>
      </c>
      <c r="C2638" t="s">
        <v>92</v>
      </c>
      <c r="D2638" t="s">
        <v>36</v>
      </c>
      <c r="E2638" t="s">
        <v>36</v>
      </c>
      <c r="F2638" t="s">
        <v>93</v>
      </c>
      <c r="G2638" s="5">
        <v>2250184982</v>
      </c>
      <c r="H2638" s="5">
        <v>7592514137</v>
      </c>
    </row>
    <row r="2639" spans="1:8" x14ac:dyDescent="0.25">
      <c r="A2639" t="s">
        <v>458</v>
      </c>
      <c r="B2639">
        <v>2023</v>
      </c>
      <c r="C2639" t="s">
        <v>92</v>
      </c>
      <c r="D2639" t="s">
        <v>38</v>
      </c>
      <c r="E2639" t="s">
        <v>314</v>
      </c>
      <c r="F2639" t="s">
        <v>96</v>
      </c>
      <c r="G2639" s="5">
        <v>229236594</v>
      </c>
      <c r="H2639" s="5">
        <v>781588640</v>
      </c>
    </row>
    <row r="2640" spans="1:8" x14ac:dyDescent="0.25">
      <c r="A2640" t="s">
        <v>458</v>
      </c>
      <c r="B2640">
        <v>2023</v>
      </c>
      <c r="C2640" t="s">
        <v>92</v>
      </c>
      <c r="D2640" t="s">
        <v>38</v>
      </c>
      <c r="E2640" t="s">
        <v>313</v>
      </c>
      <c r="F2640" t="s">
        <v>95</v>
      </c>
      <c r="G2640" s="5">
        <v>122540010</v>
      </c>
      <c r="H2640" s="5">
        <v>1790814716</v>
      </c>
    </row>
    <row r="2641" spans="1:8" x14ac:dyDescent="0.25">
      <c r="A2641" t="s">
        <v>458</v>
      </c>
      <c r="B2641">
        <v>2023</v>
      </c>
      <c r="C2641" t="s">
        <v>92</v>
      </c>
      <c r="D2641" t="s">
        <v>38</v>
      </c>
      <c r="E2641" t="s">
        <v>312</v>
      </c>
      <c r="F2641" t="s">
        <v>94</v>
      </c>
      <c r="G2641" s="5">
        <v>49966261</v>
      </c>
      <c r="H2641" s="5">
        <v>229527911</v>
      </c>
    </row>
    <row r="2642" spans="1:8" x14ac:dyDescent="0.25">
      <c r="A2642" t="s">
        <v>458</v>
      </c>
      <c r="B2642">
        <v>2023</v>
      </c>
      <c r="C2642" t="s">
        <v>92</v>
      </c>
      <c r="D2642" t="s">
        <v>38</v>
      </c>
      <c r="E2642" t="s">
        <v>321</v>
      </c>
      <c r="F2642" t="s">
        <v>103</v>
      </c>
      <c r="G2642" s="5">
        <v>34684383</v>
      </c>
      <c r="H2642" s="5">
        <v>34823883</v>
      </c>
    </row>
    <row r="2643" spans="1:8" x14ac:dyDescent="0.25">
      <c r="A2643" t="s">
        <v>458</v>
      </c>
      <c r="B2643">
        <v>2023</v>
      </c>
      <c r="C2643" t="s">
        <v>92</v>
      </c>
      <c r="D2643" t="s">
        <v>38</v>
      </c>
      <c r="E2643" t="s">
        <v>322</v>
      </c>
      <c r="F2643" t="s">
        <v>105</v>
      </c>
      <c r="G2643" s="5">
        <v>31176633</v>
      </c>
      <c r="H2643" s="5">
        <v>31176633</v>
      </c>
    </row>
    <row r="2644" spans="1:8" x14ac:dyDescent="0.25">
      <c r="A2644" t="s">
        <v>458</v>
      </c>
      <c r="B2644">
        <v>2023</v>
      </c>
      <c r="C2644" t="s">
        <v>92</v>
      </c>
      <c r="D2644" t="s">
        <v>38</v>
      </c>
      <c r="E2644" t="s">
        <v>319</v>
      </c>
      <c r="F2644" t="s">
        <v>101</v>
      </c>
      <c r="G2644" s="5">
        <v>19119771</v>
      </c>
      <c r="H2644" s="5">
        <v>19268982</v>
      </c>
    </row>
    <row r="2645" spans="1:8" x14ac:dyDescent="0.25">
      <c r="A2645" t="s">
        <v>458</v>
      </c>
      <c r="B2645">
        <v>2023</v>
      </c>
      <c r="C2645" t="s">
        <v>92</v>
      </c>
      <c r="D2645" t="s">
        <v>38</v>
      </c>
      <c r="E2645" t="s">
        <v>318</v>
      </c>
      <c r="F2645" t="s">
        <v>100</v>
      </c>
      <c r="G2645" s="5">
        <v>12743577</v>
      </c>
      <c r="H2645" s="5">
        <v>13059554</v>
      </c>
    </row>
    <row r="2646" spans="1:8" x14ac:dyDescent="0.25">
      <c r="A2646" t="s">
        <v>458</v>
      </c>
      <c r="B2646">
        <v>2023</v>
      </c>
      <c r="C2646" t="s">
        <v>92</v>
      </c>
      <c r="D2646" t="s">
        <v>38</v>
      </c>
      <c r="E2646" t="s">
        <v>325</v>
      </c>
      <c r="F2646" t="s">
        <v>108</v>
      </c>
      <c r="G2646" s="5">
        <v>9080244</v>
      </c>
      <c r="H2646" s="5">
        <v>9081644</v>
      </c>
    </row>
    <row r="2647" spans="1:8" x14ac:dyDescent="0.25">
      <c r="A2647" t="s">
        <v>458</v>
      </c>
      <c r="B2647">
        <v>2023</v>
      </c>
      <c r="C2647" t="s">
        <v>92</v>
      </c>
      <c r="D2647" t="s">
        <v>38</v>
      </c>
      <c r="E2647" t="s">
        <v>315</v>
      </c>
      <c r="F2647" t="s">
        <v>97</v>
      </c>
      <c r="G2647" s="5">
        <v>8188666</v>
      </c>
      <c r="H2647" s="5">
        <v>8295285</v>
      </c>
    </row>
    <row r="2648" spans="1:8" x14ac:dyDescent="0.25">
      <c r="A2648" t="s">
        <v>458</v>
      </c>
      <c r="B2648">
        <v>2023</v>
      </c>
      <c r="C2648" t="s">
        <v>92</v>
      </c>
      <c r="D2648" t="s">
        <v>38</v>
      </c>
      <c r="E2648" t="s">
        <v>331</v>
      </c>
      <c r="F2648" t="s">
        <v>114</v>
      </c>
      <c r="G2648" s="5">
        <v>6532896</v>
      </c>
      <c r="H2648" s="5">
        <v>6562646</v>
      </c>
    </row>
    <row r="2649" spans="1:8" x14ac:dyDescent="0.25">
      <c r="A2649" t="s">
        <v>458</v>
      </c>
      <c r="B2649">
        <v>2023</v>
      </c>
      <c r="C2649" t="s">
        <v>92</v>
      </c>
      <c r="D2649" t="s">
        <v>38</v>
      </c>
      <c r="E2649" t="s">
        <v>316</v>
      </c>
      <c r="F2649" t="s">
        <v>98</v>
      </c>
      <c r="G2649" s="5">
        <v>5190220</v>
      </c>
      <c r="H2649" s="5">
        <v>5265970</v>
      </c>
    </row>
    <row r="2650" spans="1:8" x14ac:dyDescent="0.25">
      <c r="A2650" t="s">
        <v>458</v>
      </c>
      <c r="B2650">
        <v>2023</v>
      </c>
      <c r="C2650" t="s">
        <v>92</v>
      </c>
      <c r="D2650" t="s">
        <v>38</v>
      </c>
      <c r="E2650" t="s">
        <v>323</v>
      </c>
      <c r="F2650" t="s">
        <v>106</v>
      </c>
      <c r="G2650" s="5">
        <v>2964851</v>
      </c>
      <c r="H2650" s="5">
        <v>3036841</v>
      </c>
    </row>
    <row r="2651" spans="1:8" x14ac:dyDescent="0.25">
      <c r="A2651" t="s">
        <v>458</v>
      </c>
      <c r="B2651">
        <v>2023</v>
      </c>
      <c r="C2651" t="s">
        <v>92</v>
      </c>
      <c r="D2651" t="s">
        <v>38</v>
      </c>
      <c r="E2651" t="s">
        <v>332</v>
      </c>
      <c r="F2651" t="s">
        <v>115</v>
      </c>
      <c r="G2651" s="5">
        <v>2580754</v>
      </c>
      <c r="H2651" s="5">
        <v>2580754</v>
      </c>
    </row>
    <row r="2652" spans="1:8" x14ac:dyDescent="0.25">
      <c r="A2652" t="s">
        <v>458</v>
      </c>
      <c r="B2652">
        <v>2023</v>
      </c>
      <c r="C2652" t="s">
        <v>92</v>
      </c>
      <c r="D2652" t="s">
        <v>38</v>
      </c>
      <c r="E2652" t="s">
        <v>337</v>
      </c>
      <c r="F2652" t="s">
        <v>120</v>
      </c>
      <c r="G2652" s="5">
        <v>2428615</v>
      </c>
      <c r="H2652" s="5">
        <v>2428615</v>
      </c>
    </row>
    <row r="2653" spans="1:8" x14ac:dyDescent="0.25">
      <c r="A2653" t="s">
        <v>458</v>
      </c>
      <c r="B2653">
        <v>2023</v>
      </c>
      <c r="C2653" t="s">
        <v>92</v>
      </c>
      <c r="D2653" t="s">
        <v>38</v>
      </c>
      <c r="E2653" t="s">
        <v>326</v>
      </c>
      <c r="F2653" t="s">
        <v>109</v>
      </c>
      <c r="G2653" s="5">
        <v>2020560</v>
      </c>
      <c r="H2653" s="5">
        <v>2028870</v>
      </c>
    </row>
    <row r="2654" spans="1:8" x14ac:dyDescent="0.25">
      <c r="A2654" t="s">
        <v>458</v>
      </c>
      <c r="B2654">
        <v>2023</v>
      </c>
      <c r="C2654" t="s">
        <v>92</v>
      </c>
      <c r="D2654" t="s">
        <v>38</v>
      </c>
      <c r="E2654" t="s">
        <v>328</v>
      </c>
      <c r="F2654" t="s">
        <v>111</v>
      </c>
      <c r="G2654" s="5">
        <v>1985095</v>
      </c>
      <c r="H2654" s="5">
        <v>1985095</v>
      </c>
    </row>
    <row r="2655" spans="1:8" x14ac:dyDescent="0.25">
      <c r="A2655" t="s">
        <v>458</v>
      </c>
      <c r="B2655">
        <v>2023</v>
      </c>
      <c r="C2655" t="s">
        <v>92</v>
      </c>
      <c r="D2655" t="s">
        <v>38</v>
      </c>
      <c r="E2655" t="s">
        <v>324</v>
      </c>
      <c r="F2655" t="s">
        <v>107</v>
      </c>
      <c r="G2655" s="5">
        <v>1961857</v>
      </c>
      <c r="H2655" s="5">
        <v>1962341</v>
      </c>
    </row>
    <row r="2656" spans="1:8" x14ac:dyDescent="0.25">
      <c r="A2656" t="s">
        <v>458</v>
      </c>
      <c r="B2656">
        <v>2023</v>
      </c>
      <c r="C2656" t="s">
        <v>92</v>
      </c>
      <c r="D2656" t="s">
        <v>38</v>
      </c>
      <c r="E2656" t="s">
        <v>327</v>
      </c>
      <c r="F2656" t="s">
        <v>110</v>
      </c>
      <c r="G2656" s="5">
        <v>1928827</v>
      </c>
      <c r="H2656" s="5">
        <v>1955827</v>
      </c>
    </row>
    <row r="2657" spans="1:8" x14ac:dyDescent="0.25">
      <c r="A2657" t="s">
        <v>458</v>
      </c>
      <c r="B2657">
        <v>2023</v>
      </c>
      <c r="C2657" t="s">
        <v>92</v>
      </c>
      <c r="D2657" t="s">
        <v>38</v>
      </c>
      <c r="E2657" t="s">
        <v>444</v>
      </c>
      <c r="F2657" t="s">
        <v>231</v>
      </c>
      <c r="G2657" s="5">
        <v>1286411</v>
      </c>
      <c r="H2657" s="5">
        <v>1336411</v>
      </c>
    </row>
    <row r="2658" spans="1:8" x14ac:dyDescent="0.25">
      <c r="A2658" t="s">
        <v>458</v>
      </c>
      <c r="B2658">
        <v>2023</v>
      </c>
      <c r="C2658" t="s">
        <v>92</v>
      </c>
      <c r="D2658" t="s">
        <v>38</v>
      </c>
      <c r="E2658" t="s">
        <v>329</v>
      </c>
      <c r="F2658" t="s">
        <v>112</v>
      </c>
      <c r="G2658" s="5">
        <v>1172728</v>
      </c>
      <c r="H2658" s="5">
        <v>1229220</v>
      </c>
    </row>
    <row r="2659" spans="1:8" x14ac:dyDescent="0.25">
      <c r="A2659" t="s">
        <v>458</v>
      </c>
      <c r="B2659">
        <v>2023</v>
      </c>
      <c r="C2659" t="s">
        <v>92</v>
      </c>
      <c r="D2659" t="s">
        <v>38</v>
      </c>
      <c r="E2659" t="s">
        <v>457</v>
      </c>
      <c r="F2659" t="s">
        <v>244</v>
      </c>
      <c r="G2659" s="5">
        <v>494793</v>
      </c>
      <c r="H2659" s="5">
        <v>505660</v>
      </c>
    </row>
    <row r="2660" spans="1:8" x14ac:dyDescent="0.25">
      <c r="A2660" t="s">
        <v>458</v>
      </c>
      <c r="B2660">
        <v>2023</v>
      </c>
      <c r="C2660" t="s">
        <v>92</v>
      </c>
      <c r="D2660" t="s">
        <v>38</v>
      </c>
      <c r="E2660" t="s">
        <v>330</v>
      </c>
      <c r="F2660" t="s">
        <v>113</v>
      </c>
      <c r="G2660" s="5">
        <v>308454</v>
      </c>
      <c r="H2660" s="5">
        <v>310454</v>
      </c>
    </row>
    <row r="2661" spans="1:8" x14ac:dyDescent="0.25">
      <c r="A2661" t="s">
        <v>458</v>
      </c>
      <c r="B2661">
        <v>2023</v>
      </c>
      <c r="C2661" t="s">
        <v>92</v>
      </c>
      <c r="D2661" t="s">
        <v>38</v>
      </c>
      <c r="F2661" t="s">
        <v>104</v>
      </c>
      <c r="G2661" s="5">
        <v>233521</v>
      </c>
      <c r="H2661" s="5">
        <v>364021</v>
      </c>
    </row>
    <row r="2662" spans="1:8" x14ac:dyDescent="0.25">
      <c r="A2662" t="s">
        <v>458</v>
      </c>
      <c r="B2662">
        <v>2023</v>
      </c>
      <c r="C2662" t="s">
        <v>92</v>
      </c>
      <c r="D2662" t="s">
        <v>38</v>
      </c>
      <c r="E2662" t="s">
        <v>339</v>
      </c>
      <c r="F2662" t="s">
        <v>122</v>
      </c>
      <c r="G2662" s="5">
        <v>200681</v>
      </c>
      <c r="H2662" s="5">
        <v>256181</v>
      </c>
    </row>
    <row r="2663" spans="1:8" x14ac:dyDescent="0.25">
      <c r="A2663" t="s">
        <v>458</v>
      </c>
      <c r="B2663">
        <v>2023</v>
      </c>
      <c r="C2663" t="s">
        <v>92</v>
      </c>
      <c r="D2663" t="s">
        <v>38</v>
      </c>
      <c r="E2663" t="s">
        <v>462</v>
      </c>
      <c r="F2663" t="s">
        <v>250</v>
      </c>
      <c r="G2663" s="5">
        <v>169842</v>
      </c>
      <c r="H2663" s="5">
        <v>169842</v>
      </c>
    </row>
    <row r="2664" spans="1:8" x14ac:dyDescent="0.25">
      <c r="A2664" t="s">
        <v>458</v>
      </c>
      <c r="B2664">
        <v>2023</v>
      </c>
      <c r="C2664" t="s">
        <v>92</v>
      </c>
      <c r="D2664" t="s">
        <v>38</v>
      </c>
      <c r="E2664" t="s">
        <v>441</v>
      </c>
      <c r="F2664" t="s">
        <v>228</v>
      </c>
      <c r="G2664" s="5">
        <v>80904</v>
      </c>
      <c r="H2664" s="5">
        <v>80904</v>
      </c>
    </row>
    <row r="2665" spans="1:8" x14ac:dyDescent="0.25">
      <c r="A2665" t="s">
        <v>458</v>
      </c>
      <c r="B2665">
        <v>2023</v>
      </c>
      <c r="C2665" t="s">
        <v>92</v>
      </c>
      <c r="D2665" t="s">
        <v>38</v>
      </c>
      <c r="E2665" t="s">
        <v>461</v>
      </c>
      <c r="F2665" t="s">
        <v>249</v>
      </c>
      <c r="G2665" s="5">
        <v>79360</v>
      </c>
      <c r="H2665" s="5">
        <v>79360</v>
      </c>
    </row>
    <row r="2666" spans="1:8" x14ac:dyDescent="0.25">
      <c r="A2666" t="s">
        <v>458</v>
      </c>
      <c r="B2666">
        <v>2023</v>
      </c>
      <c r="C2666" t="s">
        <v>92</v>
      </c>
      <c r="D2666" t="s">
        <v>38</v>
      </c>
      <c r="E2666" t="s">
        <v>333</v>
      </c>
      <c r="F2666" t="s">
        <v>116</v>
      </c>
      <c r="G2666" s="5">
        <v>75241</v>
      </c>
      <c r="H2666" s="5">
        <v>77741</v>
      </c>
    </row>
    <row r="2667" spans="1:8" x14ac:dyDescent="0.25">
      <c r="A2667" t="s">
        <v>458</v>
      </c>
      <c r="B2667">
        <v>2023</v>
      </c>
      <c r="C2667" t="s">
        <v>92</v>
      </c>
      <c r="D2667" t="s">
        <v>38</v>
      </c>
      <c r="E2667" t="s">
        <v>340</v>
      </c>
      <c r="F2667" t="s">
        <v>123</v>
      </c>
      <c r="G2667" s="5">
        <v>65039</v>
      </c>
      <c r="H2667" s="5">
        <v>181039</v>
      </c>
    </row>
    <row r="2668" spans="1:8" x14ac:dyDescent="0.25">
      <c r="A2668" t="s">
        <v>458</v>
      </c>
      <c r="B2668">
        <v>2023</v>
      </c>
      <c r="C2668" t="s">
        <v>92</v>
      </c>
      <c r="D2668" t="s">
        <v>38</v>
      </c>
      <c r="E2668" t="s">
        <v>463</v>
      </c>
      <c r="F2668" t="s">
        <v>251</v>
      </c>
      <c r="G2668" s="5">
        <v>44484</v>
      </c>
      <c r="H2668" s="5">
        <v>44484</v>
      </c>
    </row>
    <row r="2669" spans="1:8" x14ac:dyDescent="0.25">
      <c r="A2669" t="s">
        <v>458</v>
      </c>
      <c r="B2669">
        <v>2023</v>
      </c>
      <c r="C2669" t="s">
        <v>92</v>
      </c>
      <c r="D2669" t="s">
        <v>38</v>
      </c>
      <c r="E2669" t="s">
        <v>455</v>
      </c>
      <c r="F2669" t="s">
        <v>242</v>
      </c>
      <c r="G2669" s="5">
        <v>35463</v>
      </c>
      <c r="H2669" s="5">
        <v>110563</v>
      </c>
    </row>
    <row r="2670" spans="1:8" x14ac:dyDescent="0.25">
      <c r="A2670" t="s">
        <v>458</v>
      </c>
      <c r="B2670">
        <v>2023</v>
      </c>
      <c r="C2670" t="s">
        <v>92</v>
      </c>
      <c r="D2670" t="s">
        <v>38</v>
      </c>
      <c r="E2670" t="s">
        <v>335</v>
      </c>
      <c r="F2670" t="s">
        <v>118</v>
      </c>
      <c r="G2670" s="5">
        <v>30816</v>
      </c>
      <c r="H2670" s="5">
        <v>30816</v>
      </c>
    </row>
    <row r="2671" spans="1:8" x14ac:dyDescent="0.25">
      <c r="A2671" t="s">
        <v>458</v>
      </c>
      <c r="B2671">
        <v>2023</v>
      </c>
      <c r="C2671" t="s">
        <v>92</v>
      </c>
      <c r="D2671" t="s">
        <v>38</v>
      </c>
      <c r="E2671" t="s">
        <v>334</v>
      </c>
      <c r="F2671" t="s">
        <v>117</v>
      </c>
      <c r="G2671" s="5">
        <v>28653</v>
      </c>
      <c r="H2671" s="5">
        <v>28653</v>
      </c>
    </row>
    <row r="2672" spans="1:8" x14ac:dyDescent="0.25">
      <c r="A2672" t="s">
        <v>458</v>
      </c>
      <c r="B2672">
        <v>2023</v>
      </c>
      <c r="C2672" t="s">
        <v>92</v>
      </c>
      <c r="D2672" t="s">
        <v>38</v>
      </c>
      <c r="E2672" t="s">
        <v>320</v>
      </c>
      <c r="F2672" t="s">
        <v>102</v>
      </c>
      <c r="G2672" s="5">
        <v>17134</v>
      </c>
      <c r="H2672" s="5">
        <v>17134</v>
      </c>
    </row>
    <row r="2673" spans="1:8" x14ac:dyDescent="0.25">
      <c r="A2673" t="s">
        <v>458</v>
      </c>
      <c r="B2673">
        <v>2023</v>
      </c>
      <c r="C2673" t="s">
        <v>92</v>
      </c>
      <c r="D2673" t="s">
        <v>38</v>
      </c>
      <c r="E2673" t="s">
        <v>336</v>
      </c>
      <c r="F2673" t="s">
        <v>119</v>
      </c>
      <c r="G2673" s="5">
        <v>10485</v>
      </c>
      <c r="H2673" s="5">
        <v>10485</v>
      </c>
    </row>
    <row r="2674" spans="1:8" x14ac:dyDescent="0.25">
      <c r="A2674" t="s">
        <v>458</v>
      </c>
      <c r="B2674">
        <v>2023</v>
      </c>
      <c r="C2674" t="s">
        <v>92</v>
      </c>
      <c r="D2674" t="s">
        <v>38</v>
      </c>
      <c r="E2674" t="s">
        <v>454</v>
      </c>
      <c r="F2674" t="s">
        <v>241</v>
      </c>
      <c r="G2674" s="5">
        <v>9849</v>
      </c>
      <c r="H2674" s="5">
        <v>24849</v>
      </c>
    </row>
    <row r="2675" spans="1:8" x14ac:dyDescent="0.25">
      <c r="A2675" t="s">
        <v>458</v>
      </c>
      <c r="B2675">
        <v>2023</v>
      </c>
      <c r="C2675" t="s">
        <v>35</v>
      </c>
      <c r="D2675" t="s">
        <v>35</v>
      </c>
      <c r="E2675" t="s">
        <v>343</v>
      </c>
      <c r="F2675" t="s">
        <v>126</v>
      </c>
      <c r="G2675" s="5">
        <v>5835719710</v>
      </c>
      <c r="H2675" s="5">
        <v>5867325143</v>
      </c>
    </row>
    <row r="2676" spans="1:8" x14ac:dyDescent="0.25">
      <c r="A2676" t="s">
        <v>458</v>
      </c>
      <c r="B2676">
        <v>2023</v>
      </c>
      <c r="C2676" t="s">
        <v>35</v>
      </c>
      <c r="D2676" t="s">
        <v>35</v>
      </c>
      <c r="E2676" t="s">
        <v>354</v>
      </c>
      <c r="F2676" t="s">
        <v>137</v>
      </c>
      <c r="G2676" s="5">
        <v>555640944</v>
      </c>
      <c r="H2676" s="5">
        <v>555958960</v>
      </c>
    </row>
    <row r="2677" spans="1:8" x14ac:dyDescent="0.25">
      <c r="A2677" t="s">
        <v>458</v>
      </c>
      <c r="B2677">
        <v>2023</v>
      </c>
      <c r="C2677" t="s">
        <v>35</v>
      </c>
      <c r="D2677" t="s">
        <v>35</v>
      </c>
      <c r="E2677" t="s">
        <v>348</v>
      </c>
      <c r="F2677" t="s">
        <v>131</v>
      </c>
      <c r="G2677" s="5">
        <v>526333851</v>
      </c>
      <c r="H2677" s="5">
        <v>902777168</v>
      </c>
    </row>
    <row r="2678" spans="1:8" x14ac:dyDescent="0.25">
      <c r="A2678" t="s">
        <v>458</v>
      </c>
      <c r="B2678">
        <v>2023</v>
      </c>
      <c r="C2678" t="s">
        <v>35</v>
      </c>
      <c r="D2678" t="s">
        <v>35</v>
      </c>
      <c r="E2678" t="s">
        <v>345</v>
      </c>
      <c r="F2678" t="s">
        <v>128</v>
      </c>
      <c r="G2678" s="5">
        <v>484345279</v>
      </c>
      <c r="H2678" s="5">
        <v>539712856</v>
      </c>
    </row>
    <row r="2679" spans="1:8" x14ac:dyDescent="0.25">
      <c r="A2679" t="s">
        <v>458</v>
      </c>
      <c r="B2679">
        <v>2023</v>
      </c>
      <c r="C2679" t="s">
        <v>35</v>
      </c>
      <c r="D2679" t="s">
        <v>35</v>
      </c>
      <c r="E2679" t="s">
        <v>344</v>
      </c>
      <c r="F2679" t="s">
        <v>127</v>
      </c>
      <c r="G2679" s="5">
        <v>389524461</v>
      </c>
      <c r="H2679" s="5">
        <v>390359869</v>
      </c>
    </row>
    <row r="2680" spans="1:8" x14ac:dyDescent="0.25">
      <c r="A2680" t="s">
        <v>458</v>
      </c>
      <c r="B2680">
        <v>2023</v>
      </c>
      <c r="C2680" t="s">
        <v>35</v>
      </c>
      <c r="D2680" t="s">
        <v>35</v>
      </c>
      <c r="E2680" t="s">
        <v>356</v>
      </c>
      <c r="F2680" t="s">
        <v>139</v>
      </c>
      <c r="G2680" s="5">
        <v>309742256</v>
      </c>
      <c r="H2680" s="5">
        <v>311200951</v>
      </c>
    </row>
    <row r="2681" spans="1:8" x14ac:dyDescent="0.25">
      <c r="A2681" t="s">
        <v>458</v>
      </c>
      <c r="B2681">
        <v>2023</v>
      </c>
      <c r="C2681" t="s">
        <v>35</v>
      </c>
      <c r="D2681" t="s">
        <v>35</v>
      </c>
      <c r="E2681" t="s">
        <v>352</v>
      </c>
      <c r="F2681" t="s">
        <v>135</v>
      </c>
      <c r="G2681" s="5">
        <v>307389557</v>
      </c>
      <c r="H2681" s="5">
        <v>312317316</v>
      </c>
    </row>
    <row r="2682" spans="1:8" x14ac:dyDescent="0.25">
      <c r="A2682" t="s">
        <v>458</v>
      </c>
      <c r="B2682">
        <v>2023</v>
      </c>
      <c r="C2682" t="s">
        <v>35</v>
      </c>
      <c r="D2682" t="s">
        <v>35</v>
      </c>
      <c r="E2682" t="s">
        <v>353</v>
      </c>
      <c r="F2682" t="s">
        <v>136</v>
      </c>
      <c r="G2682" s="5">
        <v>226536920</v>
      </c>
      <c r="H2682" s="5">
        <v>226583920</v>
      </c>
    </row>
    <row r="2683" spans="1:8" x14ac:dyDescent="0.25">
      <c r="A2683" t="s">
        <v>458</v>
      </c>
      <c r="B2683">
        <v>2023</v>
      </c>
      <c r="C2683" t="s">
        <v>35</v>
      </c>
      <c r="D2683" t="s">
        <v>35</v>
      </c>
      <c r="E2683" t="s">
        <v>360</v>
      </c>
      <c r="F2683" t="s">
        <v>143</v>
      </c>
      <c r="G2683" s="5">
        <v>219573401</v>
      </c>
      <c r="H2683" s="5">
        <v>219573401</v>
      </c>
    </row>
    <row r="2684" spans="1:8" x14ac:dyDescent="0.25">
      <c r="A2684" t="s">
        <v>458</v>
      </c>
      <c r="B2684">
        <v>2023</v>
      </c>
      <c r="C2684" t="s">
        <v>35</v>
      </c>
      <c r="D2684" t="s">
        <v>35</v>
      </c>
      <c r="E2684" t="s">
        <v>349</v>
      </c>
      <c r="F2684" t="s">
        <v>132</v>
      </c>
      <c r="G2684" s="5">
        <v>93531278</v>
      </c>
      <c r="H2684" s="5">
        <v>264511376</v>
      </c>
    </row>
    <row r="2685" spans="1:8" x14ac:dyDescent="0.25">
      <c r="A2685" t="s">
        <v>458</v>
      </c>
      <c r="B2685">
        <v>2023</v>
      </c>
      <c r="C2685" t="s">
        <v>35</v>
      </c>
      <c r="D2685" t="s">
        <v>35</v>
      </c>
      <c r="E2685" t="s">
        <v>362</v>
      </c>
      <c r="F2685" t="s">
        <v>145</v>
      </c>
      <c r="G2685" s="5">
        <v>78922017</v>
      </c>
      <c r="H2685" s="5">
        <v>405804292</v>
      </c>
    </row>
    <row r="2686" spans="1:8" x14ac:dyDescent="0.25">
      <c r="A2686" t="s">
        <v>458</v>
      </c>
      <c r="B2686">
        <v>2023</v>
      </c>
      <c r="C2686" t="s">
        <v>35</v>
      </c>
      <c r="D2686" t="s">
        <v>35</v>
      </c>
      <c r="E2686" t="s">
        <v>355</v>
      </c>
      <c r="F2686" t="s">
        <v>138</v>
      </c>
      <c r="G2686" s="5">
        <v>74371868</v>
      </c>
      <c r="H2686" s="5">
        <v>74442638</v>
      </c>
    </row>
    <row r="2687" spans="1:8" x14ac:dyDescent="0.25">
      <c r="A2687" t="s">
        <v>458</v>
      </c>
      <c r="B2687">
        <v>2023</v>
      </c>
      <c r="C2687" t="s">
        <v>35</v>
      </c>
      <c r="D2687" t="s">
        <v>35</v>
      </c>
      <c r="E2687" t="s">
        <v>346</v>
      </c>
      <c r="F2687" t="s">
        <v>129</v>
      </c>
      <c r="G2687" s="5">
        <v>53068677</v>
      </c>
      <c r="H2687" s="5">
        <v>800498196</v>
      </c>
    </row>
    <row r="2688" spans="1:8" x14ac:dyDescent="0.25">
      <c r="A2688" t="s">
        <v>458</v>
      </c>
      <c r="B2688">
        <v>2023</v>
      </c>
      <c r="C2688" t="s">
        <v>35</v>
      </c>
      <c r="D2688" t="s">
        <v>35</v>
      </c>
      <c r="E2688" t="s">
        <v>383</v>
      </c>
      <c r="F2688" t="s">
        <v>167</v>
      </c>
      <c r="G2688" s="5">
        <v>52658556</v>
      </c>
      <c r="H2688" s="5">
        <v>52700056</v>
      </c>
    </row>
    <row r="2689" spans="1:8" x14ac:dyDescent="0.25">
      <c r="A2689" t="s">
        <v>458</v>
      </c>
      <c r="B2689">
        <v>2023</v>
      </c>
      <c r="C2689" t="s">
        <v>35</v>
      </c>
      <c r="D2689" t="s">
        <v>35</v>
      </c>
      <c r="E2689" t="s">
        <v>357</v>
      </c>
      <c r="F2689" t="s">
        <v>140</v>
      </c>
      <c r="G2689" s="5">
        <v>51446700</v>
      </c>
      <c r="H2689" s="5">
        <v>51550776</v>
      </c>
    </row>
    <row r="2690" spans="1:8" x14ac:dyDescent="0.25">
      <c r="A2690" t="s">
        <v>458</v>
      </c>
      <c r="B2690">
        <v>2023</v>
      </c>
      <c r="C2690" t="s">
        <v>35</v>
      </c>
      <c r="D2690" t="s">
        <v>35</v>
      </c>
      <c r="E2690" t="s">
        <v>351</v>
      </c>
      <c r="F2690" t="s">
        <v>134</v>
      </c>
      <c r="G2690" s="5">
        <v>42744925</v>
      </c>
      <c r="H2690" s="5">
        <v>50928557</v>
      </c>
    </row>
    <row r="2691" spans="1:8" x14ac:dyDescent="0.25">
      <c r="A2691" t="s">
        <v>458</v>
      </c>
      <c r="B2691">
        <v>2023</v>
      </c>
      <c r="C2691" t="s">
        <v>35</v>
      </c>
      <c r="D2691" t="s">
        <v>35</v>
      </c>
      <c r="E2691" t="s">
        <v>347</v>
      </c>
      <c r="F2691" t="s">
        <v>130</v>
      </c>
      <c r="G2691" s="5">
        <v>37829357</v>
      </c>
      <c r="H2691" s="5">
        <v>39918139</v>
      </c>
    </row>
    <row r="2692" spans="1:8" x14ac:dyDescent="0.25">
      <c r="A2692" t="s">
        <v>458</v>
      </c>
      <c r="B2692">
        <v>2023</v>
      </c>
      <c r="C2692" t="s">
        <v>35</v>
      </c>
      <c r="D2692" t="s">
        <v>35</v>
      </c>
      <c r="E2692" t="s">
        <v>366</v>
      </c>
      <c r="F2692" t="s">
        <v>149</v>
      </c>
      <c r="G2692" s="5">
        <v>29500592</v>
      </c>
      <c r="H2692" s="5">
        <v>29582803</v>
      </c>
    </row>
    <row r="2693" spans="1:8" x14ac:dyDescent="0.25">
      <c r="A2693" t="s">
        <v>458</v>
      </c>
      <c r="B2693">
        <v>2023</v>
      </c>
      <c r="C2693" t="s">
        <v>35</v>
      </c>
      <c r="D2693" t="s">
        <v>35</v>
      </c>
      <c r="E2693" t="s">
        <v>379</v>
      </c>
      <c r="F2693" t="s">
        <v>163</v>
      </c>
      <c r="G2693" s="5">
        <v>28302320</v>
      </c>
      <c r="H2693" s="5">
        <v>28308220</v>
      </c>
    </row>
    <row r="2694" spans="1:8" x14ac:dyDescent="0.25">
      <c r="A2694" t="s">
        <v>458</v>
      </c>
      <c r="B2694">
        <v>2023</v>
      </c>
      <c r="C2694" t="s">
        <v>35</v>
      </c>
      <c r="D2694" t="s">
        <v>35</v>
      </c>
      <c r="E2694" t="s">
        <v>381</v>
      </c>
      <c r="F2694" t="s">
        <v>165</v>
      </c>
      <c r="G2694" s="5">
        <v>8199991</v>
      </c>
      <c r="H2694" s="5">
        <v>8199991</v>
      </c>
    </row>
    <row r="2695" spans="1:8" x14ac:dyDescent="0.25">
      <c r="A2695" t="s">
        <v>458</v>
      </c>
      <c r="B2695">
        <v>2023</v>
      </c>
      <c r="C2695" t="s">
        <v>35</v>
      </c>
      <c r="D2695" t="s">
        <v>35</v>
      </c>
      <c r="E2695" t="s">
        <v>378</v>
      </c>
      <c r="F2695" t="s">
        <v>162</v>
      </c>
      <c r="G2695" s="5">
        <v>4743801</v>
      </c>
      <c r="H2695" s="5">
        <v>4747049</v>
      </c>
    </row>
    <row r="2696" spans="1:8" x14ac:dyDescent="0.25">
      <c r="A2696" t="s">
        <v>458</v>
      </c>
      <c r="B2696">
        <v>2023</v>
      </c>
      <c r="C2696" t="s">
        <v>35</v>
      </c>
      <c r="D2696" t="s">
        <v>35</v>
      </c>
      <c r="E2696" t="s">
        <v>358</v>
      </c>
      <c r="F2696" t="s">
        <v>141</v>
      </c>
      <c r="G2696" s="5">
        <v>3616178</v>
      </c>
      <c r="H2696" s="5">
        <v>3620612</v>
      </c>
    </row>
    <row r="2697" spans="1:8" x14ac:dyDescent="0.25">
      <c r="A2697" t="s">
        <v>458</v>
      </c>
      <c r="B2697">
        <v>2023</v>
      </c>
      <c r="C2697" t="s">
        <v>35</v>
      </c>
      <c r="D2697" t="s">
        <v>35</v>
      </c>
      <c r="E2697" t="s">
        <v>359</v>
      </c>
      <c r="F2697" t="s">
        <v>142</v>
      </c>
      <c r="G2697" s="5">
        <v>3536811</v>
      </c>
      <c r="H2697" s="5">
        <v>3928640</v>
      </c>
    </row>
    <row r="2698" spans="1:8" x14ac:dyDescent="0.25">
      <c r="A2698" t="s">
        <v>458</v>
      </c>
      <c r="B2698">
        <v>2023</v>
      </c>
      <c r="C2698" t="s">
        <v>35</v>
      </c>
      <c r="D2698" t="s">
        <v>35</v>
      </c>
      <c r="E2698" t="s">
        <v>361</v>
      </c>
      <c r="F2698" t="s">
        <v>144</v>
      </c>
      <c r="G2698" s="5">
        <v>3088620</v>
      </c>
      <c r="H2698" s="5">
        <v>3123643</v>
      </c>
    </row>
    <row r="2699" spans="1:8" x14ac:dyDescent="0.25">
      <c r="A2699" t="s">
        <v>458</v>
      </c>
      <c r="B2699">
        <v>2023</v>
      </c>
      <c r="C2699" t="s">
        <v>35</v>
      </c>
      <c r="D2699" t="s">
        <v>35</v>
      </c>
      <c r="E2699" t="s">
        <v>382</v>
      </c>
      <c r="F2699" t="s">
        <v>166</v>
      </c>
      <c r="G2699" s="5">
        <v>3087747</v>
      </c>
      <c r="H2699" s="5">
        <v>3134523</v>
      </c>
    </row>
    <row r="2700" spans="1:8" x14ac:dyDescent="0.25">
      <c r="A2700" t="s">
        <v>458</v>
      </c>
      <c r="B2700">
        <v>2023</v>
      </c>
      <c r="C2700" t="s">
        <v>35</v>
      </c>
      <c r="D2700" t="s">
        <v>35</v>
      </c>
      <c r="E2700" t="s">
        <v>370</v>
      </c>
      <c r="F2700" t="s">
        <v>153</v>
      </c>
      <c r="G2700" s="5">
        <v>2889286</v>
      </c>
      <c r="H2700" s="5">
        <v>2890602</v>
      </c>
    </row>
    <row r="2701" spans="1:8" x14ac:dyDescent="0.25">
      <c r="A2701" t="s">
        <v>458</v>
      </c>
      <c r="B2701">
        <v>2023</v>
      </c>
      <c r="C2701" t="s">
        <v>35</v>
      </c>
      <c r="D2701" t="s">
        <v>35</v>
      </c>
      <c r="E2701" t="s">
        <v>372</v>
      </c>
      <c r="F2701" t="s">
        <v>155</v>
      </c>
      <c r="G2701" s="5">
        <v>2230108</v>
      </c>
      <c r="H2701" s="5">
        <v>2231429</v>
      </c>
    </row>
    <row r="2702" spans="1:8" x14ac:dyDescent="0.25">
      <c r="A2702" t="s">
        <v>458</v>
      </c>
      <c r="B2702">
        <v>2023</v>
      </c>
      <c r="C2702" t="s">
        <v>35</v>
      </c>
      <c r="D2702" t="s">
        <v>35</v>
      </c>
      <c r="E2702" t="s">
        <v>350</v>
      </c>
      <c r="F2702" t="s">
        <v>133</v>
      </c>
      <c r="G2702" s="5">
        <v>2010997</v>
      </c>
      <c r="H2702" s="5">
        <v>2169786</v>
      </c>
    </row>
    <row r="2703" spans="1:8" x14ac:dyDescent="0.25">
      <c r="A2703" t="s">
        <v>458</v>
      </c>
      <c r="B2703">
        <v>2023</v>
      </c>
      <c r="C2703" t="s">
        <v>35</v>
      </c>
      <c r="D2703" t="s">
        <v>35</v>
      </c>
      <c r="E2703" t="s">
        <v>364</v>
      </c>
      <c r="F2703" t="s">
        <v>147</v>
      </c>
      <c r="G2703" s="5">
        <v>1467575</v>
      </c>
      <c r="H2703" s="5">
        <v>5863438</v>
      </c>
    </row>
    <row r="2704" spans="1:8" x14ac:dyDescent="0.25">
      <c r="A2704" t="s">
        <v>458</v>
      </c>
      <c r="B2704">
        <v>2023</v>
      </c>
      <c r="C2704" t="s">
        <v>35</v>
      </c>
      <c r="D2704" t="s">
        <v>35</v>
      </c>
      <c r="E2704" t="s">
        <v>367</v>
      </c>
      <c r="F2704" t="s">
        <v>150</v>
      </c>
      <c r="G2704" s="5">
        <v>1400143</v>
      </c>
      <c r="H2704" s="5">
        <v>1400143</v>
      </c>
    </row>
    <row r="2705" spans="1:8" x14ac:dyDescent="0.25">
      <c r="A2705" t="s">
        <v>458</v>
      </c>
      <c r="B2705">
        <v>2023</v>
      </c>
      <c r="C2705" t="s">
        <v>35</v>
      </c>
      <c r="D2705" t="s">
        <v>35</v>
      </c>
      <c r="E2705" t="s">
        <v>380</v>
      </c>
      <c r="F2705" t="s">
        <v>164</v>
      </c>
      <c r="G2705" s="5">
        <v>1215050</v>
      </c>
      <c r="H2705" s="5">
        <v>1215050</v>
      </c>
    </row>
    <row r="2706" spans="1:8" x14ac:dyDescent="0.25">
      <c r="A2706" t="s">
        <v>458</v>
      </c>
      <c r="B2706">
        <v>2023</v>
      </c>
      <c r="C2706" t="s">
        <v>35</v>
      </c>
      <c r="D2706" t="s">
        <v>35</v>
      </c>
      <c r="E2706" t="s">
        <v>377</v>
      </c>
      <c r="F2706" t="s">
        <v>160</v>
      </c>
      <c r="G2706" s="5">
        <v>1006916</v>
      </c>
      <c r="H2706" s="5">
        <v>1016664</v>
      </c>
    </row>
    <row r="2707" spans="1:8" x14ac:dyDescent="0.25">
      <c r="A2707" t="s">
        <v>458</v>
      </c>
      <c r="B2707">
        <v>2023</v>
      </c>
      <c r="C2707" t="s">
        <v>35</v>
      </c>
      <c r="D2707" t="s">
        <v>35</v>
      </c>
      <c r="E2707" t="s">
        <v>371</v>
      </c>
      <c r="F2707" t="s">
        <v>154</v>
      </c>
      <c r="G2707" s="5">
        <v>879366</v>
      </c>
      <c r="H2707" s="5">
        <v>1846198210</v>
      </c>
    </row>
    <row r="2708" spans="1:8" x14ac:dyDescent="0.25">
      <c r="A2708" t="s">
        <v>458</v>
      </c>
      <c r="B2708">
        <v>2023</v>
      </c>
      <c r="C2708" t="s">
        <v>35</v>
      </c>
      <c r="D2708" t="s">
        <v>35</v>
      </c>
      <c r="E2708" t="s">
        <v>384</v>
      </c>
      <c r="F2708" t="s">
        <v>168</v>
      </c>
      <c r="G2708" s="5">
        <v>680621</v>
      </c>
      <c r="H2708" s="5">
        <v>680621</v>
      </c>
    </row>
    <row r="2709" spans="1:8" x14ac:dyDescent="0.25">
      <c r="A2709" t="s">
        <v>458</v>
      </c>
      <c r="B2709">
        <v>2023</v>
      </c>
      <c r="C2709" t="s">
        <v>35</v>
      </c>
      <c r="D2709" t="s">
        <v>35</v>
      </c>
      <c r="E2709" t="s">
        <v>376</v>
      </c>
      <c r="F2709" t="s">
        <v>159</v>
      </c>
      <c r="G2709" s="5">
        <v>584262</v>
      </c>
      <c r="H2709" s="5">
        <v>584262</v>
      </c>
    </row>
    <row r="2710" spans="1:8" x14ac:dyDescent="0.25">
      <c r="A2710" t="s">
        <v>458</v>
      </c>
      <c r="B2710">
        <v>2023</v>
      </c>
      <c r="C2710" t="s">
        <v>35</v>
      </c>
      <c r="D2710" t="s">
        <v>35</v>
      </c>
      <c r="E2710" t="s">
        <v>386</v>
      </c>
      <c r="F2710" t="s">
        <v>170</v>
      </c>
      <c r="G2710" s="5">
        <v>266027</v>
      </c>
      <c r="H2710" s="5">
        <v>266327</v>
      </c>
    </row>
    <row r="2711" spans="1:8" x14ac:dyDescent="0.25">
      <c r="A2711" t="s">
        <v>458</v>
      </c>
      <c r="B2711">
        <v>2023</v>
      </c>
      <c r="C2711" t="s">
        <v>35</v>
      </c>
      <c r="D2711" t="s">
        <v>35</v>
      </c>
      <c r="E2711" t="s">
        <v>385</v>
      </c>
      <c r="F2711" t="s">
        <v>169</v>
      </c>
      <c r="G2711" s="5">
        <v>171172</v>
      </c>
      <c r="H2711" s="5">
        <v>205727</v>
      </c>
    </row>
    <row r="2712" spans="1:8" x14ac:dyDescent="0.25">
      <c r="A2712" t="s">
        <v>458</v>
      </c>
      <c r="B2712">
        <v>2023</v>
      </c>
      <c r="C2712" t="s">
        <v>35</v>
      </c>
      <c r="D2712" t="s">
        <v>35</v>
      </c>
      <c r="E2712" t="s">
        <v>363</v>
      </c>
      <c r="F2712" t="s">
        <v>146</v>
      </c>
      <c r="G2712" s="5">
        <v>118909</v>
      </c>
      <c r="H2712" s="5">
        <v>2841377738</v>
      </c>
    </row>
    <row r="2713" spans="1:8" x14ac:dyDescent="0.25">
      <c r="A2713" t="s">
        <v>458</v>
      </c>
      <c r="B2713">
        <v>2023</v>
      </c>
      <c r="C2713" t="s">
        <v>35</v>
      </c>
      <c r="D2713" t="s">
        <v>35</v>
      </c>
      <c r="E2713" t="s">
        <v>375</v>
      </c>
      <c r="F2713" t="s">
        <v>158</v>
      </c>
      <c r="G2713" s="5">
        <v>112296</v>
      </c>
      <c r="H2713" s="5">
        <v>127296</v>
      </c>
    </row>
    <row r="2714" spans="1:8" x14ac:dyDescent="0.25">
      <c r="A2714" t="s">
        <v>458</v>
      </c>
      <c r="B2714">
        <v>2023</v>
      </c>
      <c r="C2714" t="s">
        <v>35</v>
      </c>
      <c r="D2714" t="s">
        <v>35</v>
      </c>
      <c r="E2714" t="s">
        <v>365</v>
      </c>
      <c r="F2714" t="s">
        <v>148</v>
      </c>
      <c r="G2714" s="5">
        <v>35260</v>
      </c>
      <c r="H2714" s="5">
        <v>35260</v>
      </c>
    </row>
    <row r="2715" spans="1:8" x14ac:dyDescent="0.25">
      <c r="A2715" t="s">
        <v>458</v>
      </c>
      <c r="B2715">
        <v>2023</v>
      </c>
      <c r="C2715" t="s">
        <v>35</v>
      </c>
      <c r="D2715" t="s">
        <v>35</v>
      </c>
      <c r="F2715" t="s">
        <v>161</v>
      </c>
      <c r="G2715" s="5">
        <v>28644</v>
      </c>
      <c r="H2715" s="5">
        <v>123469</v>
      </c>
    </row>
    <row r="2716" spans="1:8" x14ac:dyDescent="0.25">
      <c r="A2716" t="s">
        <v>458</v>
      </c>
      <c r="B2716">
        <v>2023</v>
      </c>
      <c r="C2716" t="s">
        <v>35</v>
      </c>
      <c r="D2716" t="s">
        <v>35</v>
      </c>
      <c r="E2716" t="s">
        <v>387</v>
      </c>
      <c r="F2716" t="s">
        <v>171</v>
      </c>
      <c r="G2716" s="5">
        <v>28350</v>
      </c>
      <c r="H2716" s="5">
        <v>28350</v>
      </c>
    </row>
    <row r="2717" spans="1:8" x14ac:dyDescent="0.25">
      <c r="A2717" t="s">
        <v>458</v>
      </c>
      <c r="B2717">
        <v>2023</v>
      </c>
      <c r="C2717" t="s">
        <v>35</v>
      </c>
      <c r="D2717" t="s">
        <v>35</v>
      </c>
      <c r="E2717" t="s">
        <v>374</v>
      </c>
      <c r="F2717" t="s">
        <v>157</v>
      </c>
      <c r="G2717" s="5">
        <v>4438</v>
      </c>
      <c r="H2717" s="5">
        <v>762065438</v>
      </c>
    </row>
    <row r="2718" spans="1:8" x14ac:dyDescent="0.25">
      <c r="A2718" t="s">
        <v>458</v>
      </c>
      <c r="B2718">
        <v>2023</v>
      </c>
      <c r="C2718" t="s">
        <v>35</v>
      </c>
      <c r="D2718" t="s">
        <v>35</v>
      </c>
      <c r="E2718" t="s">
        <v>369</v>
      </c>
      <c r="F2718" t="s">
        <v>152</v>
      </c>
      <c r="G2718" s="5">
        <v>2672</v>
      </c>
      <c r="H2718" s="5">
        <v>8197</v>
      </c>
    </row>
    <row r="2719" spans="1:8" x14ac:dyDescent="0.25">
      <c r="A2719" t="s">
        <v>458</v>
      </c>
      <c r="B2719">
        <v>2023</v>
      </c>
      <c r="C2719" t="s">
        <v>172</v>
      </c>
      <c r="D2719" t="s">
        <v>34</v>
      </c>
      <c r="E2719" t="s">
        <v>388</v>
      </c>
      <c r="F2719" t="s">
        <v>173</v>
      </c>
      <c r="G2719" s="5">
        <v>11417009657</v>
      </c>
      <c r="H2719" s="5">
        <v>11655152036</v>
      </c>
    </row>
    <row r="2720" spans="1:8" x14ac:dyDescent="0.25">
      <c r="A2720" t="s">
        <v>458</v>
      </c>
      <c r="B2720">
        <v>2023</v>
      </c>
      <c r="C2720" t="s">
        <v>172</v>
      </c>
      <c r="D2720" t="s">
        <v>34</v>
      </c>
      <c r="E2720" t="s">
        <v>391</v>
      </c>
      <c r="F2720" t="s">
        <v>176</v>
      </c>
      <c r="G2720" s="5">
        <v>2627940608</v>
      </c>
      <c r="H2720" s="5">
        <v>3069290175</v>
      </c>
    </row>
    <row r="2721" spans="1:8" x14ac:dyDescent="0.25">
      <c r="A2721" t="s">
        <v>458</v>
      </c>
      <c r="B2721">
        <v>2023</v>
      </c>
      <c r="C2721" t="s">
        <v>172</v>
      </c>
      <c r="D2721" t="s">
        <v>34</v>
      </c>
      <c r="E2721" t="s">
        <v>390</v>
      </c>
      <c r="F2721" t="s">
        <v>175</v>
      </c>
      <c r="G2721" s="5">
        <v>2330073749</v>
      </c>
      <c r="H2721" s="5">
        <v>2404778909</v>
      </c>
    </row>
    <row r="2722" spans="1:8" x14ac:dyDescent="0.25">
      <c r="A2722" t="s">
        <v>458</v>
      </c>
      <c r="B2722">
        <v>2023</v>
      </c>
      <c r="C2722" t="s">
        <v>172</v>
      </c>
      <c r="D2722" t="s">
        <v>34</v>
      </c>
      <c r="E2722" t="s">
        <v>389</v>
      </c>
      <c r="F2722" t="s">
        <v>174</v>
      </c>
      <c r="G2722" s="5">
        <v>1522843881</v>
      </c>
      <c r="H2722" s="5">
        <v>1530088918</v>
      </c>
    </row>
    <row r="2723" spans="1:8" x14ac:dyDescent="0.25">
      <c r="A2723" t="s">
        <v>458</v>
      </c>
      <c r="B2723">
        <v>2023</v>
      </c>
      <c r="C2723" t="s">
        <v>172</v>
      </c>
      <c r="D2723" t="s">
        <v>34</v>
      </c>
      <c r="E2723" t="s">
        <v>392</v>
      </c>
      <c r="F2723" t="s">
        <v>178</v>
      </c>
      <c r="G2723" s="5">
        <v>1238155892</v>
      </c>
      <c r="H2723" s="5">
        <v>1275287362</v>
      </c>
    </row>
    <row r="2724" spans="1:8" x14ac:dyDescent="0.25">
      <c r="A2724" t="s">
        <v>458</v>
      </c>
      <c r="B2724">
        <v>2023</v>
      </c>
      <c r="C2724" t="s">
        <v>172</v>
      </c>
      <c r="D2724" t="s">
        <v>34</v>
      </c>
      <c r="E2724" t="s">
        <v>394</v>
      </c>
      <c r="F2724" t="s">
        <v>180</v>
      </c>
      <c r="G2724" s="5">
        <v>954478413</v>
      </c>
      <c r="H2724" s="5">
        <v>1298657510</v>
      </c>
    </row>
    <row r="2725" spans="1:8" x14ac:dyDescent="0.25">
      <c r="A2725" t="s">
        <v>458</v>
      </c>
      <c r="B2725">
        <v>2023</v>
      </c>
      <c r="C2725" t="s">
        <v>172</v>
      </c>
      <c r="D2725" t="s">
        <v>34</v>
      </c>
      <c r="E2725" t="s">
        <v>396</v>
      </c>
      <c r="F2725" t="s">
        <v>183</v>
      </c>
      <c r="G2725" s="5">
        <v>689604570</v>
      </c>
      <c r="H2725" s="5">
        <v>691896566</v>
      </c>
    </row>
    <row r="2726" spans="1:8" x14ac:dyDescent="0.25">
      <c r="A2726" t="s">
        <v>458</v>
      </c>
      <c r="B2726">
        <v>2023</v>
      </c>
      <c r="C2726" t="s">
        <v>172</v>
      </c>
      <c r="D2726" t="s">
        <v>34</v>
      </c>
      <c r="E2726" t="s">
        <v>393</v>
      </c>
      <c r="F2726" t="s">
        <v>179</v>
      </c>
      <c r="G2726" s="5">
        <v>689453340</v>
      </c>
      <c r="H2726" s="5">
        <v>691279318</v>
      </c>
    </row>
    <row r="2727" spans="1:8" x14ac:dyDescent="0.25">
      <c r="A2727" t="s">
        <v>458</v>
      </c>
      <c r="B2727">
        <v>2023</v>
      </c>
      <c r="C2727" t="s">
        <v>172</v>
      </c>
      <c r="D2727" t="s">
        <v>34</v>
      </c>
      <c r="E2727" t="s">
        <v>395</v>
      </c>
      <c r="F2727" t="s">
        <v>181</v>
      </c>
      <c r="G2727" s="5">
        <v>665263104</v>
      </c>
      <c r="H2727" s="5">
        <v>677754815</v>
      </c>
    </row>
    <row r="2728" spans="1:8" x14ac:dyDescent="0.25">
      <c r="A2728" t="s">
        <v>458</v>
      </c>
      <c r="B2728">
        <v>2023</v>
      </c>
      <c r="C2728" t="s">
        <v>172</v>
      </c>
      <c r="D2728" t="s">
        <v>34</v>
      </c>
      <c r="E2728" t="s">
        <v>400</v>
      </c>
      <c r="F2728" t="s">
        <v>189</v>
      </c>
      <c r="G2728" s="5">
        <v>426881359</v>
      </c>
      <c r="H2728" s="5">
        <v>426979472</v>
      </c>
    </row>
    <row r="2729" spans="1:8" x14ac:dyDescent="0.25">
      <c r="A2729" t="s">
        <v>458</v>
      </c>
      <c r="B2729">
        <v>2023</v>
      </c>
      <c r="C2729" t="s">
        <v>172</v>
      </c>
      <c r="D2729" t="s">
        <v>34</v>
      </c>
      <c r="E2729" t="s">
        <v>403</v>
      </c>
      <c r="F2729" t="s">
        <v>192</v>
      </c>
      <c r="G2729" s="5">
        <v>424848161</v>
      </c>
      <c r="H2729" s="5">
        <v>425080519</v>
      </c>
    </row>
    <row r="2730" spans="1:8" x14ac:dyDescent="0.25">
      <c r="A2730" t="s">
        <v>458</v>
      </c>
      <c r="B2730">
        <v>2023</v>
      </c>
      <c r="C2730" t="s">
        <v>172</v>
      </c>
      <c r="D2730" t="s">
        <v>34</v>
      </c>
      <c r="E2730" t="s">
        <v>397</v>
      </c>
      <c r="F2730" t="s">
        <v>184</v>
      </c>
      <c r="G2730" s="5">
        <v>423431894</v>
      </c>
      <c r="H2730" s="5">
        <v>436359131</v>
      </c>
    </row>
    <row r="2731" spans="1:8" x14ac:dyDescent="0.25">
      <c r="A2731" t="s">
        <v>458</v>
      </c>
      <c r="B2731">
        <v>2023</v>
      </c>
      <c r="C2731" t="s">
        <v>172</v>
      </c>
      <c r="D2731" t="s">
        <v>34</v>
      </c>
      <c r="E2731" t="s">
        <v>398</v>
      </c>
      <c r="F2731" t="s">
        <v>186</v>
      </c>
      <c r="G2731" s="5">
        <v>384780646</v>
      </c>
      <c r="H2731" s="5">
        <v>385058531</v>
      </c>
    </row>
    <row r="2732" spans="1:8" x14ac:dyDescent="0.25">
      <c r="A2732" t="s">
        <v>458</v>
      </c>
      <c r="B2732">
        <v>2023</v>
      </c>
      <c r="C2732" t="s">
        <v>172</v>
      </c>
      <c r="D2732" t="s">
        <v>34</v>
      </c>
      <c r="E2732" t="s">
        <v>399</v>
      </c>
      <c r="F2732" t="s">
        <v>187</v>
      </c>
      <c r="G2732" s="5">
        <v>357733210</v>
      </c>
      <c r="H2732" s="5">
        <v>357857059</v>
      </c>
    </row>
    <row r="2733" spans="1:8" x14ac:dyDescent="0.25">
      <c r="A2733" t="s">
        <v>458</v>
      </c>
      <c r="B2733">
        <v>2023</v>
      </c>
      <c r="C2733" t="s">
        <v>172</v>
      </c>
      <c r="D2733" t="s">
        <v>34</v>
      </c>
      <c r="E2733" t="s">
        <v>405</v>
      </c>
      <c r="F2733" t="s">
        <v>194</v>
      </c>
      <c r="G2733" s="5">
        <v>271804691</v>
      </c>
      <c r="H2733" s="5">
        <v>272418194</v>
      </c>
    </row>
    <row r="2734" spans="1:8" x14ac:dyDescent="0.25">
      <c r="A2734" t="s">
        <v>458</v>
      </c>
      <c r="B2734">
        <v>2023</v>
      </c>
      <c r="C2734" t="s">
        <v>172</v>
      </c>
      <c r="D2734" t="s">
        <v>34</v>
      </c>
      <c r="E2734" t="s">
        <v>402</v>
      </c>
      <c r="F2734" t="s">
        <v>191</v>
      </c>
      <c r="G2734" s="5">
        <v>261019377</v>
      </c>
      <c r="H2734" s="5">
        <v>276514674</v>
      </c>
    </row>
    <row r="2735" spans="1:8" x14ac:dyDescent="0.25">
      <c r="A2735" t="s">
        <v>458</v>
      </c>
      <c r="B2735">
        <v>2023</v>
      </c>
      <c r="C2735" t="s">
        <v>172</v>
      </c>
      <c r="D2735" t="s">
        <v>34</v>
      </c>
      <c r="E2735" t="s">
        <v>401</v>
      </c>
      <c r="F2735" t="s">
        <v>190</v>
      </c>
      <c r="G2735" s="5">
        <v>151419648</v>
      </c>
      <c r="H2735" s="5">
        <v>155242981</v>
      </c>
    </row>
    <row r="2736" spans="1:8" x14ac:dyDescent="0.25">
      <c r="A2736" t="s">
        <v>458</v>
      </c>
      <c r="B2736">
        <v>2023</v>
      </c>
      <c r="C2736" t="s">
        <v>172</v>
      </c>
      <c r="D2736" t="s">
        <v>34</v>
      </c>
      <c r="E2736" t="s">
        <v>404</v>
      </c>
      <c r="F2736" t="s">
        <v>193</v>
      </c>
      <c r="G2736" s="5">
        <v>116035556</v>
      </c>
      <c r="H2736" s="5">
        <v>116156633</v>
      </c>
    </row>
    <row r="2737" spans="1:8" x14ac:dyDescent="0.25">
      <c r="A2737" t="s">
        <v>458</v>
      </c>
      <c r="B2737">
        <v>2023</v>
      </c>
      <c r="C2737" t="s">
        <v>172</v>
      </c>
      <c r="D2737" t="s">
        <v>34</v>
      </c>
      <c r="E2737" t="s">
        <v>406</v>
      </c>
      <c r="F2737" t="s">
        <v>195</v>
      </c>
      <c r="G2737" s="5">
        <v>70058657</v>
      </c>
      <c r="H2737" s="5">
        <v>70060424</v>
      </c>
    </row>
    <row r="2738" spans="1:8" x14ac:dyDescent="0.25">
      <c r="A2738" t="s">
        <v>458</v>
      </c>
      <c r="B2738">
        <v>2023</v>
      </c>
      <c r="C2738" t="s">
        <v>172</v>
      </c>
      <c r="D2738" t="s">
        <v>34</v>
      </c>
      <c r="E2738" t="s">
        <v>409</v>
      </c>
      <c r="F2738" t="s">
        <v>199</v>
      </c>
      <c r="G2738" s="5">
        <v>49132075</v>
      </c>
      <c r="H2738" s="5">
        <v>68246991</v>
      </c>
    </row>
    <row r="2739" spans="1:8" x14ac:dyDescent="0.25">
      <c r="A2739" t="s">
        <v>458</v>
      </c>
      <c r="B2739">
        <v>2023</v>
      </c>
      <c r="C2739" t="s">
        <v>172</v>
      </c>
      <c r="D2739" t="s">
        <v>34</v>
      </c>
      <c r="E2739" t="s">
        <v>411</v>
      </c>
      <c r="F2739" t="s">
        <v>203</v>
      </c>
      <c r="G2739" s="5">
        <v>43346929</v>
      </c>
      <c r="H2739" s="5">
        <v>43358564</v>
      </c>
    </row>
    <row r="2740" spans="1:8" x14ac:dyDescent="0.25">
      <c r="A2740" t="s">
        <v>458</v>
      </c>
      <c r="B2740">
        <v>2023</v>
      </c>
      <c r="C2740" t="s">
        <v>172</v>
      </c>
      <c r="D2740" t="s">
        <v>34</v>
      </c>
      <c r="E2740" t="s">
        <v>407</v>
      </c>
      <c r="F2740" t="s">
        <v>197</v>
      </c>
      <c r="G2740" s="5">
        <v>38304221</v>
      </c>
      <c r="H2740" s="5">
        <v>43999114</v>
      </c>
    </row>
    <row r="2741" spans="1:8" x14ac:dyDescent="0.25">
      <c r="A2741" t="s">
        <v>458</v>
      </c>
      <c r="B2741">
        <v>2023</v>
      </c>
      <c r="C2741" t="s">
        <v>172</v>
      </c>
      <c r="D2741" t="s">
        <v>34</v>
      </c>
      <c r="E2741" t="s">
        <v>408</v>
      </c>
      <c r="F2741" t="s">
        <v>198</v>
      </c>
      <c r="G2741" s="5">
        <v>29568693</v>
      </c>
      <c r="H2741" s="5">
        <v>30374712</v>
      </c>
    </row>
    <row r="2742" spans="1:8" x14ac:dyDescent="0.25">
      <c r="A2742" t="s">
        <v>458</v>
      </c>
      <c r="B2742">
        <v>2023</v>
      </c>
      <c r="C2742" t="s">
        <v>172</v>
      </c>
      <c r="D2742" t="s">
        <v>34</v>
      </c>
      <c r="E2742" t="s">
        <v>412</v>
      </c>
      <c r="F2742" t="s">
        <v>204</v>
      </c>
      <c r="G2742" s="5">
        <v>23736054</v>
      </c>
      <c r="H2742" s="5">
        <v>23736754</v>
      </c>
    </row>
    <row r="2743" spans="1:8" x14ac:dyDescent="0.25">
      <c r="A2743" t="s">
        <v>458</v>
      </c>
      <c r="B2743">
        <v>2023</v>
      </c>
      <c r="C2743" t="s">
        <v>172</v>
      </c>
      <c r="D2743" t="s">
        <v>34</v>
      </c>
      <c r="E2743" t="s">
        <v>410</v>
      </c>
      <c r="F2743" t="s">
        <v>201</v>
      </c>
      <c r="G2743" s="5">
        <v>23290120</v>
      </c>
      <c r="H2743" s="5">
        <v>23290120</v>
      </c>
    </row>
    <row r="2744" spans="1:8" x14ac:dyDescent="0.25">
      <c r="A2744" t="s">
        <v>458</v>
      </c>
      <c r="B2744">
        <v>2023</v>
      </c>
      <c r="C2744" t="s">
        <v>172</v>
      </c>
      <c r="D2744" t="s">
        <v>34</v>
      </c>
      <c r="E2744" t="s">
        <v>414</v>
      </c>
      <c r="F2744" t="s">
        <v>209</v>
      </c>
      <c r="G2744" s="5">
        <v>7449889</v>
      </c>
      <c r="H2744" s="5">
        <v>7580293</v>
      </c>
    </row>
    <row r="2745" spans="1:8" x14ac:dyDescent="0.25">
      <c r="A2745" t="s">
        <v>458</v>
      </c>
      <c r="B2745">
        <v>2023</v>
      </c>
      <c r="C2745" t="s">
        <v>172</v>
      </c>
      <c r="D2745" t="s">
        <v>34</v>
      </c>
      <c r="E2745" t="s">
        <v>413</v>
      </c>
      <c r="F2745" t="s">
        <v>207</v>
      </c>
      <c r="G2745" s="5">
        <v>2245377</v>
      </c>
      <c r="H2745" s="5">
        <v>2586732</v>
      </c>
    </row>
    <row r="2746" spans="1:8" x14ac:dyDescent="0.25">
      <c r="A2746" t="s">
        <v>458</v>
      </c>
      <c r="B2746">
        <v>2023</v>
      </c>
      <c r="C2746" t="s">
        <v>172</v>
      </c>
      <c r="D2746" t="s">
        <v>37</v>
      </c>
      <c r="E2746" t="s">
        <v>415</v>
      </c>
      <c r="F2746" t="s">
        <v>177</v>
      </c>
      <c r="G2746" s="5">
        <v>655416125</v>
      </c>
      <c r="H2746" s="5">
        <v>1816132125</v>
      </c>
    </row>
    <row r="2747" spans="1:8" x14ac:dyDescent="0.25">
      <c r="A2747" t="s">
        <v>458</v>
      </c>
      <c r="B2747">
        <v>2023</v>
      </c>
      <c r="C2747" t="s">
        <v>172</v>
      </c>
      <c r="D2747" t="s">
        <v>37</v>
      </c>
      <c r="E2747" t="s">
        <v>416</v>
      </c>
      <c r="F2747" t="s">
        <v>182</v>
      </c>
      <c r="G2747" s="5">
        <v>559011104</v>
      </c>
      <c r="H2747" s="5">
        <v>642356046</v>
      </c>
    </row>
    <row r="2748" spans="1:8" x14ac:dyDescent="0.25">
      <c r="A2748" t="s">
        <v>458</v>
      </c>
      <c r="B2748">
        <v>2023</v>
      </c>
      <c r="C2748" t="s">
        <v>172</v>
      </c>
      <c r="D2748" t="s">
        <v>37</v>
      </c>
      <c r="E2748" t="s">
        <v>418</v>
      </c>
      <c r="F2748" t="s">
        <v>188</v>
      </c>
      <c r="G2748" s="5">
        <v>70930702</v>
      </c>
      <c r="H2748" s="5">
        <v>70962008</v>
      </c>
    </row>
    <row r="2749" spans="1:8" x14ac:dyDescent="0.25">
      <c r="A2749" t="s">
        <v>458</v>
      </c>
      <c r="B2749">
        <v>2023</v>
      </c>
      <c r="C2749" t="s">
        <v>172</v>
      </c>
      <c r="D2749" t="s">
        <v>37</v>
      </c>
      <c r="E2749" t="s">
        <v>420</v>
      </c>
      <c r="F2749" t="s">
        <v>200</v>
      </c>
      <c r="G2749" s="5">
        <v>65410860</v>
      </c>
      <c r="H2749" s="5">
        <v>65538313</v>
      </c>
    </row>
    <row r="2750" spans="1:8" x14ac:dyDescent="0.25">
      <c r="A2750" t="s">
        <v>458</v>
      </c>
      <c r="B2750">
        <v>2023</v>
      </c>
      <c r="C2750" t="s">
        <v>172</v>
      </c>
      <c r="D2750" t="s">
        <v>37</v>
      </c>
      <c r="E2750" t="s">
        <v>423</v>
      </c>
      <c r="F2750" t="s">
        <v>206</v>
      </c>
      <c r="G2750" s="5">
        <v>18071125</v>
      </c>
      <c r="H2750" s="5">
        <v>18071125</v>
      </c>
    </row>
    <row r="2751" spans="1:8" x14ac:dyDescent="0.25">
      <c r="A2751" t="s">
        <v>458</v>
      </c>
      <c r="B2751">
        <v>2023</v>
      </c>
      <c r="C2751" t="s">
        <v>172</v>
      </c>
      <c r="D2751" t="s">
        <v>37</v>
      </c>
      <c r="E2751" t="s">
        <v>422</v>
      </c>
      <c r="F2751" t="s">
        <v>205</v>
      </c>
      <c r="G2751" s="5">
        <v>16767912</v>
      </c>
      <c r="H2751" s="5">
        <v>16768617</v>
      </c>
    </row>
    <row r="2752" spans="1:8" x14ac:dyDescent="0.25">
      <c r="A2752" t="s">
        <v>458</v>
      </c>
      <c r="B2752">
        <v>2023</v>
      </c>
      <c r="C2752" t="s">
        <v>172</v>
      </c>
      <c r="D2752" t="s">
        <v>37</v>
      </c>
      <c r="E2752" t="s">
        <v>425</v>
      </c>
      <c r="F2752" t="s">
        <v>210</v>
      </c>
      <c r="G2752" s="5">
        <v>16573809</v>
      </c>
      <c r="H2752" s="5">
        <v>16588012</v>
      </c>
    </row>
    <row r="2753" spans="1:8" x14ac:dyDescent="0.25">
      <c r="A2753" t="s">
        <v>458</v>
      </c>
      <c r="B2753">
        <v>2023</v>
      </c>
      <c r="C2753" t="s">
        <v>172</v>
      </c>
      <c r="D2753" t="s">
        <v>37</v>
      </c>
      <c r="E2753" t="s">
        <v>419</v>
      </c>
      <c r="F2753" t="s">
        <v>196</v>
      </c>
      <c r="G2753" s="5">
        <v>15540260</v>
      </c>
      <c r="H2753" s="5">
        <v>17230028</v>
      </c>
    </row>
    <row r="2754" spans="1:8" x14ac:dyDescent="0.25">
      <c r="A2754" t="s">
        <v>458</v>
      </c>
      <c r="B2754">
        <v>2023</v>
      </c>
      <c r="C2754" t="s">
        <v>172</v>
      </c>
      <c r="D2754" t="s">
        <v>37</v>
      </c>
      <c r="E2754" t="s">
        <v>417</v>
      </c>
      <c r="F2754" t="s">
        <v>185</v>
      </c>
      <c r="G2754" s="5">
        <v>12694292</v>
      </c>
      <c r="H2754" s="5">
        <v>905376606</v>
      </c>
    </row>
    <row r="2755" spans="1:8" x14ac:dyDescent="0.25">
      <c r="A2755" t="s">
        <v>458</v>
      </c>
      <c r="B2755">
        <v>2023</v>
      </c>
      <c r="C2755" t="s">
        <v>172</v>
      </c>
      <c r="D2755" t="s">
        <v>37</v>
      </c>
      <c r="E2755" t="s">
        <v>424</v>
      </c>
      <c r="F2755" t="s">
        <v>208</v>
      </c>
      <c r="G2755" s="5">
        <v>9013466</v>
      </c>
      <c r="H2755" s="5">
        <v>9013466</v>
      </c>
    </row>
    <row r="2756" spans="1:8" x14ac:dyDescent="0.25">
      <c r="A2756" t="s">
        <v>458</v>
      </c>
      <c r="B2756">
        <v>2023</v>
      </c>
      <c r="C2756" t="s">
        <v>172</v>
      </c>
      <c r="D2756" t="s">
        <v>37</v>
      </c>
      <c r="E2756" t="s">
        <v>426</v>
      </c>
      <c r="F2756" t="s">
        <v>211</v>
      </c>
      <c r="G2756" s="5">
        <v>5265021</v>
      </c>
      <c r="H2756" s="5">
        <v>5295591</v>
      </c>
    </row>
    <row r="2757" spans="1:8" x14ac:dyDescent="0.25">
      <c r="A2757" t="s">
        <v>458</v>
      </c>
      <c r="B2757">
        <v>2023</v>
      </c>
      <c r="C2757" t="s">
        <v>172</v>
      </c>
      <c r="D2757" t="s">
        <v>37</v>
      </c>
      <c r="E2757" t="s">
        <v>427</v>
      </c>
      <c r="F2757" t="s">
        <v>212</v>
      </c>
      <c r="G2757" s="5">
        <v>2849617</v>
      </c>
      <c r="H2757" s="5">
        <v>2849617</v>
      </c>
    </row>
    <row r="2758" spans="1:8" x14ac:dyDescent="0.25">
      <c r="A2758" t="s">
        <v>458</v>
      </c>
      <c r="B2758">
        <v>2023</v>
      </c>
      <c r="C2758" t="s">
        <v>172</v>
      </c>
      <c r="D2758" t="s">
        <v>37</v>
      </c>
      <c r="F2758" t="s">
        <v>215</v>
      </c>
      <c r="G2758" s="5">
        <v>1388171</v>
      </c>
      <c r="H2758" s="5">
        <v>1428617</v>
      </c>
    </row>
    <row r="2759" spans="1:8" x14ac:dyDescent="0.25">
      <c r="A2759" t="s">
        <v>458</v>
      </c>
      <c r="B2759">
        <v>2023</v>
      </c>
      <c r="C2759" t="s">
        <v>172</v>
      </c>
      <c r="D2759" t="s">
        <v>37</v>
      </c>
      <c r="E2759" t="s">
        <v>421</v>
      </c>
      <c r="F2759" t="s">
        <v>202</v>
      </c>
      <c r="G2759" s="5">
        <v>891128</v>
      </c>
      <c r="H2759" s="5">
        <v>891128</v>
      </c>
    </row>
    <row r="2760" spans="1:8" x14ac:dyDescent="0.25">
      <c r="A2760" t="s">
        <v>458</v>
      </c>
      <c r="B2760">
        <v>2023</v>
      </c>
      <c r="C2760" t="s">
        <v>172</v>
      </c>
      <c r="D2760" t="s">
        <v>37</v>
      </c>
      <c r="E2760" t="s">
        <v>430</v>
      </c>
      <c r="F2760" t="s">
        <v>216</v>
      </c>
      <c r="G2760" s="5">
        <v>180794</v>
      </c>
      <c r="H2760" s="5">
        <v>187759</v>
      </c>
    </row>
    <row r="2761" spans="1:8" x14ac:dyDescent="0.25">
      <c r="A2761" t="s">
        <v>458</v>
      </c>
      <c r="B2761">
        <v>2023</v>
      </c>
      <c r="C2761" t="s">
        <v>172</v>
      </c>
      <c r="D2761" t="s">
        <v>37</v>
      </c>
      <c r="E2761" t="s">
        <v>428</v>
      </c>
      <c r="F2761" t="s">
        <v>213</v>
      </c>
      <c r="G2761" s="5">
        <v>121745</v>
      </c>
      <c r="H2761" s="5">
        <v>122345</v>
      </c>
    </row>
    <row r="2762" spans="1:8" x14ac:dyDescent="0.25">
      <c r="A2762" t="s">
        <v>458</v>
      </c>
      <c r="B2762">
        <v>2023</v>
      </c>
      <c r="C2762" t="s">
        <v>172</v>
      </c>
      <c r="D2762" t="s">
        <v>37</v>
      </c>
      <c r="E2762" t="s">
        <v>429</v>
      </c>
      <c r="F2762" t="s">
        <v>214</v>
      </c>
      <c r="G2762" s="5">
        <v>21373</v>
      </c>
      <c r="H2762" s="5">
        <v>21373</v>
      </c>
    </row>
    <row r="2763" spans="1:8" x14ac:dyDescent="0.25">
      <c r="A2763" t="s">
        <v>458</v>
      </c>
      <c r="B2763">
        <v>2023</v>
      </c>
      <c r="C2763" t="s">
        <v>40</v>
      </c>
      <c r="D2763" t="s">
        <v>40</v>
      </c>
      <c r="E2763" t="s">
        <v>432</v>
      </c>
      <c r="F2763" t="s">
        <v>218</v>
      </c>
      <c r="G2763" s="5">
        <v>16741317</v>
      </c>
      <c r="H2763" s="5">
        <v>1752011451</v>
      </c>
    </row>
    <row r="2764" spans="1:8" x14ac:dyDescent="0.25">
      <c r="A2764" t="s">
        <v>458</v>
      </c>
      <c r="B2764">
        <v>2023</v>
      </c>
      <c r="C2764" t="s">
        <v>40</v>
      </c>
      <c r="D2764" t="s">
        <v>40</v>
      </c>
      <c r="E2764" t="s">
        <v>433</v>
      </c>
      <c r="F2764" t="s">
        <v>219</v>
      </c>
      <c r="G2764" s="5">
        <v>7597526</v>
      </c>
      <c r="H2764" s="5">
        <v>7611347</v>
      </c>
    </row>
    <row r="2765" spans="1:8" x14ac:dyDescent="0.25">
      <c r="A2765" t="s">
        <v>458</v>
      </c>
      <c r="B2765">
        <v>2023</v>
      </c>
      <c r="C2765" t="s">
        <v>40</v>
      </c>
      <c r="D2765" t="s">
        <v>40</v>
      </c>
      <c r="E2765" t="s">
        <v>435</v>
      </c>
      <c r="F2765" t="s">
        <v>221</v>
      </c>
      <c r="G2765" s="5">
        <v>127841</v>
      </c>
      <c r="H2765" s="5">
        <v>127841</v>
      </c>
    </row>
    <row r="2766" spans="1:8" x14ac:dyDescent="0.25">
      <c r="A2766" t="s">
        <v>458</v>
      </c>
      <c r="B2766">
        <v>2023</v>
      </c>
      <c r="C2766" t="s">
        <v>40</v>
      </c>
      <c r="D2766" t="s">
        <v>40</v>
      </c>
      <c r="F2766" t="s">
        <v>225</v>
      </c>
      <c r="G2766" s="5">
        <v>115403</v>
      </c>
      <c r="H2766" s="5">
        <v>115403</v>
      </c>
    </row>
    <row r="2767" spans="1:8" x14ac:dyDescent="0.25">
      <c r="A2767" t="s">
        <v>458</v>
      </c>
      <c r="B2767">
        <v>2023</v>
      </c>
      <c r="C2767" t="s">
        <v>40</v>
      </c>
      <c r="D2767" t="s">
        <v>40</v>
      </c>
      <c r="E2767" t="s">
        <v>434</v>
      </c>
      <c r="F2767" t="s">
        <v>220</v>
      </c>
      <c r="G2767" s="5">
        <v>102155</v>
      </c>
      <c r="H2767" s="5">
        <v>104063</v>
      </c>
    </row>
    <row r="2768" spans="1:8" x14ac:dyDescent="0.25">
      <c r="A2768" t="s">
        <v>458</v>
      </c>
      <c r="B2768">
        <v>2023</v>
      </c>
      <c r="C2768" t="s">
        <v>40</v>
      </c>
      <c r="D2768" t="s">
        <v>40</v>
      </c>
      <c r="E2768" t="s">
        <v>438</v>
      </c>
      <c r="F2768" t="s">
        <v>224</v>
      </c>
      <c r="G2768" s="5">
        <v>25456</v>
      </c>
      <c r="H2768" s="5">
        <v>97555</v>
      </c>
    </row>
    <row r="2769" spans="1:8" x14ac:dyDescent="0.25">
      <c r="A2769" t="s">
        <v>458</v>
      </c>
      <c r="B2769">
        <v>2024</v>
      </c>
      <c r="C2769" t="s">
        <v>39</v>
      </c>
      <c r="D2769" t="s">
        <v>39</v>
      </c>
      <c r="E2769" t="s">
        <v>268</v>
      </c>
      <c r="F2769" t="s">
        <v>47</v>
      </c>
      <c r="G2769" s="5">
        <v>117660020</v>
      </c>
      <c r="H2769" s="5">
        <v>1086170626</v>
      </c>
    </row>
    <row r="2770" spans="1:8" x14ac:dyDescent="0.25">
      <c r="A2770" t="s">
        <v>458</v>
      </c>
      <c r="B2770">
        <v>2024</v>
      </c>
      <c r="C2770" t="s">
        <v>39</v>
      </c>
      <c r="D2770" t="s">
        <v>39</v>
      </c>
      <c r="E2770" t="s">
        <v>273</v>
      </c>
      <c r="F2770" t="s">
        <v>52</v>
      </c>
      <c r="G2770" s="5">
        <v>102436129</v>
      </c>
      <c r="H2770" s="5">
        <v>102438123</v>
      </c>
    </row>
    <row r="2771" spans="1:8" x14ac:dyDescent="0.25">
      <c r="A2771" t="s">
        <v>458</v>
      </c>
      <c r="B2771">
        <v>2024</v>
      </c>
      <c r="C2771" t="s">
        <v>39</v>
      </c>
      <c r="D2771" t="s">
        <v>39</v>
      </c>
      <c r="E2771" t="s">
        <v>271</v>
      </c>
      <c r="F2771" t="s">
        <v>50</v>
      </c>
      <c r="G2771" s="5">
        <v>62918650</v>
      </c>
      <c r="H2771" s="5">
        <v>63070773</v>
      </c>
    </row>
    <row r="2772" spans="1:8" x14ac:dyDescent="0.25">
      <c r="A2772" t="s">
        <v>458</v>
      </c>
      <c r="B2772">
        <v>2024</v>
      </c>
      <c r="C2772" t="s">
        <v>39</v>
      </c>
      <c r="D2772" t="s">
        <v>39</v>
      </c>
      <c r="E2772" t="s">
        <v>281</v>
      </c>
      <c r="F2772" t="s">
        <v>60</v>
      </c>
      <c r="G2772" s="5">
        <v>54226916</v>
      </c>
      <c r="H2772" s="5">
        <v>54226916</v>
      </c>
    </row>
    <row r="2773" spans="1:8" x14ac:dyDescent="0.25">
      <c r="A2773" t="s">
        <v>458</v>
      </c>
      <c r="B2773">
        <v>2024</v>
      </c>
      <c r="C2773" t="s">
        <v>39</v>
      </c>
      <c r="D2773" t="s">
        <v>39</v>
      </c>
      <c r="E2773" t="s">
        <v>269</v>
      </c>
      <c r="F2773" t="s">
        <v>48</v>
      </c>
      <c r="G2773" s="5">
        <v>20329242</v>
      </c>
      <c r="H2773" s="5">
        <v>21346126</v>
      </c>
    </row>
    <row r="2774" spans="1:8" x14ac:dyDescent="0.25">
      <c r="A2774" t="s">
        <v>458</v>
      </c>
      <c r="B2774">
        <v>2024</v>
      </c>
      <c r="C2774" t="s">
        <v>39</v>
      </c>
      <c r="D2774" t="s">
        <v>39</v>
      </c>
      <c r="E2774" t="s">
        <v>296</v>
      </c>
      <c r="F2774" t="s">
        <v>76</v>
      </c>
      <c r="G2774" s="5">
        <v>12334261</v>
      </c>
      <c r="H2774" s="5">
        <v>12344376</v>
      </c>
    </row>
    <row r="2775" spans="1:8" x14ac:dyDescent="0.25">
      <c r="A2775" t="s">
        <v>458</v>
      </c>
      <c r="B2775">
        <v>2024</v>
      </c>
      <c r="C2775" t="s">
        <v>39</v>
      </c>
      <c r="D2775" t="s">
        <v>39</v>
      </c>
      <c r="E2775" t="s">
        <v>279</v>
      </c>
      <c r="F2775" t="s">
        <v>58</v>
      </c>
      <c r="G2775" s="5">
        <v>8690507</v>
      </c>
      <c r="H2775" s="5">
        <v>8788161</v>
      </c>
    </row>
    <row r="2776" spans="1:8" x14ac:dyDescent="0.25">
      <c r="A2776" t="s">
        <v>458</v>
      </c>
      <c r="B2776">
        <v>2024</v>
      </c>
      <c r="C2776" t="s">
        <v>39</v>
      </c>
      <c r="D2776" t="s">
        <v>39</v>
      </c>
      <c r="E2776" t="s">
        <v>277</v>
      </c>
      <c r="F2776" t="s">
        <v>56</v>
      </c>
      <c r="G2776" s="5">
        <v>7992415</v>
      </c>
      <c r="H2776" s="5">
        <v>7995859</v>
      </c>
    </row>
    <row r="2777" spans="1:8" x14ac:dyDescent="0.25">
      <c r="A2777" t="s">
        <v>458</v>
      </c>
      <c r="B2777">
        <v>2024</v>
      </c>
      <c r="C2777" t="s">
        <v>39</v>
      </c>
      <c r="D2777" t="s">
        <v>39</v>
      </c>
      <c r="E2777" t="s">
        <v>286</v>
      </c>
      <c r="F2777" t="s">
        <v>66</v>
      </c>
      <c r="G2777" s="5">
        <v>3918124</v>
      </c>
      <c r="H2777" s="5">
        <v>3954622</v>
      </c>
    </row>
    <row r="2778" spans="1:8" x14ac:dyDescent="0.25">
      <c r="A2778" t="s">
        <v>458</v>
      </c>
      <c r="B2778">
        <v>2024</v>
      </c>
      <c r="C2778" t="s">
        <v>39</v>
      </c>
      <c r="D2778" t="s">
        <v>39</v>
      </c>
      <c r="E2778" t="s">
        <v>272</v>
      </c>
      <c r="F2778" t="s">
        <v>51</v>
      </c>
      <c r="G2778" s="5">
        <v>2262070</v>
      </c>
      <c r="H2778" s="5">
        <v>2263570</v>
      </c>
    </row>
    <row r="2779" spans="1:8" x14ac:dyDescent="0.25">
      <c r="A2779" t="s">
        <v>458</v>
      </c>
      <c r="B2779">
        <v>2024</v>
      </c>
      <c r="C2779" t="s">
        <v>39</v>
      </c>
      <c r="D2779" t="s">
        <v>39</v>
      </c>
      <c r="E2779" t="s">
        <v>307</v>
      </c>
      <c r="F2779" t="s">
        <v>87</v>
      </c>
      <c r="G2779" s="5">
        <v>1759881</v>
      </c>
      <c r="H2779" s="5">
        <v>1759881</v>
      </c>
    </row>
    <row r="2780" spans="1:8" x14ac:dyDescent="0.25">
      <c r="A2780" t="s">
        <v>458</v>
      </c>
      <c r="B2780">
        <v>2024</v>
      </c>
      <c r="C2780" t="s">
        <v>39</v>
      </c>
      <c r="D2780" t="s">
        <v>39</v>
      </c>
      <c r="E2780" t="s">
        <v>280</v>
      </c>
      <c r="F2780" t="s">
        <v>59</v>
      </c>
      <c r="G2780" s="5">
        <v>1549820</v>
      </c>
      <c r="H2780" s="5">
        <v>1549820</v>
      </c>
    </row>
    <row r="2781" spans="1:8" x14ac:dyDescent="0.25">
      <c r="A2781" t="s">
        <v>458</v>
      </c>
      <c r="B2781">
        <v>2024</v>
      </c>
      <c r="C2781" t="s">
        <v>39</v>
      </c>
      <c r="D2781" t="s">
        <v>39</v>
      </c>
      <c r="E2781" t="s">
        <v>466</v>
      </c>
      <c r="F2781" t="s">
        <v>254</v>
      </c>
      <c r="G2781" s="5">
        <v>1533009</v>
      </c>
      <c r="H2781" s="5">
        <v>1533009</v>
      </c>
    </row>
    <row r="2782" spans="1:8" x14ac:dyDescent="0.25">
      <c r="A2782" t="s">
        <v>458</v>
      </c>
      <c r="B2782">
        <v>2024</v>
      </c>
      <c r="C2782" t="s">
        <v>39</v>
      </c>
      <c r="D2782" t="s">
        <v>39</v>
      </c>
      <c r="E2782" t="s">
        <v>290</v>
      </c>
      <c r="F2782" t="s">
        <v>70</v>
      </c>
      <c r="G2782" s="5">
        <v>1251744</v>
      </c>
      <c r="H2782" s="5">
        <v>1261650</v>
      </c>
    </row>
    <row r="2783" spans="1:8" x14ac:dyDescent="0.25">
      <c r="A2783" t="s">
        <v>458</v>
      </c>
      <c r="B2783">
        <v>2024</v>
      </c>
      <c r="C2783" t="s">
        <v>39</v>
      </c>
      <c r="D2783" t="s">
        <v>39</v>
      </c>
      <c r="E2783" t="s">
        <v>270</v>
      </c>
      <c r="F2783" t="s">
        <v>49</v>
      </c>
      <c r="G2783" s="5">
        <v>1172099</v>
      </c>
      <c r="H2783" s="5">
        <v>1180599</v>
      </c>
    </row>
    <row r="2784" spans="1:8" x14ac:dyDescent="0.25">
      <c r="A2784" t="s">
        <v>458</v>
      </c>
      <c r="B2784">
        <v>2024</v>
      </c>
      <c r="C2784" t="s">
        <v>39</v>
      </c>
      <c r="D2784" t="s">
        <v>39</v>
      </c>
      <c r="F2784" t="s">
        <v>64</v>
      </c>
      <c r="G2784" s="5">
        <v>1068053</v>
      </c>
      <c r="H2784" s="5">
        <v>1356214</v>
      </c>
    </row>
    <row r="2785" spans="1:8" x14ac:dyDescent="0.25">
      <c r="A2785" t="s">
        <v>458</v>
      </c>
      <c r="B2785">
        <v>2024</v>
      </c>
      <c r="C2785" t="s">
        <v>39</v>
      </c>
      <c r="D2785" t="s">
        <v>39</v>
      </c>
      <c r="E2785" t="s">
        <v>275</v>
      </c>
      <c r="F2785" t="s">
        <v>54</v>
      </c>
      <c r="G2785" s="5">
        <v>843581</v>
      </c>
      <c r="H2785" s="5">
        <v>882074</v>
      </c>
    </row>
    <row r="2786" spans="1:8" x14ac:dyDescent="0.25">
      <c r="A2786" t="s">
        <v>458</v>
      </c>
      <c r="B2786">
        <v>2024</v>
      </c>
      <c r="C2786" t="s">
        <v>39</v>
      </c>
      <c r="D2786" t="s">
        <v>39</v>
      </c>
      <c r="E2786" t="s">
        <v>459</v>
      </c>
      <c r="F2786" t="s">
        <v>247</v>
      </c>
      <c r="G2786" s="5">
        <v>459796</v>
      </c>
      <c r="H2786" s="5">
        <v>489358</v>
      </c>
    </row>
    <row r="2787" spans="1:8" x14ac:dyDescent="0.25">
      <c r="A2787" t="s">
        <v>458</v>
      </c>
      <c r="B2787">
        <v>2024</v>
      </c>
      <c r="C2787" t="s">
        <v>39</v>
      </c>
      <c r="D2787" t="s">
        <v>39</v>
      </c>
      <c r="E2787" t="s">
        <v>294</v>
      </c>
      <c r="F2787" t="s">
        <v>74</v>
      </c>
      <c r="G2787" s="5">
        <v>407358</v>
      </c>
      <c r="H2787" s="5">
        <v>407358</v>
      </c>
    </row>
    <row r="2788" spans="1:8" x14ac:dyDescent="0.25">
      <c r="A2788" t="s">
        <v>458</v>
      </c>
      <c r="B2788">
        <v>2024</v>
      </c>
      <c r="C2788" t="s">
        <v>39</v>
      </c>
      <c r="D2788" t="s">
        <v>39</v>
      </c>
      <c r="E2788" t="s">
        <v>291</v>
      </c>
      <c r="F2788" t="s">
        <v>71</v>
      </c>
      <c r="G2788" s="5">
        <v>382282</v>
      </c>
      <c r="H2788" s="5">
        <v>1001955</v>
      </c>
    </row>
    <row r="2789" spans="1:8" x14ac:dyDescent="0.25">
      <c r="A2789" t="s">
        <v>458</v>
      </c>
      <c r="B2789">
        <v>2024</v>
      </c>
      <c r="C2789" t="s">
        <v>39</v>
      </c>
      <c r="D2789" t="s">
        <v>39</v>
      </c>
      <c r="E2789" t="s">
        <v>287</v>
      </c>
      <c r="F2789" t="s">
        <v>67</v>
      </c>
      <c r="G2789" s="5">
        <v>342818</v>
      </c>
      <c r="H2789" s="5">
        <v>347549</v>
      </c>
    </row>
    <row r="2790" spans="1:8" x14ac:dyDescent="0.25">
      <c r="A2790" t="s">
        <v>458</v>
      </c>
      <c r="B2790">
        <v>2024</v>
      </c>
      <c r="C2790" t="s">
        <v>39</v>
      </c>
      <c r="D2790" t="s">
        <v>39</v>
      </c>
      <c r="E2790" t="s">
        <v>276</v>
      </c>
      <c r="F2790" t="s">
        <v>55</v>
      </c>
      <c r="G2790" s="5">
        <v>330356</v>
      </c>
      <c r="H2790" s="5">
        <v>330356</v>
      </c>
    </row>
    <row r="2791" spans="1:8" x14ac:dyDescent="0.25">
      <c r="A2791" t="s">
        <v>458</v>
      </c>
      <c r="B2791">
        <v>2024</v>
      </c>
      <c r="C2791" t="s">
        <v>39</v>
      </c>
      <c r="D2791" t="s">
        <v>39</v>
      </c>
      <c r="E2791" t="s">
        <v>292</v>
      </c>
      <c r="F2791" t="s">
        <v>72</v>
      </c>
      <c r="G2791" s="5">
        <v>308545</v>
      </c>
      <c r="H2791" s="5">
        <v>311831</v>
      </c>
    </row>
    <row r="2792" spans="1:8" x14ac:dyDescent="0.25">
      <c r="A2792" t="s">
        <v>458</v>
      </c>
      <c r="B2792">
        <v>2024</v>
      </c>
      <c r="C2792" t="s">
        <v>39</v>
      </c>
      <c r="D2792" t="s">
        <v>39</v>
      </c>
      <c r="E2792" t="s">
        <v>284</v>
      </c>
      <c r="F2792" t="s">
        <v>63</v>
      </c>
      <c r="G2792" s="5">
        <v>271004</v>
      </c>
      <c r="H2792" s="5">
        <v>275137</v>
      </c>
    </row>
    <row r="2793" spans="1:8" x14ac:dyDescent="0.25">
      <c r="A2793" t="s">
        <v>458</v>
      </c>
      <c r="B2793">
        <v>2024</v>
      </c>
      <c r="C2793" t="s">
        <v>39</v>
      </c>
      <c r="D2793" t="s">
        <v>39</v>
      </c>
      <c r="E2793" t="s">
        <v>282</v>
      </c>
      <c r="F2793" t="s">
        <v>61</v>
      </c>
      <c r="G2793" s="5">
        <v>253390</v>
      </c>
      <c r="H2793" s="5">
        <v>253390</v>
      </c>
    </row>
    <row r="2794" spans="1:8" x14ac:dyDescent="0.25">
      <c r="A2794" t="s">
        <v>458</v>
      </c>
      <c r="B2794">
        <v>2024</v>
      </c>
      <c r="C2794" t="s">
        <v>39</v>
      </c>
      <c r="D2794" t="s">
        <v>39</v>
      </c>
      <c r="E2794" t="s">
        <v>283</v>
      </c>
      <c r="F2794" t="s">
        <v>62</v>
      </c>
      <c r="G2794" s="5">
        <v>237497</v>
      </c>
      <c r="H2794" s="5">
        <v>701491</v>
      </c>
    </row>
    <row r="2795" spans="1:8" x14ac:dyDescent="0.25">
      <c r="A2795" t="s">
        <v>458</v>
      </c>
      <c r="B2795">
        <v>2024</v>
      </c>
      <c r="C2795" t="s">
        <v>39</v>
      </c>
      <c r="D2795" t="s">
        <v>39</v>
      </c>
      <c r="E2795" t="s">
        <v>303</v>
      </c>
      <c r="F2795" t="s">
        <v>83</v>
      </c>
      <c r="G2795" s="5">
        <v>192035</v>
      </c>
      <c r="H2795" s="5">
        <v>324301</v>
      </c>
    </row>
    <row r="2796" spans="1:8" x14ac:dyDescent="0.25">
      <c r="A2796" t="s">
        <v>458</v>
      </c>
      <c r="B2796">
        <v>2024</v>
      </c>
      <c r="C2796" t="s">
        <v>39</v>
      </c>
      <c r="D2796" t="s">
        <v>39</v>
      </c>
      <c r="E2796" t="s">
        <v>311</v>
      </c>
      <c r="F2796" t="s">
        <v>91</v>
      </c>
      <c r="G2796" s="5">
        <v>136717</v>
      </c>
      <c r="H2796" s="5">
        <v>136717</v>
      </c>
    </row>
    <row r="2797" spans="1:8" x14ac:dyDescent="0.25">
      <c r="A2797" t="s">
        <v>458</v>
      </c>
      <c r="B2797">
        <v>2024</v>
      </c>
      <c r="C2797" t="s">
        <v>39</v>
      </c>
      <c r="D2797" t="s">
        <v>39</v>
      </c>
      <c r="E2797" t="s">
        <v>467</v>
      </c>
      <c r="F2797" t="s">
        <v>255</v>
      </c>
      <c r="G2797" s="5">
        <v>108470</v>
      </c>
      <c r="H2797" s="5">
        <v>108470</v>
      </c>
    </row>
    <row r="2798" spans="1:8" x14ac:dyDescent="0.25">
      <c r="A2798" t="s">
        <v>458</v>
      </c>
      <c r="B2798">
        <v>2024</v>
      </c>
      <c r="C2798" t="s">
        <v>39</v>
      </c>
      <c r="D2798" t="s">
        <v>39</v>
      </c>
      <c r="E2798" t="s">
        <v>278</v>
      </c>
      <c r="F2798" t="s">
        <v>57</v>
      </c>
      <c r="G2798" s="5">
        <v>46446</v>
      </c>
      <c r="H2798" s="5">
        <v>46446</v>
      </c>
    </row>
    <row r="2799" spans="1:8" x14ac:dyDescent="0.25">
      <c r="A2799" t="s">
        <v>458</v>
      </c>
      <c r="B2799">
        <v>2024</v>
      </c>
      <c r="C2799" t="s">
        <v>39</v>
      </c>
      <c r="D2799" t="s">
        <v>39</v>
      </c>
      <c r="E2799" t="s">
        <v>305</v>
      </c>
      <c r="F2799" t="s">
        <v>85</v>
      </c>
      <c r="G2799" s="5">
        <v>33275</v>
      </c>
      <c r="H2799" s="5">
        <v>37305</v>
      </c>
    </row>
    <row r="2800" spans="1:8" x14ac:dyDescent="0.25">
      <c r="A2800" t="s">
        <v>458</v>
      </c>
      <c r="B2800">
        <v>2024</v>
      </c>
      <c r="C2800" t="s">
        <v>39</v>
      </c>
      <c r="D2800" t="s">
        <v>39</v>
      </c>
      <c r="E2800" t="s">
        <v>293</v>
      </c>
      <c r="F2800" t="s">
        <v>73</v>
      </c>
      <c r="G2800" s="5">
        <v>29286</v>
      </c>
      <c r="H2800" s="5">
        <v>47845</v>
      </c>
    </row>
    <row r="2801" spans="1:8" x14ac:dyDescent="0.25">
      <c r="A2801" t="s">
        <v>458</v>
      </c>
      <c r="B2801">
        <v>2024</v>
      </c>
      <c r="C2801" t="s">
        <v>39</v>
      </c>
      <c r="D2801" t="s">
        <v>39</v>
      </c>
      <c r="E2801" t="s">
        <v>298</v>
      </c>
      <c r="F2801" t="s">
        <v>78</v>
      </c>
      <c r="G2801" s="5">
        <v>25533</v>
      </c>
      <c r="H2801" s="5">
        <v>25533</v>
      </c>
    </row>
    <row r="2802" spans="1:8" x14ac:dyDescent="0.25">
      <c r="A2802" t="s">
        <v>458</v>
      </c>
      <c r="B2802">
        <v>2024</v>
      </c>
      <c r="C2802" t="s">
        <v>39</v>
      </c>
      <c r="D2802" t="s">
        <v>39</v>
      </c>
      <c r="E2802" t="s">
        <v>295</v>
      </c>
      <c r="F2802" t="s">
        <v>75</v>
      </c>
      <c r="G2802" s="5">
        <v>22435</v>
      </c>
      <c r="H2802" s="5">
        <v>22435</v>
      </c>
    </row>
    <row r="2803" spans="1:8" x14ac:dyDescent="0.25">
      <c r="A2803" t="s">
        <v>458</v>
      </c>
      <c r="B2803">
        <v>2024</v>
      </c>
      <c r="C2803" t="s">
        <v>39</v>
      </c>
      <c r="D2803" t="s">
        <v>39</v>
      </c>
      <c r="E2803" t="s">
        <v>300</v>
      </c>
      <c r="F2803" t="s">
        <v>80</v>
      </c>
      <c r="G2803" s="5">
        <v>21651</v>
      </c>
      <c r="H2803" s="5">
        <v>21651</v>
      </c>
    </row>
    <row r="2804" spans="1:8" x14ac:dyDescent="0.25">
      <c r="A2804" t="s">
        <v>458</v>
      </c>
      <c r="B2804">
        <v>2024</v>
      </c>
      <c r="C2804" t="s">
        <v>39</v>
      </c>
      <c r="D2804" t="s">
        <v>39</v>
      </c>
      <c r="E2804" t="s">
        <v>439</v>
      </c>
      <c r="F2804" t="s">
        <v>226</v>
      </c>
      <c r="G2804" s="5">
        <v>19622</v>
      </c>
      <c r="H2804" s="5">
        <v>19622</v>
      </c>
    </row>
    <row r="2805" spans="1:8" x14ac:dyDescent="0.25">
      <c r="A2805" t="s">
        <v>458</v>
      </c>
      <c r="B2805">
        <v>2024</v>
      </c>
      <c r="C2805" t="s">
        <v>39</v>
      </c>
      <c r="D2805" t="s">
        <v>39</v>
      </c>
      <c r="E2805" t="s">
        <v>285</v>
      </c>
      <c r="F2805" t="s">
        <v>65</v>
      </c>
      <c r="G2805" s="5">
        <v>10205</v>
      </c>
      <c r="H2805" s="5">
        <v>10205</v>
      </c>
    </row>
    <row r="2806" spans="1:8" x14ac:dyDescent="0.25">
      <c r="A2806" t="s">
        <v>458</v>
      </c>
      <c r="B2806">
        <v>2024</v>
      </c>
      <c r="C2806" t="s">
        <v>39</v>
      </c>
      <c r="D2806" t="s">
        <v>39</v>
      </c>
      <c r="E2806" t="s">
        <v>464</v>
      </c>
      <c r="F2806" t="s">
        <v>252</v>
      </c>
      <c r="G2806" s="5">
        <v>5322</v>
      </c>
      <c r="H2806" s="5">
        <v>5322</v>
      </c>
    </row>
    <row r="2807" spans="1:8" x14ac:dyDescent="0.25">
      <c r="A2807" t="s">
        <v>458</v>
      </c>
      <c r="B2807">
        <v>2024</v>
      </c>
      <c r="C2807" t="s">
        <v>92</v>
      </c>
      <c r="D2807" t="s">
        <v>36</v>
      </c>
      <c r="E2807" t="s">
        <v>36</v>
      </c>
      <c r="F2807" t="s">
        <v>93</v>
      </c>
      <c r="G2807" s="5">
        <v>2149026039</v>
      </c>
      <c r="H2807" s="5">
        <v>5172251097</v>
      </c>
    </row>
    <row r="2808" spans="1:8" x14ac:dyDescent="0.25">
      <c r="A2808" t="s">
        <v>458</v>
      </c>
      <c r="B2808">
        <v>2024</v>
      </c>
      <c r="C2808" t="s">
        <v>92</v>
      </c>
      <c r="D2808" t="s">
        <v>38</v>
      </c>
      <c r="E2808" t="s">
        <v>314</v>
      </c>
      <c r="F2808" t="s">
        <v>96</v>
      </c>
      <c r="G2808" s="5">
        <v>231791979</v>
      </c>
      <c r="H2808" s="5">
        <v>368311284</v>
      </c>
    </row>
    <row r="2809" spans="1:8" x14ac:dyDescent="0.25">
      <c r="A2809" t="s">
        <v>458</v>
      </c>
      <c r="B2809">
        <v>2024</v>
      </c>
      <c r="C2809" t="s">
        <v>92</v>
      </c>
      <c r="D2809" t="s">
        <v>38</v>
      </c>
      <c r="E2809" t="s">
        <v>313</v>
      </c>
      <c r="F2809" t="s">
        <v>95</v>
      </c>
      <c r="G2809" s="5">
        <v>166589413</v>
      </c>
      <c r="H2809" s="5">
        <v>2010072110</v>
      </c>
    </row>
    <row r="2810" spans="1:8" x14ac:dyDescent="0.25">
      <c r="A2810" t="s">
        <v>458</v>
      </c>
      <c r="B2810">
        <v>2024</v>
      </c>
      <c r="C2810" t="s">
        <v>92</v>
      </c>
      <c r="D2810" t="s">
        <v>38</v>
      </c>
      <c r="E2810" t="s">
        <v>312</v>
      </c>
      <c r="F2810" t="s">
        <v>94</v>
      </c>
      <c r="G2810" s="5">
        <v>66946279</v>
      </c>
      <c r="H2810" s="5">
        <v>91785080</v>
      </c>
    </row>
    <row r="2811" spans="1:8" x14ac:dyDescent="0.25">
      <c r="A2811" t="s">
        <v>458</v>
      </c>
      <c r="B2811">
        <v>2024</v>
      </c>
      <c r="C2811" t="s">
        <v>92</v>
      </c>
      <c r="D2811" t="s">
        <v>38</v>
      </c>
      <c r="E2811" t="s">
        <v>322</v>
      </c>
      <c r="F2811" t="s">
        <v>105</v>
      </c>
      <c r="G2811" s="5">
        <v>52317099</v>
      </c>
      <c r="H2811" s="5">
        <v>52317899</v>
      </c>
    </row>
    <row r="2812" spans="1:8" x14ac:dyDescent="0.25">
      <c r="A2812" t="s">
        <v>458</v>
      </c>
      <c r="B2812">
        <v>2024</v>
      </c>
      <c r="C2812" t="s">
        <v>92</v>
      </c>
      <c r="D2812" t="s">
        <v>38</v>
      </c>
      <c r="E2812" t="s">
        <v>321</v>
      </c>
      <c r="F2812" t="s">
        <v>103</v>
      </c>
      <c r="G2812" s="5">
        <v>32475850</v>
      </c>
      <c r="H2812" s="5">
        <v>32476050</v>
      </c>
    </row>
    <row r="2813" spans="1:8" x14ac:dyDescent="0.25">
      <c r="A2813" t="s">
        <v>458</v>
      </c>
      <c r="B2813">
        <v>2024</v>
      </c>
      <c r="C2813" t="s">
        <v>92</v>
      </c>
      <c r="D2813" t="s">
        <v>38</v>
      </c>
      <c r="E2813" t="s">
        <v>319</v>
      </c>
      <c r="F2813" t="s">
        <v>101</v>
      </c>
      <c r="G2813" s="5">
        <v>29304198</v>
      </c>
      <c r="H2813" s="5">
        <v>29429723</v>
      </c>
    </row>
    <row r="2814" spans="1:8" x14ac:dyDescent="0.25">
      <c r="A2814" t="s">
        <v>458</v>
      </c>
      <c r="B2814">
        <v>2024</v>
      </c>
      <c r="C2814" t="s">
        <v>92</v>
      </c>
      <c r="D2814" t="s">
        <v>38</v>
      </c>
      <c r="E2814" t="s">
        <v>315</v>
      </c>
      <c r="F2814" t="s">
        <v>97</v>
      </c>
      <c r="G2814" s="5">
        <v>16703857</v>
      </c>
      <c r="H2814" s="5">
        <v>16704213</v>
      </c>
    </row>
    <row r="2815" spans="1:8" x14ac:dyDescent="0.25">
      <c r="A2815" t="s">
        <v>458</v>
      </c>
      <c r="B2815">
        <v>2024</v>
      </c>
      <c r="C2815" t="s">
        <v>92</v>
      </c>
      <c r="D2815" t="s">
        <v>38</v>
      </c>
      <c r="E2815" t="s">
        <v>318</v>
      </c>
      <c r="F2815" t="s">
        <v>100</v>
      </c>
      <c r="G2815" s="5">
        <v>12932297</v>
      </c>
      <c r="H2815" s="5">
        <v>13510353</v>
      </c>
    </row>
    <row r="2816" spans="1:8" x14ac:dyDescent="0.25">
      <c r="A2816" t="s">
        <v>458</v>
      </c>
      <c r="B2816">
        <v>2024</v>
      </c>
      <c r="C2816" t="s">
        <v>92</v>
      </c>
      <c r="D2816" t="s">
        <v>38</v>
      </c>
      <c r="E2816" t="s">
        <v>325</v>
      </c>
      <c r="F2816" t="s">
        <v>108</v>
      </c>
      <c r="G2816" s="5">
        <v>11527579</v>
      </c>
      <c r="H2816" s="5">
        <v>11537310</v>
      </c>
    </row>
    <row r="2817" spans="1:8" x14ac:dyDescent="0.25">
      <c r="A2817" t="s">
        <v>458</v>
      </c>
      <c r="B2817">
        <v>2024</v>
      </c>
      <c r="C2817" t="s">
        <v>92</v>
      </c>
      <c r="D2817" t="s">
        <v>38</v>
      </c>
      <c r="E2817" t="s">
        <v>316</v>
      </c>
      <c r="F2817" t="s">
        <v>98</v>
      </c>
      <c r="G2817" s="5">
        <v>6073991</v>
      </c>
      <c r="H2817" s="5">
        <v>6167793</v>
      </c>
    </row>
    <row r="2818" spans="1:8" x14ac:dyDescent="0.25">
      <c r="A2818" t="s">
        <v>458</v>
      </c>
      <c r="B2818">
        <v>2024</v>
      </c>
      <c r="C2818" t="s">
        <v>92</v>
      </c>
      <c r="D2818" t="s">
        <v>38</v>
      </c>
      <c r="F2818" t="s">
        <v>104</v>
      </c>
      <c r="G2818" s="5">
        <v>4656928</v>
      </c>
      <c r="H2818" s="5">
        <v>4936928</v>
      </c>
    </row>
    <row r="2819" spans="1:8" x14ac:dyDescent="0.25">
      <c r="A2819" t="s">
        <v>458</v>
      </c>
      <c r="B2819">
        <v>2024</v>
      </c>
      <c r="C2819" t="s">
        <v>92</v>
      </c>
      <c r="D2819" t="s">
        <v>38</v>
      </c>
      <c r="E2819" t="s">
        <v>331</v>
      </c>
      <c r="F2819" t="s">
        <v>114</v>
      </c>
      <c r="G2819" s="5">
        <v>3849203</v>
      </c>
      <c r="H2819" s="5">
        <v>3849203</v>
      </c>
    </row>
    <row r="2820" spans="1:8" x14ac:dyDescent="0.25">
      <c r="A2820" t="s">
        <v>458</v>
      </c>
      <c r="B2820">
        <v>2024</v>
      </c>
      <c r="C2820" t="s">
        <v>92</v>
      </c>
      <c r="D2820" t="s">
        <v>38</v>
      </c>
      <c r="E2820" t="s">
        <v>332</v>
      </c>
      <c r="F2820" t="s">
        <v>115</v>
      </c>
      <c r="G2820" s="5">
        <v>2867568</v>
      </c>
      <c r="H2820" s="5">
        <v>2867568</v>
      </c>
    </row>
    <row r="2821" spans="1:8" x14ac:dyDescent="0.25">
      <c r="A2821" t="s">
        <v>458</v>
      </c>
      <c r="B2821">
        <v>2024</v>
      </c>
      <c r="C2821" t="s">
        <v>92</v>
      </c>
      <c r="D2821" t="s">
        <v>38</v>
      </c>
      <c r="E2821" t="s">
        <v>326</v>
      </c>
      <c r="F2821" t="s">
        <v>109</v>
      </c>
      <c r="G2821" s="5">
        <v>2469844</v>
      </c>
      <c r="H2821" s="5">
        <v>2472344</v>
      </c>
    </row>
    <row r="2822" spans="1:8" x14ac:dyDescent="0.25">
      <c r="A2822" t="s">
        <v>458</v>
      </c>
      <c r="B2822">
        <v>2024</v>
      </c>
      <c r="C2822" t="s">
        <v>92</v>
      </c>
      <c r="D2822" t="s">
        <v>38</v>
      </c>
      <c r="E2822" t="s">
        <v>337</v>
      </c>
      <c r="F2822" t="s">
        <v>120</v>
      </c>
      <c r="G2822" s="5">
        <v>2458348</v>
      </c>
      <c r="H2822" s="5">
        <v>2458348</v>
      </c>
    </row>
    <row r="2823" spans="1:8" x14ac:dyDescent="0.25">
      <c r="A2823" t="s">
        <v>458</v>
      </c>
      <c r="B2823">
        <v>2024</v>
      </c>
      <c r="C2823" t="s">
        <v>92</v>
      </c>
      <c r="D2823" t="s">
        <v>38</v>
      </c>
      <c r="E2823" t="s">
        <v>323</v>
      </c>
      <c r="F2823" t="s">
        <v>106</v>
      </c>
      <c r="G2823" s="5">
        <v>2193846</v>
      </c>
      <c r="H2823" s="5">
        <v>2199846</v>
      </c>
    </row>
    <row r="2824" spans="1:8" x14ac:dyDescent="0.25">
      <c r="A2824" t="s">
        <v>458</v>
      </c>
      <c r="B2824">
        <v>2024</v>
      </c>
      <c r="C2824" t="s">
        <v>92</v>
      </c>
      <c r="D2824" t="s">
        <v>38</v>
      </c>
      <c r="E2824" t="s">
        <v>329</v>
      </c>
      <c r="F2824" t="s">
        <v>112</v>
      </c>
      <c r="G2824" s="5">
        <v>1995190</v>
      </c>
      <c r="H2824" s="5">
        <v>2027190</v>
      </c>
    </row>
    <row r="2825" spans="1:8" x14ac:dyDescent="0.25">
      <c r="A2825" t="s">
        <v>458</v>
      </c>
      <c r="B2825">
        <v>2024</v>
      </c>
      <c r="C2825" t="s">
        <v>92</v>
      </c>
      <c r="D2825" t="s">
        <v>38</v>
      </c>
      <c r="E2825" t="s">
        <v>444</v>
      </c>
      <c r="F2825" t="s">
        <v>231</v>
      </c>
      <c r="G2825" s="5">
        <v>1937193</v>
      </c>
      <c r="H2825" s="5">
        <v>1937193</v>
      </c>
    </row>
    <row r="2826" spans="1:8" x14ac:dyDescent="0.25">
      <c r="A2826" t="s">
        <v>458</v>
      </c>
      <c r="B2826">
        <v>2024</v>
      </c>
      <c r="C2826" t="s">
        <v>92</v>
      </c>
      <c r="D2826" t="s">
        <v>38</v>
      </c>
      <c r="E2826" t="s">
        <v>324</v>
      </c>
      <c r="F2826" t="s">
        <v>107</v>
      </c>
      <c r="G2826" s="5">
        <v>1911879</v>
      </c>
      <c r="H2826" s="5">
        <v>1911947</v>
      </c>
    </row>
    <row r="2827" spans="1:8" x14ac:dyDescent="0.25">
      <c r="A2827" t="s">
        <v>458</v>
      </c>
      <c r="B2827">
        <v>2024</v>
      </c>
      <c r="C2827" t="s">
        <v>92</v>
      </c>
      <c r="D2827" t="s">
        <v>38</v>
      </c>
      <c r="E2827" t="s">
        <v>328</v>
      </c>
      <c r="F2827" t="s">
        <v>111</v>
      </c>
      <c r="G2827" s="5">
        <v>1814256</v>
      </c>
      <c r="H2827" s="5">
        <v>1814360</v>
      </c>
    </row>
    <row r="2828" spans="1:8" x14ac:dyDescent="0.25">
      <c r="A2828" t="s">
        <v>458</v>
      </c>
      <c r="B2828">
        <v>2024</v>
      </c>
      <c r="C2828" t="s">
        <v>92</v>
      </c>
      <c r="D2828" t="s">
        <v>38</v>
      </c>
      <c r="E2828" t="s">
        <v>327</v>
      </c>
      <c r="F2828" t="s">
        <v>110</v>
      </c>
      <c r="G2828" s="5">
        <v>1135691</v>
      </c>
      <c r="H2828" s="5">
        <v>1135691</v>
      </c>
    </row>
    <row r="2829" spans="1:8" x14ac:dyDescent="0.25">
      <c r="A2829" t="s">
        <v>458</v>
      </c>
      <c r="B2829">
        <v>2024</v>
      </c>
      <c r="C2829" t="s">
        <v>92</v>
      </c>
      <c r="D2829" t="s">
        <v>38</v>
      </c>
      <c r="E2829" t="s">
        <v>461</v>
      </c>
      <c r="F2829" t="s">
        <v>249</v>
      </c>
      <c r="G2829" s="5">
        <v>689999</v>
      </c>
      <c r="H2829" s="5">
        <v>689999</v>
      </c>
    </row>
    <row r="2830" spans="1:8" x14ac:dyDescent="0.25">
      <c r="A2830" t="s">
        <v>458</v>
      </c>
      <c r="B2830">
        <v>2024</v>
      </c>
      <c r="C2830" t="s">
        <v>92</v>
      </c>
      <c r="D2830" t="s">
        <v>38</v>
      </c>
      <c r="E2830" t="s">
        <v>330</v>
      </c>
      <c r="F2830" t="s">
        <v>113</v>
      </c>
      <c r="G2830" s="5">
        <v>674762</v>
      </c>
      <c r="H2830" s="5">
        <v>674762</v>
      </c>
    </row>
    <row r="2831" spans="1:8" x14ac:dyDescent="0.25">
      <c r="A2831" t="s">
        <v>458</v>
      </c>
      <c r="B2831">
        <v>2024</v>
      </c>
      <c r="C2831" t="s">
        <v>92</v>
      </c>
      <c r="D2831" t="s">
        <v>38</v>
      </c>
      <c r="E2831" t="s">
        <v>457</v>
      </c>
      <c r="F2831" t="s">
        <v>244</v>
      </c>
      <c r="G2831" s="5">
        <v>626048</v>
      </c>
      <c r="H2831" s="5">
        <v>626048</v>
      </c>
    </row>
    <row r="2832" spans="1:8" x14ac:dyDescent="0.25">
      <c r="A2832" t="s">
        <v>458</v>
      </c>
      <c r="B2832">
        <v>2024</v>
      </c>
      <c r="C2832" t="s">
        <v>92</v>
      </c>
      <c r="D2832" t="s">
        <v>38</v>
      </c>
      <c r="E2832" t="s">
        <v>320</v>
      </c>
      <c r="F2832" t="s">
        <v>102</v>
      </c>
      <c r="G2832" s="5">
        <v>391224</v>
      </c>
      <c r="H2832" s="5">
        <v>461585</v>
      </c>
    </row>
    <row r="2833" spans="1:8" x14ac:dyDescent="0.25">
      <c r="A2833" t="s">
        <v>458</v>
      </c>
      <c r="B2833">
        <v>2024</v>
      </c>
      <c r="C2833" t="s">
        <v>92</v>
      </c>
      <c r="D2833" t="s">
        <v>38</v>
      </c>
      <c r="E2833" t="s">
        <v>441</v>
      </c>
      <c r="F2833" t="s">
        <v>228</v>
      </c>
      <c r="G2833" s="5">
        <v>125620</v>
      </c>
      <c r="H2833" s="5">
        <v>125620</v>
      </c>
    </row>
    <row r="2834" spans="1:8" x14ac:dyDescent="0.25">
      <c r="A2834" t="s">
        <v>458</v>
      </c>
      <c r="B2834">
        <v>2024</v>
      </c>
      <c r="C2834" t="s">
        <v>92</v>
      </c>
      <c r="D2834" t="s">
        <v>38</v>
      </c>
      <c r="E2834" t="s">
        <v>462</v>
      </c>
      <c r="F2834" t="s">
        <v>250</v>
      </c>
      <c r="G2834" s="5">
        <v>100710</v>
      </c>
      <c r="H2834" s="5">
        <v>100710</v>
      </c>
    </row>
    <row r="2835" spans="1:8" x14ac:dyDescent="0.25">
      <c r="A2835" t="s">
        <v>458</v>
      </c>
      <c r="B2835">
        <v>2024</v>
      </c>
      <c r="C2835" t="s">
        <v>92</v>
      </c>
      <c r="D2835" t="s">
        <v>38</v>
      </c>
      <c r="E2835" t="s">
        <v>340</v>
      </c>
      <c r="F2835" t="s">
        <v>123</v>
      </c>
      <c r="G2835" s="5">
        <v>86577</v>
      </c>
      <c r="H2835" s="5">
        <v>86577</v>
      </c>
    </row>
    <row r="2836" spans="1:8" x14ac:dyDescent="0.25">
      <c r="A2836" t="s">
        <v>458</v>
      </c>
      <c r="B2836">
        <v>2024</v>
      </c>
      <c r="C2836" t="s">
        <v>92</v>
      </c>
      <c r="D2836" t="s">
        <v>38</v>
      </c>
      <c r="E2836" t="s">
        <v>333</v>
      </c>
      <c r="F2836" t="s">
        <v>116</v>
      </c>
      <c r="G2836" s="5">
        <v>84743</v>
      </c>
      <c r="H2836" s="5">
        <v>84743</v>
      </c>
    </row>
    <row r="2837" spans="1:8" x14ac:dyDescent="0.25">
      <c r="A2837" t="s">
        <v>458</v>
      </c>
      <c r="B2837">
        <v>2024</v>
      </c>
      <c r="C2837" t="s">
        <v>92</v>
      </c>
      <c r="D2837" t="s">
        <v>38</v>
      </c>
      <c r="E2837" t="s">
        <v>463</v>
      </c>
      <c r="F2837" t="s">
        <v>251</v>
      </c>
      <c r="G2837" s="5">
        <v>45133</v>
      </c>
      <c r="H2837" s="5">
        <v>45133</v>
      </c>
    </row>
    <row r="2838" spans="1:8" x14ac:dyDescent="0.25">
      <c r="A2838" t="s">
        <v>458</v>
      </c>
      <c r="B2838">
        <v>2024</v>
      </c>
      <c r="C2838" t="s">
        <v>92</v>
      </c>
      <c r="D2838" t="s">
        <v>38</v>
      </c>
      <c r="E2838" t="s">
        <v>335</v>
      </c>
      <c r="F2838" t="s">
        <v>118</v>
      </c>
      <c r="G2838" s="5">
        <v>37572</v>
      </c>
      <c r="H2838" s="5">
        <v>37572</v>
      </c>
    </row>
    <row r="2839" spans="1:8" x14ac:dyDescent="0.25">
      <c r="A2839" t="s">
        <v>458</v>
      </c>
      <c r="B2839">
        <v>2024</v>
      </c>
      <c r="C2839" t="s">
        <v>92</v>
      </c>
      <c r="D2839" t="s">
        <v>38</v>
      </c>
      <c r="E2839" t="s">
        <v>334</v>
      </c>
      <c r="F2839" t="s">
        <v>117</v>
      </c>
      <c r="G2839" s="5">
        <v>17596</v>
      </c>
      <c r="H2839" s="5">
        <v>33678</v>
      </c>
    </row>
    <row r="2840" spans="1:8" x14ac:dyDescent="0.25">
      <c r="A2840" t="s">
        <v>458</v>
      </c>
      <c r="B2840">
        <v>2024</v>
      </c>
      <c r="C2840" t="s">
        <v>92</v>
      </c>
      <c r="D2840" t="s">
        <v>38</v>
      </c>
      <c r="E2840" t="s">
        <v>455</v>
      </c>
      <c r="F2840" t="s">
        <v>242</v>
      </c>
      <c r="G2840" s="5">
        <v>13554</v>
      </c>
      <c r="H2840" s="5">
        <v>13554</v>
      </c>
    </row>
    <row r="2841" spans="1:8" x14ac:dyDescent="0.25">
      <c r="A2841" t="s">
        <v>458</v>
      </c>
      <c r="B2841">
        <v>2024</v>
      </c>
      <c r="C2841" t="s">
        <v>92</v>
      </c>
      <c r="D2841" t="s">
        <v>38</v>
      </c>
      <c r="E2841" t="s">
        <v>336</v>
      </c>
      <c r="F2841" t="s">
        <v>119</v>
      </c>
      <c r="G2841" s="5">
        <v>13227</v>
      </c>
      <c r="H2841" s="5">
        <v>13227</v>
      </c>
    </row>
    <row r="2842" spans="1:8" x14ac:dyDescent="0.25">
      <c r="A2842" t="s">
        <v>458</v>
      </c>
      <c r="B2842">
        <v>2024</v>
      </c>
      <c r="C2842" t="s">
        <v>35</v>
      </c>
      <c r="D2842" t="s">
        <v>35</v>
      </c>
      <c r="E2842" t="s">
        <v>343</v>
      </c>
      <c r="F2842" t="s">
        <v>126</v>
      </c>
      <c r="G2842" s="5">
        <v>5085337458</v>
      </c>
      <c r="H2842" s="5">
        <v>5119446588</v>
      </c>
    </row>
    <row r="2843" spans="1:8" x14ac:dyDescent="0.25">
      <c r="A2843" t="s">
        <v>458</v>
      </c>
      <c r="B2843">
        <v>2024</v>
      </c>
      <c r="C2843" t="s">
        <v>35</v>
      </c>
      <c r="D2843" t="s">
        <v>35</v>
      </c>
      <c r="E2843" t="s">
        <v>354</v>
      </c>
      <c r="F2843" t="s">
        <v>137</v>
      </c>
      <c r="G2843" s="5">
        <v>703413702</v>
      </c>
      <c r="H2843" s="5">
        <v>703444222</v>
      </c>
    </row>
    <row r="2844" spans="1:8" x14ac:dyDescent="0.25">
      <c r="A2844" t="s">
        <v>458</v>
      </c>
      <c r="B2844">
        <v>2024</v>
      </c>
      <c r="C2844" t="s">
        <v>35</v>
      </c>
      <c r="D2844" t="s">
        <v>35</v>
      </c>
      <c r="E2844" t="s">
        <v>348</v>
      </c>
      <c r="F2844" t="s">
        <v>131</v>
      </c>
      <c r="G2844" s="5">
        <v>487074589</v>
      </c>
      <c r="H2844" s="5">
        <v>622333975</v>
      </c>
    </row>
    <row r="2845" spans="1:8" x14ac:dyDescent="0.25">
      <c r="A2845" t="s">
        <v>458</v>
      </c>
      <c r="B2845">
        <v>2024</v>
      </c>
      <c r="C2845" t="s">
        <v>35</v>
      </c>
      <c r="D2845" t="s">
        <v>35</v>
      </c>
      <c r="E2845" t="s">
        <v>344</v>
      </c>
      <c r="F2845" t="s">
        <v>127</v>
      </c>
      <c r="G2845" s="5">
        <v>402319766</v>
      </c>
      <c r="H2845" s="5">
        <v>403237296</v>
      </c>
    </row>
    <row r="2846" spans="1:8" x14ac:dyDescent="0.25">
      <c r="A2846" t="s">
        <v>458</v>
      </c>
      <c r="B2846">
        <v>2024</v>
      </c>
      <c r="C2846" t="s">
        <v>35</v>
      </c>
      <c r="D2846" t="s">
        <v>35</v>
      </c>
      <c r="E2846" t="s">
        <v>345</v>
      </c>
      <c r="F2846" t="s">
        <v>128</v>
      </c>
      <c r="G2846" s="5">
        <v>389605804</v>
      </c>
      <c r="H2846" s="5">
        <v>428014850</v>
      </c>
    </row>
    <row r="2847" spans="1:8" x14ac:dyDescent="0.25">
      <c r="A2847" t="s">
        <v>458</v>
      </c>
      <c r="B2847">
        <v>2024</v>
      </c>
      <c r="C2847" t="s">
        <v>35</v>
      </c>
      <c r="D2847" t="s">
        <v>35</v>
      </c>
      <c r="E2847" t="s">
        <v>356</v>
      </c>
      <c r="F2847" t="s">
        <v>139</v>
      </c>
      <c r="G2847" s="5">
        <v>348370154</v>
      </c>
      <c r="H2847" s="5">
        <v>348814472</v>
      </c>
    </row>
    <row r="2848" spans="1:8" x14ac:dyDescent="0.25">
      <c r="A2848" t="s">
        <v>458</v>
      </c>
      <c r="B2848">
        <v>2024</v>
      </c>
      <c r="C2848" t="s">
        <v>35</v>
      </c>
      <c r="D2848" t="s">
        <v>35</v>
      </c>
      <c r="E2848" t="s">
        <v>352</v>
      </c>
      <c r="F2848" t="s">
        <v>135</v>
      </c>
      <c r="G2848" s="5">
        <v>316390572</v>
      </c>
      <c r="H2848" s="5">
        <v>316395996</v>
      </c>
    </row>
    <row r="2849" spans="1:8" x14ac:dyDescent="0.25">
      <c r="A2849" t="s">
        <v>458</v>
      </c>
      <c r="B2849">
        <v>2024</v>
      </c>
      <c r="C2849" t="s">
        <v>35</v>
      </c>
      <c r="D2849" t="s">
        <v>35</v>
      </c>
      <c r="E2849" t="s">
        <v>353</v>
      </c>
      <c r="F2849" t="s">
        <v>136</v>
      </c>
      <c r="G2849" s="5">
        <v>235955029</v>
      </c>
      <c r="H2849" s="5">
        <v>235959183</v>
      </c>
    </row>
    <row r="2850" spans="1:8" x14ac:dyDescent="0.25">
      <c r="A2850" t="s">
        <v>458</v>
      </c>
      <c r="B2850">
        <v>2024</v>
      </c>
      <c r="C2850" t="s">
        <v>35</v>
      </c>
      <c r="D2850" t="s">
        <v>35</v>
      </c>
      <c r="E2850" t="s">
        <v>360</v>
      </c>
      <c r="F2850" t="s">
        <v>143</v>
      </c>
      <c r="G2850" s="5">
        <v>225411665</v>
      </c>
      <c r="H2850" s="5">
        <v>225411665</v>
      </c>
    </row>
    <row r="2851" spans="1:8" x14ac:dyDescent="0.25">
      <c r="A2851" t="s">
        <v>458</v>
      </c>
      <c r="B2851">
        <v>2024</v>
      </c>
      <c r="C2851" t="s">
        <v>35</v>
      </c>
      <c r="D2851" t="s">
        <v>35</v>
      </c>
      <c r="E2851" t="s">
        <v>349</v>
      </c>
      <c r="F2851" t="s">
        <v>132</v>
      </c>
      <c r="G2851" s="5">
        <v>90027072</v>
      </c>
      <c r="H2851" s="5">
        <v>540382996</v>
      </c>
    </row>
    <row r="2852" spans="1:8" x14ac:dyDescent="0.25">
      <c r="A2852" t="s">
        <v>458</v>
      </c>
      <c r="B2852">
        <v>2024</v>
      </c>
      <c r="C2852" t="s">
        <v>35</v>
      </c>
      <c r="D2852" t="s">
        <v>35</v>
      </c>
      <c r="E2852" t="s">
        <v>355</v>
      </c>
      <c r="F2852" t="s">
        <v>138</v>
      </c>
      <c r="G2852" s="5">
        <v>89155432</v>
      </c>
      <c r="H2852" s="5">
        <v>89185714</v>
      </c>
    </row>
    <row r="2853" spans="1:8" x14ac:dyDescent="0.25">
      <c r="A2853" t="s">
        <v>458</v>
      </c>
      <c r="B2853">
        <v>2024</v>
      </c>
      <c r="C2853" t="s">
        <v>35</v>
      </c>
      <c r="D2853" t="s">
        <v>35</v>
      </c>
      <c r="E2853" t="s">
        <v>362</v>
      </c>
      <c r="F2853" t="s">
        <v>145</v>
      </c>
      <c r="G2853" s="5">
        <v>82451372</v>
      </c>
      <c r="H2853" s="5">
        <v>192332320</v>
      </c>
    </row>
    <row r="2854" spans="1:8" x14ac:dyDescent="0.25">
      <c r="A2854" t="s">
        <v>458</v>
      </c>
      <c r="B2854">
        <v>2024</v>
      </c>
      <c r="C2854" t="s">
        <v>35</v>
      </c>
      <c r="D2854" t="s">
        <v>35</v>
      </c>
      <c r="E2854" t="s">
        <v>357</v>
      </c>
      <c r="F2854" t="s">
        <v>140</v>
      </c>
      <c r="G2854" s="5">
        <v>55439593</v>
      </c>
      <c r="H2854" s="5">
        <v>55491768</v>
      </c>
    </row>
    <row r="2855" spans="1:8" x14ac:dyDescent="0.25">
      <c r="A2855" t="s">
        <v>458</v>
      </c>
      <c r="B2855">
        <v>2024</v>
      </c>
      <c r="C2855" t="s">
        <v>35</v>
      </c>
      <c r="D2855" t="s">
        <v>35</v>
      </c>
      <c r="E2855" t="s">
        <v>383</v>
      </c>
      <c r="F2855" t="s">
        <v>167</v>
      </c>
      <c r="G2855" s="5">
        <v>54009692</v>
      </c>
      <c r="H2855" s="5">
        <v>54039906</v>
      </c>
    </row>
    <row r="2856" spans="1:8" x14ac:dyDescent="0.25">
      <c r="A2856" t="s">
        <v>458</v>
      </c>
      <c r="B2856">
        <v>2024</v>
      </c>
      <c r="C2856" t="s">
        <v>35</v>
      </c>
      <c r="D2856" t="s">
        <v>35</v>
      </c>
      <c r="E2856" t="s">
        <v>347</v>
      </c>
      <c r="F2856" t="s">
        <v>130</v>
      </c>
      <c r="G2856" s="5">
        <v>45212732</v>
      </c>
      <c r="H2856" s="5">
        <v>48055835</v>
      </c>
    </row>
    <row r="2857" spans="1:8" x14ac:dyDescent="0.25">
      <c r="A2857" t="s">
        <v>458</v>
      </c>
      <c r="B2857">
        <v>2024</v>
      </c>
      <c r="C2857" t="s">
        <v>35</v>
      </c>
      <c r="D2857" t="s">
        <v>35</v>
      </c>
      <c r="E2857" t="s">
        <v>351</v>
      </c>
      <c r="F2857" t="s">
        <v>134</v>
      </c>
      <c r="G2857" s="5">
        <v>37965717</v>
      </c>
      <c r="H2857" s="5">
        <v>44928572</v>
      </c>
    </row>
    <row r="2858" spans="1:8" x14ac:dyDescent="0.25">
      <c r="A2858" t="s">
        <v>458</v>
      </c>
      <c r="B2858">
        <v>2024</v>
      </c>
      <c r="C2858" t="s">
        <v>35</v>
      </c>
      <c r="D2858" t="s">
        <v>35</v>
      </c>
      <c r="E2858" t="s">
        <v>346</v>
      </c>
      <c r="F2858" t="s">
        <v>129</v>
      </c>
      <c r="G2858" s="5">
        <v>36006770</v>
      </c>
      <c r="H2858" s="5">
        <v>1359749052</v>
      </c>
    </row>
    <row r="2859" spans="1:8" x14ac:dyDescent="0.25">
      <c r="A2859" t="s">
        <v>458</v>
      </c>
      <c r="B2859">
        <v>2024</v>
      </c>
      <c r="C2859" t="s">
        <v>35</v>
      </c>
      <c r="D2859" t="s">
        <v>35</v>
      </c>
      <c r="E2859" t="s">
        <v>366</v>
      </c>
      <c r="F2859" t="s">
        <v>149</v>
      </c>
      <c r="G2859" s="5">
        <v>30042112</v>
      </c>
      <c r="H2859" s="5">
        <v>30538900</v>
      </c>
    </row>
    <row r="2860" spans="1:8" x14ac:dyDescent="0.25">
      <c r="A2860" t="s">
        <v>458</v>
      </c>
      <c r="B2860">
        <v>2024</v>
      </c>
      <c r="C2860" t="s">
        <v>35</v>
      </c>
      <c r="D2860" t="s">
        <v>35</v>
      </c>
      <c r="E2860" t="s">
        <v>379</v>
      </c>
      <c r="F2860" t="s">
        <v>163</v>
      </c>
      <c r="G2860" s="5">
        <v>24103603</v>
      </c>
      <c r="H2860" s="5">
        <v>24155696</v>
      </c>
    </row>
    <row r="2861" spans="1:8" x14ac:dyDescent="0.25">
      <c r="A2861" t="s">
        <v>458</v>
      </c>
      <c r="B2861">
        <v>2024</v>
      </c>
      <c r="C2861" t="s">
        <v>35</v>
      </c>
      <c r="D2861" t="s">
        <v>35</v>
      </c>
      <c r="E2861" t="s">
        <v>350</v>
      </c>
      <c r="F2861" t="s">
        <v>133</v>
      </c>
      <c r="G2861" s="5">
        <v>20039869</v>
      </c>
      <c r="H2861" s="5">
        <v>20488560</v>
      </c>
    </row>
    <row r="2862" spans="1:8" x14ac:dyDescent="0.25">
      <c r="A2862" t="s">
        <v>458</v>
      </c>
      <c r="B2862">
        <v>2024</v>
      </c>
      <c r="C2862" t="s">
        <v>35</v>
      </c>
      <c r="D2862" t="s">
        <v>35</v>
      </c>
      <c r="E2862" t="s">
        <v>358</v>
      </c>
      <c r="F2862" t="s">
        <v>141</v>
      </c>
      <c r="G2862" s="5">
        <v>12078180</v>
      </c>
      <c r="H2862" s="5">
        <v>12078180</v>
      </c>
    </row>
    <row r="2863" spans="1:8" x14ac:dyDescent="0.25">
      <c r="A2863" t="s">
        <v>458</v>
      </c>
      <c r="B2863">
        <v>2024</v>
      </c>
      <c r="C2863" t="s">
        <v>35</v>
      </c>
      <c r="D2863" t="s">
        <v>35</v>
      </c>
      <c r="E2863" t="s">
        <v>381</v>
      </c>
      <c r="F2863" t="s">
        <v>165</v>
      </c>
      <c r="G2863" s="5">
        <v>5882297</v>
      </c>
      <c r="H2863" s="5">
        <v>5883836</v>
      </c>
    </row>
    <row r="2864" spans="1:8" x14ac:dyDescent="0.25">
      <c r="A2864" t="s">
        <v>458</v>
      </c>
      <c r="B2864">
        <v>2024</v>
      </c>
      <c r="C2864" t="s">
        <v>35</v>
      </c>
      <c r="D2864" t="s">
        <v>35</v>
      </c>
      <c r="E2864" t="s">
        <v>361</v>
      </c>
      <c r="F2864" t="s">
        <v>144</v>
      </c>
      <c r="G2864" s="5">
        <v>5546785</v>
      </c>
      <c r="H2864" s="5">
        <v>5546785</v>
      </c>
    </row>
    <row r="2865" spans="1:8" x14ac:dyDescent="0.25">
      <c r="A2865" t="s">
        <v>458</v>
      </c>
      <c r="B2865">
        <v>2024</v>
      </c>
      <c r="C2865" t="s">
        <v>35</v>
      </c>
      <c r="D2865" t="s">
        <v>35</v>
      </c>
      <c r="E2865" t="s">
        <v>367</v>
      </c>
      <c r="F2865" t="s">
        <v>150</v>
      </c>
      <c r="G2865" s="5">
        <v>5363883</v>
      </c>
      <c r="H2865" s="5">
        <v>5563454</v>
      </c>
    </row>
    <row r="2866" spans="1:8" x14ac:dyDescent="0.25">
      <c r="A2866" t="s">
        <v>458</v>
      </c>
      <c r="B2866">
        <v>2024</v>
      </c>
      <c r="C2866" t="s">
        <v>35</v>
      </c>
      <c r="D2866" t="s">
        <v>35</v>
      </c>
      <c r="E2866" t="s">
        <v>378</v>
      </c>
      <c r="F2866" t="s">
        <v>162</v>
      </c>
      <c r="G2866" s="5">
        <v>3111288</v>
      </c>
      <c r="H2866" s="5">
        <v>3111288</v>
      </c>
    </row>
    <row r="2867" spans="1:8" x14ac:dyDescent="0.25">
      <c r="A2867" t="s">
        <v>458</v>
      </c>
      <c r="B2867">
        <v>2024</v>
      </c>
      <c r="C2867" t="s">
        <v>35</v>
      </c>
      <c r="D2867" t="s">
        <v>35</v>
      </c>
      <c r="E2867" t="s">
        <v>370</v>
      </c>
      <c r="F2867" t="s">
        <v>153</v>
      </c>
      <c r="G2867" s="5">
        <v>3078842</v>
      </c>
      <c r="H2867" s="5">
        <v>3107680</v>
      </c>
    </row>
    <row r="2868" spans="1:8" x14ac:dyDescent="0.25">
      <c r="A2868" t="s">
        <v>458</v>
      </c>
      <c r="B2868">
        <v>2024</v>
      </c>
      <c r="C2868" t="s">
        <v>35</v>
      </c>
      <c r="D2868" t="s">
        <v>35</v>
      </c>
      <c r="E2868" t="s">
        <v>372</v>
      </c>
      <c r="F2868" t="s">
        <v>155</v>
      </c>
      <c r="G2868" s="5">
        <v>3057424</v>
      </c>
      <c r="H2868" s="5">
        <v>3057424</v>
      </c>
    </row>
    <row r="2869" spans="1:8" x14ac:dyDescent="0.25">
      <c r="A2869" t="s">
        <v>458</v>
      </c>
      <c r="B2869">
        <v>2024</v>
      </c>
      <c r="C2869" t="s">
        <v>35</v>
      </c>
      <c r="D2869" t="s">
        <v>35</v>
      </c>
      <c r="E2869" t="s">
        <v>359</v>
      </c>
      <c r="F2869" t="s">
        <v>142</v>
      </c>
      <c r="G2869" s="5">
        <v>3024627</v>
      </c>
      <c r="H2869" s="5">
        <v>5776183</v>
      </c>
    </row>
    <row r="2870" spans="1:8" x14ac:dyDescent="0.25">
      <c r="A2870" t="s">
        <v>458</v>
      </c>
      <c r="B2870">
        <v>2024</v>
      </c>
      <c r="C2870" t="s">
        <v>35</v>
      </c>
      <c r="D2870" t="s">
        <v>35</v>
      </c>
      <c r="E2870" t="s">
        <v>382</v>
      </c>
      <c r="F2870" t="s">
        <v>166</v>
      </c>
      <c r="G2870" s="5">
        <v>2697240</v>
      </c>
      <c r="H2870" s="5">
        <v>2703352</v>
      </c>
    </row>
    <row r="2871" spans="1:8" x14ac:dyDescent="0.25">
      <c r="A2871" t="s">
        <v>458</v>
      </c>
      <c r="B2871">
        <v>2024</v>
      </c>
      <c r="C2871" t="s">
        <v>35</v>
      </c>
      <c r="D2871" t="s">
        <v>35</v>
      </c>
      <c r="E2871" t="s">
        <v>371</v>
      </c>
      <c r="F2871" t="s">
        <v>154</v>
      </c>
      <c r="G2871" s="5">
        <v>1668740</v>
      </c>
      <c r="H2871" s="5">
        <v>1193049691</v>
      </c>
    </row>
    <row r="2872" spans="1:8" x14ac:dyDescent="0.25">
      <c r="A2872" t="s">
        <v>458</v>
      </c>
      <c r="B2872">
        <v>2024</v>
      </c>
      <c r="C2872" t="s">
        <v>35</v>
      </c>
      <c r="D2872" t="s">
        <v>35</v>
      </c>
      <c r="E2872" t="s">
        <v>380</v>
      </c>
      <c r="F2872" t="s">
        <v>164</v>
      </c>
      <c r="G2872" s="5">
        <v>1453365</v>
      </c>
      <c r="H2872" s="5">
        <v>1453365</v>
      </c>
    </row>
    <row r="2873" spans="1:8" x14ac:dyDescent="0.25">
      <c r="A2873" t="s">
        <v>458</v>
      </c>
      <c r="B2873">
        <v>2024</v>
      </c>
      <c r="C2873" t="s">
        <v>35</v>
      </c>
      <c r="D2873" t="s">
        <v>35</v>
      </c>
      <c r="E2873" t="s">
        <v>364</v>
      </c>
      <c r="F2873" t="s">
        <v>147</v>
      </c>
      <c r="G2873" s="5">
        <v>1445191</v>
      </c>
      <c r="H2873" s="5">
        <v>2498503</v>
      </c>
    </row>
    <row r="2874" spans="1:8" x14ac:dyDescent="0.25">
      <c r="A2874" t="s">
        <v>458</v>
      </c>
      <c r="B2874">
        <v>2024</v>
      </c>
      <c r="C2874" t="s">
        <v>35</v>
      </c>
      <c r="D2874" t="s">
        <v>35</v>
      </c>
      <c r="E2874" t="s">
        <v>385</v>
      </c>
      <c r="F2874" t="s">
        <v>169</v>
      </c>
      <c r="G2874" s="5">
        <v>1180851</v>
      </c>
      <c r="H2874" s="5">
        <v>1436078</v>
      </c>
    </row>
    <row r="2875" spans="1:8" x14ac:dyDescent="0.25">
      <c r="A2875" t="s">
        <v>458</v>
      </c>
      <c r="B2875">
        <v>2024</v>
      </c>
      <c r="C2875" t="s">
        <v>35</v>
      </c>
      <c r="D2875" t="s">
        <v>35</v>
      </c>
      <c r="E2875" t="s">
        <v>377</v>
      </c>
      <c r="F2875" t="s">
        <v>160</v>
      </c>
      <c r="G2875" s="5">
        <v>972294</v>
      </c>
      <c r="H2875" s="5">
        <v>972294</v>
      </c>
    </row>
    <row r="2876" spans="1:8" x14ac:dyDescent="0.25">
      <c r="A2876" t="s">
        <v>458</v>
      </c>
      <c r="B2876">
        <v>2024</v>
      </c>
      <c r="C2876" t="s">
        <v>35</v>
      </c>
      <c r="D2876" t="s">
        <v>35</v>
      </c>
      <c r="F2876" t="s">
        <v>161</v>
      </c>
      <c r="G2876" s="5">
        <v>760081</v>
      </c>
      <c r="H2876" s="5">
        <v>811284</v>
      </c>
    </row>
    <row r="2877" spans="1:8" x14ac:dyDescent="0.25">
      <c r="A2877" t="s">
        <v>458</v>
      </c>
      <c r="B2877">
        <v>2024</v>
      </c>
      <c r="C2877" t="s">
        <v>35</v>
      </c>
      <c r="D2877" t="s">
        <v>35</v>
      </c>
      <c r="E2877" t="s">
        <v>365</v>
      </c>
      <c r="F2877" t="s">
        <v>148</v>
      </c>
      <c r="G2877" s="5">
        <v>561569</v>
      </c>
      <c r="H2877" s="5">
        <v>561569</v>
      </c>
    </row>
    <row r="2878" spans="1:8" x14ac:dyDescent="0.25">
      <c r="A2878" t="s">
        <v>458</v>
      </c>
      <c r="B2878">
        <v>2024</v>
      </c>
      <c r="C2878" t="s">
        <v>35</v>
      </c>
      <c r="D2878" t="s">
        <v>35</v>
      </c>
      <c r="E2878" t="s">
        <v>386</v>
      </c>
      <c r="F2878" t="s">
        <v>170</v>
      </c>
      <c r="G2878" s="5">
        <v>482658</v>
      </c>
      <c r="H2878" s="5">
        <v>482658</v>
      </c>
    </row>
    <row r="2879" spans="1:8" x14ac:dyDescent="0.25">
      <c r="A2879" t="s">
        <v>458</v>
      </c>
      <c r="B2879">
        <v>2024</v>
      </c>
      <c r="C2879" t="s">
        <v>35</v>
      </c>
      <c r="D2879" t="s">
        <v>35</v>
      </c>
      <c r="E2879" t="s">
        <v>384</v>
      </c>
      <c r="F2879" t="s">
        <v>168</v>
      </c>
      <c r="G2879" s="5">
        <v>433421</v>
      </c>
      <c r="H2879" s="5">
        <v>433421</v>
      </c>
    </row>
    <row r="2880" spans="1:8" x14ac:dyDescent="0.25">
      <c r="A2880" t="s">
        <v>458</v>
      </c>
      <c r="B2880">
        <v>2024</v>
      </c>
      <c r="C2880" t="s">
        <v>35</v>
      </c>
      <c r="D2880" t="s">
        <v>35</v>
      </c>
      <c r="E2880" t="s">
        <v>363</v>
      </c>
      <c r="F2880" t="s">
        <v>146</v>
      </c>
      <c r="G2880" s="5">
        <v>388469</v>
      </c>
      <c r="H2880" s="5">
        <v>3657817946</v>
      </c>
    </row>
    <row r="2881" spans="1:8" x14ac:dyDescent="0.25">
      <c r="A2881" t="s">
        <v>458</v>
      </c>
      <c r="B2881">
        <v>2024</v>
      </c>
      <c r="C2881" t="s">
        <v>35</v>
      </c>
      <c r="D2881" t="s">
        <v>35</v>
      </c>
      <c r="E2881" t="s">
        <v>376</v>
      </c>
      <c r="F2881" t="s">
        <v>159</v>
      </c>
      <c r="G2881" s="5">
        <v>269194</v>
      </c>
      <c r="H2881" s="5">
        <v>269194</v>
      </c>
    </row>
    <row r="2882" spans="1:8" x14ac:dyDescent="0.25">
      <c r="A2882" t="s">
        <v>458</v>
      </c>
      <c r="B2882">
        <v>2024</v>
      </c>
      <c r="C2882" t="s">
        <v>35</v>
      </c>
      <c r="D2882" t="s">
        <v>35</v>
      </c>
      <c r="E2882" t="s">
        <v>387</v>
      </c>
      <c r="F2882" t="s">
        <v>171</v>
      </c>
      <c r="G2882" s="5">
        <v>52167</v>
      </c>
      <c r="H2882" s="5">
        <v>52167</v>
      </c>
    </row>
    <row r="2883" spans="1:8" x14ac:dyDescent="0.25">
      <c r="A2883" t="s">
        <v>458</v>
      </c>
      <c r="B2883">
        <v>2024</v>
      </c>
      <c r="C2883" t="s">
        <v>35</v>
      </c>
      <c r="D2883" t="s">
        <v>35</v>
      </c>
      <c r="E2883" t="s">
        <v>375</v>
      </c>
      <c r="F2883" t="s">
        <v>158</v>
      </c>
      <c r="G2883" s="5">
        <v>39511</v>
      </c>
      <c r="H2883" s="5">
        <v>32920978</v>
      </c>
    </row>
    <row r="2884" spans="1:8" x14ac:dyDescent="0.25">
      <c r="A2884" t="s">
        <v>458</v>
      </c>
      <c r="B2884">
        <v>2024</v>
      </c>
      <c r="C2884" t="s">
        <v>35</v>
      </c>
      <c r="D2884" t="s">
        <v>35</v>
      </c>
      <c r="E2884" t="s">
        <v>374</v>
      </c>
      <c r="F2884" t="s">
        <v>157</v>
      </c>
      <c r="G2884" s="5">
        <v>23570</v>
      </c>
      <c r="H2884" s="5">
        <v>1208048936</v>
      </c>
    </row>
    <row r="2885" spans="1:8" x14ac:dyDescent="0.25">
      <c r="A2885" t="s">
        <v>458</v>
      </c>
      <c r="B2885">
        <v>2024</v>
      </c>
      <c r="C2885" t="s">
        <v>172</v>
      </c>
      <c r="D2885" t="s">
        <v>34</v>
      </c>
      <c r="E2885" t="s">
        <v>388</v>
      </c>
      <c r="F2885" t="s">
        <v>173</v>
      </c>
      <c r="G2885" s="5">
        <v>11093013053</v>
      </c>
      <c r="H2885" s="5">
        <v>11655084330</v>
      </c>
    </row>
    <row r="2886" spans="1:8" x14ac:dyDescent="0.25">
      <c r="A2886" t="s">
        <v>458</v>
      </c>
      <c r="B2886">
        <v>2024</v>
      </c>
      <c r="C2886" t="s">
        <v>172</v>
      </c>
      <c r="D2886" t="s">
        <v>34</v>
      </c>
      <c r="E2886" t="s">
        <v>391</v>
      </c>
      <c r="F2886" t="s">
        <v>176</v>
      </c>
      <c r="G2886" s="5">
        <v>2505561648</v>
      </c>
      <c r="H2886" s="5">
        <v>2901299539</v>
      </c>
    </row>
    <row r="2887" spans="1:8" x14ac:dyDescent="0.25">
      <c r="A2887" t="s">
        <v>458</v>
      </c>
      <c r="B2887">
        <v>2024</v>
      </c>
      <c r="C2887" t="s">
        <v>172</v>
      </c>
      <c r="D2887" t="s">
        <v>34</v>
      </c>
      <c r="E2887" t="s">
        <v>390</v>
      </c>
      <c r="F2887" t="s">
        <v>175</v>
      </c>
      <c r="G2887" s="5">
        <v>2120580108</v>
      </c>
      <c r="H2887" s="5">
        <v>2146312144</v>
      </c>
    </row>
    <row r="2888" spans="1:8" x14ac:dyDescent="0.25">
      <c r="A2888" t="s">
        <v>458</v>
      </c>
      <c r="B2888">
        <v>2024</v>
      </c>
      <c r="C2888" t="s">
        <v>172</v>
      </c>
      <c r="D2888" t="s">
        <v>34</v>
      </c>
      <c r="E2888" t="s">
        <v>389</v>
      </c>
      <c r="F2888" t="s">
        <v>174</v>
      </c>
      <c r="G2888" s="5">
        <v>1152721288</v>
      </c>
      <c r="H2888" s="5">
        <v>1157479888</v>
      </c>
    </row>
    <row r="2889" spans="1:8" x14ac:dyDescent="0.25">
      <c r="A2889" t="s">
        <v>458</v>
      </c>
      <c r="B2889">
        <v>2024</v>
      </c>
      <c r="C2889" t="s">
        <v>172</v>
      </c>
      <c r="D2889" t="s">
        <v>34</v>
      </c>
      <c r="E2889" t="s">
        <v>392</v>
      </c>
      <c r="F2889" t="s">
        <v>178</v>
      </c>
      <c r="G2889" s="5">
        <v>1120683972</v>
      </c>
      <c r="H2889" s="5">
        <v>1140291893</v>
      </c>
    </row>
    <row r="2890" spans="1:8" x14ac:dyDescent="0.25">
      <c r="A2890" t="s">
        <v>458</v>
      </c>
      <c r="B2890">
        <v>2024</v>
      </c>
      <c r="C2890" t="s">
        <v>172</v>
      </c>
      <c r="D2890" t="s">
        <v>34</v>
      </c>
      <c r="E2890" t="s">
        <v>394</v>
      </c>
      <c r="F2890" t="s">
        <v>180</v>
      </c>
      <c r="G2890" s="5">
        <v>1000033215</v>
      </c>
      <c r="H2890" s="5">
        <v>1217376992</v>
      </c>
    </row>
    <row r="2891" spans="1:8" x14ac:dyDescent="0.25">
      <c r="A2891" t="s">
        <v>458</v>
      </c>
      <c r="B2891">
        <v>2024</v>
      </c>
      <c r="C2891" t="s">
        <v>172</v>
      </c>
      <c r="D2891" t="s">
        <v>34</v>
      </c>
      <c r="E2891" t="s">
        <v>396</v>
      </c>
      <c r="F2891" t="s">
        <v>183</v>
      </c>
      <c r="G2891" s="5">
        <v>749268863</v>
      </c>
      <c r="H2891" s="5">
        <v>753622423</v>
      </c>
    </row>
    <row r="2892" spans="1:8" x14ac:dyDescent="0.25">
      <c r="A2892" t="s">
        <v>458</v>
      </c>
      <c r="B2892">
        <v>2024</v>
      </c>
      <c r="C2892" t="s">
        <v>172</v>
      </c>
      <c r="D2892" t="s">
        <v>34</v>
      </c>
      <c r="E2892" t="s">
        <v>393</v>
      </c>
      <c r="F2892" t="s">
        <v>179</v>
      </c>
      <c r="G2892" s="5">
        <v>702229571</v>
      </c>
      <c r="H2892" s="5">
        <v>709061527</v>
      </c>
    </row>
    <row r="2893" spans="1:8" x14ac:dyDescent="0.25">
      <c r="A2893" t="s">
        <v>458</v>
      </c>
      <c r="B2893">
        <v>2024</v>
      </c>
      <c r="C2893" t="s">
        <v>172</v>
      </c>
      <c r="D2893" t="s">
        <v>34</v>
      </c>
      <c r="E2893" t="s">
        <v>395</v>
      </c>
      <c r="F2893" t="s">
        <v>181</v>
      </c>
      <c r="G2893" s="5">
        <v>608788297</v>
      </c>
      <c r="H2893" s="5">
        <v>618073974</v>
      </c>
    </row>
    <row r="2894" spans="1:8" x14ac:dyDescent="0.25">
      <c r="A2894" t="s">
        <v>458</v>
      </c>
      <c r="B2894">
        <v>2024</v>
      </c>
      <c r="C2894" t="s">
        <v>172</v>
      </c>
      <c r="D2894" t="s">
        <v>34</v>
      </c>
      <c r="E2894" t="s">
        <v>403</v>
      </c>
      <c r="F2894" t="s">
        <v>192</v>
      </c>
      <c r="G2894" s="5">
        <v>445487212</v>
      </c>
      <c r="H2894" s="5">
        <v>449537311</v>
      </c>
    </row>
    <row r="2895" spans="1:8" x14ac:dyDescent="0.25">
      <c r="A2895" t="s">
        <v>458</v>
      </c>
      <c r="B2895">
        <v>2024</v>
      </c>
      <c r="C2895" t="s">
        <v>172</v>
      </c>
      <c r="D2895" t="s">
        <v>34</v>
      </c>
      <c r="E2895" t="s">
        <v>398</v>
      </c>
      <c r="F2895" t="s">
        <v>186</v>
      </c>
      <c r="G2895" s="5">
        <v>436256720</v>
      </c>
      <c r="H2895" s="5">
        <v>436448290</v>
      </c>
    </row>
    <row r="2896" spans="1:8" x14ac:dyDescent="0.25">
      <c r="A2896" t="s">
        <v>458</v>
      </c>
      <c r="B2896">
        <v>2024</v>
      </c>
      <c r="C2896" t="s">
        <v>172</v>
      </c>
      <c r="D2896" t="s">
        <v>34</v>
      </c>
      <c r="E2896" t="s">
        <v>397</v>
      </c>
      <c r="F2896" t="s">
        <v>184</v>
      </c>
      <c r="G2896" s="5">
        <v>404981666</v>
      </c>
      <c r="H2896" s="5">
        <v>409045357</v>
      </c>
    </row>
    <row r="2897" spans="1:8" x14ac:dyDescent="0.25">
      <c r="A2897" t="s">
        <v>458</v>
      </c>
      <c r="B2897">
        <v>2024</v>
      </c>
      <c r="C2897" t="s">
        <v>172</v>
      </c>
      <c r="D2897" t="s">
        <v>34</v>
      </c>
      <c r="E2897" t="s">
        <v>400</v>
      </c>
      <c r="F2897" t="s">
        <v>189</v>
      </c>
      <c r="G2897" s="5">
        <v>403574973</v>
      </c>
      <c r="H2897" s="5">
        <v>406992719</v>
      </c>
    </row>
    <row r="2898" spans="1:8" x14ac:dyDescent="0.25">
      <c r="A2898" t="s">
        <v>458</v>
      </c>
      <c r="B2898">
        <v>2024</v>
      </c>
      <c r="C2898" t="s">
        <v>172</v>
      </c>
      <c r="D2898" t="s">
        <v>34</v>
      </c>
      <c r="E2898" t="s">
        <v>399</v>
      </c>
      <c r="F2898" t="s">
        <v>187</v>
      </c>
      <c r="G2898" s="5">
        <v>296606426</v>
      </c>
      <c r="H2898" s="5">
        <v>296669596</v>
      </c>
    </row>
    <row r="2899" spans="1:8" x14ac:dyDescent="0.25">
      <c r="A2899" t="s">
        <v>458</v>
      </c>
      <c r="B2899">
        <v>2024</v>
      </c>
      <c r="C2899" t="s">
        <v>172</v>
      </c>
      <c r="D2899" t="s">
        <v>34</v>
      </c>
      <c r="E2899" t="s">
        <v>402</v>
      </c>
      <c r="F2899" t="s">
        <v>191</v>
      </c>
      <c r="G2899" s="5">
        <v>283134677</v>
      </c>
      <c r="H2899" s="5">
        <v>285663369</v>
      </c>
    </row>
    <row r="2900" spans="1:8" x14ac:dyDescent="0.25">
      <c r="A2900" t="s">
        <v>458</v>
      </c>
      <c r="B2900">
        <v>2024</v>
      </c>
      <c r="C2900" t="s">
        <v>172</v>
      </c>
      <c r="D2900" t="s">
        <v>34</v>
      </c>
      <c r="E2900" t="s">
        <v>405</v>
      </c>
      <c r="F2900" t="s">
        <v>194</v>
      </c>
      <c r="G2900" s="5">
        <v>233388457</v>
      </c>
      <c r="H2900" s="5">
        <v>233897610</v>
      </c>
    </row>
    <row r="2901" spans="1:8" x14ac:dyDescent="0.25">
      <c r="A2901" t="s">
        <v>458</v>
      </c>
      <c r="B2901">
        <v>2024</v>
      </c>
      <c r="C2901" t="s">
        <v>172</v>
      </c>
      <c r="D2901" t="s">
        <v>34</v>
      </c>
      <c r="E2901" t="s">
        <v>404</v>
      </c>
      <c r="F2901" t="s">
        <v>193</v>
      </c>
      <c r="G2901" s="5">
        <v>131812763</v>
      </c>
      <c r="H2901" s="5">
        <v>132001972</v>
      </c>
    </row>
    <row r="2902" spans="1:8" x14ac:dyDescent="0.25">
      <c r="A2902" t="s">
        <v>458</v>
      </c>
      <c r="B2902">
        <v>2024</v>
      </c>
      <c r="C2902" t="s">
        <v>172</v>
      </c>
      <c r="D2902" t="s">
        <v>34</v>
      </c>
      <c r="E2902" t="s">
        <v>401</v>
      </c>
      <c r="F2902" t="s">
        <v>190</v>
      </c>
      <c r="G2902" s="5">
        <v>128818318</v>
      </c>
      <c r="H2902" s="5">
        <v>128893743</v>
      </c>
    </row>
    <row r="2903" spans="1:8" x14ac:dyDescent="0.25">
      <c r="A2903" t="s">
        <v>458</v>
      </c>
      <c r="B2903">
        <v>2024</v>
      </c>
      <c r="C2903" t="s">
        <v>172</v>
      </c>
      <c r="D2903" t="s">
        <v>34</v>
      </c>
      <c r="E2903" t="s">
        <v>406</v>
      </c>
      <c r="F2903" t="s">
        <v>195</v>
      </c>
      <c r="G2903" s="5">
        <v>74049554</v>
      </c>
      <c r="H2903" s="5">
        <v>74056954</v>
      </c>
    </row>
    <row r="2904" spans="1:8" x14ac:dyDescent="0.25">
      <c r="A2904" t="s">
        <v>458</v>
      </c>
      <c r="B2904">
        <v>2024</v>
      </c>
      <c r="C2904" t="s">
        <v>172</v>
      </c>
      <c r="D2904" t="s">
        <v>34</v>
      </c>
      <c r="E2904" t="s">
        <v>409</v>
      </c>
      <c r="F2904" t="s">
        <v>199</v>
      </c>
      <c r="G2904" s="5">
        <v>52482932</v>
      </c>
      <c r="H2904" s="5">
        <v>79699226</v>
      </c>
    </row>
    <row r="2905" spans="1:8" x14ac:dyDescent="0.25">
      <c r="A2905" t="s">
        <v>458</v>
      </c>
      <c r="B2905">
        <v>2024</v>
      </c>
      <c r="C2905" t="s">
        <v>172</v>
      </c>
      <c r="D2905" t="s">
        <v>34</v>
      </c>
      <c r="E2905" t="s">
        <v>411</v>
      </c>
      <c r="F2905" t="s">
        <v>203</v>
      </c>
      <c r="G2905" s="5">
        <v>44378154</v>
      </c>
      <c r="H2905" s="5">
        <v>44391005</v>
      </c>
    </row>
    <row r="2906" spans="1:8" x14ac:dyDescent="0.25">
      <c r="A2906" t="s">
        <v>458</v>
      </c>
      <c r="B2906">
        <v>2024</v>
      </c>
      <c r="C2906" t="s">
        <v>172</v>
      </c>
      <c r="D2906" t="s">
        <v>34</v>
      </c>
      <c r="E2906" t="s">
        <v>407</v>
      </c>
      <c r="F2906" t="s">
        <v>197</v>
      </c>
      <c r="G2906" s="5">
        <v>38434154</v>
      </c>
      <c r="H2906" s="5">
        <v>45075666</v>
      </c>
    </row>
    <row r="2907" spans="1:8" x14ac:dyDescent="0.25">
      <c r="A2907" t="s">
        <v>458</v>
      </c>
      <c r="B2907">
        <v>2024</v>
      </c>
      <c r="C2907" t="s">
        <v>172</v>
      </c>
      <c r="D2907" t="s">
        <v>34</v>
      </c>
      <c r="E2907" t="s">
        <v>408</v>
      </c>
      <c r="F2907" t="s">
        <v>198</v>
      </c>
      <c r="G2907" s="5">
        <v>32954622</v>
      </c>
      <c r="H2907" s="5">
        <v>33567273</v>
      </c>
    </row>
    <row r="2908" spans="1:8" x14ac:dyDescent="0.25">
      <c r="A2908" t="s">
        <v>458</v>
      </c>
      <c r="B2908">
        <v>2024</v>
      </c>
      <c r="C2908" t="s">
        <v>172</v>
      </c>
      <c r="D2908" t="s">
        <v>34</v>
      </c>
      <c r="E2908" t="s">
        <v>410</v>
      </c>
      <c r="F2908" t="s">
        <v>201</v>
      </c>
      <c r="G2908" s="5">
        <v>29426331</v>
      </c>
      <c r="H2908" s="5">
        <v>29663904</v>
      </c>
    </row>
    <row r="2909" spans="1:8" x14ac:dyDescent="0.25">
      <c r="A2909" t="s">
        <v>458</v>
      </c>
      <c r="B2909">
        <v>2024</v>
      </c>
      <c r="C2909" t="s">
        <v>172</v>
      </c>
      <c r="D2909" t="s">
        <v>34</v>
      </c>
      <c r="E2909" t="s">
        <v>412</v>
      </c>
      <c r="F2909" t="s">
        <v>204</v>
      </c>
      <c r="G2909" s="5">
        <v>23678295</v>
      </c>
      <c r="H2909" s="5">
        <v>23688295</v>
      </c>
    </row>
    <row r="2910" spans="1:8" x14ac:dyDescent="0.25">
      <c r="A2910" t="s">
        <v>458</v>
      </c>
      <c r="B2910">
        <v>2024</v>
      </c>
      <c r="C2910" t="s">
        <v>172</v>
      </c>
      <c r="D2910" t="s">
        <v>34</v>
      </c>
      <c r="E2910" t="s">
        <v>414</v>
      </c>
      <c r="F2910" t="s">
        <v>209</v>
      </c>
      <c r="G2910" s="5">
        <v>3840913</v>
      </c>
      <c r="H2910" s="5">
        <v>4098620</v>
      </c>
    </row>
    <row r="2911" spans="1:8" x14ac:dyDescent="0.25">
      <c r="A2911" t="s">
        <v>458</v>
      </c>
      <c r="B2911">
        <v>2024</v>
      </c>
      <c r="C2911" t="s">
        <v>172</v>
      </c>
      <c r="D2911" t="s">
        <v>34</v>
      </c>
      <c r="E2911" t="s">
        <v>413</v>
      </c>
      <c r="F2911" t="s">
        <v>207</v>
      </c>
      <c r="G2911" s="5">
        <v>1964656</v>
      </c>
      <c r="H2911" s="5">
        <v>1967156</v>
      </c>
    </row>
    <row r="2912" spans="1:8" x14ac:dyDescent="0.25">
      <c r="A2912" t="s">
        <v>458</v>
      </c>
      <c r="B2912">
        <v>2024</v>
      </c>
      <c r="C2912" t="s">
        <v>172</v>
      </c>
      <c r="D2912" t="s">
        <v>37</v>
      </c>
      <c r="E2912" t="s">
        <v>415</v>
      </c>
      <c r="F2912" t="s">
        <v>177</v>
      </c>
      <c r="G2912" s="5">
        <v>657480893</v>
      </c>
      <c r="H2912" s="5">
        <v>3000569331</v>
      </c>
    </row>
    <row r="2913" spans="1:8" x14ac:dyDescent="0.25">
      <c r="A2913" t="s">
        <v>458</v>
      </c>
      <c r="B2913">
        <v>2024</v>
      </c>
      <c r="C2913" t="s">
        <v>172</v>
      </c>
      <c r="D2913" t="s">
        <v>37</v>
      </c>
      <c r="E2913" t="s">
        <v>416</v>
      </c>
      <c r="F2913" t="s">
        <v>182</v>
      </c>
      <c r="G2913" s="5">
        <v>549132945</v>
      </c>
      <c r="H2913" s="5">
        <v>729309219</v>
      </c>
    </row>
    <row r="2914" spans="1:8" x14ac:dyDescent="0.25">
      <c r="A2914" t="s">
        <v>458</v>
      </c>
      <c r="B2914">
        <v>2024</v>
      </c>
      <c r="C2914" t="s">
        <v>172</v>
      </c>
      <c r="D2914" t="s">
        <v>37</v>
      </c>
      <c r="E2914" t="s">
        <v>420</v>
      </c>
      <c r="F2914" t="s">
        <v>200</v>
      </c>
      <c r="G2914" s="5">
        <v>72666651</v>
      </c>
      <c r="H2914" s="5">
        <v>72727580</v>
      </c>
    </row>
    <row r="2915" spans="1:8" x14ac:dyDescent="0.25">
      <c r="A2915" t="s">
        <v>458</v>
      </c>
      <c r="B2915">
        <v>2024</v>
      </c>
      <c r="C2915" t="s">
        <v>172</v>
      </c>
      <c r="D2915" t="s">
        <v>37</v>
      </c>
      <c r="E2915" t="s">
        <v>418</v>
      </c>
      <c r="F2915" t="s">
        <v>188</v>
      </c>
      <c r="G2915" s="5">
        <v>54378007</v>
      </c>
      <c r="H2915" s="5">
        <v>55366543</v>
      </c>
    </row>
    <row r="2916" spans="1:8" x14ac:dyDescent="0.25">
      <c r="A2916" t="s">
        <v>458</v>
      </c>
      <c r="B2916">
        <v>2024</v>
      </c>
      <c r="C2916" t="s">
        <v>172</v>
      </c>
      <c r="D2916" t="s">
        <v>37</v>
      </c>
      <c r="E2916" t="s">
        <v>422</v>
      </c>
      <c r="F2916" t="s">
        <v>205</v>
      </c>
      <c r="G2916" s="5">
        <v>48836971</v>
      </c>
      <c r="H2916" s="5">
        <v>48996669</v>
      </c>
    </row>
    <row r="2917" spans="1:8" x14ac:dyDescent="0.25">
      <c r="A2917" t="s">
        <v>458</v>
      </c>
      <c r="B2917">
        <v>2024</v>
      </c>
      <c r="C2917" t="s">
        <v>172</v>
      </c>
      <c r="D2917" t="s">
        <v>37</v>
      </c>
      <c r="E2917" t="s">
        <v>423</v>
      </c>
      <c r="F2917" t="s">
        <v>206</v>
      </c>
      <c r="G2917" s="5">
        <v>19048712</v>
      </c>
      <c r="H2917" s="5">
        <v>19048712</v>
      </c>
    </row>
    <row r="2918" spans="1:8" x14ac:dyDescent="0.25">
      <c r="A2918" t="s">
        <v>458</v>
      </c>
      <c r="B2918">
        <v>2024</v>
      </c>
      <c r="C2918" t="s">
        <v>172</v>
      </c>
      <c r="D2918" t="s">
        <v>37</v>
      </c>
      <c r="E2918" t="s">
        <v>425</v>
      </c>
      <c r="F2918" t="s">
        <v>210</v>
      </c>
      <c r="G2918" s="5">
        <v>15954530</v>
      </c>
      <c r="H2918" s="5">
        <v>15954530</v>
      </c>
    </row>
    <row r="2919" spans="1:8" x14ac:dyDescent="0.25">
      <c r="A2919" t="s">
        <v>458</v>
      </c>
      <c r="B2919">
        <v>2024</v>
      </c>
      <c r="C2919" t="s">
        <v>172</v>
      </c>
      <c r="D2919" t="s">
        <v>37</v>
      </c>
      <c r="E2919" t="s">
        <v>419</v>
      </c>
      <c r="F2919" t="s">
        <v>196</v>
      </c>
      <c r="G2919" s="5">
        <v>15118381</v>
      </c>
      <c r="H2919" s="5">
        <v>15280932</v>
      </c>
    </row>
    <row r="2920" spans="1:8" x14ac:dyDescent="0.25">
      <c r="A2920" t="s">
        <v>458</v>
      </c>
      <c r="B2920">
        <v>2024</v>
      </c>
      <c r="C2920" t="s">
        <v>172</v>
      </c>
      <c r="D2920" t="s">
        <v>37</v>
      </c>
      <c r="E2920" t="s">
        <v>424</v>
      </c>
      <c r="F2920" t="s">
        <v>208</v>
      </c>
      <c r="G2920" s="5">
        <v>10909215</v>
      </c>
      <c r="H2920" s="5">
        <v>10909215</v>
      </c>
    </row>
    <row r="2921" spans="1:8" x14ac:dyDescent="0.25">
      <c r="A2921" t="s">
        <v>458</v>
      </c>
      <c r="B2921">
        <v>2024</v>
      </c>
      <c r="C2921" t="s">
        <v>172</v>
      </c>
      <c r="D2921" t="s">
        <v>37</v>
      </c>
      <c r="E2921" t="s">
        <v>417</v>
      </c>
      <c r="F2921" t="s">
        <v>185</v>
      </c>
      <c r="G2921" s="5">
        <v>6790050</v>
      </c>
      <c r="H2921" s="5">
        <v>402670806</v>
      </c>
    </row>
    <row r="2922" spans="1:8" x14ac:dyDescent="0.25">
      <c r="A2922" t="s">
        <v>458</v>
      </c>
      <c r="B2922">
        <v>2024</v>
      </c>
      <c r="C2922" t="s">
        <v>172</v>
      </c>
      <c r="D2922" t="s">
        <v>37</v>
      </c>
      <c r="E2922" t="s">
        <v>426</v>
      </c>
      <c r="F2922" t="s">
        <v>211</v>
      </c>
      <c r="G2922" s="5">
        <v>5669809</v>
      </c>
      <c r="H2922" s="5">
        <v>5673385</v>
      </c>
    </row>
    <row r="2923" spans="1:8" x14ac:dyDescent="0.25">
      <c r="A2923" t="s">
        <v>458</v>
      </c>
      <c r="B2923">
        <v>2024</v>
      </c>
      <c r="C2923" t="s">
        <v>172</v>
      </c>
      <c r="D2923" t="s">
        <v>37</v>
      </c>
      <c r="E2923" t="s">
        <v>427</v>
      </c>
      <c r="F2923" t="s">
        <v>212</v>
      </c>
      <c r="G2923" s="5">
        <v>3489632</v>
      </c>
      <c r="H2923" s="5">
        <v>3489632</v>
      </c>
    </row>
    <row r="2924" spans="1:8" x14ac:dyDescent="0.25">
      <c r="A2924" t="s">
        <v>458</v>
      </c>
      <c r="B2924">
        <v>2024</v>
      </c>
      <c r="C2924" t="s">
        <v>172</v>
      </c>
      <c r="D2924" t="s">
        <v>37</v>
      </c>
      <c r="F2924" t="s">
        <v>215</v>
      </c>
      <c r="G2924" s="5">
        <v>1490341</v>
      </c>
      <c r="H2924" s="5">
        <v>1490341</v>
      </c>
    </row>
    <row r="2925" spans="1:8" x14ac:dyDescent="0.25">
      <c r="A2925" t="s">
        <v>458</v>
      </c>
      <c r="B2925">
        <v>2024</v>
      </c>
      <c r="C2925" t="s">
        <v>172</v>
      </c>
      <c r="D2925" t="s">
        <v>37</v>
      </c>
      <c r="E2925" t="s">
        <v>421</v>
      </c>
      <c r="F2925" t="s">
        <v>202</v>
      </c>
      <c r="G2925" s="5">
        <v>538225</v>
      </c>
      <c r="H2925" s="5">
        <v>540125</v>
      </c>
    </row>
    <row r="2926" spans="1:8" x14ac:dyDescent="0.25">
      <c r="A2926" t="s">
        <v>458</v>
      </c>
      <c r="B2926">
        <v>2024</v>
      </c>
      <c r="C2926" t="s">
        <v>172</v>
      </c>
      <c r="D2926" t="s">
        <v>37</v>
      </c>
      <c r="E2926" t="s">
        <v>428</v>
      </c>
      <c r="F2926" t="s">
        <v>213</v>
      </c>
      <c r="G2926" s="5">
        <v>501353</v>
      </c>
      <c r="H2926" s="5">
        <v>504612</v>
      </c>
    </row>
    <row r="2927" spans="1:8" x14ac:dyDescent="0.25">
      <c r="A2927" t="s">
        <v>458</v>
      </c>
      <c r="B2927">
        <v>2024</v>
      </c>
      <c r="C2927" t="s">
        <v>172</v>
      </c>
      <c r="D2927" t="s">
        <v>37</v>
      </c>
      <c r="E2927" t="s">
        <v>429</v>
      </c>
      <c r="F2927" t="s">
        <v>214</v>
      </c>
      <c r="G2927" s="5">
        <v>105210</v>
      </c>
      <c r="H2927" s="5">
        <v>105210</v>
      </c>
    </row>
    <row r="2928" spans="1:8" x14ac:dyDescent="0.25">
      <c r="A2928" t="s">
        <v>458</v>
      </c>
      <c r="B2928">
        <v>2024</v>
      </c>
      <c r="C2928" t="s">
        <v>172</v>
      </c>
      <c r="D2928" t="s">
        <v>37</v>
      </c>
      <c r="E2928" t="s">
        <v>430</v>
      </c>
      <c r="F2928" t="s">
        <v>216</v>
      </c>
      <c r="G2928" s="5">
        <v>68079</v>
      </c>
      <c r="H2928" s="5">
        <v>70022</v>
      </c>
    </row>
    <row r="2929" spans="1:8" x14ac:dyDescent="0.25">
      <c r="A2929" t="s">
        <v>458</v>
      </c>
      <c r="B2929">
        <v>2024</v>
      </c>
      <c r="C2929" t="s">
        <v>40</v>
      </c>
      <c r="D2929" t="s">
        <v>40</v>
      </c>
      <c r="E2929" t="s">
        <v>432</v>
      </c>
      <c r="F2929" t="s">
        <v>218</v>
      </c>
      <c r="G2929" s="5">
        <v>16570975</v>
      </c>
      <c r="H2929" s="5">
        <v>2077311771</v>
      </c>
    </row>
    <row r="2930" spans="1:8" x14ac:dyDescent="0.25">
      <c r="A2930" t="s">
        <v>458</v>
      </c>
      <c r="B2930">
        <v>2024</v>
      </c>
      <c r="C2930" t="s">
        <v>40</v>
      </c>
      <c r="D2930" t="s">
        <v>40</v>
      </c>
      <c r="E2930" t="s">
        <v>433</v>
      </c>
      <c r="F2930" t="s">
        <v>219</v>
      </c>
      <c r="G2930" s="5">
        <v>8669005</v>
      </c>
      <c r="H2930" s="5">
        <v>8669699</v>
      </c>
    </row>
    <row r="2931" spans="1:8" x14ac:dyDescent="0.25">
      <c r="A2931" t="s">
        <v>458</v>
      </c>
      <c r="B2931">
        <v>2024</v>
      </c>
      <c r="C2931" t="s">
        <v>40</v>
      </c>
      <c r="D2931" t="s">
        <v>40</v>
      </c>
      <c r="E2931" t="s">
        <v>435</v>
      </c>
      <c r="F2931" t="s">
        <v>221</v>
      </c>
      <c r="G2931" s="5">
        <v>56067</v>
      </c>
      <c r="H2931" s="5">
        <v>213829</v>
      </c>
    </row>
    <row r="2932" spans="1:8" x14ac:dyDescent="0.25">
      <c r="A2932" t="s">
        <v>458</v>
      </c>
      <c r="B2932">
        <v>2024</v>
      </c>
      <c r="C2932" t="s">
        <v>40</v>
      </c>
      <c r="D2932" t="s">
        <v>40</v>
      </c>
      <c r="E2932" t="s">
        <v>434</v>
      </c>
      <c r="F2932" t="s">
        <v>220</v>
      </c>
      <c r="G2932" s="5">
        <v>34761</v>
      </c>
      <c r="H2932" s="5">
        <v>37524</v>
      </c>
    </row>
    <row r="2933" spans="1:8" x14ac:dyDescent="0.25">
      <c r="A2933" t="s">
        <v>458</v>
      </c>
      <c r="B2933">
        <v>2024</v>
      </c>
      <c r="C2933" t="s">
        <v>40</v>
      </c>
      <c r="D2933" t="s">
        <v>40</v>
      </c>
      <c r="F2933" t="s">
        <v>225</v>
      </c>
      <c r="G2933" s="5">
        <v>33237</v>
      </c>
      <c r="H2933" s="5">
        <v>33237</v>
      </c>
    </row>
    <row r="2934" spans="1:8" x14ac:dyDescent="0.25">
      <c r="A2934" t="s">
        <v>458</v>
      </c>
      <c r="B2934">
        <v>2024</v>
      </c>
      <c r="C2934" t="s">
        <v>40</v>
      </c>
      <c r="D2934" t="s">
        <v>40</v>
      </c>
      <c r="E2934" t="s">
        <v>468</v>
      </c>
      <c r="F2934" t="s">
        <v>256</v>
      </c>
      <c r="G2934" s="5">
        <v>26843</v>
      </c>
      <c r="H2934" s="5">
        <v>26843</v>
      </c>
    </row>
    <row r="2935" spans="1:8" x14ac:dyDescent="0.25">
      <c r="A2935" t="s">
        <v>458</v>
      </c>
      <c r="B2935">
        <v>2024</v>
      </c>
      <c r="C2935" t="s">
        <v>40</v>
      </c>
      <c r="D2935" t="s">
        <v>40</v>
      </c>
      <c r="E2935" t="s">
        <v>438</v>
      </c>
      <c r="F2935" t="s">
        <v>224</v>
      </c>
      <c r="G2935" s="5">
        <v>20319</v>
      </c>
      <c r="H2935" s="5">
        <v>53240</v>
      </c>
    </row>
  </sheetData>
  <mergeCells count="3">
    <mergeCell ref="A1:R1"/>
    <mergeCell ref="A2:R2"/>
    <mergeCell ref="A3:R3"/>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56"/>
  <sheetViews>
    <sheetView workbookViewId="0">
      <selection sqref="A1:R1"/>
    </sheetView>
  </sheetViews>
  <sheetFormatPr baseColWidth="10" defaultRowHeight="15" x14ac:dyDescent="0.25"/>
  <cols>
    <col min="1" max="2" width="16.7109375" customWidth="1"/>
    <col min="3" max="3" width="41.7109375" customWidth="1"/>
    <col min="4" max="4" width="10.7109375" customWidth="1"/>
  </cols>
  <sheetData>
    <row r="1" spans="1:18" ht="18" x14ac:dyDescent="0.25">
      <c r="A1" s="12" t="s">
        <v>469</v>
      </c>
      <c r="B1" s="8"/>
      <c r="C1" s="8"/>
      <c r="D1" s="8"/>
      <c r="E1" s="8"/>
      <c r="F1" s="8"/>
      <c r="G1" s="8"/>
      <c r="H1" s="8"/>
      <c r="I1" s="8"/>
      <c r="J1" s="8"/>
      <c r="K1" s="8"/>
      <c r="L1" s="8"/>
      <c r="M1" s="8"/>
      <c r="N1" s="8"/>
      <c r="O1" s="8"/>
      <c r="P1" s="8"/>
      <c r="Q1" s="8"/>
      <c r="R1" s="8"/>
    </row>
    <row r="3" spans="1:18" ht="15.75" x14ac:dyDescent="0.25">
      <c r="A3" s="7" t="s">
        <v>261</v>
      </c>
      <c r="B3" s="7" t="s">
        <v>262</v>
      </c>
      <c r="C3" s="7" t="s">
        <v>264</v>
      </c>
      <c r="D3" s="7" t="s">
        <v>263</v>
      </c>
    </row>
    <row r="4" spans="1:18" x14ac:dyDescent="0.25">
      <c r="A4" t="s">
        <v>39</v>
      </c>
      <c r="B4" t="s">
        <v>39</v>
      </c>
      <c r="C4" t="s">
        <v>49</v>
      </c>
      <c r="D4" t="s">
        <v>270</v>
      </c>
    </row>
    <row r="5" spans="1:18" x14ac:dyDescent="0.25">
      <c r="A5" t="s">
        <v>39</v>
      </c>
      <c r="B5" t="s">
        <v>39</v>
      </c>
      <c r="C5" t="s">
        <v>68</v>
      </c>
      <c r="D5" t="s">
        <v>288</v>
      </c>
    </row>
    <row r="6" spans="1:18" x14ac:dyDescent="0.25">
      <c r="A6" t="s">
        <v>39</v>
      </c>
      <c r="B6" t="s">
        <v>39</v>
      </c>
      <c r="C6" t="s">
        <v>61</v>
      </c>
      <c r="D6" t="s">
        <v>282</v>
      </c>
    </row>
    <row r="7" spans="1:18" x14ac:dyDescent="0.25">
      <c r="A7" t="s">
        <v>39</v>
      </c>
      <c r="B7" t="s">
        <v>39</v>
      </c>
      <c r="C7" t="s">
        <v>237</v>
      </c>
      <c r="D7" t="s">
        <v>450</v>
      </c>
    </row>
    <row r="8" spans="1:18" x14ac:dyDescent="0.25">
      <c r="A8" t="s">
        <v>39</v>
      </c>
      <c r="B8" t="s">
        <v>39</v>
      </c>
      <c r="C8" t="s">
        <v>470</v>
      </c>
      <c r="D8" t="s">
        <v>471</v>
      </c>
    </row>
    <row r="9" spans="1:18" x14ac:dyDescent="0.25">
      <c r="A9" t="s">
        <v>39</v>
      </c>
      <c r="B9" t="s">
        <v>39</v>
      </c>
      <c r="C9" t="s">
        <v>87</v>
      </c>
      <c r="D9" t="s">
        <v>307</v>
      </c>
    </row>
    <row r="10" spans="1:18" x14ac:dyDescent="0.25">
      <c r="A10" t="s">
        <v>39</v>
      </c>
      <c r="B10" t="s">
        <v>39</v>
      </c>
      <c r="C10" t="s">
        <v>236</v>
      </c>
      <c r="D10" t="s">
        <v>449</v>
      </c>
    </row>
    <row r="11" spans="1:18" x14ac:dyDescent="0.25">
      <c r="A11" t="s">
        <v>39</v>
      </c>
      <c r="B11" t="s">
        <v>39</v>
      </c>
      <c r="C11" t="s">
        <v>90</v>
      </c>
      <c r="D11" t="s">
        <v>310</v>
      </c>
    </row>
    <row r="12" spans="1:18" x14ac:dyDescent="0.25">
      <c r="A12" t="s">
        <v>39</v>
      </c>
      <c r="B12" t="s">
        <v>39</v>
      </c>
      <c r="C12" t="s">
        <v>472</v>
      </c>
      <c r="D12" t="s">
        <v>473</v>
      </c>
    </row>
    <row r="13" spans="1:18" x14ac:dyDescent="0.25">
      <c r="A13" t="s">
        <v>39</v>
      </c>
      <c r="B13" t="s">
        <v>39</v>
      </c>
      <c r="C13" t="s">
        <v>56</v>
      </c>
      <c r="D13" t="s">
        <v>277</v>
      </c>
    </row>
    <row r="14" spans="1:18" x14ac:dyDescent="0.25">
      <c r="A14" t="s">
        <v>39</v>
      </c>
      <c r="B14" t="s">
        <v>39</v>
      </c>
      <c r="C14" t="s">
        <v>82</v>
      </c>
      <c r="D14" t="s">
        <v>302</v>
      </c>
    </row>
    <row r="15" spans="1:18" x14ac:dyDescent="0.25">
      <c r="A15" t="s">
        <v>39</v>
      </c>
      <c r="B15" t="s">
        <v>39</v>
      </c>
      <c r="C15" t="s">
        <v>79</v>
      </c>
      <c r="D15" t="s">
        <v>299</v>
      </c>
    </row>
    <row r="16" spans="1:18" x14ac:dyDescent="0.25">
      <c r="A16" t="s">
        <v>39</v>
      </c>
      <c r="B16" t="s">
        <v>39</v>
      </c>
      <c r="C16" t="s">
        <v>247</v>
      </c>
      <c r="D16" t="s">
        <v>459</v>
      </c>
    </row>
    <row r="17" spans="1:4" x14ac:dyDescent="0.25">
      <c r="A17" t="s">
        <v>39</v>
      </c>
      <c r="B17" t="s">
        <v>39</v>
      </c>
      <c r="C17" t="s">
        <v>81</v>
      </c>
      <c r="D17" t="s">
        <v>301</v>
      </c>
    </row>
    <row r="18" spans="1:4" x14ac:dyDescent="0.25">
      <c r="A18" t="s">
        <v>39</v>
      </c>
      <c r="B18" t="s">
        <v>39</v>
      </c>
      <c r="C18" t="s">
        <v>84</v>
      </c>
      <c r="D18" t="s">
        <v>304</v>
      </c>
    </row>
    <row r="19" spans="1:4" x14ac:dyDescent="0.25">
      <c r="A19" t="s">
        <v>39</v>
      </c>
      <c r="B19" t="s">
        <v>39</v>
      </c>
      <c r="C19" t="s">
        <v>60</v>
      </c>
      <c r="D19" t="s">
        <v>281</v>
      </c>
    </row>
    <row r="20" spans="1:4" x14ac:dyDescent="0.25">
      <c r="A20" t="s">
        <v>39</v>
      </c>
      <c r="B20" t="s">
        <v>39</v>
      </c>
      <c r="C20" t="s">
        <v>75</v>
      </c>
      <c r="D20" t="s">
        <v>295</v>
      </c>
    </row>
    <row r="21" spans="1:4" x14ac:dyDescent="0.25">
      <c r="A21" t="s">
        <v>39</v>
      </c>
      <c r="B21" t="s">
        <v>39</v>
      </c>
      <c r="C21" t="s">
        <v>474</v>
      </c>
      <c r="D21" t="s">
        <v>475</v>
      </c>
    </row>
    <row r="22" spans="1:4" x14ac:dyDescent="0.25">
      <c r="A22" t="s">
        <v>39</v>
      </c>
      <c r="B22" t="s">
        <v>39</v>
      </c>
      <c r="C22" t="s">
        <v>66</v>
      </c>
      <c r="D22" t="s">
        <v>286</v>
      </c>
    </row>
    <row r="23" spans="1:4" x14ac:dyDescent="0.25">
      <c r="A23" t="s">
        <v>39</v>
      </c>
      <c r="B23" t="s">
        <v>39</v>
      </c>
      <c r="C23" t="s">
        <v>476</v>
      </c>
      <c r="D23" t="s">
        <v>477</v>
      </c>
    </row>
    <row r="24" spans="1:4" x14ac:dyDescent="0.25">
      <c r="A24" t="s">
        <v>39</v>
      </c>
      <c r="B24" t="s">
        <v>39</v>
      </c>
      <c r="C24" t="s">
        <v>58</v>
      </c>
      <c r="D24" t="s">
        <v>279</v>
      </c>
    </row>
    <row r="25" spans="1:4" x14ac:dyDescent="0.25">
      <c r="A25" t="s">
        <v>39</v>
      </c>
      <c r="B25" t="s">
        <v>39</v>
      </c>
      <c r="C25" t="s">
        <v>255</v>
      </c>
      <c r="D25" t="s">
        <v>467</v>
      </c>
    </row>
    <row r="26" spans="1:4" x14ac:dyDescent="0.25">
      <c r="A26" t="s">
        <v>39</v>
      </c>
      <c r="B26" t="s">
        <v>39</v>
      </c>
      <c r="C26" t="s">
        <v>72</v>
      </c>
      <c r="D26" t="s">
        <v>292</v>
      </c>
    </row>
    <row r="27" spans="1:4" x14ac:dyDescent="0.25">
      <c r="A27" t="s">
        <v>39</v>
      </c>
      <c r="B27" t="s">
        <v>39</v>
      </c>
      <c r="C27" t="s">
        <v>70</v>
      </c>
      <c r="D27" t="s">
        <v>290</v>
      </c>
    </row>
    <row r="28" spans="1:4" x14ac:dyDescent="0.25">
      <c r="A28" t="s">
        <v>39</v>
      </c>
      <c r="B28" t="s">
        <v>39</v>
      </c>
      <c r="C28" t="s">
        <v>235</v>
      </c>
      <c r="D28" t="s">
        <v>448</v>
      </c>
    </row>
    <row r="29" spans="1:4" x14ac:dyDescent="0.25">
      <c r="A29" t="s">
        <v>39</v>
      </c>
      <c r="B29" t="s">
        <v>39</v>
      </c>
      <c r="C29" t="s">
        <v>69</v>
      </c>
      <c r="D29" t="s">
        <v>289</v>
      </c>
    </row>
    <row r="30" spans="1:4" x14ac:dyDescent="0.25">
      <c r="A30" t="s">
        <v>39</v>
      </c>
      <c r="B30" t="s">
        <v>39</v>
      </c>
      <c r="C30" t="s">
        <v>53</v>
      </c>
      <c r="D30" t="s">
        <v>274</v>
      </c>
    </row>
    <row r="31" spans="1:4" x14ac:dyDescent="0.25">
      <c r="A31" t="s">
        <v>39</v>
      </c>
      <c r="B31" t="s">
        <v>39</v>
      </c>
      <c r="C31" t="s">
        <v>76</v>
      </c>
      <c r="D31" t="s">
        <v>296</v>
      </c>
    </row>
    <row r="32" spans="1:4" x14ac:dyDescent="0.25">
      <c r="A32" t="s">
        <v>39</v>
      </c>
      <c r="B32" t="s">
        <v>39</v>
      </c>
      <c r="C32" t="s">
        <v>226</v>
      </c>
      <c r="D32" t="s">
        <v>439</v>
      </c>
    </row>
    <row r="33" spans="1:4" x14ac:dyDescent="0.25">
      <c r="A33" t="s">
        <v>39</v>
      </c>
      <c r="B33" t="s">
        <v>39</v>
      </c>
      <c r="C33" t="s">
        <v>85</v>
      </c>
      <c r="D33" t="s">
        <v>305</v>
      </c>
    </row>
    <row r="34" spans="1:4" x14ac:dyDescent="0.25">
      <c r="A34" t="s">
        <v>39</v>
      </c>
      <c r="B34" t="s">
        <v>39</v>
      </c>
      <c r="C34" t="s">
        <v>52</v>
      </c>
      <c r="D34" t="s">
        <v>273</v>
      </c>
    </row>
    <row r="35" spans="1:4" x14ac:dyDescent="0.25">
      <c r="A35" t="s">
        <v>39</v>
      </c>
      <c r="B35" t="s">
        <v>39</v>
      </c>
      <c r="C35" t="s">
        <v>91</v>
      </c>
      <c r="D35" t="s">
        <v>311</v>
      </c>
    </row>
    <row r="36" spans="1:4" x14ac:dyDescent="0.25">
      <c r="A36" t="s">
        <v>39</v>
      </c>
      <c r="B36" t="s">
        <v>39</v>
      </c>
      <c r="C36" t="s">
        <v>59</v>
      </c>
      <c r="D36" t="s">
        <v>280</v>
      </c>
    </row>
    <row r="37" spans="1:4" x14ac:dyDescent="0.25">
      <c r="A37" t="s">
        <v>39</v>
      </c>
      <c r="B37" t="s">
        <v>39</v>
      </c>
      <c r="C37" t="s">
        <v>238</v>
      </c>
      <c r="D37" t="s">
        <v>451</v>
      </c>
    </row>
    <row r="38" spans="1:4" x14ac:dyDescent="0.25">
      <c r="A38" t="s">
        <v>39</v>
      </c>
      <c r="B38" t="s">
        <v>39</v>
      </c>
      <c r="C38" t="s">
        <v>478</v>
      </c>
      <c r="D38" t="s">
        <v>479</v>
      </c>
    </row>
    <row r="39" spans="1:4" x14ac:dyDescent="0.25">
      <c r="A39" t="s">
        <v>39</v>
      </c>
      <c r="B39" t="s">
        <v>39</v>
      </c>
      <c r="C39" t="s">
        <v>62</v>
      </c>
      <c r="D39" t="s">
        <v>283</v>
      </c>
    </row>
    <row r="40" spans="1:4" x14ac:dyDescent="0.25">
      <c r="A40" t="s">
        <v>39</v>
      </c>
      <c r="B40" t="s">
        <v>39</v>
      </c>
      <c r="C40" t="s">
        <v>83</v>
      </c>
      <c r="D40" t="s">
        <v>303</v>
      </c>
    </row>
    <row r="41" spans="1:4" x14ac:dyDescent="0.25">
      <c r="A41" t="s">
        <v>39</v>
      </c>
      <c r="B41" t="s">
        <v>39</v>
      </c>
      <c r="C41" t="s">
        <v>57</v>
      </c>
      <c r="D41" t="s">
        <v>278</v>
      </c>
    </row>
    <row r="42" spans="1:4" x14ac:dyDescent="0.25">
      <c r="A42" t="s">
        <v>39</v>
      </c>
      <c r="B42" t="s">
        <v>39</v>
      </c>
      <c r="C42" t="s">
        <v>54</v>
      </c>
      <c r="D42" t="s">
        <v>275</v>
      </c>
    </row>
    <row r="43" spans="1:4" x14ac:dyDescent="0.25">
      <c r="A43" t="s">
        <v>39</v>
      </c>
      <c r="B43" t="s">
        <v>39</v>
      </c>
      <c r="C43" t="s">
        <v>78</v>
      </c>
      <c r="D43" t="s">
        <v>298</v>
      </c>
    </row>
    <row r="44" spans="1:4" x14ac:dyDescent="0.25">
      <c r="A44" t="s">
        <v>39</v>
      </c>
      <c r="B44" t="s">
        <v>39</v>
      </c>
      <c r="C44" t="s">
        <v>88</v>
      </c>
      <c r="D44" t="s">
        <v>308</v>
      </c>
    </row>
    <row r="45" spans="1:4" x14ac:dyDescent="0.25">
      <c r="A45" t="s">
        <v>39</v>
      </c>
      <c r="B45" t="s">
        <v>39</v>
      </c>
      <c r="C45" t="s">
        <v>73</v>
      </c>
      <c r="D45" t="s">
        <v>293</v>
      </c>
    </row>
    <row r="46" spans="1:4" x14ac:dyDescent="0.25">
      <c r="A46" t="s">
        <v>39</v>
      </c>
      <c r="B46" t="s">
        <v>39</v>
      </c>
      <c r="C46" t="s">
        <v>63</v>
      </c>
      <c r="D46" t="s">
        <v>284</v>
      </c>
    </row>
    <row r="47" spans="1:4" x14ac:dyDescent="0.25">
      <c r="A47" t="s">
        <v>39</v>
      </c>
      <c r="B47" t="s">
        <v>39</v>
      </c>
      <c r="C47" t="s">
        <v>80</v>
      </c>
      <c r="D47" t="s">
        <v>300</v>
      </c>
    </row>
    <row r="48" spans="1:4" x14ac:dyDescent="0.25">
      <c r="A48" t="s">
        <v>39</v>
      </c>
      <c r="B48" t="s">
        <v>39</v>
      </c>
      <c r="C48" t="s">
        <v>77</v>
      </c>
      <c r="D48" t="s">
        <v>297</v>
      </c>
    </row>
    <row r="49" spans="1:4" x14ac:dyDescent="0.25">
      <c r="A49" t="s">
        <v>39</v>
      </c>
      <c r="B49" t="s">
        <v>39</v>
      </c>
      <c r="C49" t="s">
        <v>71</v>
      </c>
      <c r="D49" t="s">
        <v>291</v>
      </c>
    </row>
    <row r="50" spans="1:4" x14ac:dyDescent="0.25">
      <c r="A50" t="s">
        <v>39</v>
      </c>
      <c r="B50" t="s">
        <v>39</v>
      </c>
      <c r="C50" t="s">
        <v>253</v>
      </c>
      <c r="D50" t="s">
        <v>465</v>
      </c>
    </row>
    <row r="51" spans="1:4" x14ac:dyDescent="0.25">
      <c r="A51" t="s">
        <v>39</v>
      </c>
      <c r="B51" t="s">
        <v>39</v>
      </c>
      <c r="C51" t="s">
        <v>480</v>
      </c>
      <c r="D51" t="s">
        <v>481</v>
      </c>
    </row>
    <row r="52" spans="1:4" x14ac:dyDescent="0.25">
      <c r="A52" t="s">
        <v>39</v>
      </c>
      <c r="B52" t="s">
        <v>39</v>
      </c>
      <c r="C52" t="s">
        <v>65</v>
      </c>
      <c r="D52" t="s">
        <v>285</v>
      </c>
    </row>
    <row r="53" spans="1:4" x14ac:dyDescent="0.25">
      <c r="A53" t="s">
        <v>39</v>
      </c>
      <c r="B53" t="s">
        <v>39</v>
      </c>
      <c r="C53" t="s">
        <v>254</v>
      </c>
      <c r="D53" t="s">
        <v>466</v>
      </c>
    </row>
    <row r="54" spans="1:4" x14ac:dyDescent="0.25">
      <c r="A54" t="s">
        <v>39</v>
      </c>
      <c r="B54" t="s">
        <v>39</v>
      </c>
      <c r="C54" t="s">
        <v>47</v>
      </c>
      <c r="D54" t="s">
        <v>268</v>
      </c>
    </row>
    <row r="55" spans="1:4" x14ac:dyDescent="0.25">
      <c r="A55" t="s">
        <v>39</v>
      </c>
      <c r="B55" t="s">
        <v>39</v>
      </c>
      <c r="C55" t="s">
        <v>89</v>
      </c>
      <c r="D55" t="s">
        <v>309</v>
      </c>
    </row>
    <row r="56" spans="1:4" x14ac:dyDescent="0.25">
      <c r="A56" t="s">
        <v>39</v>
      </c>
      <c r="B56" t="s">
        <v>39</v>
      </c>
      <c r="C56" t="s">
        <v>67</v>
      </c>
      <c r="D56" t="s">
        <v>287</v>
      </c>
    </row>
    <row r="57" spans="1:4" x14ac:dyDescent="0.25">
      <c r="A57" t="s">
        <v>39</v>
      </c>
      <c r="B57" t="s">
        <v>39</v>
      </c>
      <c r="C57" t="s">
        <v>55</v>
      </c>
      <c r="D57" t="s">
        <v>276</v>
      </c>
    </row>
    <row r="58" spans="1:4" x14ac:dyDescent="0.25">
      <c r="A58" t="s">
        <v>39</v>
      </c>
      <c r="B58" t="s">
        <v>39</v>
      </c>
      <c r="C58" t="s">
        <v>227</v>
      </c>
      <c r="D58" t="s">
        <v>440</v>
      </c>
    </row>
    <row r="59" spans="1:4" x14ac:dyDescent="0.25">
      <c r="A59" t="s">
        <v>39</v>
      </c>
      <c r="B59" t="s">
        <v>39</v>
      </c>
      <c r="C59" t="s">
        <v>50</v>
      </c>
      <c r="D59" t="s">
        <v>271</v>
      </c>
    </row>
    <row r="60" spans="1:4" x14ac:dyDescent="0.25">
      <c r="A60" t="s">
        <v>39</v>
      </c>
      <c r="B60" t="s">
        <v>39</v>
      </c>
      <c r="C60" t="s">
        <v>74</v>
      </c>
      <c r="D60" t="s">
        <v>294</v>
      </c>
    </row>
    <row r="61" spans="1:4" x14ac:dyDescent="0.25">
      <c r="A61" t="s">
        <v>39</v>
      </c>
      <c r="B61" t="s">
        <v>39</v>
      </c>
      <c r="C61" t="s">
        <v>482</v>
      </c>
      <c r="D61" t="s">
        <v>483</v>
      </c>
    </row>
    <row r="62" spans="1:4" x14ac:dyDescent="0.25">
      <c r="A62" t="s">
        <v>39</v>
      </c>
      <c r="B62" t="s">
        <v>39</v>
      </c>
      <c r="C62" t="s">
        <v>252</v>
      </c>
      <c r="D62" t="s">
        <v>464</v>
      </c>
    </row>
    <row r="63" spans="1:4" x14ac:dyDescent="0.25">
      <c r="A63" t="s">
        <v>39</v>
      </c>
      <c r="B63" t="s">
        <v>39</v>
      </c>
      <c r="C63" t="s">
        <v>48</v>
      </c>
      <c r="D63" t="s">
        <v>269</v>
      </c>
    </row>
    <row r="64" spans="1:4" x14ac:dyDescent="0.25">
      <c r="A64" t="s">
        <v>39</v>
      </c>
      <c r="B64" t="s">
        <v>39</v>
      </c>
      <c r="C64" t="s">
        <v>86</v>
      </c>
      <c r="D64" t="s">
        <v>306</v>
      </c>
    </row>
    <row r="65" spans="1:4" x14ac:dyDescent="0.25">
      <c r="A65" t="s">
        <v>39</v>
      </c>
      <c r="B65" t="s">
        <v>39</v>
      </c>
      <c r="C65" t="s">
        <v>51</v>
      </c>
      <c r="D65" t="s">
        <v>272</v>
      </c>
    </row>
    <row r="66" spans="1:4" x14ac:dyDescent="0.25">
      <c r="A66" t="s">
        <v>92</v>
      </c>
      <c r="B66" t="s">
        <v>36</v>
      </c>
      <c r="C66" t="s">
        <v>93</v>
      </c>
      <c r="D66" t="s">
        <v>36</v>
      </c>
    </row>
    <row r="67" spans="1:4" x14ac:dyDescent="0.25">
      <c r="A67" t="s">
        <v>92</v>
      </c>
      <c r="B67" t="s">
        <v>38</v>
      </c>
      <c r="C67" t="s">
        <v>484</v>
      </c>
      <c r="D67" t="s">
        <v>485</v>
      </c>
    </row>
    <row r="68" spans="1:4" x14ac:dyDescent="0.25">
      <c r="A68" t="s">
        <v>92</v>
      </c>
      <c r="B68" t="s">
        <v>38</v>
      </c>
      <c r="C68" t="s">
        <v>251</v>
      </c>
      <c r="D68" t="s">
        <v>463</v>
      </c>
    </row>
    <row r="69" spans="1:4" x14ac:dyDescent="0.25">
      <c r="A69" t="s">
        <v>92</v>
      </c>
      <c r="B69" t="s">
        <v>38</v>
      </c>
      <c r="C69" t="s">
        <v>97</v>
      </c>
      <c r="D69" t="s">
        <v>315</v>
      </c>
    </row>
    <row r="70" spans="1:4" x14ac:dyDescent="0.25">
      <c r="A70" t="s">
        <v>92</v>
      </c>
      <c r="B70" t="s">
        <v>38</v>
      </c>
      <c r="C70" t="s">
        <v>124</v>
      </c>
      <c r="D70" t="s">
        <v>341</v>
      </c>
    </row>
    <row r="71" spans="1:4" x14ac:dyDescent="0.25">
      <c r="A71" t="s">
        <v>92</v>
      </c>
      <c r="B71" t="s">
        <v>38</v>
      </c>
      <c r="C71" t="s">
        <v>119</v>
      </c>
      <c r="D71" t="s">
        <v>336</v>
      </c>
    </row>
    <row r="72" spans="1:4" x14ac:dyDescent="0.25">
      <c r="A72" t="s">
        <v>92</v>
      </c>
      <c r="B72" t="s">
        <v>38</v>
      </c>
      <c r="C72" t="s">
        <v>228</v>
      </c>
      <c r="D72" t="s">
        <v>441</v>
      </c>
    </row>
    <row r="73" spans="1:4" x14ac:dyDescent="0.25">
      <c r="A73" t="s">
        <v>92</v>
      </c>
      <c r="B73" t="s">
        <v>38</v>
      </c>
      <c r="C73" t="s">
        <v>248</v>
      </c>
      <c r="D73" t="s">
        <v>460</v>
      </c>
    </row>
    <row r="74" spans="1:4" x14ac:dyDescent="0.25">
      <c r="A74" t="s">
        <v>92</v>
      </c>
      <c r="B74" t="s">
        <v>38</v>
      </c>
      <c r="C74" t="s">
        <v>117</v>
      </c>
      <c r="D74" t="s">
        <v>334</v>
      </c>
    </row>
    <row r="75" spans="1:4" x14ac:dyDescent="0.25">
      <c r="A75" t="s">
        <v>92</v>
      </c>
      <c r="B75" t="s">
        <v>38</v>
      </c>
      <c r="C75" t="s">
        <v>112</v>
      </c>
      <c r="D75" t="s">
        <v>329</v>
      </c>
    </row>
    <row r="76" spans="1:4" x14ac:dyDescent="0.25">
      <c r="A76" t="s">
        <v>92</v>
      </c>
      <c r="B76" t="s">
        <v>38</v>
      </c>
      <c r="C76" t="s">
        <v>486</v>
      </c>
      <c r="D76" t="s">
        <v>487</v>
      </c>
    </row>
    <row r="77" spans="1:4" x14ac:dyDescent="0.25">
      <c r="A77" t="s">
        <v>92</v>
      </c>
      <c r="B77" t="s">
        <v>38</v>
      </c>
      <c r="C77" t="s">
        <v>94</v>
      </c>
      <c r="D77" t="s">
        <v>312</v>
      </c>
    </row>
    <row r="78" spans="1:4" x14ac:dyDescent="0.25">
      <c r="A78" t="s">
        <v>92</v>
      </c>
      <c r="B78" t="s">
        <v>38</v>
      </c>
      <c r="C78" t="s">
        <v>98</v>
      </c>
      <c r="D78" t="s">
        <v>316</v>
      </c>
    </row>
    <row r="79" spans="1:4" x14ac:dyDescent="0.25">
      <c r="A79" t="s">
        <v>92</v>
      </c>
      <c r="B79" t="s">
        <v>38</v>
      </c>
      <c r="C79" t="s">
        <v>108</v>
      </c>
      <c r="D79" t="s">
        <v>325</v>
      </c>
    </row>
    <row r="80" spans="1:4" x14ac:dyDescent="0.25">
      <c r="A80" t="s">
        <v>92</v>
      </c>
      <c r="B80" t="s">
        <v>38</v>
      </c>
      <c r="C80" t="s">
        <v>125</v>
      </c>
      <c r="D80" t="s">
        <v>342</v>
      </c>
    </row>
    <row r="81" spans="1:4" x14ac:dyDescent="0.25">
      <c r="A81" t="s">
        <v>92</v>
      </c>
      <c r="B81" t="s">
        <v>38</v>
      </c>
      <c r="C81" t="s">
        <v>488</v>
      </c>
      <c r="D81" t="s">
        <v>489</v>
      </c>
    </row>
    <row r="82" spans="1:4" x14ac:dyDescent="0.25">
      <c r="A82" t="s">
        <v>92</v>
      </c>
      <c r="B82" t="s">
        <v>38</v>
      </c>
      <c r="C82" t="s">
        <v>105</v>
      </c>
      <c r="D82" t="s">
        <v>322</v>
      </c>
    </row>
    <row r="83" spans="1:4" x14ac:dyDescent="0.25">
      <c r="A83" t="s">
        <v>92</v>
      </c>
      <c r="B83" t="s">
        <v>38</v>
      </c>
      <c r="C83" t="s">
        <v>103</v>
      </c>
      <c r="D83" t="s">
        <v>321</v>
      </c>
    </row>
    <row r="84" spans="1:4" x14ac:dyDescent="0.25">
      <c r="A84" t="s">
        <v>92</v>
      </c>
      <c r="B84" t="s">
        <v>38</v>
      </c>
      <c r="C84" t="s">
        <v>110</v>
      </c>
      <c r="D84" t="s">
        <v>327</v>
      </c>
    </row>
    <row r="85" spans="1:4" x14ac:dyDescent="0.25">
      <c r="A85" t="s">
        <v>92</v>
      </c>
      <c r="B85" t="s">
        <v>38</v>
      </c>
      <c r="C85" t="s">
        <v>490</v>
      </c>
      <c r="D85" t="s">
        <v>491</v>
      </c>
    </row>
    <row r="86" spans="1:4" x14ac:dyDescent="0.25">
      <c r="A86" t="s">
        <v>92</v>
      </c>
      <c r="B86" t="s">
        <v>38</v>
      </c>
      <c r="C86" t="s">
        <v>99</v>
      </c>
      <c r="D86" t="s">
        <v>317</v>
      </c>
    </row>
    <row r="87" spans="1:4" x14ac:dyDescent="0.25">
      <c r="A87" t="s">
        <v>92</v>
      </c>
      <c r="B87" t="s">
        <v>38</v>
      </c>
      <c r="C87" t="s">
        <v>241</v>
      </c>
      <c r="D87" t="s">
        <v>454</v>
      </c>
    </row>
    <row r="88" spans="1:4" x14ac:dyDescent="0.25">
      <c r="A88" t="s">
        <v>92</v>
      </c>
      <c r="B88" t="s">
        <v>38</v>
      </c>
      <c r="C88" t="s">
        <v>244</v>
      </c>
      <c r="D88" t="s">
        <v>457</v>
      </c>
    </row>
    <row r="89" spans="1:4" x14ac:dyDescent="0.25">
      <c r="A89" t="s">
        <v>92</v>
      </c>
      <c r="B89" t="s">
        <v>38</v>
      </c>
      <c r="C89" t="s">
        <v>122</v>
      </c>
      <c r="D89" t="s">
        <v>339</v>
      </c>
    </row>
    <row r="90" spans="1:4" x14ac:dyDescent="0.25">
      <c r="A90" t="s">
        <v>92</v>
      </c>
      <c r="B90" t="s">
        <v>38</v>
      </c>
      <c r="C90" t="s">
        <v>106</v>
      </c>
      <c r="D90" t="s">
        <v>323</v>
      </c>
    </row>
    <row r="91" spans="1:4" x14ac:dyDescent="0.25">
      <c r="A91" t="s">
        <v>92</v>
      </c>
      <c r="B91" t="s">
        <v>38</v>
      </c>
      <c r="C91" t="s">
        <v>242</v>
      </c>
      <c r="D91" t="s">
        <v>455</v>
      </c>
    </row>
    <row r="92" spans="1:4" x14ac:dyDescent="0.25">
      <c r="A92" t="s">
        <v>92</v>
      </c>
      <c r="B92" t="s">
        <v>38</v>
      </c>
      <c r="C92" t="s">
        <v>231</v>
      </c>
      <c r="D92" t="s">
        <v>444</v>
      </c>
    </row>
    <row r="93" spans="1:4" x14ac:dyDescent="0.25">
      <c r="A93" t="s">
        <v>92</v>
      </c>
      <c r="B93" t="s">
        <v>38</v>
      </c>
      <c r="C93" t="s">
        <v>114</v>
      </c>
      <c r="D93" t="s">
        <v>331</v>
      </c>
    </row>
    <row r="94" spans="1:4" x14ac:dyDescent="0.25">
      <c r="A94" t="s">
        <v>92</v>
      </c>
      <c r="B94" t="s">
        <v>38</v>
      </c>
      <c r="C94" t="s">
        <v>123</v>
      </c>
      <c r="D94" t="s">
        <v>340</v>
      </c>
    </row>
    <row r="95" spans="1:4" x14ac:dyDescent="0.25">
      <c r="A95" t="s">
        <v>92</v>
      </c>
      <c r="B95" t="s">
        <v>38</v>
      </c>
      <c r="C95" t="s">
        <v>102</v>
      </c>
      <c r="D95" t="s">
        <v>320</v>
      </c>
    </row>
    <row r="96" spans="1:4" x14ac:dyDescent="0.25">
      <c r="A96" t="s">
        <v>92</v>
      </c>
      <c r="B96" t="s">
        <v>38</v>
      </c>
      <c r="C96" t="s">
        <v>249</v>
      </c>
      <c r="D96" t="s">
        <v>461</v>
      </c>
    </row>
    <row r="97" spans="1:4" x14ac:dyDescent="0.25">
      <c r="A97" t="s">
        <v>92</v>
      </c>
      <c r="B97" t="s">
        <v>38</v>
      </c>
      <c r="C97" t="s">
        <v>240</v>
      </c>
      <c r="D97" t="s">
        <v>453</v>
      </c>
    </row>
    <row r="98" spans="1:4" x14ac:dyDescent="0.25">
      <c r="A98" t="s">
        <v>92</v>
      </c>
      <c r="B98" t="s">
        <v>38</v>
      </c>
      <c r="C98" t="s">
        <v>95</v>
      </c>
      <c r="D98" t="s">
        <v>313</v>
      </c>
    </row>
    <row r="99" spans="1:4" x14ac:dyDescent="0.25">
      <c r="A99" t="s">
        <v>92</v>
      </c>
      <c r="B99" t="s">
        <v>38</v>
      </c>
      <c r="C99" t="s">
        <v>100</v>
      </c>
      <c r="D99" t="s">
        <v>318</v>
      </c>
    </row>
    <row r="100" spans="1:4" x14ac:dyDescent="0.25">
      <c r="A100" t="s">
        <v>92</v>
      </c>
      <c r="B100" t="s">
        <v>38</v>
      </c>
      <c r="C100" t="s">
        <v>109</v>
      </c>
      <c r="D100" t="s">
        <v>326</v>
      </c>
    </row>
    <row r="101" spans="1:4" x14ac:dyDescent="0.25">
      <c r="A101" t="s">
        <v>92</v>
      </c>
      <c r="B101" t="s">
        <v>38</v>
      </c>
      <c r="C101" t="s">
        <v>239</v>
      </c>
      <c r="D101" t="s">
        <v>452</v>
      </c>
    </row>
    <row r="102" spans="1:4" x14ac:dyDescent="0.25">
      <c r="A102" t="s">
        <v>92</v>
      </c>
      <c r="B102" t="s">
        <v>38</v>
      </c>
      <c r="C102" t="s">
        <v>96</v>
      </c>
      <c r="D102" t="s">
        <v>314</v>
      </c>
    </row>
    <row r="103" spans="1:4" x14ac:dyDescent="0.25">
      <c r="A103" t="s">
        <v>92</v>
      </c>
      <c r="B103" t="s">
        <v>38</v>
      </c>
      <c r="C103" t="s">
        <v>492</v>
      </c>
      <c r="D103" t="s">
        <v>493</v>
      </c>
    </row>
    <row r="104" spans="1:4" x14ac:dyDescent="0.25">
      <c r="A104" t="s">
        <v>92</v>
      </c>
      <c r="B104" t="s">
        <v>38</v>
      </c>
      <c r="C104" t="s">
        <v>120</v>
      </c>
      <c r="D104" t="s">
        <v>337</v>
      </c>
    </row>
    <row r="105" spans="1:4" x14ac:dyDescent="0.25">
      <c r="A105" t="s">
        <v>92</v>
      </c>
      <c r="B105" t="s">
        <v>38</v>
      </c>
      <c r="C105" t="s">
        <v>111</v>
      </c>
      <c r="D105" t="s">
        <v>328</v>
      </c>
    </row>
    <row r="106" spans="1:4" x14ac:dyDescent="0.25">
      <c r="A106" t="s">
        <v>92</v>
      </c>
      <c r="B106" t="s">
        <v>38</v>
      </c>
      <c r="C106" t="s">
        <v>115</v>
      </c>
      <c r="D106" t="s">
        <v>332</v>
      </c>
    </row>
    <row r="107" spans="1:4" x14ac:dyDescent="0.25">
      <c r="A107" t="s">
        <v>92</v>
      </c>
      <c r="B107" t="s">
        <v>38</v>
      </c>
      <c r="C107" t="s">
        <v>101</v>
      </c>
      <c r="D107" t="s">
        <v>319</v>
      </c>
    </row>
    <row r="108" spans="1:4" x14ac:dyDescent="0.25">
      <c r="A108" t="s">
        <v>92</v>
      </c>
      <c r="B108" t="s">
        <v>38</v>
      </c>
      <c r="C108" t="s">
        <v>494</v>
      </c>
      <c r="D108" t="s">
        <v>495</v>
      </c>
    </row>
    <row r="109" spans="1:4" x14ac:dyDescent="0.25">
      <c r="A109" t="s">
        <v>92</v>
      </c>
      <c r="B109" t="s">
        <v>38</v>
      </c>
      <c r="C109" t="s">
        <v>496</v>
      </c>
      <c r="D109" t="s">
        <v>497</v>
      </c>
    </row>
    <row r="110" spans="1:4" x14ac:dyDescent="0.25">
      <c r="A110" t="s">
        <v>92</v>
      </c>
      <c r="B110" t="s">
        <v>38</v>
      </c>
      <c r="C110" t="s">
        <v>498</v>
      </c>
      <c r="D110" t="s">
        <v>499</v>
      </c>
    </row>
    <row r="111" spans="1:4" x14ac:dyDescent="0.25">
      <c r="A111" t="s">
        <v>92</v>
      </c>
      <c r="B111" t="s">
        <v>38</v>
      </c>
      <c r="C111" t="s">
        <v>233</v>
      </c>
      <c r="D111" t="s">
        <v>446</v>
      </c>
    </row>
    <row r="112" spans="1:4" x14ac:dyDescent="0.25">
      <c r="A112" t="s">
        <v>92</v>
      </c>
      <c r="B112" t="s">
        <v>38</v>
      </c>
      <c r="C112" t="s">
        <v>250</v>
      </c>
      <c r="D112" t="s">
        <v>462</v>
      </c>
    </row>
    <row r="113" spans="1:4" x14ac:dyDescent="0.25">
      <c r="A113" t="s">
        <v>92</v>
      </c>
      <c r="B113" t="s">
        <v>38</v>
      </c>
      <c r="C113" t="s">
        <v>121</v>
      </c>
      <c r="D113" t="s">
        <v>338</v>
      </c>
    </row>
    <row r="114" spans="1:4" x14ac:dyDescent="0.25">
      <c r="A114" t="s">
        <v>92</v>
      </c>
      <c r="B114" t="s">
        <v>38</v>
      </c>
      <c r="C114" t="s">
        <v>500</v>
      </c>
      <c r="D114" t="s">
        <v>501</v>
      </c>
    </row>
    <row r="115" spans="1:4" x14ac:dyDescent="0.25">
      <c r="A115" t="s">
        <v>92</v>
      </c>
      <c r="B115" t="s">
        <v>38</v>
      </c>
      <c r="C115" t="s">
        <v>502</v>
      </c>
      <c r="D115" t="s">
        <v>503</v>
      </c>
    </row>
    <row r="116" spans="1:4" x14ac:dyDescent="0.25">
      <c r="A116" t="s">
        <v>92</v>
      </c>
      <c r="B116" t="s">
        <v>38</v>
      </c>
      <c r="C116" t="s">
        <v>118</v>
      </c>
      <c r="D116" t="s">
        <v>335</v>
      </c>
    </row>
    <row r="117" spans="1:4" x14ac:dyDescent="0.25">
      <c r="A117" t="s">
        <v>92</v>
      </c>
      <c r="B117" t="s">
        <v>38</v>
      </c>
      <c r="C117" t="s">
        <v>504</v>
      </c>
      <c r="D117" t="s">
        <v>505</v>
      </c>
    </row>
    <row r="118" spans="1:4" x14ac:dyDescent="0.25">
      <c r="A118" t="s">
        <v>92</v>
      </c>
      <c r="B118" t="s">
        <v>38</v>
      </c>
      <c r="C118" t="s">
        <v>116</v>
      </c>
      <c r="D118" t="s">
        <v>333</v>
      </c>
    </row>
    <row r="119" spans="1:4" x14ac:dyDescent="0.25">
      <c r="A119" t="s">
        <v>92</v>
      </c>
      <c r="B119" t="s">
        <v>38</v>
      </c>
      <c r="C119" t="s">
        <v>232</v>
      </c>
      <c r="D119" t="s">
        <v>445</v>
      </c>
    </row>
    <row r="120" spans="1:4" x14ac:dyDescent="0.25">
      <c r="A120" t="s">
        <v>92</v>
      </c>
      <c r="B120" t="s">
        <v>38</v>
      </c>
      <c r="C120" t="s">
        <v>107</v>
      </c>
      <c r="D120" t="s">
        <v>324</v>
      </c>
    </row>
    <row r="121" spans="1:4" x14ac:dyDescent="0.25">
      <c r="A121" t="s">
        <v>92</v>
      </c>
      <c r="B121" t="s">
        <v>38</v>
      </c>
      <c r="C121" t="s">
        <v>113</v>
      </c>
      <c r="D121" t="s">
        <v>330</v>
      </c>
    </row>
    <row r="122" spans="1:4" x14ac:dyDescent="0.25">
      <c r="A122" t="s">
        <v>506</v>
      </c>
      <c r="B122" t="s">
        <v>506</v>
      </c>
      <c r="C122" t="s">
        <v>506</v>
      </c>
      <c r="D122" t="s">
        <v>507</v>
      </c>
    </row>
    <row r="123" spans="1:4" x14ac:dyDescent="0.25">
      <c r="A123" t="s">
        <v>506</v>
      </c>
      <c r="B123" t="s">
        <v>506</v>
      </c>
      <c r="C123" t="s">
        <v>508</v>
      </c>
      <c r="D123" t="s">
        <v>509</v>
      </c>
    </row>
    <row r="124" spans="1:4" x14ac:dyDescent="0.25">
      <c r="A124" t="s">
        <v>506</v>
      </c>
      <c r="B124" t="s">
        <v>506</v>
      </c>
      <c r="C124" t="s">
        <v>510</v>
      </c>
      <c r="D124" t="s">
        <v>511</v>
      </c>
    </row>
    <row r="125" spans="1:4" x14ac:dyDescent="0.25">
      <c r="A125" t="s">
        <v>35</v>
      </c>
      <c r="B125" t="s">
        <v>35</v>
      </c>
      <c r="C125" t="s">
        <v>169</v>
      </c>
      <c r="D125" t="s">
        <v>385</v>
      </c>
    </row>
    <row r="126" spans="1:4" x14ac:dyDescent="0.25">
      <c r="A126" t="s">
        <v>35</v>
      </c>
      <c r="B126" t="s">
        <v>35</v>
      </c>
      <c r="C126" t="s">
        <v>160</v>
      </c>
      <c r="D126" t="s">
        <v>377</v>
      </c>
    </row>
    <row r="127" spans="1:4" x14ac:dyDescent="0.25">
      <c r="A127" t="s">
        <v>35</v>
      </c>
      <c r="B127" t="s">
        <v>35</v>
      </c>
      <c r="C127" t="s">
        <v>155</v>
      </c>
      <c r="D127" t="s">
        <v>372</v>
      </c>
    </row>
    <row r="128" spans="1:4" x14ac:dyDescent="0.25">
      <c r="A128" t="s">
        <v>35</v>
      </c>
      <c r="B128" t="s">
        <v>35</v>
      </c>
      <c r="C128" t="s">
        <v>150</v>
      </c>
      <c r="D128" t="s">
        <v>367</v>
      </c>
    </row>
    <row r="129" spans="1:4" x14ac:dyDescent="0.25">
      <c r="A129" t="s">
        <v>35</v>
      </c>
      <c r="B129" t="s">
        <v>35</v>
      </c>
      <c r="C129" t="s">
        <v>143</v>
      </c>
      <c r="D129" t="s">
        <v>360</v>
      </c>
    </row>
    <row r="130" spans="1:4" x14ac:dyDescent="0.25">
      <c r="A130" t="s">
        <v>35</v>
      </c>
      <c r="B130" t="s">
        <v>35</v>
      </c>
      <c r="C130" t="s">
        <v>243</v>
      </c>
      <c r="D130" t="s">
        <v>456</v>
      </c>
    </row>
    <row r="131" spans="1:4" x14ac:dyDescent="0.25">
      <c r="A131" t="s">
        <v>35</v>
      </c>
      <c r="B131" t="s">
        <v>35</v>
      </c>
      <c r="C131" t="s">
        <v>171</v>
      </c>
      <c r="D131" t="s">
        <v>387</v>
      </c>
    </row>
    <row r="132" spans="1:4" x14ac:dyDescent="0.25">
      <c r="A132" t="s">
        <v>35</v>
      </c>
      <c r="B132" t="s">
        <v>35</v>
      </c>
      <c r="C132" t="s">
        <v>126</v>
      </c>
      <c r="D132" t="s">
        <v>343</v>
      </c>
    </row>
    <row r="133" spans="1:4" x14ac:dyDescent="0.25">
      <c r="A133" t="s">
        <v>35</v>
      </c>
      <c r="B133" t="s">
        <v>35</v>
      </c>
      <c r="C133" t="s">
        <v>162</v>
      </c>
      <c r="D133" t="s">
        <v>378</v>
      </c>
    </row>
    <row r="134" spans="1:4" x14ac:dyDescent="0.25">
      <c r="A134" t="s">
        <v>35</v>
      </c>
      <c r="B134" t="s">
        <v>35</v>
      </c>
      <c r="C134" t="s">
        <v>129</v>
      </c>
      <c r="D134" t="s">
        <v>346</v>
      </c>
    </row>
    <row r="135" spans="1:4" x14ac:dyDescent="0.25">
      <c r="A135" t="s">
        <v>35</v>
      </c>
      <c r="B135" t="s">
        <v>35</v>
      </c>
      <c r="C135" t="s">
        <v>128</v>
      </c>
      <c r="D135" t="s">
        <v>345</v>
      </c>
    </row>
    <row r="136" spans="1:4" x14ac:dyDescent="0.25">
      <c r="A136" t="s">
        <v>35</v>
      </c>
      <c r="B136" t="s">
        <v>35</v>
      </c>
      <c r="C136" t="s">
        <v>138</v>
      </c>
      <c r="D136" t="s">
        <v>355</v>
      </c>
    </row>
    <row r="137" spans="1:4" x14ac:dyDescent="0.25">
      <c r="A137" t="s">
        <v>35</v>
      </c>
      <c r="B137" t="s">
        <v>35</v>
      </c>
      <c r="C137" t="s">
        <v>151</v>
      </c>
      <c r="D137" t="s">
        <v>368</v>
      </c>
    </row>
    <row r="138" spans="1:4" x14ac:dyDescent="0.25">
      <c r="A138" t="s">
        <v>35</v>
      </c>
      <c r="B138" t="s">
        <v>35</v>
      </c>
      <c r="C138" t="s">
        <v>142</v>
      </c>
      <c r="D138" t="s">
        <v>359</v>
      </c>
    </row>
    <row r="139" spans="1:4" x14ac:dyDescent="0.25">
      <c r="A139" t="s">
        <v>35</v>
      </c>
      <c r="B139" t="s">
        <v>35</v>
      </c>
      <c r="C139" t="s">
        <v>134</v>
      </c>
      <c r="D139" t="s">
        <v>351</v>
      </c>
    </row>
    <row r="140" spans="1:4" x14ac:dyDescent="0.25">
      <c r="A140" t="s">
        <v>35</v>
      </c>
      <c r="B140" t="s">
        <v>35</v>
      </c>
      <c r="C140" t="s">
        <v>131</v>
      </c>
      <c r="D140" t="s">
        <v>348</v>
      </c>
    </row>
    <row r="141" spans="1:4" x14ac:dyDescent="0.25">
      <c r="A141" t="s">
        <v>35</v>
      </c>
      <c r="B141" t="s">
        <v>35</v>
      </c>
      <c r="C141" t="s">
        <v>229</v>
      </c>
      <c r="D141" t="s">
        <v>442</v>
      </c>
    </row>
    <row r="142" spans="1:4" x14ac:dyDescent="0.25">
      <c r="A142" t="s">
        <v>35</v>
      </c>
      <c r="B142" t="s">
        <v>35</v>
      </c>
      <c r="C142" t="s">
        <v>153</v>
      </c>
      <c r="D142" t="s">
        <v>370</v>
      </c>
    </row>
    <row r="143" spans="1:4" x14ac:dyDescent="0.25">
      <c r="A143" t="s">
        <v>35</v>
      </c>
      <c r="B143" t="s">
        <v>35</v>
      </c>
      <c r="C143" t="s">
        <v>167</v>
      </c>
      <c r="D143" t="s">
        <v>383</v>
      </c>
    </row>
    <row r="144" spans="1:4" x14ac:dyDescent="0.25">
      <c r="A144" t="s">
        <v>35</v>
      </c>
      <c r="B144" t="s">
        <v>35</v>
      </c>
      <c r="C144" t="s">
        <v>154</v>
      </c>
      <c r="D144" t="s">
        <v>371</v>
      </c>
    </row>
    <row r="145" spans="1:4" x14ac:dyDescent="0.25">
      <c r="A145" t="s">
        <v>35</v>
      </c>
      <c r="B145" t="s">
        <v>35</v>
      </c>
      <c r="C145" t="s">
        <v>144</v>
      </c>
      <c r="D145" t="s">
        <v>361</v>
      </c>
    </row>
    <row r="146" spans="1:4" x14ac:dyDescent="0.25">
      <c r="A146" t="s">
        <v>35</v>
      </c>
      <c r="B146" t="s">
        <v>35</v>
      </c>
      <c r="C146" t="s">
        <v>157</v>
      </c>
      <c r="D146" t="s">
        <v>374</v>
      </c>
    </row>
    <row r="147" spans="1:4" x14ac:dyDescent="0.25">
      <c r="A147" t="s">
        <v>35</v>
      </c>
      <c r="B147" t="s">
        <v>35</v>
      </c>
      <c r="C147" t="s">
        <v>512</v>
      </c>
      <c r="D147" t="s">
        <v>513</v>
      </c>
    </row>
    <row r="148" spans="1:4" x14ac:dyDescent="0.25">
      <c r="A148" t="s">
        <v>35</v>
      </c>
      <c r="B148" t="s">
        <v>35</v>
      </c>
      <c r="C148" t="s">
        <v>127</v>
      </c>
      <c r="D148" t="s">
        <v>344</v>
      </c>
    </row>
    <row r="149" spans="1:4" x14ac:dyDescent="0.25">
      <c r="A149" t="s">
        <v>35</v>
      </c>
      <c r="B149" t="s">
        <v>35</v>
      </c>
      <c r="C149" t="s">
        <v>148</v>
      </c>
      <c r="D149" t="s">
        <v>365</v>
      </c>
    </row>
    <row r="150" spans="1:4" x14ac:dyDescent="0.25">
      <c r="A150" t="s">
        <v>35</v>
      </c>
      <c r="B150" t="s">
        <v>35</v>
      </c>
      <c r="C150" t="s">
        <v>165</v>
      </c>
      <c r="D150" t="s">
        <v>381</v>
      </c>
    </row>
    <row r="151" spans="1:4" x14ac:dyDescent="0.25">
      <c r="A151" t="s">
        <v>35</v>
      </c>
      <c r="B151" t="s">
        <v>35</v>
      </c>
      <c r="C151" t="s">
        <v>147</v>
      </c>
      <c r="D151" t="s">
        <v>364</v>
      </c>
    </row>
    <row r="152" spans="1:4" x14ac:dyDescent="0.25">
      <c r="A152" t="s">
        <v>35</v>
      </c>
      <c r="B152" t="s">
        <v>35</v>
      </c>
      <c r="C152" t="s">
        <v>159</v>
      </c>
      <c r="D152" t="s">
        <v>376</v>
      </c>
    </row>
    <row r="153" spans="1:4" x14ac:dyDescent="0.25">
      <c r="A153" t="s">
        <v>35</v>
      </c>
      <c r="B153" t="s">
        <v>35</v>
      </c>
      <c r="C153" t="s">
        <v>136</v>
      </c>
      <c r="D153" t="s">
        <v>353</v>
      </c>
    </row>
    <row r="154" spans="1:4" x14ac:dyDescent="0.25">
      <c r="A154" t="s">
        <v>35</v>
      </c>
      <c r="B154" t="s">
        <v>35</v>
      </c>
      <c r="C154" t="s">
        <v>164</v>
      </c>
      <c r="D154" t="s">
        <v>380</v>
      </c>
    </row>
    <row r="155" spans="1:4" x14ac:dyDescent="0.25">
      <c r="A155" t="s">
        <v>35</v>
      </c>
      <c r="B155" t="s">
        <v>35</v>
      </c>
      <c r="C155" t="s">
        <v>168</v>
      </c>
      <c r="D155" t="s">
        <v>384</v>
      </c>
    </row>
    <row r="156" spans="1:4" x14ac:dyDescent="0.25">
      <c r="A156" t="s">
        <v>35</v>
      </c>
      <c r="B156" t="s">
        <v>35</v>
      </c>
      <c r="C156" t="s">
        <v>163</v>
      </c>
      <c r="D156" t="s">
        <v>379</v>
      </c>
    </row>
    <row r="157" spans="1:4" x14ac:dyDescent="0.25">
      <c r="A157" t="s">
        <v>35</v>
      </c>
      <c r="B157" t="s">
        <v>35</v>
      </c>
      <c r="C157" t="s">
        <v>166</v>
      </c>
      <c r="D157" t="s">
        <v>382</v>
      </c>
    </row>
    <row r="158" spans="1:4" x14ac:dyDescent="0.25">
      <c r="A158" t="s">
        <v>35</v>
      </c>
      <c r="B158" t="s">
        <v>35</v>
      </c>
      <c r="C158" t="s">
        <v>141</v>
      </c>
      <c r="D158" t="s">
        <v>358</v>
      </c>
    </row>
    <row r="159" spans="1:4" x14ac:dyDescent="0.25">
      <c r="A159" t="s">
        <v>35</v>
      </c>
      <c r="B159" t="s">
        <v>35</v>
      </c>
      <c r="C159" t="s">
        <v>140</v>
      </c>
      <c r="D159" t="s">
        <v>357</v>
      </c>
    </row>
    <row r="160" spans="1:4" x14ac:dyDescent="0.25">
      <c r="A160" t="s">
        <v>35</v>
      </c>
      <c r="B160" t="s">
        <v>35</v>
      </c>
      <c r="C160" t="s">
        <v>170</v>
      </c>
      <c r="D160" t="s">
        <v>386</v>
      </c>
    </row>
    <row r="161" spans="1:4" x14ac:dyDescent="0.25">
      <c r="A161" t="s">
        <v>35</v>
      </c>
      <c r="B161" t="s">
        <v>35</v>
      </c>
      <c r="C161" t="s">
        <v>145</v>
      </c>
      <c r="D161" t="s">
        <v>362</v>
      </c>
    </row>
    <row r="162" spans="1:4" x14ac:dyDescent="0.25">
      <c r="A162" t="s">
        <v>35</v>
      </c>
      <c r="B162" t="s">
        <v>35</v>
      </c>
      <c r="C162" t="s">
        <v>133</v>
      </c>
      <c r="D162" t="s">
        <v>350</v>
      </c>
    </row>
    <row r="163" spans="1:4" x14ac:dyDescent="0.25">
      <c r="A163" t="s">
        <v>35</v>
      </c>
      <c r="B163" t="s">
        <v>35</v>
      </c>
      <c r="C163" t="s">
        <v>132</v>
      </c>
      <c r="D163" t="s">
        <v>349</v>
      </c>
    </row>
    <row r="164" spans="1:4" x14ac:dyDescent="0.25">
      <c r="A164" t="s">
        <v>35</v>
      </c>
      <c r="B164" t="s">
        <v>35</v>
      </c>
      <c r="C164" t="s">
        <v>149</v>
      </c>
      <c r="D164" t="s">
        <v>366</v>
      </c>
    </row>
    <row r="165" spans="1:4" x14ac:dyDescent="0.25">
      <c r="A165" t="s">
        <v>35</v>
      </c>
      <c r="B165" t="s">
        <v>35</v>
      </c>
      <c r="C165" t="s">
        <v>156</v>
      </c>
      <c r="D165" t="s">
        <v>373</v>
      </c>
    </row>
    <row r="166" spans="1:4" x14ac:dyDescent="0.25">
      <c r="A166" t="s">
        <v>35</v>
      </c>
      <c r="B166" t="s">
        <v>35</v>
      </c>
      <c r="C166" t="s">
        <v>158</v>
      </c>
      <c r="D166" t="s">
        <v>375</v>
      </c>
    </row>
    <row r="167" spans="1:4" x14ac:dyDescent="0.25">
      <c r="A167" t="s">
        <v>35</v>
      </c>
      <c r="B167" t="s">
        <v>35</v>
      </c>
      <c r="C167" t="s">
        <v>135</v>
      </c>
      <c r="D167" t="s">
        <v>352</v>
      </c>
    </row>
    <row r="168" spans="1:4" x14ac:dyDescent="0.25">
      <c r="A168" t="s">
        <v>35</v>
      </c>
      <c r="B168" t="s">
        <v>35</v>
      </c>
      <c r="C168" t="s">
        <v>139</v>
      </c>
      <c r="D168" t="s">
        <v>356</v>
      </c>
    </row>
    <row r="169" spans="1:4" x14ac:dyDescent="0.25">
      <c r="A169" t="s">
        <v>35</v>
      </c>
      <c r="B169" t="s">
        <v>35</v>
      </c>
      <c r="C169" t="s">
        <v>514</v>
      </c>
      <c r="D169" t="s">
        <v>515</v>
      </c>
    </row>
    <row r="170" spans="1:4" x14ac:dyDescent="0.25">
      <c r="A170" t="s">
        <v>35</v>
      </c>
      <c r="B170" t="s">
        <v>35</v>
      </c>
      <c r="C170" t="s">
        <v>152</v>
      </c>
      <c r="D170" t="s">
        <v>369</v>
      </c>
    </row>
    <row r="171" spans="1:4" x14ac:dyDescent="0.25">
      <c r="A171" t="s">
        <v>35</v>
      </c>
      <c r="B171" t="s">
        <v>35</v>
      </c>
      <c r="C171" t="s">
        <v>146</v>
      </c>
      <c r="D171" t="s">
        <v>363</v>
      </c>
    </row>
    <row r="172" spans="1:4" x14ac:dyDescent="0.25">
      <c r="A172" t="s">
        <v>35</v>
      </c>
      <c r="B172" t="s">
        <v>35</v>
      </c>
      <c r="C172" t="s">
        <v>130</v>
      </c>
      <c r="D172" t="s">
        <v>347</v>
      </c>
    </row>
    <row r="173" spans="1:4" x14ac:dyDescent="0.25">
      <c r="A173" t="s">
        <v>35</v>
      </c>
      <c r="B173" t="s">
        <v>35</v>
      </c>
      <c r="C173" t="s">
        <v>137</v>
      </c>
      <c r="D173" t="s">
        <v>354</v>
      </c>
    </row>
    <row r="174" spans="1:4" x14ac:dyDescent="0.25">
      <c r="A174" t="s">
        <v>172</v>
      </c>
      <c r="B174" t="s">
        <v>34</v>
      </c>
      <c r="C174" t="s">
        <v>181</v>
      </c>
      <c r="D174" t="s">
        <v>395</v>
      </c>
    </row>
    <row r="175" spans="1:4" x14ac:dyDescent="0.25">
      <c r="A175" t="s">
        <v>172</v>
      </c>
      <c r="B175" t="s">
        <v>34</v>
      </c>
      <c r="C175" t="s">
        <v>193</v>
      </c>
      <c r="D175" t="s">
        <v>404</v>
      </c>
    </row>
    <row r="176" spans="1:4" x14ac:dyDescent="0.25">
      <c r="A176" t="s">
        <v>172</v>
      </c>
      <c r="B176" t="s">
        <v>34</v>
      </c>
      <c r="C176" t="s">
        <v>173</v>
      </c>
      <c r="D176" t="s">
        <v>388</v>
      </c>
    </row>
    <row r="177" spans="1:4" x14ac:dyDescent="0.25">
      <c r="A177" t="s">
        <v>172</v>
      </c>
      <c r="B177" t="s">
        <v>34</v>
      </c>
      <c r="C177" t="s">
        <v>186</v>
      </c>
      <c r="D177" t="s">
        <v>398</v>
      </c>
    </row>
    <row r="178" spans="1:4" x14ac:dyDescent="0.25">
      <c r="A178" t="s">
        <v>172</v>
      </c>
      <c r="B178" t="s">
        <v>34</v>
      </c>
      <c r="C178" t="s">
        <v>201</v>
      </c>
      <c r="D178" t="s">
        <v>410</v>
      </c>
    </row>
    <row r="179" spans="1:4" x14ac:dyDescent="0.25">
      <c r="A179" t="s">
        <v>172</v>
      </c>
      <c r="B179" t="s">
        <v>34</v>
      </c>
      <c r="C179" t="s">
        <v>190</v>
      </c>
      <c r="D179" t="s">
        <v>401</v>
      </c>
    </row>
    <row r="180" spans="1:4" x14ac:dyDescent="0.25">
      <c r="A180" t="s">
        <v>172</v>
      </c>
      <c r="B180" t="s">
        <v>34</v>
      </c>
      <c r="C180" t="s">
        <v>175</v>
      </c>
      <c r="D180" t="s">
        <v>390</v>
      </c>
    </row>
    <row r="181" spans="1:4" x14ac:dyDescent="0.25">
      <c r="A181" t="s">
        <v>172</v>
      </c>
      <c r="B181" t="s">
        <v>34</v>
      </c>
      <c r="C181" t="s">
        <v>197</v>
      </c>
      <c r="D181" t="s">
        <v>407</v>
      </c>
    </row>
    <row r="182" spans="1:4" x14ac:dyDescent="0.25">
      <c r="A182" t="s">
        <v>172</v>
      </c>
      <c r="B182" t="s">
        <v>34</v>
      </c>
      <c r="C182" t="s">
        <v>187</v>
      </c>
      <c r="D182" t="s">
        <v>399</v>
      </c>
    </row>
    <row r="183" spans="1:4" x14ac:dyDescent="0.25">
      <c r="A183" t="s">
        <v>172</v>
      </c>
      <c r="B183" t="s">
        <v>34</v>
      </c>
      <c r="C183" t="s">
        <v>176</v>
      </c>
      <c r="D183" t="s">
        <v>391</v>
      </c>
    </row>
    <row r="184" spans="1:4" x14ac:dyDescent="0.25">
      <c r="A184" t="s">
        <v>172</v>
      </c>
      <c r="B184" t="s">
        <v>34</v>
      </c>
      <c r="C184" t="s">
        <v>198</v>
      </c>
      <c r="D184" t="s">
        <v>408</v>
      </c>
    </row>
    <row r="185" spans="1:4" x14ac:dyDescent="0.25">
      <c r="A185" t="s">
        <v>172</v>
      </c>
      <c r="B185" t="s">
        <v>34</v>
      </c>
      <c r="C185" t="s">
        <v>204</v>
      </c>
      <c r="D185" t="s">
        <v>412</v>
      </c>
    </row>
    <row r="186" spans="1:4" x14ac:dyDescent="0.25">
      <c r="A186" t="s">
        <v>172</v>
      </c>
      <c r="B186" t="s">
        <v>34</v>
      </c>
      <c r="C186" t="s">
        <v>203</v>
      </c>
      <c r="D186" t="s">
        <v>411</v>
      </c>
    </row>
    <row r="187" spans="1:4" x14ac:dyDescent="0.25">
      <c r="A187" t="s">
        <v>172</v>
      </c>
      <c r="B187" t="s">
        <v>34</v>
      </c>
      <c r="C187" t="s">
        <v>199</v>
      </c>
      <c r="D187" t="s">
        <v>409</v>
      </c>
    </row>
    <row r="188" spans="1:4" x14ac:dyDescent="0.25">
      <c r="A188" t="s">
        <v>172</v>
      </c>
      <c r="B188" t="s">
        <v>34</v>
      </c>
      <c r="C188" t="s">
        <v>207</v>
      </c>
      <c r="D188" t="s">
        <v>413</v>
      </c>
    </row>
    <row r="189" spans="1:4" x14ac:dyDescent="0.25">
      <c r="A189" t="s">
        <v>172</v>
      </c>
      <c r="B189" t="s">
        <v>34</v>
      </c>
      <c r="C189" t="s">
        <v>174</v>
      </c>
      <c r="D189" t="s">
        <v>389</v>
      </c>
    </row>
    <row r="190" spans="1:4" x14ac:dyDescent="0.25">
      <c r="A190" t="s">
        <v>172</v>
      </c>
      <c r="B190" t="s">
        <v>34</v>
      </c>
      <c r="C190" t="s">
        <v>179</v>
      </c>
      <c r="D190" t="s">
        <v>393</v>
      </c>
    </row>
    <row r="191" spans="1:4" x14ac:dyDescent="0.25">
      <c r="A191" t="s">
        <v>172</v>
      </c>
      <c r="B191" t="s">
        <v>34</v>
      </c>
      <c r="C191" t="s">
        <v>194</v>
      </c>
      <c r="D191" t="s">
        <v>405</v>
      </c>
    </row>
    <row r="192" spans="1:4" x14ac:dyDescent="0.25">
      <c r="A192" t="s">
        <v>172</v>
      </c>
      <c r="B192" t="s">
        <v>34</v>
      </c>
      <c r="C192" t="s">
        <v>191</v>
      </c>
      <c r="D192" t="s">
        <v>402</v>
      </c>
    </row>
    <row r="193" spans="1:4" x14ac:dyDescent="0.25">
      <c r="A193" t="s">
        <v>172</v>
      </c>
      <c r="B193" t="s">
        <v>34</v>
      </c>
      <c r="C193" t="s">
        <v>184</v>
      </c>
      <c r="D193" t="s">
        <v>397</v>
      </c>
    </row>
    <row r="194" spans="1:4" x14ac:dyDescent="0.25">
      <c r="A194" t="s">
        <v>172</v>
      </c>
      <c r="B194" t="s">
        <v>34</v>
      </c>
      <c r="C194" t="s">
        <v>192</v>
      </c>
      <c r="D194" t="s">
        <v>403</v>
      </c>
    </row>
    <row r="195" spans="1:4" x14ac:dyDescent="0.25">
      <c r="A195" t="s">
        <v>172</v>
      </c>
      <c r="B195" t="s">
        <v>34</v>
      </c>
      <c r="C195" t="s">
        <v>195</v>
      </c>
      <c r="D195" t="s">
        <v>406</v>
      </c>
    </row>
    <row r="196" spans="1:4" x14ac:dyDescent="0.25">
      <c r="A196" t="s">
        <v>172</v>
      </c>
      <c r="B196" t="s">
        <v>34</v>
      </c>
      <c r="C196" t="s">
        <v>180</v>
      </c>
      <c r="D196" t="s">
        <v>394</v>
      </c>
    </row>
    <row r="197" spans="1:4" x14ac:dyDescent="0.25">
      <c r="A197" t="s">
        <v>172</v>
      </c>
      <c r="B197" t="s">
        <v>34</v>
      </c>
      <c r="C197" t="s">
        <v>183</v>
      </c>
      <c r="D197" t="s">
        <v>396</v>
      </c>
    </row>
    <row r="198" spans="1:4" x14ac:dyDescent="0.25">
      <c r="A198" t="s">
        <v>172</v>
      </c>
      <c r="B198" t="s">
        <v>34</v>
      </c>
      <c r="C198" t="s">
        <v>189</v>
      </c>
      <c r="D198" t="s">
        <v>400</v>
      </c>
    </row>
    <row r="199" spans="1:4" x14ac:dyDescent="0.25">
      <c r="A199" t="s">
        <v>172</v>
      </c>
      <c r="B199" t="s">
        <v>34</v>
      </c>
      <c r="C199" t="s">
        <v>209</v>
      </c>
      <c r="D199" t="s">
        <v>414</v>
      </c>
    </row>
    <row r="200" spans="1:4" x14ac:dyDescent="0.25">
      <c r="A200" t="s">
        <v>172</v>
      </c>
      <c r="B200" t="s">
        <v>34</v>
      </c>
      <c r="C200" t="s">
        <v>178</v>
      </c>
      <c r="D200" t="s">
        <v>392</v>
      </c>
    </row>
    <row r="201" spans="1:4" x14ac:dyDescent="0.25">
      <c r="A201" t="s">
        <v>172</v>
      </c>
      <c r="B201" t="s">
        <v>37</v>
      </c>
      <c r="C201" t="s">
        <v>516</v>
      </c>
      <c r="D201" t="s">
        <v>517</v>
      </c>
    </row>
    <row r="202" spans="1:4" x14ac:dyDescent="0.25">
      <c r="A202" t="s">
        <v>172</v>
      </c>
      <c r="B202" t="s">
        <v>37</v>
      </c>
      <c r="C202" t="s">
        <v>211</v>
      </c>
      <c r="D202" t="s">
        <v>426</v>
      </c>
    </row>
    <row r="203" spans="1:4" x14ac:dyDescent="0.25">
      <c r="A203" t="s">
        <v>172</v>
      </c>
      <c r="B203" t="s">
        <v>37</v>
      </c>
      <c r="C203" t="s">
        <v>214</v>
      </c>
      <c r="D203" t="s">
        <v>429</v>
      </c>
    </row>
    <row r="204" spans="1:4" x14ac:dyDescent="0.25">
      <c r="A204" t="s">
        <v>172</v>
      </c>
      <c r="B204" t="s">
        <v>37</v>
      </c>
      <c r="C204" t="s">
        <v>202</v>
      </c>
      <c r="D204" t="s">
        <v>421</v>
      </c>
    </row>
    <row r="205" spans="1:4" x14ac:dyDescent="0.25">
      <c r="A205" t="s">
        <v>172</v>
      </c>
      <c r="B205" t="s">
        <v>37</v>
      </c>
      <c r="C205" t="s">
        <v>206</v>
      </c>
      <c r="D205" t="s">
        <v>423</v>
      </c>
    </row>
    <row r="206" spans="1:4" x14ac:dyDescent="0.25">
      <c r="A206" t="s">
        <v>172</v>
      </c>
      <c r="B206" t="s">
        <v>37</v>
      </c>
      <c r="C206" t="s">
        <v>234</v>
      </c>
      <c r="D206" t="s">
        <v>447</v>
      </c>
    </row>
    <row r="207" spans="1:4" x14ac:dyDescent="0.25">
      <c r="A207" t="s">
        <v>172</v>
      </c>
      <c r="B207" t="s">
        <v>37</v>
      </c>
      <c r="C207" t="s">
        <v>217</v>
      </c>
      <c r="D207" t="s">
        <v>431</v>
      </c>
    </row>
    <row r="208" spans="1:4" x14ac:dyDescent="0.25">
      <c r="A208" t="s">
        <v>172</v>
      </c>
      <c r="B208" t="s">
        <v>37</v>
      </c>
      <c r="C208" t="s">
        <v>518</v>
      </c>
      <c r="D208" t="s">
        <v>519</v>
      </c>
    </row>
    <row r="209" spans="1:4" x14ac:dyDescent="0.25">
      <c r="A209" t="s">
        <v>172</v>
      </c>
      <c r="B209" t="s">
        <v>37</v>
      </c>
      <c r="C209" t="s">
        <v>520</v>
      </c>
      <c r="D209" t="s">
        <v>521</v>
      </c>
    </row>
    <row r="210" spans="1:4" x14ac:dyDescent="0.25">
      <c r="A210" t="s">
        <v>172</v>
      </c>
      <c r="B210" t="s">
        <v>37</v>
      </c>
      <c r="C210" t="s">
        <v>205</v>
      </c>
      <c r="D210" t="s">
        <v>422</v>
      </c>
    </row>
    <row r="211" spans="1:4" x14ac:dyDescent="0.25">
      <c r="A211" t="s">
        <v>172</v>
      </c>
      <c r="B211" t="s">
        <v>37</v>
      </c>
      <c r="C211" t="s">
        <v>522</v>
      </c>
      <c r="D211" t="s">
        <v>523</v>
      </c>
    </row>
    <row r="212" spans="1:4" x14ac:dyDescent="0.25">
      <c r="A212" t="s">
        <v>172</v>
      </c>
      <c r="B212" t="s">
        <v>37</v>
      </c>
      <c r="C212" t="s">
        <v>208</v>
      </c>
      <c r="D212" t="s">
        <v>424</v>
      </c>
    </row>
    <row r="213" spans="1:4" x14ac:dyDescent="0.25">
      <c r="A213" t="s">
        <v>172</v>
      </c>
      <c r="B213" t="s">
        <v>37</v>
      </c>
      <c r="C213" t="s">
        <v>524</v>
      </c>
      <c r="D213" t="s">
        <v>525</v>
      </c>
    </row>
    <row r="214" spans="1:4" x14ac:dyDescent="0.25">
      <c r="A214" t="s">
        <v>172</v>
      </c>
      <c r="B214" t="s">
        <v>37</v>
      </c>
      <c r="C214" t="s">
        <v>212</v>
      </c>
      <c r="D214" t="s">
        <v>427</v>
      </c>
    </row>
    <row r="215" spans="1:4" x14ac:dyDescent="0.25">
      <c r="A215" t="s">
        <v>172</v>
      </c>
      <c r="B215" t="s">
        <v>37</v>
      </c>
      <c r="C215" t="s">
        <v>526</v>
      </c>
      <c r="D215" t="s">
        <v>527</v>
      </c>
    </row>
    <row r="216" spans="1:4" x14ac:dyDescent="0.25">
      <c r="A216" t="s">
        <v>172</v>
      </c>
      <c r="B216" t="s">
        <v>37</v>
      </c>
      <c r="C216" t="s">
        <v>213</v>
      </c>
      <c r="D216" t="s">
        <v>428</v>
      </c>
    </row>
    <row r="217" spans="1:4" x14ac:dyDescent="0.25">
      <c r="A217" t="s">
        <v>172</v>
      </c>
      <c r="B217" t="s">
        <v>37</v>
      </c>
      <c r="C217" t="s">
        <v>210</v>
      </c>
      <c r="D217" t="s">
        <v>425</v>
      </c>
    </row>
    <row r="218" spans="1:4" x14ac:dyDescent="0.25">
      <c r="A218" t="s">
        <v>172</v>
      </c>
      <c r="B218" t="s">
        <v>37</v>
      </c>
      <c r="C218" t="s">
        <v>188</v>
      </c>
      <c r="D218" t="s">
        <v>418</v>
      </c>
    </row>
    <row r="219" spans="1:4" x14ac:dyDescent="0.25">
      <c r="A219" t="s">
        <v>172</v>
      </c>
      <c r="B219" t="s">
        <v>37</v>
      </c>
      <c r="C219" t="s">
        <v>185</v>
      </c>
      <c r="D219" t="s">
        <v>417</v>
      </c>
    </row>
    <row r="220" spans="1:4" x14ac:dyDescent="0.25">
      <c r="A220" t="s">
        <v>172</v>
      </c>
      <c r="B220" t="s">
        <v>37</v>
      </c>
      <c r="C220" t="s">
        <v>216</v>
      </c>
      <c r="D220" t="s">
        <v>430</v>
      </c>
    </row>
    <row r="221" spans="1:4" x14ac:dyDescent="0.25">
      <c r="A221" t="s">
        <v>172</v>
      </c>
      <c r="B221" t="s">
        <v>37</v>
      </c>
      <c r="C221" t="s">
        <v>528</v>
      </c>
      <c r="D221" t="s">
        <v>529</v>
      </c>
    </row>
    <row r="222" spans="1:4" x14ac:dyDescent="0.25">
      <c r="A222" t="s">
        <v>172</v>
      </c>
      <c r="B222" t="s">
        <v>37</v>
      </c>
      <c r="C222" t="s">
        <v>200</v>
      </c>
      <c r="D222" t="s">
        <v>420</v>
      </c>
    </row>
    <row r="223" spans="1:4" x14ac:dyDescent="0.25">
      <c r="A223" t="s">
        <v>172</v>
      </c>
      <c r="B223" t="s">
        <v>37</v>
      </c>
      <c r="C223" t="s">
        <v>530</v>
      </c>
      <c r="D223" t="s">
        <v>531</v>
      </c>
    </row>
    <row r="224" spans="1:4" x14ac:dyDescent="0.25">
      <c r="A224" t="s">
        <v>172</v>
      </c>
      <c r="B224" t="s">
        <v>37</v>
      </c>
      <c r="C224" t="s">
        <v>182</v>
      </c>
      <c r="D224" t="s">
        <v>416</v>
      </c>
    </row>
    <row r="225" spans="1:4" x14ac:dyDescent="0.25">
      <c r="A225" t="s">
        <v>172</v>
      </c>
      <c r="B225" t="s">
        <v>37</v>
      </c>
      <c r="C225" t="s">
        <v>196</v>
      </c>
      <c r="D225" t="s">
        <v>419</v>
      </c>
    </row>
    <row r="226" spans="1:4" x14ac:dyDescent="0.25">
      <c r="A226" t="s">
        <v>172</v>
      </c>
      <c r="B226" t="s">
        <v>37</v>
      </c>
      <c r="C226" t="s">
        <v>230</v>
      </c>
      <c r="D226" t="s">
        <v>443</v>
      </c>
    </row>
    <row r="227" spans="1:4" x14ac:dyDescent="0.25">
      <c r="A227" t="s">
        <v>172</v>
      </c>
      <c r="B227" t="s">
        <v>37</v>
      </c>
      <c r="C227" t="s">
        <v>177</v>
      </c>
      <c r="D227" t="s">
        <v>415</v>
      </c>
    </row>
    <row r="228" spans="1:4" x14ac:dyDescent="0.25">
      <c r="A228" t="s">
        <v>40</v>
      </c>
      <c r="B228" t="s">
        <v>40</v>
      </c>
      <c r="C228" t="s">
        <v>532</v>
      </c>
      <c r="D228" t="s">
        <v>533</v>
      </c>
    </row>
    <row r="229" spans="1:4" x14ac:dyDescent="0.25">
      <c r="A229" t="s">
        <v>40</v>
      </c>
      <c r="B229" t="s">
        <v>40</v>
      </c>
      <c r="C229" t="s">
        <v>218</v>
      </c>
      <c r="D229" t="s">
        <v>432</v>
      </c>
    </row>
    <row r="230" spans="1:4" x14ac:dyDescent="0.25">
      <c r="A230" t="s">
        <v>40</v>
      </c>
      <c r="B230" t="s">
        <v>40</v>
      </c>
      <c r="C230" t="s">
        <v>534</v>
      </c>
      <c r="D230" t="s">
        <v>535</v>
      </c>
    </row>
    <row r="231" spans="1:4" x14ac:dyDescent="0.25">
      <c r="A231" t="s">
        <v>40</v>
      </c>
      <c r="B231" t="s">
        <v>40</v>
      </c>
      <c r="C231" t="s">
        <v>220</v>
      </c>
      <c r="D231" t="s">
        <v>434</v>
      </c>
    </row>
    <row r="232" spans="1:4" x14ac:dyDescent="0.25">
      <c r="A232" t="s">
        <v>40</v>
      </c>
      <c r="B232" t="s">
        <v>40</v>
      </c>
      <c r="C232" t="s">
        <v>224</v>
      </c>
      <c r="D232" t="s">
        <v>438</v>
      </c>
    </row>
    <row r="233" spans="1:4" x14ac:dyDescent="0.25">
      <c r="A233" t="s">
        <v>40</v>
      </c>
      <c r="B233" t="s">
        <v>40</v>
      </c>
      <c r="C233" t="s">
        <v>223</v>
      </c>
      <c r="D233" t="s">
        <v>437</v>
      </c>
    </row>
    <row r="234" spans="1:4" x14ac:dyDescent="0.25">
      <c r="A234" t="s">
        <v>40</v>
      </c>
      <c r="B234" t="s">
        <v>40</v>
      </c>
      <c r="C234" t="s">
        <v>536</v>
      </c>
      <c r="D234" t="s">
        <v>537</v>
      </c>
    </row>
    <row r="235" spans="1:4" x14ac:dyDescent="0.25">
      <c r="A235" t="s">
        <v>40</v>
      </c>
      <c r="B235" t="s">
        <v>40</v>
      </c>
      <c r="C235" t="s">
        <v>538</v>
      </c>
      <c r="D235" t="s">
        <v>539</v>
      </c>
    </row>
    <row r="236" spans="1:4" x14ac:dyDescent="0.25">
      <c r="A236" t="s">
        <v>40</v>
      </c>
      <c r="B236" t="s">
        <v>40</v>
      </c>
      <c r="C236" t="s">
        <v>540</v>
      </c>
      <c r="D236" t="s">
        <v>541</v>
      </c>
    </row>
    <row r="237" spans="1:4" x14ac:dyDescent="0.25">
      <c r="A237" t="s">
        <v>40</v>
      </c>
      <c r="B237" t="s">
        <v>40</v>
      </c>
      <c r="C237" t="s">
        <v>542</v>
      </c>
      <c r="D237" t="s">
        <v>543</v>
      </c>
    </row>
    <row r="238" spans="1:4" x14ac:dyDescent="0.25">
      <c r="A238" t="s">
        <v>40</v>
      </c>
      <c r="B238" t="s">
        <v>40</v>
      </c>
      <c r="C238" t="s">
        <v>544</v>
      </c>
      <c r="D238" t="s">
        <v>545</v>
      </c>
    </row>
    <row r="239" spans="1:4" x14ac:dyDescent="0.25">
      <c r="A239" t="s">
        <v>40</v>
      </c>
      <c r="B239" t="s">
        <v>40</v>
      </c>
      <c r="C239" t="s">
        <v>546</v>
      </c>
      <c r="D239" t="s">
        <v>547</v>
      </c>
    </row>
    <row r="240" spans="1:4" x14ac:dyDescent="0.25">
      <c r="A240" t="s">
        <v>40</v>
      </c>
      <c r="B240" t="s">
        <v>40</v>
      </c>
      <c r="C240" t="s">
        <v>548</v>
      </c>
      <c r="D240" t="s">
        <v>549</v>
      </c>
    </row>
    <row r="241" spans="1:4" x14ac:dyDescent="0.25">
      <c r="A241" t="s">
        <v>40</v>
      </c>
      <c r="B241" t="s">
        <v>40</v>
      </c>
      <c r="C241" t="s">
        <v>222</v>
      </c>
      <c r="D241" t="s">
        <v>436</v>
      </c>
    </row>
    <row r="242" spans="1:4" x14ac:dyDescent="0.25">
      <c r="A242" t="s">
        <v>40</v>
      </c>
      <c r="B242" t="s">
        <v>40</v>
      </c>
      <c r="C242" t="s">
        <v>219</v>
      </c>
      <c r="D242" t="s">
        <v>433</v>
      </c>
    </row>
    <row r="243" spans="1:4" x14ac:dyDescent="0.25">
      <c r="A243" t="s">
        <v>40</v>
      </c>
      <c r="B243" t="s">
        <v>40</v>
      </c>
      <c r="C243" t="s">
        <v>550</v>
      </c>
      <c r="D243" t="s">
        <v>551</v>
      </c>
    </row>
    <row r="244" spans="1:4" x14ac:dyDescent="0.25">
      <c r="A244" t="s">
        <v>40</v>
      </c>
      <c r="B244" t="s">
        <v>40</v>
      </c>
      <c r="C244" t="s">
        <v>552</v>
      </c>
      <c r="D244" t="s">
        <v>553</v>
      </c>
    </row>
    <row r="245" spans="1:4" x14ac:dyDescent="0.25">
      <c r="A245" t="s">
        <v>40</v>
      </c>
      <c r="B245" t="s">
        <v>40</v>
      </c>
      <c r="C245" t="s">
        <v>554</v>
      </c>
      <c r="D245" t="s">
        <v>555</v>
      </c>
    </row>
    <row r="246" spans="1:4" x14ac:dyDescent="0.25">
      <c r="A246" t="s">
        <v>40</v>
      </c>
      <c r="B246" t="s">
        <v>40</v>
      </c>
      <c r="C246" t="s">
        <v>556</v>
      </c>
      <c r="D246" t="s">
        <v>557</v>
      </c>
    </row>
    <row r="247" spans="1:4" x14ac:dyDescent="0.25">
      <c r="A247" t="s">
        <v>40</v>
      </c>
      <c r="B247" t="s">
        <v>40</v>
      </c>
      <c r="C247" t="s">
        <v>221</v>
      </c>
      <c r="D247" t="s">
        <v>435</v>
      </c>
    </row>
    <row r="248" spans="1:4" x14ac:dyDescent="0.25">
      <c r="A248" t="s">
        <v>40</v>
      </c>
      <c r="B248" t="s">
        <v>40</v>
      </c>
      <c r="C248" t="s">
        <v>558</v>
      </c>
      <c r="D248" t="s">
        <v>559</v>
      </c>
    </row>
    <row r="249" spans="1:4" x14ac:dyDescent="0.25">
      <c r="A249" t="s">
        <v>40</v>
      </c>
      <c r="B249" t="s">
        <v>40</v>
      </c>
      <c r="C249" t="s">
        <v>256</v>
      </c>
      <c r="D249" t="s">
        <v>468</v>
      </c>
    </row>
    <row r="250" spans="1:4" x14ac:dyDescent="0.25">
      <c r="A250" t="s">
        <v>40</v>
      </c>
      <c r="B250" t="s">
        <v>40</v>
      </c>
      <c r="C250" t="s">
        <v>560</v>
      </c>
      <c r="D250" t="s">
        <v>561</v>
      </c>
    </row>
    <row r="251" spans="1:4" x14ac:dyDescent="0.25">
      <c r="A251" t="s">
        <v>40</v>
      </c>
      <c r="B251" t="s">
        <v>40</v>
      </c>
      <c r="C251" t="s">
        <v>562</v>
      </c>
      <c r="D251" t="s">
        <v>563</v>
      </c>
    </row>
    <row r="252" spans="1:4" x14ac:dyDescent="0.25">
      <c r="A252" t="s">
        <v>40</v>
      </c>
      <c r="B252" t="s">
        <v>40</v>
      </c>
      <c r="C252" t="s">
        <v>564</v>
      </c>
      <c r="D252" t="s">
        <v>565</v>
      </c>
    </row>
    <row r="253" spans="1:4" x14ac:dyDescent="0.25">
      <c r="A253" t="s">
        <v>40</v>
      </c>
      <c r="B253" t="s">
        <v>40</v>
      </c>
      <c r="C253" t="s">
        <v>566</v>
      </c>
      <c r="D253" t="s">
        <v>567</v>
      </c>
    </row>
    <row r="254" spans="1:4" x14ac:dyDescent="0.25">
      <c r="A254" t="s">
        <v>40</v>
      </c>
      <c r="B254" t="s">
        <v>40</v>
      </c>
      <c r="C254" t="s">
        <v>568</v>
      </c>
      <c r="D254" t="s">
        <v>569</v>
      </c>
    </row>
    <row r="255" spans="1:4" x14ac:dyDescent="0.25">
      <c r="A255" t="s">
        <v>40</v>
      </c>
      <c r="B255" t="s">
        <v>40</v>
      </c>
      <c r="C255" t="s">
        <v>570</v>
      </c>
      <c r="D255" t="s">
        <v>571</v>
      </c>
    </row>
    <row r="256" spans="1:4" x14ac:dyDescent="0.25">
      <c r="A256" t="s">
        <v>40</v>
      </c>
      <c r="B256" t="s">
        <v>40</v>
      </c>
      <c r="C256" t="s">
        <v>572</v>
      </c>
      <c r="D256" t="s">
        <v>573</v>
      </c>
    </row>
  </sheetData>
  <mergeCells count="1">
    <mergeCell ref="A1:R1"/>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S12"/>
  <sheetViews>
    <sheetView showGridLines="0" workbookViewId="0"/>
  </sheetViews>
  <sheetFormatPr baseColWidth="10" defaultRowHeight="15" x14ac:dyDescent="0.25"/>
  <sheetData>
    <row r="2" spans="1:19" x14ac:dyDescent="0.25">
      <c r="O2" s="8" t="s">
        <v>0</v>
      </c>
      <c r="P2" s="8"/>
      <c r="Q2" s="8"/>
      <c r="R2" s="8"/>
      <c r="S2" s="8"/>
    </row>
    <row r="3" spans="1:19" x14ac:dyDescent="0.25">
      <c r="O3" s="8" t="s">
        <v>1</v>
      </c>
      <c r="P3" s="8"/>
      <c r="Q3" s="8"/>
      <c r="R3" s="8"/>
      <c r="S3" s="8"/>
    </row>
    <row r="4" spans="1:19" x14ac:dyDescent="0.25">
      <c r="O4" s="8" t="s">
        <v>2</v>
      </c>
      <c r="P4" s="8"/>
      <c r="Q4" s="8"/>
      <c r="R4" s="8"/>
      <c r="S4" s="8"/>
    </row>
    <row r="5" spans="1:19" x14ac:dyDescent="0.25">
      <c r="O5" s="8" t="s">
        <v>3</v>
      </c>
      <c r="P5" s="8"/>
      <c r="Q5" s="8"/>
      <c r="R5" s="8"/>
      <c r="S5" s="8"/>
    </row>
    <row r="6" spans="1:19" x14ac:dyDescent="0.25">
      <c r="O6" s="8" t="s">
        <v>4</v>
      </c>
      <c r="P6" s="8"/>
      <c r="Q6" s="8"/>
      <c r="R6" s="8"/>
      <c r="S6" s="8"/>
    </row>
    <row r="7" spans="1:19" x14ac:dyDescent="0.25">
      <c r="O7" s="8" t="s">
        <v>5</v>
      </c>
      <c r="P7" s="8"/>
      <c r="Q7" s="8"/>
      <c r="R7" s="8"/>
      <c r="S7" s="8"/>
    </row>
    <row r="8" spans="1:19" x14ac:dyDescent="0.25">
      <c r="A8" s="1"/>
      <c r="B8" s="1"/>
      <c r="C8" s="1"/>
      <c r="D8" s="1"/>
      <c r="E8" s="1"/>
      <c r="F8" s="1"/>
      <c r="G8" s="1"/>
      <c r="H8" s="1"/>
      <c r="I8" s="1"/>
      <c r="J8" s="1"/>
      <c r="K8" s="1"/>
      <c r="L8" s="1"/>
      <c r="M8" s="1"/>
      <c r="N8" s="1"/>
      <c r="O8" s="1"/>
      <c r="P8" s="1"/>
      <c r="Q8" s="1"/>
      <c r="R8" s="1"/>
      <c r="S8" s="1"/>
    </row>
    <row r="10" spans="1:19" ht="18" x14ac:dyDescent="0.25">
      <c r="A10" s="12" t="s">
        <v>574</v>
      </c>
      <c r="B10" s="8"/>
      <c r="C10" s="8"/>
      <c r="D10" s="8"/>
      <c r="E10" s="8"/>
      <c r="F10" s="8"/>
      <c r="G10" s="8"/>
      <c r="H10" s="8"/>
      <c r="I10" s="8"/>
      <c r="J10" s="8"/>
      <c r="K10" s="8"/>
      <c r="L10" s="8"/>
      <c r="M10" s="8"/>
      <c r="N10" s="8"/>
      <c r="O10" s="8"/>
      <c r="P10" s="8"/>
      <c r="Q10" s="8"/>
      <c r="R10" s="8"/>
    </row>
    <row r="11" spans="1:19" x14ac:dyDescent="0.25">
      <c r="A11" s="10" t="s">
        <v>575</v>
      </c>
      <c r="B11" s="8"/>
      <c r="C11" s="8"/>
      <c r="D11" s="8"/>
      <c r="E11" s="8"/>
      <c r="F11" s="8"/>
      <c r="G11" s="8"/>
      <c r="H11" s="8"/>
      <c r="I11" s="8"/>
      <c r="J11" s="8"/>
      <c r="K11" s="8"/>
      <c r="L11" s="8"/>
      <c r="M11" s="8"/>
      <c r="N11" s="8"/>
      <c r="O11" s="8"/>
      <c r="P11" s="8"/>
      <c r="Q11" s="8"/>
      <c r="R11" s="8"/>
    </row>
    <row r="12" spans="1:19" ht="148.5" customHeight="1" x14ac:dyDescent="0.25">
      <c r="A12" s="10" t="s">
        <v>576</v>
      </c>
      <c r="B12" s="8"/>
      <c r="C12" s="8"/>
      <c r="D12" s="8"/>
      <c r="E12" s="8"/>
      <c r="F12" s="8"/>
      <c r="G12" s="8"/>
      <c r="H12" s="8"/>
      <c r="I12" s="8"/>
      <c r="J12" s="8"/>
      <c r="K12" s="8"/>
      <c r="L12" s="8"/>
      <c r="M12" s="8"/>
      <c r="N12" s="8"/>
      <c r="O12" s="8"/>
      <c r="P12" s="8"/>
      <c r="Q12" s="8"/>
      <c r="R12" s="8"/>
    </row>
  </sheetData>
  <mergeCells count="9">
    <mergeCell ref="O7:S7"/>
    <mergeCell ref="A10:R10"/>
    <mergeCell ref="A11:R11"/>
    <mergeCell ref="A12:R12"/>
    <mergeCell ref="O2:S2"/>
    <mergeCell ref="O3:S3"/>
    <mergeCell ref="O4:S4"/>
    <mergeCell ref="O5:S5"/>
    <mergeCell ref="O6:S6"/>
  </mergeCells>
  <pageMargins left="0.7" right="0.7" top="0.75" bottom="0.75" header="0.3" footer="0.3"/>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98FD5DF05EF8749B7BFE2AC1A16EA5B" ma:contentTypeVersion="13" ma:contentTypeDescription="Ein neues Dokument erstellen." ma:contentTypeScope="" ma:versionID="f4fe6b80a299baf8a1311dd292aa394a">
  <xsd:schema xmlns:xsd="http://www.w3.org/2001/XMLSchema" xmlns:xs="http://www.w3.org/2001/XMLSchema" xmlns:p="http://schemas.microsoft.com/office/2006/metadata/properties" xmlns:ns2="91db8f19-d75c-4313-b524-6bb7a08b1c13" xmlns:ns3="1a671be7-945d-4c06-bb75-40b435aed83d" targetNamespace="http://schemas.microsoft.com/office/2006/metadata/properties" ma:root="true" ma:fieldsID="95f1256cebeca842d6fd4b5c0575e85a" ns2:_="" ns3:_="">
    <xsd:import namespace="91db8f19-d75c-4313-b524-6bb7a08b1c13"/>
    <xsd:import namespace="1a671be7-945d-4c06-bb75-40b435aed8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db8f19-d75c-4313-b524-6bb7a08b1c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0319013d-3902-4503-8c69-d95b42d8b08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671be7-945d-4c06-bb75-40b435aed83d"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f9136afe-2f21-4d25-b2a5-07bd9e33eca4}" ma:internalName="TaxCatchAll" ma:showField="CatchAllData" ma:web="1a671be7-945d-4c06-bb75-40b435aed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db8f19-d75c-4313-b524-6bb7a08b1c13">
      <Terms xmlns="http://schemas.microsoft.com/office/infopath/2007/PartnerControls"/>
    </lcf76f155ced4ddcb4097134ff3c332f>
    <TaxCatchAll xmlns="1a671be7-945d-4c06-bb75-40b435aed83d" xsi:nil="true"/>
  </documentManagement>
</p:properties>
</file>

<file path=customXml/itemProps1.xml><?xml version="1.0" encoding="utf-8"?>
<ds:datastoreItem xmlns:ds="http://schemas.openxmlformats.org/officeDocument/2006/customXml" ds:itemID="{5EE4198B-B79E-43AA-ABAE-718EDA38B48B}"/>
</file>

<file path=customXml/itemProps2.xml><?xml version="1.0" encoding="utf-8"?>
<ds:datastoreItem xmlns:ds="http://schemas.openxmlformats.org/officeDocument/2006/customXml" ds:itemID="{B75263F2-C6EA-463E-942D-2A8CDCF3B243}"/>
</file>

<file path=customXml/itemProps3.xml><?xml version="1.0" encoding="utf-8"?>
<ds:datastoreItem xmlns:ds="http://schemas.openxmlformats.org/officeDocument/2006/customXml" ds:itemID="{1BE89061-9C07-4A39-B55A-D5ACB71DB06C}"/>
</file>

<file path=docMetadata/LabelInfo.xml><?xml version="1.0" encoding="utf-8"?>
<clbl:labelList xmlns:clbl="http://schemas.microsoft.com/office/2020/mipLabelMetadata">
  <clbl:label id="{ab6d1c10-a186-47ab-af91-cdbff51004f3}" enabled="1" method="Standard" siteId="{a020d0ae-094a-4d44-b66c-ac3fe8e90c5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Index</vt:lpstr>
      <vt:lpstr>Exp_Region</vt:lpstr>
      <vt:lpstr>Exp_Land</vt:lpstr>
      <vt:lpstr>Imp_Region</vt:lpstr>
      <vt:lpstr>Imp_Land</vt:lpstr>
      <vt:lpstr>Daten</vt:lpstr>
      <vt:lpstr>Laender</vt:lpstr>
      <vt:lpstr>Beiblatt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Stephanie Bade</cp:lastModifiedBy>
  <dcterms:created xsi:type="dcterms:W3CDTF">2025-07-14T09:06:15Z</dcterms:created>
  <dcterms:modified xsi:type="dcterms:W3CDTF">2025-07-14T09:25:24Z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0x010100698FD5DF05EF8749B7BFE2AC1A16EA5B</vt:lpwstr>
  </property>
</Properties>
</file>