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O:\SD\alle\0-INTERNET\VERMÖGENSSTATISTIK\2015\"/>
    </mc:Choice>
  </mc:AlternateContent>
  <bookViews>
    <workbookView xWindow="480" yWindow="96" windowWidth="16380" windowHeight="10368" tabRatio="909"/>
  </bookViews>
  <sheets>
    <sheet name="Titre 1" sheetId="200" r:id="rId1"/>
    <sheet name="Tables des matières" sheetId="202" r:id="rId2"/>
    <sheet name="Introduction" sheetId="204" r:id="rId3"/>
    <sheet name="Titre 2" sheetId="206" r:id="rId4"/>
    <sheet name="1.1" sheetId="207" r:id="rId5"/>
    <sheet name="1.2" sheetId="208" r:id="rId6"/>
    <sheet name="1.3" sheetId="209" r:id="rId7"/>
    <sheet name="1.4" sheetId="210" r:id="rId8"/>
    <sheet name="1.5" sheetId="211" r:id="rId9"/>
    <sheet name="CH" sheetId="212" r:id="rId10"/>
    <sheet name="ZH" sheetId="213" r:id="rId11"/>
    <sheet name="BE" sheetId="214" r:id="rId12"/>
    <sheet name="LU" sheetId="215" r:id="rId13"/>
    <sheet name="UR" sheetId="216" r:id="rId14"/>
    <sheet name="SZ" sheetId="217" r:id="rId15"/>
    <sheet name="OW" sheetId="218" r:id="rId16"/>
    <sheet name="NW" sheetId="219" r:id="rId17"/>
    <sheet name="GL" sheetId="221" r:id="rId18"/>
    <sheet name="ZG" sheetId="222" r:id="rId19"/>
    <sheet name="FR" sheetId="223" r:id="rId20"/>
    <sheet name="SO" sheetId="224" r:id="rId21"/>
    <sheet name="BS" sheetId="225" r:id="rId22"/>
    <sheet name="BL" sheetId="226" r:id="rId23"/>
    <sheet name="SH" sheetId="227" r:id="rId24"/>
    <sheet name="AR" sheetId="228" r:id="rId25"/>
    <sheet name="AI" sheetId="229" r:id="rId26"/>
    <sheet name="SG" sheetId="230" r:id="rId27"/>
    <sheet name="GR" sheetId="231" r:id="rId28"/>
    <sheet name="AG" sheetId="232" r:id="rId29"/>
    <sheet name="TG" sheetId="233" r:id="rId30"/>
    <sheet name="TI" sheetId="234" r:id="rId31"/>
    <sheet name="VD" sheetId="235" r:id="rId32"/>
    <sheet name="VS" sheetId="236" r:id="rId33"/>
    <sheet name="NE" sheetId="237" r:id="rId34"/>
    <sheet name="GE" sheetId="238" r:id="rId35"/>
    <sheet name="JU" sheetId="239" r:id="rId36"/>
  </sheets>
  <calcPr calcId="152511"/>
</workbook>
</file>

<file path=xl/sharedStrings.xml><?xml version="1.0" encoding="utf-8"?>
<sst xmlns="http://schemas.openxmlformats.org/spreadsheetml/2006/main" count="1743" uniqueCount="256">
  <si>
    <t>Classes de fortune nette en 1'000 francs</t>
  </si>
  <si>
    <t>Stufen des Reinvermögens in 1'000 Franken</t>
  </si>
  <si>
    <t xml:space="preserve">T o t a l
</t>
  </si>
  <si>
    <t>-</t>
  </si>
  <si>
    <t>T o t a l</t>
  </si>
  <si>
    <t>Natürliche Personen / Personnes physiques</t>
  </si>
  <si>
    <t>Vermögensstatistik / Statistique de la fortune</t>
  </si>
  <si>
    <t xml:space="preserve">       u.m. / et plus</t>
  </si>
  <si>
    <t>Zurich</t>
  </si>
  <si>
    <t>Berne</t>
  </si>
  <si>
    <t>Lucerne</t>
  </si>
  <si>
    <t>Uri</t>
  </si>
  <si>
    <t>Obwald</t>
  </si>
  <si>
    <t>Nidwald</t>
  </si>
  <si>
    <t>Glaris</t>
  </si>
  <si>
    <t>Zoug</t>
  </si>
  <si>
    <t>Fribourg</t>
  </si>
  <si>
    <t>Soleure</t>
  </si>
  <si>
    <t>Bâle-Ville</t>
  </si>
  <si>
    <t>Bâle-Campagne</t>
  </si>
  <si>
    <t>Schaffhouse</t>
  </si>
  <si>
    <t>Saint-Gall</t>
  </si>
  <si>
    <t>Grisons</t>
  </si>
  <si>
    <t>Argovie</t>
  </si>
  <si>
    <t>Thurgovie</t>
  </si>
  <si>
    <t>Tessin</t>
  </si>
  <si>
    <t>Vaud</t>
  </si>
  <si>
    <t>Valais</t>
  </si>
  <si>
    <t>Neuchâtel</t>
  </si>
  <si>
    <t>Genève</t>
  </si>
  <si>
    <t>Jura</t>
  </si>
  <si>
    <t xml:space="preserve">0
</t>
  </si>
  <si>
    <t>KANTON ZÜRICH</t>
  </si>
  <si>
    <t>KANTON BERN</t>
  </si>
  <si>
    <t>KANTON LUZERN</t>
  </si>
  <si>
    <t>KANTON URI</t>
  </si>
  <si>
    <t>KANTON SCHWYZ</t>
  </si>
  <si>
    <t>KANTON OBWALDEN</t>
  </si>
  <si>
    <t>KANTON NIDWALDEN</t>
  </si>
  <si>
    <t>KANTON ZUG</t>
  </si>
  <si>
    <t>CANTON DE FRIBOURG</t>
  </si>
  <si>
    <t>KANTON SOLOTHURN</t>
  </si>
  <si>
    <t>KANTON BASEL-STADT</t>
  </si>
  <si>
    <t>KANTON BASEL-LANDSCHAFT</t>
  </si>
  <si>
    <t>KANTON SCHAFFHAUSEN</t>
  </si>
  <si>
    <t>KANTON APPENZELL A.RH.</t>
  </si>
  <si>
    <t>KANTON APPENZELL I.RH.</t>
  </si>
  <si>
    <t>KANTON ST.GALLEN</t>
  </si>
  <si>
    <t>KANTON GRAUBÜNDEN</t>
  </si>
  <si>
    <t>KANTON AARGAU</t>
  </si>
  <si>
    <t>KANTON THURGAU</t>
  </si>
  <si>
    <t>CANTONE TICINO</t>
  </si>
  <si>
    <t>CANTON DE VAUD</t>
  </si>
  <si>
    <t>CANTON DU VALAIS</t>
  </si>
  <si>
    <t>CANTON DE NEUCHÂTEL</t>
  </si>
  <si>
    <t>CANTON DE GENÈVE</t>
  </si>
  <si>
    <t>CANTON DU JURA</t>
  </si>
  <si>
    <t>2.01</t>
  </si>
  <si>
    <t>Stufen des Reinvermögens</t>
  </si>
  <si>
    <t>Pflichtige</t>
  </si>
  <si>
    <t>Reinvermögen</t>
  </si>
  <si>
    <t>in 1'000 Franken</t>
  </si>
  <si>
    <t>Contribuables</t>
  </si>
  <si>
    <t>Fortune nette</t>
  </si>
  <si>
    <t>Classes de fortune nette</t>
  </si>
  <si>
    <t>Anzahl absolut</t>
  </si>
  <si>
    <t>Prozentanteile</t>
  </si>
  <si>
    <t>in Millionen Franken</t>
  </si>
  <si>
    <t>en 1'000 francs</t>
  </si>
  <si>
    <t>Nombres absolus</t>
  </si>
  <si>
    <t>Pourcentages</t>
  </si>
  <si>
    <t>en millions de francs</t>
  </si>
  <si>
    <t>Eidgenössische Steuerverwaltung - Administration fédérale des contributions - Amministrazione federale delle contribuzioni</t>
  </si>
  <si>
    <t>2.02</t>
  </si>
  <si>
    <t>1.2</t>
  </si>
  <si>
    <t>1.3</t>
  </si>
  <si>
    <t>SCHWEIZ  -  SUISSE</t>
  </si>
  <si>
    <t>1.4</t>
  </si>
  <si>
    <t>Kantonsergebnisse  -  Résultats par canton</t>
  </si>
  <si>
    <t>Kantone</t>
  </si>
  <si>
    <t>Cantons</t>
  </si>
  <si>
    <t xml:space="preserve">  Bern</t>
  </si>
  <si>
    <t xml:space="preserve">  Uri</t>
  </si>
  <si>
    <t xml:space="preserve">  Schwyz</t>
  </si>
  <si>
    <t xml:space="preserve">  Obwalden</t>
  </si>
  <si>
    <t xml:space="preserve">  Nidwalden</t>
  </si>
  <si>
    <t xml:space="preserve">  Glarus</t>
  </si>
  <si>
    <t xml:space="preserve">  Zug</t>
  </si>
  <si>
    <t xml:space="preserve">  Fribourg</t>
  </si>
  <si>
    <t xml:space="preserve">  Solothurn</t>
  </si>
  <si>
    <t xml:space="preserve">  Basel-Stadt</t>
  </si>
  <si>
    <t xml:space="preserve">  Basel-Landschaft</t>
  </si>
  <si>
    <t xml:space="preserve">  Schaffhausen</t>
  </si>
  <si>
    <t xml:space="preserve">  Appenzell A.Rh.</t>
  </si>
  <si>
    <t xml:space="preserve">  Appenzell I.Rh.</t>
  </si>
  <si>
    <t xml:space="preserve">  St. Gallen</t>
  </si>
  <si>
    <t xml:space="preserve">  Graubünden</t>
  </si>
  <si>
    <t xml:space="preserve">  Thurgau</t>
  </si>
  <si>
    <t xml:space="preserve">  Ticino</t>
  </si>
  <si>
    <t xml:space="preserve">  Vaud</t>
  </si>
  <si>
    <t xml:space="preserve">  Valais</t>
  </si>
  <si>
    <t xml:space="preserve">  Neuchâtel</t>
  </si>
  <si>
    <t xml:space="preserve">  Genève</t>
  </si>
  <si>
    <t xml:space="preserve">  Jura</t>
  </si>
  <si>
    <t xml:space="preserve"> Schweiz / Suisse</t>
  </si>
  <si>
    <t xml:space="preserve">  Luzern </t>
  </si>
  <si>
    <t xml:space="preserve">  Aargau </t>
  </si>
  <si>
    <t xml:space="preserve">  Zürich </t>
  </si>
  <si>
    <t>1.5</t>
  </si>
  <si>
    <t>Schwytz</t>
  </si>
  <si>
    <t xml:space="preserve">Appenzell Rh.-Ext. </t>
  </si>
  <si>
    <t xml:space="preserve">Appenzell Rh.-Int. </t>
  </si>
  <si>
    <t xml:space="preserve">     Partie statistique</t>
  </si>
  <si>
    <t xml:space="preserve">     Tables des matières</t>
  </si>
  <si>
    <t xml:space="preserve">                    </t>
  </si>
  <si>
    <t>Reinvermögen in Millionen Franken / Fortune nette en millions de francs</t>
  </si>
  <si>
    <t>Anzahl Pflichtige in Prozent / Nombre de contribuables en pour-cent</t>
  </si>
  <si>
    <t>Reinvermögen in Prozent / Fortune dans un pour cent</t>
  </si>
  <si>
    <t>2.03</t>
  </si>
  <si>
    <t>2.04</t>
  </si>
  <si>
    <t>2.05</t>
  </si>
  <si>
    <t>2.06</t>
  </si>
  <si>
    <t>2.07</t>
  </si>
  <si>
    <t>2.09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</si>
  <si>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</si>
  <si>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</si>
  <si>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</si>
  <si>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</si>
  <si>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</si>
  <si>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</si>
  <si>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</si>
  <si>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</si>
  <si>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</si>
  <si>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</si>
  <si>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</si>
  <si>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</si>
  <si>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</si>
  <si>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2.23</t>
  </si>
  <si>
    <t>2.24</t>
  </si>
  <si>
    <t>2.25</t>
  </si>
  <si>
    <t>2.26</t>
  </si>
  <si>
    <t>2.00</t>
  </si>
  <si>
    <t>1.1-1.5</t>
  </si>
  <si>
    <t xml:space="preserve">     Résultats détaillés:</t>
  </si>
  <si>
    <t>Suisse</t>
  </si>
  <si>
    <t>Résultats d'ensemble pour les cantons</t>
  </si>
  <si>
    <t xml:space="preserve">PARTIE STATISTIQUE
</t>
  </si>
  <si>
    <t>roger.ammann@estv.admin.ch</t>
  </si>
  <si>
    <t>Copyright:</t>
  </si>
  <si>
    <t>Introduction</t>
  </si>
  <si>
    <t>Définition des données recensées</t>
  </si>
  <si>
    <t>Particularités</t>
  </si>
  <si>
    <t>Interprétation de la statistique de la fortune</t>
  </si>
  <si>
    <t>La dernière statistique de la fortune des personnes physiques, par cantons et pour</t>
  </si>
  <si>
    <t>Dans le cadre de la réforme de la péréquation financière et de la répartition</t>
  </si>
  <si>
    <t>des tâches (RPT), les cantons sont tenus de déclarer annuellement les fortunes</t>
  </si>
  <si>
    <t>nettes à l’Administration fédérale des contributions. Ces déclarations se font sous</t>
  </si>
  <si>
    <t>la forme d’agrégats, selon les classes de revenus définies.</t>
  </si>
  <si>
    <t>qui est déterminante pour la statistique de la fortune de l’ensemble de la Suisse.</t>
  </si>
  <si>
    <t>Les contribuables sans fortune nette ont également été pris en considération.</t>
  </si>
  <si>
    <t>Dans la mesure du possible, le relevé se fonde sur les taxations définitives.</t>
  </si>
  <si>
    <t>Si ces dernières ne sont pas disponibles au moment de la perception,</t>
  </si>
  <si>
    <t>il se fonde sur les taxations provisoires ou personnelles.</t>
  </si>
  <si>
    <t>déterminante pour l’imposition dans le canton du domicile a été prise en</t>
  </si>
  <si>
    <t>considération. Les éléments de la fortune nette imposés dans d’autres cantons</t>
  </si>
  <si>
    <t>ou à l’étranger n’ont donc pas été recensés.</t>
  </si>
  <si>
    <t>déposée dans le canton dans lequel se trouve un immeuble ou un établissement</t>
  </si>
  <si>
    <t>stable est déterminante. Il en va de même pour les contribuables domiciliés</t>
  </si>
  <si>
    <t>à l’étranger en ce qui concerne les éléments de la fortune nette imposés</t>
  </si>
  <si>
    <t>dans le canton concerné.</t>
  </si>
  <si>
    <t>Les contribuables dont la fortune nette est répartie dans deux ou plusieurs</t>
  </si>
  <si>
    <t>cantons sont imposés dans tous les cantons concernés. C’est pourquoi certains</t>
  </si>
  <si>
    <t>contribuables sont comptés deux ou plusieurs fois. En guise d’illustration,</t>
  </si>
  <si>
    <t>prenons l’exemple d’un contribuable dont la fortune nette totale se monte à 100:</t>
  </si>
  <si>
    <t>Répartition de la fortune nette entre les cantons A (canton de domicile)</t>
  </si>
  <si>
    <t xml:space="preserve">et B (canton de l’établissement stable): </t>
  </si>
  <si>
    <t>-  Fortune nette de 70 dans le canton A (assujetti de manière illimitée)</t>
  </si>
  <si>
    <t>-  Fortune nette de 30 dans le canton B (assujetti de manière limitée)</t>
  </si>
  <si>
    <t>Dans la statistique de la fortune des personnes physiques, ce contribuable</t>
  </si>
  <si>
    <t>est donc recensé deux fois:</t>
  </si>
  <si>
    <t>-  Dans le canton A, avec une fortune nette de 70 (assujetti de manière illimitée)</t>
  </si>
  <si>
    <t>-  Dans le canton B, avec une fortune nette de 30 (assujetti de manière limitée)</t>
  </si>
  <si>
    <t>Bien que la statistique de la fortune soit très représentative, il faut émettre</t>
  </si>
  <si>
    <t>quelques réserves en raison de l’existence de quelques lacunes provenant</t>
  </si>
  <si>
    <t>de particularités du système fiscal. En effet, certains éléments de la fortune</t>
  </si>
  <si>
    <t>ne sont pas ou sont seulement partiellement considérés comme faisant partie</t>
  </si>
  <si>
    <t>de la fortune imposable, par exemple</t>
  </si>
  <si>
    <t>-  les droits d’expectative de la prévoyance professionnelle (2e pilier),</t>
  </si>
  <si>
    <t>-  les droits non encore exigibles à des prestations de formes reconnues</t>
  </si>
  <si>
    <t xml:space="preserve">   de la prévoyance liée (pilier 3a),</t>
  </si>
  <si>
    <t>-  les objets mobiliers,</t>
  </si>
  <si>
    <t>-  les assurances-vie susceptibles de rachat.</t>
  </si>
  <si>
    <t>De plus, étant donné que les immeubles ont été recensés dans cette statistique</t>
  </si>
  <si>
    <t>selon leur valeur fiscale cantonale, les différences d’estimation entre la valeur</t>
  </si>
  <si>
    <t>fiscale et la valeur vénale ne sont pas prises en considération.</t>
  </si>
  <si>
    <t>La statistique de la fortune ne peut pas être différenciée davantage. Par exemple,</t>
  </si>
  <si>
    <t>les fortunes nettes ne peuvent pas être réparties d’après leurs éléments.</t>
  </si>
  <si>
    <t>De même, il n’est pas possible de faire des évaluations en fonction des</t>
  </si>
  <si>
    <t>communes ou des classes d’âge, ni même en fonction de classes de revenus</t>
  </si>
  <si>
    <t>plus détaillées.</t>
  </si>
  <si>
    <t>Les données que les cantons doivent recenser ont été redéfinies conformément</t>
  </si>
  <si>
    <t>Complément d’information:</t>
  </si>
  <si>
    <t>Réalisation:</t>
  </si>
  <si>
    <t>Rythme de parution:</t>
  </si>
  <si>
    <t>Annuel</t>
  </si>
  <si>
    <t>Langue du texte original:</t>
  </si>
  <si>
    <t>Allemand</t>
  </si>
  <si>
    <t>La reproduction est autorisée - sauf à des fins commerciales -</t>
  </si>
  <si>
    <t>si la source est mentionnée.</t>
  </si>
  <si>
    <t>Contenu de la partie statistique</t>
  </si>
  <si>
    <r>
      <t xml:space="preserve">C’est la </t>
    </r>
    <r>
      <rPr>
        <b/>
        <sz val="12"/>
        <rFont val="Arial"/>
        <family val="2"/>
      </rPr>
      <t>fortune nette</t>
    </r>
    <r>
      <rPr>
        <sz val="12"/>
        <rFont val="Arial"/>
        <family val="2"/>
      </rPr>
      <t xml:space="preserve"> (actifs moins passifs, avant prise en considération des</t>
    </r>
  </si>
  <si>
    <r>
      <t xml:space="preserve">Pour les </t>
    </r>
    <r>
      <rPr>
        <u/>
        <sz val="12"/>
        <rFont val="Arial"/>
        <family val="2"/>
      </rPr>
      <t>contribuables assujettis de manière illimitée</t>
    </r>
    <r>
      <rPr>
        <sz val="12"/>
        <rFont val="Arial"/>
        <family val="2"/>
      </rPr>
      <t>, seule la fortune nette</t>
    </r>
  </si>
  <si>
    <r>
      <t xml:space="preserve">Pour les </t>
    </r>
    <r>
      <rPr>
        <u/>
        <sz val="12"/>
        <rFont val="Arial"/>
        <family val="2"/>
      </rPr>
      <t>contribuables assujettis de manière limitée</t>
    </r>
    <r>
      <rPr>
        <sz val="12"/>
        <rFont val="Arial"/>
        <family val="2"/>
      </rPr>
      <t>, seule la fortune nette</t>
    </r>
  </si>
  <si>
    <t>Anzahl Pflichtige   /   Nombre de contribuables</t>
  </si>
  <si>
    <t>&gt; 0</t>
  </si>
  <si>
    <t xml:space="preserve">&gt; 0  -  50
</t>
  </si>
  <si>
    <t>ne peut être comparée avec les précédentes avant 2003.</t>
  </si>
  <si>
    <t>STATISTIQUE  DE  LA  FORTUNE  DES</t>
  </si>
  <si>
    <t>PERSONNES  PHYSIQUES  POUR</t>
  </si>
  <si>
    <t>L'ENSEMBLE  DE  LA  SUISSE</t>
  </si>
  <si>
    <t xml:space="preserve">&gt; 50  -  100
</t>
  </si>
  <si>
    <t xml:space="preserve">&gt; 100  -  200
</t>
  </si>
  <si>
    <t xml:space="preserve">&gt; 200  -  500
</t>
  </si>
  <si>
    <t xml:space="preserve">&gt; 500  -  1'000
</t>
  </si>
  <si>
    <t>&gt; 10'000
u.m. / et plus</t>
  </si>
  <si>
    <t xml:space="preserve">&gt; 1'000 - 2'000
</t>
  </si>
  <si>
    <t xml:space="preserve">&gt; 2'000 - 3'000
</t>
  </si>
  <si>
    <t xml:space="preserve">&gt; 3'000 - 5'000
</t>
  </si>
  <si>
    <t xml:space="preserve">&gt; 5'000-10'000
</t>
  </si>
  <si>
    <t>&gt; 50</t>
  </si>
  <si>
    <t>&gt; 100</t>
  </si>
  <si>
    <t>&gt; 200</t>
  </si>
  <si>
    <t>&gt; 500</t>
  </si>
  <si>
    <t>&gt; 1'000</t>
  </si>
  <si>
    <t>&gt; 2'000</t>
  </si>
  <si>
    <t>&gt; 3'000</t>
  </si>
  <si>
    <t>&gt; 5'000</t>
  </si>
  <si>
    <t>&gt; 10'000</t>
  </si>
  <si>
    <t>Division Etudes et supports</t>
  </si>
  <si>
    <t>Roger Ammann, AFC, Tel. 058 / 462 92 50</t>
  </si>
  <si>
    <t>Division Economie et statistique fiscale</t>
  </si>
  <si>
    <t>Steuerperiode 2015 / Période fiscale 2015</t>
  </si>
  <si>
    <t xml:space="preserve">-      </t>
  </si>
  <si>
    <t>Vermögensstatistik der natürlichen Personen                                                2015                                             Statistique de la fortune des personnes physiques</t>
  </si>
  <si>
    <t>Vermögensstatistik der natürlichen Personen                                              2015                                           Statistique de la fortune des personnes physiques</t>
  </si>
  <si>
    <t>l’ensemble de la Suisse, date de 2017 et reflète l’état de la fortune au</t>
  </si>
  <si>
    <t>31 décembre 2014. La présente statistique informe sur l’état de la fortune au</t>
  </si>
  <si>
    <t>31 décembre 2015 pour tous les cantons et pour l’ensemble de la Suisse.</t>
  </si>
  <si>
    <t>déductions sociales) des personnes physiques imposée au 31 décembre 2015</t>
  </si>
  <si>
    <t>aux exigences de la RPT. Par conséquent, la présente statistique de la fortune 2015</t>
  </si>
  <si>
    <t>AFC, Berne 2018</t>
  </si>
  <si>
    <t>5</t>
  </si>
  <si>
    <t>14</t>
  </si>
  <si>
    <t>Berne, 2018</t>
  </si>
  <si>
    <t>KANTON GLARUS</t>
  </si>
  <si>
    <t>2.08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</si>
</sst>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\ \ @"/>
    <numFmt numFmtId="165" formatCode="0.0"/>
    <numFmt numFmtId="166" formatCode="#,##0.0\ \ "/>
    <numFmt numFmtId="167" formatCode="#,##0\ "/>
    <numFmt numFmtId="168" formatCode="00\ "/>
    <numFmt numFmtId="169" formatCode="#,##0\ \ \ \ \ \ \ \ \ \ \ \ \ \ "/>
    <numFmt numFmtId="170" formatCode="#,##0\ \ \ "/>
    <numFmt numFmtId="171" formatCode="#,##0\ \ \ \ "/>
    <numFmt numFmtId="172" formatCode="#,##0.00\ \ \ \ "/>
    <numFmt numFmtId="173" formatCode="#,##0.0\ \ \ \ "/>
    <numFmt numFmtId="174" formatCode="0.00\ "/>
    <numFmt numFmtId="175" formatCode="0\ \ \ \ "/>
    <numFmt numFmtId="176" formatCode="0\ \ \ "/>
    <numFmt numFmtId="177" formatCode="#,##0.000"/>
  </numFmts>
  <fonts count="28" x14ac:knownFonts="1">
    <font>
      <sz val="10"/>
      <name val="MS Sans Serif"/>
    </font>
    <font>
      <sz val="10"/>
      <name val="MS Sans Serif"/>
      <family val="2"/>
    </font>
    <font>
      <u/>
      <sz val="10"/>
      <color indexed="12"/>
      <name val="MS Sans Serif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0"/>
      <name val="Tahoma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</font>
    <font>
      <b/>
      <sz val="10"/>
      <color indexed="3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0"/>
      <name val="MS Sans Serif"/>
      <family val="2"/>
    </font>
    <font>
      <b/>
      <sz val="20"/>
      <color indexed="62"/>
      <name val="Arial CE"/>
      <family val="2"/>
      <charset val="238"/>
    </font>
    <font>
      <sz val="20"/>
      <name val="Arial"/>
      <family val="2"/>
    </font>
    <font>
      <u/>
      <sz val="10"/>
      <color indexed="12"/>
      <name val="MS Sans Serif"/>
      <family val="2"/>
    </font>
    <font>
      <u/>
      <sz val="12"/>
      <name val="Arial"/>
      <family val="2"/>
    </font>
    <font>
      <b/>
      <sz val="10"/>
      <name val="Tahoma"/>
      <family val="2"/>
    </font>
    <font>
      <b/>
      <sz val="72"/>
      <color indexed="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22"/>
      </left>
      <right/>
      <top style="thin">
        <color indexed="22"/>
      </top>
      <bottom/>
      <diagonal/>
    </border>
    <border>
      <left/>
      <right style="medium">
        <color indexed="22"/>
      </right>
      <top style="thin">
        <color indexed="22"/>
      </top>
      <bottom/>
      <diagonal/>
    </border>
    <border>
      <left style="medium">
        <color indexed="22"/>
      </left>
      <right/>
      <top/>
      <bottom/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/>
      <top/>
      <bottom style="medium">
        <color indexed="22"/>
      </bottom>
      <diagonal/>
    </border>
    <border>
      <left/>
      <right/>
      <top/>
      <bottom style="medium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/>
      <diagonal/>
    </border>
    <border>
      <left style="medium">
        <color indexed="22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/>
      <bottom style="thin">
        <color indexed="22"/>
      </bottom>
      <diagonal/>
    </border>
    <border>
      <left/>
      <right style="medium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dotted">
        <color indexed="22"/>
      </bottom>
      <diagonal/>
    </border>
    <border>
      <left style="medium">
        <color indexed="22"/>
      </left>
      <right style="thin">
        <color indexed="22"/>
      </right>
      <top/>
      <bottom/>
      <diagonal/>
    </border>
    <border>
      <left style="medium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1" fillId="0" borderId="0"/>
    <xf numFmtId="0" fontId="14" fillId="0" borderId="0"/>
  </cellStyleXfs>
  <cellXfs count="241">
    <xf numFmtId="0" fontId="0" fillId="0" borderId="0" xfId="0"/>
    <xf numFmtId="0" fontId="9" fillId="0" borderId="0" xfId="0" applyFont="1" applyFill="1"/>
    <xf numFmtId="3" fontId="3" fillId="0" borderId="0" xfId="0" applyNumberFormat="1" applyFont="1" applyFill="1" applyBorder="1"/>
    <xf numFmtId="2" fontId="9" fillId="0" borderId="0" xfId="0" applyNumberFormat="1" applyFont="1" applyFill="1"/>
    <xf numFmtId="0" fontId="10" fillId="2" borderId="0" xfId="0" applyFont="1" applyFill="1" applyAlignment="1">
      <alignment vertical="center"/>
    </xf>
    <xf numFmtId="168" fontId="0" fillId="2" borderId="0" xfId="0" applyNumberFormat="1" applyFill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67" fontId="6" fillId="2" borderId="2" xfId="0" applyNumberFormat="1" applyFont="1" applyFill="1" applyBorder="1" applyAlignment="1">
      <alignment horizontal="center" vertical="center"/>
    </xf>
    <xf numFmtId="2" fontId="10" fillId="2" borderId="3" xfId="0" applyNumberFormat="1" applyFont="1" applyFill="1" applyBorder="1" applyAlignment="1">
      <alignment horizontal="centerContinuous" vertical="center" wrapText="1"/>
    </xf>
    <xf numFmtId="171" fontId="10" fillId="2" borderId="4" xfId="0" applyNumberFormat="1" applyFont="1" applyFill="1" applyBorder="1" applyAlignment="1" applyProtection="1">
      <alignment vertical="center"/>
      <protection locked="0"/>
    </xf>
    <xf numFmtId="165" fontId="10" fillId="2" borderId="5" xfId="0" applyNumberFormat="1" applyFont="1" applyFill="1" applyBorder="1" applyAlignment="1">
      <alignment horizontal="centerContinuous" vertical="center" wrapText="1"/>
    </xf>
    <xf numFmtId="0" fontId="5" fillId="2" borderId="0" xfId="0" applyFont="1" applyFill="1"/>
    <xf numFmtId="0" fontId="11" fillId="0" borderId="0" xfId="0" applyFont="1" applyFill="1"/>
    <xf numFmtId="0" fontId="11" fillId="0" borderId="0" xfId="0" applyFont="1" applyFill="1" applyAlignment="1">
      <alignment horizontal="left"/>
    </xf>
    <xf numFmtId="0" fontId="7" fillId="2" borderId="6" xfId="0" applyFont="1" applyFill="1" applyBorder="1" applyAlignment="1">
      <alignment horizontal="center" vertical="center"/>
    </xf>
    <xf numFmtId="171" fontId="10" fillId="3" borderId="7" xfId="0" applyNumberFormat="1" applyFont="1" applyFill="1" applyBorder="1" applyAlignment="1" applyProtection="1">
      <alignment vertical="center"/>
      <protection locked="0"/>
    </xf>
    <xf numFmtId="173" fontId="10" fillId="3" borderId="7" xfId="0" applyNumberFormat="1" applyFont="1" applyFill="1" applyBorder="1" applyAlignment="1" applyProtection="1">
      <alignment vertical="center"/>
      <protection locked="0"/>
    </xf>
    <xf numFmtId="171" fontId="10" fillId="2" borderId="8" xfId="0" applyNumberFormat="1" applyFont="1" applyFill="1" applyBorder="1" applyAlignment="1" applyProtection="1">
      <alignment vertical="center"/>
      <protection locked="0"/>
    </xf>
    <xf numFmtId="169" fontId="10" fillId="2" borderId="8" xfId="0" applyNumberFormat="1" applyFont="1" applyFill="1" applyBorder="1" applyAlignment="1" applyProtection="1">
      <alignment vertical="center"/>
      <protection locked="0"/>
    </xf>
    <xf numFmtId="3" fontId="12" fillId="2" borderId="0" xfId="0" applyNumberFormat="1" applyFont="1" applyFill="1" applyAlignment="1">
      <alignment vertical="center"/>
    </xf>
    <xf numFmtId="1" fontId="3" fillId="0" borderId="0" xfId="0" applyNumberFormat="1" applyFont="1" applyFill="1" applyAlignment="1"/>
    <xf numFmtId="1" fontId="3" fillId="0" borderId="0" xfId="0" applyNumberFormat="1" applyFont="1" applyFill="1" applyAlignment="1">
      <alignment horizontal="center"/>
    </xf>
    <xf numFmtId="1" fontId="3" fillId="0" borderId="0" xfId="0" applyNumberFormat="1" applyFont="1" applyFill="1" applyAlignment="1">
      <alignment horizontal="center" vertical="top"/>
    </xf>
    <xf numFmtId="172" fontId="10" fillId="2" borderId="9" xfId="0" applyNumberFormat="1" applyFont="1" applyFill="1" applyBorder="1" applyAlignment="1" applyProtection="1">
      <alignment horizontal="right" vertical="center"/>
      <protection locked="0"/>
    </xf>
    <xf numFmtId="172" fontId="10" fillId="3" borderId="9" xfId="0" applyNumberFormat="1" applyFont="1" applyFill="1" applyBorder="1" applyAlignment="1" applyProtection="1">
      <alignment horizontal="right" vertical="center"/>
      <protection locked="0"/>
    </xf>
    <xf numFmtId="167" fontId="10" fillId="2" borderId="0" xfId="0" applyNumberFormat="1" applyFont="1" applyFill="1" applyBorder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7" fontId="10" fillId="2" borderId="0" xfId="0" quotePrefix="1" applyNumberFormat="1" applyFont="1" applyFill="1" applyBorder="1" applyAlignment="1">
      <alignment vertical="center"/>
    </xf>
    <xf numFmtId="0" fontId="5" fillId="0" borderId="0" xfId="0" applyFont="1" applyFill="1"/>
    <xf numFmtId="171" fontId="10" fillId="2" borderId="12" xfId="0" applyNumberFormat="1" applyFont="1" applyFill="1" applyBorder="1" applyAlignment="1" applyProtection="1">
      <alignment vertical="center"/>
      <protection locked="0"/>
    </xf>
    <xf numFmtId="171" fontId="10" fillId="2" borderId="0" xfId="0" applyNumberFormat="1" applyFont="1" applyFill="1" applyBorder="1" applyAlignment="1" applyProtection="1">
      <alignment vertical="center"/>
      <protection locked="0"/>
    </xf>
    <xf numFmtId="2" fontId="9" fillId="0" borderId="6" xfId="0" applyNumberFormat="1" applyFont="1" applyFill="1" applyBorder="1"/>
    <xf numFmtId="3" fontId="6" fillId="2" borderId="13" xfId="0" applyNumberFormat="1" applyFont="1" applyFill="1" applyBorder="1" applyAlignment="1">
      <alignment horizontal="right" vertical="center"/>
    </xf>
    <xf numFmtId="170" fontId="6" fillId="2" borderId="14" xfId="0" applyNumberFormat="1" applyFont="1" applyFill="1" applyBorder="1" applyAlignment="1">
      <alignment horizontal="right" vertical="center"/>
    </xf>
    <xf numFmtId="3" fontId="10" fillId="2" borderId="15" xfId="0" applyNumberFormat="1" applyFont="1" applyFill="1" applyBorder="1" applyAlignment="1">
      <alignment horizontal="right" vertical="center"/>
    </xf>
    <xf numFmtId="170" fontId="10" fillId="2" borderId="16" xfId="0" applyNumberFormat="1" applyFont="1" applyFill="1" applyBorder="1" applyAlignment="1">
      <alignment horizontal="right" vertical="center"/>
    </xf>
    <xf numFmtId="3" fontId="10" fillId="3" borderId="15" xfId="0" applyNumberFormat="1" applyFont="1" applyFill="1" applyBorder="1" applyAlignment="1">
      <alignment horizontal="right" vertical="center"/>
    </xf>
    <xf numFmtId="170" fontId="10" fillId="3" borderId="16" xfId="0" applyNumberFormat="1" applyFont="1" applyFill="1" applyBorder="1" applyAlignment="1">
      <alignment horizontal="right" vertical="center"/>
    </xf>
    <xf numFmtId="167" fontId="10" fillId="3" borderId="15" xfId="0" applyNumberFormat="1" applyFont="1" applyFill="1" applyBorder="1" applyAlignment="1">
      <alignment horizontal="right" vertical="center"/>
    </xf>
    <xf numFmtId="167" fontId="10" fillId="3" borderId="16" xfId="0" applyNumberFormat="1" applyFont="1" applyFill="1" applyBorder="1" applyAlignment="1">
      <alignment horizontal="right" vertical="center"/>
    </xf>
    <xf numFmtId="0" fontId="4" fillId="0" borderId="6" xfId="0" applyFont="1" applyFill="1" applyBorder="1"/>
    <xf numFmtId="1" fontId="10" fillId="2" borderId="21" xfId="0" applyNumberFormat="1" applyFont="1" applyFill="1" applyBorder="1" applyAlignment="1">
      <alignment horizontal="centerContinuous"/>
    </xf>
    <xf numFmtId="1" fontId="10" fillId="2" borderId="22" xfId="0" applyNumberFormat="1" applyFont="1" applyFill="1" applyBorder="1" applyAlignment="1">
      <alignment horizontal="centerContinuous"/>
    </xf>
    <xf numFmtId="1" fontId="5" fillId="2" borderId="23" xfId="0" applyNumberFormat="1" applyFont="1" applyFill="1" applyBorder="1" applyAlignment="1">
      <alignment horizontal="centerContinuous"/>
    </xf>
    <xf numFmtId="1" fontId="5" fillId="2" borderId="15" xfId="0" applyNumberFormat="1" applyFont="1" applyFill="1" applyBorder="1" applyAlignment="1">
      <alignment horizontal="centerContinuous" vertical="top"/>
    </xf>
    <xf numFmtId="1" fontId="5" fillId="2" borderId="0" xfId="0" applyNumberFormat="1" applyFont="1" applyFill="1" applyBorder="1" applyAlignment="1">
      <alignment horizontal="centerContinuous" vertical="top"/>
    </xf>
    <xf numFmtId="1" fontId="5" fillId="2" borderId="16" xfId="0" applyNumberFormat="1" applyFont="1" applyFill="1" applyBorder="1" applyAlignment="1">
      <alignment horizontal="centerContinuous" vertical="top"/>
    </xf>
    <xf numFmtId="1" fontId="10" fillId="2" borderId="15" xfId="0" applyNumberFormat="1" applyFont="1" applyFill="1" applyBorder="1" applyAlignment="1">
      <alignment horizontal="centerContinuous"/>
    </xf>
    <xf numFmtId="1" fontId="10" fillId="2" borderId="0" xfId="0" applyNumberFormat="1" applyFont="1" applyFill="1" applyBorder="1" applyAlignment="1">
      <alignment horizontal="centerContinuous"/>
    </xf>
    <xf numFmtId="1" fontId="5" fillId="2" borderId="16" xfId="0" applyNumberFormat="1" applyFont="1" applyFill="1" applyBorder="1" applyAlignment="1">
      <alignment horizontal="centerContinuous"/>
    </xf>
    <xf numFmtId="1" fontId="5" fillId="2" borderId="24" xfId="0" applyNumberFormat="1" applyFont="1" applyFill="1" applyBorder="1" applyAlignment="1">
      <alignment horizontal="centerContinuous" vertical="top"/>
    </xf>
    <xf numFmtId="1" fontId="5" fillId="2" borderId="6" xfId="0" applyNumberFormat="1" applyFont="1" applyFill="1" applyBorder="1" applyAlignment="1">
      <alignment horizontal="centerContinuous" vertical="top"/>
    </xf>
    <xf numFmtId="1" fontId="5" fillId="2" borderId="25" xfId="0" applyNumberFormat="1" applyFont="1" applyFill="1" applyBorder="1" applyAlignment="1">
      <alignment horizontal="centerContinuous" vertical="top"/>
    </xf>
    <xf numFmtId="173" fontId="10" fillId="2" borderId="0" xfId="0" applyNumberFormat="1" applyFont="1" applyFill="1" applyBorder="1" applyAlignment="1" applyProtection="1">
      <alignment vertical="center"/>
      <protection locked="0"/>
    </xf>
    <xf numFmtId="173" fontId="10" fillId="3" borderId="9" xfId="0" applyNumberFormat="1" applyFont="1" applyFill="1" applyBorder="1" applyAlignment="1" applyProtection="1">
      <alignment vertical="center"/>
      <protection locked="0"/>
    </xf>
    <xf numFmtId="0" fontId="4" fillId="2" borderId="6" xfId="0" applyFont="1" applyFill="1" applyBorder="1"/>
    <xf numFmtId="164" fontId="7" fillId="4" borderId="26" xfId="0" applyNumberFormat="1" applyFont="1" applyFill="1" applyBorder="1" applyAlignment="1">
      <alignment horizontal="centerContinuous" vertical="center"/>
    </xf>
    <xf numFmtId="164" fontId="7" fillId="4" borderId="3" xfId="0" applyNumberFormat="1" applyFont="1" applyFill="1" applyBorder="1" applyAlignment="1">
      <alignment horizontal="centerContinuous" vertical="center"/>
    </xf>
    <xf numFmtId="166" fontId="7" fillId="4" borderId="27" xfId="0" applyNumberFormat="1" applyFont="1" applyFill="1" applyBorder="1" applyAlignment="1" applyProtection="1">
      <alignment horizontal="centerContinuous" vertical="center"/>
      <protection locked="0"/>
    </xf>
    <xf numFmtId="165" fontId="10" fillId="2" borderId="4" xfId="0" applyNumberFormat="1" applyFont="1" applyFill="1" applyBorder="1" applyAlignment="1">
      <alignment horizontal="centerContinuous" wrapText="1"/>
    </xf>
    <xf numFmtId="165" fontId="3" fillId="2" borderId="29" xfId="0" applyNumberFormat="1" applyFont="1" applyFill="1" applyBorder="1" applyAlignment="1">
      <alignment horizontal="centerContinuous" vertical="top"/>
    </xf>
    <xf numFmtId="165" fontId="3" fillId="2" borderId="11" xfId="0" applyNumberFormat="1" applyFont="1" applyFill="1" applyBorder="1" applyAlignment="1">
      <alignment horizontal="centerContinuous" vertical="top"/>
    </xf>
    <xf numFmtId="165" fontId="3" fillId="2" borderId="8" xfId="0" applyNumberFormat="1" applyFont="1" applyFill="1" applyBorder="1" applyAlignment="1">
      <alignment horizontal="centerContinuous"/>
    </xf>
    <xf numFmtId="165" fontId="10" fillId="2" borderId="8" xfId="0" applyNumberFormat="1" applyFont="1" applyFill="1" applyBorder="1" applyAlignment="1">
      <alignment horizontal="centerContinuous" wrapText="1"/>
    </xf>
    <xf numFmtId="165" fontId="3" fillId="2" borderId="30" xfId="0" applyNumberFormat="1" applyFont="1" applyFill="1" applyBorder="1" applyAlignment="1">
      <alignment horizontal="centerContinuous" vertical="top"/>
    </xf>
    <xf numFmtId="165" fontId="3" fillId="2" borderId="10" xfId="0" applyNumberFormat="1" applyFont="1" applyFill="1" applyBorder="1" applyAlignment="1">
      <alignment horizontal="centerContinuous" vertical="top"/>
    </xf>
    <xf numFmtId="1" fontId="10" fillId="2" borderId="15" xfId="0" applyNumberFormat="1" applyFont="1" applyFill="1" applyBorder="1" applyAlignment="1">
      <alignment horizontal="centerContinuous" vertical="top"/>
    </xf>
    <xf numFmtId="3" fontId="10" fillId="2" borderId="15" xfId="0" applyNumberFormat="1" applyFont="1" applyFill="1" applyBorder="1" applyAlignment="1">
      <alignment vertical="center"/>
    </xf>
    <xf numFmtId="3" fontId="10" fillId="3" borderId="15" xfId="0" applyNumberFormat="1" applyFont="1" applyFill="1" applyBorder="1" applyAlignment="1">
      <alignment vertical="center"/>
    </xf>
    <xf numFmtId="0" fontId="4" fillId="2" borderId="6" xfId="0" applyFont="1" applyFill="1" applyBorder="1" applyAlignment="1"/>
    <xf numFmtId="0" fontId="9" fillId="0" borderId="6" xfId="0" applyFont="1" applyFill="1" applyBorder="1"/>
    <xf numFmtId="171" fontId="20" fillId="2" borderId="32" xfId="0" applyNumberFormat="1" applyFont="1" applyFill="1" applyBorder="1" applyAlignment="1" applyProtection="1">
      <alignment horizontal="right" vertical="center"/>
      <protection locked="0"/>
    </xf>
    <xf numFmtId="171" fontId="20" fillId="2" borderId="9" xfId="0" applyNumberFormat="1" applyFont="1" applyFill="1" applyBorder="1" applyAlignment="1" applyProtection="1">
      <alignment horizontal="right" vertical="center"/>
      <protection locked="0"/>
    </xf>
    <xf numFmtId="171" fontId="20" fillId="3" borderId="9" xfId="0" applyNumberFormat="1" applyFont="1" applyFill="1" applyBorder="1" applyAlignment="1" applyProtection="1">
      <alignment horizontal="right" vertical="center"/>
      <protection locked="0"/>
    </xf>
    <xf numFmtId="3" fontId="3" fillId="0" borderId="8" xfId="0" applyNumberFormat="1" applyFont="1" applyFill="1" applyBorder="1"/>
    <xf numFmtId="1" fontId="10" fillId="2" borderId="2" xfId="0" applyNumberFormat="1" applyFont="1" applyFill="1" applyBorder="1" applyAlignment="1">
      <alignment horizontal="centerContinuous"/>
    </xf>
    <xf numFmtId="1" fontId="10" fillId="2" borderId="2" xfId="0" applyNumberFormat="1" applyFont="1" applyFill="1" applyBorder="1" applyAlignment="1">
      <alignment horizontal="centerContinuous" wrapText="1"/>
    </xf>
    <xf numFmtId="1" fontId="10" fillId="2" borderId="6" xfId="0" applyNumberFormat="1" applyFont="1" applyFill="1" applyBorder="1" applyAlignment="1">
      <alignment horizontal="centerContinuous" vertical="top"/>
    </xf>
    <xf numFmtId="1" fontId="10" fillId="2" borderId="6" xfId="0" applyNumberFormat="1" applyFont="1" applyFill="1" applyBorder="1" applyAlignment="1">
      <alignment horizontal="centerContinuous" vertical="top" wrapText="1"/>
    </xf>
    <xf numFmtId="1" fontId="20" fillId="2" borderId="33" xfId="0" applyNumberFormat="1" applyFont="1" applyFill="1" applyBorder="1" applyAlignment="1">
      <alignment horizontal="center" vertical="center" wrapText="1"/>
    </xf>
    <xf numFmtId="1" fontId="20" fillId="2" borderId="1" xfId="0" applyNumberFormat="1" applyFont="1" applyFill="1" applyBorder="1" applyAlignment="1">
      <alignment horizontal="center" vertical="center" wrapText="1"/>
    </xf>
    <xf numFmtId="1" fontId="10" fillId="2" borderId="12" xfId="0" applyNumberFormat="1" applyFont="1" applyFill="1" applyBorder="1" applyAlignment="1"/>
    <xf numFmtId="1" fontId="10" fillId="2" borderId="11" xfId="0" applyNumberFormat="1" applyFont="1" applyFill="1" applyBorder="1" applyAlignment="1">
      <alignment vertical="top"/>
    </xf>
    <xf numFmtId="1" fontId="10" fillId="2" borderId="13" xfId="0" applyNumberFormat="1" applyFont="1" applyFill="1" applyBorder="1" applyAlignment="1">
      <alignment wrapText="1"/>
    </xf>
    <xf numFmtId="1" fontId="10" fillId="2" borderId="24" xfId="0" applyNumberFormat="1" applyFont="1" applyFill="1" applyBorder="1" applyAlignment="1">
      <alignment vertical="top" wrapText="1"/>
    </xf>
    <xf numFmtId="0" fontId="22" fillId="2" borderId="0" xfId="0" applyFont="1" applyFill="1" applyAlignment="1">
      <alignment horizontal="centerContinuous" vertical="center" wrapText="1"/>
    </xf>
    <xf numFmtId="0" fontId="23" fillId="2" borderId="0" xfId="0" applyFont="1" applyFill="1" applyAlignment="1">
      <alignment horizontal="centerContinuous" vertical="center" wrapText="1"/>
    </xf>
    <xf numFmtId="0" fontId="5" fillId="5" borderId="0" xfId="0" applyFont="1" applyFill="1"/>
    <xf numFmtId="0" fontId="5" fillId="3" borderId="0" xfId="0" applyFont="1" applyFill="1"/>
    <xf numFmtId="0" fontId="21" fillId="2" borderId="0" xfId="0" applyFont="1" applyFill="1"/>
    <xf numFmtId="0" fontId="10" fillId="3" borderId="0" xfId="0" applyFont="1" applyFill="1"/>
    <xf numFmtId="0" fontId="21" fillId="3" borderId="0" xfId="0" applyFont="1" applyFill="1"/>
    <xf numFmtId="0" fontId="24" fillId="3" borderId="0" xfId="1" applyFont="1" applyFill="1" applyAlignment="1" applyProtection="1"/>
    <xf numFmtId="2" fontId="10" fillId="2" borderId="27" xfId="0" applyNumberFormat="1" applyFont="1" applyFill="1" applyBorder="1" applyAlignment="1">
      <alignment horizontal="centerContinuous" vertical="center" wrapText="1"/>
    </xf>
    <xf numFmtId="1" fontId="5" fillId="2" borderId="24" xfId="0" applyNumberFormat="1" applyFont="1" applyFill="1" applyBorder="1" applyAlignment="1">
      <alignment vertical="top"/>
    </xf>
    <xf numFmtId="1" fontId="5" fillId="2" borderId="6" xfId="0" applyNumberFormat="1" applyFont="1" applyFill="1" applyBorder="1" applyAlignment="1">
      <alignment vertical="top"/>
    </xf>
    <xf numFmtId="1" fontId="5" fillId="2" borderId="25" xfId="0" applyNumberFormat="1" applyFont="1" applyFill="1" applyBorder="1" applyAlignment="1">
      <alignment vertical="top"/>
    </xf>
    <xf numFmtId="173" fontId="20" fillId="2" borderId="9" xfId="0" applyNumberFormat="1" applyFont="1" applyFill="1" applyBorder="1" applyAlignment="1" applyProtection="1">
      <alignment horizontal="right" vertical="center"/>
      <protection locked="0"/>
    </xf>
    <xf numFmtId="173" fontId="20" fillId="3" borderId="9" xfId="0" applyNumberFormat="1" applyFont="1" applyFill="1" applyBorder="1" applyAlignment="1" applyProtection="1">
      <alignment horizontal="right" vertical="center"/>
      <protection locked="0"/>
    </xf>
    <xf numFmtId="173" fontId="20" fillId="2" borderId="32" xfId="0" applyNumberFormat="1" applyFont="1" applyFill="1" applyBorder="1" applyAlignment="1" applyProtection="1">
      <alignment horizontal="right" vertical="center"/>
      <protection locked="0"/>
    </xf>
    <xf numFmtId="172" fontId="20" fillId="2" borderId="9" xfId="0" applyNumberFormat="1" applyFont="1" applyFill="1" applyBorder="1" applyAlignment="1" applyProtection="1">
      <alignment horizontal="right" vertical="center"/>
      <protection locked="0"/>
    </xf>
    <xf numFmtId="172" fontId="20" fillId="3" borderId="9" xfId="0" applyNumberFormat="1" applyFont="1" applyFill="1" applyBorder="1" applyAlignment="1" applyProtection="1">
      <alignment horizontal="right" vertical="center"/>
      <protection locked="0"/>
    </xf>
    <xf numFmtId="172" fontId="20" fillId="2" borderId="32" xfId="0" applyNumberFormat="1" applyFont="1" applyFill="1" applyBorder="1" applyAlignment="1" applyProtection="1">
      <alignment horizontal="right" vertical="center"/>
      <protection locked="0"/>
    </xf>
    <xf numFmtId="172" fontId="20" fillId="3" borderId="32" xfId="0" applyNumberFormat="1" applyFont="1" applyFill="1" applyBorder="1" applyAlignment="1" applyProtection="1">
      <alignment horizontal="right" vertical="center"/>
      <protection locked="0"/>
    </xf>
    <xf numFmtId="1" fontId="10" fillId="2" borderId="28" xfId="0" applyNumberFormat="1" applyFont="1" applyFill="1" applyBorder="1" applyAlignment="1">
      <alignment wrapText="1"/>
    </xf>
    <xf numFmtId="1" fontId="10" fillId="2" borderId="29" xfId="0" applyNumberFormat="1" applyFont="1" applyFill="1" applyBorder="1" applyAlignment="1">
      <alignment vertical="top" wrapText="1"/>
    </xf>
    <xf numFmtId="165" fontId="10" fillId="2" borderId="26" xfId="0" applyNumberFormat="1" applyFont="1" applyFill="1" applyBorder="1" applyAlignment="1">
      <alignment horizontal="centerContinuous" vertical="center" wrapText="1"/>
    </xf>
    <xf numFmtId="2" fontId="8" fillId="0" borderId="6" xfId="0" applyNumberFormat="1" applyFont="1" applyFill="1" applyBorder="1" applyAlignment="1"/>
    <xf numFmtId="0" fontId="4" fillId="2" borderId="6" xfId="0" applyFont="1" applyFill="1" applyBorder="1" applyAlignment="1">
      <alignment horizontal="right"/>
    </xf>
    <xf numFmtId="0" fontId="4" fillId="0" borderId="6" xfId="0" applyFont="1" applyFill="1" applyBorder="1" applyAlignment="1">
      <alignment horizontal="right"/>
    </xf>
    <xf numFmtId="173" fontId="20" fillId="3" borderId="32" xfId="0" applyNumberFormat="1" applyFont="1" applyFill="1" applyBorder="1" applyAlignment="1" applyProtection="1">
      <alignment horizontal="right" vertical="center"/>
      <protection locked="0"/>
    </xf>
    <xf numFmtId="171" fontId="20" fillId="3" borderId="32" xfId="0" applyNumberFormat="1" applyFont="1" applyFill="1" applyBorder="1" applyAlignment="1" applyProtection="1">
      <alignment horizontal="right" vertical="center"/>
      <protection locked="0"/>
    </xf>
    <xf numFmtId="0" fontId="4" fillId="0" borderId="6" xfId="0" applyFont="1" applyFill="1" applyBorder="1" applyAlignment="1"/>
    <xf numFmtId="0" fontId="8" fillId="0" borderId="6" xfId="0" applyNumberFormat="1" applyFont="1" applyFill="1" applyBorder="1" applyAlignment="1">
      <alignment horizontal="right"/>
    </xf>
    <xf numFmtId="0" fontId="8" fillId="0" borderId="6" xfId="0" applyNumberFormat="1" applyFont="1" applyFill="1" applyBorder="1" applyAlignment="1">
      <alignment horizontal="left"/>
    </xf>
    <xf numFmtId="177" fontId="10" fillId="3" borderId="15" xfId="0" applyNumberFormat="1" applyFont="1" applyFill="1" applyBorder="1" applyAlignment="1">
      <alignment horizontal="right" vertical="center"/>
    </xf>
    <xf numFmtId="165" fontId="7" fillId="4" borderId="26" xfId="0" applyNumberFormat="1" applyFont="1" applyFill="1" applyBorder="1" applyAlignment="1">
      <alignment horizontal="centerContinuous" vertical="center"/>
    </xf>
    <xf numFmtId="0" fontId="7" fillId="4" borderId="26" xfId="0" applyNumberFormat="1" applyFont="1" applyFill="1" applyBorder="1" applyAlignment="1">
      <alignment horizontal="centerContinuous" vertical="center"/>
    </xf>
    <xf numFmtId="0" fontId="26" fillId="0" borderId="0" xfId="0" applyFont="1" applyFill="1"/>
    <xf numFmtId="0" fontId="7" fillId="0" borderId="6" xfId="0" applyFont="1" applyFill="1" applyBorder="1" applyAlignment="1">
      <alignment horizontal="center" vertical="center"/>
    </xf>
    <xf numFmtId="0" fontId="7" fillId="0" borderId="0" xfId="3" quotePrefix="1" applyFont="1" applyFill="1"/>
    <xf numFmtId="0" fontId="7" fillId="0" borderId="0" xfId="3" applyFont="1" applyFill="1"/>
    <xf numFmtId="0" fontId="0" fillId="0" borderId="0" xfId="0" applyFill="1"/>
    <xf numFmtId="0" fontId="0" fillId="0" borderId="0" xfId="0" applyFill="1" applyAlignment="1">
      <alignment horizontal="right"/>
    </xf>
    <xf numFmtId="175" fontId="18" fillId="0" borderId="0" xfId="3" applyNumberFormat="1" applyFont="1" applyFill="1" applyAlignment="1"/>
    <xf numFmtId="0" fontId="18" fillId="0" borderId="31" xfId="3" applyFont="1" applyFill="1" applyBorder="1"/>
    <xf numFmtId="1" fontId="10" fillId="0" borderId="31" xfId="3" applyNumberFormat="1" applyFont="1" applyFill="1" applyBorder="1" applyAlignment="1">
      <alignment horizontal="right"/>
    </xf>
    <xf numFmtId="0" fontId="10" fillId="0" borderId="0" xfId="3" applyFont="1" applyFill="1"/>
    <xf numFmtId="0" fontId="18" fillId="0" borderId="0" xfId="3" applyFont="1" applyFill="1" applyBorder="1"/>
    <xf numFmtId="0" fontId="10" fillId="0" borderId="0" xfId="3" applyFont="1" applyFill="1" applyBorder="1" applyAlignment="1">
      <alignment horizontal="right"/>
    </xf>
    <xf numFmtId="0" fontId="10" fillId="0" borderId="0" xfId="3" quotePrefix="1" applyFont="1" applyFill="1"/>
    <xf numFmtId="0" fontId="1" fillId="0" borderId="0" xfId="0" applyFont="1" applyFill="1"/>
    <xf numFmtId="0" fontId="19" fillId="0" borderId="0" xfId="3" applyFont="1" applyFill="1"/>
    <xf numFmtId="0" fontId="5" fillId="0" borderId="0" xfId="0" applyFont="1" applyFill="1" applyAlignment="1">
      <alignment horizontal="right"/>
    </xf>
    <xf numFmtId="175" fontId="18" fillId="0" borderId="0" xfId="3" applyNumberFormat="1" applyFont="1" applyFill="1" applyAlignment="1">
      <alignment horizontal="center"/>
    </xf>
    <xf numFmtId="0" fontId="10" fillId="0" borderId="0" xfId="0" quotePrefix="1" applyFont="1" applyFill="1"/>
    <xf numFmtId="174" fontId="18" fillId="0" borderId="0" xfId="3" applyNumberFormat="1" applyFont="1" applyFill="1" applyAlignment="1"/>
    <xf numFmtId="1" fontId="3" fillId="0" borderId="6" xfId="0" applyNumberFormat="1" applyFont="1" applyFill="1" applyBorder="1" applyAlignment="1">
      <alignment horizontal="centerContinuous" vertical="top"/>
    </xf>
    <xf numFmtId="1" fontId="8" fillId="0" borderId="6" xfId="0" applyNumberFormat="1" applyFont="1" applyFill="1" applyBorder="1" applyAlignment="1">
      <alignment horizontal="centerContinuous" vertical="top"/>
    </xf>
    <xf numFmtId="0" fontId="11" fillId="0" borderId="0" xfId="3" applyFont="1" applyFill="1" applyAlignment="1">
      <alignment horizontal="right"/>
    </xf>
    <xf numFmtId="0" fontId="11" fillId="0" borderId="0" xfId="3" applyFont="1" applyFill="1"/>
    <xf numFmtId="0" fontId="5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indent="1"/>
    </xf>
    <xf numFmtId="0" fontId="13" fillId="0" borderId="0" xfId="0" applyFont="1" applyFill="1"/>
    <xf numFmtId="0" fontId="2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right" vertical="top"/>
    </xf>
    <xf numFmtId="0" fontId="11" fillId="0" borderId="0" xfId="0" applyFont="1" applyFill="1" applyBorder="1" applyAlignment="1">
      <alignment horizontal="justify" vertical="top" wrapText="1"/>
    </xf>
    <xf numFmtId="0" fontId="11" fillId="0" borderId="0" xfId="0" applyFont="1" applyFill="1" applyBorder="1" applyAlignment="1">
      <alignment vertical="top"/>
    </xf>
    <xf numFmtId="176" fontId="7" fillId="0" borderId="0" xfId="0" applyNumberFormat="1" applyFont="1" applyFill="1" applyBorder="1" applyAlignment="1">
      <alignment horizontal="right" vertical="top"/>
    </xf>
    <xf numFmtId="176" fontId="7" fillId="0" borderId="0" xfId="0" applyNumberFormat="1" applyFont="1" applyFill="1" applyBorder="1" applyAlignment="1">
      <alignment vertical="top"/>
    </xf>
    <xf numFmtId="0" fontId="11" fillId="0" borderId="0" xfId="0" applyFont="1" applyFill="1" applyBorder="1" applyAlignment="1">
      <alignment horizontal="justify" vertical="top"/>
    </xf>
    <xf numFmtId="0" fontId="11" fillId="0" borderId="0" xfId="0" quotePrefix="1" applyFont="1" applyFill="1" applyBorder="1" applyAlignment="1">
      <alignment vertical="top"/>
    </xf>
    <xf numFmtId="0" fontId="11" fillId="0" borderId="34" xfId="0" applyFont="1" applyFill="1" applyBorder="1" applyAlignment="1">
      <alignment horizontal="justify" vertical="top"/>
    </xf>
    <xf numFmtId="0" fontId="16" fillId="0" borderId="0" xfId="1" applyFont="1" applyFill="1" applyBorder="1" applyAlignment="1" applyProtection="1">
      <alignment horizontal="justify" vertical="top" wrapText="1"/>
    </xf>
    <xf numFmtId="0" fontId="11" fillId="0" borderId="0" xfId="0" applyFont="1" applyFill="1" applyBorder="1" applyAlignment="1">
      <alignment horizontal="left" vertical="top"/>
    </xf>
    <xf numFmtId="0" fontId="11" fillId="0" borderId="0" xfId="0" applyFont="1" applyFill="1" applyBorder="1" applyAlignment="1">
      <alignment horizontal="centerContinuous" vertical="top"/>
    </xf>
    <xf numFmtId="0" fontId="11" fillId="0" borderId="34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justify" vertical="top"/>
    </xf>
    <xf numFmtId="1" fontId="6" fillId="0" borderId="31" xfId="3" applyNumberFormat="1" applyFont="1" applyFill="1" applyBorder="1" applyAlignment="1">
      <alignment horizontal="right"/>
    </xf>
    <xf numFmtId="0" fontId="10" fillId="6" borderId="0" xfId="0" applyFont="1" applyFill="1" applyAlignment="1">
      <alignment vertical="center"/>
    </xf>
    <xf numFmtId="168" fontId="0" fillId="6" borderId="0" xfId="0" applyNumberFormat="1" applyFill="1" applyAlignment="1">
      <alignment horizontal="center"/>
    </xf>
    <xf numFmtId="0" fontId="0" fillId="6" borderId="0" xfId="0" applyFill="1"/>
    <xf numFmtId="0" fontId="9" fillId="6" borderId="0" xfId="0" applyFont="1" applyFill="1"/>
    <xf numFmtId="0" fontId="0" fillId="6" borderId="0" xfId="0" applyFill="1" applyAlignment="1">
      <alignment vertical="center"/>
    </xf>
    <xf numFmtId="3" fontId="12" fillId="6" borderId="0" xfId="0" applyNumberFormat="1" applyFont="1" applyFill="1" applyAlignment="1">
      <alignment vertical="center"/>
    </xf>
    <xf numFmtId="165" fontId="10" fillId="6" borderId="20" xfId="0" applyNumberFormat="1" applyFont="1" applyFill="1" applyBorder="1" applyAlignment="1">
      <alignment vertical="center" wrapText="1"/>
    </xf>
    <xf numFmtId="165" fontId="3" fillId="6" borderId="0" xfId="0" applyNumberFormat="1" applyFont="1" applyFill="1" applyBorder="1" applyAlignment="1">
      <alignment vertical="center"/>
    </xf>
    <xf numFmtId="165" fontId="10" fillId="6" borderId="0" xfId="0" applyNumberFormat="1" applyFont="1" applyFill="1" applyBorder="1" applyAlignment="1">
      <alignment vertical="center" wrapText="1"/>
    </xf>
    <xf numFmtId="1" fontId="3" fillId="6" borderId="0" xfId="0" applyNumberFormat="1" applyFont="1" applyFill="1" applyAlignment="1"/>
    <xf numFmtId="1" fontId="10" fillId="6" borderId="2" xfId="0" applyNumberFormat="1" applyFont="1" applyFill="1" applyBorder="1" applyAlignment="1">
      <alignment horizontal="centerContinuous" wrapText="1"/>
    </xf>
    <xf numFmtId="1" fontId="10" fillId="6" borderId="2" xfId="0" applyNumberFormat="1" applyFont="1" applyFill="1" applyBorder="1" applyAlignment="1">
      <alignment horizontal="centerContinuous"/>
    </xf>
    <xf numFmtId="1" fontId="10" fillId="6" borderId="12" xfId="0" applyNumberFormat="1" applyFont="1" applyFill="1" applyBorder="1" applyAlignment="1"/>
    <xf numFmtId="1" fontId="10" fillId="6" borderId="21" xfId="0" applyNumberFormat="1" applyFont="1" applyFill="1" applyBorder="1" applyAlignment="1">
      <alignment horizontal="centerContinuous"/>
    </xf>
    <xf numFmtId="1" fontId="10" fillId="6" borderId="22" xfId="0" applyNumberFormat="1" applyFont="1" applyFill="1" applyBorder="1" applyAlignment="1">
      <alignment horizontal="centerContinuous"/>
    </xf>
    <xf numFmtId="1" fontId="5" fillId="6" borderId="23" xfId="0" applyNumberFormat="1" applyFont="1" applyFill="1" applyBorder="1" applyAlignment="1">
      <alignment horizontal="centerContinuous"/>
    </xf>
    <xf numFmtId="1" fontId="10" fillId="6" borderId="6" xfId="0" applyNumberFormat="1" applyFont="1" applyFill="1" applyBorder="1" applyAlignment="1">
      <alignment horizontal="centerContinuous" vertical="top" wrapText="1"/>
    </xf>
    <xf numFmtId="1" fontId="10" fillId="6" borderId="6" xfId="0" applyNumberFormat="1" applyFont="1" applyFill="1" applyBorder="1" applyAlignment="1">
      <alignment horizontal="centerContinuous" vertical="top"/>
    </xf>
    <xf numFmtId="1" fontId="10" fillId="6" borderId="11" xfId="0" applyNumberFormat="1" applyFont="1" applyFill="1" applyBorder="1" applyAlignment="1">
      <alignment vertical="top"/>
    </xf>
    <xf numFmtId="1" fontId="10" fillId="6" borderId="15" xfId="0" applyNumberFormat="1" applyFont="1" applyFill="1" applyBorder="1" applyAlignment="1">
      <alignment horizontal="centerContinuous" vertical="top"/>
    </xf>
    <xf numFmtId="1" fontId="5" fillId="6" borderId="0" xfId="0" applyNumberFormat="1" applyFont="1" applyFill="1" applyBorder="1" applyAlignment="1">
      <alignment horizontal="centerContinuous" vertical="top"/>
    </xf>
    <xf numFmtId="1" fontId="5" fillId="6" borderId="16" xfId="0" applyNumberFormat="1" applyFont="1" applyFill="1" applyBorder="1" applyAlignment="1">
      <alignment horizontal="centerContinuous" vertical="top"/>
    </xf>
    <xf numFmtId="1" fontId="20" fillId="6" borderId="1" xfId="0" applyNumberFormat="1" applyFont="1" applyFill="1" applyBorder="1" applyAlignment="1">
      <alignment horizontal="center" vertical="center" wrapText="1"/>
    </xf>
    <xf numFmtId="1" fontId="10" fillId="6" borderId="15" xfId="0" applyNumberFormat="1" applyFont="1" applyFill="1" applyBorder="1" applyAlignment="1">
      <alignment horizontal="centerContinuous"/>
    </xf>
    <xf numFmtId="1" fontId="10" fillId="6" borderId="0" xfId="0" applyNumberFormat="1" applyFont="1" applyFill="1" applyBorder="1" applyAlignment="1">
      <alignment horizontal="centerContinuous"/>
    </xf>
    <xf numFmtId="1" fontId="5" fillId="6" borderId="16" xfId="0" applyNumberFormat="1" applyFont="1" applyFill="1" applyBorder="1" applyAlignment="1">
      <alignment horizontal="centerContinuous"/>
    </xf>
    <xf numFmtId="2" fontId="10" fillId="6" borderId="3" xfId="0" applyNumberFormat="1" applyFont="1" applyFill="1" applyBorder="1" applyAlignment="1">
      <alignment horizontal="centerContinuous" vertical="center" wrapText="1"/>
    </xf>
    <xf numFmtId="2" fontId="10" fillId="6" borderId="27" xfId="0" applyNumberFormat="1" applyFont="1" applyFill="1" applyBorder="1" applyAlignment="1">
      <alignment horizontal="centerContinuous" vertical="center" wrapText="1"/>
    </xf>
    <xf numFmtId="1" fontId="5" fillId="6" borderId="24" xfId="0" applyNumberFormat="1" applyFont="1" applyFill="1" applyBorder="1" applyAlignment="1">
      <alignment vertical="top"/>
    </xf>
    <xf numFmtId="1" fontId="5" fillId="6" borderId="6" xfId="0" applyNumberFormat="1" applyFont="1" applyFill="1" applyBorder="1" applyAlignment="1">
      <alignment vertical="top"/>
    </xf>
    <xf numFmtId="1" fontId="5" fillId="6" borderId="25" xfId="0" applyNumberFormat="1" applyFont="1" applyFill="1" applyBorder="1" applyAlignment="1">
      <alignment vertical="top"/>
    </xf>
    <xf numFmtId="169" fontId="10" fillId="6" borderId="8" xfId="0" applyNumberFormat="1" applyFont="1" applyFill="1" applyBorder="1" applyAlignment="1" applyProtection="1">
      <alignment vertical="center"/>
      <protection locked="0"/>
    </xf>
    <xf numFmtId="3" fontId="3" fillId="6" borderId="0" xfId="0" applyNumberFormat="1" applyFont="1" applyFill="1" applyBorder="1"/>
    <xf numFmtId="3" fontId="3" fillId="6" borderId="8" xfId="0" applyNumberFormat="1" applyFont="1" applyFill="1" applyBorder="1"/>
    <xf numFmtId="3" fontId="6" fillId="6" borderId="13" xfId="0" applyNumberFormat="1" applyFont="1" applyFill="1" applyBorder="1" applyAlignment="1">
      <alignment horizontal="right" vertical="center"/>
    </xf>
    <xf numFmtId="167" fontId="6" fillId="6" borderId="2" xfId="0" applyNumberFormat="1" applyFont="1" applyFill="1" applyBorder="1" applyAlignment="1">
      <alignment horizontal="center" vertical="center"/>
    </xf>
    <xf numFmtId="170" fontId="6" fillId="6" borderId="14" xfId="0" applyNumberFormat="1" applyFont="1" applyFill="1" applyBorder="1" applyAlignment="1">
      <alignment horizontal="right" vertical="center"/>
    </xf>
    <xf numFmtId="172" fontId="20" fillId="6" borderId="9" xfId="0" applyNumberFormat="1" applyFont="1" applyFill="1" applyBorder="1" applyAlignment="1" applyProtection="1">
      <alignment horizontal="right" vertical="center"/>
      <protection locked="0"/>
    </xf>
    <xf numFmtId="3" fontId="10" fillId="6" borderId="15" xfId="0" applyNumberFormat="1" applyFont="1" applyFill="1" applyBorder="1" applyAlignment="1">
      <alignment vertical="center"/>
    </xf>
    <xf numFmtId="167" fontId="10" fillId="6" borderId="0" xfId="0" applyNumberFormat="1" applyFont="1" applyFill="1" applyBorder="1" applyAlignment="1">
      <alignment horizontal="center" vertical="center"/>
    </xf>
    <xf numFmtId="170" fontId="10" fillId="6" borderId="16" xfId="0" applyNumberFormat="1" applyFont="1" applyFill="1" applyBorder="1" applyAlignment="1">
      <alignment horizontal="right" vertical="center"/>
    </xf>
    <xf numFmtId="172" fontId="20" fillId="6" borderId="32" xfId="0" applyNumberFormat="1" applyFont="1" applyFill="1" applyBorder="1" applyAlignment="1" applyProtection="1">
      <alignment horizontal="right" vertical="center"/>
      <protection locked="0"/>
    </xf>
    <xf numFmtId="0" fontId="9" fillId="6" borderId="17" xfId="0" applyFont="1" applyFill="1" applyBorder="1"/>
    <xf numFmtId="0" fontId="9" fillId="6" borderId="18" xfId="0" applyFont="1" applyFill="1" applyBorder="1"/>
    <xf numFmtId="0" fontId="9" fillId="6" borderId="19" xfId="0" applyFont="1" applyFill="1" applyBorder="1"/>
    <xf numFmtId="2" fontId="9" fillId="6" borderId="24" xfId="0" applyNumberFormat="1" applyFont="1" applyFill="1" applyBorder="1"/>
    <xf numFmtId="2" fontId="9" fillId="6" borderId="10" xfId="0" applyNumberFormat="1" applyFont="1" applyFill="1" applyBorder="1"/>
    <xf numFmtId="2" fontId="9" fillId="6" borderId="6" xfId="0" applyNumberFormat="1" applyFont="1" applyFill="1" applyBorder="1"/>
    <xf numFmtId="2" fontId="9" fillId="6" borderId="29" xfId="0" applyNumberFormat="1" applyFont="1" applyFill="1" applyBorder="1"/>
    <xf numFmtId="2" fontId="9" fillId="6" borderId="0" xfId="0" applyNumberFormat="1" applyFont="1" applyFill="1"/>
    <xf numFmtId="0" fontId="8" fillId="6" borderId="6" xfId="0" applyNumberFormat="1" applyFont="1" applyFill="1" applyBorder="1" applyAlignment="1">
      <alignment horizontal="left"/>
    </xf>
    <xf numFmtId="0" fontId="5" fillId="6" borderId="6" xfId="0" applyFont="1" applyFill="1" applyBorder="1"/>
    <xf numFmtId="2" fontId="5" fillId="6" borderId="6" xfId="0" applyNumberFormat="1" applyFont="1" applyFill="1" applyBorder="1"/>
    <xf numFmtId="0" fontId="4" fillId="6" borderId="6" xfId="0" applyFont="1" applyFill="1" applyBorder="1" applyAlignment="1">
      <alignment horizontal="right"/>
    </xf>
    <xf numFmtId="0" fontId="4" fillId="6" borderId="6" xfId="0" applyFont="1" applyFill="1" applyBorder="1"/>
    <xf numFmtId="0" fontId="8" fillId="6" borderId="6" xfId="0" applyNumberFormat="1" applyFont="1" applyFill="1" applyBorder="1" applyAlignment="1">
      <alignment horizontal="right"/>
    </xf>
    <xf numFmtId="1" fontId="10" fillId="6" borderId="13" xfId="0" applyNumberFormat="1" applyFont="1" applyFill="1" applyBorder="1" applyAlignment="1">
      <alignment wrapText="1"/>
    </xf>
    <xf numFmtId="1" fontId="10" fillId="6" borderId="24" xfId="0" applyNumberFormat="1" applyFont="1" applyFill="1" applyBorder="1" applyAlignment="1">
      <alignment vertical="top" wrapText="1"/>
    </xf>
    <xf numFmtId="1" fontId="20" fillId="6" borderId="33" xfId="0" applyNumberFormat="1" applyFont="1" applyFill="1" applyBorder="1" applyAlignment="1">
      <alignment horizontal="center" vertical="center" wrapText="1"/>
    </xf>
    <xf numFmtId="173" fontId="20" fillId="6" borderId="32" xfId="0" applyNumberFormat="1" applyFont="1" applyFill="1" applyBorder="1" applyAlignment="1" applyProtection="1">
      <alignment horizontal="right" vertical="center"/>
      <protection locked="0"/>
    </xf>
    <xf numFmtId="173" fontId="20" fillId="6" borderId="9" xfId="0" applyNumberFormat="1" applyFont="1" applyFill="1" applyBorder="1" applyAlignment="1" applyProtection="1">
      <alignment horizontal="right" vertical="center"/>
      <protection locked="0"/>
    </xf>
    <xf numFmtId="171" fontId="20" fillId="6" borderId="32" xfId="0" applyNumberFormat="1" applyFont="1" applyFill="1" applyBorder="1" applyAlignment="1" applyProtection="1">
      <alignment horizontal="right" vertical="center"/>
      <protection locked="0"/>
    </xf>
    <xf numFmtId="171" fontId="20" fillId="6" borderId="9" xfId="0" applyNumberFormat="1" applyFont="1" applyFill="1" applyBorder="1" applyAlignment="1" applyProtection="1">
      <alignment horizontal="right" vertical="center"/>
      <protection locked="0"/>
    </xf>
    <xf numFmtId="165" fontId="10" fillId="6" borderId="28" xfId="0" applyNumberFormat="1" applyFont="1" applyFill="1" applyBorder="1" applyAlignment="1">
      <alignment horizontal="centerContinuous" wrapText="1"/>
    </xf>
    <xf numFmtId="165" fontId="3" fillId="6" borderId="12" xfId="0" applyNumberFormat="1" applyFont="1" applyFill="1" applyBorder="1" applyAlignment="1">
      <alignment horizontal="centerContinuous"/>
    </xf>
    <xf numFmtId="165" fontId="3" fillId="6" borderId="29" xfId="0" applyNumberFormat="1" applyFont="1" applyFill="1" applyBorder="1" applyAlignment="1">
      <alignment horizontal="centerContinuous" vertical="top"/>
    </xf>
    <xf numFmtId="165" fontId="3" fillId="6" borderId="11" xfId="0" applyNumberFormat="1" applyFont="1" applyFill="1" applyBorder="1" applyAlignment="1">
      <alignment horizontal="centerContinuous" vertical="top"/>
    </xf>
    <xf numFmtId="165" fontId="10" fillId="6" borderId="4" xfId="0" applyNumberFormat="1" applyFont="1" applyFill="1" applyBorder="1" applyAlignment="1">
      <alignment horizontal="centerContinuous" wrapText="1"/>
    </xf>
    <xf numFmtId="165" fontId="3" fillId="6" borderId="8" xfId="0" applyNumberFormat="1" applyFont="1" applyFill="1" applyBorder="1" applyAlignment="1">
      <alignment horizontal="centerContinuous"/>
    </xf>
    <xf numFmtId="165" fontId="10" fillId="6" borderId="8" xfId="0" applyNumberFormat="1" applyFont="1" applyFill="1" applyBorder="1" applyAlignment="1">
      <alignment horizontal="centerContinuous" wrapText="1"/>
    </xf>
    <xf numFmtId="165" fontId="3" fillId="6" borderId="30" xfId="0" applyNumberFormat="1" applyFont="1" applyFill="1" applyBorder="1" applyAlignment="1">
      <alignment horizontal="centerContinuous" vertical="top"/>
    </xf>
    <xf numFmtId="165" fontId="3" fillId="6" borderId="10" xfId="0" applyNumberFormat="1" applyFont="1" applyFill="1" applyBorder="1" applyAlignment="1">
      <alignment horizontal="centerContinuous" vertical="top"/>
    </xf>
    <xf numFmtId="171" fontId="10" fillId="6" borderId="0" xfId="0" applyNumberFormat="1" applyFont="1" applyFill="1" applyBorder="1" applyAlignment="1" applyProtection="1">
      <alignment vertical="center"/>
      <protection locked="0"/>
    </xf>
    <xf numFmtId="172" fontId="10" fillId="6" borderId="9" xfId="0" applyNumberFormat="1" applyFont="1" applyFill="1" applyBorder="1" applyAlignment="1" applyProtection="1">
      <alignment horizontal="right" vertical="center"/>
      <protection locked="0"/>
    </xf>
    <xf numFmtId="173" fontId="10" fillId="6" borderId="0" xfId="0" applyNumberFormat="1" applyFont="1" applyFill="1" applyBorder="1" applyAlignment="1" applyProtection="1">
      <alignment vertical="center"/>
      <protection locked="0"/>
    </xf>
    <xf numFmtId="2" fontId="9" fillId="6" borderId="11" xfId="0" applyNumberFormat="1" applyFont="1" applyFill="1" applyBorder="1"/>
    <xf numFmtId="0" fontId="5" fillId="6" borderId="0" xfId="0" applyFont="1" applyFill="1"/>
    <xf numFmtId="2" fontId="5" fillId="6" borderId="0" xfId="0" applyNumberFormat="1" applyFont="1" applyFill="1"/>
  </cellXfs>
  <cellStyles count="6">
    <cellStyle name="Hyperlink_0_Eingabe Vermögensstatistik 2003" xfId="2"/>
    <cellStyle name="Link" xfId="1" builtinId="8"/>
    <cellStyle name="Standard" xfId="0" builtinId="0"/>
    <cellStyle name="Standard 2" xfId="4"/>
    <cellStyle name="Standard 3" xfId="5"/>
    <cellStyle name="Standard_Inhaltsverzeichnis" xfId="3"/>
  </cellStyles>
  <dxfs count="5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</xdr:rowOff>
    </xdr:from>
    <xdr:to>
      <xdr:col>0</xdr:col>
      <xdr:colOff>2225040</xdr:colOff>
      <xdr:row>2</xdr:row>
      <xdr:rowOff>152400</xdr:rowOff>
    </xdr:to>
    <xdr:pic>
      <xdr:nvPicPr>
        <xdr:cNvPr id="2" name="Picture 3" descr="Confédération suisse" title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52708"/>
        <a:stretch>
          <a:fillRect/>
        </a:stretch>
      </xdr:blipFill>
      <xdr:spPr bwMode="auto">
        <a:xfrm>
          <a:off x="0" y="22860"/>
          <a:ext cx="2225040" cy="5105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1226820</xdr:colOff>
      <xdr:row>0</xdr:row>
      <xdr:rowOff>22860</xdr:rowOff>
    </xdr:from>
    <xdr:to>
      <xdr:col>2</xdr:col>
      <xdr:colOff>746760</xdr:colOff>
      <xdr:row>2</xdr:row>
      <xdr:rowOff>152400</xdr:rowOff>
    </xdr:to>
    <xdr:pic>
      <xdr:nvPicPr>
        <xdr:cNvPr id="3" name="Picture 4" descr="Département fédéral des finances &#10;Administration fédérale des contributions" title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50000"/>
        <a:stretch>
          <a:fillRect/>
        </a:stretch>
      </xdr:blipFill>
      <xdr:spPr bwMode="auto">
        <a:xfrm>
          <a:off x="3703320" y="22860"/>
          <a:ext cx="2354580" cy="5105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2</xdr:col>
      <xdr:colOff>762000</xdr:colOff>
      <xdr:row>40</xdr:row>
      <xdr:rowOff>140184</xdr:rowOff>
    </xdr:to>
    <xdr:pic>
      <xdr:nvPicPr>
        <xdr:cNvPr id="4" name="Picture 1" descr="L'image montre la partie supérieure du numéro 2" title="Numéros bleus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5151120"/>
          <a:ext cx="6073140" cy="4011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roger.ammann@estv.admin.ch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44"/>
  <sheetViews>
    <sheetView showGridLines="0" tabSelected="1" workbookViewId="0"/>
  </sheetViews>
  <sheetFormatPr baseColWidth="10" defaultColWidth="11.44140625" defaultRowHeight="15" customHeight="1" x14ac:dyDescent="0.25"/>
  <cols>
    <col min="1" max="1" width="36.109375" style="29" customWidth="1"/>
    <col min="2" max="2" width="41.33203125" style="29" customWidth="1"/>
    <col min="3" max="16384" width="11.44140625" style="29"/>
  </cols>
  <sheetData>
    <row r="1" spans="1:3" ht="15" customHeight="1" x14ac:dyDescent="0.25">
      <c r="A1" s="142"/>
      <c r="B1" s="143"/>
      <c r="C1" s="143"/>
    </row>
    <row r="5" spans="1:3" ht="15" customHeight="1" x14ac:dyDescent="0.25">
      <c r="B5" s="132"/>
      <c r="C5" s="132"/>
    </row>
    <row r="6" spans="1:3" ht="15" customHeight="1" x14ac:dyDescent="0.25">
      <c r="B6" s="132"/>
      <c r="C6" s="132"/>
    </row>
    <row r="7" spans="1:3" ht="15" customHeight="1" x14ac:dyDescent="0.25">
      <c r="B7" s="132"/>
      <c r="C7" s="132"/>
    </row>
    <row r="8" spans="1:3" ht="15" customHeight="1" x14ac:dyDescent="0.25">
      <c r="B8" s="132"/>
      <c r="C8" s="132"/>
    </row>
    <row r="11" spans="1:3" s="119" customFormat="1" ht="24.6" x14ac:dyDescent="0.4">
      <c r="A11" s="144" t="s">
        <v>217</v>
      </c>
      <c r="B11" s="145"/>
      <c r="C11" s="145"/>
    </row>
    <row r="12" spans="1:3" s="119" customFormat="1" ht="24.6" x14ac:dyDescent="0.4">
      <c r="A12" s="144" t="s">
        <v>218</v>
      </c>
      <c r="B12" s="145"/>
      <c r="C12" s="145"/>
    </row>
    <row r="13" spans="1:3" s="119" customFormat="1" ht="24.6" x14ac:dyDescent="0.4">
      <c r="A13" s="144" t="s">
        <v>219</v>
      </c>
      <c r="B13" s="145"/>
      <c r="C13" s="145"/>
    </row>
    <row r="17" spans="1:1" ht="90" x14ac:dyDescent="1.45">
      <c r="A17" s="146">
        <v>2015</v>
      </c>
    </row>
    <row r="21" spans="1:1" ht="20.100000000000001" customHeight="1" x14ac:dyDescent="0.25"/>
    <row r="35" spans="1:3" ht="15" customHeight="1" x14ac:dyDescent="0.25">
      <c r="A35" s="29" t="s">
        <v>114</v>
      </c>
    </row>
    <row r="38" spans="1:3" ht="15" customHeight="1" x14ac:dyDescent="0.25">
      <c r="B38" s="132"/>
      <c r="C38" s="132"/>
    </row>
    <row r="39" spans="1:3" ht="15" customHeight="1" x14ac:dyDescent="0.25">
      <c r="B39" s="132"/>
      <c r="C39" s="132"/>
    </row>
    <row r="40" spans="1:3" ht="15" customHeight="1" x14ac:dyDescent="0.25">
      <c r="B40" s="132"/>
      <c r="C40" s="132"/>
    </row>
    <row r="41" spans="1:3" ht="15" customHeight="1" x14ac:dyDescent="0.25">
      <c r="B41" s="132"/>
      <c r="C41" s="132"/>
    </row>
    <row r="42" spans="1:3" ht="15" customHeight="1" x14ac:dyDescent="0.25">
      <c r="B42" s="132"/>
      <c r="C42" s="132"/>
    </row>
    <row r="44" spans="1:3" ht="15" customHeight="1" x14ac:dyDescent="0.25">
      <c r="A44" s="147" t="s">
        <v>240</v>
      </c>
      <c r="B44" s="147"/>
      <c r="C44" s="148" t="s">
        <v>253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F44"/>
  <sheetViews>
    <sheetView showGridLines="0" workbookViewId="0"/>
  </sheetViews>
  <sheetFormatPr baseColWidth="10" defaultColWidth="11.44140625" defaultRowHeight="15" x14ac:dyDescent="0.25"/>
  <cols>
    <col min="1" max="1" width="7.6640625" style="140" customWidth="1"/>
    <col min="2" max="2" width="31.6640625" style="141" customWidth="1"/>
    <col min="3" max="3" width="4.6640625" style="141" customWidth="1"/>
    <col min="4" max="4" width="8.44140625" style="140" customWidth="1"/>
    <col min="5" max="5" width="31.6640625" style="141" customWidth="1"/>
    <col min="6" max="6" width="4.6640625" style="141" customWidth="1"/>
    <col min="7" max="16384" width="11.44140625" style="141"/>
  </cols>
  <sheetData>
    <row r="1" spans="1:6" s="1" customFormat="1" ht="15" customHeight="1" x14ac:dyDescent="0.15">
      <c r="A1" s="113" t="s">
        <v>243</v>
      </c>
      <c r="B1" s="120"/>
      <c r="C1" s="71"/>
      <c r="D1" s="71"/>
      <c r="E1" s="71"/>
      <c r="F1" s="71"/>
    </row>
    <row r="2" spans="1:6" s="122" customFormat="1" ht="23.1" customHeight="1" x14ac:dyDescent="0.3">
      <c r="A2" s="121" t="s">
        <v>113</v>
      </c>
      <c r="F2" s="123"/>
    </row>
    <row r="3" spans="1:6" s="122" customFormat="1" ht="9.9" customHeight="1" x14ac:dyDescent="0.3">
      <c r="A3" s="124"/>
      <c r="B3" s="123"/>
      <c r="F3" s="123"/>
    </row>
    <row r="4" spans="1:6" s="128" customFormat="1" ht="18" customHeight="1" x14ac:dyDescent="0.25">
      <c r="A4" s="125">
        <v>1</v>
      </c>
      <c r="B4" s="126" t="s">
        <v>149</v>
      </c>
      <c r="C4" s="126"/>
      <c r="D4" s="126"/>
      <c r="E4" s="126"/>
      <c r="F4" s="127">
        <v>2</v>
      </c>
    </row>
    <row r="5" spans="1:6" s="128" customFormat="1" ht="18" customHeight="1" x14ac:dyDescent="0.25">
      <c r="A5" s="125">
        <v>2</v>
      </c>
      <c r="B5" s="126" t="s">
        <v>150</v>
      </c>
      <c r="C5" s="126"/>
      <c r="D5" s="126"/>
      <c r="E5" s="126"/>
      <c r="F5" s="127">
        <v>2</v>
      </c>
    </row>
    <row r="6" spans="1:6" s="128" customFormat="1" ht="18" customHeight="1" x14ac:dyDescent="0.25">
      <c r="A6" s="125">
        <v>3</v>
      </c>
      <c r="B6" s="126" t="s">
        <v>151</v>
      </c>
      <c r="C6" s="126"/>
      <c r="D6" s="126"/>
      <c r="E6" s="126"/>
      <c r="F6" s="127">
        <v>2</v>
      </c>
    </row>
    <row r="7" spans="1:6" s="128" customFormat="1" ht="18" customHeight="1" x14ac:dyDescent="0.25">
      <c r="A7" s="125">
        <v>4</v>
      </c>
      <c r="B7" s="126" t="s">
        <v>152</v>
      </c>
      <c r="C7" s="126"/>
      <c r="D7" s="126"/>
      <c r="E7" s="126"/>
      <c r="F7" s="127">
        <v>3</v>
      </c>
    </row>
    <row r="8" spans="1:6" s="128" customFormat="1" ht="18" customHeight="1" x14ac:dyDescent="0.25">
      <c r="A8" s="125"/>
      <c r="B8" s="129"/>
      <c r="C8" s="129"/>
      <c r="D8" s="129"/>
      <c r="E8" s="129"/>
      <c r="F8" s="130"/>
    </row>
    <row r="9" spans="1:6" s="128" customFormat="1" ht="18" customHeight="1" x14ac:dyDescent="0.25">
      <c r="A9" s="125"/>
      <c r="B9" s="129"/>
      <c r="C9" s="129"/>
      <c r="D9" s="129"/>
      <c r="E9" s="129"/>
      <c r="F9" s="130"/>
    </row>
    <row r="10" spans="1:6" s="133" customFormat="1" ht="23.1" customHeight="1" x14ac:dyDescent="0.25">
      <c r="A10" s="131" t="s">
        <v>112</v>
      </c>
      <c r="B10" s="128"/>
      <c r="C10" s="128"/>
      <c r="D10" s="128"/>
      <c r="E10" s="128"/>
      <c r="F10" s="132"/>
    </row>
    <row r="11" spans="1:6" s="133" customFormat="1" ht="9.9" customHeight="1" x14ac:dyDescent="0.25">
      <c r="A11" s="134"/>
      <c r="B11" s="29"/>
      <c r="C11" s="29"/>
      <c r="D11" s="29"/>
      <c r="E11" s="29"/>
      <c r="F11" s="29"/>
    </row>
    <row r="12" spans="1:6" s="133" customFormat="1" ht="18" customHeight="1" x14ac:dyDescent="0.25">
      <c r="A12" s="135" t="s">
        <v>142</v>
      </c>
      <c r="B12" s="126" t="s">
        <v>145</v>
      </c>
      <c r="C12" s="126"/>
      <c r="D12" s="126"/>
      <c r="E12" s="126"/>
      <c r="F12" s="162" t="s">
        <v>251</v>
      </c>
    </row>
    <row r="13" spans="1:6" s="133" customFormat="1" ht="18" customHeight="1" x14ac:dyDescent="0.25">
      <c r="A13" s="135"/>
      <c r="B13" s="129"/>
      <c r="C13" s="129"/>
      <c r="D13" s="129"/>
      <c r="E13" s="129"/>
      <c r="F13" s="130"/>
    </row>
    <row r="14" spans="1:6" s="133" customFormat="1" ht="23.1" customHeight="1" x14ac:dyDescent="0.25">
      <c r="A14" s="136" t="s">
        <v>143</v>
      </c>
      <c r="B14" s="128"/>
      <c r="C14" s="128"/>
      <c r="D14" s="128"/>
      <c r="E14" s="128"/>
      <c r="F14" s="132"/>
    </row>
    <row r="15" spans="1:6" s="133" customFormat="1" ht="9.9" customHeight="1" x14ac:dyDescent="0.25">
      <c r="A15" s="134"/>
      <c r="B15" s="29"/>
      <c r="C15" s="29"/>
      <c r="D15" s="29"/>
      <c r="E15" s="29"/>
      <c r="F15" s="29"/>
    </row>
    <row r="16" spans="1:6" s="133" customFormat="1" ht="18" customHeight="1" x14ac:dyDescent="0.25">
      <c r="A16" s="137">
        <v>2</v>
      </c>
      <c r="B16" s="126" t="s">
        <v>144</v>
      </c>
      <c r="C16" s="126"/>
      <c r="D16" s="126"/>
      <c r="E16" s="126"/>
      <c r="F16" s="162" t="s">
        <v>252</v>
      </c>
    </row>
    <row r="17" spans="1:6" s="133" customFormat="1" ht="18" customHeight="1" x14ac:dyDescent="0.25">
      <c r="A17" s="137">
        <v>2.0099999999999998</v>
      </c>
      <c r="B17" s="126" t="s">
        <v>8</v>
      </c>
      <c r="C17" s="126"/>
      <c r="D17" s="126"/>
      <c r="E17" s="126"/>
      <c r="F17" s="127">
        <v>15</v>
      </c>
    </row>
    <row r="18" spans="1:6" s="133" customFormat="1" ht="18" customHeight="1" x14ac:dyDescent="0.25">
      <c r="A18" s="137">
        <v>2.02</v>
      </c>
      <c r="B18" s="126" t="s">
        <v>9</v>
      </c>
      <c r="C18" s="126"/>
      <c r="D18" s="126"/>
      <c r="E18" s="126"/>
      <c r="F18" s="127">
        <v>16</v>
      </c>
    </row>
    <row r="19" spans="1:6" s="133" customFormat="1" ht="18" customHeight="1" x14ac:dyDescent="0.25">
      <c r="A19" s="137">
        <v>2.0299999999999998</v>
      </c>
      <c r="B19" s="126" t="s">
        <v>10</v>
      </c>
      <c r="C19" s="126"/>
      <c r="D19" s="126"/>
      <c r="E19" s="126"/>
      <c r="F19" s="127">
        <v>17</v>
      </c>
    </row>
    <row r="20" spans="1:6" s="133" customFormat="1" ht="18" customHeight="1" x14ac:dyDescent="0.25">
      <c r="A20" s="137">
        <v>2.04</v>
      </c>
      <c r="B20" s="126" t="s">
        <v>11</v>
      </c>
      <c r="C20" s="126"/>
      <c r="D20" s="126"/>
      <c r="E20" s="126"/>
      <c r="F20" s="127">
        <v>18</v>
      </c>
    </row>
    <row r="21" spans="1:6" s="133" customFormat="1" ht="18" customHeight="1" x14ac:dyDescent="0.25">
      <c r="A21" s="137">
        <v>2.0499999999999998</v>
      </c>
      <c r="B21" s="126" t="s">
        <v>109</v>
      </c>
      <c r="C21" s="126"/>
      <c r="D21" s="126"/>
      <c r="E21" s="126"/>
      <c r="F21" s="127">
        <v>19</v>
      </c>
    </row>
    <row r="22" spans="1:6" s="133" customFormat="1" ht="18" customHeight="1" x14ac:dyDescent="0.25">
      <c r="A22" s="137">
        <v>2.06</v>
      </c>
      <c r="B22" s="126" t="s">
        <v>12</v>
      </c>
      <c r="C22" s="126"/>
      <c r="D22" s="126"/>
      <c r="E22" s="126"/>
      <c r="F22" s="127">
        <v>20</v>
      </c>
    </row>
    <row r="23" spans="1:6" s="133" customFormat="1" ht="18" customHeight="1" x14ac:dyDescent="0.25">
      <c r="A23" s="137">
        <v>2.0699999999999998</v>
      </c>
      <c r="B23" s="126" t="s">
        <v>13</v>
      </c>
      <c r="C23" s="126"/>
      <c r="D23" s="126"/>
      <c r="E23" s="126"/>
      <c r="F23" s="127">
        <v>21</v>
      </c>
    </row>
    <row r="24" spans="1:6" s="133" customFormat="1" ht="18" customHeight="1" x14ac:dyDescent="0.25">
      <c r="A24" s="137">
        <v>2.08</v>
      </c>
      <c r="B24" s="126" t="s">
        <v>14</v>
      </c>
      <c r="C24" s="126"/>
      <c r="D24" s="126"/>
      <c r="E24" s="126"/>
      <c r="F24" s="127">
        <v>22</v>
      </c>
    </row>
    <row r="25" spans="1:6" s="133" customFormat="1" ht="18" customHeight="1" x14ac:dyDescent="0.25">
      <c r="A25" s="137">
        <v>2.09</v>
      </c>
      <c r="B25" s="126" t="s">
        <v>15</v>
      </c>
      <c r="C25" s="126"/>
      <c r="D25" s="126"/>
      <c r="E25" s="126"/>
      <c r="F25" s="127">
        <v>23</v>
      </c>
    </row>
    <row r="26" spans="1:6" s="133" customFormat="1" ht="18" customHeight="1" x14ac:dyDescent="0.25">
      <c r="A26" s="137">
        <v>2.1</v>
      </c>
      <c r="B26" s="126" t="s">
        <v>16</v>
      </c>
      <c r="C26" s="126"/>
      <c r="D26" s="126"/>
      <c r="E26" s="126"/>
      <c r="F26" s="127">
        <v>24</v>
      </c>
    </row>
    <row r="27" spans="1:6" s="133" customFormat="1" ht="18" customHeight="1" x14ac:dyDescent="0.25">
      <c r="A27" s="137">
        <v>2.11</v>
      </c>
      <c r="B27" s="126" t="s">
        <v>17</v>
      </c>
      <c r="C27" s="126"/>
      <c r="D27" s="126"/>
      <c r="E27" s="126"/>
      <c r="F27" s="127">
        <v>25</v>
      </c>
    </row>
    <row r="28" spans="1:6" s="133" customFormat="1" ht="18" customHeight="1" x14ac:dyDescent="0.25">
      <c r="A28" s="137">
        <v>2.12</v>
      </c>
      <c r="B28" s="126" t="s">
        <v>18</v>
      </c>
      <c r="C28" s="126"/>
      <c r="D28" s="126"/>
      <c r="E28" s="126"/>
      <c r="F28" s="127">
        <v>26</v>
      </c>
    </row>
    <row r="29" spans="1:6" s="133" customFormat="1" ht="18" customHeight="1" x14ac:dyDescent="0.25">
      <c r="A29" s="137">
        <v>2.13</v>
      </c>
      <c r="B29" s="126" t="s">
        <v>19</v>
      </c>
      <c r="C29" s="126"/>
      <c r="D29" s="126"/>
      <c r="E29" s="126"/>
      <c r="F29" s="127">
        <v>27</v>
      </c>
    </row>
    <row r="30" spans="1:6" s="133" customFormat="1" ht="18" customHeight="1" x14ac:dyDescent="0.25">
      <c r="A30" s="137">
        <v>2.14</v>
      </c>
      <c r="B30" s="126" t="s">
        <v>20</v>
      </c>
      <c r="C30" s="126"/>
      <c r="D30" s="126"/>
      <c r="E30" s="126"/>
      <c r="F30" s="127">
        <v>28</v>
      </c>
    </row>
    <row r="31" spans="1:6" s="133" customFormat="1" ht="18" customHeight="1" x14ac:dyDescent="0.25">
      <c r="A31" s="137">
        <v>2.15</v>
      </c>
      <c r="B31" s="126" t="s">
        <v>110</v>
      </c>
      <c r="C31" s="126"/>
      <c r="D31" s="126"/>
      <c r="E31" s="126"/>
      <c r="F31" s="127">
        <v>29</v>
      </c>
    </row>
    <row r="32" spans="1:6" s="133" customFormat="1" ht="18" customHeight="1" x14ac:dyDescent="0.25">
      <c r="A32" s="137">
        <v>2.16</v>
      </c>
      <c r="B32" s="126" t="s">
        <v>111</v>
      </c>
      <c r="C32" s="126"/>
      <c r="D32" s="126"/>
      <c r="E32" s="126"/>
      <c r="F32" s="127">
        <v>30</v>
      </c>
    </row>
    <row r="33" spans="1:6" s="133" customFormat="1" ht="18" customHeight="1" x14ac:dyDescent="0.25">
      <c r="A33" s="137">
        <v>2.17</v>
      </c>
      <c r="B33" s="126" t="s">
        <v>21</v>
      </c>
      <c r="C33" s="126"/>
      <c r="D33" s="126"/>
      <c r="E33" s="126"/>
      <c r="F33" s="127">
        <v>31</v>
      </c>
    </row>
    <row r="34" spans="1:6" s="133" customFormat="1" ht="18" customHeight="1" x14ac:dyDescent="0.25">
      <c r="A34" s="137">
        <v>2.1800000000000002</v>
      </c>
      <c r="B34" s="126" t="s">
        <v>22</v>
      </c>
      <c r="C34" s="126"/>
      <c r="D34" s="126"/>
      <c r="E34" s="126"/>
      <c r="F34" s="127">
        <v>32</v>
      </c>
    </row>
    <row r="35" spans="1:6" s="133" customFormat="1" ht="18" customHeight="1" x14ac:dyDescent="0.25">
      <c r="A35" s="137">
        <v>2.19</v>
      </c>
      <c r="B35" s="126" t="s">
        <v>23</v>
      </c>
      <c r="C35" s="126"/>
      <c r="D35" s="126"/>
      <c r="E35" s="126"/>
      <c r="F35" s="127">
        <v>33</v>
      </c>
    </row>
    <row r="36" spans="1:6" s="133" customFormat="1" ht="18" customHeight="1" x14ac:dyDescent="0.25">
      <c r="A36" s="137">
        <v>2.2000000000000002</v>
      </c>
      <c r="B36" s="126" t="s">
        <v>24</v>
      </c>
      <c r="C36" s="126"/>
      <c r="D36" s="126"/>
      <c r="E36" s="126"/>
      <c r="F36" s="127">
        <v>34</v>
      </c>
    </row>
    <row r="37" spans="1:6" s="133" customFormat="1" ht="18" customHeight="1" x14ac:dyDescent="0.25">
      <c r="A37" s="137">
        <v>2.21</v>
      </c>
      <c r="B37" s="126" t="s">
        <v>25</v>
      </c>
      <c r="C37" s="126"/>
      <c r="D37" s="126"/>
      <c r="E37" s="126"/>
      <c r="F37" s="127">
        <v>35</v>
      </c>
    </row>
    <row r="38" spans="1:6" s="133" customFormat="1" ht="18" customHeight="1" x14ac:dyDescent="0.25">
      <c r="A38" s="137">
        <v>2.2200000000000002</v>
      </c>
      <c r="B38" s="126" t="s">
        <v>26</v>
      </c>
      <c r="C38" s="126"/>
      <c r="D38" s="126"/>
      <c r="E38" s="126"/>
      <c r="F38" s="127">
        <v>36</v>
      </c>
    </row>
    <row r="39" spans="1:6" s="133" customFormat="1" ht="18" customHeight="1" x14ac:dyDescent="0.25">
      <c r="A39" s="137">
        <v>2.23</v>
      </c>
      <c r="B39" s="126" t="s">
        <v>27</v>
      </c>
      <c r="C39" s="126"/>
      <c r="D39" s="126"/>
      <c r="E39" s="126"/>
      <c r="F39" s="127">
        <v>37</v>
      </c>
    </row>
    <row r="40" spans="1:6" s="133" customFormat="1" ht="18" customHeight="1" x14ac:dyDescent="0.25">
      <c r="A40" s="137">
        <v>2.2400000000000002</v>
      </c>
      <c r="B40" s="126" t="s">
        <v>28</v>
      </c>
      <c r="C40" s="126"/>
      <c r="D40" s="126"/>
      <c r="E40" s="126"/>
      <c r="F40" s="127">
        <v>38</v>
      </c>
    </row>
    <row r="41" spans="1:6" s="133" customFormat="1" ht="18" customHeight="1" x14ac:dyDescent="0.25">
      <c r="A41" s="137">
        <v>2.25</v>
      </c>
      <c r="B41" s="126" t="s">
        <v>29</v>
      </c>
      <c r="C41" s="126"/>
      <c r="D41" s="126"/>
      <c r="E41" s="126"/>
      <c r="F41" s="127">
        <v>39</v>
      </c>
    </row>
    <row r="42" spans="1:6" s="133" customFormat="1" ht="18" customHeight="1" x14ac:dyDescent="0.25">
      <c r="A42" s="137">
        <v>2.2599999999999998</v>
      </c>
      <c r="B42" s="126" t="s">
        <v>30</v>
      </c>
      <c r="C42" s="126"/>
      <c r="D42" s="126"/>
      <c r="E42" s="126"/>
      <c r="F42" s="127">
        <v>40</v>
      </c>
    </row>
    <row r="43" spans="1:6" s="128" customFormat="1" ht="18" customHeight="1" x14ac:dyDescent="0.25">
      <c r="A43" s="125"/>
      <c r="B43" s="129"/>
      <c r="C43" s="129"/>
      <c r="D43" s="129"/>
      <c r="E43" s="129"/>
      <c r="F43" s="130"/>
    </row>
    <row r="44" spans="1:6" s="1" customFormat="1" ht="15" customHeight="1" x14ac:dyDescent="0.2">
      <c r="A44" s="41" t="s">
        <v>72</v>
      </c>
      <c r="B44" s="138"/>
      <c r="C44" s="139"/>
      <c r="D44" s="32"/>
      <c r="E44" s="32"/>
      <c r="F44" s="114">
        <v>1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110"/>
  <sheetViews>
    <sheetView showGridLines="0" workbookViewId="0"/>
  </sheetViews>
  <sheetFormatPr baseColWidth="10" defaultColWidth="11.44140625" defaultRowHeight="15" x14ac:dyDescent="0.25"/>
  <cols>
    <col min="1" max="1" width="4.88671875" style="14" customWidth="1"/>
    <col min="2" max="2" width="25.6640625" style="1" customWidth="1"/>
    <col min="3" max="3" width="51.6640625" style="1" customWidth="1"/>
    <col min="4" max="4" width="5.44140625" style="1" customWidth="1"/>
    <col min="5" max="16384" width="11.44140625" style="13"/>
  </cols>
  <sheetData>
    <row r="1" spans="1:4" s="1" customFormat="1" ht="15.9" customHeight="1" x14ac:dyDescent="0.15">
      <c r="A1" s="113" t="s">
        <v>244</v>
      </c>
      <c r="B1" s="71"/>
      <c r="C1" s="71"/>
      <c r="D1" s="120"/>
    </row>
    <row r="2" spans="1:4" ht="8.1" customHeight="1" x14ac:dyDescent="0.25">
      <c r="A2" s="149"/>
      <c r="B2" s="150"/>
      <c r="C2" s="150"/>
      <c r="D2" s="151"/>
    </row>
    <row r="3" spans="1:4" ht="15.9" customHeight="1" x14ac:dyDescent="0.25">
      <c r="A3" s="152">
        <v>1</v>
      </c>
      <c r="B3" s="153" t="s">
        <v>149</v>
      </c>
      <c r="C3" s="153"/>
      <c r="D3" s="151"/>
    </row>
    <row r="4" spans="1:4" ht="8.1" customHeight="1" x14ac:dyDescent="0.25">
      <c r="A4" s="149"/>
      <c r="B4" s="154"/>
      <c r="C4" s="154"/>
      <c r="D4" s="151"/>
    </row>
    <row r="5" spans="1:4" ht="15.9" customHeight="1" x14ac:dyDescent="0.25">
      <c r="A5" s="149"/>
      <c r="B5" s="151" t="s">
        <v>153</v>
      </c>
      <c r="C5" s="151"/>
      <c r="D5" s="151"/>
    </row>
    <row r="6" spans="1:4" ht="15.9" customHeight="1" x14ac:dyDescent="0.25">
      <c r="A6" s="149"/>
      <c r="B6" s="151" t="s">
        <v>245</v>
      </c>
      <c r="C6" s="151"/>
      <c r="D6" s="151"/>
    </row>
    <row r="7" spans="1:4" ht="15.9" customHeight="1" x14ac:dyDescent="0.25">
      <c r="A7" s="149"/>
      <c r="B7" s="151" t="s">
        <v>246</v>
      </c>
      <c r="C7" s="151"/>
      <c r="D7" s="151"/>
    </row>
    <row r="8" spans="1:4" ht="15.9" customHeight="1" x14ac:dyDescent="0.25">
      <c r="A8" s="149"/>
      <c r="B8" s="151" t="s">
        <v>247</v>
      </c>
      <c r="C8" s="151"/>
      <c r="D8" s="151"/>
    </row>
    <row r="9" spans="1:4" ht="15.9" customHeight="1" x14ac:dyDescent="0.25">
      <c r="A9" s="149"/>
      <c r="B9" s="151" t="s">
        <v>154</v>
      </c>
      <c r="C9" s="151"/>
      <c r="D9" s="151"/>
    </row>
    <row r="10" spans="1:4" ht="15.9" customHeight="1" x14ac:dyDescent="0.25">
      <c r="A10" s="149"/>
      <c r="B10" s="151" t="s">
        <v>155</v>
      </c>
      <c r="C10" s="151"/>
      <c r="D10" s="151"/>
    </row>
    <row r="11" spans="1:4" ht="15.9" customHeight="1" x14ac:dyDescent="0.25">
      <c r="A11" s="149"/>
      <c r="B11" s="151" t="s">
        <v>156</v>
      </c>
      <c r="C11" s="151"/>
      <c r="D11" s="151"/>
    </row>
    <row r="12" spans="1:4" ht="15.9" customHeight="1" x14ac:dyDescent="0.25">
      <c r="A12" s="149"/>
      <c r="B12" s="151" t="s">
        <v>157</v>
      </c>
      <c r="C12" s="151"/>
      <c r="D12" s="151"/>
    </row>
    <row r="13" spans="1:4" ht="15.9" customHeight="1" x14ac:dyDescent="0.25">
      <c r="A13" s="149"/>
      <c r="B13" s="150"/>
      <c r="C13" s="150"/>
      <c r="D13" s="151"/>
    </row>
    <row r="14" spans="1:4" ht="15.9" customHeight="1" x14ac:dyDescent="0.25">
      <c r="A14" s="152">
        <v>2</v>
      </c>
      <c r="B14" s="153" t="s">
        <v>150</v>
      </c>
      <c r="C14" s="153"/>
      <c r="D14" s="151"/>
    </row>
    <row r="15" spans="1:4" ht="8.1" customHeight="1" x14ac:dyDescent="0.25">
      <c r="A15" s="149"/>
      <c r="B15" s="150"/>
      <c r="C15" s="150"/>
      <c r="D15" s="151"/>
    </row>
    <row r="16" spans="1:4" ht="15.9" customHeight="1" x14ac:dyDescent="0.25">
      <c r="A16" s="149"/>
      <c r="B16" s="151" t="s">
        <v>210</v>
      </c>
      <c r="C16" s="151"/>
      <c r="D16" s="151"/>
    </row>
    <row r="17" spans="1:4" ht="15.9" customHeight="1" x14ac:dyDescent="0.25">
      <c r="A17" s="149"/>
      <c r="B17" s="151" t="s">
        <v>248</v>
      </c>
      <c r="C17" s="151"/>
      <c r="D17" s="151"/>
    </row>
    <row r="18" spans="1:4" ht="15.9" customHeight="1" x14ac:dyDescent="0.25">
      <c r="A18" s="149"/>
      <c r="B18" s="151" t="s">
        <v>158</v>
      </c>
      <c r="C18" s="151"/>
      <c r="D18" s="151"/>
    </row>
    <row r="19" spans="1:4" ht="15.9" customHeight="1" x14ac:dyDescent="0.25">
      <c r="A19" s="149"/>
      <c r="B19" s="151" t="s">
        <v>159</v>
      </c>
      <c r="C19" s="151"/>
      <c r="D19" s="151"/>
    </row>
    <row r="20" spans="1:4" ht="8.1" customHeight="1" x14ac:dyDescent="0.25">
      <c r="A20" s="149"/>
      <c r="B20" s="151"/>
      <c r="C20" s="151"/>
      <c r="D20" s="151"/>
    </row>
    <row r="21" spans="1:4" ht="15.9" customHeight="1" x14ac:dyDescent="0.25">
      <c r="A21" s="149"/>
      <c r="B21" s="151" t="s">
        <v>160</v>
      </c>
      <c r="C21" s="151"/>
      <c r="D21" s="151"/>
    </row>
    <row r="22" spans="1:4" ht="15.9" customHeight="1" x14ac:dyDescent="0.25">
      <c r="A22" s="149"/>
      <c r="B22" s="151" t="s">
        <v>161</v>
      </c>
      <c r="C22" s="151"/>
      <c r="D22" s="151"/>
    </row>
    <row r="23" spans="1:4" ht="15.9" customHeight="1" x14ac:dyDescent="0.25">
      <c r="A23" s="149"/>
      <c r="B23" s="151" t="s">
        <v>162</v>
      </c>
      <c r="C23" s="151"/>
      <c r="D23" s="151"/>
    </row>
    <row r="24" spans="1:4" ht="8.1" customHeight="1" x14ac:dyDescent="0.25">
      <c r="A24" s="149"/>
      <c r="B24" s="151"/>
      <c r="C24" s="151"/>
      <c r="D24" s="151"/>
    </row>
    <row r="25" spans="1:4" ht="15.9" customHeight="1" x14ac:dyDescent="0.25">
      <c r="A25" s="149"/>
      <c r="B25" s="151" t="s">
        <v>211</v>
      </c>
      <c r="C25" s="151"/>
      <c r="D25" s="151"/>
    </row>
    <row r="26" spans="1:4" ht="15.9" customHeight="1" x14ac:dyDescent="0.25">
      <c r="A26" s="149"/>
      <c r="B26" s="151" t="s">
        <v>163</v>
      </c>
      <c r="C26" s="151"/>
      <c r="D26" s="151"/>
    </row>
    <row r="27" spans="1:4" ht="15.9" customHeight="1" x14ac:dyDescent="0.25">
      <c r="A27" s="149"/>
      <c r="B27" s="151" t="s">
        <v>164</v>
      </c>
      <c r="C27" s="151"/>
      <c r="D27" s="151"/>
    </row>
    <row r="28" spans="1:4" ht="15.9" customHeight="1" x14ac:dyDescent="0.25">
      <c r="A28" s="149"/>
      <c r="B28" s="151" t="s">
        <v>165</v>
      </c>
      <c r="C28" s="151"/>
      <c r="D28" s="151"/>
    </row>
    <row r="29" spans="1:4" ht="8.1" customHeight="1" x14ac:dyDescent="0.25">
      <c r="A29" s="149"/>
      <c r="B29" s="13"/>
      <c r="C29" s="13"/>
      <c r="D29" s="151"/>
    </row>
    <row r="30" spans="1:4" ht="15.9" customHeight="1" x14ac:dyDescent="0.25">
      <c r="A30" s="149"/>
      <c r="B30" s="151" t="s">
        <v>212</v>
      </c>
      <c r="C30" s="151"/>
      <c r="D30" s="151"/>
    </row>
    <row r="31" spans="1:4" ht="15.9" customHeight="1" x14ac:dyDescent="0.25">
      <c r="A31" s="149"/>
      <c r="B31" s="151" t="s">
        <v>166</v>
      </c>
      <c r="C31" s="151"/>
      <c r="D31" s="151"/>
    </row>
    <row r="32" spans="1:4" ht="15.9" customHeight="1" x14ac:dyDescent="0.25">
      <c r="A32" s="149"/>
      <c r="B32" s="151" t="s">
        <v>167</v>
      </c>
      <c r="C32" s="151"/>
      <c r="D32" s="151"/>
    </row>
    <row r="33" spans="1:4" ht="15.9" customHeight="1" x14ac:dyDescent="0.25">
      <c r="A33" s="149"/>
      <c r="B33" s="151" t="s">
        <v>168</v>
      </c>
      <c r="C33" s="151"/>
      <c r="D33" s="151"/>
    </row>
    <row r="34" spans="1:4" ht="15.9" customHeight="1" x14ac:dyDescent="0.25">
      <c r="A34" s="149"/>
      <c r="B34" s="151" t="s">
        <v>169</v>
      </c>
      <c r="C34" s="151"/>
      <c r="D34" s="151"/>
    </row>
    <row r="35" spans="1:4" ht="8.1" customHeight="1" x14ac:dyDescent="0.25">
      <c r="A35" s="149"/>
      <c r="B35" s="13"/>
      <c r="C35" s="13"/>
      <c r="D35" s="151"/>
    </row>
    <row r="36" spans="1:4" ht="15.9" customHeight="1" x14ac:dyDescent="0.25">
      <c r="A36" s="152">
        <v>3</v>
      </c>
      <c r="B36" s="153" t="s">
        <v>151</v>
      </c>
      <c r="C36" s="153"/>
      <c r="D36" s="151"/>
    </row>
    <row r="37" spans="1:4" ht="8.1" customHeight="1" x14ac:dyDescent="0.25">
      <c r="A37" s="149"/>
      <c r="B37" s="151"/>
      <c r="C37" s="151"/>
      <c r="D37" s="151"/>
    </row>
    <row r="38" spans="1:4" ht="15.9" customHeight="1" x14ac:dyDescent="0.25">
      <c r="A38" s="149"/>
      <c r="B38" s="151" t="s">
        <v>170</v>
      </c>
      <c r="C38" s="151"/>
      <c r="D38" s="151"/>
    </row>
    <row r="39" spans="1:4" ht="15.9" customHeight="1" x14ac:dyDescent="0.25">
      <c r="A39" s="149"/>
      <c r="B39" s="151" t="s">
        <v>171</v>
      </c>
      <c r="C39" s="151"/>
      <c r="D39" s="151"/>
    </row>
    <row r="40" spans="1:4" ht="15.9" customHeight="1" x14ac:dyDescent="0.25">
      <c r="A40" s="149"/>
      <c r="B40" s="151" t="s">
        <v>172</v>
      </c>
      <c r="C40" s="151"/>
      <c r="D40" s="151"/>
    </row>
    <row r="41" spans="1:4" ht="15.9" customHeight="1" x14ac:dyDescent="0.25">
      <c r="A41" s="149"/>
      <c r="B41" s="151" t="s">
        <v>173</v>
      </c>
      <c r="C41" s="151"/>
      <c r="D41" s="151"/>
    </row>
    <row r="42" spans="1:4" ht="8.1" customHeight="1" x14ac:dyDescent="0.25">
      <c r="A42" s="149"/>
      <c r="B42" s="151"/>
      <c r="C42" s="151"/>
      <c r="D42" s="151"/>
    </row>
    <row r="43" spans="1:4" ht="15.9" customHeight="1" x14ac:dyDescent="0.25">
      <c r="A43" s="149" t="s">
        <v>3</v>
      </c>
      <c r="B43" s="151" t="s">
        <v>174</v>
      </c>
      <c r="C43" s="151"/>
      <c r="D43" s="151"/>
    </row>
    <row r="44" spans="1:4" ht="15.9" customHeight="1" x14ac:dyDescent="0.25">
      <c r="A44" s="149"/>
      <c r="B44" s="151" t="s">
        <v>175</v>
      </c>
      <c r="C44" s="151"/>
      <c r="D44" s="151"/>
    </row>
    <row r="45" spans="1:4" ht="8.1" customHeight="1" x14ac:dyDescent="0.25">
      <c r="A45" s="149"/>
      <c r="B45" s="151"/>
      <c r="C45" s="151"/>
      <c r="D45" s="151"/>
    </row>
    <row r="46" spans="1:4" ht="15.9" customHeight="1" x14ac:dyDescent="0.25">
      <c r="A46" s="149"/>
      <c r="B46" s="155" t="s">
        <v>176</v>
      </c>
      <c r="C46" s="151"/>
      <c r="D46" s="151"/>
    </row>
    <row r="47" spans="1:4" ht="15.9" customHeight="1" x14ac:dyDescent="0.25">
      <c r="A47" s="149"/>
      <c r="B47" s="155" t="s">
        <v>177</v>
      </c>
      <c r="C47" s="151"/>
      <c r="D47" s="151"/>
    </row>
    <row r="48" spans="1:4" ht="8.1" customHeight="1" x14ac:dyDescent="0.25">
      <c r="A48" s="149"/>
      <c r="B48" s="151"/>
      <c r="C48" s="151"/>
      <c r="D48" s="151"/>
    </row>
    <row r="49" spans="1:4" ht="15.9" customHeight="1" x14ac:dyDescent="0.25">
      <c r="A49" s="149" t="s">
        <v>3</v>
      </c>
      <c r="B49" s="151" t="s">
        <v>178</v>
      </c>
      <c r="C49" s="151"/>
      <c r="D49" s="151"/>
    </row>
    <row r="50" spans="1:4" ht="15.9" customHeight="1" x14ac:dyDescent="0.25">
      <c r="A50" s="149"/>
      <c r="B50" s="151" t="s">
        <v>179</v>
      </c>
      <c r="C50" s="151"/>
      <c r="D50" s="151"/>
    </row>
    <row r="51" spans="1:4" ht="8.1" customHeight="1" x14ac:dyDescent="0.25">
      <c r="A51" s="149"/>
      <c r="B51" s="155"/>
      <c r="C51" s="155"/>
      <c r="D51" s="151"/>
    </row>
    <row r="52" spans="1:4" ht="15.9" customHeight="1" x14ac:dyDescent="0.25">
      <c r="A52" s="149"/>
      <c r="B52" s="155" t="s">
        <v>180</v>
      </c>
      <c r="C52" s="155"/>
      <c r="D52" s="151"/>
    </row>
    <row r="53" spans="1:4" ht="15.9" customHeight="1" x14ac:dyDescent="0.25">
      <c r="A53" s="149"/>
      <c r="B53" s="155" t="s">
        <v>181</v>
      </c>
      <c r="C53" s="151"/>
      <c r="D53" s="151"/>
    </row>
    <row r="54" spans="1:4" ht="15.9" customHeight="1" x14ac:dyDescent="0.25">
      <c r="A54" s="149"/>
      <c r="B54" s="155"/>
      <c r="C54" s="151"/>
      <c r="D54" s="151"/>
    </row>
    <row r="55" spans="1:4" ht="15.9" customHeight="1" x14ac:dyDescent="0.25">
      <c r="A55" s="149"/>
      <c r="B55" s="151"/>
      <c r="C55" s="151"/>
      <c r="D55" s="151"/>
    </row>
    <row r="56" spans="1:4" ht="15.9" customHeight="1" x14ac:dyDescent="0.25">
      <c r="A56" s="115">
        <v>2</v>
      </c>
      <c r="B56" s="138"/>
      <c r="C56" s="138"/>
      <c r="D56" s="110" t="s">
        <v>72</v>
      </c>
    </row>
    <row r="57" spans="1:4" s="1" customFormat="1" ht="15.9" customHeight="1" x14ac:dyDescent="0.15">
      <c r="A57" s="113" t="s">
        <v>244</v>
      </c>
      <c r="B57" s="71"/>
      <c r="C57" s="71"/>
      <c r="D57" s="120"/>
    </row>
    <row r="58" spans="1:4" ht="8.1" customHeight="1" x14ac:dyDescent="0.25">
      <c r="A58" s="149"/>
      <c r="B58" s="151"/>
      <c r="C58" s="151"/>
      <c r="D58" s="151"/>
    </row>
    <row r="59" spans="1:4" ht="15.9" customHeight="1" x14ac:dyDescent="0.25">
      <c r="A59" s="152">
        <v>4</v>
      </c>
      <c r="B59" s="153" t="s">
        <v>152</v>
      </c>
      <c r="C59" s="153"/>
      <c r="D59" s="151"/>
    </row>
    <row r="60" spans="1:4" ht="8.1" customHeight="1" x14ac:dyDescent="0.25">
      <c r="A60" s="149"/>
      <c r="B60" s="155"/>
      <c r="C60" s="155"/>
      <c r="D60" s="151"/>
    </row>
    <row r="61" spans="1:4" ht="15.9" customHeight="1" x14ac:dyDescent="0.25">
      <c r="A61" s="149"/>
      <c r="B61" s="151" t="s">
        <v>182</v>
      </c>
      <c r="C61" s="151"/>
      <c r="D61" s="151"/>
    </row>
    <row r="62" spans="1:4" ht="15.9" customHeight="1" x14ac:dyDescent="0.25">
      <c r="A62" s="149"/>
      <c r="B62" s="151" t="s">
        <v>183</v>
      </c>
      <c r="C62" s="151"/>
      <c r="D62" s="151"/>
    </row>
    <row r="63" spans="1:4" ht="15.9" customHeight="1" x14ac:dyDescent="0.25">
      <c r="A63" s="149"/>
      <c r="B63" s="151" t="s">
        <v>184</v>
      </c>
      <c r="C63" s="151"/>
      <c r="D63" s="151"/>
    </row>
    <row r="64" spans="1:4" ht="15.9" customHeight="1" x14ac:dyDescent="0.25">
      <c r="A64" s="149"/>
      <c r="B64" s="151" t="s">
        <v>185</v>
      </c>
      <c r="C64" s="151"/>
      <c r="D64" s="151"/>
    </row>
    <row r="65" spans="1:4" ht="15.9" customHeight="1" x14ac:dyDescent="0.25">
      <c r="A65" s="149"/>
      <c r="B65" s="151" t="s">
        <v>186</v>
      </c>
      <c r="C65" s="151"/>
      <c r="D65" s="151"/>
    </row>
    <row r="66" spans="1:4" ht="8.1" customHeight="1" x14ac:dyDescent="0.25">
      <c r="A66" s="149"/>
      <c r="B66" s="155"/>
      <c r="C66" s="155"/>
      <c r="D66" s="151"/>
    </row>
    <row r="67" spans="1:4" ht="15.9" customHeight="1" x14ac:dyDescent="0.25">
      <c r="A67" s="149"/>
      <c r="B67" s="155" t="s">
        <v>187</v>
      </c>
      <c r="C67" s="155"/>
      <c r="D67" s="151"/>
    </row>
    <row r="68" spans="1:4" ht="8.1" customHeight="1" x14ac:dyDescent="0.25">
      <c r="A68" s="149"/>
      <c r="B68" s="155"/>
      <c r="C68" s="155"/>
      <c r="D68" s="151"/>
    </row>
    <row r="69" spans="1:4" ht="15.9" customHeight="1" x14ac:dyDescent="0.25">
      <c r="A69" s="149"/>
      <c r="B69" s="155" t="s">
        <v>188</v>
      </c>
      <c r="C69" s="155"/>
      <c r="D69" s="151"/>
    </row>
    <row r="70" spans="1:4" ht="15.9" customHeight="1" x14ac:dyDescent="0.25">
      <c r="A70" s="149"/>
      <c r="B70" s="155" t="s">
        <v>189</v>
      </c>
      <c r="C70" s="155"/>
      <c r="D70" s="151"/>
    </row>
    <row r="71" spans="1:4" ht="8.1" customHeight="1" x14ac:dyDescent="0.25">
      <c r="A71" s="149"/>
      <c r="B71" s="155"/>
      <c r="C71" s="155"/>
      <c r="D71" s="151"/>
    </row>
    <row r="72" spans="1:4" ht="15.9" customHeight="1" x14ac:dyDescent="0.25">
      <c r="A72" s="149"/>
      <c r="B72" s="155" t="s">
        <v>190</v>
      </c>
      <c r="C72" s="155"/>
      <c r="D72" s="151"/>
    </row>
    <row r="73" spans="1:4" ht="8.1" customHeight="1" x14ac:dyDescent="0.25">
      <c r="A73" s="149"/>
      <c r="B73" s="155"/>
      <c r="C73" s="155"/>
      <c r="D73" s="151"/>
    </row>
    <row r="74" spans="1:4" ht="15.9" customHeight="1" x14ac:dyDescent="0.25">
      <c r="A74" s="149"/>
      <c r="B74" s="155" t="s">
        <v>191</v>
      </c>
      <c r="C74" s="155"/>
      <c r="D74" s="151"/>
    </row>
    <row r="75" spans="1:4" ht="8.1" customHeight="1" x14ac:dyDescent="0.25">
      <c r="A75" s="149"/>
      <c r="B75" s="155"/>
      <c r="C75" s="155"/>
      <c r="D75" s="151"/>
    </row>
    <row r="76" spans="1:4" ht="15.9" customHeight="1" x14ac:dyDescent="0.25">
      <c r="A76" s="149"/>
      <c r="B76" s="151" t="s">
        <v>192</v>
      </c>
      <c r="C76" s="151"/>
      <c r="D76" s="151"/>
    </row>
    <row r="77" spans="1:4" ht="15.9" customHeight="1" x14ac:dyDescent="0.25">
      <c r="A77" s="149"/>
      <c r="B77" s="151" t="s">
        <v>193</v>
      </c>
      <c r="C77" s="151"/>
      <c r="D77" s="151"/>
    </row>
    <row r="78" spans="1:4" ht="15.9" customHeight="1" x14ac:dyDescent="0.25">
      <c r="A78" s="149"/>
      <c r="B78" s="151" t="s">
        <v>194</v>
      </c>
      <c r="C78" s="151"/>
      <c r="D78" s="151"/>
    </row>
    <row r="79" spans="1:4" ht="8.1" customHeight="1" x14ac:dyDescent="0.25">
      <c r="A79" s="149"/>
      <c r="B79" s="155"/>
      <c r="C79" s="155"/>
      <c r="D79" s="151"/>
    </row>
    <row r="80" spans="1:4" ht="15.9" customHeight="1" x14ac:dyDescent="0.25">
      <c r="A80" s="149"/>
      <c r="B80" s="151" t="s">
        <v>195</v>
      </c>
      <c r="C80" s="151"/>
      <c r="D80" s="151"/>
    </row>
    <row r="81" spans="1:4" ht="15.9" customHeight="1" x14ac:dyDescent="0.25">
      <c r="A81" s="149"/>
      <c r="B81" s="151" t="s">
        <v>196</v>
      </c>
      <c r="C81" s="151"/>
      <c r="D81" s="151"/>
    </row>
    <row r="82" spans="1:4" ht="15.9" customHeight="1" x14ac:dyDescent="0.25">
      <c r="A82" s="149"/>
      <c r="B82" s="151" t="s">
        <v>197</v>
      </c>
      <c r="C82" s="151"/>
      <c r="D82" s="151"/>
    </row>
    <row r="83" spans="1:4" ht="15.9" customHeight="1" x14ac:dyDescent="0.25">
      <c r="A83" s="149"/>
      <c r="B83" s="151" t="s">
        <v>198</v>
      </c>
      <c r="C83" s="151"/>
      <c r="D83" s="151"/>
    </row>
    <row r="84" spans="1:4" ht="15.9" customHeight="1" x14ac:dyDescent="0.25">
      <c r="A84" s="149"/>
      <c r="B84" s="151" t="s">
        <v>199</v>
      </c>
      <c r="C84" s="151"/>
      <c r="D84" s="151"/>
    </row>
    <row r="85" spans="1:4" ht="8.1" customHeight="1" x14ac:dyDescent="0.25">
      <c r="A85" s="149"/>
      <c r="B85" s="151"/>
      <c r="C85" s="151"/>
      <c r="D85" s="151"/>
    </row>
    <row r="86" spans="1:4" ht="15.9" customHeight="1" x14ac:dyDescent="0.25">
      <c r="A86" s="149"/>
      <c r="B86" s="151" t="s">
        <v>200</v>
      </c>
      <c r="C86" s="151"/>
      <c r="D86" s="151"/>
    </row>
    <row r="87" spans="1:4" ht="15.9" customHeight="1" x14ac:dyDescent="0.25">
      <c r="A87" s="149"/>
      <c r="B87" s="151" t="s">
        <v>249</v>
      </c>
      <c r="C87" s="151"/>
      <c r="D87" s="151"/>
    </row>
    <row r="88" spans="1:4" ht="15.9" customHeight="1" x14ac:dyDescent="0.25">
      <c r="A88" s="149"/>
      <c r="B88" s="13" t="s">
        <v>216</v>
      </c>
      <c r="C88" s="13"/>
      <c r="D88" s="151"/>
    </row>
    <row r="89" spans="1:4" ht="15.9" customHeight="1" x14ac:dyDescent="0.25">
      <c r="A89" s="149"/>
      <c r="B89" s="151"/>
      <c r="C89" s="151"/>
      <c r="D89" s="151"/>
    </row>
    <row r="90" spans="1:4" ht="15.9" customHeight="1" x14ac:dyDescent="0.25">
      <c r="A90" s="149"/>
      <c r="B90" s="151"/>
      <c r="C90" s="151"/>
      <c r="D90" s="151"/>
    </row>
    <row r="91" spans="1:4" ht="15.9" customHeight="1" x14ac:dyDescent="0.25">
      <c r="A91" s="149"/>
      <c r="B91" s="151"/>
      <c r="C91" s="151"/>
      <c r="D91" s="151"/>
    </row>
    <row r="92" spans="1:4" ht="15.9" customHeight="1" x14ac:dyDescent="0.25">
      <c r="A92" s="149"/>
      <c r="D92" s="151"/>
    </row>
    <row r="93" spans="1:4" ht="15.9" customHeight="1" x14ac:dyDescent="0.25">
      <c r="A93" s="152"/>
      <c r="B93" s="156"/>
      <c r="C93" s="156"/>
      <c r="D93" s="156"/>
    </row>
    <row r="94" spans="1:4" ht="15.9" customHeight="1" x14ac:dyDescent="0.25">
      <c r="A94" s="152"/>
      <c r="B94" s="154"/>
      <c r="C94" s="154"/>
      <c r="D94" s="154"/>
    </row>
    <row r="95" spans="1:4" ht="15.9" customHeight="1" x14ac:dyDescent="0.25">
      <c r="A95" s="152"/>
      <c r="B95" s="150" t="s">
        <v>201</v>
      </c>
      <c r="C95" s="150" t="s">
        <v>239</v>
      </c>
      <c r="D95" s="123"/>
    </row>
    <row r="96" spans="1:4" ht="15.9" customHeight="1" x14ac:dyDescent="0.25">
      <c r="A96" s="152"/>
      <c r="B96" s="150"/>
      <c r="C96" s="157" t="s">
        <v>147</v>
      </c>
      <c r="D96" s="151"/>
    </row>
    <row r="97" spans="1:4" ht="15.9" customHeight="1" x14ac:dyDescent="0.25">
      <c r="A97" s="152"/>
      <c r="B97" s="150" t="s">
        <v>202</v>
      </c>
      <c r="C97" s="150" t="s">
        <v>238</v>
      </c>
      <c r="D97" s="151"/>
    </row>
    <row r="98" spans="1:4" ht="15.9" customHeight="1" x14ac:dyDescent="0.25">
      <c r="A98" s="152"/>
      <c r="B98" s="150" t="s">
        <v>203</v>
      </c>
      <c r="C98" s="150" t="s">
        <v>204</v>
      </c>
      <c r="D98" s="151"/>
    </row>
    <row r="99" spans="1:4" ht="15.9" customHeight="1" x14ac:dyDescent="0.25">
      <c r="A99" s="152"/>
      <c r="B99" s="150" t="s">
        <v>205</v>
      </c>
      <c r="C99" s="150" t="s">
        <v>206</v>
      </c>
      <c r="D99" s="151"/>
    </row>
    <row r="100" spans="1:4" ht="15.9" customHeight="1" x14ac:dyDescent="0.25">
      <c r="A100" s="13"/>
      <c r="B100" s="150" t="s">
        <v>148</v>
      </c>
      <c r="C100" s="150" t="s">
        <v>250</v>
      </c>
      <c r="D100" s="159"/>
    </row>
    <row r="101" spans="1:4" ht="15.9" customHeight="1" x14ac:dyDescent="0.25">
      <c r="A101" s="13"/>
      <c r="B101" s="158" t="s">
        <v>207</v>
      </c>
      <c r="C101" s="158"/>
      <c r="D101" s="159"/>
    </row>
    <row r="102" spans="1:4" ht="15.9" customHeight="1" x14ac:dyDescent="0.25">
      <c r="A102" s="13"/>
      <c r="B102" s="160" t="s">
        <v>208</v>
      </c>
      <c r="C102" s="160"/>
      <c r="D102" s="160"/>
    </row>
    <row r="103" spans="1:4" ht="15.9" customHeight="1" x14ac:dyDescent="0.25">
      <c r="A103" s="149"/>
      <c r="B103" s="151"/>
      <c r="C103" s="151"/>
      <c r="D103" s="151"/>
    </row>
    <row r="104" spans="1:4" ht="15.9" customHeight="1" x14ac:dyDescent="0.25">
      <c r="A104" s="149"/>
      <c r="B104" s="151"/>
      <c r="C104" s="151"/>
      <c r="D104" s="151"/>
    </row>
    <row r="105" spans="1:4" ht="15.9" customHeight="1" x14ac:dyDescent="0.25">
      <c r="A105" s="149"/>
      <c r="B105" s="151"/>
      <c r="C105" s="151"/>
      <c r="D105" s="151"/>
    </row>
    <row r="106" spans="1:4" ht="15.9" customHeight="1" x14ac:dyDescent="0.25">
      <c r="A106" s="152"/>
      <c r="B106" s="161"/>
      <c r="C106" s="161"/>
      <c r="D106" s="151"/>
    </row>
    <row r="107" spans="1:4" ht="15.9" customHeight="1" x14ac:dyDescent="0.25">
      <c r="A107" s="152"/>
      <c r="B107" s="161"/>
      <c r="C107" s="161"/>
      <c r="D107" s="151"/>
    </row>
    <row r="108" spans="1:4" ht="15.9" customHeight="1" x14ac:dyDescent="0.25">
      <c r="A108" s="149"/>
      <c r="B108" s="29" t="s">
        <v>209</v>
      </c>
      <c r="C108" s="13"/>
      <c r="D108" s="151"/>
    </row>
    <row r="109" spans="1:4" ht="8.1" customHeight="1" x14ac:dyDescent="0.25">
      <c r="A109" s="152"/>
      <c r="B109" s="161"/>
      <c r="C109" s="161"/>
      <c r="D109" s="151"/>
    </row>
    <row r="110" spans="1:4" ht="15.9" customHeight="1" x14ac:dyDescent="0.25">
      <c r="A110" s="41" t="s">
        <v>72</v>
      </c>
      <c r="B110" s="138"/>
      <c r="C110" s="138"/>
      <c r="D110" s="114">
        <v>3</v>
      </c>
    </row>
  </sheetData>
  <hyperlinks>
    <hyperlink ref="C96" r:id="rId1"/>
  </hyperlinks>
  <pageMargins left="0.70866141732283472" right="0.70866141732283472" top="0.39370078740157483" bottom="0.39370078740157483" header="0.31496062992125984" footer="0.31496062992125984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48"/>
  <sheetViews>
    <sheetView showGridLines="0" workbookViewId="0"/>
  </sheetViews>
  <sheetFormatPr baseColWidth="10" defaultColWidth="11.44140625" defaultRowHeight="15" x14ac:dyDescent="0.25"/>
  <cols>
    <col min="1" max="1" width="11.44140625" style="1"/>
    <col min="2" max="2" width="24.6640625" style="1" customWidth="1"/>
    <col min="3" max="3" width="41.33203125" style="1" customWidth="1"/>
    <col min="4" max="16384" width="11.44140625" style="13"/>
  </cols>
  <sheetData>
    <row r="1" spans="1:4" s="1" customFormat="1" ht="15" customHeight="1" x14ac:dyDescent="0.15">
      <c r="A1" s="70" t="s">
        <v>243</v>
      </c>
      <c r="B1" s="70"/>
      <c r="C1" s="15"/>
      <c r="D1" s="15"/>
    </row>
    <row r="2" spans="1:4" s="1" customFormat="1" ht="15" customHeight="1" x14ac:dyDescent="0.25">
      <c r="A2" s="12"/>
      <c r="B2" s="12"/>
      <c r="C2" s="12"/>
      <c r="D2" s="12"/>
    </row>
    <row r="3" spans="1:4" s="1" customFormat="1" ht="15" customHeight="1" x14ac:dyDescent="0.25">
      <c r="A3" s="12"/>
      <c r="B3" s="12"/>
      <c r="C3" s="12"/>
      <c r="D3" s="12"/>
    </row>
    <row r="4" spans="1:4" s="1" customFormat="1" ht="15" customHeight="1" x14ac:dyDescent="0.25">
      <c r="A4" s="12"/>
      <c r="B4" s="12"/>
      <c r="C4" s="12"/>
      <c r="D4" s="12"/>
    </row>
    <row r="5" spans="1:4" s="1" customFormat="1" ht="15" customHeight="1" x14ac:dyDescent="0.25">
      <c r="A5" s="12"/>
      <c r="B5" s="12"/>
      <c r="C5" s="12"/>
      <c r="D5" s="12"/>
    </row>
    <row r="6" spans="1:4" s="1" customFormat="1" ht="15" customHeight="1" x14ac:dyDescent="0.25">
      <c r="A6" s="12"/>
      <c r="B6" s="12"/>
      <c r="C6" s="12"/>
      <c r="D6" s="12"/>
    </row>
    <row r="7" spans="1:4" s="1" customFormat="1" ht="15" customHeight="1" x14ac:dyDescent="0.25">
      <c r="A7" s="12"/>
      <c r="B7" s="12"/>
      <c r="C7" s="12"/>
      <c r="D7" s="12"/>
    </row>
    <row r="8" spans="1:4" s="1" customFormat="1" ht="15" customHeight="1" x14ac:dyDescent="0.25">
      <c r="A8" s="12"/>
      <c r="B8" s="12"/>
      <c r="C8" s="12"/>
      <c r="D8" s="12"/>
    </row>
    <row r="9" spans="1:4" s="1" customFormat="1" ht="15" customHeight="1" x14ac:dyDescent="0.25">
      <c r="A9" s="12"/>
      <c r="B9" s="12"/>
      <c r="C9" s="12"/>
      <c r="D9" s="12"/>
    </row>
    <row r="10" spans="1:4" s="1" customFormat="1" ht="15" customHeight="1" x14ac:dyDescent="0.25">
      <c r="A10" s="12"/>
      <c r="B10" s="12"/>
      <c r="C10" s="12"/>
      <c r="D10" s="12"/>
    </row>
    <row r="11" spans="1:4" s="1" customFormat="1" ht="15" customHeight="1" x14ac:dyDescent="0.25">
      <c r="A11" s="12"/>
      <c r="B11" s="12"/>
      <c r="C11" s="12"/>
      <c r="D11" s="12"/>
    </row>
    <row r="12" spans="1:4" s="1" customFormat="1" ht="15" customHeight="1" x14ac:dyDescent="0.25">
      <c r="A12" s="12"/>
      <c r="B12" s="12"/>
      <c r="C12" s="12"/>
      <c r="D12" s="12"/>
    </row>
    <row r="13" spans="1:4" s="1" customFormat="1" ht="93" customHeight="1" x14ac:dyDescent="0.15">
      <c r="A13" s="86" t="s">
        <v>146</v>
      </c>
      <c r="B13" s="86"/>
      <c r="C13" s="87"/>
      <c r="D13" s="87"/>
    </row>
    <row r="14" spans="1:4" s="1" customFormat="1" ht="15" customHeight="1" x14ac:dyDescent="0.25">
      <c r="A14" s="12"/>
      <c r="B14" s="12"/>
      <c r="C14" s="12"/>
      <c r="D14" s="12"/>
    </row>
    <row r="15" spans="1:4" s="1" customFormat="1" ht="15" customHeight="1" x14ac:dyDescent="0.25">
      <c r="A15" s="12"/>
      <c r="B15" s="12"/>
      <c r="C15" s="12"/>
      <c r="D15" s="12"/>
    </row>
    <row r="16" spans="1:4" s="1" customFormat="1" ht="8.25" customHeight="1" x14ac:dyDescent="0.25">
      <c r="A16" s="88"/>
      <c r="B16" s="88"/>
      <c r="C16" s="88"/>
      <c r="D16" s="88"/>
    </row>
    <row r="17" spans="1:4" s="1" customFormat="1" ht="15" customHeight="1" x14ac:dyDescent="0.25">
      <c r="A17" s="12"/>
      <c r="B17" s="12"/>
      <c r="C17" s="12"/>
      <c r="D17" s="12"/>
    </row>
    <row r="18" spans="1:4" s="1" customFormat="1" ht="15" customHeight="1" x14ac:dyDescent="0.25">
      <c r="A18" s="91"/>
      <c r="B18" s="91"/>
      <c r="C18" s="89"/>
      <c r="D18" s="89"/>
    </row>
    <row r="19" spans="1:4" s="1" customFormat="1" ht="15" customHeight="1" x14ac:dyDescent="0.25">
      <c r="A19" s="91"/>
      <c r="B19" s="91"/>
      <c r="C19" s="89"/>
      <c r="D19" s="89"/>
    </row>
    <row r="20" spans="1:4" s="1" customFormat="1" ht="15" customHeight="1" x14ac:dyDescent="0.25">
      <c r="A20" s="92"/>
      <c r="B20" s="92"/>
      <c r="C20" s="89"/>
      <c r="D20" s="89"/>
    </row>
    <row r="21" spans="1:4" s="1" customFormat="1" ht="15" customHeight="1" x14ac:dyDescent="0.25">
      <c r="A21" s="92"/>
      <c r="B21" s="92"/>
      <c r="C21" s="89"/>
      <c r="D21" s="89"/>
    </row>
    <row r="22" spans="1:4" s="1" customFormat="1" ht="15" customHeight="1" x14ac:dyDescent="0.25">
      <c r="A22" s="92"/>
      <c r="B22" s="92"/>
      <c r="C22" s="89"/>
      <c r="D22" s="89"/>
    </row>
    <row r="23" spans="1:4" s="1" customFormat="1" ht="15" customHeight="1" x14ac:dyDescent="0.25">
      <c r="A23" s="92"/>
      <c r="B23" s="92"/>
      <c r="C23" s="89"/>
      <c r="D23" s="89"/>
    </row>
    <row r="24" spans="1:4" s="1" customFormat="1" ht="15" customHeight="1" x14ac:dyDescent="0.25">
      <c r="A24" s="92"/>
      <c r="B24" s="92"/>
      <c r="C24" s="93"/>
      <c r="D24" s="93"/>
    </row>
    <row r="25" spans="1:4" s="1" customFormat="1" ht="15" customHeight="1" x14ac:dyDescent="0.25">
      <c r="A25" s="91"/>
      <c r="B25" s="91"/>
      <c r="C25" s="89"/>
      <c r="D25" s="89"/>
    </row>
    <row r="26" spans="1:4" s="1" customFormat="1" ht="15" customHeight="1" x14ac:dyDescent="0.25">
      <c r="A26" s="91"/>
      <c r="B26" s="91"/>
      <c r="C26" s="89"/>
      <c r="D26" s="89"/>
    </row>
    <row r="27" spans="1:4" s="1" customFormat="1" ht="15" customHeight="1" x14ac:dyDescent="0.25">
      <c r="A27" s="91"/>
      <c r="B27" s="91"/>
      <c r="C27" s="89"/>
      <c r="D27" s="89"/>
    </row>
    <row r="28" spans="1:4" s="1" customFormat="1" ht="15" customHeight="1" x14ac:dyDescent="0.25">
      <c r="A28" s="92"/>
      <c r="B28" s="92"/>
      <c r="C28" s="89"/>
      <c r="D28" s="89"/>
    </row>
    <row r="29" spans="1:4" s="1" customFormat="1" ht="15" customHeight="1" x14ac:dyDescent="0.25">
      <c r="A29" s="89"/>
      <c r="B29" s="89"/>
      <c r="C29" s="89"/>
      <c r="D29" s="89"/>
    </row>
    <row r="30" spans="1:4" s="1" customFormat="1" ht="15" customHeight="1" x14ac:dyDescent="0.25">
      <c r="A30" s="89"/>
      <c r="B30" s="89"/>
      <c r="C30" s="89"/>
      <c r="D30" s="89"/>
    </row>
    <row r="31" spans="1:4" s="1" customFormat="1" ht="15" customHeight="1" x14ac:dyDescent="0.25">
      <c r="A31" s="89"/>
      <c r="B31" s="89"/>
      <c r="C31" s="92"/>
      <c r="D31" s="92"/>
    </row>
    <row r="32" spans="1:4" s="1" customFormat="1" ht="15" customHeight="1" x14ac:dyDescent="0.25">
      <c r="A32" s="89"/>
      <c r="B32" s="89"/>
      <c r="C32" s="92"/>
      <c r="D32" s="92"/>
    </row>
    <row r="33" spans="1:4" s="1" customFormat="1" ht="15" customHeight="1" x14ac:dyDescent="0.25">
      <c r="A33" s="91"/>
      <c r="B33" s="91"/>
      <c r="C33" s="89"/>
      <c r="D33" s="89"/>
    </row>
    <row r="34" spans="1:4" s="1" customFormat="1" ht="15" customHeight="1" x14ac:dyDescent="0.25">
      <c r="A34" s="91"/>
      <c r="B34" s="91"/>
      <c r="C34" s="89"/>
      <c r="D34" s="89"/>
    </row>
    <row r="35" spans="1:4" s="1" customFormat="1" ht="15" customHeight="1" x14ac:dyDescent="0.25">
      <c r="A35" s="92"/>
      <c r="B35" s="92"/>
      <c r="C35" s="89"/>
      <c r="D35" s="89"/>
    </row>
    <row r="36" spans="1:4" s="1" customFormat="1" ht="15" customHeight="1" x14ac:dyDescent="0.25">
      <c r="A36" s="92"/>
      <c r="B36" s="92"/>
      <c r="C36" s="89"/>
      <c r="D36" s="89"/>
    </row>
    <row r="37" spans="1:4" s="1" customFormat="1" ht="15" customHeight="1" x14ac:dyDescent="0.25">
      <c r="A37" s="92"/>
      <c r="B37" s="92"/>
      <c r="C37" s="89"/>
      <c r="D37" s="89"/>
    </row>
    <row r="38" spans="1:4" s="1" customFormat="1" ht="15" customHeight="1" x14ac:dyDescent="0.25">
      <c r="A38" s="92"/>
      <c r="B38" s="92"/>
      <c r="C38" s="89"/>
      <c r="D38" s="89"/>
    </row>
    <row r="39" spans="1:4" s="1" customFormat="1" ht="15" customHeight="1" x14ac:dyDescent="0.25">
      <c r="A39" s="92"/>
      <c r="B39" s="92"/>
      <c r="C39" s="93"/>
      <c r="D39" s="93"/>
    </row>
    <row r="40" spans="1:4" s="1" customFormat="1" ht="15" customHeight="1" x14ac:dyDescent="0.25">
      <c r="A40" s="91"/>
      <c r="B40" s="91"/>
      <c r="C40" s="89"/>
      <c r="D40" s="89"/>
    </row>
    <row r="41" spans="1:4" s="1" customFormat="1" ht="15" customHeight="1" x14ac:dyDescent="0.25">
      <c r="A41" s="91"/>
      <c r="B41" s="91"/>
      <c r="C41" s="89"/>
      <c r="D41" s="89"/>
    </row>
    <row r="42" spans="1:4" s="1" customFormat="1" ht="15" customHeight="1" x14ac:dyDescent="0.25">
      <c r="A42" s="91"/>
      <c r="B42" s="91"/>
      <c r="C42" s="89"/>
      <c r="D42" s="89"/>
    </row>
    <row r="43" spans="1:4" s="1" customFormat="1" ht="15" customHeight="1" x14ac:dyDescent="0.25">
      <c r="A43" s="92"/>
      <c r="B43" s="92"/>
      <c r="C43" s="89"/>
      <c r="D43" s="89"/>
    </row>
    <row r="44" spans="1:4" s="1" customFormat="1" ht="15" customHeight="1" x14ac:dyDescent="0.25">
      <c r="A44" s="12"/>
      <c r="B44" s="12"/>
      <c r="C44" s="90"/>
      <c r="D44" s="90"/>
    </row>
    <row r="45" spans="1:4" s="1" customFormat="1" ht="8.25" customHeight="1" x14ac:dyDescent="0.25">
      <c r="A45" s="88"/>
      <c r="B45" s="88"/>
      <c r="C45" s="88"/>
      <c r="D45" s="88"/>
    </row>
    <row r="46" spans="1:4" s="1" customFormat="1" ht="15" customHeight="1" x14ac:dyDescent="0.25">
      <c r="A46" s="12"/>
      <c r="B46" s="12"/>
      <c r="C46" s="12"/>
      <c r="D46" s="12"/>
    </row>
    <row r="47" spans="1:4" s="1" customFormat="1" ht="15" customHeight="1" x14ac:dyDescent="0.25">
      <c r="A47" s="12"/>
      <c r="B47" s="12"/>
      <c r="C47" s="12"/>
      <c r="D47" s="12"/>
    </row>
    <row r="48" spans="1:4" s="1" customFormat="1" ht="15" customHeight="1" x14ac:dyDescent="0.2">
      <c r="A48" s="115">
        <v>4</v>
      </c>
      <c r="B48" s="108"/>
      <c r="C48" s="56"/>
      <c r="D48" s="109" t="s">
        <v>72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4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118">
        <v>1.1000000000000001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79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67" t="s">
        <v>80</v>
      </c>
      <c r="B9" s="46"/>
      <c r="C9" s="47"/>
      <c r="D9" s="228" t="s">
        <v>62</v>
      </c>
      <c r="E9" s="229"/>
      <c r="F9" s="228" t="s">
        <v>63</v>
      </c>
      <c r="G9" s="229"/>
    </row>
    <row r="10" spans="1:7" s="22" customFormat="1" ht="21.9" customHeight="1" x14ac:dyDescent="0.25">
      <c r="A10" s="48"/>
      <c r="B10" s="49"/>
      <c r="C10" s="50"/>
      <c r="D10" s="230" t="s">
        <v>65</v>
      </c>
      <c r="E10" s="231" t="s">
        <v>66</v>
      </c>
      <c r="F10" s="232" t="s">
        <v>67</v>
      </c>
      <c r="G10" s="231" t="s">
        <v>66</v>
      </c>
    </row>
    <row r="11" spans="1:7" s="23" customFormat="1" ht="21.9" customHeight="1" x14ac:dyDescent="0.25">
      <c r="A11" s="51"/>
      <c r="B11" s="52"/>
      <c r="C11" s="53"/>
      <c r="D11" s="233" t="s">
        <v>69</v>
      </c>
      <c r="E11" s="234" t="s">
        <v>70</v>
      </c>
      <c r="F11" s="234" t="s">
        <v>71</v>
      </c>
      <c r="G11" s="234" t="s">
        <v>70</v>
      </c>
    </row>
    <row r="12" spans="1:7" s="2" customFormat="1" ht="4.0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0.100000000000001" customHeight="1" x14ac:dyDescent="0.25">
      <c r="A13" s="68" t="s">
        <v>107</v>
      </c>
      <c r="B13" s="26"/>
      <c r="C13" s="36"/>
      <c r="D13" s="31">
        <v>868303</v>
      </c>
      <c r="E13" s="24">
        <v>16.583155941474899</v>
      </c>
      <c r="F13" s="54">
        <v>391145.94808599999</v>
      </c>
      <c r="G13" s="24">
        <v>21.830830025385783</v>
      </c>
    </row>
    <row r="14" spans="1:7" s="2" customFormat="1" ht="20.100000000000001" customHeight="1" x14ac:dyDescent="0.25">
      <c r="A14" s="69" t="s">
        <v>81</v>
      </c>
      <c r="B14" s="27"/>
      <c r="C14" s="38"/>
      <c r="D14" s="16">
        <v>660436</v>
      </c>
      <c r="E14" s="25">
        <v>12.613238900895098</v>
      </c>
      <c r="F14" s="17">
        <v>167648.59612</v>
      </c>
      <c r="G14" s="25">
        <v>9.356885898471786</v>
      </c>
    </row>
    <row r="15" spans="1:7" s="2" customFormat="1" ht="20.100000000000001" customHeight="1" x14ac:dyDescent="0.25">
      <c r="A15" s="68" t="s">
        <v>105</v>
      </c>
      <c r="B15" s="26"/>
      <c r="C15" s="36"/>
      <c r="D15" s="31">
        <v>241741</v>
      </c>
      <c r="E15" s="24">
        <v>4.6168546008111031</v>
      </c>
      <c r="F15" s="54">
        <v>82538.825215999997</v>
      </c>
      <c r="G15" s="24">
        <v>4.6066975066538234</v>
      </c>
    </row>
    <row r="16" spans="1:7" s="2" customFormat="1" ht="20.100000000000001" customHeight="1" x14ac:dyDescent="0.25">
      <c r="A16" s="69" t="s">
        <v>82</v>
      </c>
      <c r="B16" s="27"/>
      <c r="C16" s="38"/>
      <c r="D16" s="16">
        <v>22704</v>
      </c>
      <c r="E16" s="25">
        <v>0.43360897347498062</v>
      </c>
      <c r="F16" s="17">
        <v>6578.0479230000001</v>
      </c>
      <c r="G16" s="25">
        <v>0.36713724585044455</v>
      </c>
    </row>
    <row r="17" spans="1:7" s="2" customFormat="1" ht="20.100000000000001" customHeight="1" x14ac:dyDescent="0.25">
      <c r="A17" s="68" t="s">
        <v>83</v>
      </c>
      <c r="B17" s="26"/>
      <c r="C17" s="36"/>
      <c r="D17" s="31">
        <v>97205</v>
      </c>
      <c r="E17" s="24">
        <v>1.8564552619201677</v>
      </c>
      <c r="F17" s="54">
        <v>110711.70967000001</v>
      </c>
      <c r="G17" s="24">
        <v>6.1790963896019386</v>
      </c>
    </row>
    <row r="18" spans="1:7" s="2" customFormat="1" ht="20.100000000000001" customHeight="1" x14ac:dyDescent="0.25">
      <c r="A18" s="69" t="s">
        <v>84</v>
      </c>
      <c r="B18" s="27"/>
      <c r="C18" s="38"/>
      <c r="D18" s="16">
        <v>25462</v>
      </c>
      <c r="E18" s="25">
        <v>0.48628222703576268</v>
      </c>
      <c r="F18" s="17">
        <v>12054.002074</v>
      </c>
      <c r="G18" s="25">
        <v>0.67276389207356435</v>
      </c>
    </row>
    <row r="19" spans="1:7" s="2" customFormat="1" ht="20.100000000000001" customHeight="1" x14ac:dyDescent="0.25">
      <c r="A19" s="68" t="s">
        <v>85</v>
      </c>
      <c r="B19" s="26"/>
      <c r="C19" s="36"/>
      <c r="D19" s="31">
        <v>27297</v>
      </c>
      <c r="E19" s="24">
        <v>0.52132770212061952</v>
      </c>
      <c r="F19" s="54">
        <v>28735.347410000002</v>
      </c>
      <c r="G19" s="24">
        <v>1.6037913420751928</v>
      </c>
    </row>
    <row r="20" spans="1:7" s="2" customFormat="1" ht="20.100000000000001" customHeight="1" x14ac:dyDescent="0.25">
      <c r="A20" s="69" t="s">
        <v>86</v>
      </c>
      <c r="B20" s="27"/>
      <c r="C20" s="38"/>
      <c r="D20" s="16">
        <v>26375</v>
      </c>
      <c r="E20" s="25">
        <v>0.50371902199623919</v>
      </c>
      <c r="F20" s="17">
        <v>7529.9632880000008</v>
      </c>
      <c r="G20" s="25">
        <v>0.42026601436653566</v>
      </c>
    </row>
    <row r="21" spans="1:7" s="2" customFormat="1" ht="20.100000000000001" customHeight="1" x14ac:dyDescent="0.25">
      <c r="A21" s="68" t="s">
        <v>87</v>
      </c>
      <c r="B21" s="26"/>
      <c r="C21" s="36"/>
      <c r="D21" s="31">
        <v>72269</v>
      </c>
      <c r="E21" s="24">
        <v>1.3802187677970126</v>
      </c>
      <c r="F21" s="54">
        <v>60127.955760844212</v>
      </c>
      <c r="G21" s="24">
        <v>3.355891038657262</v>
      </c>
    </row>
    <row r="22" spans="1:7" s="2" customFormat="1" ht="20.100000000000001" customHeight="1" x14ac:dyDescent="0.25">
      <c r="A22" s="69" t="s">
        <v>88</v>
      </c>
      <c r="B22" s="27"/>
      <c r="C22" s="38"/>
      <c r="D22" s="16">
        <v>184082</v>
      </c>
      <c r="E22" s="25">
        <v>3.5156627490848038</v>
      </c>
      <c r="F22" s="17">
        <v>30469.049952999998</v>
      </c>
      <c r="G22" s="25">
        <v>1.7005536010632125</v>
      </c>
    </row>
    <row r="23" spans="1:7" s="2" customFormat="1" ht="20.100000000000001" customHeight="1" x14ac:dyDescent="0.25">
      <c r="A23" s="68" t="s">
        <v>89</v>
      </c>
      <c r="B23" s="26"/>
      <c r="C23" s="36"/>
      <c r="D23" s="31">
        <v>164986</v>
      </c>
      <c r="E23" s="24">
        <v>3.1509606279837539</v>
      </c>
      <c r="F23" s="54">
        <v>27096.884200000004</v>
      </c>
      <c r="G23" s="24">
        <v>1.5123446275805472</v>
      </c>
    </row>
    <row r="24" spans="1:7" s="2" customFormat="1" ht="20.100000000000001" customHeight="1" x14ac:dyDescent="0.25">
      <c r="A24" s="69" t="s">
        <v>90</v>
      </c>
      <c r="B24" s="27"/>
      <c r="C24" s="38"/>
      <c r="D24" s="16">
        <v>126496</v>
      </c>
      <c r="E24" s="25">
        <v>2.4158650770212802</v>
      </c>
      <c r="F24" s="17">
        <v>56071.245080000001</v>
      </c>
      <c r="G24" s="25">
        <v>3.1294759069934019</v>
      </c>
    </row>
    <row r="25" spans="1:7" s="2" customFormat="1" ht="20.100000000000001" customHeight="1" x14ac:dyDescent="0.25">
      <c r="A25" s="68" t="s">
        <v>91</v>
      </c>
      <c r="B25" s="26"/>
      <c r="C25" s="36"/>
      <c r="D25" s="31">
        <v>174043</v>
      </c>
      <c r="E25" s="24">
        <v>3.3239343979257421</v>
      </c>
      <c r="F25" s="54">
        <v>44072.419118999998</v>
      </c>
      <c r="G25" s="24">
        <v>2.4597915312749441</v>
      </c>
    </row>
    <row r="26" spans="1:7" s="2" customFormat="1" ht="20.100000000000001" customHeight="1" x14ac:dyDescent="0.25">
      <c r="A26" s="69" t="s">
        <v>92</v>
      </c>
      <c r="B26" s="27"/>
      <c r="C26" s="38"/>
      <c r="D26" s="16">
        <v>49647</v>
      </c>
      <c r="E26" s="25">
        <v>0.94817585914871227</v>
      </c>
      <c r="F26" s="17">
        <v>12676.075273</v>
      </c>
      <c r="G26" s="25">
        <v>0.70748334740007368</v>
      </c>
    </row>
    <row r="27" spans="1:7" s="2" customFormat="1" ht="20.100000000000001" customHeight="1" x14ac:dyDescent="0.25">
      <c r="A27" s="68" t="s">
        <v>93</v>
      </c>
      <c r="B27" s="26"/>
      <c r="C27" s="36"/>
      <c r="D27" s="31">
        <v>35410</v>
      </c>
      <c r="E27" s="24">
        <v>0.67627262820423995</v>
      </c>
      <c r="F27" s="54">
        <v>14056.645710000001</v>
      </c>
      <c r="G27" s="24">
        <v>0.78453642361292764</v>
      </c>
    </row>
    <row r="28" spans="1:7" s="2" customFormat="1" ht="20.100000000000001" customHeight="1" x14ac:dyDescent="0.25">
      <c r="A28" s="69" t="s">
        <v>94</v>
      </c>
      <c r="B28" s="27"/>
      <c r="C28" s="38"/>
      <c r="D28" s="16">
        <v>10181</v>
      </c>
      <c r="E28" s="25">
        <v>0.19444031707843454</v>
      </c>
      <c r="F28" s="17">
        <v>5016.2606099999994</v>
      </c>
      <c r="G28" s="25">
        <v>0.27997000422939466</v>
      </c>
    </row>
    <row r="29" spans="1:7" s="2" customFormat="1" ht="20.100000000000001" customHeight="1" x14ac:dyDescent="0.25">
      <c r="A29" s="68" t="s">
        <v>95</v>
      </c>
      <c r="B29" s="26"/>
      <c r="C29" s="36"/>
      <c r="D29" s="31">
        <v>307303</v>
      </c>
      <c r="E29" s="24">
        <v>5.8689807247965984</v>
      </c>
      <c r="F29" s="54">
        <v>103243.17591599999</v>
      </c>
      <c r="G29" s="24">
        <v>5.7622589105988764</v>
      </c>
    </row>
    <row r="30" spans="1:7" s="2" customFormat="1" ht="20.100000000000001" customHeight="1" x14ac:dyDescent="0.25">
      <c r="A30" s="69" t="s">
        <v>96</v>
      </c>
      <c r="B30" s="27"/>
      <c r="C30" s="38"/>
      <c r="D30" s="16">
        <v>172709</v>
      </c>
      <c r="E30" s="25">
        <v>3.2984571969648711</v>
      </c>
      <c r="F30" s="17">
        <v>60329.963411999997</v>
      </c>
      <c r="G30" s="25">
        <v>3.3671655890336338</v>
      </c>
    </row>
    <row r="31" spans="1:7" s="2" customFormat="1" ht="20.100000000000001" customHeight="1" x14ac:dyDescent="0.25">
      <c r="A31" s="68" t="s">
        <v>106</v>
      </c>
      <c r="B31" s="26"/>
      <c r="C31" s="36"/>
      <c r="D31" s="31">
        <v>385897.00000099995</v>
      </c>
      <c r="E31" s="24">
        <v>7.3699965661340814</v>
      </c>
      <c r="F31" s="54">
        <v>114583.98084799999</v>
      </c>
      <c r="G31" s="24">
        <v>6.3952174930232415</v>
      </c>
    </row>
    <row r="32" spans="1:7" s="2" customFormat="1" ht="20.100000000000001" customHeight="1" x14ac:dyDescent="0.25">
      <c r="A32" s="69" t="s">
        <v>97</v>
      </c>
      <c r="B32" s="27"/>
      <c r="C32" s="38"/>
      <c r="D32" s="16">
        <v>161241</v>
      </c>
      <c r="E32" s="25">
        <v>3.0794373014481744</v>
      </c>
      <c r="F32" s="17">
        <v>54808.882699999995</v>
      </c>
      <c r="G32" s="25">
        <v>3.0590203169941352</v>
      </c>
    </row>
    <row r="33" spans="1:7" s="2" customFormat="1" ht="20.100000000000001" customHeight="1" x14ac:dyDescent="0.25">
      <c r="A33" s="68" t="s">
        <v>98</v>
      </c>
      <c r="B33" s="26"/>
      <c r="C33" s="36"/>
      <c r="D33" s="31">
        <v>247029</v>
      </c>
      <c r="E33" s="24">
        <v>4.7178466837804347</v>
      </c>
      <c r="F33" s="54">
        <v>62787.338097</v>
      </c>
      <c r="G33" s="24">
        <v>3.5043177935225982</v>
      </c>
    </row>
    <row r="34" spans="1:7" s="2" customFormat="1" ht="20.100000000000001" customHeight="1" x14ac:dyDescent="0.25">
      <c r="A34" s="69" t="s">
        <v>99</v>
      </c>
      <c r="B34" s="27"/>
      <c r="C34" s="38"/>
      <c r="D34" s="16">
        <v>452824</v>
      </c>
      <c r="E34" s="25">
        <v>8.6481919399592417</v>
      </c>
      <c r="F34" s="17">
        <v>143122.730323</v>
      </c>
      <c r="G34" s="25">
        <v>7.9880362144607204</v>
      </c>
    </row>
    <row r="35" spans="1:7" s="2" customFormat="1" ht="20.100000000000001" customHeight="1" x14ac:dyDescent="0.25">
      <c r="A35" s="68" t="s">
        <v>100</v>
      </c>
      <c r="B35" s="26"/>
      <c r="C35" s="36"/>
      <c r="D35" s="31">
        <v>283073</v>
      </c>
      <c r="E35" s="24">
        <v>5.4062276668641296</v>
      </c>
      <c r="F35" s="54">
        <v>50820.893520000005</v>
      </c>
      <c r="G35" s="24">
        <v>2.8364407035335466</v>
      </c>
    </row>
    <row r="36" spans="1:7" s="2" customFormat="1" ht="20.100000000000001" customHeight="1" x14ac:dyDescent="0.25">
      <c r="A36" s="69" t="s">
        <v>101</v>
      </c>
      <c r="B36" s="27"/>
      <c r="C36" s="38"/>
      <c r="D36" s="16">
        <v>105500</v>
      </c>
      <c r="E36" s="25">
        <v>2.0148760879849568</v>
      </c>
      <c r="F36" s="17">
        <v>19115.248637000001</v>
      </c>
      <c r="G36" s="25">
        <v>1.0668696580632442</v>
      </c>
    </row>
    <row r="37" spans="1:7" s="2" customFormat="1" ht="20.100000000000001" customHeight="1" x14ac:dyDescent="0.25">
      <c r="A37" s="68" t="s">
        <v>102</v>
      </c>
      <c r="B37" s="26"/>
      <c r="C37" s="36"/>
      <c r="D37" s="31">
        <v>286603</v>
      </c>
      <c r="E37" s="24">
        <v>5.4736448478175594</v>
      </c>
      <c r="F37" s="54">
        <v>119038.776732</v>
      </c>
      <c r="G37" s="24">
        <v>6.6438507518292607</v>
      </c>
    </row>
    <row r="38" spans="1:7" s="2" customFormat="1" ht="20.100000000000001" customHeight="1" x14ac:dyDescent="0.25">
      <c r="A38" s="69" t="s">
        <v>103</v>
      </c>
      <c r="B38" s="27"/>
      <c r="C38" s="38"/>
      <c r="D38" s="16">
        <v>47238</v>
      </c>
      <c r="E38" s="25">
        <v>0.90216793027709363</v>
      </c>
      <c r="F38" s="17">
        <v>7333.6229999999996</v>
      </c>
      <c r="G38" s="25">
        <v>0.40930777364989934</v>
      </c>
    </row>
    <row r="39" spans="1:7" s="2" customFormat="1" ht="20.100000000000001" customHeight="1" x14ac:dyDescent="0.25">
      <c r="A39" s="201" t="s">
        <v>104</v>
      </c>
      <c r="B39" s="202"/>
      <c r="C39" s="203"/>
      <c r="D39" s="235">
        <v>5236054.0000010002</v>
      </c>
      <c r="E39" s="236">
        <v>100</v>
      </c>
      <c r="F39" s="237">
        <v>1791713.5886778443</v>
      </c>
      <c r="G39" s="236">
        <v>100</v>
      </c>
    </row>
    <row r="40" spans="1:7" ht="8.1" customHeight="1" thickBot="1" x14ac:dyDescent="0.2">
      <c r="A40" s="205"/>
      <c r="B40" s="206"/>
      <c r="C40" s="207"/>
      <c r="D40" s="210"/>
      <c r="E40" s="209"/>
      <c r="F40" s="209"/>
      <c r="G40" s="238"/>
    </row>
    <row r="41" spans="1:7" ht="12" customHeight="1" x14ac:dyDescent="0.15">
      <c r="A41" s="166"/>
      <c r="B41" s="166"/>
      <c r="C41" s="166"/>
      <c r="D41" s="212"/>
      <c r="E41" s="212"/>
      <c r="F41" s="212"/>
      <c r="G41" s="212"/>
    </row>
    <row r="42" spans="1:7" s="29" customFormat="1" ht="15" customHeight="1" x14ac:dyDescent="0.25">
      <c r="A42" s="217" t="s">
        <v>72</v>
      </c>
      <c r="B42" s="214"/>
      <c r="C42" s="214"/>
      <c r="D42" s="215"/>
      <c r="E42" s="215"/>
      <c r="F42" s="215"/>
      <c r="G42" s="218">
        <v>5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74</v>
      </c>
      <c r="B6" s="58"/>
      <c r="C6" s="59"/>
      <c r="D6" s="169"/>
      <c r="E6" s="170"/>
      <c r="F6" s="171"/>
      <c r="G6" s="170"/>
      <c r="H6" s="172"/>
      <c r="I6" s="172"/>
      <c r="J6" s="117" t="s">
        <v>74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220"/>
      <c r="E9" s="179" t="s">
        <v>0</v>
      </c>
      <c r="F9" s="179"/>
      <c r="G9" s="180"/>
      <c r="H9" s="179"/>
      <c r="I9" s="181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81" t="s">
        <v>227</v>
      </c>
      <c r="M10" s="81" t="s">
        <v>228</v>
      </c>
      <c r="N10" s="81" t="s">
        <v>224</v>
      </c>
      <c r="O10" s="81" t="s">
        <v>2</v>
      </c>
      <c r="P10" s="48"/>
      <c r="Q10" s="49"/>
      <c r="R10" s="50"/>
    </row>
    <row r="11" spans="1:18" s="23" customFormat="1" ht="21.9" customHeight="1" x14ac:dyDescent="0.25">
      <c r="A11" s="51"/>
      <c r="B11" s="52"/>
      <c r="C11" s="53"/>
      <c r="D11" s="11" t="s">
        <v>213</v>
      </c>
      <c r="E11" s="9"/>
      <c r="F11" s="9"/>
      <c r="G11" s="9"/>
      <c r="H11" s="9"/>
      <c r="I11" s="94"/>
      <c r="J11" s="107" t="s">
        <v>213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72">
        <v>196359</v>
      </c>
      <c r="E13" s="73">
        <v>242807</v>
      </c>
      <c r="F13" s="73">
        <v>79918</v>
      </c>
      <c r="G13" s="73">
        <v>85606</v>
      </c>
      <c r="H13" s="73">
        <v>115965</v>
      </c>
      <c r="I13" s="73">
        <v>72396</v>
      </c>
      <c r="J13" s="73">
        <v>43409</v>
      </c>
      <c r="K13" s="73">
        <v>13270</v>
      </c>
      <c r="L13" s="73">
        <v>9343</v>
      </c>
      <c r="M13" s="73">
        <v>5669</v>
      </c>
      <c r="N13" s="73">
        <v>3561</v>
      </c>
      <c r="O13" s="73">
        <v>868303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12">
        <v>148303</v>
      </c>
      <c r="E14" s="74">
        <v>224193</v>
      </c>
      <c r="F14" s="74">
        <v>64751</v>
      </c>
      <c r="G14" s="74">
        <v>67785</v>
      </c>
      <c r="H14" s="74">
        <v>84545</v>
      </c>
      <c r="I14" s="74">
        <v>41994</v>
      </c>
      <c r="J14" s="74">
        <v>18618</v>
      </c>
      <c r="K14" s="74">
        <v>4605</v>
      </c>
      <c r="L14" s="74">
        <v>2989</v>
      </c>
      <c r="M14" s="74">
        <v>1662</v>
      </c>
      <c r="N14" s="74">
        <v>991</v>
      </c>
      <c r="O14" s="74">
        <v>660436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72">
        <v>48074</v>
      </c>
      <c r="E15" s="73">
        <v>83896</v>
      </c>
      <c r="F15" s="73">
        <v>24961</v>
      </c>
      <c r="G15" s="73">
        <v>25126</v>
      </c>
      <c r="H15" s="73">
        <v>30815</v>
      </c>
      <c r="I15" s="73">
        <v>15826</v>
      </c>
      <c r="J15" s="73">
        <v>7600</v>
      </c>
      <c r="K15" s="73">
        <v>2134</v>
      </c>
      <c r="L15" s="73">
        <v>1584</v>
      </c>
      <c r="M15" s="73">
        <v>1015</v>
      </c>
      <c r="N15" s="73">
        <v>710</v>
      </c>
      <c r="O15" s="73">
        <v>241741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12">
        <v>1520</v>
      </c>
      <c r="E16" s="74">
        <v>7339</v>
      </c>
      <c r="F16" s="74">
        <v>2864</v>
      </c>
      <c r="G16" s="74">
        <v>3259</v>
      </c>
      <c r="H16" s="74">
        <v>4474</v>
      </c>
      <c r="I16" s="74">
        <v>2116</v>
      </c>
      <c r="J16" s="74">
        <v>761</v>
      </c>
      <c r="K16" s="74">
        <v>172</v>
      </c>
      <c r="L16" s="74">
        <v>109</v>
      </c>
      <c r="M16" s="74">
        <v>59</v>
      </c>
      <c r="N16" s="74">
        <v>31</v>
      </c>
      <c r="O16" s="74">
        <v>22704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72">
        <v>9574</v>
      </c>
      <c r="E17" s="73">
        <v>30075</v>
      </c>
      <c r="F17" s="73">
        <v>9362</v>
      </c>
      <c r="G17" s="73">
        <v>10638</v>
      </c>
      <c r="H17" s="73">
        <v>15606</v>
      </c>
      <c r="I17" s="73">
        <v>9911</v>
      </c>
      <c r="J17" s="73">
        <v>6053</v>
      </c>
      <c r="K17" s="73">
        <v>1995</v>
      </c>
      <c r="L17" s="73">
        <v>1567</v>
      </c>
      <c r="M17" s="73">
        <v>1148</v>
      </c>
      <c r="N17" s="73">
        <v>1276</v>
      </c>
      <c r="O17" s="73">
        <v>97205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12">
        <v>3482</v>
      </c>
      <c r="E18" s="74">
        <v>8355</v>
      </c>
      <c r="F18" s="74">
        <v>3071</v>
      </c>
      <c r="G18" s="74">
        <v>3430</v>
      </c>
      <c r="H18" s="74">
        <v>3942</v>
      </c>
      <c r="I18" s="74">
        <v>1796</v>
      </c>
      <c r="J18" s="74">
        <v>722</v>
      </c>
      <c r="K18" s="74">
        <v>243</v>
      </c>
      <c r="L18" s="74">
        <v>189</v>
      </c>
      <c r="M18" s="74">
        <v>136</v>
      </c>
      <c r="N18" s="74">
        <v>96</v>
      </c>
      <c r="O18" s="74">
        <v>25462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72">
        <v>2616</v>
      </c>
      <c r="E19" s="73">
        <v>8809</v>
      </c>
      <c r="F19" s="73">
        <v>2973</v>
      </c>
      <c r="G19" s="73">
        <v>3291</v>
      </c>
      <c r="H19" s="73">
        <v>4426</v>
      </c>
      <c r="I19" s="73">
        <v>2503</v>
      </c>
      <c r="J19" s="73">
        <v>1418</v>
      </c>
      <c r="K19" s="73">
        <v>424</v>
      </c>
      <c r="L19" s="73">
        <v>319</v>
      </c>
      <c r="M19" s="73">
        <v>266</v>
      </c>
      <c r="N19" s="73">
        <v>252</v>
      </c>
      <c r="O19" s="73">
        <v>27297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12">
        <v>4665</v>
      </c>
      <c r="E20" s="74">
        <v>8379</v>
      </c>
      <c r="F20" s="74">
        <v>2904</v>
      </c>
      <c r="G20" s="74">
        <v>3339</v>
      </c>
      <c r="H20" s="74">
        <v>3821</v>
      </c>
      <c r="I20" s="74">
        <v>1946</v>
      </c>
      <c r="J20" s="74">
        <v>842</v>
      </c>
      <c r="K20" s="74">
        <v>221</v>
      </c>
      <c r="L20" s="74">
        <v>135</v>
      </c>
      <c r="M20" s="74">
        <v>79</v>
      </c>
      <c r="N20" s="74">
        <v>44</v>
      </c>
      <c r="O20" s="74">
        <v>26375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72">
        <v>9445</v>
      </c>
      <c r="E21" s="73">
        <v>20714</v>
      </c>
      <c r="F21" s="73">
        <v>7068</v>
      </c>
      <c r="G21" s="73">
        <v>7945</v>
      </c>
      <c r="H21" s="73">
        <v>10930</v>
      </c>
      <c r="I21" s="73">
        <v>7245</v>
      </c>
      <c r="J21" s="73">
        <v>4575</v>
      </c>
      <c r="K21" s="73">
        <v>1559</v>
      </c>
      <c r="L21" s="73">
        <v>1158</v>
      </c>
      <c r="M21" s="73">
        <v>838</v>
      </c>
      <c r="N21" s="73">
        <v>792</v>
      </c>
      <c r="O21" s="73">
        <v>72269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12">
        <v>62741</v>
      </c>
      <c r="E22" s="74">
        <v>59551</v>
      </c>
      <c r="F22" s="74">
        <v>16603</v>
      </c>
      <c r="G22" s="74">
        <v>16463</v>
      </c>
      <c r="H22" s="74">
        <v>17284</v>
      </c>
      <c r="I22" s="74">
        <v>6932</v>
      </c>
      <c r="J22" s="74">
        <v>2857</v>
      </c>
      <c r="K22" s="74">
        <v>738</v>
      </c>
      <c r="L22" s="74">
        <v>464</v>
      </c>
      <c r="M22" s="74">
        <v>277</v>
      </c>
      <c r="N22" s="74">
        <v>172</v>
      </c>
      <c r="O22" s="74">
        <v>184082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72">
        <v>65936</v>
      </c>
      <c r="E23" s="73">
        <v>52562</v>
      </c>
      <c r="F23" s="73">
        <v>11939</v>
      </c>
      <c r="G23" s="73">
        <v>11266</v>
      </c>
      <c r="H23" s="73">
        <v>13006</v>
      </c>
      <c r="I23" s="73">
        <v>5938</v>
      </c>
      <c r="J23" s="73">
        <v>2628</v>
      </c>
      <c r="K23" s="73">
        <v>740</v>
      </c>
      <c r="L23" s="73">
        <v>453</v>
      </c>
      <c r="M23" s="73">
        <v>321</v>
      </c>
      <c r="N23" s="73">
        <v>197</v>
      </c>
      <c r="O23" s="73">
        <v>164986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12">
        <v>28848</v>
      </c>
      <c r="E24" s="74">
        <v>51196</v>
      </c>
      <c r="F24" s="74">
        <v>10587</v>
      </c>
      <c r="G24" s="74">
        <v>10029</v>
      </c>
      <c r="H24" s="74">
        <v>11966</v>
      </c>
      <c r="I24" s="74">
        <v>6639</v>
      </c>
      <c r="J24" s="74">
        <v>4034</v>
      </c>
      <c r="K24" s="74">
        <v>1324</v>
      </c>
      <c r="L24" s="74">
        <v>878</v>
      </c>
      <c r="M24" s="74">
        <v>586</v>
      </c>
      <c r="N24" s="74">
        <v>409</v>
      </c>
      <c r="O24" s="74">
        <v>126496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72">
        <v>51221</v>
      </c>
      <c r="E25" s="73">
        <v>59527</v>
      </c>
      <c r="F25" s="73">
        <v>15019</v>
      </c>
      <c r="G25" s="73">
        <v>14685</v>
      </c>
      <c r="H25" s="73">
        <v>17302</v>
      </c>
      <c r="I25" s="73">
        <v>8941</v>
      </c>
      <c r="J25" s="73">
        <v>4518</v>
      </c>
      <c r="K25" s="73">
        <v>1220</v>
      </c>
      <c r="L25" s="73">
        <v>776</v>
      </c>
      <c r="M25" s="73">
        <v>498</v>
      </c>
      <c r="N25" s="73">
        <v>336</v>
      </c>
      <c r="O25" s="73">
        <v>174043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12">
        <v>12768</v>
      </c>
      <c r="E26" s="74">
        <v>14878</v>
      </c>
      <c r="F26" s="74">
        <v>4483</v>
      </c>
      <c r="G26" s="74">
        <v>4757</v>
      </c>
      <c r="H26" s="74">
        <v>6536</v>
      </c>
      <c r="I26" s="74">
        <v>3704</v>
      </c>
      <c r="J26" s="74">
        <v>1694</v>
      </c>
      <c r="K26" s="74">
        <v>406</v>
      </c>
      <c r="L26" s="74">
        <v>246</v>
      </c>
      <c r="M26" s="74">
        <v>115</v>
      </c>
      <c r="N26" s="74">
        <v>60</v>
      </c>
      <c r="O26" s="74">
        <v>49647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72">
        <v>4547</v>
      </c>
      <c r="E27" s="73">
        <v>11619</v>
      </c>
      <c r="F27" s="73">
        <v>3763</v>
      </c>
      <c r="G27" s="73">
        <v>4213</v>
      </c>
      <c r="H27" s="73">
        <v>5869</v>
      </c>
      <c r="I27" s="73">
        <v>2997</v>
      </c>
      <c r="J27" s="73">
        <v>1482</v>
      </c>
      <c r="K27" s="73">
        <v>390</v>
      </c>
      <c r="L27" s="73">
        <v>253</v>
      </c>
      <c r="M27" s="73">
        <v>144</v>
      </c>
      <c r="N27" s="73">
        <v>133</v>
      </c>
      <c r="O27" s="73">
        <v>35410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12">
        <v>1327</v>
      </c>
      <c r="E28" s="74">
        <v>2966</v>
      </c>
      <c r="F28" s="74">
        <v>1125</v>
      </c>
      <c r="G28" s="74">
        <v>1212</v>
      </c>
      <c r="H28" s="74">
        <v>1674</v>
      </c>
      <c r="I28" s="74">
        <v>1018</v>
      </c>
      <c r="J28" s="74">
        <v>490</v>
      </c>
      <c r="K28" s="74">
        <v>137</v>
      </c>
      <c r="L28" s="74">
        <v>87</v>
      </c>
      <c r="M28" s="74">
        <v>89</v>
      </c>
      <c r="N28" s="74">
        <v>56</v>
      </c>
      <c r="O28" s="74">
        <v>10181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72">
        <v>40980</v>
      </c>
      <c r="E29" s="73">
        <v>106932</v>
      </c>
      <c r="F29" s="73">
        <v>31838</v>
      </c>
      <c r="G29" s="73">
        <v>34828</v>
      </c>
      <c r="H29" s="73">
        <v>48090</v>
      </c>
      <c r="I29" s="73">
        <v>25869</v>
      </c>
      <c r="J29" s="73">
        <v>11782</v>
      </c>
      <c r="K29" s="73">
        <v>3069</v>
      </c>
      <c r="L29" s="73">
        <v>2095</v>
      </c>
      <c r="M29" s="73">
        <v>1113</v>
      </c>
      <c r="N29" s="73">
        <v>707</v>
      </c>
      <c r="O29" s="73">
        <v>307303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12">
        <v>23436</v>
      </c>
      <c r="E30" s="74">
        <v>45822</v>
      </c>
      <c r="F30" s="74">
        <v>20045</v>
      </c>
      <c r="G30" s="74">
        <v>25339</v>
      </c>
      <c r="H30" s="74">
        <v>32734</v>
      </c>
      <c r="I30" s="74">
        <v>14852</v>
      </c>
      <c r="J30" s="74">
        <v>6493</v>
      </c>
      <c r="K30" s="74">
        <v>1657</v>
      </c>
      <c r="L30" s="74">
        <v>1123</v>
      </c>
      <c r="M30" s="74">
        <v>790</v>
      </c>
      <c r="N30" s="74">
        <v>418</v>
      </c>
      <c r="O30" s="74">
        <v>172709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72">
        <v>76532.528953000001</v>
      </c>
      <c r="E31" s="73">
        <v>130130.73761</v>
      </c>
      <c r="F31" s="73">
        <v>36076.466992000001</v>
      </c>
      <c r="G31" s="73">
        <v>37739.511488000004</v>
      </c>
      <c r="H31" s="73">
        <v>51000.754957999998</v>
      </c>
      <c r="I31" s="73">
        <v>31373</v>
      </c>
      <c r="J31" s="73">
        <v>15232</v>
      </c>
      <c r="K31" s="73">
        <v>3762</v>
      </c>
      <c r="L31" s="73">
        <v>2218</v>
      </c>
      <c r="M31" s="73">
        <v>1205</v>
      </c>
      <c r="N31" s="73">
        <v>627</v>
      </c>
      <c r="O31" s="73">
        <v>385897.00000099995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12">
        <v>28978</v>
      </c>
      <c r="E32" s="74">
        <v>51306</v>
      </c>
      <c r="F32" s="74">
        <v>16198</v>
      </c>
      <c r="G32" s="74">
        <v>17736</v>
      </c>
      <c r="H32" s="74">
        <v>23813</v>
      </c>
      <c r="I32" s="74">
        <v>13125</v>
      </c>
      <c r="J32" s="74">
        <v>6429</v>
      </c>
      <c r="K32" s="74">
        <v>1607</v>
      </c>
      <c r="L32" s="74">
        <v>1027</v>
      </c>
      <c r="M32" s="74">
        <v>630</v>
      </c>
      <c r="N32" s="74">
        <v>392</v>
      </c>
      <c r="O32" s="74">
        <v>161241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72">
        <v>75792</v>
      </c>
      <c r="E33" s="73">
        <v>72137</v>
      </c>
      <c r="F33" s="73">
        <v>24580</v>
      </c>
      <c r="G33" s="73">
        <v>25705</v>
      </c>
      <c r="H33" s="73">
        <v>26710</v>
      </c>
      <c r="I33" s="73">
        <v>11901</v>
      </c>
      <c r="J33" s="73">
        <v>5496</v>
      </c>
      <c r="K33" s="73">
        <v>1755</v>
      </c>
      <c r="L33" s="73">
        <v>1403</v>
      </c>
      <c r="M33" s="73">
        <v>1001</v>
      </c>
      <c r="N33" s="73">
        <v>549</v>
      </c>
      <c r="O33" s="73">
        <v>247029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12">
        <v>133776</v>
      </c>
      <c r="E34" s="74">
        <v>118403</v>
      </c>
      <c r="F34" s="74">
        <v>44407</v>
      </c>
      <c r="G34" s="74">
        <v>46359</v>
      </c>
      <c r="H34" s="74">
        <v>56532</v>
      </c>
      <c r="I34" s="74">
        <v>28941</v>
      </c>
      <c r="J34" s="74">
        <v>14282</v>
      </c>
      <c r="K34" s="74">
        <v>4255</v>
      </c>
      <c r="L34" s="74">
        <v>2954</v>
      </c>
      <c r="M34" s="74">
        <v>1821</v>
      </c>
      <c r="N34" s="74">
        <v>1094</v>
      </c>
      <c r="O34" s="74">
        <v>452824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72">
        <v>84783</v>
      </c>
      <c r="E35" s="73">
        <v>85353</v>
      </c>
      <c r="F35" s="73">
        <v>29812</v>
      </c>
      <c r="G35" s="73">
        <v>29742</v>
      </c>
      <c r="H35" s="73">
        <v>31747</v>
      </c>
      <c r="I35" s="73">
        <v>13836</v>
      </c>
      <c r="J35" s="73">
        <v>5110</v>
      </c>
      <c r="K35" s="73">
        <v>1217</v>
      </c>
      <c r="L35" s="73">
        <v>780</v>
      </c>
      <c r="M35" s="73">
        <v>441</v>
      </c>
      <c r="N35" s="73">
        <v>252</v>
      </c>
      <c r="O35" s="73">
        <v>283073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12">
        <v>33209</v>
      </c>
      <c r="E36" s="74">
        <v>35836</v>
      </c>
      <c r="F36" s="74">
        <v>9103</v>
      </c>
      <c r="G36" s="74">
        <v>9076</v>
      </c>
      <c r="H36" s="74">
        <v>10609</v>
      </c>
      <c r="I36" s="74">
        <v>4513</v>
      </c>
      <c r="J36" s="74">
        <v>1904</v>
      </c>
      <c r="K36" s="74">
        <v>506</v>
      </c>
      <c r="L36" s="74">
        <v>407</v>
      </c>
      <c r="M36" s="74">
        <v>204</v>
      </c>
      <c r="N36" s="74">
        <v>133</v>
      </c>
      <c r="O36" s="74">
        <v>105500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72">
        <v>116564</v>
      </c>
      <c r="E37" s="73">
        <v>74988</v>
      </c>
      <c r="F37" s="73">
        <v>19158</v>
      </c>
      <c r="G37" s="73">
        <v>19694</v>
      </c>
      <c r="H37" s="73">
        <v>25239</v>
      </c>
      <c r="I37" s="73">
        <v>14165</v>
      </c>
      <c r="J37" s="73">
        <v>8371</v>
      </c>
      <c r="K37" s="73">
        <v>2775</v>
      </c>
      <c r="L37" s="73">
        <v>2409</v>
      </c>
      <c r="M37" s="73">
        <v>1771</v>
      </c>
      <c r="N37" s="73">
        <v>1469</v>
      </c>
      <c r="O37" s="73">
        <v>286603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12">
        <v>18787</v>
      </c>
      <c r="E38" s="74">
        <v>12137</v>
      </c>
      <c r="F38" s="74">
        <v>4230</v>
      </c>
      <c r="G38" s="74">
        <v>4487</v>
      </c>
      <c r="H38" s="74">
        <v>4935</v>
      </c>
      <c r="I38" s="74">
        <v>1704</v>
      </c>
      <c r="J38" s="74">
        <v>589</v>
      </c>
      <c r="K38" s="74">
        <v>153</v>
      </c>
      <c r="L38" s="74">
        <v>119</v>
      </c>
      <c r="M38" s="74">
        <v>51</v>
      </c>
      <c r="N38" s="74">
        <v>46</v>
      </c>
      <c r="O38" s="74">
        <v>47238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24">
        <v>1284263.528953</v>
      </c>
      <c r="E39" s="225">
        <v>1619910.73761</v>
      </c>
      <c r="F39" s="225">
        <v>496838.466992</v>
      </c>
      <c r="G39" s="225">
        <v>523749.51148799999</v>
      </c>
      <c r="H39" s="225">
        <v>659570.75495800003</v>
      </c>
      <c r="I39" s="225">
        <v>352181</v>
      </c>
      <c r="J39" s="225">
        <v>177389</v>
      </c>
      <c r="K39" s="225">
        <v>50334</v>
      </c>
      <c r="L39" s="225">
        <v>35085</v>
      </c>
      <c r="M39" s="225">
        <v>21929</v>
      </c>
      <c r="N39" s="225">
        <v>14803</v>
      </c>
      <c r="O39" s="225">
        <v>5236054.0000010002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6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7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75</v>
      </c>
      <c r="B6" s="58"/>
      <c r="C6" s="59"/>
      <c r="D6" s="169"/>
      <c r="E6" s="170"/>
      <c r="F6" s="171"/>
      <c r="G6" s="170"/>
      <c r="H6" s="172"/>
      <c r="I6" s="172"/>
      <c r="J6" s="117" t="s">
        <v>75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85"/>
      <c r="E9" s="79" t="s">
        <v>0</v>
      </c>
      <c r="F9" s="79"/>
      <c r="G9" s="78"/>
      <c r="H9" s="79"/>
      <c r="I9" s="83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115</v>
      </c>
      <c r="E11" s="9"/>
      <c r="F11" s="9"/>
      <c r="G11" s="9"/>
      <c r="H11" s="9"/>
      <c r="I11" s="94"/>
      <c r="J11" s="107" t="s">
        <v>115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100">
        <v>0</v>
      </c>
      <c r="E13" s="98">
        <v>4409.7660020000003</v>
      </c>
      <c r="F13" s="98">
        <v>5847.3593099999998</v>
      </c>
      <c r="G13" s="98">
        <v>12435.355517</v>
      </c>
      <c r="H13" s="98">
        <v>37845.371930000001</v>
      </c>
      <c r="I13" s="98">
        <v>51207.805700999997</v>
      </c>
      <c r="J13" s="98">
        <v>60152.109608999999</v>
      </c>
      <c r="K13" s="98">
        <v>32180.653730000002</v>
      </c>
      <c r="L13" s="98">
        <v>35522.790287000003</v>
      </c>
      <c r="M13" s="98">
        <v>38505.909</v>
      </c>
      <c r="N13" s="98">
        <v>113038.827</v>
      </c>
      <c r="O13" s="98">
        <v>391145.94808599999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11">
        <v>0</v>
      </c>
      <c r="E14" s="99">
        <v>3621.9179239999999</v>
      </c>
      <c r="F14" s="99">
        <v>4709.7784369999999</v>
      </c>
      <c r="G14" s="99">
        <v>9801.1030859999992</v>
      </c>
      <c r="H14" s="99">
        <v>27299.067276999998</v>
      </c>
      <c r="I14" s="99">
        <v>29162.850575</v>
      </c>
      <c r="J14" s="99">
        <v>25397.884125</v>
      </c>
      <c r="K14" s="99">
        <v>11136.77188</v>
      </c>
      <c r="L14" s="99">
        <v>11342.740626999999</v>
      </c>
      <c r="M14" s="99">
        <v>11302.112927</v>
      </c>
      <c r="N14" s="99">
        <v>33874.369262</v>
      </c>
      <c r="O14" s="99">
        <v>167648.59612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0">
        <v>0</v>
      </c>
      <c r="E15" s="98">
        <v>1442.262461</v>
      </c>
      <c r="F15" s="98">
        <v>1803.07852</v>
      </c>
      <c r="G15" s="98">
        <v>3619.9885949999998</v>
      </c>
      <c r="H15" s="98">
        <v>9939.4546740000005</v>
      </c>
      <c r="I15" s="98">
        <v>11045.961229</v>
      </c>
      <c r="J15" s="98">
        <v>10454.777172</v>
      </c>
      <c r="K15" s="98">
        <v>5176.9375179999997</v>
      </c>
      <c r="L15" s="98">
        <v>6051.9305910000003</v>
      </c>
      <c r="M15" s="98">
        <v>6964.4853240000002</v>
      </c>
      <c r="N15" s="98">
        <v>26039.949132000002</v>
      </c>
      <c r="O15" s="98">
        <v>82538.825216000012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11">
        <v>0</v>
      </c>
      <c r="E16" s="99">
        <v>140.54200499999999</v>
      </c>
      <c r="F16" s="99">
        <v>209.58836299999999</v>
      </c>
      <c r="G16" s="99">
        <v>474.15691199999998</v>
      </c>
      <c r="H16" s="99">
        <v>1443.2290599999999</v>
      </c>
      <c r="I16" s="99">
        <v>1455.314905</v>
      </c>
      <c r="J16" s="99">
        <v>1026.4641260000001</v>
      </c>
      <c r="K16" s="99">
        <v>415.91470199999998</v>
      </c>
      <c r="L16" s="99">
        <v>412.163116</v>
      </c>
      <c r="M16" s="99">
        <v>418.03686499999998</v>
      </c>
      <c r="N16" s="99">
        <v>582.63786900000002</v>
      </c>
      <c r="O16" s="99">
        <v>6578.0479230000001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0">
        <v>0</v>
      </c>
      <c r="E17" s="98">
        <v>511.22179899999998</v>
      </c>
      <c r="F17" s="98">
        <v>680.12296900000001</v>
      </c>
      <c r="G17" s="98">
        <v>1546.0220429999999</v>
      </c>
      <c r="H17" s="98">
        <v>5119.9024749999999</v>
      </c>
      <c r="I17" s="98">
        <v>6982.5700779999997</v>
      </c>
      <c r="J17" s="98">
        <v>8386.9092619999992</v>
      </c>
      <c r="K17" s="98">
        <v>4861.3230100000001</v>
      </c>
      <c r="L17" s="98">
        <v>6041.9113530000004</v>
      </c>
      <c r="M17" s="98">
        <v>7893.7211189999998</v>
      </c>
      <c r="N17" s="98">
        <v>68688.005562000006</v>
      </c>
      <c r="O17" s="98">
        <v>110711.70967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11">
        <v>0</v>
      </c>
      <c r="E18" s="99">
        <v>153.327957</v>
      </c>
      <c r="F18" s="99">
        <v>223.985287</v>
      </c>
      <c r="G18" s="99">
        <v>498.10703999999998</v>
      </c>
      <c r="H18" s="99">
        <v>1258.824936</v>
      </c>
      <c r="I18" s="99">
        <v>1245.239077</v>
      </c>
      <c r="J18" s="99">
        <v>981.83714099999997</v>
      </c>
      <c r="K18" s="99">
        <v>589.98208099999999</v>
      </c>
      <c r="L18" s="99">
        <v>727.13673900000003</v>
      </c>
      <c r="M18" s="99">
        <v>985.70043399999997</v>
      </c>
      <c r="N18" s="99">
        <v>5389.861382</v>
      </c>
      <c r="O18" s="99">
        <v>12054.002074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0">
        <v>0</v>
      </c>
      <c r="E19" s="98">
        <v>159.43136999999999</v>
      </c>
      <c r="F19" s="98">
        <v>216.87879599999999</v>
      </c>
      <c r="G19" s="98">
        <v>478.72486099999998</v>
      </c>
      <c r="H19" s="98">
        <v>1428.2994180000001</v>
      </c>
      <c r="I19" s="98">
        <v>1753.7159509999999</v>
      </c>
      <c r="J19" s="98">
        <v>1972.6498489999999</v>
      </c>
      <c r="K19" s="98">
        <v>1033.097276</v>
      </c>
      <c r="L19" s="98">
        <v>1213.52268</v>
      </c>
      <c r="M19" s="98">
        <v>1937.2462720000001</v>
      </c>
      <c r="N19" s="98">
        <v>18541.780937</v>
      </c>
      <c r="O19" s="98">
        <v>28735.347409999998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11">
        <v>0</v>
      </c>
      <c r="E20" s="99">
        <v>147.59325699999999</v>
      </c>
      <c r="F20" s="99">
        <v>212.505966</v>
      </c>
      <c r="G20" s="99">
        <v>479.98976800000003</v>
      </c>
      <c r="H20" s="99">
        <v>1223.442266</v>
      </c>
      <c r="I20" s="99">
        <v>1349.5966800000001</v>
      </c>
      <c r="J20" s="99">
        <v>1133.8619779999999</v>
      </c>
      <c r="K20" s="99">
        <v>530.18344300000001</v>
      </c>
      <c r="L20" s="99">
        <v>501.06951299999997</v>
      </c>
      <c r="M20" s="99">
        <v>530.86262399999998</v>
      </c>
      <c r="N20" s="99">
        <v>1420.8577929999999</v>
      </c>
      <c r="O20" s="99">
        <v>7529.9632879999999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0">
        <v>0</v>
      </c>
      <c r="E21" s="98">
        <v>366.21627681243518</v>
      </c>
      <c r="F21" s="98">
        <v>518.16746802106843</v>
      </c>
      <c r="G21" s="98">
        <v>1157.5672677852035</v>
      </c>
      <c r="H21" s="98">
        <v>3578.7524383572686</v>
      </c>
      <c r="I21" s="98">
        <v>5149.1515752016412</v>
      </c>
      <c r="J21" s="98">
        <v>6361.6201545650611</v>
      </c>
      <c r="K21" s="98">
        <v>3779.8883509100733</v>
      </c>
      <c r="L21" s="98">
        <v>4425.0113436879365</v>
      </c>
      <c r="M21" s="98">
        <v>5853.2907336701082</v>
      </c>
      <c r="N21" s="98">
        <v>28938.290151833415</v>
      </c>
      <c r="O21" s="98">
        <v>60127.955760844212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11">
        <v>0</v>
      </c>
      <c r="E22" s="99">
        <v>978.64084000000003</v>
      </c>
      <c r="F22" s="99">
        <v>1199.8454429999999</v>
      </c>
      <c r="G22" s="99">
        <v>2369.0029260000001</v>
      </c>
      <c r="H22" s="99">
        <v>5472.3080140000002</v>
      </c>
      <c r="I22" s="99">
        <v>4778.9411829999999</v>
      </c>
      <c r="J22" s="99">
        <v>3904.4006220000001</v>
      </c>
      <c r="K22" s="99">
        <v>1781.603073</v>
      </c>
      <c r="L22" s="99">
        <v>1767.0132229999999</v>
      </c>
      <c r="M22" s="99">
        <v>1914.155651</v>
      </c>
      <c r="N22" s="99">
        <v>6303.138978</v>
      </c>
      <c r="O22" s="99">
        <v>30469.049953000002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0">
        <v>0</v>
      </c>
      <c r="E23" s="98">
        <v>763.66883900000005</v>
      </c>
      <c r="F23" s="98">
        <v>861.31085199999995</v>
      </c>
      <c r="G23" s="98">
        <v>1618.1227510000001</v>
      </c>
      <c r="H23" s="98">
        <v>4156.2690730000004</v>
      </c>
      <c r="I23" s="98">
        <v>4125.4033790000003</v>
      </c>
      <c r="J23" s="98">
        <v>3629.4988640000001</v>
      </c>
      <c r="K23" s="98">
        <v>1788.3049980000001</v>
      </c>
      <c r="L23" s="98">
        <v>1737.481346</v>
      </c>
      <c r="M23" s="98">
        <v>2219.5727959999999</v>
      </c>
      <c r="N23" s="98">
        <v>6197.2513019999997</v>
      </c>
      <c r="O23" s="98">
        <v>27096.884200000004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11">
        <v>0</v>
      </c>
      <c r="E24" s="99">
        <v>688.76993600000003</v>
      </c>
      <c r="F24" s="99">
        <v>763.83869500000003</v>
      </c>
      <c r="G24" s="99">
        <v>1446.844947</v>
      </c>
      <c r="H24" s="99">
        <v>3856.201274</v>
      </c>
      <c r="I24" s="99">
        <v>4681.4784419999996</v>
      </c>
      <c r="J24" s="99">
        <v>5576.7110819999998</v>
      </c>
      <c r="K24" s="99">
        <v>3216.64914</v>
      </c>
      <c r="L24" s="99">
        <v>3365.9496939999999</v>
      </c>
      <c r="M24" s="99">
        <v>4018.53253</v>
      </c>
      <c r="N24" s="99">
        <v>28456.269339999999</v>
      </c>
      <c r="O24" s="99">
        <v>56071.245079999993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0">
        <v>0</v>
      </c>
      <c r="E25" s="98">
        <v>908.75561000000005</v>
      </c>
      <c r="F25" s="98">
        <v>1082.1073759999999</v>
      </c>
      <c r="G25" s="98">
        <v>2120.7177820000002</v>
      </c>
      <c r="H25" s="98">
        <v>5571.1608999999999</v>
      </c>
      <c r="I25" s="98">
        <v>6247.3732970000001</v>
      </c>
      <c r="J25" s="98">
        <v>6171.1285909999997</v>
      </c>
      <c r="K25" s="98">
        <v>2938.7439890000001</v>
      </c>
      <c r="L25" s="98">
        <v>2959.3799279999998</v>
      </c>
      <c r="M25" s="98">
        <v>3367.9505439999998</v>
      </c>
      <c r="N25" s="98">
        <v>12705.101102000001</v>
      </c>
      <c r="O25" s="98">
        <v>44072.419118999998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11">
        <v>0</v>
      </c>
      <c r="E26" s="99">
        <v>259.690111</v>
      </c>
      <c r="F26" s="99">
        <v>326.30825399999998</v>
      </c>
      <c r="G26" s="99">
        <v>696.78340900000001</v>
      </c>
      <c r="H26" s="99">
        <v>2125.99865</v>
      </c>
      <c r="I26" s="99">
        <v>2591.8348930000002</v>
      </c>
      <c r="J26" s="99">
        <v>2310.536807</v>
      </c>
      <c r="K26" s="99">
        <v>969.958933</v>
      </c>
      <c r="L26" s="99">
        <v>930.31768199999999</v>
      </c>
      <c r="M26" s="99">
        <v>768.83173599999998</v>
      </c>
      <c r="N26" s="99">
        <v>1695.8147980000001</v>
      </c>
      <c r="O26" s="99">
        <v>12676.075273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0">
        <v>0</v>
      </c>
      <c r="E27" s="98">
        <v>196.463888</v>
      </c>
      <c r="F27" s="98">
        <v>275.23169200000001</v>
      </c>
      <c r="G27" s="98">
        <v>611.49241099999995</v>
      </c>
      <c r="H27" s="98">
        <v>1897.8362079999999</v>
      </c>
      <c r="I27" s="98">
        <v>2093.834887</v>
      </c>
      <c r="J27" s="98">
        <v>2019.2906720000001</v>
      </c>
      <c r="K27" s="98">
        <v>941.62766799999997</v>
      </c>
      <c r="L27" s="98">
        <v>972.96668799999998</v>
      </c>
      <c r="M27" s="98">
        <v>971.66646800000001</v>
      </c>
      <c r="N27" s="98">
        <v>4076.2351279999998</v>
      </c>
      <c r="O27" s="98">
        <v>14056.645710000001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11">
        <v>0</v>
      </c>
      <c r="E28" s="99">
        <v>59.068091000000003</v>
      </c>
      <c r="F28" s="99">
        <v>81.719471999999996</v>
      </c>
      <c r="G28" s="99">
        <v>176.35448</v>
      </c>
      <c r="H28" s="99">
        <v>548.48848999999996</v>
      </c>
      <c r="I28" s="99">
        <v>716.38787400000001</v>
      </c>
      <c r="J28" s="99">
        <v>659.63199699999996</v>
      </c>
      <c r="K28" s="99">
        <v>328.58452</v>
      </c>
      <c r="L28" s="99">
        <v>331.01174099999997</v>
      </c>
      <c r="M28" s="99">
        <v>599.12869599999999</v>
      </c>
      <c r="N28" s="99">
        <v>1515.8852489999999</v>
      </c>
      <c r="O28" s="99">
        <v>5016.2606099999994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0">
        <v>0</v>
      </c>
      <c r="E29" s="98">
        <v>1755.021739</v>
      </c>
      <c r="F29" s="98">
        <v>2311.8846079999998</v>
      </c>
      <c r="G29" s="98">
        <v>5065.6369180000002</v>
      </c>
      <c r="H29" s="98">
        <v>15591.055399999999</v>
      </c>
      <c r="I29" s="98">
        <v>18055.088521000001</v>
      </c>
      <c r="J29" s="98">
        <v>16113.463689</v>
      </c>
      <c r="K29" s="98">
        <v>7435.3921209999999</v>
      </c>
      <c r="L29" s="98">
        <v>7980.562242</v>
      </c>
      <c r="M29" s="98">
        <v>7499.5753450000002</v>
      </c>
      <c r="N29" s="98">
        <v>21435.495332999999</v>
      </c>
      <c r="O29" s="98">
        <v>103243.17591599999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11">
        <v>0</v>
      </c>
      <c r="E30" s="99">
        <v>869.53040099999998</v>
      </c>
      <c r="F30" s="99">
        <v>1464.118393</v>
      </c>
      <c r="G30" s="99">
        <v>3698.9170370000002</v>
      </c>
      <c r="H30" s="99">
        <v>10447.549300000001</v>
      </c>
      <c r="I30" s="99">
        <v>10309.771543000001</v>
      </c>
      <c r="J30" s="99">
        <v>8843.7788860000001</v>
      </c>
      <c r="K30" s="99">
        <v>4003.9969689999998</v>
      </c>
      <c r="L30" s="99">
        <v>4241.9179329999997</v>
      </c>
      <c r="M30" s="99">
        <v>5400.6342930000001</v>
      </c>
      <c r="N30" s="99">
        <v>11049.748657</v>
      </c>
      <c r="O30" s="99">
        <v>60329.963412000005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0">
        <v>0</v>
      </c>
      <c r="E31" s="98">
        <v>2033.662881</v>
      </c>
      <c r="F31" s="98">
        <v>2620.4391110000001</v>
      </c>
      <c r="G31" s="98">
        <v>5462.7096199999996</v>
      </c>
      <c r="H31" s="98">
        <v>16678.067492999999</v>
      </c>
      <c r="I31" s="98">
        <v>22021.879083</v>
      </c>
      <c r="J31" s="98">
        <v>20832.284963999999</v>
      </c>
      <c r="K31" s="98">
        <v>9081.1637759999994</v>
      </c>
      <c r="L31" s="98">
        <v>8408.5990999999995</v>
      </c>
      <c r="M31" s="98">
        <v>8138.572725</v>
      </c>
      <c r="N31" s="98">
        <v>19306.602094999998</v>
      </c>
      <c r="O31" s="98">
        <v>114583.98084800001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11">
        <v>0</v>
      </c>
      <c r="E32" s="99">
        <v>860.20039999999995</v>
      </c>
      <c r="F32" s="99">
        <v>1183.2248</v>
      </c>
      <c r="G32" s="99">
        <v>2583.4313999999999</v>
      </c>
      <c r="H32" s="99">
        <v>7755.3864999999996</v>
      </c>
      <c r="I32" s="99">
        <v>9192.1101999999992</v>
      </c>
      <c r="J32" s="99">
        <v>8780.0723999999991</v>
      </c>
      <c r="K32" s="99">
        <v>3889.2995999999998</v>
      </c>
      <c r="L32" s="99">
        <v>3861.8710999999998</v>
      </c>
      <c r="M32" s="99">
        <v>4310.1787999999997</v>
      </c>
      <c r="N32" s="99">
        <v>12393.1075</v>
      </c>
      <c r="O32" s="99">
        <v>54808.882700000002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0">
        <v>0</v>
      </c>
      <c r="E33" s="98">
        <v>1203.387907</v>
      </c>
      <c r="F33" s="98">
        <v>1785.5682629999999</v>
      </c>
      <c r="G33" s="98">
        <v>3701.314155</v>
      </c>
      <c r="H33" s="98">
        <v>8464.6634720000002</v>
      </c>
      <c r="I33" s="98">
        <v>8270.2993069999993</v>
      </c>
      <c r="J33" s="98">
        <v>7540.3198169999996</v>
      </c>
      <c r="K33" s="98">
        <v>4280.524375</v>
      </c>
      <c r="L33" s="98">
        <v>5376.7040999999999</v>
      </c>
      <c r="M33" s="98">
        <v>6844.4070920000004</v>
      </c>
      <c r="N33" s="98">
        <v>15320.149609</v>
      </c>
      <c r="O33" s="98">
        <v>62787.338097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11">
        <v>0</v>
      </c>
      <c r="E34" s="99">
        <v>2217.6904009999998</v>
      </c>
      <c r="F34" s="99">
        <v>3242.865425</v>
      </c>
      <c r="G34" s="99">
        <v>6685.5509089999996</v>
      </c>
      <c r="H34" s="99">
        <v>18262.596829999999</v>
      </c>
      <c r="I34" s="99">
        <v>20233.475635999999</v>
      </c>
      <c r="J34" s="99">
        <v>19662.249951000002</v>
      </c>
      <c r="K34" s="99">
        <v>10310.613658</v>
      </c>
      <c r="L34" s="99">
        <v>11237.060221</v>
      </c>
      <c r="M34" s="99">
        <v>12468.100436000001</v>
      </c>
      <c r="N34" s="99">
        <v>38802.526855999997</v>
      </c>
      <c r="O34" s="99">
        <v>143122.730323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0">
        <v>0</v>
      </c>
      <c r="E35" s="98">
        <v>1441.496903</v>
      </c>
      <c r="F35" s="98">
        <v>2160.4993890000001</v>
      </c>
      <c r="G35" s="98">
        <v>4257.838479</v>
      </c>
      <c r="H35" s="98">
        <v>10132.760635000001</v>
      </c>
      <c r="I35" s="98">
        <v>9513.3227559999996</v>
      </c>
      <c r="J35" s="98">
        <v>6920.5391440000003</v>
      </c>
      <c r="K35" s="98">
        <v>2942.777188</v>
      </c>
      <c r="L35" s="98">
        <v>2963.0382209999998</v>
      </c>
      <c r="M35" s="98">
        <v>3043.7560349999999</v>
      </c>
      <c r="N35" s="98">
        <v>7444.8647700000001</v>
      </c>
      <c r="O35" s="98">
        <v>50820.893520000005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11">
        <v>0</v>
      </c>
      <c r="E36" s="99">
        <v>549.09451000000001</v>
      </c>
      <c r="F36" s="99">
        <v>660.66807100000005</v>
      </c>
      <c r="G36" s="99">
        <v>1313.6493680000001</v>
      </c>
      <c r="H36" s="99">
        <v>3377.4382639999999</v>
      </c>
      <c r="I36" s="99">
        <v>3116.8470750000001</v>
      </c>
      <c r="J36" s="99">
        <v>2626.1125769999999</v>
      </c>
      <c r="K36" s="99">
        <v>1224.0628160000001</v>
      </c>
      <c r="L36" s="99">
        <v>1545.6977380000001</v>
      </c>
      <c r="M36" s="99">
        <v>1382.9730259999999</v>
      </c>
      <c r="N36" s="99">
        <v>3318.7051919999999</v>
      </c>
      <c r="O36" s="99">
        <v>19115.248636999997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0">
        <v>0</v>
      </c>
      <c r="E37" s="98">
        <v>1133.3926819999999</v>
      </c>
      <c r="F37" s="98">
        <v>1385.5768660000001</v>
      </c>
      <c r="G37" s="98">
        <v>2848.7535849999999</v>
      </c>
      <c r="H37" s="98">
        <v>8159.2923769999998</v>
      </c>
      <c r="I37" s="98">
        <v>9989.9114140000001</v>
      </c>
      <c r="J37" s="98">
        <v>11635.004181</v>
      </c>
      <c r="K37" s="98">
        <v>6745.0606100000005</v>
      </c>
      <c r="L37" s="98">
        <v>9248.7157700000007</v>
      </c>
      <c r="M37" s="98">
        <v>12243.297947999999</v>
      </c>
      <c r="N37" s="98">
        <v>55649.771299</v>
      </c>
      <c r="O37" s="98">
        <v>119038.776732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11">
        <v>0</v>
      </c>
      <c r="E38" s="99">
        <v>218.465</v>
      </c>
      <c r="F38" s="99">
        <v>309.64400000000001</v>
      </c>
      <c r="G38" s="99">
        <v>653.38900000000001</v>
      </c>
      <c r="H38" s="99">
        <v>1547.498</v>
      </c>
      <c r="I38" s="99">
        <v>1167.1199999999999</v>
      </c>
      <c r="J38" s="99">
        <v>797.32600000000002</v>
      </c>
      <c r="K38" s="99">
        <v>363.97899999999998</v>
      </c>
      <c r="L38" s="99">
        <v>441.49900000000002</v>
      </c>
      <c r="M38" s="99">
        <v>352.54399999999998</v>
      </c>
      <c r="N38" s="99">
        <v>1482.1590000000001</v>
      </c>
      <c r="O38" s="99">
        <v>7333.6229999999996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22">
        <v>0</v>
      </c>
      <c r="E39" s="223">
        <v>27089.279190812438</v>
      </c>
      <c r="F39" s="223">
        <v>36136.315826021077</v>
      </c>
      <c r="G39" s="223">
        <v>75801.5242667852</v>
      </c>
      <c r="H39" s="223">
        <v>213180.91535435728</v>
      </c>
      <c r="I39" s="223">
        <v>246457.2852612017</v>
      </c>
      <c r="J39" s="223">
        <v>243890.46366056503</v>
      </c>
      <c r="K39" s="223">
        <v>121947.09442491007</v>
      </c>
      <c r="L39" s="223">
        <v>133608.06197668795</v>
      </c>
      <c r="M39" s="223">
        <v>149935.24341967006</v>
      </c>
      <c r="N39" s="223">
        <v>543667.40529683337</v>
      </c>
      <c r="O39" s="223">
        <v>1791713.588677844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8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9</v>
      </c>
    </row>
  </sheetData>
  <conditionalFormatting sqref="D13:D39">
    <cfRule type="cellIs" dxfId="54" priority="1" stopIfTrue="1" operator="greaterThan">
      <formula>0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4" t="s">
        <v>6</v>
      </c>
      <c r="B1" s="5"/>
      <c r="C1" s="5"/>
      <c r="D1" s="164"/>
      <c r="E1" s="165"/>
      <c r="F1" s="165"/>
      <c r="G1" s="165"/>
      <c r="H1" s="165"/>
      <c r="I1" s="165"/>
      <c r="J1" s="4" t="s">
        <v>6</v>
      </c>
      <c r="K1" s="5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4" t="s">
        <v>241</v>
      </c>
      <c r="B2" s="5"/>
      <c r="C2" s="5"/>
      <c r="D2" s="164"/>
      <c r="E2" s="165"/>
      <c r="F2" s="165"/>
      <c r="G2" s="165"/>
      <c r="H2" s="165"/>
      <c r="I2" s="165"/>
      <c r="J2" s="4" t="s">
        <v>241</v>
      </c>
      <c r="K2" s="5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4" t="s">
        <v>5</v>
      </c>
      <c r="B3" s="5"/>
      <c r="C3" s="5"/>
      <c r="D3" s="164"/>
      <c r="E3" s="165"/>
      <c r="F3" s="165"/>
      <c r="G3" s="165"/>
      <c r="H3" s="165"/>
      <c r="I3" s="165"/>
      <c r="J3" s="4" t="s">
        <v>5</v>
      </c>
      <c r="K3" s="5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7"/>
      <c r="B4" s="7"/>
      <c r="C4" s="7"/>
      <c r="D4" s="167"/>
      <c r="E4" s="167"/>
      <c r="F4" s="167"/>
      <c r="G4" s="167"/>
      <c r="H4" s="167"/>
      <c r="I4" s="167"/>
      <c r="J4" s="7"/>
      <c r="K4" s="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20" t="s">
        <v>78</v>
      </c>
      <c r="B5" s="7"/>
      <c r="C5" s="7"/>
      <c r="D5" s="167"/>
      <c r="E5" s="167"/>
      <c r="F5" s="167"/>
      <c r="G5" s="167"/>
      <c r="H5" s="167"/>
      <c r="I5" s="167"/>
      <c r="J5" s="20" t="s">
        <v>78</v>
      </c>
      <c r="K5" s="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77</v>
      </c>
      <c r="B6" s="58"/>
      <c r="C6" s="59"/>
      <c r="D6" s="169"/>
      <c r="E6" s="170"/>
      <c r="F6" s="171"/>
      <c r="G6" s="170"/>
      <c r="H6" s="172"/>
      <c r="I6" s="172"/>
      <c r="J6" s="117" t="s">
        <v>77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219"/>
      <c r="E8" s="173" t="s">
        <v>1</v>
      </c>
      <c r="F8" s="173"/>
      <c r="G8" s="174"/>
      <c r="H8" s="173"/>
      <c r="I8" s="175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220"/>
      <c r="E9" s="179" t="s">
        <v>0</v>
      </c>
      <c r="F9" s="179"/>
      <c r="G9" s="180"/>
      <c r="H9" s="179"/>
      <c r="I9" s="181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221" t="s">
        <v>31</v>
      </c>
      <c r="E10" s="185" t="s">
        <v>215</v>
      </c>
      <c r="F10" s="185" t="s">
        <v>220</v>
      </c>
      <c r="G10" s="185" t="s">
        <v>221</v>
      </c>
      <c r="H10" s="185" t="s">
        <v>222</v>
      </c>
      <c r="I10" s="185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116</v>
      </c>
      <c r="E11" s="9"/>
      <c r="F11" s="9"/>
      <c r="G11" s="9"/>
      <c r="H11" s="9"/>
      <c r="I11" s="94"/>
      <c r="J11" s="107" t="s">
        <v>116</v>
      </c>
      <c r="K11" s="9"/>
      <c r="L11" s="9"/>
      <c r="M11" s="9"/>
      <c r="N11" s="9"/>
      <c r="O11" s="94"/>
      <c r="P11" s="95"/>
      <c r="Q11" s="96"/>
      <c r="R11" s="97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"/>
      <c r="M12" s="19"/>
      <c r="O12" s="75"/>
      <c r="P12" s="33"/>
      <c r="Q12" s="8"/>
      <c r="R12" s="34"/>
    </row>
    <row r="13" spans="1:18" s="2" customFormat="1" ht="20.100000000000001" customHeight="1" x14ac:dyDescent="0.25">
      <c r="A13" s="68" t="s">
        <v>107</v>
      </c>
      <c r="B13" s="26"/>
      <c r="C13" s="36"/>
      <c r="D13" s="103">
        <v>22.614110512113857</v>
      </c>
      <c r="E13" s="101">
        <v>27.96339526639894</v>
      </c>
      <c r="F13" s="101">
        <v>9.203929964540027</v>
      </c>
      <c r="G13" s="101">
        <v>9.8590008326586442</v>
      </c>
      <c r="H13" s="101">
        <v>13.355360974222132</v>
      </c>
      <c r="I13" s="101">
        <v>8.3376425049781009</v>
      </c>
      <c r="J13" s="101">
        <v>4.9992917218989223</v>
      </c>
      <c r="K13" s="101">
        <v>1.5282683579349603</v>
      </c>
      <c r="L13" s="101">
        <v>1.0760068777834464</v>
      </c>
      <c r="M13" s="101">
        <v>0.65288269187138581</v>
      </c>
      <c r="N13" s="101">
        <v>0.41011029559957751</v>
      </c>
      <c r="O13" s="101">
        <v>100</v>
      </c>
      <c r="P13" s="68" t="s">
        <v>107</v>
      </c>
      <c r="Q13" s="26"/>
      <c r="R13" s="36"/>
    </row>
    <row r="14" spans="1:18" s="2" customFormat="1" ht="20.100000000000001" customHeight="1" x14ac:dyDescent="0.25">
      <c r="A14" s="69" t="s">
        <v>81</v>
      </c>
      <c r="B14" s="27"/>
      <c r="C14" s="38"/>
      <c r="D14" s="104">
        <v>22.455317396386629</v>
      </c>
      <c r="E14" s="102">
        <v>33.946211290723099</v>
      </c>
      <c r="F14" s="102">
        <v>9.8042808084356405</v>
      </c>
      <c r="G14" s="102">
        <v>10.263674300007875</v>
      </c>
      <c r="H14" s="102">
        <v>12.801391807836037</v>
      </c>
      <c r="I14" s="102">
        <v>6.3585267913923529</v>
      </c>
      <c r="J14" s="102">
        <v>2.8190468115002818</v>
      </c>
      <c r="K14" s="102">
        <v>0.69726665414968292</v>
      </c>
      <c r="L14" s="102">
        <v>0.45257981091279098</v>
      </c>
      <c r="M14" s="102">
        <v>0.25165193902210059</v>
      </c>
      <c r="N14" s="102">
        <v>0.15005238963351483</v>
      </c>
      <c r="O14" s="102">
        <v>100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3">
        <v>19.88657281967064</v>
      </c>
      <c r="E15" s="101">
        <v>34.704911454821485</v>
      </c>
      <c r="F15" s="101">
        <v>10.325513669588528</v>
      </c>
      <c r="G15" s="101">
        <v>10.3937685374016</v>
      </c>
      <c r="H15" s="101">
        <v>12.747113646423239</v>
      </c>
      <c r="I15" s="101">
        <v>6.5466759879375038</v>
      </c>
      <c r="J15" s="101">
        <v>3.1438605780566808</v>
      </c>
      <c r="K15" s="101">
        <v>0.88276295704907326</v>
      </c>
      <c r="L15" s="101">
        <v>0.65524673100549768</v>
      </c>
      <c r="M15" s="101">
        <v>0.41987085351678038</v>
      </c>
      <c r="N15" s="101">
        <v>0.29370276452897937</v>
      </c>
      <c r="O15" s="101">
        <v>100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04">
        <v>6.6948555320648344</v>
      </c>
      <c r="E16" s="102">
        <v>32.324700493305144</v>
      </c>
      <c r="F16" s="102">
        <v>12.614517265680057</v>
      </c>
      <c r="G16" s="102">
        <v>14.35429880197322</v>
      </c>
      <c r="H16" s="102">
        <v>19.705778717406623</v>
      </c>
      <c r="I16" s="102">
        <v>9.3199436222692036</v>
      </c>
      <c r="J16" s="102">
        <v>3.3518322762508812</v>
      </c>
      <c r="K16" s="102">
        <v>0.75757575757575757</v>
      </c>
      <c r="L16" s="102">
        <v>0.48009161381254406</v>
      </c>
      <c r="M16" s="102">
        <v>0.25986610288935869</v>
      </c>
      <c r="N16" s="102">
        <v>0.13653981677237492</v>
      </c>
      <c r="O16" s="102">
        <v>100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3">
        <v>9.8492875880870336</v>
      </c>
      <c r="E17" s="101">
        <v>30.939766472918063</v>
      </c>
      <c r="F17" s="101">
        <v>9.6311918111208268</v>
      </c>
      <c r="G17" s="101">
        <v>10.9438814875778</v>
      </c>
      <c r="H17" s="101">
        <v>16.05472969497454</v>
      </c>
      <c r="I17" s="101">
        <v>10.195977573170104</v>
      </c>
      <c r="J17" s="101">
        <v>6.2270459338511399</v>
      </c>
      <c r="K17" s="101">
        <v>2.0523635615451883</v>
      </c>
      <c r="L17" s="101">
        <v>1.6120569929530375</v>
      </c>
      <c r="M17" s="101">
        <v>1.1810092073453011</v>
      </c>
      <c r="N17" s="101">
        <v>1.3126896764569724</v>
      </c>
      <c r="O17" s="101">
        <v>100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04">
        <v>13.675280810619746</v>
      </c>
      <c r="E18" s="102">
        <v>32.813604587228028</v>
      </c>
      <c r="F18" s="102">
        <v>12.061110674730971</v>
      </c>
      <c r="G18" s="102">
        <v>13.471054905349147</v>
      </c>
      <c r="H18" s="102">
        <v>15.48189458801351</v>
      </c>
      <c r="I18" s="102">
        <v>7.0536485743460844</v>
      </c>
      <c r="J18" s="102">
        <v>2.8355981462571673</v>
      </c>
      <c r="K18" s="102">
        <v>0.95436336501453145</v>
      </c>
      <c r="L18" s="102">
        <v>0.7422826172335244</v>
      </c>
      <c r="M18" s="102">
        <v>0.5341292907077213</v>
      </c>
      <c r="N18" s="102">
        <v>0.37703244049956797</v>
      </c>
      <c r="O18" s="102">
        <v>100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3">
        <v>9.5834707110671484</v>
      </c>
      <c r="E19" s="101">
        <v>32.27094552514928</v>
      </c>
      <c r="F19" s="101">
        <v>10.891306737004065</v>
      </c>
      <c r="G19" s="101">
        <v>12.056269919771402</v>
      </c>
      <c r="H19" s="101">
        <v>16.214235996629665</v>
      </c>
      <c r="I19" s="101">
        <v>9.169505806498881</v>
      </c>
      <c r="J19" s="101">
        <v>5.1947100413964895</v>
      </c>
      <c r="K19" s="101">
        <v>1.5532842436897827</v>
      </c>
      <c r="L19" s="101">
        <v>1.1686265890024543</v>
      </c>
      <c r="M19" s="101">
        <v>0.97446605854123158</v>
      </c>
      <c r="N19" s="101">
        <v>0.92317837124958779</v>
      </c>
      <c r="O19" s="101">
        <v>100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04">
        <v>17.687203791469194</v>
      </c>
      <c r="E20" s="102">
        <v>31.76872037914692</v>
      </c>
      <c r="F20" s="102">
        <v>11.01042654028436</v>
      </c>
      <c r="G20" s="102">
        <v>12.659715639810427</v>
      </c>
      <c r="H20" s="102">
        <v>14.487203791469195</v>
      </c>
      <c r="I20" s="102">
        <v>7.3781990521327012</v>
      </c>
      <c r="J20" s="102">
        <v>3.1924170616113745</v>
      </c>
      <c r="K20" s="102">
        <v>0.83791469194312795</v>
      </c>
      <c r="L20" s="102">
        <v>0.51184834123222744</v>
      </c>
      <c r="M20" s="102">
        <v>0.29952606635071088</v>
      </c>
      <c r="N20" s="102">
        <v>0.16682464454976303</v>
      </c>
      <c r="O20" s="102">
        <v>100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3">
        <v>13.06922746959277</v>
      </c>
      <c r="E21" s="101">
        <v>28.662358687680747</v>
      </c>
      <c r="F21" s="101">
        <v>9.7801270254189205</v>
      </c>
      <c r="G21" s="101">
        <v>10.99364872905395</v>
      </c>
      <c r="H21" s="101">
        <v>15.124050422726203</v>
      </c>
      <c r="I21" s="101">
        <v>10.025045316802501</v>
      </c>
      <c r="J21" s="101">
        <v>6.3305151586434016</v>
      </c>
      <c r="K21" s="101">
        <v>2.1572181710000136</v>
      </c>
      <c r="L21" s="101">
        <v>1.6023467876959692</v>
      </c>
      <c r="M21" s="101">
        <v>1.1595566563810209</v>
      </c>
      <c r="N21" s="101">
        <v>1.095905575004497</v>
      </c>
      <c r="O21" s="101">
        <v>100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04">
        <v>34.083180321813103</v>
      </c>
      <c r="E22" s="102">
        <v>32.350256950706751</v>
      </c>
      <c r="F22" s="102">
        <v>9.0193500722504112</v>
      </c>
      <c r="G22" s="102">
        <v>8.9432970089416681</v>
      </c>
      <c r="H22" s="102">
        <v>9.3892939016307952</v>
      </c>
      <c r="I22" s="102">
        <v>3.7657131061157529</v>
      </c>
      <c r="J22" s="102">
        <v>1.552025727664845</v>
      </c>
      <c r="K22" s="102">
        <v>0.400908290870373</v>
      </c>
      <c r="L22" s="102">
        <v>0.25206158125183342</v>
      </c>
      <c r="M22" s="102">
        <v>0.15047641811801263</v>
      </c>
      <c r="N22" s="102">
        <v>9.3436620636455497E-2</v>
      </c>
      <c r="O22" s="102">
        <v>100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3">
        <v>39.964603057229098</v>
      </c>
      <c r="E23" s="101">
        <v>31.858460717879094</v>
      </c>
      <c r="F23" s="101">
        <v>7.2363715709211691</v>
      </c>
      <c r="G23" s="101">
        <v>6.8284581722085518</v>
      </c>
      <c r="H23" s="101">
        <v>7.8830931109306253</v>
      </c>
      <c r="I23" s="101">
        <v>3.5990932563975129</v>
      </c>
      <c r="J23" s="101">
        <v>1.5928624246905798</v>
      </c>
      <c r="K23" s="101">
        <v>0.44852290497375535</v>
      </c>
      <c r="L23" s="101">
        <v>0.27456875128798808</v>
      </c>
      <c r="M23" s="101">
        <v>0.19456196283321009</v>
      </c>
      <c r="N23" s="101">
        <v>0.11940407064841867</v>
      </c>
      <c r="O23" s="101">
        <v>100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04">
        <v>22.805464204401719</v>
      </c>
      <c r="E24" s="102">
        <v>40.472426005565396</v>
      </c>
      <c r="F24" s="102">
        <v>8.3694346066278769</v>
      </c>
      <c r="G24" s="102">
        <v>7.9283139387806729</v>
      </c>
      <c r="H24" s="102">
        <v>9.4595876549456115</v>
      </c>
      <c r="I24" s="102">
        <v>5.2483873007842146</v>
      </c>
      <c r="J24" s="102">
        <v>3.1890336453326587</v>
      </c>
      <c r="K24" s="102">
        <v>1.0466734125980268</v>
      </c>
      <c r="L24" s="102">
        <v>0.69409309385277007</v>
      </c>
      <c r="M24" s="102">
        <v>0.46325575512269163</v>
      </c>
      <c r="N24" s="102">
        <v>0.32333038198836328</v>
      </c>
      <c r="O24" s="102">
        <v>100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3">
        <v>29.430083370201615</v>
      </c>
      <c r="E25" s="101">
        <v>34.202467206380028</v>
      </c>
      <c r="F25" s="101">
        <v>8.6294766235930194</v>
      </c>
      <c r="G25" s="101">
        <v>8.4375700257982214</v>
      </c>
      <c r="H25" s="101">
        <v>9.9412214222921911</v>
      </c>
      <c r="I25" s="101">
        <v>5.1372362002493634</v>
      </c>
      <c r="J25" s="101">
        <v>2.5959102060984929</v>
      </c>
      <c r="K25" s="101">
        <v>0.70097619553788426</v>
      </c>
      <c r="L25" s="101">
        <v>0.44586682601426081</v>
      </c>
      <c r="M25" s="101">
        <v>0.28613618473595603</v>
      </c>
      <c r="N25" s="101">
        <v>0.19305573909895829</v>
      </c>
      <c r="O25" s="101">
        <v>100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04">
        <v>25.717566016073476</v>
      </c>
      <c r="E26" s="102">
        <v>29.967571051624468</v>
      </c>
      <c r="F26" s="102">
        <v>9.0297500352488562</v>
      </c>
      <c r="G26" s="102">
        <v>9.5816464237516872</v>
      </c>
      <c r="H26" s="102">
        <v>13.164944508228089</v>
      </c>
      <c r="I26" s="102">
        <v>7.4606723467681828</v>
      </c>
      <c r="J26" s="102">
        <v>3.4120893508167662</v>
      </c>
      <c r="K26" s="102">
        <v>0.81777348077426626</v>
      </c>
      <c r="L26" s="102">
        <v>0.49549821741494954</v>
      </c>
      <c r="M26" s="102">
        <v>0.23163534553950893</v>
      </c>
      <c r="N26" s="102">
        <v>0.12085322375974379</v>
      </c>
      <c r="O26" s="102">
        <v>100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3">
        <v>12.841005365715899</v>
      </c>
      <c r="E27" s="101">
        <v>32.812764755718725</v>
      </c>
      <c r="F27" s="101">
        <v>10.626941541937304</v>
      </c>
      <c r="G27" s="101">
        <v>11.897768991810223</v>
      </c>
      <c r="H27" s="101">
        <v>16.574414007342558</v>
      </c>
      <c r="I27" s="101">
        <v>8.463710816153629</v>
      </c>
      <c r="J27" s="101">
        <v>4.185258401581474</v>
      </c>
      <c r="K27" s="101">
        <v>1.1013837898898615</v>
      </c>
      <c r="L27" s="101">
        <v>0.71448743292855121</v>
      </c>
      <c r="M27" s="101">
        <v>0.40666478395933348</v>
      </c>
      <c r="N27" s="101">
        <v>0.37560011296243995</v>
      </c>
      <c r="O27" s="101">
        <v>100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04">
        <v>13.034083095963068</v>
      </c>
      <c r="E28" s="102">
        <v>29.132698163245259</v>
      </c>
      <c r="F28" s="102">
        <v>11.049995088891071</v>
      </c>
      <c r="G28" s="102">
        <v>11.904528042431981</v>
      </c>
      <c r="H28" s="102">
        <v>16.442392692269916</v>
      </c>
      <c r="I28" s="102">
        <v>9.9990177782143199</v>
      </c>
      <c r="J28" s="102">
        <v>4.8128867498281114</v>
      </c>
      <c r="K28" s="102">
        <v>1.3456438463805127</v>
      </c>
      <c r="L28" s="102">
        <v>0.85453295354090952</v>
      </c>
      <c r="M28" s="102">
        <v>0.87417738925449362</v>
      </c>
      <c r="N28" s="102">
        <v>0.55004419998035559</v>
      </c>
      <c r="O28" s="102">
        <v>100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3">
        <v>13.335372580157042</v>
      </c>
      <c r="E29" s="101">
        <v>34.796926811648433</v>
      </c>
      <c r="F29" s="101">
        <v>10.360458570205953</v>
      </c>
      <c r="G29" s="101">
        <v>11.333439634497548</v>
      </c>
      <c r="H29" s="101">
        <v>15.649049960462474</v>
      </c>
      <c r="I29" s="101">
        <v>8.4180759706218282</v>
      </c>
      <c r="J29" s="101">
        <v>3.8340009697269468</v>
      </c>
      <c r="K29" s="101">
        <v>0.99868859073943306</v>
      </c>
      <c r="L29" s="101">
        <v>0.68173756845849209</v>
      </c>
      <c r="M29" s="101">
        <v>0.3621832523600485</v>
      </c>
      <c r="N29" s="101">
        <v>0.23006609112179183</v>
      </c>
      <c r="O29" s="101">
        <v>100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04">
        <v>13.569646052029716</v>
      </c>
      <c r="E30" s="102">
        <v>26.53133305154914</v>
      </c>
      <c r="F30" s="102">
        <v>11.606227816732192</v>
      </c>
      <c r="G30" s="102">
        <v>14.67149945862694</v>
      </c>
      <c r="H30" s="102">
        <v>18.95326821416371</v>
      </c>
      <c r="I30" s="102">
        <v>8.5994360456027188</v>
      </c>
      <c r="J30" s="102">
        <v>3.7595029789993575</v>
      </c>
      <c r="K30" s="102">
        <v>0.95941728572338447</v>
      </c>
      <c r="L30" s="102">
        <v>0.6502266818752932</v>
      </c>
      <c r="M30" s="102">
        <v>0.45741681093631487</v>
      </c>
      <c r="N30" s="102">
        <v>0.24202560376124002</v>
      </c>
      <c r="O30" s="102">
        <v>100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3">
        <v>19.832372097425395</v>
      </c>
      <c r="E31" s="101">
        <v>33.72162458108324</v>
      </c>
      <c r="F31" s="101">
        <v>9.3487295811852693</v>
      </c>
      <c r="G31" s="101">
        <v>9.7796851200973869</v>
      </c>
      <c r="H31" s="101">
        <v>13.216157409326282</v>
      </c>
      <c r="I31" s="101">
        <v>8.1298895819140089</v>
      </c>
      <c r="J31" s="101">
        <v>3.9471672492816814</v>
      </c>
      <c r="K31" s="101">
        <v>0.974871533074953</v>
      </c>
      <c r="L31" s="101">
        <v>0.57476476883579108</v>
      </c>
      <c r="M31" s="101">
        <v>0.31225948893017502</v>
      </c>
      <c r="N31" s="101">
        <v>0.1624785888458255</v>
      </c>
      <c r="O31" s="101">
        <v>100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04">
        <v>17.971855793501653</v>
      </c>
      <c r="E32" s="102">
        <v>31.819450387928626</v>
      </c>
      <c r="F32" s="102">
        <v>10.045832015430317</v>
      </c>
      <c r="G32" s="102">
        <v>10.999683703276462</v>
      </c>
      <c r="H32" s="102">
        <v>14.76857623061132</v>
      </c>
      <c r="I32" s="102">
        <v>8.1399892087000207</v>
      </c>
      <c r="J32" s="102">
        <v>3.9871992855415184</v>
      </c>
      <c r="K32" s="102">
        <v>0.99664477397188056</v>
      </c>
      <c r="L32" s="102">
        <v>0.63693477465408921</v>
      </c>
      <c r="M32" s="102">
        <v>0.39071948201760098</v>
      </c>
      <c r="N32" s="102">
        <v>0.24311434436650728</v>
      </c>
      <c r="O32" s="102">
        <v>100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3">
        <v>30.681417971169378</v>
      </c>
      <c r="E33" s="101">
        <v>29.201834602415101</v>
      </c>
      <c r="F33" s="101">
        <v>9.9502487562189064</v>
      </c>
      <c r="G33" s="101">
        <v>10.40566087382453</v>
      </c>
      <c r="H33" s="101">
        <v>10.812495698885556</v>
      </c>
      <c r="I33" s="101">
        <v>4.8176529881107077</v>
      </c>
      <c r="J33" s="101">
        <v>2.2248399985426812</v>
      </c>
      <c r="K33" s="101">
        <v>0.71044290346477545</v>
      </c>
      <c r="L33" s="101">
        <v>0.56794951200061528</v>
      </c>
      <c r="M33" s="101">
        <v>0.40521558197620522</v>
      </c>
      <c r="N33" s="101">
        <v>0.22224111339154512</v>
      </c>
      <c r="O33" s="101">
        <v>100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04">
        <v>29.542603748917902</v>
      </c>
      <c r="E34" s="102">
        <v>26.147686518382418</v>
      </c>
      <c r="F34" s="102">
        <v>9.8066798579580592</v>
      </c>
      <c r="G34" s="102">
        <v>10.237752415949686</v>
      </c>
      <c r="H34" s="102">
        <v>12.484320619048461</v>
      </c>
      <c r="I34" s="102">
        <v>6.391224846739572</v>
      </c>
      <c r="J34" s="102">
        <v>3.1539847711252054</v>
      </c>
      <c r="K34" s="102">
        <v>0.93965867533522962</v>
      </c>
      <c r="L34" s="102">
        <v>0.65235058212462238</v>
      </c>
      <c r="M34" s="102">
        <v>0.40214299595427805</v>
      </c>
      <c r="N34" s="102">
        <v>0.24159496846456902</v>
      </c>
      <c r="O34" s="102">
        <v>100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3">
        <v>29.950931385190394</v>
      </c>
      <c r="E35" s="101">
        <v>30.152292871450122</v>
      </c>
      <c r="F35" s="101">
        <v>10.531558997149146</v>
      </c>
      <c r="G35" s="101">
        <v>10.50683039357339</v>
      </c>
      <c r="H35" s="101">
        <v>11.215128253136116</v>
      </c>
      <c r="I35" s="101">
        <v>4.8877851296308723</v>
      </c>
      <c r="J35" s="101">
        <v>1.8051880610301936</v>
      </c>
      <c r="K35" s="101">
        <v>0.42992443645278777</v>
      </c>
      <c r="L35" s="101">
        <v>0.27554729698699626</v>
      </c>
      <c r="M35" s="101">
        <v>0.15579020252726328</v>
      </c>
      <c r="N35" s="101">
        <v>8.9022972872721873E-2</v>
      </c>
      <c r="O35" s="101">
        <v>100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04">
        <v>31.477725118483413</v>
      </c>
      <c r="E36" s="102">
        <v>33.967772511848338</v>
      </c>
      <c r="F36" s="102">
        <v>8.6284360189573466</v>
      </c>
      <c r="G36" s="102">
        <v>8.602843601895735</v>
      </c>
      <c r="H36" s="102">
        <v>10.055924170616114</v>
      </c>
      <c r="I36" s="102">
        <v>4.2777251184834126</v>
      </c>
      <c r="J36" s="102">
        <v>1.804739336492891</v>
      </c>
      <c r="K36" s="102">
        <v>0.47962085308056873</v>
      </c>
      <c r="L36" s="102">
        <v>0.385781990521327</v>
      </c>
      <c r="M36" s="102">
        <v>0.1933649289099526</v>
      </c>
      <c r="N36" s="102">
        <v>0.12606635071090047</v>
      </c>
      <c r="O36" s="102">
        <v>100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3">
        <v>40.670893186742632</v>
      </c>
      <c r="E37" s="101">
        <v>26.164415585321855</v>
      </c>
      <c r="F37" s="101">
        <v>6.684507838368754</v>
      </c>
      <c r="G37" s="101">
        <v>6.8715261180099301</v>
      </c>
      <c r="H37" s="101">
        <v>8.8062581340739623</v>
      </c>
      <c r="I37" s="101">
        <v>4.9423767371590666</v>
      </c>
      <c r="J37" s="101">
        <v>2.9207649605900845</v>
      </c>
      <c r="K37" s="101">
        <v>0.96823829478407408</v>
      </c>
      <c r="L37" s="101">
        <v>0.84053551428282325</v>
      </c>
      <c r="M37" s="101">
        <v>0.61792793515769195</v>
      </c>
      <c r="N37" s="101">
        <v>0.51255569550911884</v>
      </c>
      <c r="O37" s="101">
        <v>100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04">
        <v>39.770947118845001</v>
      </c>
      <c r="E38" s="102">
        <v>25.693297768745502</v>
      </c>
      <c r="F38" s="102">
        <v>8.9546551505144159</v>
      </c>
      <c r="G38" s="102">
        <v>9.4987086667513445</v>
      </c>
      <c r="H38" s="102">
        <v>10.447097675600153</v>
      </c>
      <c r="I38" s="102">
        <v>3.6072653372285024</v>
      </c>
      <c r="J38" s="102">
        <v>1.2468775138659554</v>
      </c>
      <c r="K38" s="102">
        <v>0.32389178203988317</v>
      </c>
      <c r="L38" s="102">
        <v>0.25191583047546467</v>
      </c>
      <c r="M38" s="102">
        <v>0.10796392734662771</v>
      </c>
      <c r="N38" s="102">
        <v>9.7379228587154407E-2</v>
      </c>
      <c r="O38" s="102">
        <v>100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04">
        <v>24.527316352213987</v>
      </c>
      <c r="E39" s="200">
        <v>30.937624738203432</v>
      </c>
      <c r="F39" s="200">
        <v>9.4887957036330235</v>
      </c>
      <c r="G39" s="200">
        <v>10.002752291857568</v>
      </c>
      <c r="H39" s="200">
        <v>12.596714146910516</v>
      </c>
      <c r="I39" s="200">
        <v>6.7260765454277722</v>
      </c>
      <c r="J39" s="200">
        <v>3.3878374821949144</v>
      </c>
      <c r="K39" s="200">
        <v>0.96129642666004556</v>
      </c>
      <c r="L39" s="200">
        <v>0.67006566395215361</v>
      </c>
      <c r="M39" s="200">
        <v>0.41880775102769774</v>
      </c>
      <c r="N39" s="200">
        <v>0.28271289791887499</v>
      </c>
      <c r="O39" s="200">
        <v>100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10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11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R42"/>
  <sheetViews>
    <sheetView showGridLines="0" workbookViewId="0"/>
  </sheetViews>
  <sheetFormatPr baseColWidth="10" defaultColWidth="11.44140625" defaultRowHeight="7.8" x14ac:dyDescent="0.15"/>
  <cols>
    <col min="1" max="3" width="6.6640625" style="1" customWidth="1"/>
    <col min="4" max="7" width="11.44140625" style="3"/>
    <col min="8" max="9" width="11.44140625" style="1"/>
    <col min="10" max="12" width="11.44140625" style="3"/>
    <col min="13" max="13" width="11.6640625" style="3" customWidth="1"/>
    <col min="14" max="15" width="11.44140625" style="1"/>
    <col min="16" max="18" width="6.6640625" style="1" customWidth="1"/>
    <col min="19" max="16384" width="11.44140625" style="1"/>
  </cols>
  <sheetData>
    <row r="1" spans="1:18" customFormat="1" ht="13.2" x14ac:dyDescent="0.25">
      <c r="A1" s="163" t="s">
        <v>6</v>
      </c>
      <c r="B1" s="164"/>
      <c r="C1" s="164"/>
      <c r="D1" s="164"/>
      <c r="E1" s="165"/>
      <c r="F1" s="165"/>
      <c r="G1" s="165"/>
      <c r="H1" s="165"/>
      <c r="I1" s="165"/>
      <c r="J1" s="163" t="s">
        <v>6</v>
      </c>
      <c r="K1" s="164"/>
      <c r="L1" s="164"/>
      <c r="M1" s="165"/>
      <c r="N1" s="165"/>
      <c r="O1" s="165"/>
      <c r="P1" s="166"/>
      <c r="Q1" s="166"/>
      <c r="R1" s="166"/>
    </row>
    <row r="2" spans="1:18" customFormat="1" ht="13.2" x14ac:dyDescent="0.25">
      <c r="A2" s="163" t="s">
        <v>241</v>
      </c>
      <c r="B2" s="164"/>
      <c r="C2" s="164"/>
      <c r="D2" s="164"/>
      <c r="E2" s="165"/>
      <c r="F2" s="165"/>
      <c r="G2" s="165"/>
      <c r="H2" s="165"/>
      <c r="I2" s="165"/>
      <c r="J2" s="163" t="s">
        <v>241</v>
      </c>
      <c r="K2" s="164"/>
      <c r="L2" s="164"/>
      <c r="M2" s="165"/>
      <c r="N2" s="165"/>
      <c r="O2" s="165"/>
      <c r="P2" s="166"/>
      <c r="Q2" s="166"/>
      <c r="R2" s="166"/>
    </row>
    <row r="3" spans="1:18" customFormat="1" ht="13.2" x14ac:dyDescent="0.25">
      <c r="A3" s="163" t="s">
        <v>5</v>
      </c>
      <c r="B3" s="164"/>
      <c r="C3" s="164"/>
      <c r="D3" s="164"/>
      <c r="E3" s="165"/>
      <c r="F3" s="165"/>
      <c r="G3" s="165"/>
      <c r="H3" s="165"/>
      <c r="I3" s="165"/>
      <c r="J3" s="163" t="s">
        <v>5</v>
      </c>
      <c r="K3" s="164"/>
      <c r="L3" s="164"/>
      <c r="M3" s="165"/>
      <c r="N3" s="165"/>
      <c r="O3" s="165"/>
      <c r="P3" s="166"/>
      <c r="Q3" s="166"/>
      <c r="R3" s="166"/>
    </row>
    <row r="4" spans="1:18" s="6" customFormat="1" ht="11.25" customHeight="1" x14ac:dyDescent="0.25">
      <c r="A4" s="167"/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</row>
    <row r="5" spans="1:18" s="6" customFormat="1" ht="30" customHeight="1" x14ac:dyDescent="0.25">
      <c r="A5" s="168" t="s">
        <v>78</v>
      </c>
      <c r="B5" s="167"/>
      <c r="C5" s="167"/>
      <c r="D5" s="167"/>
      <c r="E5" s="167"/>
      <c r="F5" s="167"/>
      <c r="G5" s="167"/>
      <c r="H5" s="167"/>
      <c r="I5" s="167"/>
      <c r="J5" s="168" t="s">
        <v>78</v>
      </c>
      <c r="K5" s="167"/>
      <c r="L5" s="167"/>
      <c r="M5" s="167"/>
      <c r="N5" s="167"/>
      <c r="O5" s="167"/>
      <c r="P5" s="167"/>
      <c r="Q5" s="167"/>
      <c r="R5" s="167"/>
    </row>
    <row r="6" spans="1:18" s="21" customFormat="1" ht="24.75" customHeight="1" x14ac:dyDescent="0.25">
      <c r="A6" s="117" t="s">
        <v>108</v>
      </c>
      <c r="B6" s="58"/>
      <c r="C6" s="59"/>
      <c r="D6" s="169"/>
      <c r="E6" s="170"/>
      <c r="F6" s="171"/>
      <c r="G6" s="170"/>
      <c r="H6" s="172"/>
      <c r="I6" s="172"/>
      <c r="J6" s="117" t="s">
        <v>108</v>
      </c>
      <c r="K6" s="59"/>
      <c r="L6" s="170"/>
      <c r="M6" s="170"/>
      <c r="N6" s="172"/>
      <c r="O6" s="172"/>
      <c r="P6" s="172"/>
      <c r="Q6" s="172"/>
      <c r="R6" s="172"/>
    </row>
    <row r="7" spans="1:18" s="6" customFormat="1" ht="11.25" customHeight="1" thickBot="1" x14ac:dyDescent="0.3">
      <c r="A7" s="7"/>
      <c r="B7" s="7"/>
      <c r="C7" s="7"/>
      <c r="D7" s="167"/>
      <c r="E7" s="167"/>
      <c r="F7" s="167"/>
      <c r="G7" s="167"/>
      <c r="H7" s="167"/>
      <c r="I7" s="167"/>
      <c r="J7" s="7"/>
      <c r="K7" s="7"/>
      <c r="L7" s="167"/>
      <c r="M7" s="167"/>
      <c r="N7" s="167"/>
      <c r="O7" s="167"/>
      <c r="P7" s="167"/>
      <c r="Q7" s="167"/>
      <c r="R7" s="167"/>
    </row>
    <row r="8" spans="1:18" s="22" customFormat="1" ht="21.9" customHeight="1" x14ac:dyDescent="0.25">
      <c r="A8" s="42" t="s">
        <v>79</v>
      </c>
      <c r="B8" s="43"/>
      <c r="C8" s="44"/>
      <c r="D8" s="84"/>
      <c r="E8" s="77" t="s">
        <v>1</v>
      </c>
      <c r="F8" s="77"/>
      <c r="G8" s="76"/>
      <c r="H8" s="77"/>
      <c r="I8" s="82"/>
      <c r="J8" s="105"/>
      <c r="K8" s="77" t="s">
        <v>1</v>
      </c>
      <c r="L8" s="173"/>
      <c r="M8" s="174"/>
      <c r="N8" s="173"/>
      <c r="O8" s="175"/>
      <c r="P8" s="176" t="s">
        <v>79</v>
      </c>
      <c r="Q8" s="177"/>
      <c r="R8" s="178"/>
    </row>
    <row r="9" spans="1:18" s="23" customFormat="1" ht="21.9" customHeight="1" x14ac:dyDescent="0.25">
      <c r="A9" s="67" t="s">
        <v>80</v>
      </c>
      <c r="B9" s="46"/>
      <c r="C9" s="47"/>
      <c r="D9" s="85"/>
      <c r="E9" s="79" t="s">
        <v>0</v>
      </c>
      <c r="F9" s="79"/>
      <c r="G9" s="78"/>
      <c r="H9" s="79"/>
      <c r="I9" s="83"/>
      <c r="J9" s="106"/>
      <c r="K9" s="79" t="s">
        <v>0</v>
      </c>
      <c r="L9" s="179"/>
      <c r="M9" s="180"/>
      <c r="N9" s="179"/>
      <c r="O9" s="181"/>
      <c r="P9" s="182" t="s">
        <v>80</v>
      </c>
      <c r="Q9" s="183"/>
      <c r="R9" s="184"/>
    </row>
    <row r="10" spans="1:18" s="22" customFormat="1" ht="21.9" customHeight="1" x14ac:dyDescent="0.25">
      <c r="A10" s="48"/>
      <c r="B10" s="49"/>
      <c r="C10" s="50"/>
      <c r="D10" s="80" t="s">
        <v>31</v>
      </c>
      <c r="E10" s="81" t="s">
        <v>215</v>
      </c>
      <c r="F10" s="81" t="s">
        <v>220</v>
      </c>
      <c r="G10" s="81" t="s">
        <v>221</v>
      </c>
      <c r="H10" s="81" t="s">
        <v>222</v>
      </c>
      <c r="I10" s="81" t="s">
        <v>223</v>
      </c>
      <c r="J10" s="81" t="s">
        <v>225</v>
      </c>
      <c r="K10" s="81" t="s">
        <v>226</v>
      </c>
      <c r="L10" s="185" t="s">
        <v>227</v>
      </c>
      <c r="M10" s="185" t="s">
        <v>228</v>
      </c>
      <c r="N10" s="185" t="s">
        <v>224</v>
      </c>
      <c r="O10" s="185" t="s">
        <v>2</v>
      </c>
      <c r="P10" s="186"/>
      <c r="Q10" s="187"/>
      <c r="R10" s="188"/>
    </row>
    <row r="11" spans="1:18" s="23" customFormat="1" ht="21.9" customHeight="1" x14ac:dyDescent="0.25">
      <c r="A11" s="51"/>
      <c r="B11" s="52"/>
      <c r="C11" s="53"/>
      <c r="D11" s="11" t="s">
        <v>117</v>
      </c>
      <c r="E11" s="9"/>
      <c r="F11" s="9"/>
      <c r="G11" s="9"/>
      <c r="H11" s="9"/>
      <c r="I11" s="94"/>
      <c r="J11" s="107" t="s">
        <v>117</v>
      </c>
      <c r="K11" s="9"/>
      <c r="L11" s="189"/>
      <c r="M11" s="189"/>
      <c r="N11" s="189"/>
      <c r="O11" s="190"/>
      <c r="P11" s="191"/>
      <c r="Q11" s="192"/>
      <c r="R11" s="193"/>
    </row>
    <row r="12" spans="1:18" s="2" customFormat="1" ht="4.05" customHeight="1" x14ac:dyDescent="0.25">
      <c r="A12" s="33"/>
      <c r="B12" s="8"/>
      <c r="C12" s="34"/>
      <c r="D12" s="10"/>
      <c r="E12" s="18"/>
      <c r="F12" s="19"/>
      <c r="G12" s="19"/>
      <c r="I12" s="75"/>
      <c r="J12" s="18"/>
      <c r="K12" s="18"/>
      <c r="L12" s="194"/>
      <c r="M12" s="194"/>
      <c r="N12" s="195"/>
      <c r="O12" s="196"/>
      <c r="P12" s="197"/>
      <c r="Q12" s="198"/>
      <c r="R12" s="199"/>
    </row>
    <row r="13" spans="1:18" s="2" customFormat="1" ht="20.100000000000001" customHeight="1" x14ac:dyDescent="0.25">
      <c r="A13" s="68" t="s">
        <v>107</v>
      </c>
      <c r="B13" s="26"/>
      <c r="C13" s="36"/>
      <c r="D13" s="103" t="s">
        <v>242</v>
      </c>
      <c r="E13" s="101">
        <v>1.1273965698937622</v>
      </c>
      <c r="F13" s="101">
        <v>1.4949303037940098</v>
      </c>
      <c r="G13" s="101">
        <v>3.1792111302315926</v>
      </c>
      <c r="H13" s="101">
        <v>9.6755116894829918</v>
      </c>
      <c r="I13" s="101">
        <v>13.091738761854975</v>
      </c>
      <c r="J13" s="101">
        <v>15.378430967607658</v>
      </c>
      <c r="K13" s="101">
        <v>8.2272752376625782</v>
      </c>
      <c r="L13" s="200">
        <v>9.0817226819871646</v>
      </c>
      <c r="M13" s="200">
        <v>9.844383966757551</v>
      </c>
      <c r="N13" s="200">
        <v>28.899398690727718</v>
      </c>
      <c r="O13" s="200">
        <v>100</v>
      </c>
      <c r="P13" s="201" t="s">
        <v>107</v>
      </c>
      <c r="Q13" s="202"/>
      <c r="R13" s="203"/>
    </row>
    <row r="14" spans="1:18" s="2" customFormat="1" ht="20.100000000000001" customHeight="1" x14ac:dyDescent="0.25">
      <c r="A14" s="69" t="s">
        <v>81</v>
      </c>
      <c r="B14" s="27"/>
      <c r="C14" s="38"/>
      <c r="D14" s="104" t="s">
        <v>242</v>
      </c>
      <c r="E14" s="102">
        <v>2.1604224597308841</v>
      </c>
      <c r="F14" s="102">
        <v>2.8093157628524494</v>
      </c>
      <c r="G14" s="102">
        <v>5.8462184073313308</v>
      </c>
      <c r="H14" s="102">
        <v>16.283504848116827</v>
      </c>
      <c r="I14" s="102">
        <v>17.395225042102787</v>
      </c>
      <c r="J14" s="102">
        <v>15.149476173853929</v>
      </c>
      <c r="K14" s="102">
        <v>6.6429258208810102</v>
      </c>
      <c r="L14" s="102">
        <v>6.7657832451403648</v>
      </c>
      <c r="M14" s="102">
        <v>6.7415494006941401</v>
      </c>
      <c r="N14" s="102">
        <v>20.205578839296276</v>
      </c>
      <c r="O14" s="102">
        <v>100</v>
      </c>
      <c r="P14" s="69" t="s">
        <v>81</v>
      </c>
      <c r="Q14" s="27"/>
      <c r="R14" s="38"/>
    </row>
    <row r="15" spans="1:18" s="2" customFormat="1" ht="20.100000000000001" customHeight="1" x14ac:dyDescent="0.25">
      <c r="A15" s="68" t="s">
        <v>105</v>
      </c>
      <c r="B15" s="26"/>
      <c r="C15" s="36"/>
      <c r="D15" s="103" t="s">
        <v>242</v>
      </c>
      <c r="E15" s="101">
        <v>1.7473745927757884</v>
      </c>
      <c r="F15" s="101">
        <v>2.1845216663569333</v>
      </c>
      <c r="G15" s="101">
        <v>4.3858009676375564</v>
      </c>
      <c r="H15" s="101">
        <v>12.042156703816588</v>
      </c>
      <c r="I15" s="101">
        <v>13.382745877583389</v>
      </c>
      <c r="J15" s="101">
        <v>12.666496215133142</v>
      </c>
      <c r="K15" s="101">
        <v>6.2721240633752799</v>
      </c>
      <c r="L15" s="101">
        <v>7.3322228359349655</v>
      </c>
      <c r="M15" s="101">
        <v>8.4378294769452893</v>
      </c>
      <c r="N15" s="101">
        <v>31.548727600441062</v>
      </c>
      <c r="O15" s="101">
        <v>100</v>
      </c>
      <c r="P15" s="68" t="s">
        <v>105</v>
      </c>
      <c r="Q15" s="26"/>
      <c r="R15" s="36"/>
    </row>
    <row r="16" spans="1:18" s="2" customFormat="1" ht="20.100000000000001" customHeight="1" x14ac:dyDescent="0.25">
      <c r="A16" s="69" t="s">
        <v>82</v>
      </c>
      <c r="B16" s="27"/>
      <c r="C16" s="38"/>
      <c r="D16" s="104" t="s">
        <v>242</v>
      </c>
      <c r="E16" s="102">
        <v>2.1365305732814437</v>
      </c>
      <c r="F16" s="102">
        <v>3.1861787182665378</v>
      </c>
      <c r="G16" s="102">
        <v>7.2081705325089036</v>
      </c>
      <c r="H16" s="102">
        <v>21.940081265656051</v>
      </c>
      <c r="I16" s="102">
        <v>22.123811228427257</v>
      </c>
      <c r="J16" s="102">
        <v>15.604388080101861</v>
      </c>
      <c r="K16" s="102">
        <v>6.3227678920635917</v>
      </c>
      <c r="L16" s="102">
        <v>6.2657359877066376</v>
      </c>
      <c r="M16" s="102">
        <v>6.3550291802883239</v>
      </c>
      <c r="N16" s="102">
        <v>8.8573065416993924</v>
      </c>
      <c r="O16" s="102">
        <v>100</v>
      </c>
      <c r="P16" s="69" t="s">
        <v>82</v>
      </c>
      <c r="Q16" s="27"/>
      <c r="R16" s="38"/>
    </row>
    <row r="17" spans="1:18" s="2" customFormat="1" ht="20.100000000000001" customHeight="1" x14ac:dyDescent="0.25">
      <c r="A17" s="68" t="s">
        <v>83</v>
      </c>
      <c r="B17" s="26"/>
      <c r="C17" s="36"/>
      <c r="D17" s="103" t="s">
        <v>242</v>
      </c>
      <c r="E17" s="101">
        <v>0.4617594656642971</v>
      </c>
      <c r="F17" s="101">
        <v>0.61431891082456624</v>
      </c>
      <c r="G17" s="101">
        <v>1.3964394982321655</v>
      </c>
      <c r="H17" s="101">
        <v>4.6245356433036466</v>
      </c>
      <c r="I17" s="101">
        <v>6.3069842375418528</v>
      </c>
      <c r="J17" s="101">
        <v>7.5754491435449607</v>
      </c>
      <c r="K17" s="101">
        <v>4.390974563115515</v>
      </c>
      <c r="L17" s="101">
        <v>5.457337232899043</v>
      </c>
      <c r="M17" s="101">
        <v>7.1299785203651256</v>
      </c>
      <c r="N17" s="101">
        <v>62.04222278450883</v>
      </c>
      <c r="O17" s="101">
        <v>100</v>
      </c>
      <c r="P17" s="68" t="s">
        <v>83</v>
      </c>
      <c r="Q17" s="26"/>
      <c r="R17" s="36"/>
    </row>
    <row r="18" spans="1:18" s="2" customFormat="1" ht="20.100000000000001" customHeight="1" x14ac:dyDescent="0.25">
      <c r="A18" s="69" t="s">
        <v>84</v>
      </c>
      <c r="B18" s="27"/>
      <c r="C18" s="38"/>
      <c r="D18" s="104" t="s">
        <v>242</v>
      </c>
      <c r="E18" s="102">
        <v>1.272008715932796</v>
      </c>
      <c r="F18" s="102">
        <v>1.85818191854411</v>
      </c>
      <c r="G18" s="102">
        <v>4.1322959540084776</v>
      </c>
      <c r="H18" s="102">
        <v>10.443211543120894</v>
      </c>
      <c r="I18" s="102">
        <v>10.330503258216048</v>
      </c>
      <c r="J18" s="102">
        <v>8.1453208235112502</v>
      </c>
      <c r="K18" s="102">
        <v>4.8944912849531335</v>
      </c>
      <c r="L18" s="102">
        <v>6.0323263139999357</v>
      </c>
      <c r="M18" s="102">
        <v>8.1773707018527588</v>
      </c>
      <c r="N18" s="102">
        <v>44.714289485860597</v>
      </c>
      <c r="O18" s="102">
        <v>100</v>
      </c>
      <c r="P18" s="69" t="s">
        <v>84</v>
      </c>
      <c r="Q18" s="27"/>
      <c r="R18" s="38"/>
    </row>
    <row r="19" spans="1:18" s="2" customFormat="1" ht="20.100000000000001" customHeight="1" x14ac:dyDescent="0.25">
      <c r="A19" s="68" t="s">
        <v>85</v>
      </c>
      <c r="B19" s="26"/>
      <c r="C19" s="36"/>
      <c r="D19" s="103" t="s">
        <v>242</v>
      </c>
      <c r="E19" s="101">
        <v>0.55482666600549724</v>
      </c>
      <c r="F19" s="101">
        <v>0.75474568970941147</v>
      </c>
      <c r="G19" s="101">
        <v>1.6659790263520604</v>
      </c>
      <c r="H19" s="101">
        <v>4.9705312332606324</v>
      </c>
      <c r="I19" s="101">
        <v>6.1029919909362258</v>
      </c>
      <c r="J19" s="101">
        <v>6.864889506481175</v>
      </c>
      <c r="K19" s="101">
        <v>3.5952141495267904</v>
      </c>
      <c r="L19" s="101">
        <v>4.2231007778861587</v>
      </c>
      <c r="M19" s="101">
        <v>6.7416838375367334</v>
      </c>
      <c r="N19" s="101">
        <v>64.526037122305326</v>
      </c>
      <c r="O19" s="101">
        <v>100</v>
      </c>
      <c r="P19" s="68" t="s">
        <v>85</v>
      </c>
      <c r="Q19" s="26"/>
      <c r="R19" s="36"/>
    </row>
    <row r="20" spans="1:18" s="2" customFormat="1" ht="20.100000000000001" customHeight="1" x14ac:dyDescent="0.25">
      <c r="A20" s="69" t="s">
        <v>86</v>
      </c>
      <c r="B20" s="27"/>
      <c r="C20" s="38"/>
      <c r="D20" s="104" t="s">
        <v>242</v>
      </c>
      <c r="E20" s="102">
        <v>1.9600793703099391</v>
      </c>
      <c r="F20" s="102">
        <v>2.8221381416116142</v>
      </c>
      <c r="G20" s="102">
        <v>6.374397186835262</v>
      </c>
      <c r="H20" s="102">
        <v>16.24765246797044</v>
      </c>
      <c r="I20" s="102">
        <v>17.923018059739576</v>
      </c>
      <c r="J20" s="102">
        <v>15.05800140894392</v>
      </c>
      <c r="K20" s="102">
        <v>7.04098310605203</v>
      </c>
      <c r="L20" s="102">
        <v>6.6543420443831511</v>
      </c>
      <c r="M20" s="102">
        <v>7.0500028180217065</v>
      </c>
      <c r="N20" s="102">
        <v>18.869385396132358</v>
      </c>
      <c r="O20" s="102">
        <v>100</v>
      </c>
      <c r="P20" s="69" t="s">
        <v>86</v>
      </c>
      <c r="Q20" s="27"/>
      <c r="R20" s="38"/>
    </row>
    <row r="21" spans="1:18" s="2" customFormat="1" ht="20.100000000000001" customHeight="1" x14ac:dyDescent="0.25">
      <c r="A21" s="68" t="s">
        <v>87</v>
      </c>
      <c r="B21" s="26"/>
      <c r="C21" s="36"/>
      <c r="D21" s="103" t="s">
        <v>242</v>
      </c>
      <c r="E21" s="101">
        <v>0.60906157905823577</v>
      </c>
      <c r="F21" s="101">
        <v>0.86177462956175044</v>
      </c>
      <c r="G21" s="101">
        <v>1.925173163028137</v>
      </c>
      <c r="H21" s="101">
        <v>5.9518944109651235</v>
      </c>
      <c r="I21" s="101">
        <v>8.5636564723439488</v>
      </c>
      <c r="J21" s="101">
        <v>10.580137099401934</v>
      </c>
      <c r="K21" s="101">
        <v>6.286407550498442</v>
      </c>
      <c r="L21" s="101">
        <v>7.3593244401791846</v>
      </c>
      <c r="M21" s="101">
        <v>9.7347243218300399</v>
      </c>
      <c r="N21" s="101">
        <v>48.127846333133199</v>
      </c>
      <c r="O21" s="101">
        <v>100</v>
      </c>
      <c r="P21" s="68" t="s">
        <v>87</v>
      </c>
      <c r="Q21" s="26"/>
      <c r="R21" s="36"/>
    </row>
    <row r="22" spans="1:18" s="2" customFormat="1" ht="20.100000000000001" customHeight="1" x14ac:dyDescent="0.25">
      <c r="A22" s="69" t="s">
        <v>88</v>
      </c>
      <c r="B22" s="27"/>
      <c r="C22" s="38"/>
      <c r="D22" s="104" t="s">
        <v>242</v>
      </c>
      <c r="E22" s="102">
        <v>3.211917803507498</v>
      </c>
      <c r="F22" s="102">
        <v>3.9379155072141079</v>
      </c>
      <c r="G22" s="102">
        <v>7.775112547500834</v>
      </c>
      <c r="H22" s="102">
        <v>17.960218721756348</v>
      </c>
      <c r="I22" s="102">
        <v>15.684575627962639</v>
      </c>
      <c r="J22" s="102">
        <v>12.81431691510805</v>
      </c>
      <c r="K22" s="102">
        <v>5.8472550858927663</v>
      </c>
      <c r="L22" s="102">
        <v>5.7993709213963163</v>
      </c>
      <c r="M22" s="102">
        <v>6.2822951616564309</v>
      </c>
      <c r="N22" s="102">
        <v>20.687021708005009</v>
      </c>
      <c r="O22" s="102">
        <v>100</v>
      </c>
      <c r="P22" s="69" t="s">
        <v>88</v>
      </c>
      <c r="Q22" s="27"/>
      <c r="R22" s="38"/>
    </row>
    <row r="23" spans="1:18" s="2" customFormat="1" ht="20.100000000000001" customHeight="1" x14ac:dyDescent="0.25">
      <c r="A23" s="68" t="s">
        <v>89</v>
      </c>
      <c r="B23" s="26"/>
      <c r="C23" s="36"/>
      <c r="D23" s="103" t="s">
        <v>242</v>
      </c>
      <c r="E23" s="101">
        <v>2.8182902261507983</v>
      </c>
      <c r="F23" s="101">
        <v>3.1786342874063718</v>
      </c>
      <c r="G23" s="101">
        <v>5.9716192424810224</v>
      </c>
      <c r="H23" s="101">
        <v>15.338549784258957</v>
      </c>
      <c r="I23" s="101">
        <v>15.224641137891417</v>
      </c>
      <c r="J23" s="101">
        <v>13.394524762371017</v>
      </c>
      <c r="K23" s="101">
        <v>6.5996702233388138</v>
      </c>
      <c r="L23" s="101">
        <v>6.4121075071797362</v>
      </c>
      <c r="M23" s="101">
        <v>8.1912473021529149</v>
      </c>
      <c r="N23" s="101">
        <v>22.870715526768937</v>
      </c>
      <c r="O23" s="101">
        <v>100</v>
      </c>
      <c r="P23" s="68" t="s">
        <v>89</v>
      </c>
      <c r="Q23" s="26"/>
      <c r="R23" s="36"/>
    </row>
    <row r="24" spans="1:18" s="2" customFormat="1" ht="20.100000000000001" customHeight="1" x14ac:dyDescent="0.25">
      <c r="A24" s="69" t="s">
        <v>90</v>
      </c>
      <c r="B24" s="27"/>
      <c r="C24" s="38"/>
      <c r="D24" s="104" t="s">
        <v>242</v>
      </c>
      <c r="E24" s="102">
        <v>1.2283835235284919</v>
      </c>
      <c r="F24" s="102">
        <v>1.3622645509479743</v>
      </c>
      <c r="G24" s="102">
        <v>2.5803688591821086</v>
      </c>
      <c r="H24" s="102">
        <v>6.8773241409177572</v>
      </c>
      <c r="I24" s="102">
        <v>8.3491608494169718</v>
      </c>
      <c r="J24" s="102">
        <v>9.9457593175314596</v>
      </c>
      <c r="K24" s="102">
        <v>5.7367178763564572</v>
      </c>
      <c r="L24" s="102">
        <v>6.0029872516610085</v>
      </c>
      <c r="M24" s="102">
        <v>7.1668330608077886</v>
      </c>
      <c r="N24" s="102">
        <v>50.750200569649991</v>
      </c>
      <c r="O24" s="102">
        <v>100</v>
      </c>
      <c r="P24" s="69" t="s">
        <v>90</v>
      </c>
      <c r="Q24" s="27"/>
      <c r="R24" s="38"/>
    </row>
    <row r="25" spans="1:18" s="2" customFormat="1" ht="20.100000000000001" customHeight="1" x14ac:dyDescent="0.25">
      <c r="A25" s="68" t="s">
        <v>91</v>
      </c>
      <c r="B25" s="26"/>
      <c r="C25" s="36"/>
      <c r="D25" s="103" t="s">
        <v>242</v>
      </c>
      <c r="E25" s="101">
        <v>2.061959901829459</v>
      </c>
      <c r="F25" s="101">
        <v>2.4552938042229999</v>
      </c>
      <c r="G25" s="101">
        <v>4.8118932983321088</v>
      </c>
      <c r="H25" s="101">
        <v>12.640923759953591</v>
      </c>
      <c r="I25" s="101">
        <v>14.175244794553842</v>
      </c>
      <c r="J25" s="101">
        <v>14.0022461084728</v>
      </c>
      <c r="K25" s="101">
        <v>6.6679888414227806</v>
      </c>
      <c r="L25" s="101">
        <v>6.7148116376579514</v>
      </c>
      <c r="M25" s="101">
        <v>7.6418554082683592</v>
      </c>
      <c r="N25" s="101">
        <v>28.827782445286108</v>
      </c>
      <c r="O25" s="101">
        <v>100</v>
      </c>
      <c r="P25" s="68" t="s">
        <v>91</v>
      </c>
      <c r="Q25" s="26"/>
      <c r="R25" s="36"/>
    </row>
    <row r="26" spans="1:18" s="2" customFormat="1" ht="20.100000000000001" customHeight="1" x14ac:dyDescent="0.25">
      <c r="A26" s="69" t="s">
        <v>92</v>
      </c>
      <c r="B26" s="27"/>
      <c r="C26" s="38"/>
      <c r="D26" s="104" t="s">
        <v>242</v>
      </c>
      <c r="E26" s="102">
        <v>2.0486633710131015</v>
      </c>
      <c r="F26" s="102">
        <v>2.5742057140906658</v>
      </c>
      <c r="G26" s="102">
        <v>5.4968386822705799</v>
      </c>
      <c r="H26" s="102">
        <v>16.771742074838972</v>
      </c>
      <c r="I26" s="102">
        <v>20.446666946831723</v>
      </c>
      <c r="J26" s="102">
        <v>18.227540916559843</v>
      </c>
      <c r="K26" s="102">
        <v>7.6518868191482685</v>
      </c>
      <c r="L26" s="102">
        <v>7.3391618617283978</v>
      </c>
      <c r="M26" s="102">
        <v>6.0652190795806415</v>
      </c>
      <c r="N26" s="102">
        <v>13.378074533937804</v>
      </c>
      <c r="O26" s="102">
        <v>100</v>
      </c>
      <c r="P26" s="69" t="s">
        <v>92</v>
      </c>
      <c r="Q26" s="27"/>
      <c r="R26" s="38"/>
    </row>
    <row r="27" spans="1:18" s="2" customFormat="1" ht="20.100000000000001" customHeight="1" x14ac:dyDescent="0.25">
      <c r="A27" s="68" t="s">
        <v>93</v>
      </c>
      <c r="B27" s="26"/>
      <c r="C27" s="36"/>
      <c r="D27" s="103" t="s">
        <v>242</v>
      </c>
      <c r="E27" s="101">
        <v>1.3976583891577643</v>
      </c>
      <c r="F27" s="101">
        <v>1.9580182760400524</v>
      </c>
      <c r="G27" s="101">
        <v>4.3502014891431724</v>
      </c>
      <c r="H27" s="101">
        <v>13.501344824034836</v>
      </c>
      <c r="I27" s="101">
        <v>14.895693682529329</v>
      </c>
      <c r="J27" s="101">
        <v>14.365380714998471</v>
      </c>
      <c r="K27" s="101">
        <v>6.6988077200389222</v>
      </c>
      <c r="L27" s="101">
        <v>6.9217557877824607</v>
      </c>
      <c r="M27" s="101">
        <v>6.9125059281301322</v>
      </c>
      <c r="N27" s="101">
        <v>28.998633188144851</v>
      </c>
      <c r="O27" s="101">
        <v>100</v>
      </c>
      <c r="P27" s="68" t="s">
        <v>93</v>
      </c>
      <c r="Q27" s="26"/>
      <c r="R27" s="36"/>
    </row>
    <row r="28" spans="1:18" s="2" customFormat="1" ht="20.100000000000001" customHeight="1" x14ac:dyDescent="0.25">
      <c r="A28" s="69" t="s">
        <v>94</v>
      </c>
      <c r="B28" s="27"/>
      <c r="C28" s="38"/>
      <c r="D28" s="104" t="s">
        <v>242</v>
      </c>
      <c r="E28" s="102">
        <v>1.1775323411675778</v>
      </c>
      <c r="F28" s="102">
        <v>1.629091435901294</v>
      </c>
      <c r="G28" s="102">
        <v>3.5156562569423606</v>
      </c>
      <c r="H28" s="102">
        <v>10.934210413760781</v>
      </c>
      <c r="I28" s="102">
        <v>14.281312908102677</v>
      </c>
      <c r="J28" s="102">
        <v>13.149874942402565</v>
      </c>
      <c r="K28" s="102">
        <v>6.5503877399224688</v>
      </c>
      <c r="L28" s="102">
        <v>6.5987747993021442</v>
      </c>
      <c r="M28" s="102">
        <v>11.943731448195235</v>
      </c>
      <c r="N28" s="102">
        <v>30.21942771430291</v>
      </c>
      <c r="O28" s="102">
        <v>100</v>
      </c>
      <c r="P28" s="69" t="s">
        <v>94</v>
      </c>
      <c r="Q28" s="27"/>
      <c r="R28" s="38"/>
    </row>
    <row r="29" spans="1:18" s="2" customFormat="1" ht="20.100000000000001" customHeight="1" x14ac:dyDescent="0.25">
      <c r="A29" s="68" t="s">
        <v>95</v>
      </c>
      <c r="B29" s="26"/>
      <c r="C29" s="36"/>
      <c r="D29" s="103" t="s">
        <v>242</v>
      </c>
      <c r="E29" s="101">
        <v>1.6998912745844905</v>
      </c>
      <c r="F29" s="101">
        <v>2.2392614209010575</v>
      </c>
      <c r="G29" s="101">
        <v>4.9065101621064704</v>
      </c>
      <c r="H29" s="101">
        <v>15.101293874071722</v>
      </c>
      <c r="I29" s="101">
        <v>17.487924369635682</v>
      </c>
      <c r="J29" s="101">
        <v>15.607291761452714</v>
      </c>
      <c r="K29" s="101">
        <v>7.2018242901104985</v>
      </c>
      <c r="L29" s="101">
        <v>7.7298689924969866</v>
      </c>
      <c r="M29" s="101">
        <v>7.2639913277190864</v>
      </c>
      <c r="N29" s="101">
        <v>20.762142526921295</v>
      </c>
      <c r="O29" s="101">
        <v>100</v>
      </c>
      <c r="P29" s="68" t="s">
        <v>95</v>
      </c>
      <c r="Q29" s="26"/>
      <c r="R29" s="36"/>
    </row>
    <row r="30" spans="1:18" s="2" customFormat="1" ht="20.100000000000001" customHeight="1" x14ac:dyDescent="0.25">
      <c r="A30" s="69" t="s">
        <v>96</v>
      </c>
      <c r="B30" s="27"/>
      <c r="C30" s="38"/>
      <c r="D30" s="104" t="s">
        <v>242</v>
      </c>
      <c r="E30" s="102">
        <v>1.4412911127790358</v>
      </c>
      <c r="F30" s="102">
        <v>2.4268511203982888</v>
      </c>
      <c r="G30" s="102">
        <v>6.1311441741472406</v>
      </c>
      <c r="H30" s="102">
        <v>17.317347316544065</v>
      </c>
      <c r="I30" s="102">
        <v>17.08897363751645</v>
      </c>
      <c r="J30" s="102">
        <v>14.659015828676795</v>
      </c>
      <c r="K30" s="102">
        <v>6.6368297650974206</v>
      </c>
      <c r="L30" s="102">
        <v>7.031195931665783</v>
      </c>
      <c r="M30" s="102">
        <v>8.9518275622321699</v>
      </c>
      <c r="N30" s="102">
        <v>18.315523550942743</v>
      </c>
      <c r="O30" s="102">
        <v>100</v>
      </c>
      <c r="P30" s="69" t="s">
        <v>96</v>
      </c>
      <c r="Q30" s="27"/>
      <c r="R30" s="38"/>
    </row>
    <row r="31" spans="1:18" s="2" customFormat="1" ht="20.100000000000001" customHeight="1" x14ac:dyDescent="0.25">
      <c r="A31" s="68" t="s">
        <v>106</v>
      </c>
      <c r="B31" s="26"/>
      <c r="C31" s="36"/>
      <c r="D31" s="103" t="s">
        <v>242</v>
      </c>
      <c r="E31" s="101">
        <v>1.7748230301910446</v>
      </c>
      <c r="F31" s="101">
        <v>2.2869157552451522</v>
      </c>
      <c r="G31" s="101">
        <v>4.7674287274470686</v>
      </c>
      <c r="H31" s="101">
        <v>14.555322104862185</v>
      </c>
      <c r="I31" s="101">
        <v>19.218985865234387</v>
      </c>
      <c r="J31" s="101">
        <v>18.180800500931113</v>
      </c>
      <c r="K31" s="101">
        <v>7.9253345090589118</v>
      </c>
      <c r="L31" s="101">
        <v>7.3383722905859976</v>
      </c>
      <c r="M31" s="101">
        <v>7.1027142404801982</v>
      </c>
      <c r="N31" s="101">
        <v>16.849302975963923</v>
      </c>
      <c r="O31" s="101">
        <v>100</v>
      </c>
      <c r="P31" s="68" t="s">
        <v>106</v>
      </c>
      <c r="Q31" s="26"/>
      <c r="R31" s="36"/>
    </row>
    <row r="32" spans="1:18" s="2" customFormat="1" ht="20.100000000000001" customHeight="1" x14ac:dyDescent="0.25">
      <c r="A32" s="69" t="s">
        <v>97</v>
      </c>
      <c r="B32" s="27"/>
      <c r="C32" s="38"/>
      <c r="D32" s="104" t="s">
        <v>242</v>
      </c>
      <c r="E32" s="102">
        <v>1.5694543614551733</v>
      </c>
      <c r="F32" s="102">
        <v>2.1588194134086951</v>
      </c>
      <c r="G32" s="102">
        <v>4.7135268458957285</v>
      </c>
      <c r="H32" s="102">
        <v>14.149871549926704</v>
      </c>
      <c r="I32" s="102">
        <v>16.771205226557189</v>
      </c>
      <c r="J32" s="102">
        <v>16.019433287954982</v>
      </c>
      <c r="K32" s="102">
        <v>7.096111813277302</v>
      </c>
      <c r="L32" s="102">
        <v>7.0460679177464778</v>
      </c>
      <c r="M32" s="102">
        <v>7.8640150787091292</v>
      </c>
      <c r="N32" s="102">
        <v>22.61149450506861</v>
      </c>
      <c r="O32" s="102">
        <v>100</v>
      </c>
      <c r="P32" s="69" t="s">
        <v>97</v>
      </c>
      <c r="Q32" s="27"/>
      <c r="R32" s="38"/>
    </row>
    <row r="33" spans="1:18" s="2" customFormat="1" ht="20.100000000000001" customHeight="1" x14ac:dyDescent="0.25">
      <c r="A33" s="68" t="s">
        <v>98</v>
      </c>
      <c r="B33" s="26"/>
      <c r="C33" s="36"/>
      <c r="D33" s="103" t="s">
        <v>242</v>
      </c>
      <c r="E33" s="101">
        <v>1.9166092136935144</v>
      </c>
      <c r="F33" s="101">
        <v>2.8438349468510355</v>
      </c>
      <c r="G33" s="101">
        <v>5.8950009144866904</v>
      </c>
      <c r="H33" s="101">
        <v>13.481481662629117</v>
      </c>
      <c r="I33" s="101">
        <v>13.171922170395622</v>
      </c>
      <c r="J33" s="101">
        <v>12.009300036499363</v>
      </c>
      <c r="K33" s="101">
        <v>6.8174961779507663</v>
      </c>
      <c r="L33" s="101">
        <v>8.5633572993547578</v>
      </c>
      <c r="M33" s="101">
        <v>10.900935283203269</v>
      </c>
      <c r="N33" s="101">
        <v>24.400062294935868</v>
      </c>
      <c r="O33" s="101">
        <v>100</v>
      </c>
      <c r="P33" s="68" t="s">
        <v>98</v>
      </c>
      <c r="Q33" s="26"/>
      <c r="R33" s="36"/>
    </row>
    <row r="34" spans="1:18" s="2" customFormat="1" ht="20.100000000000001" customHeight="1" x14ac:dyDescent="0.25">
      <c r="A34" s="69" t="s">
        <v>99</v>
      </c>
      <c r="B34" s="27"/>
      <c r="C34" s="38"/>
      <c r="D34" s="104" t="s">
        <v>242</v>
      </c>
      <c r="E34" s="102">
        <v>1.5495025814523706</v>
      </c>
      <c r="F34" s="102">
        <v>2.2657934331475422</v>
      </c>
      <c r="G34" s="102">
        <v>4.6712013485992196</v>
      </c>
      <c r="H34" s="102">
        <v>12.760095331318016</v>
      </c>
      <c r="I34" s="102">
        <v>14.137150395564007</v>
      </c>
      <c r="J34" s="102">
        <v>13.738034417472438</v>
      </c>
      <c r="K34" s="102">
        <v>7.2040364481106272</v>
      </c>
      <c r="L34" s="102">
        <v>7.851345621789183</v>
      </c>
      <c r="M34" s="102">
        <v>8.711474695781682</v>
      </c>
      <c r="N34" s="102">
        <v>27.111365726764916</v>
      </c>
      <c r="O34" s="102">
        <v>100</v>
      </c>
      <c r="P34" s="69" t="s">
        <v>99</v>
      </c>
      <c r="Q34" s="27"/>
      <c r="R34" s="38"/>
    </row>
    <row r="35" spans="1:18" s="2" customFormat="1" ht="20.100000000000001" customHeight="1" x14ac:dyDescent="0.25">
      <c r="A35" s="68" t="s">
        <v>100</v>
      </c>
      <c r="B35" s="26"/>
      <c r="C35" s="36"/>
      <c r="D35" s="103" t="s">
        <v>242</v>
      </c>
      <c r="E35" s="101">
        <v>2.8364257358692733</v>
      </c>
      <c r="F35" s="101">
        <v>4.2512030768403539</v>
      </c>
      <c r="G35" s="101">
        <v>8.3781259716033407</v>
      </c>
      <c r="H35" s="101">
        <v>19.938178833893119</v>
      </c>
      <c r="I35" s="101">
        <v>18.719314236881996</v>
      </c>
      <c r="J35" s="101">
        <v>13.617507809610821</v>
      </c>
      <c r="K35" s="101">
        <v>5.7904869123206231</v>
      </c>
      <c r="L35" s="101">
        <v>5.8303544384435675</v>
      </c>
      <c r="M35" s="101">
        <v>5.989182448754395</v>
      </c>
      <c r="N35" s="101">
        <v>14.649220535782502</v>
      </c>
      <c r="O35" s="101">
        <v>100</v>
      </c>
      <c r="P35" s="68" t="s">
        <v>100</v>
      </c>
      <c r="Q35" s="26"/>
      <c r="R35" s="36"/>
    </row>
    <row r="36" spans="1:18" s="2" customFormat="1" ht="20.100000000000001" customHeight="1" x14ac:dyDescent="0.25">
      <c r="A36" s="69" t="s">
        <v>101</v>
      </c>
      <c r="B36" s="27"/>
      <c r="C36" s="38"/>
      <c r="D36" s="104" t="s">
        <v>242</v>
      </c>
      <c r="E36" s="102">
        <v>2.8725470456981537</v>
      </c>
      <c r="F36" s="102">
        <v>3.4562358227514389</v>
      </c>
      <c r="G36" s="102">
        <v>6.8722588596481273</v>
      </c>
      <c r="H36" s="102">
        <v>17.668816807658668</v>
      </c>
      <c r="I36" s="102">
        <v>16.305553404976099</v>
      </c>
      <c r="J36" s="102">
        <v>13.738312416804376</v>
      </c>
      <c r="K36" s="102">
        <v>6.4035934831141601</v>
      </c>
      <c r="L36" s="102">
        <v>8.0862026299156025</v>
      </c>
      <c r="M36" s="102">
        <v>7.2349204149146118</v>
      </c>
      <c r="N36" s="102">
        <v>17.36155911451878</v>
      </c>
      <c r="O36" s="102">
        <v>100</v>
      </c>
      <c r="P36" s="69" t="s">
        <v>101</v>
      </c>
      <c r="Q36" s="27"/>
      <c r="R36" s="38"/>
    </row>
    <row r="37" spans="1:18" s="2" customFormat="1" ht="20.100000000000001" customHeight="1" x14ac:dyDescent="0.25">
      <c r="A37" s="68" t="s">
        <v>102</v>
      </c>
      <c r="B37" s="26"/>
      <c r="C37" s="36"/>
      <c r="D37" s="103" t="s">
        <v>242</v>
      </c>
      <c r="E37" s="101">
        <v>0.95212057206508693</v>
      </c>
      <c r="F37" s="101">
        <v>1.1639710219128365</v>
      </c>
      <c r="G37" s="101">
        <v>2.3931307622671478</v>
      </c>
      <c r="H37" s="101">
        <v>6.8543147039973062</v>
      </c>
      <c r="I37" s="101">
        <v>8.392148918407452</v>
      </c>
      <c r="J37" s="101">
        <v>9.7741294899179518</v>
      </c>
      <c r="K37" s="101">
        <v>5.6662717772928808</v>
      </c>
      <c r="L37" s="101">
        <v>7.7694983297940441</v>
      </c>
      <c r="M37" s="101">
        <v>10.285134209304049</v>
      </c>
      <c r="N37" s="101">
        <v>46.749280215041246</v>
      </c>
      <c r="O37" s="101">
        <v>100</v>
      </c>
      <c r="P37" s="68" t="s">
        <v>102</v>
      </c>
      <c r="Q37" s="26"/>
      <c r="R37" s="36"/>
    </row>
    <row r="38" spans="1:18" s="2" customFormat="1" ht="20.100000000000001" customHeight="1" x14ac:dyDescent="0.25">
      <c r="A38" s="69" t="s">
        <v>103</v>
      </c>
      <c r="B38" s="27"/>
      <c r="C38" s="38"/>
      <c r="D38" s="104" t="s">
        <v>242</v>
      </c>
      <c r="E38" s="102">
        <v>2.9789505132729075</v>
      </c>
      <c r="F38" s="102">
        <v>4.2222514028877676</v>
      </c>
      <c r="G38" s="102">
        <v>8.9094980748260451</v>
      </c>
      <c r="H38" s="102">
        <v>21.101411948773478</v>
      </c>
      <c r="I38" s="102">
        <v>15.914644098830822</v>
      </c>
      <c r="J38" s="102">
        <v>10.872197820913346</v>
      </c>
      <c r="K38" s="102">
        <v>4.9631539554187611</v>
      </c>
      <c r="L38" s="102">
        <v>6.0202031110680219</v>
      </c>
      <c r="M38" s="102">
        <v>4.8072282963004778</v>
      </c>
      <c r="N38" s="102">
        <v>20.210460777708374</v>
      </c>
      <c r="O38" s="102">
        <v>100</v>
      </c>
      <c r="P38" s="69" t="s">
        <v>103</v>
      </c>
      <c r="Q38" s="27"/>
      <c r="R38" s="38"/>
    </row>
    <row r="39" spans="1:18" s="2" customFormat="1" ht="20.100000000000001" customHeight="1" x14ac:dyDescent="0.25">
      <c r="A39" s="201" t="s">
        <v>104</v>
      </c>
      <c r="B39" s="202"/>
      <c r="C39" s="203"/>
      <c r="D39" s="204" t="s">
        <v>242</v>
      </c>
      <c r="E39" s="200">
        <v>1.5119201730675258</v>
      </c>
      <c r="F39" s="200">
        <v>2.0168578312054373</v>
      </c>
      <c r="G39" s="200">
        <v>4.2306719525815106</v>
      </c>
      <c r="H39" s="200">
        <v>11.89815809298346</v>
      </c>
      <c r="I39" s="200">
        <v>13.755395215988147</v>
      </c>
      <c r="J39" s="200">
        <v>13.612134506416211</v>
      </c>
      <c r="K39" s="200">
        <v>6.806171209255508</v>
      </c>
      <c r="L39" s="200">
        <v>7.4569988652751755</v>
      </c>
      <c r="M39" s="200">
        <v>8.3682595458971498</v>
      </c>
      <c r="N39" s="200">
        <v>30.343432607329884</v>
      </c>
      <c r="O39" s="200">
        <v>100</v>
      </c>
      <c r="P39" s="201" t="s">
        <v>104</v>
      </c>
      <c r="Q39" s="202"/>
      <c r="R39" s="203"/>
    </row>
    <row r="40" spans="1:18" ht="8.1" customHeight="1" thickBot="1" x14ac:dyDescent="0.2">
      <c r="A40" s="205"/>
      <c r="B40" s="206"/>
      <c r="C40" s="207"/>
      <c r="D40" s="208"/>
      <c r="E40" s="209"/>
      <c r="F40" s="209"/>
      <c r="G40" s="209"/>
      <c r="H40" s="210"/>
      <c r="I40" s="209"/>
      <c r="J40" s="211"/>
      <c r="K40" s="209"/>
      <c r="L40" s="209"/>
      <c r="M40" s="209"/>
      <c r="N40" s="210"/>
      <c r="O40" s="209"/>
      <c r="P40" s="205"/>
      <c r="Q40" s="206"/>
      <c r="R40" s="207"/>
    </row>
    <row r="41" spans="1:18" ht="12" customHeight="1" x14ac:dyDescent="0.15">
      <c r="A41" s="166"/>
      <c r="B41" s="166"/>
      <c r="C41" s="166"/>
      <c r="D41" s="212"/>
      <c r="E41" s="212"/>
      <c r="F41" s="212"/>
      <c r="G41" s="212"/>
      <c r="H41" s="166"/>
      <c r="I41" s="166"/>
      <c r="J41" s="212"/>
      <c r="K41" s="212"/>
      <c r="L41" s="212"/>
      <c r="M41" s="212"/>
      <c r="N41" s="166"/>
      <c r="O41" s="166"/>
      <c r="P41" s="166"/>
      <c r="Q41" s="166"/>
      <c r="R41" s="166"/>
    </row>
    <row r="42" spans="1:18" s="29" customFormat="1" ht="15" customHeight="1" x14ac:dyDescent="0.25">
      <c r="A42" s="213">
        <v>12</v>
      </c>
      <c r="B42" s="214"/>
      <c r="C42" s="214"/>
      <c r="D42" s="215"/>
      <c r="E42" s="215"/>
      <c r="F42" s="215"/>
      <c r="G42" s="214"/>
      <c r="H42" s="214"/>
      <c r="I42" s="216" t="s">
        <v>72</v>
      </c>
      <c r="J42" s="217" t="s">
        <v>72</v>
      </c>
      <c r="K42" s="215"/>
      <c r="L42" s="215"/>
      <c r="M42" s="214"/>
      <c r="N42" s="214"/>
      <c r="O42" s="214"/>
      <c r="P42" s="217"/>
      <c r="Q42" s="214"/>
      <c r="R42" s="218">
        <v>13</v>
      </c>
    </row>
  </sheetData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76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141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1284263.528953</v>
      </c>
      <c r="E13" s="24">
        <v>24.527316352213987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1619910.73761</v>
      </c>
      <c r="E14" s="25">
        <v>30.937624738203432</v>
      </c>
      <c r="F14" s="17">
        <v>27089.279190812438</v>
      </c>
      <c r="G14" s="25">
        <v>1.5119201730675258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496838.466992</v>
      </c>
      <c r="E15" s="24">
        <v>9.4887957036330235</v>
      </c>
      <c r="F15" s="54">
        <v>36136.315826021077</v>
      </c>
      <c r="G15" s="24">
        <v>2.0168578312054373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523749.51148799999</v>
      </c>
      <c r="E16" s="25">
        <v>10.002752291857568</v>
      </c>
      <c r="F16" s="17">
        <v>75801.5242667852</v>
      </c>
      <c r="G16" s="25">
        <v>4.2306719525815106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659570.75495800003</v>
      </c>
      <c r="E17" s="24">
        <v>12.596714146910516</v>
      </c>
      <c r="F17" s="54">
        <v>213180.91535435728</v>
      </c>
      <c r="G17" s="24">
        <v>11.89815809298346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352181</v>
      </c>
      <c r="E18" s="25">
        <v>6.7260765454277722</v>
      </c>
      <c r="F18" s="17">
        <v>246457.2852612017</v>
      </c>
      <c r="G18" s="25">
        <v>13.755395215988147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177389</v>
      </c>
      <c r="E19" s="24">
        <v>3.3878374821949144</v>
      </c>
      <c r="F19" s="54">
        <v>243890.46366056503</v>
      </c>
      <c r="G19" s="24">
        <v>13.612134506416211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50334</v>
      </c>
      <c r="E20" s="25">
        <v>0.96129642666004556</v>
      </c>
      <c r="F20" s="17">
        <v>121947.09442491007</v>
      </c>
      <c r="G20" s="25">
        <v>6.806171209255508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35085</v>
      </c>
      <c r="E21" s="24">
        <v>0.67006566395215361</v>
      </c>
      <c r="F21" s="54">
        <v>133608.06197668795</v>
      </c>
      <c r="G21" s="24">
        <v>7.4569988652751755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21929</v>
      </c>
      <c r="E22" s="25">
        <v>0.41880775102769774</v>
      </c>
      <c r="F22" s="17">
        <v>149935.24341967006</v>
      </c>
      <c r="G22" s="25">
        <v>8.3682595458971498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14803</v>
      </c>
      <c r="E23" s="24">
        <v>0.28271289791887499</v>
      </c>
      <c r="F23" s="54">
        <v>543667.40529683337</v>
      </c>
      <c r="G23" s="24">
        <v>30.343432607329884</v>
      </c>
    </row>
    <row r="24" spans="1:7" s="2" customFormat="1" ht="24.9" customHeight="1" x14ac:dyDescent="0.25">
      <c r="A24" s="39" t="s">
        <v>4</v>
      </c>
      <c r="B24" s="27"/>
      <c r="C24" s="40"/>
      <c r="D24" s="16">
        <v>5236054.0000010002</v>
      </c>
      <c r="E24" s="25">
        <v>100</v>
      </c>
      <c r="F24" s="55">
        <v>1791713.588677844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14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53" priority="1" stopIfTrue="1" operator="notEqual">
      <formula>0</formula>
    </cfRule>
  </conditionalFormatting>
  <conditionalFormatting sqref="G13">
    <cfRule type="cellIs" dxfId="5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57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196359</v>
      </c>
      <c r="E13" s="24">
        <v>22.614110512113857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242807</v>
      </c>
      <c r="E14" s="25">
        <v>27.96339526639894</v>
      </c>
      <c r="F14" s="17">
        <v>4409.7660020000003</v>
      </c>
      <c r="G14" s="25">
        <v>1.1273965698937622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79918</v>
      </c>
      <c r="E15" s="24">
        <v>9.203929964540027</v>
      </c>
      <c r="F15" s="54">
        <v>5847.3593099999998</v>
      </c>
      <c r="G15" s="24">
        <v>1.4949303037940098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85606</v>
      </c>
      <c r="E16" s="25">
        <v>9.8590008326586442</v>
      </c>
      <c r="F16" s="17">
        <v>12435.355517</v>
      </c>
      <c r="G16" s="25">
        <v>3.1792111302315926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115965</v>
      </c>
      <c r="E17" s="24">
        <v>13.355360974222132</v>
      </c>
      <c r="F17" s="54">
        <v>37845.371930000001</v>
      </c>
      <c r="G17" s="24">
        <v>9.6755116894829918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72396</v>
      </c>
      <c r="E18" s="25">
        <v>8.3376425049781009</v>
      </c>
      <c r="F18" s="17">
        <v>51207.805700999997</v>
      </c>
      <c r="G18" s="25">
        <v>13.091738761854975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43409</v>
      </c>
      <c r="E19" s="24">
        <v>4.9992917218989223</v>
      </c>
      <c r="F19" s="54">
        <v>60152.109608999999</v>
      </c>
      <c r="G19" s="24">
        <v>15.378430967607658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13270</v>
      </c>
      <c r="E20" s="25">
        <v>1.5282683579349603</v>
      </c>
      <c r="F20" s="17">
        <v>32180.653730000002</v>
      </c>
      <c r="G20" s="25">
        <v>8.2272752376625782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9343</v>
      </c>
      <c r="E21" s="24">
        <v>1.0760068777834464</v>
      </c>
      <c r="F21" s="54">
        <v>35522.790287000003</v>
      </c>
      <c r="G21" s="24">
        <v>9.0817226819871646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5669</v>
      </c>
      <c r="E22" s="25">
        <v>0.65288269187138581</v>
      </c>
      <c r="F22" s="17">
        <v>38505.909</v>
      </c>
      <c r="G22" s="25">
        <v>9.844383966757551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3561</v>
      </c>
      <c r="E23" s="24">
        <v>0.41011029559957751</v>
      </c>
      <c r="F23" s="54">
        <v>113038.827</v>
      </c>
      <c r="G23" s="24">
        <v>28.899398690727718</v>
      </c>
    </row>
    <row r="24" spans="1:7" s="2" customFormat="1" ht="24.9" customHeight="1" x14ac:dyDescent="0.25">
      <c r="A24" s="39" t="s">
        <v>4</v>
      </c>
      <c r="B24" s="27"/>
      <c r="C24" s="40"/>
      <c r="D24" s="16">
        <v>868303</v>
      </c>
      <c r="E24" s="25">
        <v>100</v>
      </c>
      <c r="F24" s="55">
        <v>391145.94808599999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15</v>
      </c>
    </row>
  </sheetData>
  <conditionalFormatting sqref="F13">
    <cfRule type="cellIs" dxfId="51" priority="1" stopIfTrue="1" operator="notEqual">
      <formula>0</formula>
    </cfRule>
  </conditionalFormatting>
  <conditionalFormatting sqref="G13">
    <cfRule type="cellIs" dxfId="5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73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148303</v>
      </c>
      <c r="E13" s="24">
        <v>22.455317396386629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224193</v>
      </c>
      <c r="E14" s="25">
        <v>33.946211290723099</v>
      </c>
      <c r="F14" s="17">
        <v>3621.9179239999999</v>
      </c>
      <c r="G14" s="25">
        <v>2.1604224597308841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64751</v>
      </c>
      <c r="E15" s="24">
        <v>9.8042808084356405</v>
      </c>
      <c r="F15" s="54">
        <v>4709.7784369999999</v>
      </c>
      <c r="G15" s="24">
        <v>2.8093157628524494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67785</v>
      </c>
      <c r="E16" s="25">
        <v>10.263674300007875</v>
      </c>
      <c r="F16" s="17">
        <v>9801.1030859999992</v>
      </c>
      <c r="G16" s="25">
        <v>5.8462184073313308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84545</v>
      </c>
      <c r="E17" s="24">
        <v>12.801391807836037</v>
      </c>
      <c r="F17" s="54">
        <v>27299.067276999998</v>
      </c>
      <c r="G17" s="24">
        <v>16.283504848116827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41994</v>
      </c>
      <c r="E18" s="25">
        <v>6.3585267913923529</v>
      </c>
      <c r="F18" s="17">
        <v>29162.850575</v>
      </c>
      <c r="G18" s="25">
        <v>17.395225042102787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18618</v>
      </c>
      <c r="E19" s="24">
        <v>2.8190468115002818</v>
      </c>
      <c r="F19" s="54">
        <v>25397.884125</v>
      </c>
      <c r="G19" s="24">
        <v>15.149476173853929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4605</v>
      </c>
      <c r="E20" s="25">
        <v>0.69726665414968292</v>
      </c>
      <c r="F20" s="17">
        <v>11136.77188</v>
      </c>
      <c r="G20" s="25">
        <v>6.6429258208810102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2989</v>
      </c>
      <c r="E21" s="24">
        <v>0.45257981091279098</v>
      </c>
      <c r="F21" s="54">
        <v>11342.740626999999</v>
      </c>
      <c r="G21" s="24">
        <v>6.7657832451403648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1662</v>
      </c>
      <c r="E22" s="25">
        <v>0.25165193902210059</v>
      </c>
      <c r="F22" s="17">
        <v>11302.112927</v>
      </c>
      <c r="G22" s="25">
        <v>6.7415494006941401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991</v>
      </c>
      <c r="E23" s="24">
        <v>0.15005238963351483</v>
      </c>
      <c r="F23" s="54">
        <v>33874.369262</v>
      </c>
      <c r="G23" s="24">
        <v>20.205578839296276</v>
      </c>
    </row>
    <row r="24" spans="1:7" s="2" customFormat="1" ht="24.9" customHeight="1" x14ac:dyDescent="0.25">
      <c r="A24" s="39" t="s">
        <v>4</v>
      </c>
      <c r="B24" s="27"/>
      <c r="C24" s="40"/>
      <c r="D24" s="16">
        <v>660436</v>
      </c>
      <c r="E24" s="25">
        <v>100</v>
      </c>
      <c r="F24" s="55">
        <v>167648.59612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16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9" priority="1" stopIfTrue="1" operator="notEqual">
      <formula>0</formula>
    </cfRule>
  </conditionalFormatting>
  <conditionalFormatting sqref="G13">
    <cfRule type="cellIs" dxfId="4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118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48074</v>
      </c>
      <c r="E13" s="24">
        <v>19.88657281967064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83896</v>
      </c>
      <c r="E14" s="25">
        <v>34.704911454821485</v>
      </c>
      <c r="F14" s="17">
        <v>1442.262461</v>
      </c>
      <c r="G14" s="25">
        <v>1.7473745927757889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24961</v>
      </c>
      <c r="E15" s="24">
        <v>10.325513669588528</v>
      </c>
      <c r="F15" s="54">
        <v>1803.07852</v>
      </c>
      <c r="G15" s="24">
        <v>2.1845216663569338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25126</v>
      </c>
      <c r="E16" s="25">
        <v>10.3937685374016</v>
      </c>
      <c r="F16" s="17">
        <v>3619.9885949999998</v>
      </c>
      <c r="G16" s="25">
        <v>4.3858009676375573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30815</v>
      </c>
      <c r="E17" s="24">
        <v>12.747113646423239</v>
      </c>
      <c r="F17" s="54">
        <v>9939.4546740000005</v>
      </c>
      <c r="G17" s="24">
        <v>12.042156703816589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15826</v>
      </c>
      <c r="E18" s="25">
        <v>6.5466759879375038</v>
      </c>
      <c r="F18" s="17">
        <v>11045.961229</v>
      </c>
      <c r="G18" s="25">
        <v>13.382745877583391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7600</v>
      </c>
      <c r="E19" s="24">
        <v>3.1438605780566808</v>
      </c>
      <c r="F19" s="54">
        <v>10454.777172</v>
      </c>
      <c r="G19" s="24">
        <v>12.666496215133144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2134</v>
      </c>
      <c r="E20" s="25">
        <v>0.88276295704907326</v>
      </c>
      <c r="F20" s="17">
        <v>5176.9375179999997</v>
      </c>
      <c r="G20" s="25">
        <v>6.2721240633752808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1584</v>
      </c>
      <c r="E21" s="24">
        <v>0.65524673100549768</v>
      </c>
      <c r="F21" s="54">
        <v>6051.9305910000003</v>
      </c>
      <c r="G21" s="24">
        <v>7.3322228359349664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1015</v>
      </c>
      <c r="E22" s="25">
        <v>0.41987085351678038</v>
      </c>
      <c r="F22" s="17">
        <v>6964.4853240000002</v>
      </c>
      <c r="G22" s="25">
        <v>8.4378294769452911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710</v>
      </c>
      <c r="E23" s="24">
        <v>0.29370276452897937</v>
      </c>
      <c r="F23" s="54">
        <v>26039.949132000002</v>
      </c>
      <c r="G23" s="24">
        <v>31.548727600441065</v>
      </c>
    </row>
    <row r="24" spans="1:7" s="2" customFormat="1" ht="24.9" customHeight="1" x14ac:dyDescent="0.25">
      <c r="A24" s="39" t="s">
        <v>4</v>
      </c>
      <c r="B24" s="27"/>
      <c r="C24" s="40"/>
      <c r="D24" s="16">
        <v>241741</v>
      </c>
      <c r="E24" s="25">
        <v>100</v>
      </c>
      <c r="F24" s="55">
        <v>82538.825215999997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17</v>
      </c>
    </row>
  </sheetData>
  <conditionalFormatting sqref="F13">
    <cfRule type="cellIs" dxfId="47" priority="1" stopIfTrue="1" operator="notEqual">
      <formula>0</formula>
    </cfRule>
  </conditionalFormatting>
  <conditionalFormatting sqref="G13">
    <cfRule type="cellIs" dxfId="4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119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1520</v>
      </c>
      <c r="E13" s="24">
        <v>6.6948555320648344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7339</v>
      </c>
      <c r="E14" s="25">
        <v>32.324700493305144</v>
      </c>
      <c r="F14" s="17">
        <v>140.54200499999999</v>
      </c>
      <c r="G14" s="25">
        <v>2.1365305732814437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2864</v>
      </c>
      <c r="E15" s="24">
        <v>12.614517265680057</v>
      </c>
      <c r="F15" s="54">
        <v>209.58836299999999</v>
      </c>
      <c r="G15" s="24">
        <v>3.1861787182665378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3259</v>
      </c>
      <c r="E16" s="25">
        <v>14.35429880197322</v>
      </c>
      <c r="F16" s="17">
        <v>474.15691199999998</v>
      </c>
      <c r="G16" s="25">
        <v>7.2081705325089036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4474</v>
      </c>
      <c r="E17" s="24">
        <v>19.705778717406623</v>
      </c>
      <c r="F17" s="54">
        <v>1443.2290599999999</v>
      </c>
      <c r="G17" s="24">
        <v>21.940081265656051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2116</v>
      </c>
      <c r="E18" s="25">
        <v>9.3199436222692036</v>
      </c>
      <c r="F18" s="17">
        <v>1455.314905</v>
      </c>
      <c r="G18" s="25">
        <v>22.123811228427257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761</v>
      </c>
      <c r="E19" s="24">
        <v>3.3518322762508812</v>
      </c>
      <c r="F19" s="54">
        <v>1026.4641260000001</v>
      </c>
      <c r="G19" s="24">
        <v>15.604388080101861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172</v>
      </c>
      <c r="E20" s="25">
        <v>0.75757575757575757</v>
      </c>
      <c r="F20" s="17">
        <v>415.91470199999998</v>
      </c>
      <c r="G20" s="25">
        <v>6.3227678920635917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109</v>
      </c>
      <c r="E21" s="24">
        <v>0.48009161381254406</v>
      </c>
      <c r="F21" s="54">
        <v>412.163116</v>
      </c>
      <c r="G21" s="24">
        <v>6.2657359877066376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59</v>
      </c>
      <c r="E22" s="25">
        <v>0.25986610288935869</v>
      </c>
      <c r="F22" s="17">
        <v>418.03686499999998</v>
      </c>
      <c r="G22" s="25">
        <v>6.3550291802883239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31</v>
      </c>
      <c r="E23" s="24">
        <v>0.13653981677237492</v>
      </c>
      <c r="F23" s="54">
        <v>582.63786900000002</v>
      </c>
      <c r="G23" s="24">
        <v>8.8573065416993924</v>
      </c>
    </row>
    <row r="24" spans="1:7" s="2" customFormat="1" ht="24.9" customHeight="1" x14ac:dyDescent="0.25">
      <c r="A24" s="39" t="s">
        <v>4</v>
      </c>
      <c r="B24" s="27"/>
      <c r="C24" s="40"/>
      <c r="D24" s="16">
        <v>22704</v>
      </c>
      <c r="E24" s="25">
        <v>100</v>
      </c>
      <c r="F24" s="55">
        <v>6578.0479230000001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18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5" priority="1" stopIfTrue="1" operator="notEqual">
      <formula>0</formula>
    </cfRule>
  </conditionalFormatting>
  <conditionalFormatting sqref="G13">
    <cfRule type="cellIs" dxfId="4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9574</v>
      </c>
      <c r="E13" s="24">
        <v>9.8492875880870336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30075</v>
      </c>
      <c r="E14" s="25">
        <v>30.939766472918063</v>
      </c>
      <c r="F14" s="17">
        <v>511.22179899999998</v>
      </c>
      <c r="G14" s="25">
        <v>0.4617594656642971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9362</v>
      </c>
      <c r="E15" s="24">
        <v>9.6311918111208268</v>
      </c>
      <c r="F15" s="54">
        <v>680.12296900000001</v>
      </c>
      <c r="G15" s="24">
        <v>0.61431891082456624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10638</v>
      </c>
      <c r="E16" s="25">
        <v>10.9438814875778</v>
      </c>
      <c r="F16" s="17">
        <v>1546.0220429999999</v>
      </c>
      <c r="G16" s="25">
        <v>1.3964394982321655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15606</v>
      </c>
      <c r="E17" s="24">
        <v>16.05472969497454</v>
      </c>
      <c r="F17" s="54">
        <v>5119.9024749999999</v>
      </c>
      <c r="G17" s="24">
        <v>4.6245356433036466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9911</v>
      </c>
      <c r="E18" s="25">
        <v>10.195977573170104</v>
      </c>
      <c r="F18" s="17">
        <v>6982.5700779999997</v>
      </c>
      <c r="G18" s="25">
        <v>6.3069842375418528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6053</v>
      </c>
      <c r="E19" s="24">
        <v>6.2270459338511399</v>
      </c>
      <c r="F19" s="54">
        <v>8386.9092619999992</v>
      </c>
      <c r="G19" s="24">
        <v>7.5754491435449607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1995</v>
      </c>
      <c r="E20" s="25">
        <v>2.0523635615451883</v>
      </c>
      <c r="F20" s="17">
        <v>4861.3230100000001</v>
      </c>
      <c r="G20" s="25">
        <v>4.390974563115515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1567</v>
      </c>
      <c r="E21" s="24">
        <v>1.6120569929530375</v>
      </c>
      <c r="F21" s="54">
        <v>6041.9113530000004</v>
      </c>
      <c r="G21" s="24">
        <v>5.457337232899043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1148</v>
      </c>
      <c r="E22" s="25">
        <v>1.1810092073453011</v>
      </c>
      <c r="F22" s="17">
        <v>7893.7211189999998</v>
      </c>
      <c r="G22" s="25">
        <v>7.1299785203651256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1276</v>
      </c>
      <c r="E23" s="24">
        <v>1.3126896764569724</v>
      </c>
      <c r="F23" s="54">
        <v>68688.005562000006</v>
      </c>
      <c r="G23" s="24">
        <v>62.04222278450883</v>
      </c>
    </row>
    <row r="24" spans="1:7" s="2" customFormat="1" ht="24.9" customHeight="1" x14ac:dyDescent="0.25">
      <c r="A24" s="39" t="s">
        <v>4</v>
      </c>
      <c r="B24" s="27"/>
      <c r="C24" s="40"/>
      <c r="D24" s="16">
        <v>97205</v>
      </c>
      <c r="E24" s="25">
        <v>100</v>
      </c>
      <c r="F24" s="55">
        <v>110711.70967000001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19</v>
      </c>
    </row>
  </sheetData>
  <conditionalFormatting sqref="F13">
    <cfRule type="cellIs" dxfId="43" priority="1" stopIfTrue="1" operator="notEqual">
      <formula>0</formula>
    </cfRule>
  </conditionalFormatting>
  <conditionalFormatting sqref="G13">
    <cfRule type="cellIs" dxfId="4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37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3482</v>
      </c>
      <c r="E13" s="24">
        <v>13.675280810619746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8355</v>
      </c>
      <c r="E14" s="25">
        <v>32.813604587228028</v>
      </c>
      <c r="F14" s="17">
        <v>153.327957</v>
      </c>
      <c r="G14" s="25">
        <v>1.272008715932796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3071</v>
      </c>
      <c r="E15" s="24">
        <v>12.061110674730971</v>
      </c>
      <c r="F15" s="54">
        <v>223.985287</v>
      </c>
      <c r="G15" s="24">
        <v>1.85818191854411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3430</v>
      </c>
      <c r="E16" s="25">
        <v>13.471054905349147</v>
      </c>
      <c r="F16" s="17">
        <v>498.10703999999998</v>
      </c>
      <c r="G16" s="25">
        <v>4.1322959540084776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3942</v>
      </c>
      <c r="E17" s="24">
        <v>15.48189458801351</v>
      </c>
      <c r="F17" s="54">
        <v>1258.824936</v>
      </c>
      <c r="G17" s="24">
        <v>10.443211543120894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1796</v>
      </c>
      <c r="E18" s="25">
        <v>7.0536485743460844</v>
      </c>
      <c r="F18" s="17">
        <v>1245.239077</v>
      </c>
      <c r="G18" s="25">
        <v>10.330503258216048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722</v>
      </c>
      <c r="E19" s="24">
        <v>2.8355981462571673</v>
      </c>
      <c r="F19" s="54">
        <v>981.83714099999997</v>
      </c>
      <c r="G19" s="24">
        <v>8.1453208235112502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243</v>
      </c>
      <c r="E20" s="25">
        <v>0.95436336501453145</v>
      </c>
      <c r="F20" s="17">
        <v>589.98208099999999</v>
      </c>
      <c r="G20" s="25">
        <v>4.8944912849531335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189</v>
      </c>
      <c r="E21" s="24">
        <v>0.7422826172335244</v>
      </c>
      <c r="F21" s="54">
        <v>727.13673900000003</v>
      </c>
      <c r="G21" s="24">
        <v>6.0323263139999357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136</v>
      </c>
      <c r="E22" s="25">
        <v>0.5341292907077213</v>
      </c>
      <c r="F22" s="17">
        <v>985.70043399999997</v>
      </c>
      <c r="G22" s="25">
        <v>8.1773707018527588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96</v>
      </c>
      <c r="E23" s="24">
        <v>0.37703244049956797</v>
      </c>
      <c r="F23" s="54">
        <v>5389.861382</v>
      </c>
      <c r="G23" s="24">
        <v>44.714289485860597</v>
      </c>
    </row>
    <row r="24" spans="1:7" s="2" customFormat="1" ht="24.9" customHeight="1" x14ac:dyDescent="0.25">
      <c r="A24" s="39" t="s">
        <v>4</v>
      </c>
      <c r="B24" s="27"/>
      <c r="C24" s="40"/>
      <c r="D24" s="16">
        <v>25462</v>
      </c>
      <c r="E24" s="25">
        <v>100</v>
      </c>
      <c r="F24" s="55">
        <v>12054.002074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>
        <v>20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41" priority="1" stopIfTrue="1" operator="notEqual">
      <formula>0</formula>
    </cfRule>
  </conditionalFormatting>
  <conditionalFormatting sqref="G13">
    <cfRule type="cellIs" dxfId="4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122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2616</v>
      </c>
      <c r="E13" s="24">
        <v>9.5834707110671484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8809</v>
      </c>
      <c r="E14" s="25">
        <v>32.27094552514928</v>
      </c>
      <c r="F14" s="17">
        <v>159.43136999999999</v>
      </c>
      <c r="G14" s="25">
        <v>0.55482666600549713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2973</v>
      </c>
      <c r="E15" s="24">
        <v>10.891306737004065</v>
      </c>
      <c r="F15" s="54">
        <v>216.87879599999999</v>
      </c>
      <c r="G15" s="24">
        <v>0.75474568970941136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3291</v>
      </c>
      <c r="E16" s="25">
        <v>12.056269919771402</v>
      </c>
      <c r="F16" s="17">
        <v>478.72486099999998</v>
      </c>
      <c r="G16" s="25">
        <v>1.6659790263520602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4426</v>
      </c>
      <c r="E17" s="24">
        <v>16.214235996629665</v>
      </c>
      <c r="F17" s="54">
        <v>1428.2994180000001</v>
      </c>
      <c r="G17" s="24">
        <v>4.9705312332606315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2503</v>
      </c>
      <c r="E18" s="25">
        <v>9.169505806498881</v>
      </c>
      <c r="F18" s="17">
        <v>1753.7159509999999</v>
      </c>
      <c r="G18" s="25">
        <v>6.102991990936224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1418</v>
      </c>
      <c r="E19" s="24">
        <v>5.1947100413964895</v>
      </c>
      <c r="F19" s="54">
        <v>1972.6498489999999</v>
      </c>
      <c r="G19" s="24">
        <v>6.8648895064811732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424</v>
      </c>
      <c r="E20" s="25">
        <v>1.5532842436897827</v>
      </c>
      <c r="F20" s="17">
        <v>1033.097276</v>
      </c>
      <c r="G20" s="25">
        <v>3.5952141495267895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319</v>
      </c>
      <c r="E21" s="24">
        <v>1.1686265890024543</v>
      </c>
      <c r="F21" s="54">
        <v>1213.52268</v>
      </c>
      <c r="G21" s="24">
        <v>4.2231007778861578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266</v>
      </c>
      <c r="E22" s="25">
        <v>0.97446605854123158</v>
      </c>
      <c r="F22" s="17">
        <v>1937.2462720000001</v>
      </c>
      <c r="G22" s="25">
        <v>6.7416838375367316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252</v>
      </c>
      <c r="E23" s="24">
        <v>0.92317837124958779</v>
      </c>
      <c r="F23" s="54">
        <v>18541.780937</v>
      </c>
      <c r="G23" s="24">
        <v>64.526037122305311</v>
      </c>
    </row>
    <row r="24" spans="1:7" s="2" customFormat="1" ht="24.9" customHeight="1" x14ac:dyDescent="0.25">
      <c r="A24" s="39" t="s">
        <v>4</v>
      </c>
      <c r="B24" s="27"/>
      <c r="C24" s="40"/>
      <c r="D24" s="16">
        <v>27297</v>
      </c>
      <c r="E24" s="25">
        <v>100</v>
      </c>
      <c r="F24" s="55">
        <v>28735.347410000002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>
        <v>21</v>
      </c>
    </row>
  </sheetData>
  <conditionalFormatting sqref="F13">
    <cfRule type="cellIs" dxfId="39" priority="1" stopIfTrue="1" operator="notEqual">
      <formula>0</formula>
    </cfRule>
  </conditionalFormatting>
  <conditionalFormatting sqref="G13">
    <cfRule type="cellIs" dxfId="3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254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255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4665</v>
      </c>
      <c r="E13" s="24">
        <v>17.687203791469194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8379</v>
      </c>
      <c r="E14" s="25">
        <v>31.76872037914692</v>
      </c>
      <c r="F14" s="17">
        <v>147.59325699999999</v>
      </c>
      <c r="G14" s="25">
        <v>1.9600793703099391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2904</v>
      </c>
      <c r="E15" s="24">
        <v>11.01042654028436</v>
      </c>
      <c r="F15" s="54">
        <v>212.505966</v>
      </c>
      <c r="G15" s="24">
        <v>2.8221381416116142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3339</v>
      </c>
      <c r="E16" s="25">
        <v>12.659715639810427</v>
      </c>
      <c r="F16" s="17">
        <v>479.98976800000003</v>
      </c>
      <c r="G16" s="25">
        <v>6.374397186835262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3821</v>
      </c>
      <c r="E17" s="24">
        <v>14.487203791469195</v>
      </c>
      <c r="F17" s="54">
        <v>1223.442266</v>
      </c>
      <c r="G17" s="24">
        <v>16.24765246797044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1946</v>
      </c>
      <c r="E18" s="25">
        <v>7.3781990521327012</v>
      </c>
      <c r="F18" s="17">
        <v>1349.5966800000001</v>
      </c>
      <c r="G18" s="25">
        <v>17.923018059739576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842</v>
      </c>
      <c r="E19" s="24">
        <v>3.1924170616113745</v>
      </c>
      <c r="F19" s="54">
        <v>1133.8619779999999</v>
      </c>
      <c r="G19" s="24">
        <v>15.05800140894392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221</v>
      </c>
      <c r="E20" s="25">
        <v>0.83791469194312795</v>
      </c>
      <c r="F20" s="17">
        <v>530.18344300000001</v>
      </c>
      <c r="G20" s="25">
        <v>7.04098310605203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135</v>
      </c>
      <c r="E21" s="24">
        <v>0.51184834123222744</v>
      </c>
      <c r="F21" s="54">
        <v>501.06951299999997</v>
      </c>
      <c r="G21" s="24">
        <v>6.6543420443831511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79</v>
      </c>
      <c r="E22" s="25">
        <v>0.29952606635071088</v>
      </c>
      <c r="F22" s="17">
        <v>530.86262399999998</v>
      </c>
      <c r="G22" s="25">
        <v>7.0500028180217065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44</v>
      </c>
      <c r="E23" s="24">
        <v>0.16682464454976303</v>
      </c>
      <c r="F23" s="54">
        <v>1420.8577929999999</v>
      </c>
      <c r="G23" s="24">
        <v>18.869385396132358</v>
      </c>
    </row>
    <row r="24" spans="1:7" s="2" customFormat="1" ht="24.9" customHeight="1" x14ac:dyDescent="0.25">
      <c r="A24" s="39" t="s">
        <v>4</v>
      </c>
      <c r="B24" s="27"/>
      <c r="C24" s="40"/>
      <c r="D24" s="16">
        <v>26375</v>
      </c>
      <c r="E24" s="25">
        <v>100</v>
      </c>
      <c r="F24" s="55">
        <v>7529.9632880000008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7" priority="1" stopIfTrue="1" operator="notEqual">
      <formula>0</formula>
    </cfRule>
  </conditionalFormatting>
  <conditionalFormatting sqref="G13">
    <cfRule type="cellIs" dxfId="3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39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9445</v>
      </c>
      <c r="E13" s="24">
        <v>13.06922746959277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20714</v>
      </c>
      <c r="E14" s="25">
        <v>28.662358687680747</v>
      </c>
      <c r="F14" s="17">
        <v>366.21627681243518</v>
      </c>
      <c r="G14" s="25">
        <v>0.60906157905823577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7068</v>
      </c>
      <c r="E15" s="24">
        <v>9.7801270254189205</v>
      </c>
      <c r="F15" s="54">
        <v>518.16746802106843</v>
      </c>
      <c r="G15" s="24">
        <v>0.86177462956175044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7945</v>
      </c>
      <c r="E16" s="25">
        <v>10.99364872905395</v>
      </c>
      <c r="F16" s="17">
        <v>1157.5672677852035</v>
      </c>
      <c r="G16" s="25">
        <v>1.925173163028137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10930</v>
      </c>
      <c r="E17" s="24">
        <v>15.124050422726203</v>
      </c>
      <c r="F17" s="54">
        <v>3578.7524383572686</v>
      </c>
      <c r="G17" s="24">
        <v>5.9518944109651235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7245</v>
      </c>
      <c r="E18" s="25">
        <v>10.025045316802501</v>
      </c>
      <c r="F18" s="17">
        <v>5149.1515752016412</v>
      </c>
      <c r="G18" s="25">
        <v>8.5636564723439488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4575</v>
      </c>
      <c r="E19" s="24">
        <v>6.3305151586434016</v>
      </c>
      <c r="F19" s="54">
        <v>6361.6201545650611</v>
      </c>
      <c r="G19" s="24">
        <v>10.580137099401934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1559</v>
      </c>
      <c r="E20" s="25">
        <v>2.1572181710000136</v>
      </c>
      <c r="F20" s="17">
        <v>3779.8883509100733</v>
      </c>
      <c r="G20" s="25">
        <v>6.286407550498442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1158</v>
      </c>
      <c r="E21" s="24">
        <v>1.6023467876959692</v>
      </c>
      <c r="F21" s="54">
        <v>4425.0113436879365</v>
      </c>
      <c r="G21" s="24">
        <v>7.3593244401791846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838</v>
      </c>
      <c r="E22" s="25">
        <v>1.1595566563810209</v>
      </c>
      <c r="F22" s="17">
        <v>5853.2907336701082</v>
      </c>
      <c r="G22" s="25">
        <v>9.7347243218300399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792</v>
      </c>
      <c r="E23" s="24">
        <v>1.095905575004497</v>
      </c>
      <c r="F23" s="54">
        <v>28938.290151833415</v>
      </c>
      <c r="G23" s="24">
        <v>48.127846333133199</v>
      </c>
    </row>
    <row r="24" spans="1:7" s="2" customFormat="1" ht="24.9" customHeight="1" x14ac:dyDescent="0.25">
      <c r="A24" s="39" t="s">
        <v>4</v>
      </c>
      <c r="B24" s="27"/>
      <c r="C24" s="40"/>
      <c r="D24" s="16">
        <v>72269</v>
      </c>
      <c r="E24" s="25">
        <v>100</v>
      </c>
      <c r="F24" s="55">
        <v>60127.955760844212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5" priority="1" stopIfTrue="1" operator="notEqual">
      <formula>0</formula>
    </cfRule>
  </conditionalFormatting>
  <conditionalFormatting sqref="G13">
    <cfRule type="cellIs" dxfId="3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40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124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62741</v>
      </c>
      <c r="E13" s="24">
        <v>34.083180321813103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59551</v>
      </c>
      <c r="E14" s="25">
        <v>32.350256950706751</v>
      </c>
      <c r="F14" s="17">
        <v>978.64084000000003</v>
      </c>
      <c r="G14" s="25">
        <v>3.2119178035074989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16603</v>
      </c>
      <c r="E15" s="24">
        <v>9.0193500722504112</v>
      </c>
      <c r="F15" s="54">
        <v>1199.8454429999999</v>
      </c>
      <c r="G15" s="24">
        <v>3.9379155072141088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16463</v>
      </c>
      <c r="E16" s="25">
        <v>8.9432970089416681</v>
      </c>
      <c r="F16" s="17">
        <v>2369.0029260000001</v>
      </c>
      <c r="G16" s="25">
        <v>7.7751125475008358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17284</v>
      </c>
      <c r="E17" s="24">
        <v>9.3892939016307952</v>
      </c>
      <c r="F17" s="54">
        <v>5472.3080140000002</v>
      </c>
      <c r="G17" s="24">
        <v>17.960218721756352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6932</v>
      </c>
      <c r="E18" s="25">
        <v>3.7657131061157529</v>
      </c>
      <c r="F18" s="17">
        <v>4778.9411829999999</v>
      </c>
      <c r="G18" s="25">
        <v>15.684575627962641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2857</v>
      </c>
      <c r="E19" s="24">
        <v>1.552025727664845</v>
      </c>
      <c r="F19" s="54">
        <v>3904.4006220000001</v>
      </c>
      <c r="G19" s="24">
        <v>12.814316915108051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738</v>
      </c>
      <c r="E20" s="25">
        <v>0.400908290870373</v>
      </c>
      <c r="F20" s="17">
        <v>1781.603073</v>
      </c>
      <c r="G20" s="25">
        <v>5.8472550858927672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464</v>
      </c>
      <c r="E21" s="24">
        <v>0.25206158125183342</v>
      </c>
      <c r="F21" s="54">
        <v>1767.0132229999999</v>
      </c>
      <c r="G21" s="24">
        <v>5.7993709213963172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277</v>
      </c>
      <c r="E22" s="25">
        <v>0.15047641811801263</v>
      </c>
      <c r="F22" s="17">
        <v>1914.155651</v>
      </c>
      <c r="G22" s="25">
        <v>6.2822951616564318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172</v>
      </c>
      <c r="E23" s="24">
        <v>9.3436620636455497E-2</v>
      </c>
      <c r="F23" s="54">
        <v>6303.138978</v>
      </c>
      <c r="G23" s="24">
        <v>20.687021708005012</v>
      </c>
    </row>
    <row r="24" spans="1:7" s="2" customFormat="1" ht="24.9" customHeight="1" x14ac:dyDescent="0.25">
      <c r="A24" s="39" t="s">
        <v>4</v>
      </c>
      <c r="B24" s="27"/>
      <c r="C24" s="40"/>
      <c r="D24" s="16">
        <v>184082</v>
      </c>
      <c r="E24" s="25">
        <v>100</v>
      </c>
      <c r="F24" s="55">
        <v>30469.049952999998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33" priority="1" stopIfTrue="1" operator="notEqual">
      <formula>0</formula>
    </cfRule>
  </conditionalFormatting>
  <conditionalFormatting sqref="G13">
    <cfRule type="cellIs" dxfId="3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41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65936</v>
      </c>
      <c r="E13" s="24">
        <v>39.964603057229098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52562</v>
      </c>
      <c r="E14" s="25">
        <v>31.858460717879094</v>
      </c>
      <c r="F14" s="17">
        <v>763.66883900000005</v>
      </c>
      <c r="G14" s="25">
        <v>2.8182902261507983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11939</v>
      </c>
      <c r="E15" s="24">
        <v>7.2363715709211691</v>
      </c>
      <c r="F15" s="54">
        <v>861.31085199999995</v>
      </c>
      <c r="G15" s="24">
        <v>3.1786342874063718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11266</v>
      </c>
      <c r="E16" s="25">
        <v>6.8284581722085518</v>
      </c>
      <c r="F16" s="17">
        <v>1618.1227510000001</v>
      </c>
      <c r="G16" s="25">
        <v>5.9716192424810224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13006</v>
      </c>
      <c r="E17" s="24">
        <v>7.8830931109306253</v>
      </c>
      <c r="F17" s="54">
        <v>4156.2690730000004</v>
      </c>
      <c r="G17" s="24">
        <v>15.338549784258957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5938</v>
      </c>
      <c r="E18" s="25">
        <v>3.5990932563975129</v>
      </c>
      <c r="F18" s="17">
        <v>4125.4033790000003</v>
      </c>
      <c r="G18" s="25">
        <v>15.224641137891417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2628</v>
      </c>
      <c r="E19" s="24">
        <v>1.5928624246905798</v>
      </c>
      <c r="F19" s="54">
        <v>3629.4988640000001</v>
      </c>
      <c r="G19" s="24">
        <v>13.394524762371017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740</v>
      </c>
      <c r="E20" s="25">
        <v>0.44852290497375535</v>
      </c>
      <c r="F20" s="17">
        <v>1788.3049980000001</v>
      </c>
      <c r="G20" s="25">
        <v>6.5996702233388138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453</v>
      </c>
      <c r="E21" s="24">
        <v>0.27456875128798808</v>
      </c>
      <c r="F21" s="54">
        <v>1737.481346</v>
      </c>
      <c r="G21" s="24">
        <v>6.4121075071797362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321</v>
      </c>
      <c r="E22" s="25">
        <v>0.19456196283321009</v>
      </c>
      <c r="F22" s="17">
        <v>2219.5727959999999</v>
      </c>
      <c r="G22" s="25">
        <v>8.1912473021529149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197</v>
      </c>
      <c r="E23" s="24">
        <v>0.11940407064841867</v>
      </c>
      <c r="F23" s="54">
        <v>6197.2513019999997</v>
      </c>
      <c r="G23" s="24">
        <v>22.870715526768937</v>
      </c>
    </row>
    <row r="24" spans="1:7" s="2" customFormat="1" ht="24.9" customHeight="1" x14ac:dyDescent="0.25">
      <c r="A24" s="39" t="s">
        <v>4</v>
      </c>
      <c r="B24" s="27"/>
      <c r="C24" s="40"/>
      <c r="D24" s="16">
        <v>164986</v>
      </c>
      <c r="E24" s="25">
        <v>100</v>
      </c>
      <c r="F24" s="55">
        <v>27096.884200000004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1" priority="1" stopIfTrue="1" operator="notEqual">
      <formula>0</formula>
    </cfRule>
  </conditionalFormatting>
  <conditionalFormatting sqref="G13">
    <cfRule type="cellIs" dxfId="3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126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28848</v>
      </c>
      <c r="E13" s="24">
        <v>22.805464204401719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51196</v>
      </c>
      <c r="E14" s="25">
        <v>40.472426005565396</v>
      </c>
      <c r="F14" s="17">
        <v>688.76993600000003</v>
      </c>
      <c r="G14" s="25">
        <v>1.2283835235284914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10587</v>
      </c>
      <c r="E15" s="24">
        <v>8.3694346066278769</v>
      </c>
      <c r="F15" s="54">
        <v>763.83869500000003</v>
      </c>
      <c r="G15" s="24">
        <v>1.3622645509479741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10029</v>
      </c>
      <c r="E16" s="25">
        <v>7.9283139387806729</v>
      </c>
      <c r="F16" s="17">
        <v>1446.844947</v>
      </c>
      <c r="G16" s="25">
        <v>2.5803688591821081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11966</v>
      </c>
      <c r="E17" s="24">
        <v>9.4595876549456115</v>
      </c>
      <c r="F17" s="54">
        <v>3856.201274</v>
      </c>
      <c r="G17" s="24">
        <v>6.8773241409177563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6639</v>
      </c>
      <c r="E18" s="25">
        <v>5.2483873007842146</v>
      </c>
      <c r="F18" s="17">
        <v>4681.4784419999996</v>
      </c>
      <c r="G18" s="25">
        <v>8.34916084941697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4034</v>
      </c>
      <c r="E19" s="24">
        <v>3.1890336453326587</v>
      </c>
      <c r="F19" s="54">
        <v>5576.7110819999998</v>
      </c>
      <c r="G19" s="24">
        <v>9.9457593175314578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1324</v>
      </c>
      <c r="E20" s="25">
        <v>1.0466734125980268</v>
      </c>
      <c r="F20" s="17">
        <v>3216.64914</v>
      </c>
      <c r="G20" s="25">
        <v>5.7367178763564555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878</v>
      </c>
      <c r="E21" s="24">
        <v>0.69409309385277007</v>
      </c>
      <c r="F21" s="54">
        <v>3365.9496939999999</v>
      </c>
      <c r="G21" s="24">
        <v>6.0029872516610068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586</v>
      </c>
      <c r="E22" s="25">
        <v>0.46325575512269163</v>
      </c>
      <c r="F22" s="17">
        <v>4018.53253</v>
      </c>
      <c r="G22" s="25">
        <v>7.1668330608077868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409</v>
      </c>
      <c r="E23" s="24">
        <v>0.32333038198836328</v>
      </c>
      <c r="F23" s="54">
        <v>28456.269339999999</v>
      </c>
      <c r="G23" s="24">
        <v>50.750200569649977</v>
      </c>
    </row>
    <row r="24" spans="1:7" s="2" customFormat="1" ht="24.9" customHeight="1" x14ac:dyDescent="0.25">
      <c r="A24" s="39" t="s">
        <v>4</v>
      </c>
      <c r="B24" s="27"/>
      <c r="C24" s="40"/>
      <c r="D24" s="16">
        <v>126496</v>
      </c>
      <c r="E24" s="25">
        <v>100</v>
      </c>
      <c r="F24" s="55">
        <v>56071.245080000001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9" priority="1" stopIfTrue="1" operator="notEqual">
      <formula>0</formula>
    </cfRule>
  </conditionalFormatting>
  <conditionalFormatting sqref="G13">
    <cfRule type="cellIs" dxfId="2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51221</v>
      </c>
      <c r="E13" s="24">
        <v>29.430083370201615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59527</v>
      </c>
      <c r="E14" s="25">
        <v>34.202467206380028</v>
      </c>
      <c r="F14" s="17">
        <v>908.75561000000005</v>
      </c>
      <c r="G14" s="25">
        <v>2.061959901829459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15019</v>
      </c>
      <c r="E15" s="24">
        <v>8.6294766235930194</v>
      </c>
      <c r="F15" s="54">
        <v>1082.1073759999999</v>
      </c>
      <c r="G15" s="24">
        <v>2.4552938042229999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14685</v>
      </c>
      <c r="E16" s="25">
        <v>8.4375700257982214</v>
      </c>
      <c r="F16" s="17">
        <v>2120.7177820000002</v>
      </c>
      <c r="G16" s="25">
        <v>4.8118932983321088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17302</v>
      </c>
      <c r="E17" s="24">
        <v>9.9412214222921911</v>
      </c>
      <c r="F17" s="54">
        <v>5571.1608999999999</v>
      </c>
      <c r="G17" s="24">
        <v>12.640923759953591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8941</v>
      </c>
      <c r="E18" s="25">
        <v>5.1372362002493634</v>
      </c>
      <c r="F18" s="17">
        <v>6247.3732970000001</v>
      </c>
      <c r="G18" s="25">
        <v>14.175244794553842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4518</v>
      </c>
      <c r="E19" s="24">
        <v>2.5959102060984929</v>
      </c>
      <c r="F19" s="54">
        <v>6171.1285909999997</v>
      </c>
      <c r="G19" s="24">
        <v>14.0022461084728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1220</v>
      </c>
      <c r="E20" s="25">
        <v>0.70097619553788426</v>
      </c>
      <c r="F20" s="17">
        <v>2938.7439890000001</v>
      </c>
      <c r="G20" s="25">
        <v>6.6679888414227806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776</v>
      </c>
      <c r="E21" s="24">
        <v>0.44586682601426081</v>
      </c>
      <c r="F21" s="54">
        <v>2959.3799279999998</v>
      </c>
      <c r="G21" s="24">
        <v>6.7148116376579514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498</v>
      </c>
      <c r="E22" s="25">
        <v>0.28613618473595603</v>
      </c>
      <c r="F22" s="17">
        <v>3367.9505439999998</v>
      </c>
      <c r="G22" s="25">
        <v>7.6418554082683592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336</v>
      </c>
      <c r="E23" s="24">
        <v>0.19305573909895829</v>
      </c>
      <c r="F23" s="54">
        <v>12705.101102000001</v>
      </c>
      <c r="G23" s="24">
        <v>28.827782445286108</v>
      </c>
    </row>
    <row r="24" spans="1:7" s="2" customFormat="1" ht="24.9" customHeight="1" x14ac:dyDescent="0.25">
      <c r="A24" s="39" t="s">
        <v>4</v>
      </c>
      <c r="B24" s="27"/>
      <c r="C24" s="40"/>
      <c r="D24" s="16">
        <v>174043</v>
      </c>
      <c r="E24" s="25">
        <v>100</v>
      </c>
      <c r="F24" s="55">
        <v>44072.419118999998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27" priority="1" stopIfTrue="1" operator="notEqual">
      <formula>0</formula>
    </cfRule>
  </conditionalFormatting>
  <conditionalFormatting sqref="G13">
    <cfRule type="cellIs" dxfId="2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12768</v>
      </c>
      <c r="E13" s="24">
        <v>25.717566016073476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14878</v>
      </c>
      <c r="E14" s="25">
        <v>29.967571051624468</v>
      </c>
      <c r="F14" s="17">
        <v>259.690111</v>
      </c>
      <c r="G14" s="25">
        <v>2.0486633710131015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4483</v>
      </c>
      <c r="E15" s="24">
        <v>9.0297500352488562</v>
      </c>
      <c r="F15" s="54">
        <v>326.30825399999998</v>
      </c>
      <c r="G15" s="24">
        <v>2.5742057140906658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4757</v>
      </c>
      <c r="E16" s="25">
        <v>9.5816464237516872</v>
      </c>
      <c r="F16" s="17">
        <v>696.78340900000001</v>
      </c>
      <c r="G16" s="25">
        <v>5.4968386822705799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6536</v>
      </c>
      <c r="E17" s="24">
        <v>13.164944508228089</v>
      </c>
      <c r="F17" s="54">
        <v>2125.99865</v>
      </c>
      <c r="G17" s="24">
        <v>16.771742074838972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3704</v>
      </c>
      <c r="E18" s="25">
        <v>7.4606723467681828</v>
      </c>
      <c r="F18" s="17">
        <v>2591.8348930000002</v>
      </c>
      <c r="G18" s="25">
        <v>20.446666946831723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1694</v>
      </c>
      <c r="E19" s="24">
        <v>3.4120893508167662</v>
      </c>
      <c r="F19" s="54">
        <v>2310.536807</v>
      </c>
      <c r="G19" s="24">
        <v>18.227540916559843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406</v>
      </c>
      <c r="E20" s="25">
        <v>0.81777348077426626</v>
      </c>
      <c r="F20" s="17">
        <v>969.958933</v>
      </c>
      <c r="G20" s="25">
        <v>7.6518868191482685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246</v>
      </c>
      <c r="E21" s="24">
        <v>0.49549821741494954</v>
      </c>
      <c r="F21" s="54">
        <v>930.31768199999999</v>
      </c>
      <c r="G21" s="24">
        <v>7.3391618617283978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115</v>
      </c>
      <c r="E22" s="25">
        <v>0.23163534553950893</v>
      </c>
      <c r="F22" s="17">
        <v>768.83173599999998</v>
      </c>
      <c r="G22" s="25">
        <v>6.0652190795806415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60</v>
      </c>
      <c r="E23" s="24">
        <v>0.12085322375974379</v>
      </c>
      <c r="F23" s="54">
        <v>1695.8147980000001</v>
      </c>
      <c r="G23" s="24">
        <v>13.378074533937804</v>
      </c>
    </row>
    <row r="24" spans="1:7" s="2" customFormat="1" ht="24.9" customHeight="1" x14ac:dyDescent="0.25">
      <c r="A24" s="39" t="s">
        <v>4</v>
      </c>
      <c r="B24" s="27"/>
      <c r="C24" s="40"/>
      <c r="D24" s="16">
        <v>49647</v>
      </c>
      <c r="E24" s="25">
        <v>100</v>
      </c>
      <c r="F24" s="55">
        <v>12676.075273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5" priority="1" stopIfTrue="1" operator="notEqual">
      <formula>0</formula>
    </cfRule>
  </conditionalFormatting>
  <conditionalFormatting sqref="G13">
    <cfRule type="cellIs" dxfId="2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129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4547</v>
      </c>
      <c r="E13" s="24">
        <v>12.841005365715899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11619</v>
      </c>
      <c r="E14" s="25">
        <v>32.812764755718725</v>
      </c>
      <c r="F14" s="17">
        <v>196.463888</v>
      </c>
      <c r="G14" s="25">
        <v>1.3976583891577643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3763</v>
      </c>
      <c r="E15" s="24">
        <v>10.626941541937304</v>
      </c>
      <c r="F15" s="54">
        <v>275.23169200000001</v>
      </c>
      <c r="G15" s="24">
        <v>1.9580182760400524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4213</v>
      </c>
      <c r="E16" s="25">
        <v>11.897768991810223</v>
      </c>
      <c r="F16" s="17">
        <v>611.49241099999995</v>
      </c>
      <c r="G16" s="25">
        <v>4.3502014891431724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5869</v>
      </c>
      <c r="E17" s="24">
        <v>16.574414007342558</v>
      </c>
      <c r="F17" s="54">
        <v>1897.8362079999999</v>
      </c>
      <c r="G17" s="24">
        <v>13.501344824034836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2997</v>
      </c>
      <c r="E18" s="25">
        <v>8.463710816153629</v>
      </c>
      <c r="F18" s="17">
        <v>2093.834887</v>
      </c>
      <c r="G18" s="25">
        <v>14.895693682529329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1482</v>
      </c>
      <c r="E19" s="24">
        <v>4.185258401581474</v>
      </c>
      <c r="F19" s="54">
        <v>2019.2906720000001</v>
      </c>
      <c r="G19" s="24">
        <v>14.365380714998471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390</v>
      </c>
      <c r="E20" s="25">
        <v>1.1013837898898615</v>
      </c>
      <c r="F20" s="17">
        <v>941.62766799999997</v>
      </c>
      <c r="G20" s="25">
        <v>6.6988077200389222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253</v>
      </c>
      <c r="E21" s="24">
        <v>0.71448743292855121</v>
      </c>
      <c r="F21" s="54">
        <v>972.96668799999998</v>
      </c>
      <c r="G21" s="24">
        <v>6.9217557877824607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144</v>
      </c>
      <c r="E22" s="25">
        <v>0.40666478395933348</v>
      </c>
      <c r="F22" s="17">
        <v>971.66646800000001</v>
      </c>
      <c r="G22" s="25">
        <v>6.9125059281301322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133</v>
      </c>
      <c r="E23" s="24">
        <v>0.37560011296243995</v>
      </c>
      <c r="F23" s="54">
        <v>4076.2351279999998</v>
      </c>
      <c r="G23" s="24">
        <v>28.998633188144851</v>
      </c>
    </row>
    <row r="24" spans="1:7" s="2" customFormat="1" ht="24.9" customHeight="1" x14ac:dyDescent="0.25">
      <c r="A24" s="39" t="s">
        <v>4</v>
      </c>
      <c r="B24" s="27"/>
      <c r="C24" s="40"/>
      <c r="D24" s="16">
        <v>35410</v>
      </c>
      <c r="E24" s="25">
        <v>100</v>
      </c>
      <c r="F24" s="55">
        <v>14056.645710000001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23" priority="1" stopIfTrue="1" operator="notEqual">
      <formula>0</formula>
    </cfRule>
  </conditionalFormatting>
  <conditionalFormatting sqref="G13">
    <cfRule type="cellIs" dxfId="2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1327</v>
      </c>
      <c r="E13" s="24">
        <v>13.034083095963068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2966</v>
      </c>
      <c r="E14" s="25">
        <v>29.132698163245259</v>
      </c>
      <c r="F14" s="17">
        <v>59.068091000000003</v>
      </c>
      <c r="G14" s="25">
        <v>1.1775323411675778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1125</v>
      </c>
      <c r="E15" s="24">
        <v>11.049995088891071</v>
      </c>
      <c r="F15" s="54">
        <v>81.719471999999996</v>
      </c>
      <c r="G15" s="24">
        <v>1.629091435901294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1212</v>
      </c>
      <c r="E16" s="25">
        <v>11.904528042431981</v>
      </c>
      <c r="F16" s="17">
        <v>176.35448</v>
      </c>
      <c r="G16" s="25">
        <v>3.5156562569423606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1674</v>
      </c>
      <c r="E17" s="24">
        <v>16.442392692269916</v>
      </c>
      <c r="F17" s="54">
        <v>548.48848999999996</v>
      </c>
      <c r="G17" s="24">
        <v>10.934210413760781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1018</v>
      </c>
      <c r="E18" s="25">
        <v>9.9990177782143199</v>
      </c>
      <c r="F18" s="17">
        <v>716.38787400000001</v>
      </c>
      <c r="G18" s="25">
        <v>14.281312908102677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490</v>
      </c>
      <c r="E19" s="24">
        <v>4.8128867498281114</v>
      </c>
      <c r="F19" s="54">
        <v>659.63199699999996</v>
      </c>
      <c r="G19" s="24">
        <v>13.149874942402565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137</v>
      </c>
      <c r="E20" s="25">
        <v>1.3456438463805127</v>
      </c>
      <c r="F20" s="17">
        <v>328.58452</v>
      </c>
      <c r="G20" s="25">
        <v>6.5503877399224688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87</v>
      </c>
      <c r="E21" s="24">
        <v>0.85453295354090952</v>
      </c>
      <c r="F21" s="54">
        <v>331.01174099999997</v>
      </c>
      <c r="G21" s="24">
        <v>6.5987747993021442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89</v>
      </c>
      <c r="E22" s="25">
        <v>0.87417738925449362</v>
      </c>
      <c r="F22" s="17">
        <v>599.12869599999999</v>
      </c>
      <c r="G22" s="25">
        <v>11.943731448195235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56</v>
      </c>
      <c r="E23" s="24">
        <v>0.55004419998035559</v>
      </c>
      <c r="F23" s="54">
        <v>1515.8852489999999</v>
      </c>
      <c r="G23" s="24">
        <v>30.21942771430291</v>
      </c>
    </row>
    <row r="24" spans="1:7" s="2" customFormat="1" ht="24.9" customHeight="1" x14ac:dyDescent="0.25">
      <c r="A24" s="39" t="s">
        <v>4</v>
      </c>
      <c r="B24" s="27"/>
      <c r="C24" s="40"/>
      <c r="D24" s="16">
        <v>10181</v>
      </c>
      <c r="E24" s="25">
        <v>100</v>
      </c>
      <c r="F24" s="55">
        <v>5016.2606099999994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21" priority="1" stopIfTrue="1" operator="notEqual">
      <formula>0</formula>
    </cfRule>
  </conditionalFormatting>
  <conditionalFormatting sqref="G13">
    <cfRule type="cellIs" dxfId="2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47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131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40980</v>
      </c>
      <c r="E13" s="24">
        <v>13.335372580157042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106932</v>
      </c>
      <c r="E14" s="25">
        <v>34.796926811648433</v>
      </c>
      <c r="F14" s="17">
        <v>1755.021739</v>
      </c>
      <c r="G14" s="25">
        <v>1.6998912745844905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31838</v>
      </c>
      <c r="E15" s="24">
        <v>10.360458570205953</v>
      </c>
      <c r="F15" s="54">
        <v>2311.8846079999998</v>
      </c>
      <c r="G15" s="24">
        <v>2.2392614209010575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34828</v>
      </c>
      <c r="E16" s="25">
        <v>11.333439634497548</v>
      </c>
      <c r="F16" s="17">
        <v>5065.6369180000002</v>
      </c>
      <c r="G16" s="25">
        <v>4.9065101621064704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48090</v>
      </c>
      <c r="E17" s="24">
        <v>15.649049960462474</v>
      </c>
      <c r="F17" s="54">
        <v>15591.055399999999</v>
      </c>
      <c r="G17" s="24">
        <v>15.101293874071722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25869</v>
      </c>
      <c r="E18" s="25">
        <v>8.4180759706218282</v>
      </c>
      <c r="F18" s="17">
        <v>18055.088521000001</v>
      </c>
      <c r="G18" s="25">
        <v>17.487924369635682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11782</v>
      </c>
      <c r="E19" s="24">
        <v>3.8340009697269468</v>
      </c>
      <c r="F19" s="54">
        <v>16113.463689</v>
      </c>
      <c r="G19" s="24">
        <v>15.607291761452714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3069</v>
      </c>
      <c r="E20" s="25">
        <v>0.99868859073943306</v>
      </c>
      <c r="F20" s="17">
        <v>7435.3921209999999</v>
      </c>
      <c r="G20" s="25">
        <v>7.2018242901104985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2095</v>
      </c>
      <c r="E21" s="24">
        <v>0.68173756845849209</v>
      </c>
      <c r="F21" s="54">
        <v>7980.562242</v>
      </c>
      <c r="G21" s="24">
        <v>7.7298689924969866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1113</v>
      </c>
      <c r="E22" s="25">
        <v>0.3621832523600485</v>
      </c>
      <c r="F22" s="17">
        <v>7499.5753450000002</v>
      </c>
      <c r="G22" s="25">
        <v>7.2639913277190864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707</v>
      </c>
      <c r="E23" s="24">
        <v>0.23006609112179183</v>
      </c>
      <c r="F23" s="54">
        <v>21435.495332999999</v>
      </c>
      <c r="G23" s="24">
        <v>20.762142526921295</v>
      </c>
    </row>
    <row r="24" spans="1:7" s="2" customFormat="1" ht="24.9" customHeight="1" x14ac:dyDescent="0.25">
      <c r="A24" s="39" t="s">
        <v>4</v>
      </c>
      <c r="B24" s="27"/>
      <c r="C24" s="40"/>
      <c r="D24" s="16">
        <v>307303</v>
      </c>
      <c r="E24" s="25">
        <v>100</v>
      </c>
      <c r="F24" s="55">
        <v>103243.17591599999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9" priority="1" stopIfTrue="1" operator="notEqual">
      <formula>0</formula>
    </cfRule>
  </conditionalFormatting>
  <conditionalFormatting sqref="G13">
    <cfRule type="cellIs" dxfId="1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48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132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23436</v>
      </c>
      <c r="E13" s="24">
        <v>13.569646052029716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45822</v>
      </c>
      <c r="E14" s="25">
        <v>26.53133305154914</v>
      </c>
      <c r="F14" s="17">
        <v>869.53040099999998</v>
      </c>
      <c r="G14" s="25">
        <v>1.441291112779036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20045</v>
      </c>
      <c r="E15" s="24">
        <v>11.606227816732192</v>
      </c>
      <c r="F15" s="54">
        <v>1464.118393</v>
      </c>
      <c r="G15" s="24">
        <v>2.4268511203982897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25339</v>
      </c>
      <c r="E16" s="25">
        <v>14.67149945862694</v>
      </c>
      <c r="F16" s="17">
        <v>3698.9170370000002</v>
      </c>
      <c r="G16" s="25">
        <v>6.1311441741472414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32734</v>
      </c>
      <c r="E17" s="24">
        <v>18.95326821416371</v>
      </c>
      <c r="F17" s="54">
        <v>10447.549300000001</v>
      </c>
      <c r="G17" s="24">
        <v>17.317347316544069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14852</v>
      </c>
      <c r="E18" s="25">
        <v>8.5994360456027188</v>
      </c>
      <c r="F18" s="17">
        <v>10309.771543000001</v>
      </c>
      <c r="G18" s="25">
        <v>17.088973637516453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6493</v>
      </c>
      <c r="E19" s="24">
        <v>3.7595029789993575</v>
      </c>
      <c r="F19" s="54">
        <v>8843.7788860000001</v>
      </c>
      <c r="G19" s="24">
        <v>14.659015828676798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1657</v>
      </c>
      <c r="E20" s="25">
        <v>0.95941728572338447</v>
      </c>
      <c r="F20" s="17">
        <v>4003.9969689999998</v>
      </c>
      <c r="G20" s="25">
        <v>6.6368297650974215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1123</v>
      </c>
      <c r="E21" s="24">
        <v>0.6502266818752932</v>
      </c>
      <c r="F21" s="54">
        <v>4241.9179329999997</v>
      </c>
      <c r="G21" s="24">
        <v>7.0311959316657839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790</v>
      </c>
      <c r="E22" s="25">
        <v>0.45741681093631487</v>
      </c>
      <c r="F22" s="17">
        <v>5400.6342930000001</v>
      </c>
      <c r="G22" s="25">
        <v>8.9518275622321717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418</v>
      </c>
      <c r="E23" s="24">
        <v>0.24202560376124002</v>
      </c>
      <c r="F23" s="54">
        <v>11049.748657</v>
      </c>
      <c r="G23" s="24">
        <v>18.315523550942746</v>
      </c>
    </row>
    <row r="24" spans="1:7" s="2" customFormat="1" ht="24.9" customHeight="1" x14ac:dyDescent="0.25">
      <c r="A24" s="39" t="s">
        <v>4</v>
      </c>
      <c r="B24" s="27"/>
      <c r="C24" s="40"/>
      <c r="D24" s="16">
        <v>172709</v>
      </c>
      <c r="E24" s="25">
        <v>100</v>
      </c>
      <c r="F24" s="55">
        <v>60329.963411999997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7" priority="1" stopIfTrue="1" operator="notEqual">
      <formula>0</formula>
    </cfRule>
  </conditionalFormatting>
  <conditionalFormatting sqref="G13">
    <cfRule type="cellIs" dxfId="1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49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133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76532.528953000001</v>
      </c>
      <c r="E13" s="24">
        <v>19.832372097425395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130130.73761</v>
      </c>
      <c r="E14" s="25">
        <v>33.72162458108324</v>
      </c>
      <c r="F14" s="17">
        <v>2033.662881</v>
      </c>
      <c r="G14" s="25">
        <v>1.774823030191045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36076.466992000001</v>
      </c>
      <c r="E15" s="24">
        <v>9.3487295811852693</v>
      </c>
      <c r="F15" s="54">
        <v>2620.4391110000001</v>
      </c>
      <c r="G15" s="24">
        <v>2.2869157552451527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37739.511488000004</v>
      </c>
      <c r="E16" s="25">
        <v>9.7796851200973869</v>
      </c>
      <c r="F16" s="17">
        <v>5462.7096199999996</v>
      </c>
      <c r="G16" s="25">
        <v>4.7674287274470695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51000.754957999998</v>
      </c>
      <c r="E17" s="24">
        <v>13.216157409326282</v>
      </c>
      <c r="F17" s="54">
        <v>16678.067492999999</v>
      </c>
      <c r="G17" s="24">
        <v>14.555322104862189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31373</v>
      </c>
      <c r="E18" s="25">
        <v>8.1298895819140089</v>
      </c>
      <c r="F18" s="17">
        <v>22021.879083</v>
      </c>
      <c r="G18" s="25">
        <v>19.218985865234391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15232</v>
      </c>
      <c r="E19" s="24">
        <v>3.9471672492816814</v>
      </c>
      <c r="F19" s="54">
        <v>20832.284963999999</v>
      </c>
      <c r="G19" s="24">
        <v>18.18080050093112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3762</v>
      </c>
      <c r="E20" s="25">
        <v>0.974871533074953</v>
      </c>
      <c r="F20" s="17">
        <v>9081.1637759999994</v>
      </c>
      <c r="G20" s="25">
        <v>7.9253345090589136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2218</v>
      </c>
      <c r="E21" s="24">
        <v>0.57476476883579108</v>
      </c>
      <c r="F21" s="54">
        <v>8408.5990999999995</v>
      </c>
      <c r="G21" s="24">
        <v>7.3383722905859994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1205</v>
      </c>
      <c r="E22" s="25">
        <v>0.31225948893017502</v>
      </c>
      <c r="F22" s="17">
        <v>8138.572725</v>
      </c>
      <c r="G22" s="25">
        <v>7.1027142404801999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627</v>
      </c>
      <c r="E23" s="24">
        <v>0.1624785888458255</v>
      </c>
      <c r="F23" s="54">
        <v>19306.602094999998</v>
      </c>
      <c r="G23" s="24">
        <v>16.849302975963926</v>
      </c>
    </row>
    <row r="24" spans="1:7" s="2" customFormat="1" ht="24.9" customHeight="1" x14ac:dyDescent="0.25">
      <c r="A24" s="39" t="s">
        <v>4</v>
      </c>
      <c r="B24" s="27"/>
      <c r="C24" s="40"/>
      <c r="D24" s="16">
        <v>385897.00000099995</v>
      </c>
      <c r="E24" s="25">
        <v>100</v>
      </c>
      <c r="F24" s="55">
        <v>114583.98084799999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5" priority="1" stopIfTrue="1" operator="notEqual">
      <formula>0</formula>
    </cfRule>
  </conditionalFormatting>
  <conditionalFormatting sqref="G13">
    <cfRule type="cellIs" dxfId="1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50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134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28978</v>
      </c>
      <c r="E13" s="24">
        <v>17.971855793501653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51306</v>
      </c>
      <c r="E14" s="25">
        <v>31.819450387928626</v>
      </c>
      <c r="F14" s="17">
        <v>860.20039999999995</v>
      </c>
      <c r="G14" s="25">
        <v>1.5694543614551735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16198</v>
      </c>
      <c r="E15" s="24">
        <v>10.045832015430317</v>
      </c>
      <c r="F15" s="54">
        <v>1183.2248</v>
      </c>
      <c r="G15" s="24">
        <v>2.1588194134086955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17736</v>
      </c>
      <c r="E16" s="25">
        <v>10.999683703276462</v>
      </c>
      <c r="F16" s="17">
        <v>2583.4313999999999</v>
      </c>
      <c r="G16" s="25">
        <v>4.7135268458957293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23813</v>
      </c>
      <c r="E17" s="24">
        <v>14.76857623061132</v>
      </c>
      <c r="F17" s="54">
        <v>7755.3864999999996</v>
      </c>
      <c r="G17" s="24">
        <v>14.149871549926706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13125</v>
      </c>
      <c r="E18" s="25">
        <v>8.1399892087000207</v>
      </c>
      <c r="F18" s="17">
        <v>9192.1101999999992</v>
      </c>
      <c r="G18" s="25">
        <v>16.771205226557193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6429</v>
      </c>
      <c r="E19" s="24">
        <v>3.9871992855415184</v>
      </c>
      <c r="F19" s="54">
        <v>8780.0723999999991</v>
      </c>
      <c r="G19" s="24">
        <v>16.019433287954985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1607</v>
      </c>
      <c r="E20" s="25">
        <v>0.99664477397188056</v>
      </c>
      <c r="F20" s="17">
        <v>3889.2995999999998</v>
      </c>
      <c r="G20" s="25">
        <v>7.0961118132773038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1027</v>
      </c>
      <c r="E21" s="24">
        <v>0.63693477465408921</v>
      </c>
      <c r="F21" s="54">
        <v>3861.8710999999998</v>
      </c>
      <c r="G21" s="24">
        <v>7.0460679177464796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630</v>
      </c>
      <c r="E22" s="25">
        <v>0.39071948201760098</v>
      </c>
      <c r="F22" s="17">
        <v>4310.1787999999997</v>
      </c>
      <c r="G22" s="25">
        <v>7.864015078709131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392</v>
      </c>
      <c r="E23" s="24">
        <v>0.24311434436650728</v>
      </c>
      <c r="F23" s="54">
        <v>12393.1075</v>
      </c>
      <c r="G23" s="24">
        <v>22.611494505068613</v>
      </c>
    </row>
    <row r="24" spans="1:7" s="2" customFormat="1" ht="24.9" customHeight="1" x14ac:dyDescent="0.25">
      <c r="A24" s="39" t="s">
        <v>4</v>
      </c>
      <c r="B24" s="27"/>
      <c r="C24" s="40"/>
      <c r="D24" s="16">
        <v>161241</v>
      </c>
      <c r="E24" s="25">
        <v>100</v>
      </c>
      <c r="F24" s="55">
        <v>54808.882699999995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3" priority="1" stopIfTrue="1" operator="notEqual">
      <formula>0</formula>
    </cfRule>
  </conditionalFormatting>
  <conditionalFormatting sqref="G13">
    <cfRule type="cellIs" dxfId="1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51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135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75792</v>
      </c>
      <c r="E13" s="24">
        <v>30.681417971169378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72137</v>
      </c>
      <c r="E14" s="25">
        <v>29.201834602415101</v>
      </c>
      <c r="F14" s="17">
        <v>1203.387907</v>
      </c>
      <c r="G14" s="25">
        <v>1.9166092136935144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24580</v>
      </c>
      <c r="E15" s="24">
        <v>9.9502487562189064</v>
      </c>
      <c r="F15" s="54">
        <v>1785.5682629999999</v>
      </c>
      <c r="G15" s="24">
        <v>2.8438349468510355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25705</v>
      </c>
      <c r="E16" s="25">
        <v>10.40566087382453</v>
      </c>
      <c r="F16" s="17">
        <v>3701.314155</v>
      </c>
      <c r="G16" s="25">
        <v>5.8950009144866904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26710</v>
      </c>
      <c r="E17" s="24">
        <v>10.812495698885556</v>
      </c>
      <c r="F17" s="54">
        <v>8464.6634720000002</v>
      </c>
      <c r="G17" s="24">
        <v>13.481481662629117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11901</v>
      </c>
      <c r="E18" s="25">
        <v>4.8176529881107077</v>
      </c>
      <c r="F18" s="17">
        <v>8270.2993069999993</v>
      </c>
      <c r="G18" s="25">
        <v>13.171922170395622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5496</v>
      </c>
      <c r="E19" s="24">
        <v>2.2248399985426812</v>
      </c>
      <c r="F19" s="54">
        <v>7540.3198169999996</v>
      </c>
      <c r="G19" s="24">
        <v>12.009300036499363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1755</v>
      </c>
      <c r="E20" s="25">
        <v>0.71044290346477545</v>
      </c>
      <c r="F20" s="17">
        <v>4280.524375</v>
      </c>
      <c r="G20" s="25">
        <v>6.8174961779507663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1403</v>
      </c>
      <c r="E21" s="24">
        <v>0.56794951200061528</v>
      </c>
      <c r="F21" s="54">
        <v>5376.7040999999999</v>
      </c>
      <c r="G21" s="24">
        <v>8.5633572993547578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1001</v>
      </c>
      <c r="E22" s="25">
        <v>0.40521558197620522</v>
      </c>
      <c r="F22" s="17">
        <v>6844.4070920000004</v>
      </c>
      <c r="G22" s="25">
        <v>10.900935283203269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549</v>
      </c>
      <c r="E23" s="24">
        <v>0.22224111339154512</v>
      </c>
      <c r="F23" s="54">
        <v>15320.149609</v>
      </c>
      <c r="G23" s="24">
        <v>24.400062294935868</v>
      </c>
    </row>
    <row r="24" spans="1:7" s="2" customFormat="1" ht="24.9" customHeight="1" x14ac:dyDescent="0.25">
      <c r="A24" s="39" t="s">
        <v>4</v>
      </c>
      <c r="B24" s="27"/>
      <c r="C24" s="40"/>
      <c r="D24" s="16">
        <v>247029</v>
      </c>
      <c r="E24" s="25">
        <v>100</v>
      </c>
      <c r="F24" s="55">
        <v>62787.338097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11" priority="1" stopIfTrue="1" operator="notEqual">
      <formula>0</formula>
    </cfRule>
  </conditionalFormatting>
  <conditionalFormatting sqref="G13">
    <cfRule type="cellIs" dxfId="1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52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136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133776</v>
      </c>
      <c r="E13" s="24">
        <v>29.542603748917902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118403</v>
      </c>
      <c r="E14" s="25">
        <v>26.147686518382418</v>
      </c>
      <c r="F14" s="17">
        <v>2217.6904009999998</v>
      </c>
      <c r="G14" s="25">
        <v>1.5495025814523706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44407</v>
      </c>
      <c r="E15" s="24">
        <v>9.8066798579580592</v>
      </c>
      <c r="F15" s="54">
        <v>3242.865425</v>
      </c>
      <c r="G15" s="24">
        <v>2.2657934331475422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46359</v>
      </c>
      <c r="E16" s="25">
        <v>10.237752415949686</v>
      </c>
      <c r="F16" s="17">
        <v>6685.5509089999996</v>
      </c>
      <c r="G16" s="25">
        <v>4.6712013485992196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56532</v>
      </c>
      <c r="E17" s="24">
        <v>12.484320619048461</v>
      </c>
      <c r="F17" s="54">
        <v>18262.596829999999</v>
      </c>
      <c r="G17" s="24">
        <v>12.760095331318016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28941</v>
      </c>
      <c r="E18" s="25">
        <v>6.391224846739572</v>
      </c>
      <c r="F18" s="17">
        <v>20233.475635999999</v>
      </c>
      <c r="G18" s="25">
        <v>14.137150395564007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14282</v>
      </c>
      <c r="E19" s="24">
        <v>3.1539847711252054</v>
      </c>
      <c r="F19" s="54">
        <v>19662.249951000002</v>
      </c>
      <c r="G19" s="24">
        <v>13.738034417472438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4255</v>
      </c>
      <c r="E20" s="25">
        <v>0.93965867533522962</v>
      </c>
      <c r="F20" s="17">
        <v>10310.613658</v>
      </c>
      <c r="G20" s="25">
        <v>7.2040364481106272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2954</v>
      </c>
      <c r="E21" s="24">
        <v>0.65235058212462238</v>
      </c>
      <c r="F21" s="54">
        <v>11237.060221</v>
      </c>
      <c r="G21" s="24">
        <v>7.851345621789183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1821</v>
      </c>
      <c r="E22" s="25">
        <v>0.40214299595427805</v>
      </c>
      <c r="F22" s="17">
        <v>12468.100436000001</v>
      </c>
      <c r="G22" s="25">
        <v>8.711474695781682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1094</v>
      </c>
      <c r="E23" s="24">
        <v>0.24159496846456902</v>
      </c>
      <c r="F23" s="54">
        <v>38802.526855999997</v>
      </c>
      <c r="G23" s="24">
        <v>27.111365726764916</v>
      </c>
    </row>
    <row r="24" spans="1:7" s="2" customFormat="1" ht="24.9" customHeight="1" x14ac:dyDescent="0.25">
      <c r="A24" s="39" t="s">
        <v>4</v>
      </c>
      <c r="B24" s="27"/>
      <c r="C24" s="40"/>
      <c r="D24" s="16">
        <v>452824</v>
      </c>
      <c r="E24" s="25">
        <v>100</v>
      </c>
      <c r="F24" s="55">
        <v>143122.730323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9" priority="1" stopIfTrue="1" operator="notEqual">
      <formula>0</formula>
    </cfRule>
  </conditionalFormatting>
  <conditionalFormatting sqref="G13">
    <cfRule type="cellIs" dxfId="8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53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137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84783</v>
      </c>
      <c r="E13" s="24">
        <v>29.950931385190394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85353</v>
      </c>
      <c r="E14" s="25">
        <v>30.152292871450122</v>
      </c>
      <c r="F14" s="17">
        <v>1441.496903</v>
      </c>
      <c r="G14" s="25">
        <v>2.8364257358692733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29812</v>
      </c>
      <c r="E15" s="24">
        <v>10.531558997149146</v>
      </c>
      <c r="F15" s="54">
        <v>2160.4993890000001</v>
      </c>
      <c r="G15" s="24">
        <v>4.2512030768403539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29742</v>
      </c>
      <c r="E16" s="25">
        <v>10.50683039357339</v>
      </c>
      <c r="F16" s="17">
        <v>4257.838479</v>
      </c>
      <c r="G16" s="25">
        <v>8.3781259716033407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31747</v>
      </c>
      <c r="E17" s="24">
        <v>11.215128253136116</v>
      </c>
      <c r="F17" s="54">
        <v>10132.760635000001</v>
      </c>
      <c r="G17" s="24">
        <v>19.938178833893119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13836</v>
      </c>
      <c r="E18" s="25">
        <v>4.8877851296308723</v>
      </c>
      <c r="F18" s="17">
        <v>9513.3227559999996</v>
      </c>
      <c r="G18" s="25">
        <v>18.719314236881996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5110</v>
      </c>
      <c r="E19" s="24">
        <v>1.8051880610301936</v>
      </c>
      <c r="F19" s="54">
        <v>6920.5391440000003</v>
      </c>
      <c r="G19" s="24">
        <v>13.617507809610821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1217</v>
      </c>
      <c r="E20" s="25">
        <v>0.42992443645278777</v>
      </c>
      <c r="F20" s="17">
        <v>2942.777188</v>
      </c>
      <c r="G20" s="25">
        <v>5.7904869123206231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780</v>
      </c>
      <c r="E21" s="24">
        <v>0.27554729698699626</v>
      </c>
      <c r="F21" s="54">
        <v>2963.0382209999998</v>
      </c>
      <c r="G21" s="24">
        <v>5.8303544384435675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441</v>
      </c>
      <c r="E22" s="25">
        <v>0.15579020252726328</v>
      </c>
      <c r="F22" s="17">
        <v>3043.7560349999999</v>
      </c>
      <c r="G22" s="25">
        <v>5.989182448754395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252</v>
      </c>
      <c r="E23" s="24">
        <v>8.9022972872721873E-2</v>
      </c>
      <c r="F23" s="54">
        <v>7444.8647700000001</v>
      </c>
      <c r="G23" s="24">
        <v>14.649220535782502</v>
      </c>
    </row>
    <row r="24" spans="1:7" s="2" customFormat="1" ht="24.9" customHeight="1" x14ac:dyDescent="0.25">
      <c r="A24" s="39" t="s">
        <v>4</v>
      </c>
      <c r="B24" s="27"/>
      <c r="C24" s="40"/>
      <c r="D24" s="16">
        <v>283073</v>
      </c>
      <c r="E24" s="25">
        <v>100</v>
      </c>
      <c r="F24" s="55">
        <v>50820.893520000005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7" priority="1" stopIfTrue="1" operator="notEqual">
      <formula>0</formula>
    </cfRule>
  </conditionalFormatting>
  <conditionalFormatting sqref="G13">
    <cfRule type="cellIs" dxfId="6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54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138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33209</v>
      </c>
      <c r="E13" s="24">
        <v>31.477725118483413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35836</v>
      </c>
      <c r="E14" s="25">
        <v>33.967772511848338</v>
      </c>
      <c r="F14" s="17">
        <v>549.09451000000001</v>
      </c>
      <c r="G14" s="25">
        <v>2.8725470456981528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9103</v>
      </c>
      <c r="E15" s="24">
        <v>8.6284360189573466</v>
      </c>
      <c r="F15" s="54">
        <v>660.66807100000005</v>
      </c>
      <c r="G15" s="24">
        <v>3.456235822751438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9076</v>
      </c>
      <c r="E16" s="25">
        <v>8.602843601895735</v>
      </c>
      <c r="F16" s="17">
        <v>1313.6493680000001</v>
      </c>
      <c r="G16" s="25">
        <v>6.8722588596481247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10609</v>
      </c>
      <c r="E17" s="24">
        <v>10.055924170616114</v>
      </c>
      <c r="F17" s="54">
        <v>3377.4382639999999</v>
      </c>
      <c r="G17" s="24">
        <v>17.668816807658665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4513</v>
      </c>
      <c r="E18" s="25">
        <v>4.2777251184834126</v>
      </c>
      <c r="F18" s="17">
        <v>3116.8470750000001</v>
      </c>
      <c r="G18" s="25">
        <v>16.305553404976095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1904</v>
      </c>
      <c r="E19" s="24">
        <v>1.804739336492891</v>
      </c>
      <c r="F19" s="54">
        <v>2626.1125769999999</v>
      </c>
      <c r="G19" s="24">
        <v>13.738312416804373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506</v>
      </c>
      <c r="E20" s="25">
        <v>0.47962085308056873</v>
      </c>
      <c r="F20" s="17">
        <v>1224.0628160000001</v>
      </c>
      <c r="G20" s="25">
        <v>6.4035934831141583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407</v>
      </c>
      <c r="E21" s="24">
        <v>0.385781990521327</v>
      </c>
      <c r="F21" s="54">
        <v>1545.6977380000001</v>
      </c>
      <c r="G21" s="24">
        <v>8.0862026299156007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204</v>
      </c>
      <c r="E22" s="25">
        <v>0.1933649289099526</v>
      </c>
      <c r="F22" s="17">
        <v>1382.9730259999999</v>
      </c>
      <c r="G22" s="25">
        <v>7.23492041491461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133</v>
      </c>
      <c r="E23" s="24">
        <v>0.12606635071090047</v>
      </c>
      <c r="F23" s="54">
        <v>3318.7051919999999</v>
      </c>
      <c r="G23" s="24">
        <v>17.361559114518776</v>
      </c>
    </row>
    <row r="24" spans="1:7" s="2" customFormat="1" ht="24.9" customHeight="1" x14ac:dyDescent="0.25">
      <c r="A24" s="39" t="s">
        <v>4</v>
      </c>
      <c r="B24" s="27"/>
      <c r="C24" s="40"/>
      <c r="D24" s="16">
        <v>105500</v>
      </c>
      <c r="E24" s="25">
        <v>100</v>
      </c>
      <c r="F24" s="55">
        <v>19115.248637000001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5" priority="1" stopIfTrue="1" operator="notEqual">
      <formula>0</formula>
    </cfRule>
  </conditionalFormatting>
  <conditionalFormatting sqref="G13">
    <cfRule type="cellIs" dxfId="4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55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139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116564</v>
      </c>
      <c r="E13" s="24">
        <v>40.670893186742632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74988</v>
      </c>
      <c r="E14" s="25">
        <v>26.164415585321855</v>
      </c>
      <c r="F14" s="17">
        <v>1133.3926819999999</v>
      </c>
      <c r="G14" s="25">
        <v>0.95212057206508693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19158</v>
      </c>
      <c r="E15" s="24">
        <v>6.684507838368754</v>
      </c>
      <c r="F15" s="54">
        <v>1385.5768660000001</v>
      </c>
      <c r="G15" s="24">
        <v>1.1639710219128365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19694</v>
      </c>
      <c r="E16" s="25">
        <v>6.8715261180099301</v>
      </c>
      <c r="F16" s="17">
        <v>2848.7535849999999</v>
      </c>
      <c r="G16" s="25">
        <v>2.3931307622671478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25239</v>
      </c>
      <c r="E17" s="24">
        <v>8.8062581340739623</v>
      </c>
      <c r="F17" s="54">
        <v>8159.2923769999998</v>
      </c>
      <c r="G17" s="24">
        <v>6.8543147039973062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14165</v>
      </c>
      <c r="E18" s="25">
        <v>4.9423767371590666</v>
      </c>
      <c r="F18" s="17">
        <v>9989.9114140000001</v>
      </c>
      <c r="G18" s="25">
        <v>8.392148918407452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8371</v>
      </c>
      <c r="E19" s="24">
        <v>2.9207649605900845</v>
      </c>
      <c r="F19" s="54">
        <v>11635.004181</v>
      </c>
      <c r="G19" s="24">
        <v>9.7741294899179518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2775</v>
      </c>
      <c r="E20" s="25">
        <v>0.96823829478407408</v>
      </c>
      <c r="F20" s="17">
        <v>6745.0606100000005</v>
      </c>
      <c r="G20" s="25">
        <v>5.6662717772928808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2409</v>
      </c>
      <c r="E21" s="24">
        <v>0.84053551428282325</v>
      </c>
      <c r="F21" s="54">
        <v>9248.7157700000007</v>
      </c>
      <c r="G21" s="24">
        <v>7.7694983297940441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1771</v>
      </c>
      <c r="E22" s="25">
        <v>0.61792793515769195</v>
      </c>
      <c r="F22" s="17">
        <v>12243.297947999999</v>
      </c>
      <c r="G22" s="25">
        <v>10.285134209304049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1469</v>
      </c>
      <c r="E23" s="24">
        <v>0.51255569550911884</v>
      </c>
      <c r="F23" s="54">
        <v>55649.771299</v>
      </c>
      <c r="G23" s="24">
        <v>46.749280215041246</v>
      </c>
    </row>
    <row r="24" spans="1:7" s="2" customFormat="1" ht="24.9" customHeight="1" x14ac:dyDescent="0.25">
      <c r="A24" s="39" t="s">
        <v>4</v>
      </c>
      <c r="B24" s="27"/>
      <c r="C24" s="40"/>
      <c r="D24" s="16">
        <v>286603</v>
      </c>
      <c r="E24" s="25">
        <v>100</v>
      </c>
      <c r="F24" s="55">
        <v>119038.776732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s">
        <v>72</v>
      </c>
      <c r="B42" s="214"/>
      <c r="C42" s="214"/>
      <c r="D42" s="215"/>
      <c r="E42" s="215"/>
      <c r="F42" s="217"/>
      <c r="G42" s="216" t="e">
        <v>#VALUE!</v>
      </c>
    </row>
  </sheetData>
  <conditionalFormatting sqref="F13">
    <cfRule type="cellIs" dxfId="3" priority="1" stopIfTrue="1" operator="notEqual">
      <formula>0</formula>
    </cfRule>
  </conditionalFormatting>
  <conditionalFormatting sqref="G13">
    <cfRule type="cellIs" dxfId="2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G42"/>
  <sheetViews>
    <sheetView showGridLines="0" workbookViewId="0"/>
  </sheetViews>
  <sheetFormatPr baseColWidth="10" defaultColWidth="11.44140625" defaultRowHeight="7.8" x14ac:dyDescent="0.15"/>
  <cols>
    <col min="1" max="3" width="8.5546875" style="1" customWidth="1"/>
    <col min="4" max="4" width="17.6640625" style="3" customWidth="1"/>
    <col min="5" max="5" width="12.6640625" style="3" customWidth="1"/>
    <col min="6" max="6" width="19.6640625" style="3" customWidth="1"/>
    <col min="7" max="7" width="13.109375" style="3" customWidth="1"/>
    <col min="8" max="16384" width="11.44140625" style="1"/>
  </cols>
  <sheetData>
    <row r="1" spans="1:7" customFormat="1" ht="13.2" x14ac:dyDescent="0.25">
      <c r="A1" s="4" t="s">
        <v>6</v>
      </c>
      <c r="B1" s="5"/>
      <c r="C1" s="5"/>
      <c r="D1" s="164"/>
      <c r="E1" s="165"/>
      <c r="F1" s="165"/>
      <c r="G1" s="165"/>
    </row>
    <row r="2" spans="1:7" customFormat="1" ht="13.2" x14ac:dyDescent="0.25">
      <c r="A2" s="163" t="s">
        <v>241</v>
      </c>
      <c r="B2" s="5"/>
      <c r="C2" s="5"/>
      <c r="D2" s="164"/>
      <c r="E2" s="165"/>
      <c r="F2" s="165"/>
      <c r="G2" s="165"/>
    </row>
    <row r="3" spans="1:7" customFormat="1" ht="13.2" x14ac:dyDescent="0.25">
      <c r="A3" s="4" t="s">
        <v>5</v>
      </c>
      <c r="B3" s="5"/>
      <c r="C3" s="5"/>
      <c r="D3" s="164"/>
      <c r="E3" s="165"/>
      <c r="F3" s="165"/>
      <c r="G3" s="165"/>
    </row>
    <row r="4" spans="1:7" s="6" customFormat="1" ht="11.25" customHeight="1" x14ac:dyDescent="0.25">
      <c r="A4" s="7"/>
      <c r="B4" s="7"/>
      <c r="C4" s="7"/>
      <c r="D4" s="167"/>
      <c r="E4" s="167"/>
      <c r="F4" s="167"/>
      <c r="G4" s="167"/>
    </row>
    <row r="5" spans="1:7" s="6" customFormat="1" ht="30" customHeight="1" x14ac:dyDescent="0.25">
      <c r="A5" s="20" t="s">
        <v>56</v>
      </c>
      <c r="B5" s="7"/>
      <c r="C5" s="7"/>
      <c r="D5" s="167"/>
      <c r="E5" s="167"/>
      <c r="F5" s="167"/>
      <c r="G5" s="167"/>
    </row>
    <row r="6" spans="1:7" s="21" customFormat="1" ht="24.75" customHeight="1" x14ac:dyDescent="0.25">
      <c r="A6" s="57" t="s">
        <v>140</v>
      </c>
      <c r="B6" s="58"/>
      <c r="C6" s="59"/>
      <c r="D6" s="169"/>
      <c r="E6" s="170"/>
      <c r="F6" s="171"/>
      <c r="G6" s="170"/>
    </row>
    <row r="7" spans="1:7" s="6" customFormat="1" ht="11.25" customHeight="1" thickBot="1" x14ac:dyDescent="0.3">
      <c r="A7" s="7"/>
      <c r="B7" s="7"/>
      <c r="C7" s="7"/>
      <c r="D7" s="167"/>
      <c r="E7" s="167"/>
      <c r="F7" s="167"/>
      <c r="G7" s="167"/>
    </row>
    <row r="8" spans="1:7" s="22" customFormat="1" ht="21.9" customHeight="1" x14ac:dyDescent="0.25">
      <c r="A8" s="42" t="s">
        <v>58</v>
      </c>
      <c r="B8" s="43"/>
      <c r="C8" s="44"/>
      <c r="D8" s="226" t="s">
        <v>59</v>
      </c>
      <c r="E8" s="227"/>
      <c r="F8" s="226" t="s">
        <v>60</v>
      </c>
      <c r="G8" s="227"/>
    </row>
    <row r="9" spans="1:7" s="23" customFormat="1" ht="21.9" customHeight="1" x14ac:dyDescent="0.25">
      <c r="A9" s="45" t="s">
        <v>61</v>
      </c>
      <c r="B9" s="46"/>
      <c r="C9" s="47"/>
      <c r="D9" s="61" t="s">
        <v>62</v>
      </c>
      <c r="E9" s="62"/>
      <c r="F9" s="61" t="s">
        <v>63</v>
      </c>
      <c r="G9" s="62"/>
    </row>
    <row r="10" spans="1:7" s="22" customFormat="1" ht="21.9" customHeight="1" x14ac:dyDescent="0.25">
      <c r="A10" s="48" t="s">
        <v>64</v>
      </c>
      <c r="B10" s="49"/>
      <c r="C10" s="50"/>
      <c r="D10" s="60" t="s">
        <v>65</v>
      </c>
      <c r="E10" s="63" t="s">
        <v>66</v>
      </c>
      <c r="F10" s="64" t="s">
        <v>67</v>
      </c>
      <c r="G10" s="63" t="s">
        <v>66</v>
      </c>
    </row>
    <row r="11" spans="1:7" s="23" customFormat="1" ht="21.9" customHeight="1" x14ac:dyDescent="0.25">
      <c r="A11" s="51" t="s">
        <v>68</v>
      </c>
      <c r="B11" s="52"/>
      <c r="C11" s="53"/>
      <c r="D11" s="65" t="s">
        <v>69</v>
      </c>
      <c r="E11" s="66" t="s">
        <v>70</v>
      </c>
      <c r="F11" s="66" t="s">
        <v>71</v>
      </c>
      <c r="G11" s="66" t="s">
        <v>70</v>
      </c>
    </row>
    <row r="12" spans="1:7" s="2" customFormat="1" ht="15" customHeight="1" x14ac:dyDescent="0.25">
      <c r="A12" s="33"/>
      <c r="B12" s="8"/>
      <c r="C12" s="34"/>
      <c r="D12" s="30"/>
      <c r="E12" s="18"/>
      <c r="F12" s="19"/>
      <c r="G12" s="19"/>
    </row>
    <row r="13" spans="1:7" s="2" customFormat="1" ht="24.9" customHeight="1" x14ac:dyDescent="0.25">
      <c r="A13" s="35"/>
      <c r="B13" s="26"/>
      <c r="C13" s="36">
        <v>0</v>
      </c>
      <c r="D13" s="31">
        <v>18787</v>
      </c>
      <c r="E13" s="24">
        <v>39.770947118845001</v>
      </c>
      <c r="F13" s="54">
        <v>0</v>
      </c>
      <c r="G13" s="24" t="s">
        <v>242</v>
      </c>
    </row>
    <row r="14" spans="1:7" s="2" customFormat="1" ht="24.9" customHeight="1" x14ac:dyDescent="0.25">
      <c r="A14" s="116" t="s">
        <v>214</v>
      </c>
      <c r="B14" s="27" t="s">
        <v>3</v>
      </c>
      <c r="C14" s="38">
        <v>50</v>
      </c>
      <c r="D14" s="16">
        <v>12137</v>
      </c>
      <c r="E14" s="25">
        <v>25.693297768745502</v>
      </c>
      <c r="F14" s="17">
        <v>218.465</v>
      </c>
      <c r="G14" s="25">
        <v>2.9789505132729075</v>
      </c>
    </row>
    <row r="15" spans="1:7" s="2" customFormat="1" ht="24.9" customHeight="1" x14ac:dyDescent="0.25">
      <c r="A15" s="35" t="s">
        <v>229</v>
      </c>
      <c r="B15" s="26" t="s">
        <v>3</v>
      </c>
      <c r="C15" s="36">
        <v>100</v>
      </c>
      <c r="D15" s="31">
        <v>4230</v>
      </c>
      <c r="E15" s="24">
        <v>8.9546551505144159</v>
      </c>
      <c r="F15" s="54">
        <v>309.64400000000001</v>
      </c>
      <c r="G15" s="24">
        <v>4.2222514028877676</v>
      </c>
    </row>
    <row r="16" spans="1:7" s="2" customFormat="1" ht="24.9" customHeight="1" x14ac:dyDescent="0.25">
      <c r="A16" s="37" t="s">
        <v>230</v>
      </c>
      <c r="B16" s="27" t="s">
        <v>3</v>
      </c>
      <c r="C16" s="38">
        <v>200</v>
      </c>
      <c r="D16" s="16">
        <v>4487</v>
      </c>
      <c r="E16" s="25">
        <v>9.4987086667513445</v>
      </c>
      <c r="F16" s="17">
        <v>653.38900000000001</v>
      </c>
      <c r="G16" s="25">
        <v>8.9094980748260451</v>
      </c>
    </row>
    <row r="17" spans="1:7" s="2" customFormat="1" ht="24.9" customHeight="1" x14ac:dyDescent="0.25">
      <c r="A17" s="35" t="s">
        <v>231</v>
      </c>
      <c r="B17" s="26" t="s">
        <v>3</v>
      </c>
      <c r="C17" s="36">
        <v>500</v>
      </c>
      <c r="D17" s="31">
        <v>4935</v>
      </c>
      <c r="E17" s="24">
        <v>10.447097675600153</v>
      </c>
      <c r="F17" s="54">
        <v>1547.498</v>
      </c>
      <c r="G17" s="24">
        <v>21.101411948773478</v>
      </c>
    </row>
    <row r="18" spans="1:7" s="2" customFormat="1" ht="24.9" customHeight="1" x14ac:dyDescent="0.25">
      <c r="A18" s="37" t="s">
        <v>232</v>
      </c>
      <c r="B18" s="27" t="s">
        <v>3</v>
      </c>
      <c r="C18" s="38">
        <v>1000</v>
      </c>
      <c r="D18" s="16">
        <v>1704</v>
      </c>
      <c r="E18" s="25">
        <v>3.6072653372285024</v>
      </c>
      <c r="F18" s="17">
        <v>1167.1199999999999</v>
      </c>
      <c r="G18" s="25">
        <v>15.914644098830822</v>
      </c>
    </row>
    <row r="19" spans="1:7" s="2" customFormat="1" ht="24.9" customHeight="1" x14ac:dyDescent="0.25">
      <c r="A19" s="35" t="s">
        <v>233</v>
      </c>
      <c r="B19" s="26" t="s">
        <v>3</v>
      </c>
      <c r="C19" s="36">
        <v>2000</v>
      </c>
      <c r="D19" s="31">
        <v>589</v>
      </c>
      <c r="E19" s="24">
        <v>1.2468775138659554</v>
      </c>
      <c r="F19" s="54">
        <v>797.32600000000002</v>
      </c>
      <c r="G19" s="24">
        <v>10.872197820913346</v>
      </c>
    </row>
    <row r="20" spans="1:7" s="2" customFormat="1" ht="24.9" customHeight="1" x14ac:dyDescent="0.25">
      <c r="A20" s="37" t="s">
        <v>234</v>
      </c>
      <c r="B20" s="27" t="s">
        <v>3</v>
      </c>
      <c r="C20" s="38">
        <v>3000</v>
      </c>
      <c r="D20" s="16">
        <v>153</v>
      </c>
      <c r="E20" s="25">
        <v>0.32389178203988317</v>
      </c>
      <c r="F20" s="17">
        <v>363.97899999999998</v>
      </c>
      <c r="G20" s="25">
        <v>4.9631539554187611</v>
      </c>
    </row>
    <row r="21" spans="1:7" s="2" customFormat="1" ht="24.9" customHeight="1" x14ac:dyDescent="0.25">
      <c r="A21" s="35" t="s">
        <v>235</v>
      </c>
      <c r="B21" s="26" t="s">
        <v>3</v>
      </c>
      <c r="C21" s="36">
        <v>5000</v>
      </c>
      <c r="D21" s="31">
        <v>119</v>
      </c>
      <c r="E21" s="24">
        <v>0.25191583047546467</v>
      </c>
      <c r="F21" s="54">
        <v>441.49900000000002</v>
      </c>
      <c r="G21" s="24">
        <v>6.0202031110680219</v>
      </c>
    </row>
    <row r="22" spans="1:7" s="2" customFormat="1" ht="24.9" customHeight="1" x14ac:dyDescent="0.25">
      <c r="A22" s="37" t="s">
        <v>236</v>
      </c>
      <c r="B22" s="27" t="s">
        <v>3</v>
      </c>
      <c r="C22" s="38">
        <v>10000</v>
      </c>
      <c r="D22" s="16">
        <v>51</v>
      </c>
      <c r="E22" s="25">
        <v>0.10796392734662771</v>
      </c>
      <c r="F22" s="17">
        <v>352.54399999999998</v>
      </c>
      <c r="G22" s="25">
        <v>4.8072282963004778</v>
      </c>
    </row>
    <row r="23" spans="1:7" s="2" customFormat="1" ht="24.9" customHeight="1" x14ac:dyDescent="0.25">
      <c r="A23" s="35" t="s">
        <v>237</v>
      </c>
      <c r="B23" s="28" t="s">
        <v>7</v>
      </c>
      <c r="C23" s="36"/>
      <c r="D23" s="31">
        <v>46</v>
      </c>
      <c r="E23" s="24">
        <v>9.7379228587154407E-2</v>
      </c>
      <c r="F23" s="54">
        <v>1482.1590000000001</v>
      </c>
      <c r="G23" s="24">
        <v>20.210460777708374</v>
      </c>
    </row>
    <row r="24" spans="1:7" s="2" customFormat="1" ht="24.9" customHeight="1" x14ac:dyDescent="0.25">
      <c r="A24" s="39" t="s">
        <v>4</v>
      </c>
      <c r="B24" s="27"/>
      <c r="C24" s="40"/>
      <c r="D24" s="16">
        <v>47238</v>
      </c>
      <c r="E24" s="25">
        <v>100</v>
      </c>
      <c r="F24" s="55">
        <v>7333.6229999999996</v>
      </c>
      <c r="G24" s="25">
        <v>100</v>
      </c>
    </row>
    <row r="25" spans="1:7" ht="15" customHeight="1" thickBot="1" x14ac:dyDescent="0.2">
      <c r="A25" s="205"/>
      <c r="B25" s="206"/>
      <c r="C25" s="207"/>
      <c r="D25" s="210"/>
      <c r="E25" s="209"/>
      <c r="F25" s="209"/>
      <c r="G25" s="238"/>
    </row>
    <row r="26" spans="1:7" s="29" customFormat="1" ht="15" customHeight="1" x14ac:dyDescent="0.25">
      <c r="A26" s="239"/>
      <c r="B26" s="239"/>
      <c r="C26" s="239"/>
      <c r="D26" s="240"/>
      <c r="E26" s="240"/>
      <c r="F26" s="240"/>
      <c r="G26" s="240"/>
    </row>
    <row r="27" spans="1:7" s="29" customFormat="1" ht="15" customHeight="1" x14ac:dyDescent="0.25">
      <c r="A27" s="239"/>
      <c r="B27" s="239"/>
      <c r="C27" s="239"/>
      <c r="D27" s="240"/>
      <c r="E27" s="240"/>
      <c r="F27" s="240"/>
      <c r="G27" s="240"/>
    </row>
    <row r="28" spans="1:7" s="29" customFormat="1" ht="15" customHeight="1" x14ac:dyDescent="0.25">
      <c r="A28" s="239"/>
      <c r="B28" s="239"/>
      <c r="C28" s="239"/>
      <c r="D28" s="240"/>
      <c r="E28" s="240"/>
      <c r="F28" s="240"/>
      <c r="G28" s="240"/>
    </row>
    <row r="29" spans="1:7" s="29" customFormat="1" ht="15" customHeight="1" x14ac:dyDescent="0.25">
      <c r="A29" s="239"/>
      <c r="B29" s="239"/>
      <c r="C29" s="239"/>
      <c r="D29" s="240"/>
      <c r="E29" s="240"/>
      <c r="F29" s="240"/>
      <c r="G29" s="240"/>
    </row>
    <row r="30" spans="1:7" s="29" customFormat="1" ht="15" customHeight="1" x14ac:dyDescent="0.25">
      <c r="A30" s="239"/>
      <c r="B30" s="239"/>
      <c r="C30" s="239"/>
      <c r="D30" s="240"/>
      <c r="E30" s="240"/>
      <c r="F30" s="240"/>
      <c r="G30" s="240"/>
    </row>
    <row r="31" spans="1:7" s="29" customFormat="1" ht="15" customHeight="1" x14ac:dyDescent="0.25">
      <c r="A31" s="239"/>
      <c r="B31" s="239"/>
      <c r="C31" s="239"/>
      <c r="D31" s="240"/>
      <c r="E31" s="240"/>
      <c r="F31" s="240"/>
      <c r="G31" s="240"/>
    </row>
    <row r="32" spans="1:7" s="29" customFormat="1" ht="15" customHeight="1" x14ac:dyDescent="0.25">
      <c r="A32" s="239"/>
      <c r="B32" s="239"/>
      <c r="C32" s="239"/>
      <c r="D32" s="240"/>
      <c r="E32" s="240"/>
      <c r="F32" s="240"/>
      <c r="G32" s="240"/>
    </row>
    <row r="33" spans="1:7" s="29" customFormat="1" ht="15" customHeight="1" x14ac:dyDescent="0.25">
      <c r="A33" s="239"/>
      <c r="B33" s="239"/>
      <c r="C33" s="239"/>
      <c r="D33" s="240"/>
      <c r="E33" s="240"/>
      <c r="F33" s="240"/>
      <c r="G33" s="240"/>
    </row>
    <row r="34" spans="1:7" s="29" customFormat="1" ht="15" customHeight="1" x14ac:dyDescent="0.25">
      <c r="A34" s="239"/>
      <c r="B34" s="239"/>
      <c r="C34" s="239"/>
      <c r="D34" s="240"/>
      <c r="E34" s="240"/>
      <c r="F34" s="240"/>
      <c r="G34" s="240"/>
    </row>
    <row r="35" spans="1:7" s="29" customFormat="1" ht="15" customHeight="1" x14ac:dyDescent="0.25">
      <c r="A35" s="239"/>
      <c r="B35" s="239"/>
      <c r="C35" s="239"/>
      <c r="D35" s="240"/>
      <c r="E35" s="240"/>
      <c r="F35" s="240"/>
      <c r="G35" s="240"/>
    </row>
    <row r="36" spans="1:7" s="29" customFormat="1" ht="15" customHeight="1" x14ac:dyDescent="0.25">
      <c r="A36" s="239"/>
      <c r="B36" s="239"/>
      <c r="C36" s="239"/>
      <c r="D36" s="240"/>
      <c r="E36" s="240"/>
      <c r="F36" s="240"/>
      <c r="G36" s="240"/>
    </row>
    <row r="37" spans="1:7" s="29" customFormat="1" ht="15" customHeight="1" x14ac:dyDescent="0.25">
      <c r="A37" s="239"/>
      <c r="B37" s="239"/>
      <c r="C37" s="239"/>
      <c r="D37" s="240"/>
      <c r="E37" s="240"/>
      <c r="F37" s="240"/>
      <c r="G37" s="240"/>
    </row>
    <row r="38" spans="1:7" s="29" customFormat="1" ht="15" customHeight="1" x14ac:dyDescent="0.25">
      <c r="A38" s="239"/>
      <c r="B38" s="239"/>
      <c r="C38" s="239"/>
      <c r="D38" s="240"/>
      <c r="E38" s="240"/>
      <c r="F38" s="240"/>
      <c r="G38" s="240"/>
    </row>
    <row r="39" spans="1:7" s="29" customFormat="1" ht="15" customHeight="1" x14ac:dyDescent="0.25">
      <c r="A39" s="239"/>
      <c r="B39" s="239"/>
      <c r="C39" s="239"/>
      <c r="D39" s="240"/>
      <c r="E39" s="240"/>
      <c r="F39" s="240"/>
      <c r="G39" s="240"/>
    </row>
    <row r="40" spans="1:7" s="29" customFormat="1" ht="15" customHeight="1" x14ac:dyDescent="0.25">
      <c r="A40" s="239"/>
      <c r="B40" s="239"/>
      <c r="C40" s="239"/>
      <c r="D40" s="240"/>
      <c r="E40" s="240"/>
      <c r="F40" s="240"/>
      <c r="G40" s="240"/>
    </row>
    <row r="41" spans="1:7" s="29" customFormat="1" ht="15" customHeight="1" x14ac:dyDescent="0.25">
      <c r="A41" s="239"/>
      <c r="B41" s="239"/>
      <c r="C41" s="239"/>
      <c r="D41" s="240"/>
      <c r="E41" s="240"/>
      <c r="F41" s="240"/>
      <c r="G41" s="240"/>
    </row>
    <row r="42" spans="1:7" s="29" customFormat="1" ht="15.9" customHeight="1" x14ac:dyDescent="0.25">
      <c r="A42" s="213" t="e">
        <v>#VALUE!</v>
      </c>
      <c r="B42" s="214"/>
      <c r="C42" s="214"/>
      <c r="D42" s="215"/>
      <c r="E42" s="215"/>
      <c r="F42" s="217"/>
      <c r="G42" s="216" t="s">
        <v>72</v>
      </c>
    </row>
  </sheetData>
  <conditionalFormatting sqref="F13">
    <cfRule type="cellIs" dxfId="1" priority="1" stopIfTrue="1" operator="notEqual">
      <formula>0</formula>
    </cfRule>
  </conditionalFormatting>
  <conditionalFormatting sqref="G13">
    <cfRule type="cellIs" dxfId="0" priority="2" stopIfTrue="1" operator="notEqual">
      <formula>"-      "</formula>
    </cfRule>
  </conditionalFormatting>
  <pageMargins left="0.70866141732283472" right="0.70866141732283472" top="0.39370078740157483" bottom="0.3937007874015748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Titre 1</vt:lpstr>
      <vt:lpstr>Tables des matières</vt:lpstr>
      <vt:lpstr>Introduction</vt:lpstr>
      <vt:lpstr>Titre 2</vt:lpstr>
      <vt:lpstr>1.1</vt:lpstr>
      <vt:lpstr>1.2</vt:lpstr>
      <vt:lpstr>1.3</vt:lpstr>
      <vt:lpstr>1.4</vt:lpstr>
      <vt:lpstr>1.5</vt:lpstr>
      <vt:lpstr>CH</vt:lpstr>
      <vt:lpstr>ZH</vt:lpstr>
      <vt:lpstr>BE</vt:lpstr>
      <vt:lpstr>LU</vt:lpstr>
      <vt:lpstr>UR</vt:lpstr>
      <vt:lpstr>SZ</vt:lpstr>
      <vt:lpstr>OW</vt:lpstr>
      <vt:lpstr>NW</vt:lpstr>
      <vt:lpstr>GL</vt:lpstr>
      <vt:lpstr>ZG</vt:lpstr>
      <vt:lpstr>FR</vt:lpstr>
      <vt:lpstr>SO</vt:lpstr>
      <vt:lpstr>BS</vt:lpstr>
      <vt:lpstr>BL</vt:lpstr>
      <vt:lpstr>SH</vt:lpstr>
      <vt:lpstr>AR</vt:lpstr>
      <vt:lpstr>AI</vt:lpstr>
      <vt:lpstr>SG</vt:lpstr>
      <vt:lpstr>GR</vt:lpstr>
      <vt:lpstr>AG</vt:lpstr>
      <vt:lpstr>TG</vt:lpstr>
      <vt:lpstr>TI</vt:lpstr>
      <vt:lpstr>VD</vt:lpstr>
      <vt:lpstr>VS</vt:lpstr>
      <vt:lpstr>NE</vt:lpstr>
      <vt:lpstr>GE</vt:lpstr>
      <vt:lpstr>JU</vt:lpstr>
    </vt:vector>
  </TitlesOfParts>
  <Company>Eidg. Steuerverwaltung ESTV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Gesamtschweizerische Vermögensstatistik der natürlichen Personen- Statistique de la fortune des personnes physiques pour l'ensemble de la Suisse</dc:title>
  <dc:subject>Reinvermögen – Fortune nette</dc:subject>
  <dc:creator>ESTV, Abteilung Volkswirtschaft und Steuerstatistik - AFC, Division Economie et statistique fiscale, Bruno Schneeberger</dc:creator>
  <cp:keywords>Vermögensstatistik der natürlichen Personen - Statistique de la fortune des personnes physiques</cp:keywords>
  <dc:description>Orientierung zur gesamtschweizerischen Vermögensstatistik der natürlichen Personen - Orientation sur la fortune des personnes physiques pour l'ensemble de la Suisse</dc:description>
  <cp:lastModifiedBy>Schneeberger Bruno ESTV</cp:lastModifiedBy>
  <cp:lastPrinted>2019-02-20T14:40:56Z</cp:lastPrinted>
  <dcterms:created xsi:type="dcterms:W3CDTF">2006-09-13T08:41:36Z</dcterms:created>
  <dcterms:modified xsi:type="dcterms:W3CDTF">2019-02-20T14:41:05Z</dcterms:modified>
  <cp:category>Statistik - Statistique</cp:category>
</cp:coreProperties>
</file>