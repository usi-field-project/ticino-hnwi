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CRIME AND JUSTICE\SOGETI\REGULAR PRODUCTION 2025\zz.Acceptance -eurobase_2026\metadata\"/>
    </mc:Choice>
  </mc:AlternateContent>
  <xr:revisionPtr revIDLastSave="0" documentId="13_ncr:1_{6415603D-E59E-4CCD-92AF-33D29934736B}" xr6:coauthVersionLast="47" xr6:coauthVersionMax="47" xr10:uidLastSave="{00000000-0000-0000-0000-000000000000}"/>
  <bookViews>
    <workbookView xWindow="28680" yWindow="-6255" windowWidth="16440" windowHeight="28320" tabRatio="837" xr2:uid="{3E282A06-8D90-4D2F-A51F-69A65485ED2A}"/>
  </bookViews>
  <sheets>
    <sheet name="Table of contents " sheetId="27" r:id="rId1"/>
    <sheet name="15.1 Int Hom incl" sheetId="3" r:id="rId2"/>
    <sheet name="15.1 Int Hom incl comments" sheetId="4" r:id="rId3"/>
    <sheet name="15.1 Int Hom excl" sheetId="5" r:id="rId4"/>
    <sheet name="15.1 Int Hom excl comments" sheetId="6" r:id="rId5"/>
    <sheet name="15.1 Serious assault" sheetId="7" r:id="rId6"/>
    <sheet name="15.1 Serious assault comments" sheetId="8" r:id="rId7"/>
    <sheet name="15.1 Kidnapping" sheetId="9" r:id="rId8"/>
    <sheet name="15.1 Kidnapping comments" sheetId="10" r:id="rId9"/>
    <sheet name="15.1 Sexual violence" sheetId="11" r:id="rId10"/>
    <sheet name="15.1 Sexual violence comments" sheetId="12" r:id="rId11"/>
    <sheet name="15.1 Rape" sheetId="13" r:id="rId12"/>
    <sheet name="15.1 Rape comments" sheetId="14" r:id="rId13"/>
    <sheet name="15.1 Sexual assault" sheetId="15" r:id="rId14"/>
    <sheet name="15.1 Sexual assault comments" sheetId="16" r:id="rId15"/>
    <sheet name="15.1 Sexual exploitation" sheetId="17" r:id="rId16"/>
    <sheet name="15.1 Sexual exploitation commen" sheetId="18" r:id="rId17"/>
    <sheet name="15.1 Robbery" sheetId="19" r:id="rId18"/>
    <sheet name="15.1 Robbery comments" sheetId="20" r:id="rId19"/>
    <sheet name="15.1 Theft" sheetId="21" r:id="rId20"/>
    <sheet name="15.1 Theft  comments" sheetId="22" r:id="rId21"/>
    <sheet name="15.1 Fraud" sheetId="23" r:id="rId22"/>
    <sheet name="15.1 Fraud comments" sheetId="24" r:id="rId23"/>
    <sheet name="15.1 Corruption" sheetId="25" r:id="rId24"/>
    <sheet name="15.1 Corruption comments" sheetId="26" r:id="rId25"/>
  </sheets>
  <definedNames>
    <definedName name="_xlnm._FilterDatabase" localSheetId="3" hidden="1">'15.1 Int Hom excl'!$A$2:$J$46</definedName>
    <definedName name="_xlnm._FilterDatabase" localSheetId="4" hidden="1">'15.1 Int Hom excl comments'!$A$2:$B$40</definedName>
    <definedName name="_xlnm._FilterDatabase" localSheetId="1" hidden="1">'15.1 Int Hom incl'!$A$2:$K$46</definedName>
    <definedName name="_xlnm._FilterDatabase" localSheetId="2" hidden="1">'15.1 Int Hom incl comments'!$A$2:$C$40</definedName>
    <definedName name="_xlnm._FilterDatabase" localSheetId="7" hidden="1">'15.1 Kidnapping'!$A$2:$H$46</definedName>
    <definedName name="_xlnm._FilterDatabase" localSheetId="5" hidden="1">'15.1 Serious assault'!$A$2:$F$47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5" l="1"/>
  <c r="G42" i="25" s="1"/>
  <c r="F41" i="25"/>
  <c r="F42" i="25" s="1"/>
  <c r="E41" i="25"/>
  <c r="E42" i="25" s="1"/>
  <c r="D41" i="25"/>
  <c r="D42" i="25" s="1"/>
  <c r="C41" i="25"/>
  <c r="C42" i="25" s="1"/>
  <c r="E42" i="23"/>
  <c r="F41" i="23"/>
  <c r="F42" i="23" s="1"/>
  <c r="E41" i="23"/>
  <c r="D41" i="23"/>
  <c r="D42" i="23" s="1"/>
  <c r="C41" i="23"/>
  <c r="C42" i="23" s="1"/>
  <c r="D42" i="21"/>
  <c r="E41" i="21"/>
  <c r="E42" i="21" s="1"/>
  <c r="D41" i="21"/>
  <c r="C41" i="21"/>
  <c r="C42" i="21" s="1"/>
  <c r="F41" i="19"/>
  <c r="F42" i="19" s="1"/>
  <c r="E41" i="19"/>
  <c r="E42" i="19" s="1"/>
  <c r="D41" i="19"/>
  <c r="D42" i="19" s="1"/>
  <c r="C41" i="19"/>
  <c r="C42" i="19" s="1"/>
  <c r="D42" i="17"/>
  <c r="E41" i="17"/>
  <c r="E42" i="17" s="1"/>
  <c r="D41" i="17"/>
  <c r="C41" i="17"/>
  <c r="C42" i="17" s="1"/>
  <c r="E42" i="15"/>
  <c r="E43" i="15" s="1"/>
  <c r="D42" i="15"/>
  <c r="D43" i="15" s="1"/>
  <c r="C42" i="15"/>
  <c r="C43" i="15" s="1"/>
  <c r="C42" i="13"/>
  <c r="E41" i="13"/>
  <c r="E42" i="13" s="1"/>
  <c r="D41" i="13"/>
  <c r="D42" i="13" s="1"/>
  <c r="C41" i="13"/>
  <c r="F42" i="11"/>
  <c r="G41" i="11"/>
  <c r="G42" i="11" s="1"/>
  <c r="F41" i="11"/>
  <c r="E41" i="11"/>
  <c r="E42" i="11" s="1"/>
  <c r="D41" i="11"/>
  <c r="D42" i="11" s="1"/>
  <c r="C41" i="11"/>
  <c r="C42" i="11" s="1"/>
  <c r="F41" i="9"/>
  <c r="F42" i="9" s="1"/>
  <c r="E41" i="9"/>
  <c r="E42" i="9" s="1"/>
  <c r="D41" i="9"/>
  <c r="D42" i="9" s="1"/>
  <c r="C41" i="9"/>
  <c r="C42" i="9" s="1"/>
  <c r="F41" i="7"/>
  <c r="F42" i="7" s="1"/>
  <c r="E41" i="7"/>
  <c r="E42" i="7" s="1"/>
  <c r="D41" i="7"/>
  <c r="D42" i="7" s="1"/>
  <c r="C41" i="7"/>
  <c r="C42" i="7" s="1"/>
  <c r="J42" i="5"/>
  <c r="I42" i="5"/>
  <c r="H42" i="5"/>
  <c r="G42" i="5"/>
  <c r="F42" i="5"/>
  <c r="E42" i="5"/>
  <c r="D42" i="5"/>
  <c r="C42" i="5"/>
  <c r="K42" i="3"/>
  <c r="J42" i="3"/>
  <c r="I42" i="3"/>
  <c r="H42" i="3"/>
  <c r="G42" i="3"/>
  <c r="F42" i="3"/>
  <c r="E42" i="3"/>
  <c r="D42" i="3"/>
  <c r="C42" i="3"/>
</calcChain>
</file>

<file path=xl/sharedStrings.xml><?xml version="1.0" encoding="utf-8"?>
<sst xmlns="http://schemas.openxmlformats.org/spreadsheetml/2006/main" count="4822" uniqueCount="588">
  <si>
    <t>Intentional Homicide inclusions</t>
  </si>
  <si>
    <t>ISO</t>
  </si>
  <si>
    <t> Country</t>
  </si>
  <si>
    <t>Honour killing</t>
  </si>
  <si>
    <t>Serious assault leading to death</t>
  </si>
  <si>
    <t>Death as a result of terrorist offences</t>
  </si>
  <si>
    <t>Dowry-related killings</t>
  </si>
  <si>
    <t>Femicide</t>
  </si>
  <si>
    <t>Infanticide</t>
  </si>
  <si>
    <t>Voluntary Manslaughter</t>
  </si>
  <si>
    <t>Extrajudicial killings</t>
  </si>
  <si>
    <t>Killings caused by excessive use of force by law enforcement/state officials</t>
  </si>
  <si>
    <t>BE</t>
  </si>
  <si>
    <t>Belgium</t>
  </si>
  <si>
    <t>NOT SEPARATED</t>
  </si>
  <si>
    <t>SEPARATED; INCLUDED</t>
  </si>
  <si>
    <t>NOT COUNTED; INCLUDED</t>
  </si>
  <si>
    <t>BG</t>
  </si>
  <si>
    <t>Bulgaria</t>
  </si>
  <si>
    <t>NOT SEPARATED; INCLUDED</t>
  </si>
  <si>
    <t>NOT COUNTED</t>
  </si>
  <si>
    <t>COUNTED; INCLUDED</t>
  </si>
  <si>
    <t>CZ</t>
  </si>
  <si>
    <t>Czechia</t>
  </si>
  <si>
    <t>SEPARATED; EXCLUDED</t>
  </si>
  <si>
    <t>DK</t>
  </si>
  <si>
    <t>Denmark</t>
  </si>
  <si>
    <t>DE</t>
  </si>
  <si>
    <t>Germany</t>
  </si>
  <si>
    <t>EE</t>
  </si>
  <si>
    <t>Estonia</t>
  </si>
  <si>
    <t>IE</t>
  </si>
  <si>
    <t>Ireland</t>
  </si>
  <si>
    <t>EL</t>
  </si>
  <si>
    <t>Greece</t>
  </si>
  <si>
    <t>ES</t>
  </si>
  <si>
    <t>Spain</t>
  </si>
  <si>
    <t>NOT COUNTED; EXCLUDED</t>
  </si>
  <si>
    <t>FR</t>
  </si>
  <si>
    <t>France</t>
  </si>
  <si>
    <t>HR</t>
  </si>
  <si>
    <t>Croatia</t>
  </si>
  <si>
    <t>INCLUDED</t>
  </si>
  <si>
    <t>IT</t>
  </si>
  <si>
    <t>Italy</t>
  </si>
  <si>
    <t>CY</t>
  </si>
  <si>
    <t>Cyprus</t>
  </si>
  <si>
    <t>LV</t>
  </si>
  <si>
    <t>Latvia</t>
  </si>
  <si>
    <t>LT</t>
  </si>
  <si>
    <t>Lithuania</t>
  </si>
  <si>
    <t>LU</t>
  </si>
  <si>
    <t>Luxembourg</t>
  </si>
  <si>
    <t>HU</t>
  </si>
  <si>
    <t>Hungary</t>
  </si>
  <si>
    <t>MT</t>
  </si>
  <si>
    <t>Malta</t>
  </si>
  <si>
    <t>NL</t>
  </si>
  <si>
    <t>Netherlands</t>
  </si>
  <si>
    <t>COUNTED; EXCLUDED</t>
  </si>
  <si>
    <t>AT</t>
  </si>
  <si>
    <t>Austria</t>
  </si>
  <si>
    <t>PL</t>
  </si>
  <si>
    <t>Poland</t>
  </si>
  <si>
    <t>PT</t>
  </si>
  <si>
    <t>Portugal</t>
  </si>
  <si>
    <t>RO</t>
  </si>
  <si>
    <t>Romania</t>
  </si>
  <si>
    <t>SI</t>
  </si>
  <si>
    <t>Slovenia</t>
  </si>
  <si>
    <t>SK</t>
  </si>
  <si>
    <t>Slovakia</t>
  </si>
  <si>
    <t>NOT SEPARATED; EXCLUDED</t>
  </si>
  <si>
    <t>FI</t>
  </si>
  <si>
    <t>Finland</t>
  </si>
  <si>
    <t>SE</t>
  </si>
  <si>
    <t>Sweden</t>
  </si>
  <si>
    <t>IS</t>
  </si>
  <si>
    <t>Iceland</t>
  </si>
  <si>
    <t>LI</t>
  </si>
  <si>
    <t>Liechtenstein </t>
  </si>
  <si>
    <t>NO</t>
  </si>
  <si>
    <t>Norway</t>
  </si>
  <si>
    <t>DON'T KNOW IF COUNTED</t>
  </si>
  <si>
    <t>CH</t>
  </si>
  <si>
    <t>Switzerland </t>
  </si>
  <si>
    <t>BA</t>
  </si>
  <si>
    <t>Bosnia and Herzegovina </t>
  </si>
  <si>
    <t>SEPARATED</t>
  </si>
  <si>
    <t>ME</t>
  </si>
  <si>
    <t>Montenegro</t>
  </si>
  <si>
    <t>MK</t>
  </si>
  <si>
    <t>North Macedonia</t>
  </si>
  <si>
    <t>EXCLUDED</t>
  </si>
  <si>
    <t>AL</t>
  </si>
  <si>
    <t>Albania</t>
  </si>
  <si>
    <t>RS</t>
  </si>
  <si>
    <t>Serbia</t>
  </si>
  <si>
    <t>TR</t>
  </si>
  <si>
    <t>Türkiye</t>
  </si>
  <si>
    <t>XK</t>
  </si>
  <si>
    <t>Kosovo*</t>
  </si>
  <si>
    <t>:</t>
  </si>
  <si>
    <t>Total number of countries that comply with the rule</t>
  </si>
  <si>
    <t>% of countries that comply with the rule</t>
  </si>
  <si>
    <t>*under United Nations Security Council Resolution 244/99</t>
  </si>
  <si>
    <t>Offence included or offence not separated from intentional homicide in country legislation</t>
  </si>
  <si>
    <t>Information not provided</t>
  </si>
  <si>
    <t>Offence excluded</t>
  </si>
  <si>
    <t>Intentional Homicide inclusions comments</t>
  </si>
  <si>
    <t>Comments on Honour killing</t>
  </si>
  <si>
    <t>Comments on Serious assault leading to death</t>
  </si>
  <si>
    <t>Comments on Death as a result of terrorist offences</t>
  </si>
  <si>
    <t>Comments on Dowry-related killings</t>
  </si>
  <si>
    <t>Comments on Femicide</t>
  </si>
  <si>
    <t>Comments on Infanticide</t>
  </si>
  <si>
    <t>Comments on Voluntary Manslaughter</t>
  </si>
  <si>
    <t>Comments on Extrajudicial killings</t>
  </si>
  <si>
    <t>Comments on Killings caused by excessive use of force by law enforcement/state officials</t>
  </si>
  <si>
    <t>Can't distinguish the concept</t>
  </si>
  <si>
    <t xml:space="preserve">Metadata are revised in compliance with ICCS codes and according to the proper inclusion or exclusion in the crime categories that have been recommended by Eurostat after the last Crime and Criminal Justice Statistics Working Group meeting.       </t>
  </si>
  <si>
    <t>Voluntary Manslaughter does not exist in Czech criminal law. Only Manslaughter, but that is not taken as Intentional homicide.</t>
  </si>
  <si>
    <t>There is no separate legal code but the action is part of the legal code murder and therefore this action is included in the data provision for intentional homicide (0101)</t>
  </si>
  <si>
    <t>Data regarding the named offence area are not reported seperately but are included in the number of offences of (intentional) homicide</t>
  </si>
  <si>
    <t>This is not possible because the data on victims of completed homicides is taken from the cause of death register. Data from two different databases cannot be merged.</t>
  </si>
  <si>
    <t xml:space="preserve">There have never been such offences. </t>
  </si>
  <si>
    <t>Homicide law in Ireland distinguishes between murder (intentional) and manslaughter (unlawful killing that is not murder, incl. voluntary and involuntary manslaughter) only. Data provided includes murder and infanticide only.</t>
  </si>
  <si>
    <t xml:space="preserve">It is a different article in our Penal Code (article 311). The article 311 of our Penal Code also include other behaviours that should not be included in the intentional Homicide. </t>
  </si>
  <si>
    <t xml:space="preserve">It is a different article in our Penal Code (article 303). For the years 2020-2022, there were no cases of infanticides. For the year 2019, there were 3 cases of infanticides with 3 females perpetrators and 3 victims (2 females and 1 male victims). </t>
  </si>
  <si>
    <t>it is a different article of our penal code(art. 301).</t>
  </si>
  <si>
    <t>All types of murders are included, although this type can not be differentiated from the rest</t>
  </si>
  <si>
    <t xml:space="preserve">Article 111 Paragraph 1 Item 4 of the Penal Code </t>
  </si>
  <si>
    <t xml:space="preserve">Article 120 of the Penal Code </t>
  </si>
  <si>
    <t xml:space="preserve">Article 97 Paragraph 1 Item 1, Paragraph 2,  Paragraph 3 and Paragraph 4  of the Penal Code </t>
  </si>
  <si>
    <t xml:space="preserve">Article 112 Paragraph 2 of the Penal Code </t>
  </si>
  <si>
    <t xml:space="preserve">Article 112 Paragraph 1 of the Penal Code </t>
  </si>
  <si>
    <t xml:space="preserve">“Extrajudicial killings” has been understood as government authorities targeting specific people for death without the lawful authority granted by a judicial proceeding. This would certainly not be a practice in Croatia. </t>
  </si>
  <si>
    <t xml:space="preserve">There is no separate criminal offences for this scenario, but general legal provisions on killings (committed either with intent or in negligence, where negligence is incriminated). Therefore, these potential situations are included under Intentional Homicide.  </t>
  </si>
  <si>
    <t>the honour killing does not exist more since 1981 in our legislation</t>
  </si>
  <si>
    <t>there are other articles art 578</t>
  </si>
  <si>
    <t>there are other articles</t>
  </si>
  <si>
    <t>Not counted</t>
  </si>
  <si>
    <t>There are no deaths due to terrorism offences in Latvia. Terrorism is separate category in criminal law and at the moment we can’t separate terrorism offences with deaths and without.</t>
  </si>
  <si>
    <t xml:space="preserve"> Criminal Code of the Republic Lithuania (CC RL), article 250 (4).</t>
  </si>
  <si>
    <t>CC RL article 131.</t>
  </si>
  <si>
    <t>Serious assaults leading to death are excluded from the Intentional Homicide category in Hungary, as the intent is to cause bodily harm, not to cause death.</t>
  </si>
  <si>
    <t>The number of deaths as a result of terrorist offences cannot be produced from crime statistics in Hungary. According to the Criminal Code (Act C of 2012) homicide and act of terrorism are two separate categories without any overlapping cases, i.e. a homicide as a result of a terrorist act is not an aggravated case of homicide.</t>
  </si>
  <si>
    <t>Section 160 § (2) i) (Act C of 2012)</t>
  </si>
  <si>
    <t>Serious assault leading to death is included within national data for serious assaults.</t>
  </si>
  <si>
    <t>We do not consider this intentional homicide.</t>
  </si>
  <si>
    <t>In the stage that crimes are recorded by the police, it is not possible for us to disaggregate these criminal conducts, which at this stage are not collected in a disaggregated manner.</t>
  </si>
  <si>
    <t>No data breakdown by article of Law no. 535/2004 on the prevention and combating of terrorism, it is impossible to extract the acts of murder recorded in accordance with the provisions of this law (art. 32, paragraph 1, letter a). Source: General Inspectorate of Romanian Police within the Ministry of Internal Affairs.</t>
  </si>
  <si>
    <t>All forms of homicide are included, the reported metadata differences are caused by difficulties in “translating” the ICCS definitions into our legislation and vice versa: some crime offences does not exist in our legislation or are included in other crime offences that are already reported other can not be excluded/separated from the “main” criminal offence. We will review the metadata file and correct it in line with your guidelines.</t>
  </si>
  <si>
    <t> All forms of homicide are included, the reported metadata differences are caused by difficulties in “translating” the ICCS definitions into our legislation and vice versa: some crime offences does not exist in our legislation or are included in other crime offences that are already reported other can not be excluded/separated from the “main” criminal offence. We will review the metadata file and correct it in line with your guidelines.</t>
  </si>
  <si>
    <t xml:space="preserve">art. Murder - it is no special modus operandi </t>
  </si>
  <si>
    <t>art.  murder</t>
  </si>
  <si>
    <t>art. Terrorism</t>
  </si>
  <si>
    <t>art. murder</t>
  </si>
  <si>
    <t>art. Infanticide</t>
  </si>
  <si>
    <t>According to our Penal Code Voluntary Manslaughter is not classified as Intentional Homicide but as Suicide – different crime to Intentional Homicide, it is not included.</t>
  </si>
  <si>
    <t>no separate data, unknown modus operandi</t>
  </si>
  <si>
    <t>Separate offence as the art. abuse of power, no seperate data on killings by public officials in statistics</t>
  </si>
  <si>
    <t>All assaults leading to death</t>
  </si>
  <si>
    <t>It is included from 2023 data onwards</t>
  </si>
  <si>
    <t>There has been no terrorist attack in Iceland.</t>
  </si>
  <si>
    <t>Not relevant</t>
  </si>
  <si>
    <t>no cases so far</t>
  </si>
  <si>
    <t xml:space="preserve">Deaths as a result of terrorist attacks in Norway in 2011, are included for the figures for homicide in 2011 (77 homicides), due to the legislation/registration at that time. 
</t>
  </si>
  <si>
    <t>No known incidents of extrajudicial killings in Norway within the period of our crime data</t>
  </si>
  <si>
    <t>Investigated and registered by The Norwegian Bureau for the Investigation of Police Affairs, cases of which are not included in our crime data</t>
  </si>
  <si>
    <t>Art. 113 Swiss Criminal Code</t>
  </si>
  <si>
    <t>Art. 111-112 (evt. 117 not included) Swiss Criminal Code</t>
  </si>
  <si>
    <t>art.230; 75 of penal code</t>
  </si>
  <si>
    <t>Not a criminal offence defined in our penal code</t>
  </si>
  <si>
    <t>art.81 of penal code</t>
  </si>
  <si>
    <t>Not separated</t>
  </si>
  <si>
    <t xml:space="preserve">Serious assault leading to death can be seperated from intentional homicide in Turkish criminal law (Article 87/4). However, this seperation is not feasible for law enforcement data and it is included. </t>
  </si>
  <si>
    <t>It is unknown whether excessive force was used. It is recorded that a person kills another person because of a public duty.</t>
  </si>
  <si>
    <t>: not properly applied and explanation not provided</t>
  </si>
  <si>
    <t>Intentional Homicide exclusions</t>
  </si>
  <si>
    <t>Attempted Intentional Homicide</t>
  </si>
  <si>
    <t>Non-Intentional Homicide</t>
  </si>
  <si>
    <t xml:space="preserve">Non-negligent or involuntary manslaughter </t>
  </si>
  <si>
    <t xml:space="preserve">Assisting suicide or instigating suicide  </t>
  </si>
  <si>
    <t xml:space="preserve">Illegal feticide </t>
  </si>
  <si>
    <t xml:space="preserve">Euthanasia </t>
  </si>
  <si>
    <t xml:space="preserve">Death due to legal interventions </t>
  </si>
  <si>
    <t xml:space="preserve">Justifiable homicide in self-defence </t>
  </si>
  <si>
    <t>DON'T KNOW SEPARATED; EXCLUDED</t>
  </si>
  <si>
    <t>DON'T KNOW IF SEPARATED</t>
  </si>
  <si>
    <t>Offence included</t>
  </si>
  <si>
    <t>Intentional Homicide exclusions comments</t>
  </si>
  <si>
    <t>Comments on Attempted Intentional Homicide</t>
  </si>
  <si>
    <t>Comments on Non-Intentional Homicide</t>
  </si>
  <si>
    <t xml:space="preserve">Comments on Non-negligent or involuntary manslaughter </t>
  </si>
  <si>
    <t xml:space="preserve">Comments on Assisting suicide or instigating suicide  </t>
  </si>
  <si>
    <t xml:space="preserve">Comments on Illegal feticide </t>
  </si>
  <si>
    <t xml:space="preserve">Comments on Euthanasia </t>
  </si>
  <si>
    <t xml:space="preserve">Comments on Death due to legal interventions </t>
  </si>
  <si>
    <t xml:space="preserve">Comments on Justifiable homicide in self-defence </t>
  </si>
  <si>
    <t>Not separated from intentional homicide in the legislation</t>
  </si>
  <si>
    <t>We can't distinguish the concept</t>
  </si>
  <si>
    <t>As far as the data source enables excluded from ICCS 0101 as it should be included in ICCS 0102</t>
  </si>
  <si>
    <t>Cases acc. to ICCS-division 0103 are excluded from intentional homicide data (0101).</t>
  </si>
  <si>
    <t xml:space="preserve">Cases acc. to ICCS-group 01031 are excluded from intentional homicide data. </t>
  </si>
  <si>
    <t>In German criminal law, suicide without the involvement of other people is not penalized, since it is not directed against another person and there exists no legal obligation to stay alive. In December 2015, a new law came into force which should prevent the facilitation of suicide to become taken for granted in order not to induce people to commit suicide who would not have committed suicide without these offers. This, however, must be distinguished from the intentional killing of another person at their request pursuant to § 216 PC.</t>
  </si>
  <si>
    <t xml:space="preserve">According to the German correspondence table to the ICCS-section 01, the termination of pregnancy (acc. to the sects 218, 218b-c and 219a-b PC) is classified under ICCS 0106 Illegal feticide. </t>
  </si>
  <si>
    <t xml:space="preserve">There is no specific law in Germany which regulates the dying through euthanasia for terminally ill. An omission of medical interventions on the basis of a Patient Decree authored by the person concerned or another notable expression does not constitute active euthanasia (medically assisted suicide), but passive euthanasia. A treatment against the patient´s will, thus disregarding of a Patient Decree, is to be considered as bodily injury in Germany. To let somebody die by the failure to give medical assistance in contrary to the concerned person´s wishes for therapy amounts to killing or neglected (medical) assistance, but cannot be considered as passive euthanasia.    </t>
  </si>
  <si>
    <t>data regarding the named offence area are not reported seperately but are included in the number of offences of (intentional) homicide</t>
  </si>
  <si>
    <t>Not separated from intentional homicide</t>
  </si>
  <si>
    <t>when a homicide is committed by anyone, Hellenic Police is obliged by the law to form a criminal case file for the offense and sends it to the competent judicial authorities, who decide if the mitigating circumstances of the law apply to that case</t>
  </si>
  <si>
    <t>Euthanasia is included in Intentional homicide.</t>
  </si>
  <si>
    <t>Articles: 110; 111; 120; 112. paragraphs 1 and 2; 97 paragraph 1 items 1, 3 and 4</t>
  </si>
  <si>
    <t xml:space="preserve">Article 113 of the Penal Code </t>
  </si>
  <si>
    <t xml:space="preserve">Article 114 of the Penal Code </t>
  </si>
  <si>
    <t xml:space="preserve">Article 115 of the Penal Code </t>
  </si>
  <si>
    <t xml:space="preserve">Article 112 Paragraph 3 of the Penal Code </t>
  </si>
  <si>
    <t>If “Death due to legal interventions” refers to “death inflicted upon a person by the police or other law-enforcement agents, including military on duty, in the course of arresting or attempting to arrest lawbreakers, suppressing disturbances, maintaining order, and other legal action when the use of force by law enforcement is necessary to protect life”, these cases would not be included under the Intentional Homicide, due to application of “ultimate necessity” (Article 22 of the Croatian Penal Code). It is up to court to establish whether in certain case all conditions for acting in “ultimate necessity” have been fulfilled.</t>
  </si>
  <si>
    <t xml:space="preserve">In case necessary self-defence is applied, then in accordance with the Article 21 of the Croatian Penal Code there is no element of illegality, and therefore no criminal offence. In case person breached the limits of what is necessary self-defence (Article 21 Paragraph 3) then the criminal offence exists (and is included in the count) but the perpetrator can be penalised with less severe penalty. </t>
  </si>
  <si>
    <t>there is a specific article  to identify it; only for data for prisoners, because it can be associated with other crime</t>
  </si>
  <si>
    <t>euthanasia does  not exist and it is considered as an  intentional homicide</t>
  </si>
  <si>
    <t>there is not the possibility to identify in the data</t>
  </si>
  <si>
    <t>it depends from case to case</t>
  </si>
  <si>
    <t>There is not a separate offence code for non-intentional homicide. They are all recorded with the same offence code.</t>
  </si>
  <si>
    <t xml:space="preserve"> There is not a separate offence code for non-negligent or involuntary manslaughter. They are all recorded with the same offence code.</t>
  </si>
  <si>
    <t>There is not a separate offence code for euthanasia. They are all recorded with the same offence code.</t>
  </si>
  <si>
    <t>Euthanasia is illegal in Latvia and providing such a service would be considered as criminal law offence as murder. There is no separate criminal offence for euthanasia. However, it is unheard about illegal euthanasia services in Latvia.</t>
  </si>
  <si>
    <t>We have penal code Section 122. Murder Committed Violating Provisions Regarding Detention of a Person and it is included as intentional homecide</t>
  </si>
  <si>
    <t>There is penal code on Murder Committed Exceeding the Limits of Necessary Self-defence</t>
  </si>
  <si>
    <t xml:space="preserve">CC RL article 132. </t>
  </si>
  <si>
    <t>CC RL article 133.</t>
  </si>
  <si>
    <t>CC RL article 134.</t>
  </si>
  <si>
    <t>Section 162 (Act C of 2012)</t>
  </si>
  <si>
    <t>Section 163 (Act C of 2012) 0106</t>
  </si>
  <si>
    <t>There is no specific offence in the Hungarian Criminal Code (Act C of 2012) for euthanasia: it is considered an act of homicide.</t>
  </si>
  <si>
    <t>There is no specific offence in the Hungarian Criminal Code (Act C of 2012) for death due to legal interventions: it is considered an act of homicide, in whose case the perpetrator is exempt from adverse legal consequences</t>
  </si>
  <si>
    <t>There is no specific offence in the Hungarian Criminal Code (Act C of 2012) for justifiable homicide in self-defense: it is considered an act of homicide, in whose case the perpetrator is exempt from adverse legal consequences.</t>
  </si>
  <si>
    <t>Euthanasia is not included in national legislation; any acts would be recorded as wilful homicide.</t>
  </si>
  <si>
    <t>We don't know separately, so they are included in the figures.</t>
  </si>
  <si>
    <t>In Austria, a separate evaluation is not possible. These special data cannot be evaluated exclusively</t>
  </si>
  <si>
    <t>This type of conduct it is not criminalized in the portuguese legislation</t>
  </si>
  <si>
    <t>Crime offence not present in the criminal code</t>
  </si>
  <si>
    <t xml:space="preserve">All forms of homicide are included, the reported metadata differences are caused by difficulties in “translating” the ICCS definitions into our legislation and vice versa: some crime offences does not exist in our legislation or are included in other crime offences that are already reported other can not be excluded/separated from the “main” criminal offence. </t>
  </si>
  <si>
    <t>art. Murder</t>
  </si>
  <si>
    <t>art. Homicide</t>
  </si>
  <si>
    <t>art.Killing</t>
  </si>
  <si>
    <t>art. Participation in a Suicide</t>
  </si>
  <si>
    <t>art. Impairment of health</t>
  </si>
  <si>
    <t>unknown crime</t>
  </si>
  <si>
    <t>no data</t>
  </si>
  <si>
    <t>Negligent homicide (kuolemantuottamus) in connection with assault included, all other excluded</t>
  </si>
  <si>
    <t>It may be that when police has to use firearm and target is killed, this is actually investigated as homicide. There hasn’t been any this kind of case in recent years</t>
  </si>
  <si>
    <t>We cannot distinguish these from homicide.</t>
  </si>
  <si>
    <t>Euthanasia is excluded from intentional homicide in Iceland.</t>
  </si>
  <si>
    <t>Self-defence killings may be registered, investigated and prosecuted within the jurisdiction of the police, prosecution authority and courts</t>
  </si>
  <si>
    <t>Art. 117 Swiss Criminal Code</t>
  </si>
  <si>
    <t>Art. 115 Swiss Criminal Code</t>
  </si>
  <si>
    <t>Art. 118 Swiss Criminal Code</t>
  </si>
  <si>
    <t>Swiss law does not explicitly provide for homicide having, for example, a policeman as the perpetrator (as it does, for example, for infanticide where the perpetrator is necessarily the victim's mother). The act in question falls under art. 111, 112 or 117 of the Swiss Penal Code, i.e. the "general" articles.We cannot distinguish between a homicide committed by a police officer in the performance of his duties and a homicide committed by a "normal" person.And, if the use of force was justified, the act is not punishable, as the articles on self-defence or state of necessity apply.</t>
  </si>
  <si>
    <t>acts committed in self-defence are not punishable</t>
  </si>
  <si>
    <t>art.76-22;77-22;78-22;79-22;79/a-22;79/b-22;79/c-22 of penal code</t>
  </si>
  <si>
    <t>art.85 of penal code</t>
  </si>
  <si>
    <t>art.99 of penal code</t>
  </si>
  <si>
    <t>art.93,94,95 of penal code</t>
  </si>
  <si>
    <t>art.83 of penal code</t>
  </si>
  <si>
    <t>Death due to legal interventions data cannot be seperated from law enforcement records and therefore intentional homicide data covers it.</t>
  </si>
  <si>
    <t xml:space="preserve">Justifiable homicide in self-defence can be seperated from intentional homicide in Turkish criminal law (self-defence is defined at Article 25). However, this seperation is not feasible for law enforcement data and it is included. </t>
  </si>
  <si>
    <t>Serious assault  </t>
  </si>
  <si>
    <t>Country</t>
  </si>
  <si>
    <t>Serious assault  leading to death </t>
  </si>
  <si>
    <t>Injurious acts of sexual nature</t>
  </si>
  <si>
    <t>Serious threat</t>
  </si>
  <si>
    <t>Minor assault</t>
  </si>
  <si>
    <t>XK*</t>
  </si>
  <si>
    <t>Kosovo</t>
  </si>
  <si>
    <t>*under United Nations Security Council Resolution 1244/99</t>
  </si>
  <si>
    <t>: not applicable/not provided </t>
  </si>
  <si>
    <t>rules properly applied</t>
  </si>
  <si>
    <t>rules not properly applied</t>
  </si>
  <si>
    <t>Serious assault  comments</t>
  </si>
  <si>
    <t>Comments on Serious assault  leading to death </t>
  </si>
  <si>
    <t>Comments on Injurious acts of sexual nature</t>
  </si>
  <si>
    <t>Comments on Serious threat</t>
  </si>
  <si>
    <t>Comments on Minor assault</t>
  </si>
  <si>
    <t>Only data for 02011 Assault - no further breakdown in serious (020111) and minor assault (020112) possible</t>
  </si>
  <si>
    <t>In statistics it cannot be distinguished from other serious assaults.</t>
  </si>
  <si>
    <t xml:space="preserve">Chapters 16 and 17 of the Penal Code </t>
  </si>
  <si>
    <t xml:space="preserve">Article 139 of the Penal Code </t>
  </si>
  <si>
    <t xml:space="preserve">Article 117 of the Penal Code </t>
  </si>
  <si>
    <t>Police statistics data  cannot separate the minors assaults from aggraveted ones</t>
  </si>
  <si>
    <t>Serious assault leading to death is registered as homicide.</t>
  </si>
  <si>
    <t>CC RL article 145</t>
  </si>
  <si>
    <t>CC RL articles 138, 140</t>
  </si>
  <si>
    <t>Comment from police: only intentional assault resulting in incapacity for work; comment from STATEC: serious assault leading death is excluded (this is a different article in the Penal Code).</t>
  </si>
  <si>
    <t>comment from STATEC: Injurious acts of sexual nature are excluded</t>
  </si>
  <si>
    <t>comment from STATEC: Serious threats are excluded</t>
  </si>
  <si>
    <t>comment from STATEC: Minor assault is excluded</t>
  </si>
  <si>
    <t>The reported metadata differences are caused by difficulties in “translating” the ICCS definitions into our legislation and vice versa: some crime offences does not exist in our legislation or are included in other crime offences that are already reported other can not be excluded/separated from the “main” criminal offence. We will review the metadata file and correct it in line with your guidelines.</t>
  </si>
  <si>
    <t xml:space="preserve">Previously the data also included the light bodily injury hence the large difference. </t>
  </si>
  <si>
    <t>Separate offence</t>
  </si>
  <si>
    <t>Excluded in police statistics, included in court statistics</t>
  </si>
  <si>
    <t>“Maltreatment in close relations” (many different, but unspecified, acts of violence and other acts causing harm), not included. Conclusion of Statistics Norway’s assessment of the ICCS classification of Assault and threats (0201); “maltreatment in close relations” is sorted at sub-level Other assault and threats (02019). ^</t>
  </si>
  <si>
    <t>Article 131 of Criminal code</t>
  </si>
  <si>
    <t>It is included only offence serious assault</t>
  </si>
  <si>
    <t xml:space="preserve">Kidnapping </t>
  </si>
  <si>
    <t>Abduction  of a minor</t>
  </si>
  <si>
    <t>Trafficking in Persons</t>
  </si>
  <si>
    <t>Illegal adoption</t>
  </si>
  <si>
    <t>Taking a  hostage</t>
  </si>
  <si>
    <t xml:space="preserve">Kidnapping comments </t>
  </si>
  <si>
    <t>Comments on Abduction  of a minor</t>
  </si>
  <si>
    <t>Comments on Trafficking in Persons</t>
  </si>
  <si>
    <t>Comments on Illegal adoption</t>
  </si>
  <si>
    <t>Comments on Taking a  hostage</t>
  </si>
  <si>
    <t>Abduction of a minor could not be excluded according to the Penal Code.</t>
  </si>
  <si>
    <t xml:space="preserve">Data regarding kidnapping 020221 is not available. </t>
  </si>
  <si>
    <t>In statistics it cannot be distinguished from other offences.</t>
  </si>
  <si>
    <t>Incidents of taking a hostage not separately identifiable from the overall category of 'false imprisonment' in Irish data</t>
  </si>
  <si>
    <t>it is a different article of our penal code(art. 324).</t>
  </si>
  <si>
    <t>it is a different article of our penal code(art. 323A).</t>
  </si>
  <si>
    <t>it is a different article of our penal code(art. 360A).</t>
  </si>
  <si>
    <t xml:space="preserve">In Greek Penal Code, kidnapping corresponds to the article 322 of Penal Code, which includes taking someone hostage. </t>
  </si>
  <si>
    <t>It would be considered as kidnapping, when a condition for the release of the person is imposed. From this consideration would be excluded, the crime of kidnapping by terrorists or terrorist organizations, which would be considered as a crime of terrorism. It also excludes those who violently seize an aircraft, vessel or other type of vessel or platform at sea, which will be considered as piracy. Another fact that is not included is the use of hostages as "human shields" in a warlike conflict.</t>
  </si>
  <si>
    <t>French law does not make distinctions between kidnapping and illegal restraint.</t>
  </si>
  <si>
    <t xml:space="preserve">Article 174 of the Penal Code </t>
  </si>
  <si>
    <t xml:space="preserve">Article 106 of the Penal Code </t>
  </si>
  <si>
    <t xml:space="preserve">Article 106 Paragraph 2 of the Penal Code </t>
  </si>
  <si>
    <t xml:space="preserve">Article 97 Paragraph 1 Item 3 of the Penal Code </t>
  </si>
  <si>
    <t xml:space="preserve">Comment from STATEC: Abduction of a minor is included (although there is a specific article in the Criminal Code relating to abducting minors). </t>
  </si>
  <si>
    <t>Comment from STATEC:  Is Included (cf definition Code Pénal Art 442)</t>
  </si>
  <si>
    <t xml:space="preserve"> We cannot specify 020221. This number is total of abduction/hostage.</t>
  </si>
  <si>
    <t>It is not possible to exclude this conduct, as there is no disaggregated category to record cases of abduction of a minor.</t>
  </si>
  <si>
    <t>It is not possible to exclude this conduct, as there is no disaggregated category to record cases of taking a hostage.</t>
  </si>
  <si>
    <t xml:space="preserve">art. Abduction, kidnapping of adult is different article </t>
  </si>
  <si>
    <t>separate offence</t>
  </si>
  <si>
    <t>no crime</t>
  </si>
  <si>
    <t>There is an offence (panttivangin ottaminen) that is translated to Hostage taking, but by definition it belongs to 020221 kidnapping Section 4 - Hostage taking (578/1995) (1) A person who deprives another of his or her liberty in order to have a third person do, endure or omit to do something, under threat that the hostage will otherwise not be released or he or she will be killed or harmed, shall be sentenced, if the act is aggravated when assessed as a whole, for hostage taking to imprisonment for at least one and at most ten years. Vapaudenriisto (Deprivation of personal liberty) belongs to 020222 Illigal retraining A person who by confinement, bondage, transportation or otherwise unlawfully prevents another from moving or isolates him or her shall be sentenced for deprivation of personal liberty to a fine or to imprisonment for at most two years.</t>
  </si>
  <si>
    <t>The definition of kidnapping according to the Swedish Penal Code (Ch. 4 Art. 1) is wider than the ICCS definition and we cannot therefore provide this data.</t>
  </si>
  <si>
    <t>Article 141 of Criminal code</t>
  </si>
  <si>
    <t>In our ICCS mapping, article 109 and 109/a referring to ; Rrëmbimi ose mbajtja peng e personit; are included at 020221 category of ICCS</t>
  </si>
  <si>
    <t xml:space="preserve"> Sexual violence</t>
  </si>
  <si>
    <t>Sexual exploitation</t>
  </si>
  <si>
    <t>Coercion</t>
  </si>
  <si>
    <t>Prostitution offences</t>
  </si>
  <si>
    <t>TiP for sexual expoitation</t>
  </si>
  <si>
    <t>Harassment and stalking</t>
  </si>
  <si>
    <t xml:space="preserve"> Sexual violence comments</t>
  </si>
  <si>
    <t>Comments on Sexual exploitation</t>
  </si>
  <si>
    <t>Comments on Coercion</t>
  </si>
  <si>
    <t>Comments on Prostitution offences</t>
  </si>
  <si>
    <t>Comments on TiP for sexual expoitation</t>
  </si>
  <si>
    <t>Comments on harassment and stalking</t>
  </si>
  <si>
    <t>Light sexual coercion is excluded. Especially heavy sexual exclusion is included, because it is legally the same as rape in Germany.</t>
  </si>
  <si>
    <t>Stalking is excluded. Harrassment was included like the last four years in order to deliver comparable numbers, because in Germany it is physically.</t>
  </si>
  <si>
    <t xml:space="preserve">It depends on circumstances, as the given definitions and the qualification of crimes may not exactly coincide. </t>
  </si>
  <si>
    <t>Not possible to separate out these offences</t>
  </si>
  <si>
    <t>Only sexual harassment and harassment</t>
  </si>
  <si>
    <t xml:space="preserve">Article 106 Paragraph 1 of the Penal Code </t>
  </si>
  <si>
    <t xml:space="preserve">Article 140 of the Penal Code </t>
  </si>
  <si>
    <t>CC RL article 147</t>
  </si>
  <si>
    <t>comment from STATEC: Is Included (The Code Pénal subsumes several offences under the category of "violation of sexual integrity and rape")</t>
  </si>
  <si>
    <t xml:space="preserve">Comment from STATEC:  Prostitution as such is legal in Luxembourg. This means that pure prostitution offences are not documented here. Illegal activities are those related to organised prostitution, such as making a profit (running brothels and prostitution rings) or supporting prostitution (use of prostitution).
The chapter “The use of prostitution” refers to the offences subsumed under the category "violation of sexual integrity and rape"
</t>
  </si>
  <si>
    <t>The data about Other acts of sexual violence (03019), number of offences are covered in other categories of sexual offences.</t>
  </si>
  <si>
    <t>Iin art. Pimping and  part of art.THB</t>
  </si>
  <si>
    <t>Separate art. Gross Coercion and Durres</t>
  </si>
  <si>
    <t>Prostitution is not crime</t>
  </si>
  <si>
    <t>Separate art. on THB</t>
  </si>
  <si>
    <t>Harrassment - no crime, stalking separate crime</t>
  </si>
  <si>
    <t>Coercion into sexual intercourse, Coercion into a sexual act 20:4§1</t>
  </si>
  <si>
    <t>Sexual coercion is included.</t>
  </si>
  <si>
    <t>Harassment in this context refers to sexual harassment. We do not exclude sexual harassment from sexual violence.</t>
  </si>
  <si>
    <t>Rape</t>
  </si>
  <si>
    <t>Sexual penetration with physical force</t>
  </si>
  <si>
    <t>Rape without force</t>
  </si>
  <si>
    <t>Statutory rape</t>
  </si>
  <si>
    <t>Rape comments</t>
  </si>
  <si>
    <t>Comments on Sexual penetration with physical force</t>
  </si>
  <si>
    <t>Comments on Rape without force</t>
  </si>
  <si>
    <t>Comments on Statutory rape</t>
  </si>
  <si>
    <t xml:space="preserve">In the PCS, all offences declared as "rape" are included in 03011, other offences like serious sexual assault are part of 03012, but can not be expelled there, because in a legal consideration it is not rape but also not non-physical sexual assault. </t>
  </si>
  <si>
    <t>Because this is not “rape” in Germany corresponding to the law.</t>
  </si>
  <si>
    <t>Rape without force Excluded. Rape refers to Sexual Assault with Penetration and not abuse sexual. In 2023, as a result of the reform of the penal code, sexual abuse with penetration (without force) will be included</t>
  </si>
  <si>
    <t>Article 153 and 153 in connection to Article 154</t>
  </si>
  <si>
    <t>Article  158 paragraphs 1 and 5; Article  158 paragraphs 1 and 5 in connection to Article 166; Article 159</t>
  </si>
  <si>
    <t>Rape does not exist seperately from sexual violence in italian legislation</t>
  </si>
  <si>
    <t>Section 197 (Act C of 2012)</t>
  </si>
  <si>
    <t>Section 196 (Act C of 2012)</t>
  </si>
  <si>
    <t>Statutory rape is included in a more generic category and it is not possible to separate this conduct to include it in rape.</t>
  </si>
  <si>
    <t>Statutory rape is included in the provided data.</t>
  </si>
  <si>
    <t>If rape then included, if other sexual offeces (like sexual harrasment) then not.</t>
  </si>
  <si>
    <t>Including making someone having sexual intercourse with themselves or another person by threats or violence</t>
  </si>
  <si>
    <t>Rape without force includes sexual intercourse by threats, sexual intercourse with children aged 14 years or under, sexual intercourse with a unconscious/sleeping person, making someone doing sexual acts with themselves or others</t>
  </si>
  <si>
    <t>Included for victims under the age of 14, as this is the age limits for the legal definition of rape without force</t>
  </si>
  <si>
    <t>Art. 190 Swiss Criminal Code</t>
  </si>
  <si>
    <t>Psychological or physical violence is needed.</t>
  </si>
  <si>
    <t xml:space="preserve">Partly included, partly excluded: under 14 years included. 14-18 years included only in case of physical or psychological violence. </t>
  </si>
  <si>
    <t>Article 186 of Criminal code</t>
  </si>
  <si>
    <t>Sexual assault</t>
  </si>
  <si>
    <t>Rape with force</t>
  </si>
  <si>
    <t>Non-physical sexual assault (sexual harassment) </t>
  </si>
  <si>
    <t>Sexual assault comments</t>
  </si>
  <si>
    <t>Comments on Rape with force</t>
  </si>
  <si>
    <t>Comments on Non-physical sexual assault (sexual harassment) </t>
  </si>
  <si>
    <t>Sexual harassment is not a specific category – so not possible to include</t>
  </si>
  <si>
    <t>Offences against public decency</t>
  </si>
  <si>
    <t>these offences are part of Rape (03011)</t>
  </si>
  <si>
    <t>Depends on circumstances</t>
  </si>
  <si>
    <t>It is not separably identifiable from the data</t>
  </si>
  <si>
    <t>Entry into force of the Organic Law 10/2022 on the comprehensive guarantee of sexual freedom.</t>
  </si>
  <si>
    <t xml:space="preserve">Article 156 of the Penal Code </t>
  </si>
  <si>
    <t>sexual assault does not exist seperately from sexual violence in italian legislation</t>
  </si>
  <si>
    <t>If it has a threshold of being a crime</t>
  </si>
  <si>
    <t>There is no specific Article in CC RL</t>
  </si>
  <si>
    <t>Comment from STATEC:  Included The Code Pénal subsumes several offences under the category of "violation of sexual integrity and rape"</t>
  </si>
  <si>
    <t>Comment from STATEC:  Excluded - The Code Pénal does not specifically mention sexual harassment; repeated harassment is punishable.</t>
  </si>
  <si>
    <t>There is no corresponding offence in the Hungarian Criminal Code (Act C of 2012) for this definition. Therefore it corresponds only with the separate, but broader category of harassment (Section 222).</t>
  </si>
  <si>
    <t>Harassment can’t be broken down by nature (Sexual or not) in the national police system so is excluded here.</t>
  </si>
  <si>
    <t>03012 only includes physical sexual assault. We cannot distinguish between sexual harassment and non- sexual harassment.</t>
  </si>
  <si>
    <t>sexual harassment is included, but also the physical aspect</t>
  </si>
  <si>
    <t xml:space="preserve">: </t>
  </si>
  <si>
    <t>part of art. Rape</t>
  </si>
  <si>
    <t>no separate crime, can be punished as misdemanour</t>
  </si>
  <si>
    <t>Currently definition of sexual harrasment requires physical contact</t>
  </si>
  <si>
    <t>Included in "sexual assault" is attempted rape and sexual act</t>
  </si>
  <si>
    <t>Included: Sexually abusive behaviour (incl. voyeurism, indicent exposure and the like)</t>
  </si>
  <si>
    <t>Art. 198 'Sexual Harassment' from the Swiss Criminal Code will be include from 2023 data.</t>
  </si>
  <si>
    <t>Includes because the offense is determined by our Criminal Code</t>
  </si>
  <si>
    <t xml:space="preserve">Rape with force data cannot be seperated from law enforcement records and therefore sexual assault data also covers rape with force data. </t>
  </si>
  <si>
    <t xml:space="preserve">Rape without force data cannot be seperated from law enforcement records and therefore sexual assault data also covers rape without force data. </t>
  </si>
  <si>
    <t>Pornography offences</t>
  </si>
  <si>
    <t>TiP for sexual exploitation</t>
  </si>
  <si>
    <t xml:space="preserve"> Sexual exploitation comments</t>
  </si>
  <si>
    <t>Comments on Pornography offences</t>
  </si>
  <si>
    <t>Comments TiP for sexual exploitation</t>
  </si>
  <si>
    <t xml:space="preserve"> The prostitution offences in case of sexual exploitation are included. </t>
  </si>
  <si>
    <t>Prostitution is only illegal for persons under 18 years old.</t>
  </si>
  <si>
    <t>Pornography is only illegal for persons under 18 years old.</t>
  </si>
  <si>
    <t>Included are offences of exploiation of prostituion and pimping, other prostituion offences are not included</t>
  </si>
  <si>
    <t>Included is child pornography.</t>
  </si>
  <si>
    <t>Only included Child pornography (030221)</t>
  </si>
  <si>
    <t>Included is only “Recruiting, enticing or procuring a person into prostitution; paying for sexual “services” knowing it is forced prostitution; advertising prostitution of other person via public media" (Article 157 of the Croatian Penal Code).</t>
  </si>
  <si>
    <t>Except for the criminal offence of abuse of children for pornography (Article 163) there is no defined criminal offence</t>
  </si>
  <si>
    <t>In Italy only the exploitation of prostitutes is a crime. There is one article for adult and many others for minors</t>
  </si>
  <si>
    <t xml:space="preserve">In Italy only pornografy with minors is a crime. </t>
  </si>
  <si>
    <t xml:space="preserve">CC RL article 147 </t>
  </si>
  <si>
    <t xml:space="preserve">Included Comment from STATEC: Prostitution as such is legal in Luxembourg. This means that pure prostitution offences are not documented here. Illegal activities are those related to organised prostitution, such as making a profit (running brothels and prostitution rings) or supporting prostitution (use of prostitution).
The chapter “The use of prostitution” refers to the offences subsumed under the category "violation of sexual integrity and rape"
</t>
  </si>
  <si>
    <t>Comment from STATEC: imcluded</t>
  </si>
  <si>
    <t>Only includes data relating to child pornogrpahy</t>
  </si>
  <si>
    <t>Just child pornography is included</t>
  </si>
  <si>
    <t>In Romanian legislation, there are no other offences of pornography except child pornography, art. 374 of the Criminal Code, which is included in indicator 0302 - Sexual exploitation. Source: General Inspectorate of Romanian Police within the Ministry of Internal Affairs.</t>
  </si>
  <si>
    <t>Not applicable in the Romanian context. The viceversa could be applicable, but only when talking about victims and not about offences, as sexual exploitation is not a stand alone crime and is one of the purposes of trafficking  in persons crime. Source: General Inspectorate of Romanian Police within the Ministry of Internal Affairs.</t>
  </si>
  <si>
    <t>Included partly, prostitution is not crime, the pimping is crime of sexual expoitation only</t>
  </si>
  <si>
    <t xml:space="preserve">Special crime </t>
  </si>
  <si>
    <t xml:space="preserve">Included partly, the THB for sexual expoitation </t>
  </si>
  <si>
    <t>Pandering and abuse of a victim of prostitution included, being a prostitute is not criminalized</t>
  </si>
  <si>
    <t>Child pornography offences included</t>
  </si>
  <si>
    <t>Child pornography only.</t>
  </si>
  <si>
    <t>n/a</t>
  </si>
  <si>
    <t>Child pornography is included</t>
  </si>
  <si>
    <t>Included: child pornography</t>
  </si>
  <si>
    <t>Article 193-a of Criminal code</t>
  </si>
  <si>
    <t>Robbery</t>
  </si>
  <si>
    <t>Robbery of a car or vehicle</t>
  </si>
  <si>
    <t>Robbery of an establishment</t>
  </si>
  <si>
    <t>Theft without violence</t>
  </si>
  <si>
    <t>Burglary without violence against the person</t>
  </si>
  <si>
    <t xml:space="preserve"> Robbery comments</t>
  </si>
  <si>
    <t>Comments on Robbery of a car or vehicle</t>
  </si>
  <si>
    <t>Comments on Robbery of an establishment</t>
  </si>
  <si>
    <t>Comments on Theft without violence</t>
  </si>
  <si>
    <t>Comments on Burglary without violence against the person</t>
  </si>
  <si>
    <t>Theoretically it is included. But robbery of a car or vehicle does not exist in the Czech criminal code. If in reality the car was stolen during the robbery, this will be included.</t>
  </si>
  <si>
    <t>Only the crimes which are executed with violence</t>
  </si>
  <si>
    <t>Article 230 Paragraph 1 (vehicles cannot be separated)</t>
  </si>
  <si>
    <t>Article 229 Paragraph 1, items 1, 2 and 3 of the Penal Code</t>
  </si>
  <si>
    <t>If there is  violence on the person in the dynamic of the theft is considered a robbery</t>
  </si>
  <si>
    <t xml:space="preserve"> If there is  violence on the person in the dynamic of the burglary is considered a robbery</t>
  </si>
  <si>
    <t>Robbery is included as a theft related to violence or threatened violence.</t>
  </si>
  <si>
    <t xml:space="preserve">CC RL article 178 </t>
  </si>
  <si>
    <t>Theft of car can’t be broken down by inclusion of use of violence (robbery) so is excluded here.</t>
  </si>
  <si>
    <t>Theft from establishment can’t be broken down by inclusion of use of violence (robbery) so is excluded here.</t>
  </si>
  <si>
    <t>Robbery is crime against person only, it is clasified as theft of car</t>
  </si>
  <si>
    <t>Robbery is crime against person only, it is clasified as theft</t>
  </si>
  <si>
    <t>Robbery is crime against person only with violence</t>
  </si>
  <si>
    <t>Robbery is crime against person only, burglary is special modus operandi of theft</t>
  </si>
  <si>
    <t>Theft/robbery without violence is here limited to robbery with threats</t>
  </si>
  <si>
    <t>Art. 140 Swiss Criminal Code</t>
  </si>
  <si>
    <t xml:space="preserve">Included: theft by using force on another, threatening another with imminent danger to life or limb, or making another incapable of resistance … </t>
  </si>
  <si>
    <t>In our criminal code, robbery of a car is not defined, and statistcs are provided only for theft of a car, for this reason is done exluded.</t>
  </si>
  <si>
    <t>Theft</t>
  </si>
  <si>
    <t>Burglary/ breaking and entering</t>
  </si>
  <si>
    <t>Theft with force or the threat of force (robbery)</t>
  </si>
  <si>
    <t>Theft of a motorized land vehicle</t>
  </si>
  <si>
    <t>Theft  comments</t>
  </si>
  <si>
    <t>Comments on Burglary/breaking and entering</t>
  </si>
  <si>
    <t>Comments on Theft with force or the threat of force (robbery)</t>
  </si>
  <si>
    <t>Comments on Theft of a motorized land vehicle</t>
  </si>
  <si>
    <t>There is no break in than  (0501)</t>
  </si>
  <si>
    <t>burglary is recorded in 0501</t>
  </si>
  <si>
    <t>robbery is recorded in 0401</t>
  </si>
  <si>
    <t>data on thefts of vehicles under aggravating circumstances are not included in 0502; however in 05021</t>
  </si>
  <si>
    <t>Since the law does not distinguish burglary from other thefts, they cannot be distinguished in statistics.</t>
  </si>
  <si>
    <t>Article 229 Paragraph 1, items 1 (if object of burglary is a car)</t>
  </si>
  <si>
    <t>Articles 230 and 231 of the Penal Code</t>
  </si>
  <si>
    <t>There is no corresponding offence in the Hungarian Criminal Code (Act C of 2012) for this definition. Therefore it corresponds only with the general category of theft (Section 370).</t>
  </si>
  <si>
    <t>Robbery can be against person only, burglary is theft with violence from house</t>
  </si>
  <si>
    <t>Fraud</t>
  </si>
  <si>
    <t>Money Laundering</t>
  </si>
  <si>
    <t xml:space="preserve"> Fraud comments</t>
  </si>
  <si>
    <t>Comments on Burglary/ breaking and entering</t>
  </si>
  <si>
    <t>Comments on Money Laundering</t>
  </si>
  <si>
    <t>Articles: 228;  229 Paragraph 1, items 1, 2 and 3 of the Penal Code</t>
  </si>
  <si>
    <t>Article 265 of the Penal Code</t>
  </si>
  <si>
    <t>Corruption</t>
  </si>
  <si>
    <t>Bribery</t>
  </si>
  <si>
    <t>Embezzlement</t>
  </si>
  <si>
    <t>Abuse of functions</t>
  </si>
  <si>
    <t>Trading in influence</t>
  </si>
  <si>
    <t>Illicit enrichment</t>
  </si>
  <si>
    <t xml:space="preserve"> Corruption comments</t>
  </si>
  <si>
    <t>Comments on Bribery</t>
  </si>
  <si>
    <t>Comments on Embezzlement</t>
  </si>
  <si>
    <t>Comments on Abuse of functions</t>
  </si>
  <si>
    <t>Comments on Trading in influence</t>
  </si>
  <si>
    <t>Comments on Illicit enrichment</t>
  </si>
  <si>
    <t>Illicit enrichment is not regulated as a crime in the Penal Code.</t>
  </si>
  <si>
    <t>Embezzlement is not explicit part of corruption in the Police Crime Statistics in Germany.</t>
  </si>
  <si>
    <t>Abuse of functions is not explicit part of corruption in the Police Crime Statistics in Germany.</t>
  </si>
  <si>
    <t>Trading in influence is not explicit part of corruption in the Police Crime Statistics in Germany.</t>
  </si>
  <si>
    <t>Illicit enrichment is not explicit part of corruption in the Police Crime Statistics in Germany.</t>
  </si>
  <si>
    <t>Illicit enrichment is not included in Corruption in Greek Law on it's own. It requires tax evasion, money laundering and any of the above offenses to qualify as Corruption</t>
  </si>
  <si>
    <t>Articles of the Penal Code: 251; 252; 253; 293; 294; 295 paragraphs 2 and 3; 296</t>
  </si>
  <si>
    <t>Article 233 of the Penal Code</t>
  </si>
  <si>
    <t>Articles 291 and 295 Paragraph 1 of the Penal Code</t>
  </si>
  <si>
    <t>Articles 295 and 296 of the Penal Code</t>
  </si>
  <si>
    <t xml:space="preserve">                                                                                                                                                                                                                                                                                                                                                                                                                                                                                                                                                                                                                                                                                                                                                                                                                                                                                                                                                                                                                                                                                                                                                                                                                                                                                                                                                                                                                                                                                                                                                                                                                                                                                                                                                                                                                                                                                                                                                                                                                                                                                                                                                                                                                                                                                                                                                                                                                                                                                                                                                                                                                                                                                                                                                                                                                                                                                                                                                                                                                                                                                                                                                                                                                                                                                                                                                                                                                                                                                                                                                                                                                                                                                                                                    </t>
  </si>
  <si>
    <t>In Italy, "malversazione" is included, but not "appropriazione indebita"</t>
  </si>
  <si>
    <t>Not available in the Italian Law for public official</t>
  </si>
  <si>
    <t>if it is linked to corruption</t>
  </si>
  <si>
    <t>Embezzelment in Kriminal Law of Latvia is defined in broader sense than corruption</t>
  </si>
  <si>
    <t xml:space="preserve">There is no specific Article in CC RL </t>
  </si>
  <si>
    <t>Embezzlement is considered a crime against property in Hungary.</t>
  </si>
  <si>
    <t>There is no corresponding offence in the Hungarian Criminal Code (Act C of 2012) for this definition.</t>
  </si>
  <si>
    <t xml:space="preserve">In the national police system, there is no category that aligns to the definition of illicit enrichment used in the ICCS. </t>
  </si>
  <si>
    <t>In Police registration we can only find embezzlement as corruption. So we cannot count bribery.</t>
  </si>
  <si>
    <t>In Police registration we can only find embezzlement as corruption. So we cannot count Abuse of functions.</t>
  </si>
  <si>
    <t>In Police registration we can only find embezzlement as corruption. So we cannot count Trading in influence.</t>
  </si>
  <si>
    <t>In Police registration we can only find embezzlement as corruption. So we cannot count Illicit enrichment.</t>
  </si>
  <si>
    <t>This conduct is not criminalized in the portuguese legislation</t>
  </si>
  <si>
    <t>In Romanian legislation, there is no offence whose elements are in accordance with the definition provided for in code 07035 - enrichment by illicit means. Source: General Inspectorate of Romanian Police within the Ministry of Internal Affairs.</t>
  </si>
  <si>
    <t>Included partly in corruption  as part of bribery, taking bribe,  corruption</t>
  </si>
  <si>
    <t>Included partly, every bribery or takin bribe is illicit enrichment, separate art. not connected to corruption as well</t>
  </si>
  <si>
    <t>No national offence can be classified to this category. Abuse of public office 40:7§1/1-2 includes both Abuse of function and trading in influence</t>
  </si>
  <si>
    <t>No national offence can be classified to this category. This is included in Emezzlement offences</t>
  </si>
  <si>
    <t>Breach of professional secrecy and violation of duty to maintain secrecy is included, but the offence does not only involve a public official.</t>
  </si>
  <si>
    <t>Icelandic law does not provide a precise definition of corruption. However, it does prohibit any form of bribery or abuse of power by public officials. For instance, the system allows for counting the number of embezzlements, but it is not possible to distinguish between which ones are due to corruption and which ones are not without reading through the cases.</t>
  </si>
  <si>
    <t>Bribery is not an isolated type of offence in the police codes for offences, thus is not bribery offences exhaustively included as a part of corruption</t>
  </si>
  <si>
    <t xml:space="preserve">Art. 322ter Swiss Criminal Code
Art. 322quater Swiss Criminal Code
Art. 322quinquies Swiss Criminal Code
Art. 322sexies Swiss Criminal Code
Art. 322septies Swiss Criminal Code
Art. 322octies Swiss Criminal Code
Art. 322novies Swiss Criminal Code
</t>
  </si>
  <si>
    <t>We have excluded Embezzlement, as it corresponds to offenses other than those that Swiss law calls "corruption".</t>
  </si>
  <si>
    <t>We have excluded Abuse of functions, as it corresponds to offenses other than those that Swiss law calls "corruption".</t>
  </si>
  <si>
    <t>We have excluded Trading in influence, as it corresponds to offenses other than those that Swiss law calls "corruption".</t>
  </si>
  <si>
    <t>We have excluded Illicit enrichment, as it corresponds to offenses other than those that Swiss law calls "corruption".</t>
  </si>
  <si>
    <t>Article 357 and 358 of Criminal code</t>
  </si>
  <si>
    <t xml:space="preserve"> Table of Contents</t>
  </si>
  <si>
    <t>15.1 Int Hom incl'</t>
  </si>
  <si>
    <t>15.1 Int Hom incl comments'</t>
  </si>
  <si>
    <t>15.1 Int Hom excl'</t>
  </si>
  <si>
    <t>15.1 Int Hom excl comments'</t>
  </si>
  <si>
    <t>15.1 Serious assault'</t>
  </si>
  <si>
    <t>15.1 Serious assault comments'</t>
  </si>
  <si>
    <t>15.1 Kidnapping'</t>
  </si>
  <si>
    <t>15.1 Kidnapping comments'</t>
  </si>
  <si>
    <t>15.1 Sexual violence'</t>
  </si>
  <si>
    <t>15.1 Sexual violence comments'</t>
  </si>
  <si>
    <t>15.1 Rape'</t>
  </si>
  <si>
    <t>15.1 Rape comments'</t>
  </si>
  <si>
    <t>15.1 Sexual assault'</t>
  </si>
  <si>
    <t>15.1 Sexual assault comments'</t>
  </si>
  <si>
    <t>15.1 Sexual exploitation'</t>
  </si>
  <si>
    <t>15.1 Sexual exploitation commen'</t>
  </si>
  <si>
    <t>15.1 Robbery'</t>
  </si>
  <si>
    <t>15.1 Robbery comments'</t>
  </si>
  <si>
    <t>15.1 Theft'</t>
  </si>
  <si>
    <t>15.1 Theft  comments'</t>
  </si>
  <si>
    <t>15.1 Fraud'</t>
  </si>
  <si>
    <t>15.1 Fraud comments'</t>
  </si>
  <si>
    <t>15.1 Corruption'</t>
  </si>
  <si>
    <t>15.1 Corruption comments'!A1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</si>
</sst>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indexed="8"/>
      <name val="Calibri"/>
      <family val="2"/>
      <scheme val="minor"/>
    </font>
    <font>
      <sz val="11"/>
      <color indexed="8"/>
      <name val="Calibri"/>
      <family val="2"/>
      <scheme val="minor"/>
    </font>
    <font>
      <b/>
      <sz val="10"/>
      <color indexed="8"/>
      <name val="Arial"/>
      <family val="2"/>
    </font>
    <font>
      <sz val="10"/>
      <color indexed="8"/>
      <name val="Arial"/>
      <family val="2"/>
    </font>
    <font>
      <b/>
      <sz val="24"/>
      <color theme="1"/>
      <name val="Arial"/>
      <family val="2"/>
    </font>
    <font>
      <b/>
      <sz val="10"/>
      <color rgb="FFFF0000"/>
      <name val="Arial"/>
      <family val="2"/>
    </font>
    <font>
      <b/>
      <sz val="12"/>
      <color indexed="8"/>
      <name val="Arial"/>
      <family val="2"/>
    </font>
    <font>
      <b/>
      <sz val="12"/>
      <color theme="1"/>
      <name val="Arial"/>
      <family val="2"/>
    </font>
    <font>
      <b/>
      <sz val="11"/>
      <color rgb="FFFF0000"/>
      <name val="Arial"/>
      <family val="2"/>
    </font>
    <font>
      <b/>
      <sz val="11"/>
      <color indexed="8"/>
      <name val="Arial"/>
      <family val="2"/>
    </font>
    <font>
      <sz val="9"/>
      <name val="Arial"/>
      <family val="2"/>
    </font>
    <font>
      <b/>
      <sz val="12"/>
      <color rgb="FFFF0000"/>
      <name val="Arial"/>
      <family val="2"/>
    </font>
    <font>
      <sz val="9"/>
      <color theme="1"/>
      <name val="Arial"/>
      <family val="2"/>
    </font>
    <font>
      <sz val="10"/>
      <color theme="1"/>
      <name val="Arial"/>
      <family val="2"/>
    </font>
    <font>
      <i/>
      <sz val="10"/>
      <color theme="1"/>
      <name val="Arial"/>
      <family val="2"/>
    </font>
    <font>
      <b/>
      <sz val="12"/>
      <name val="Arial"/>
      <family val="2"/>
    </font>
    <font>
      <b/>
      <i/>
      <sz val="12"/>
      <color theme="1"/>
      <name val="Arial"/>
      <family val="2"/>
    </font>
    <font>
      <sz val="8"/>
      <color indexed="8"/>
      <name val="Arial"/>
      <family val="2"/>
    </font>
    <font>
      <i/>
      <sz val="8"/>
      <color theme="1"/>
      <name val="Arial"/>
      <family val="2"/>
    </font>
    <font>
      <b/>
      <sz val="22"/>
      <color theme="1"/>
      <name val="Arial"/>
      <family val="2"/>
    </font>
    <font>
      <b/>
      <sz val="11"/>
      <color theme="1"/>
      <name val="Arial"/>
      <family val="2"/>
    </font>
    <font>
      <b/>
      <sz val="11"/>
      <name val="Arial"/>
      <family val="2"/>
    </font>
    <font>
      <b/>
      <i/>
      <sz val="11"/>
      <color theme="1"/>
      <name val="Arial"/>
      <family val="2"/>
    </font>
    <font>
      <b/>
      <sz val="22"/>
      <color indexed="8"/>
      <name val="Arial"/>
      <family val="2"/>
    </font>
    <font>
      <b/>
      <sz val="10"/>
      <color theme="1"/>
      <name val="Arial"/>
      <family val="2"/>
    </font>
    <font>
      <i/>
      <sz val="10"/>
      <color rgb="FF000000"/>
      <name val="Arial"/>
      <family val="2"/>
    </font>
    <font>
      <i/>
      <sz val="10"/>
      <color indexed="8"/>
      <name val="Arial"/>
      <family val="2"/>
    </font>
    <font>
      <b/>
      <sz val="16"/>
      <color indexed="8"/>
      <name val="Arial"/>
      <family val="2"/>
    </font>
    <font>
      <b/>
      <sz val="20"/>
      <color indexed="8"/>
      <name val="Arial"/>
      <family val="2"/>
    </font>
    <font>
      <b/>
      <sz val="18"/>
      <color indexed="8"/>
      <name val="Arial"/>
      <family val="2"/>
    </font>
    <font>
      <u/>
      <sz val="11"/>
      <color theme="10"/>
      <name val="Calibri"/>
      <family val="2"/>
      <scheme val="minor"/>
    </font>
    <font>
      <b/>
      <sz val="18"/>
      <color indexed="8"/>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
      <patternFill patternType="solid">
        <fgColor theme="0"/>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top/>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s>
  <cellStyleXfs count="3">
    <xf numFmtId="0" fontId="0" fillId="0" borderId="0"/>
    <xf numFmtId="9" fontId="1" fillId="0" borderId="0" applyFont="0" applyFill="0" applyBorder="0" applyAlignment="0" applyProtection="0"/>
    <xf numFmtId="0" fontId="30" fillId="0" borderId="0" applyNumberFormat="0" applyFill="0" applyBorder="0" applyAlignment="0" applyProtection="0"/>
  </cellStyleXfs>
  <cellXfs count="175">
    <xf numFmtId="0" fontId="0" fillId="0" borderId="0" xfId="0"/>
    <xf numFmtId="0" fontId="2" fillId="0" borderId="0" xfId="0" applyFont="1"/>
    <xf numFmtId="0" fontId="3" fillId="0" borderId="0" xfId="0" applyFont="1"/>
    <xf numFmtId="0" fontId="5" fillId="0" borderId="0" xfId="0" applyFont="1"/>
    <xf numFmtId="0" fontId="3" fillId="0" borderId="0" xfId="0" applyFont="1" applyAlignment="1">
      <alignment wrapText="1"/>
    </xf>
    <xf numFmtId="0" fontId="6"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6" fillId="2" borderId="3" xfId="0" applyFont="1" applyFill="1" applyBorder="1" applyAlignment="1">
      <alignment vertical="center" wrapText="1"/>
    </xf>
    <xf numFmtId="0" fontId="10" fillId="0" borderId="2" xfId="0" applyFont="1" applyBorder="1" applyAlignment="1">
      <alignment wrapText="1"/>
    </xf>
    <xf numFmtId="0" fontId="6" fillId="2" borderId="4" xfId="0" applyFont="1" applyFill="1" applyBorder="1" applyAlignment="1">
      <alignment vertical="center" wrapText="1"/>
    </xf>
    <xf numFmtId="0" fontId="11" fillId="0" borderId="0" xfId="0" applyFont="1" applyAlignment="1">
      <alignment wrapText="1"/>
    </xf>
    <xf numFmtId="0" fontId="12" fillId="0" borderId="2" xfId="0" applyFont="1" applyBorder="1" applyAlignment="1">
      <alignment wrapText="1"/>
    </xf>
    <xf numFmtId="0" fontId="6" fillId="2" borderId="5" xfId="0" applyFont="1" applyFill="1" applyBorder="1" applyAlignment="1">
      <alignment vertical="center" wrapText="1"/>
    </xf>
    <xf numFmtId="1" fontId="13" fillId="0" borderId="2" xfId="1" applyNumberFormat="1" applyFont="1" applyBorder="1" applyAlignment="1">
      <alignment wrapText="1"/>
    </xf>
    <xf numFmtId="0" fontId="5" fillId="0" borderId="0" xfId="0" applyFont="1" applyAlignment="1">
      <alignment wrapText="1"/>
    </xf>
    <xf numFmtId="9" fontId="13" fillId="0" borderId="2" xfId="1" applyFont="1" applyBorder="1" applyAlignment="1">
      <alignment wrapText="1"/>
    </xf>
    <xf numFmtId="0" fontId="7" fillId="3" borderId="0" xfId="0" applyFont="1" applyFill="1" applyAlignment="1">
      <alignment wrapText="1"/>
    </xf>
    <xf numFmtId="0" fontId="15" fillId="4" borderId="0" xfId="0" applyFont="1" applyFill="1" applyAlignment="1">
      <alignment wrapText="1"/>
    </xf>
    <xf numFmtId="0" fontId="16" fillId="0" borderId="0" xfId="0" applyFont="1" applyAlignment="1">
      <alignment horizontal="left"/>
    </xf>
    <xf numFmtId="0" fontId="14" fillId="0" borderId="0" xfId="0" applyFont="1" applyAlignment="1">
      <alignment horizontal="left"/>
    </xf>
    <xf numFmtId="0" fontId="7" fillId="5" borderId="0" xfId="0" applyFont="1" applyFill="1" applyAlignment="1">
      <alignment wrapText="1"/>
    </xf>
    <xf numFmtId="0" fontId="6" fillId="0" borderId="0" xfId="0" applyFont="1" applyAlignment="1">
      <alignment wrapText="1"/>
    </xf>
    <xf numFmtId="0" fontId="6" fillId="0" borderId="2" xfId="0" applyFont="1" applyBorder="1" applyAlignment="1">
      <alignment horizontal="center" vertical="center" wrapText="1"/>
    </xf>
    <xf numFmtId="0" fontId="17" fillId="0" borderId="2" xfId="0" applyFont="1" applyBorder="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17" fillId="0" borderId="0" xfId="0" applyFont="1" applyAlignment="1">
      <alignment horizontal="center" wrapText="1"/>
    </xf>
    <xf numFmtId="0" fontId="3" fillId="0" borderId="0" xfId="0" applyFont="1" applyAlignment="1">
      <alignment horizontal="center" wrapText="1"/>
    </xf>
    <xf numFmtId="0" fontId="9" fillId="2" borderId="2" xfId="0" applyFont="1" applyFill="1" applyBorder="1" applyAlignment="1">
      <alignment horizontal="center" vertical="center" wrapText="1"/>
    </xf>
    <xf numFmtId="0" fontId="20" fillId="0" borderId="2" xfId="0" applyFont="1" applyBorder="1" applyAlignment="1">
      <alignment horizontal="center" wrapText="1"/>
    </xf>
    <xf numFmtId="0" fontId="2" fillId="0" borderId="0" xfId="0" applyFont="1" applyAlignment="1">
      <alignment wrapText="1"/>
    </xf>
    <xf numFmtId="0" fontId="10" fillId="0" borderId="2" xfId="0" applyFont="1" applyBorder="1" applyAlignment="1">
      <alignment horizontal="center" wrapText="1"/>
    </xf>
    <xf numFmtId="0" fontId="10" fillId="3" borderId="2" xfId="0" applyFont="1" applyFill="1" applyBorder="1" applyAlignment="1">
      <alignment horizontal="center" wrapText="1"/>
    </xf>
    <xf numFmtId="0" fontId="10" fillId="4" borderId="2" xfId="0" applyFont="1" applyFill="1" applyBorder="1" applyAlignment="1">
      <alignment horizontal="center" wrapText="1"/>
    </xf>
    <xf numFmtId="9" fontId="13" fillId="0" borderId="2" xfId="1" applyFont="1" applyBorder="1" applyAlignment="1">
      <alignment horizontal="center" wrapText="1"/>
    </xf>
    <xf numFmtId="0" fontId="20" fillId="3" borderId="0" xfId="0" applyFont="1" applyFill="1" applyAlignment="1">
      <alignment horizontal="center"/>
    </xf>
    <xf numFmtId="0" fontId="21" fillId="4" borderId="0" xfId="0" applyFont="1" applyFill="1" applyAlignment="1">
      <alignment horizontal="center" wrapText="1"/>
    </xf>
    <xf numFmtId="0" fontId="22" fillId="0" borderId="0" xfId="0" applyFont="1" applyAlignment="1">
      <alignment horizontal="center"/>
    </xf>
    <xf numFmtId="0" fontId="14" fillId="0" borderId="0" xfId="0" applyFont="1" applyAlignment="1">
      <alignment horizontal="center"/>
    </xf>
    <xf numFmtId="0" fontId="20" fillId="5" borderId="0" xfId="0" applyFont="1" applyFill="1" applyAlignment="1">
      <alignment horizontal="center"/>
    </xf>
    <xf numFmtId="0" fontId="9" fillId="0" borderId="0" xfId="0" applyFont="1" applyAlignment="1">
      <alignment horizontal="center"/>
    </xf>
    <xf numFmtId="0" fontId="9" fillId="0" borderId="2" xfId="0" applyFont="1" applyBorder="1" applyAlignment="1">
      <alignment horizontal="center" wrapText="1"/>
    </xf>
    <xf numFmtId="0" fontId="9" fillId="0" borderId="0" xfId="0" applyFont="1" applyAlignment="1">
      <alignment horizontal="center" wrapText="1"/>
    </xf>
    <xf numFmtId="0" fontId="6" fillId="2" borderId="2" xfId="0" applyFont="1" applyFill="1" applyBorder="1" applyAlignment="1">
      <alignment vertical="center" wrapText="1"/>
    </xf>
    <xf numFmtId="0" fontId="17" fillId="0" borderId="2" xfId="0" applyFont="1" applyBorder="1" applyAlignment="1">
      <alignment horizontal="center"/>
    </xf>
    <xf numFmtId="0" fontId="6" fillId="0" borderId="0" xfId="0" applyFont="1"/>
    <xf numFmtId="0" fontId="17" fillId="0" borderId="0" xfId="0" applyFont="1"/>
    <xf numFmtId="0" fontId="17" fillId="0" borderId="0" xfId="0" applyFont="1" applyAlignment="1">
      <alignment wrapText="1"/>
    </xf>
    <xf numFmtId="0" fontId="2" fillId="2" borderId="5" xfId="0" applyFont="1" applyFill="1" applyBorder="1" applyAlignment="1">
      <alignment horizontal="center" vertical="center" wrapText="1"/>
    </xf>
    <xf numFmtId="0" fontId="2" fillId="2" borderId="4" xfId="0" applyFont="1" applyFill="1" applyBorder="1" applyAlignment="1">
      <alignment vertical="center" wrapText="1"/>
    </xf>
    <xf numFmtId="0" fontId="17" fillId="2" borderId="4"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3" fillId="0" borderId="2" xfId="0" applyFont="1" applyBorder="1" applyAlignment="1">
      <alignment wrapText="1"/>
    </xf>
    <xf numFmtId="0" fontId="13" fillId="3" borderId="0" xfId="0" applyFont="1" applyFill="1"/>
    <xf numFmtId="0" fontId="10" fillId="4" borderId="0" xfId="0" applyFont="1" applyFill="1" applyAlignment="1">
      <alignment wrapText="1"/>
    </xf>
    <xf numFmtId="0" fontId="13" fillId="5" borderId="0" xfId="0" applyFont="1" applyFill="1"/>
    <xf numFmtId="0" fontId="14" fillId="0" borderId="0" xfId="0" applyFont="1"/>
    <xf numFmtId="0" fontId="2" fillId="2" borderId="5" xfId="0" applyFont="1" applyFill="1" applyBorder="1" applyAlignment="1">
      <alignment vertical="center" wrapText="1"/>
    </xf>
    <xf numFmtId="0" fontId="26" fillId="2" borderId="4" xfId="0" applyFont="1" applyFill="1" applyBorder="1" applyAlignment="1">
      <alignment horizontal="center" vertical="center" wrapText="1"/>
    </xf>
    <xf numFmtId="0" fontId="26" fillId="2" borderId="4" xfId="0" applyFont="1" applyFill="1" applyBorder="1" applyAlignment="1">
      <alignment horizontal="justify" vertical="center" wrapText="1"/>
    </xf>
    <xf numFmtId="0" fontId="26" fillId="0" borderId="4" xfId="0" applyFont="1" applyBorder="1" applyAlignment="1">
      <alignment horizontal="justify" vertical="center" wrapText="1"/>
    </xf>
    <xf numFmtId="0" fontId="3" fillId="2" borderId="4" xfId="0" applyFont="1" applyFill="1" applyBorder="1" applyAlignment="1">
      <alignment horizontal="center" vertical="center" wrapText="1"/>
    </xf>
    <xf numFmtId="0" fontId="26"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xf>
    <xf numFmtId="0" fontId="26" fillId="0" borderId="4" xfId="0" applyFont="1" applyBorder="1" applyAlignment="1">
      <alignment vertical="center" wrapText="1"/>
    </xf>
    <xf numFmtId="0" fontId="2" fillId="2" borderId="4"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7" fillId="0" borderId="4" xfId="0" applyFont="1" applyBorder="1" applyAlignment="1">
      <alignment horizontal="center" vertical="center" wrapText="1"/>
    </xf>
    <xf numFmtId="0" fontId="13" fillId="0" borderId="2" xfId="0" applyFont="1" applyBorder="1"/>
    <xf numFmtId="0" fontId="13" fillId="0" borderId="15" xfId="0" applyFont="1" applyBorder="1"/>
    <xf numFmtId="0" fontId="3" fillId="0" borderId="16" xfId="0" applyFont="1" applyBorder="1" applyAlignment="1">
      <alignment wrapText="1"/>
    </xf>
    <xf numFmtId="9" fontId="13" fillId="0" borderId="2" xfId="1" applyFont="1" applyBorder="1"/>
    <xf numFmtId="9" fontId="13" fillId="0" borderId="15" xfId="1" applyFont="1" applyBorder="1"/>
    <xf numFmtId="0" fontId="2" fillId="2" borderId="2" xfId="0" applyFont="1" applyFill="1" applyBorder="1" applyAlignment="1">
      <alignment horizontal="center" vertical="center" wrapText="1"/>
    </xf>
    <xf numFmtId="0" fontId="3" fillId="0" borderId="2" xfId="0" applyFont="1" applyBorder="1" applyAlignment="1">
      <alignment horizontal="center" wrapText="1"/>
    </xf>
    <xf numFmtId="0" fontId="2" fillId="2" borderId="0" xfId="0" applyFont="1" applyFill="1" applyAlignment="1">
      <alignment horizontal="center" vertical="center" wrapText="1"/>
    </xf>
    <xf numFmtId="0" fontId="26" fillId="2" borderId="0" xfId="0" applyFont="1" applyFill="1" applyAlignment="1">
      <alignment horizontal="center" vertical="center" wrapText="1"/>
    </xf>
    <xf numFmtId="0" fontId="26" fillId="0" borderId="0" xfId="0" applyFont="1" applyAlignment="1">
      <alignment horizontal="justify" vertical="center" wrapText="1"/>
    </xf>
    <xf numFmtId="0" fontId="3" fillId="2" borderId="0" xfId="0" applyFont="1" applyFill="1" applyAlignment="1">
      <alignment horizontal="justify" vertical="center" wrapText="1"/>
    </xf>
    <xf numFmtId="0" fontId="26" fillId="0" borderId="0" xfId="0" applyFont="1" applyAlignment="1">
      <alignment horizontal="center" vertical="center" wrapText="1"/>
    </xf>
    <xf numFmtId="0" fontId="26" fillId="2" borderId="0" xfId="0" applyFont="1" applyFill="1" applyAlignment="1">
      <alignment horizontal="justify" vertical="center" wrapText="1"/>
    </xf>
    <xf numFmtId="0" fontId="2" fillId="2" borderId="2" xfId="0" applyFont="1" applyFill="1" applyBorder="1" applyAlignment="1">
      <alignment vertical="center" wrapText="1"/>
    </xf>
    <xf numFmtId="0" fontId="3" fillId="2" borderId="14" xfId="0" applyFont="1" applyFill="1" applyBorder="1" applyAlignment="1">
      <alignment horizontal="center" vertical="center" wrapText="1"/>
    </xf>
    <xf numFmtId="0" fontId="25" fillId="0" borderId="0" xfId="0" applyFont="1" applyAlignment="1">
      <alignment horizontal="left" vertical="center"/>
    </xf>
    <xf numFmtId="0" fontId="3" fillId="0" borderId="0" xfId="0" applyFont="1" applyAlignment="1">
      <alignment horizontal="left"/>
    </xf>
    <xf numFmtId="0" fontId="25" fillId="0" borderId="0" xfId="0" applyFont="1" applyAlignment="1">
      <alignment vertical="center"/>
    </xf>
    <xf numFmtId="0" fontId="2" fillId="2" borderId="3" xfId="0" applyFont="1" applyFill="1" applyBorder="1" applyAlignment="1">
      <alignment vertical="center" wrapText="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25" fillId="0" borderId="2" xfId="0" applyFont="1" applyBorder="1" applyAlignment="1">
      <alignment horizontal="center" vertical="center"/>
    </xf>
    <xf numFmtId="0" fontId="3" fillId="2" borderId="5" xfId="0" applyFont="1" applyFill="1" applyBorder="1" applyAlignment="1">
      <alignment horizontal="center" vertical="center" wrapText="1"/>
    </xf>
    <xf numFmtId="0" fontId="2" fillId="2" borderId="12" xfId="0" applyFont="1" applyFill="1" applyBorder="1" applyAlignment="1">
      <alignment vertical="center" wrapText="1"/>
    </xf>
    <xf numFmtId="0" fontId="3" fillId="2" borderId="3" xfId="0" applyFont="1" applyFill="1" applyBorder="1" applyAlignment="1">
      <alignment horizontal="center" vertical="center" wrapText="1"/>
    </xf>
    <xf numFmtId="1" fontId="26" fillId="2" borderId="4" xfId="1" applyNumberFormat="1" applyFont="1" applyFill="1" applyBorder="1" applyAlignment="1">
      <alignment horizontal="center" vertical="center" wrapText="1"/>
    </xf>
    <xf numFmtId="1" fontId="26" fillId="0" borderId="4" xfId="1" applyNumberFormat="1" applyFont="1" applyFill="1" applyBorder="1" applyAlignment="1">
      <alignment horizontal="center" vertical="center" wrapText="1"/>
    </xf>
    <xf numFmtId="1" fontId="3" fillId="2" borderId="4" xfId="1" applyNumberFormat="1" applyFont="1" applyFill="1" applyBorder="1" applyAlignment="1">
      <alignment horizontal="center" vertical="center" wrapText="1"/>
    </xf>
    <xf numFmtId="1" fontId="26" fillId="2" borderId="5" xfId="1" applyNumberFormat="1" applyFont="1" applyFill="1" applyBorder="1" applyAlignment="1">
      <alignment horizontal="center" vertical="center" wrapText="1"/>
    </xf>
    <xf numFmtId="1" fontId="26" fillId="2" borderId="2" xfId="1" applyNumberFormat="1" applyFont="1" applyFill="1" applyBorder="1" applyAlignment="1">
      <alignment horizontal="center" vertical="center" wrapText="1"/>
    </xf>
    <xf numFmtId="1" fontId="3" fillId="2" borderId="2" xfId="1" applyNumberFormat="1"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6" fillId="0" borderId="1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20" xfId="0" applyFont="1" applyBorder="1" applyAlignment="1">
      <alignment horizontal="center" vertical="center" wrapText="1"/>
    </xf>
    <xf numFmtId="0" fontId="3" fillId="0" borderId="2" xfId="0" applyFont="1" applyBorder="1" applyAlignment="1">
      <alignment vertical="center" wrapText="1"/>
    </xf>
    <xf numFmtId="0" fontId="2" fillId="2" borderId="20" xfId="0" applyFont="1" applyFill="1" applyBorder="1" applyAlignment="1">
      <alignment vertical="center" wrapText="1"/>
    </xf>
    <xf numFmtId="0" fontId="31" fillId="6" borderId="0" xfId="0" applyFont="1" applyFill="1"/>
    <xf numFmtId="0" fontId="30" fillId="0" borderId="0" xfId="2" quotePrefix="1"/>
    <xf numFmtId="0" fontId="30" fillId="7" borderId="0" xfId="2" quotePrefix="1" applyFill="1"/>
    <xf numFmtId="0" fontId="4" fillId="0" borderId="1" xfId="0" applyFont="1" applyBorder="1" applyAlignment="1">
      <alignment horizontal="center" wrapText="1"/>
    </xf>
    <xf numFmtId="0" fontId="7" fillId="0" borderId="2" xfId="0" applyFont="1" applyBorder="1" applyAlignment="1">
      <alignment horizontal="center" wrapText="1"/>
    </xf>
    <xf numFmtId="9" fontId="7" fillId="0" borderId="2" xfId="1" applyFont="1" applyFill="1" applyBorder="1" applyAlignment="1">
      <alignment horizontal="center" wrapText="1"/>
    </xf>
    <xf numFmtId="0" fontId="14" fillId="0" borderId="6" xfId="0" applyFont="1" applyBorder="1" applyAlignment="1">
      <alignment horizontal="left" wrapText="1"/>
    </xf>
    <xf numFmtId="0" fontId="14" fillId="0" borderId="0" xfId="0" applyFont="1" applyAlignment="1">
      <alignment horizontal="left"/>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8" fillId="0" borderId="6" xfId="0" applyFont="1" applyBorder="1" applyAlignment="1">
      <alignment horizontal="center" wrapText="1"/>
    </xf>
    <xf numFmtId="0" fontId="17" fillId="0" borderId="9" xfId="0" applyFont="1" applyBorder="1" applyAlignment="1">
      <alignment horizontal="center" vertical="center" wrapText="1"/>
    </xf>
    <xf numFmtId="0" fontId="19" fillId="0" borderId="7" xfId="0" applyFont="1" applyBorder="1" applyAlignment="1">
      <alignment horizontal="center"/>
    </xf>
    <xf numFmtId="0" fontId="19" fillId="0" borderId="9" xfId="0" applyFont="1" applyBorder="1" applyAlignment="1">
      <alignment horizontal="center"/>
    </xf>
    <xf numFmtId="0" fontId="19" fillId="0" borderId="8" xfId="0" applyFont="1" applyBorder="1" applyAlignment="1">
      <alignment horizontal="center"/>
    </xf>
    <xf numFmtId="0" fontId="20" fillId="0" borderId="7" xfId="0" applyFont="1" applyBorder="1" applyAlignment="1">
      <alignment horizontal="center" wrapText="1"/>
    </xf>
    <xf numFmtId="0" fontId="20" fillId="0" borderId="8" xfId="0" applyFont="1" applyBorder="1" applyAlignment="1">
      <alignment horizontal="center" wrapText="1"/>
    </xf>
    <xf numFmtId="9" fontId="20" fillId="0" borderId="7" xfId="1" applyFont="1" applyFill="1" applyBorder="1" applyAlignment="1">
      <alignment horizontal="center" wrapText="1"/>
    </xf>
    <xf numFmtId="9" fontId="20" fillId="0" borderId="8" xfId="1" applyFont="1" applyFill="1" applyBorder="1" applyAlignment="1">
      <alignment horizontal="center" wrapText="1"/>
    </xf>
    <xf numFmtId="0" fontId="14" fillId="0" borderId="6" xfId="0" applyFont="1" applyBorder="1" applyAlignment="1">
      <alignment horizontal="center" wrapText="1"/>
    </xf>
    <xf numFmtId="0" fontId="14" fillId="0" borderId="0" xfId="0" applyFont="1" applyAlignment="1">
      <alignment horizontal="center"/>
    </xf>
    <xf numFmtId="0" fontId="17" fillId="0" borderId="7" xfId="0" applyFont="1" applyBorder="1" applyAlignment="1">
      <alignment horizontal="center" wrapText="1"/>
    </xf>
    <xf numFmtId="0" fontId="17" fillId="0" borderId="8" xfId="0" applyFont="1" applyBorder="1" applyAlignment="1">
      <alignment horizontal="center" wrapText="1"/>
    </xf>
    <xf numFmtId="0" fontId="18" fillId="0" borderId="6" xfId="0" applyFont="1" applyBorder="1" applyAlignment="1">
      <alignment horizontal="left" wrapText="1"/>
    </xf>
    <xf numFmtId="0" fontId="17" fillId="0" borderId="7" xfId="0" applyFont="1" applyBorder="1" applyAlignment="1">
      <alignment horizontal="center" vertical="top" wrapText="1"/>
    </xf>
    <xf numFmtId="0" fontId="17" fillId="0" borderId="8" xfId="0" applyFont="1" applyBorder="1" applyAlignment="1">
      <alignment horizontal="center" vertical="top" wrapText="1"/>
    </xf>
    <xf numFmtId="0" fontId="23" fillId="0" borderId="10" xfId="0" applyFont="1" applyBorder="1" applyAlignment="1">
      <alignment horizontal="center"/>
    </xf>
    <xf numFmtId="0" fontId="24" fillId="0" borderId="2" xfId="0" applyFont="1" applyBorder="1" applyAlignment="1">
      <alignment horizontal="center" wrapText="1"/>
    </xf>
    <xf numFmtId="9" fontId="24" fillId="0" borderId="2" xfId="1" applyFont="1" applyFill="1" applyBorder="1" applyAlignment="1">
      <alignment horizontal="center" wrapText="1"/>
    </xf>
    <xf numFmtId="0" fontId="25" fillId="0" borderId="11" xfId="0" applyFont="1" applyBorder="1" applyAlignment="1">
      <alignment horizontal="left" vertical="center" wrapText="1"/>
    </xf>
    <xf numFmtId="0" fontId="25" fillId="0" borderId="0" xfId="0" applyFont="1" applyAlignment="1">
      <alignment horizontal="left" vertical="center" wrapText="1"/>
    </xf>
    <xf numFmtId="0" fontId="14" fillId="0" borderId="0" xfId="0" applyFont="1" applyAlignment="1">
      <alignment horizontal="left" wrapText="1"/>
    </xf>
    <xf numFmtId="0" fontId="27" fillId="0" borderId="10" xfId="0" applyFont="1" applyBorder="1" applyAlignment="1">
      <alignment horizontal="center"/>
    </xf>
    <xf numFmtId="0" fontId="26" fillId="2" borderId="12" xfId="0" applyFont="1" applyFill="1" applyBorder="1" applyAlignment="1">
      <alignment horizontal="center" vertical="center" wrapText="1"/>
    </xf>
    <xf numFmtId="0" fontId="26" fillId="2" borderId="13" xfId="0" applyFont="1" applyFill="1" applyBorder="1" applyAlignment="1">
      <alignment horizontal="center" vertical="center" wrapText="1"/>
    </xf>
    <xf numFmtId="0" fontId="26" fillId="2" borderId="14" xfId="0" applyFont="1" applyFill="1" applyBorder="1" applyAlignment="1">
      <alignment horizontal="center" vertical="center" wrapText="1"/>
    </xf>
    <xf numFmtId="0" fontId="28" fillId="0" borderId="10" xfId="0" applyFont="1" applyBorder="1" applyAlignment="1">
      <alignment horizontal="center"/>
    </xf>
    <xf numFmtId="0" fontId="25" fillId="0" borderId="6" xfId="0" applyFont="1" applyBorder="1" applyAlignment="1">
      <alignment horizontal="left" vertical="center" wrapText="1"/>
    </xf>
    <xf numFmtId="0" fontId="28" fillId="0" borderId="0" xfId="0" applyFont="1" applyAlignment="1">
      <alignment horizontal="center"/>
    </xf>
    <xf numFmtId="0" fontId="3" fillId="0" borderId="1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28" fillId="0" borderId="10" xfId="0" applyFont="1" applyBorder="1" applyAlignment="1">
      <alignment horizontal="center" vertical="center"/>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4"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8" fillId="0" borderId="1" xfId="0" applyFont="1" applyBorder="1" applyAlignment="1">
      <alignment horizont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0" borderId="9" xfId="0" applyFont="1" applyBorder="1" applyAlignment="1">
      <alignment horizontal="center" vertical="center" wrapText="1"/>
    </xf>
    <xf numFmtId="0" fontId="29" fillId="0" borderId="10" xfId="0" applyFont="1" applyBorder="1" applyAlignment="1">
      <alignment horizontal="center"/>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1" fontId="26" fillId="2" borderId="12" xfId="1" applyNumberFormat="1" applyFont="1" applyFill="1" applyBorder="1" applyAlignment="1">
      <alignment horizontal="center" vertical="center" wrapText="1"/>
    </xf>
    <xf numFmtId="1" fontId="26" fillId="2" borderId="14" xfId="1" applyNumberFormat="1" applyFont="1" applyFill="1" applyBorder="1" applyAlignment="1">
      <alignment horizontal="center" vertical="center" wrapText="1"/>
    </xf>
    <xf numFmtId="1" fontId="26" fillId="2" borderId="18" xfId="1" applyNumberFormat="1" applyFont="1" applyFill="1" applyBorder="1" applyAlignment="1">
      <alignment horizontal="center" vertical="center" wrapText="1"/>
    </xf>
    <xf numFmtId="1" fontId="26" fillId="2" borderId="19" xfId="1" applyNumberFormat="1" applyFont="1" applyFill="1" applyBorder="1" applyAlignment="1">
      <alignment horizontal="center" vertical="center" wrapText="1"/>
    </xf>
    <xf numFmtId="0" fontId="29" fillId="0" borderId="1" xfId="0" applyFont="1" applyBorder="1" applyAlignment="1">
      <alignment horizontal="center"/>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cellXfs>
  <cellStyles count="3">
    <cellStyle name="Hyperlink" xfId="2" builtinId="8"/>
    <cellStyle name="Normal" xfId="0" builtinId="0"/>
    <cellStyle name="Percent" xfId="1" builtinId="5"/>
  </cellStyles>
  <dxfs count="255">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Palette B">
      <a:dk1>
        <a:sysClr val="windowText" lastClr="000000"/>
      </a:dk1>
      <a:lt1>
        <a:sysClr val="window" lastClr="FFFFFF"/>
      </a:lt1>
      <a:dk2>
        <a:srgbClr val="1F497D"/>
      </a:dk2>
      <a:lt2>
        <a:srgbClr val="EEECE1"/>
      </a:lt2>
      <a:accent1>
        <a:srgbClr val="B656BD"/>
      </a:accent1>
      <a:accent2>
        <a:srgbClr val="2644A7"/>
      </a:accent2>
      <a:accent3>
        <a:srgbClr val="B09120"/>
      </a:accent3>
      <a:accent4>
        <a:srgbClr val="672DC4"/>
      </a:accent4>
      <a:accent5>
        <a:srgbClr val="388AE2"/>
      </a:accent5>
      <a:accent6>
        <a:srgbClr val="AF155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ACE2-1116-4FFB-B2BF-DAC945F8A3BD}">
  <sheetPr>
    <tabColor theme="7" tint="-0.249977111117893"/>
  </sheetPr>
  <dimension ref="B2:B26"/>
  <sheetViews>
    <sheetView tabSelected="1" workbookViewId="0">
      <selection activeCell="B2" sqref="B2"/>
    </sheetView>
  </sheetViews>
  <sheetFormatPr defaultRowHeight="15" x14ac:dyDescent="0.25"/>
  <cols>
    <col min="2" max="2" width="30.5703125" bestFit="1" customWidth="1"/>
  </cols>
  <sheetData>
    <row r="2" spans="2:2" ht="23.25" x14ac:dyDescent="0.35">
      <c r="B2" s="112" t="s">
        <v>563</v>
      </c>
    </row>
    <row r="3" spans="2:2" x14ac:dyDescent="0.25">
      <c r="B3" s="114" t="s">
        <v>564</v>
      </c>
    </row>
    <row r="4" spans="2:2" x14ac:dyDescent="0.25">
      <c r="B4" s="114" t="s">
        <v>565</v>
      </c>
    </row>
    <row r="5" spans="2:2" x14ac:dyDescent="0.25">
      <c r="B5" s="114" t="s">
        <v>566</v>
      </c>
    </row>
    <row r="6" spans="2:2" x14ac:dyDescent="0.25">
      <c r="B6" s="114" t="s">
        <v>567</v>
      </c>
    </row>
    <row r="7" spans="2:2" x14ac:dyDescent="0.25">
      <c r="B7" s="114" t="s">
        <v>568</v>
      </c>
    </row>
    <row r="8" spans="2:2" x14ac:dyDescent="0.25">
      <c r="B8" s="113" t="s">
        <v>569</v>
      </c>
    </row>
    <row r="9" spans="2:2" x14ac:dyDescent="0.25">
      <c r="B9" s="113" t="s">
        <v>570</v>
      </c>
    </row>
    <row r="10" spans="2:2" x14ac:dyDescent="0.25">
      <c r="B10" s="113" t="s">
        <v>571</v>
      </c>
    </row>
    <row r="11" spans="2:2" x14ac:dyDescent="0.25">
      <c r="B11" s="113" t="s">
        <v>572</v>
      </c>
    </row>
    <row r="12" spans="2:2" x14ac:dyDescent="0.25">
      <c r="B12" s="113" t="s">
        <v>573</v>
      </c>
    </row>
    <row r="13" spans="2:2" x14ac:dyDescent="0.25">
      <c r="B13" s="113" t="s">
        <v>574</v>
      </c>
    </row>
    <row r="14" spans="2:2" x14ac:dyDescent="0.25">
      <c r="B14" s="113" t="s">
        <v>575</v>
      </c>
    </row>
    <row r="15" spans="2:2" x14ac:dyDescent="0.25">
      <c r="B15" s="113" t="s">
        <v>576</v>
      </c>
    </row>
    <row r="16" spans="2:2" x14ac:dyDescent="0.25">
      <c r="B16" s="113" t="s">
        <v>577</v>
      </c>
    </row>
    <row r="17" spans="2:2" x14ac:dyDescent="0.25">
      <c r="B17" s="113" t="s">
        <v>578</v>
      </c>
    </row>
    <row r="18" spans="2:2" x14ac:dyDescent="0.25">
      <c r="B18" s="113" t="s">
        <v>579</v>
      </c>
    </row>
    <row r="19" spans="2:2" x14ac:dyDescent="0.25">
      <c r="B19" s="113" t="s">
        <v>580</v>
      </c>
    </row>
    <row r="20" spans="2:2" x14ac:dyDescent="0.25">
      <c r="B20" s="113" t="s">
        <v>581</v>
      </c>
    </row>
    <row r="21" spans="2:2" x14ac:dyDescent="0.25">
      <c r="B21" s="113" t="s">
        <v>582</v>
      </c>
    </row>
    <row r="22" spans="2:2" x14ac:dyDescent="0.25">
      <c r="B22" s="113" t="s">
        <v>583</v>
      </c>
    </row>
    <row r="23" spans="2:2" x14ac:dyDescent="0.25">
      <c r="B23" s="113" t="s">
        <v>584</v>
      </c>
    </row>
    <row r="24" spans="2:2" x14ac:dyDescent="0.25">
      <c r="B24" s="113" t="s">
        <v>585</v>
      </c>
    </row>
    <row r="25" spans="2:2" x14ac:dyDescent="0.25">
      <c r="B25" s="113" t="s">
        <v>586</v>
      </c>
    </row>
    <row r="26" spans="2:2" x14ac:dyDescent="0.25">
      <c r="B26" s="113" t="s">
        <v>587</v>
      </c>
    </row>
  </sheetData>
  <hyperlinks>
    <hyperlink ref="B3" location="'15.1 Int Hom incl'!A1" display="'15.1 Int Hom incl'" xr:uid="{E440C077-910D-4ABA-8D22-8C57B629999A}"/>
    <hyperlink ref="B4" location="'15.1 Int Hom incl comments'!A1" display="'15.1 Int Hom incl comments'" xr:uid="{FBB467FF-C1F7-49F4-A72D-7D9FC48278D4}"/>
    <hyperlink ref="B5" location="'15.1 Int Hom excl'!A1" display="'15.1 Int Hom excl'" xr:uid="{3D85EDB9-CF1F-40EC-9D3D-EFABA0223053}"/>
    <hyperlink ref="B6" location="'15.1 Int Hom excl comments'!A1" display="'15.1 Int Hom excl comments'" xr:uid="{5EA4C2CA-F53E-4CD6-9B87-4D19553EEB5C}"/>
    <hyperlink ref="B7" location="'15.1 Serious assault'!A1" display="'15.1 Serious assault'" xr:uid="{BEDFC6A3-D5D0-4C3D-B3B9-9CFB2B04A419}"/>
    <hyperlink ref="B8" location="'15.1 Serious assault comments'!A1" display="'15.1 Serious assault comments'" xr:uid="{513694DF-2BEB-4E68-834F-CD59E3FEA656}"/>
    <hyperlink ref="B9" location="'15.1 Kidnapping'!A1" display="'15.1 Kidnapping'" xr:uid="{BC50B646-B6DB-4BF3-B268-A4234054D749}"/>
    <hyperlink ref="B10" location="'15.1 Kidnapping comments'!A1" display="'15.1 Kidnapping comments'" xr:uid="{022B847F-B6D9-4BE8-81A7-370670E1A363}"/>
    <hyperlink ref="B11" location="'15.1 Sexual violence'!A1" display="'15.1 Sexual violence'" xr:uid="{8CDDD994-C996-4626-846A-08F3E5E145B8}"/>
    <hyperlink ref="B12" location="'15.1 Sexual violence comments'!A1" display="'15.1 Sexual violence comments'" xr:uid="{9069C3F6-6776-420F-A759-036069EC2896}"/>
    <hyperlink ref="B13" location="'15.1 Rape'!A1" display="'15.1 Rape'" xr:uid="{27733556-5935-456F-ABA1-A61535745AAE}"/>
    <hyperlink ref="B14" location="'15.1 Rape comments'!A1" display="'15.1 Rape comments'" xr:uid="{A5E1D462-2545-4603-92F4-5D541F13AD29}"/>
    <hyperlink ref="B15" location="'15.1 Sexual assault'!A1" display="'15.1 Sexual assault'" xr:uid="{A095A163-8DC8-4A29-B089-1F41B982EFFB}"/>
    <hyperlink ref="B16" location="'15.1 Sexual assault comments'!A1" display="'15.1 Sexual assault comments'" xr:uid="{9253D7A6-DE00-40C1-AC04-F656DC6817E1}"/>
    <hyperlink ref="B17" location="'15.1 Sexual exploitation'!A1" display="'15.1 Sexual exploitation'" xr:uid="{8F97A389-1FEC-4CBC-A986-D25780490709}"/>
    <hyperlink ref="B18" location="'15.1 Sexual exploitation commen'!A1" display="'15.1 Sexual exploitation commen'" xr:uid="{59A330DB-C122-495F-8F5D-8692B46DFCB9}"/>
    <hyperlink ref="B19" location="'15.1 Robbery'!A1" display="'15.1 Robbery'" xr:uid="{4E15F136-DD8A-4AD8-8D59-9425C4205C0A}"/>
    <hyperlink ref="B20" location="'15.1 Robbery comments'!A1" display="'15.1 Robbery comments'" xr:uid="{97DC3BC7-7365-414F-A134-689CB126F107}"/>
    <hyperlink ref="B21" location="'15.1 Theft'!A1" display="'15.1 Theft'" xr:uid="{1884E46E-5569-49C6-A42B-4D15FF2D2613}"/>
    <hyperlink ref="B22" location="'15.1 Theft  comments'!A1" display="'15.1 Theft  comments'" xr:uid="{B2BC1BCC-9559-4F65-8C7C-A25090294BBB}"/>
    <hyperlink ref="B23" location="'15.1 Fraud'!A1" display="'15.1 Fraud'" xr:uid="{E916CC9D-8651-4D3F-B358-7E25FD4508C8}"/>
    <hyperlink ref="B24" location="'15.1 Fraud comments'!A1" display="'15.1 Fraud comments'" xr:uid="{323B59A9-934D-4A29-9D17-3E2496891605}"/>
    <hyperlink ref="B25" location="'15.1 Corruption'!A1" display="'15.1 Corruption'" xr:uid="{5F6BC204-B403-497B-B4CF-4F3246E8BEB7}"/>
    <hyperlink ref="B26" location="'15.1 Corruption comments'!A1" display="'15.1 Corruption comments'!A1" xr:uid="{5ACA8402-DC3D-4FCB-83B7-3F438E1D8A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96CF-FFF4-4559-B81E-CDC0652907EB}">
  <sheetPr codeName="Sheet13">
    <tabColor theme="7" tint="-0.249977111117893"/>
  </sheetPr>
  <dimension ref="A1:O46"/>
  <sheetViews>
    <sheetView zoomScale="90" zoomScaleNormal="90" workbookViewId="0">
      <pane xSplit="2" ySplit="2" topLeftCell="C3" activePane="bottomRight" state="frozen"/>
      <selection activeCell="M15" sqref="M15"/>
      <selection pane="topRight" activeCell="M15" sqref="M15"/>
      <selection pane="bottomLeft" activeCell="M15" sqref="M15"/>
      <selection pane="bottomRight" activeCell="D16" sqref="D16"/>
    </sheetView>
  </sheetViews>
  <sheetFormatPr defaultColWidth="17.42578125" defaultRowHeight="28.5" customHeight="1" x14ac:dyDescent="0.25"/>
  <cols>
    <col min="1" max="1" width="8.42578125" style="23" customWidth="1"/>
    <col min="2" max="2" width="18.140625" style="23" customWidth="1"/>
    <col min="3" max="16384" width="17.42578125" style="4"/>
  </cols>
  <sheetData>
    <row r="1" spans="1:15" ht="28.5" customHeight="1" x14ac:dyDescent="0.4">
      <c r="A1" s="115" t="s">
        <v>0</v>
      </c>
      <c r="B1" s="115"/>
      <c r="C1" s="115"/>
      <c r="D1" s="115"/>
      <c r="E1" s="115"/>
      <c r="F1" s="115"/>
      <c r="G1" s="115"/>
      <c r="H1" s="115"/>
      <c r="I1" s="115"/>
      <c r="J1" s="115"/>
      <c r="K1" s="115"/>
      <c r="L1" s="3"/>
    </row>
    <row r="2" spans="1:15" s="8" customFormat="1" ht="108" customHeight="1" x14ac:dyDescent="0.25">
      <c r="A2" s="5" t="s">
        <v>1</v>
      </c>
      <c r="B2" s="5" t="s">
        <v>2</v>
      </c>
      <c r="C2" s="6" t="s">
        <v>3</v>
      </c>
      <c r="D2" s="6" t="s">
        <v>4</v>
      </c>
      <c r="E2" s="6" t="s">
        <v>5</v>
      </c>
      <c r="F2" s="6" t="s">
        <v>6</v>
      </c>
      <c r="G2" s="6" t="s">
        <v>7</v>
      </c>
      <c r="H2" s="6" t="s">
        <v>8</v>
      </c>
      <c r="I2" s="6" t="s">
        <v>9</v>
      </c>
      <c r="J2" s="6" t="s">
        <v>10</v>
      </c>
      <c r="K2" s="6" t="s">
        <v>11</v>
      </c>
      <c r="L2" s="7"/>
    </row>
    <row r="3" spans="1:15" ht="28.5" customHeight="1" x14ac:dyDescent="0.2">
      <c r="A3" s="9" t="s">
        <v>12</v>
      </c>
      <c r="B3" s="9" t="s">
        <v>13</v>
      </c>
      <c r="C3" s="10" t="s">
        <v>14</v>
      </c>
      <c r="D3" s="10" t="s">
        <v>14</v>
      </c>
      <c r="E3" s="10" t="s">
        <v>14</v>
      </c>
      <c r="F3" s="10" t="s">
        <v>14</v>
      </c>
      <c r="G3" s="10" t="s">
        <v>14</v>
      </c>
      <c r="H3" s="10" t="s">
        <v>15</v>
      </c>
      <c r="I3" s="10" t="s">
        <v>14</v>
      </c>
      <c r="J3" s="10" t="s">
        <v>16</v>
      </c>
      <c r="K3" s="10" t="s">
        <v>16</v>
      </c>
    </row>
    <row r="4" spans="1:15" ht="28.5" customHeight="1" x14ac:dyDescent="0.25">
      <c r="A4" s="11" t="s">
        <v>17</v>
      </c>
      <c r="B4" s="11" t="s">
        <v>18</v>
      </c>
      <c r="C4" s="10" t="s">
        <v>19</v>
      </c>
      <c r="D4" s="10" t="s">
        <v>19</v>
      </c>
      <c r="E4" s="10" t="s">
        <v>19</v>
      </c>
      <c r="F4" s="10" t="s">
        <v>19</v>
      </c>
      <c r="G4" s="10" t="s">
        <v>19</v>
      </c>
      <c r="H4" s="10" t="s">
        <v>15</v>
      </c>
      <c r="I4" s="10" t="s">
        <v>15</v>
      </c>
      <c r="J4" s="10" t="s">
        <v>20</v>
      </c>
      <c r="K4" s="10" t="s">
        <v>21</v>
      </c>
      <c r="M4" s="12"/>
      <c r="N4" s="12"/>
      <c r="O4" s="12"/>
    </row>
    <row r="5" spans="1:15" ht="28.5" customHeight="1" x14ac:dyDescent="0.25">
      <c r="A5" s="11" t="s">
        <v>22</v>
      </c>
      <c r="B5" s="11" t="s">
        <v>23</v>
      </c>
      <c r="C5" s="13" t="s">
        <v>14</v>
      </c>
      <c r="D5" s="13" t="s">
        <v>15</v>
      </c>
      <c r="E5" s="13" t="s">
        <v>15</v>
      </c>
      <c r="F5" s="13" t="s">
        <v>14</v>
      </c>
      <c r="G5" s="10" t="s">
        <v>14</v>
      </c>
      <c r="H5" s="10" t="s">
        <v>14</v>
      </c>
      <c r="I5" s="13" t="s">
        <v>24</v>
      </c>
      <c r="J5" s="10" t="s">
        <v>20</v>
      </c>
      <c r="K5" s="10" t="s">
        <v>20</v>
      </c>
      <c r="M5" s="12"/>
      <c r="N5" s="12"/>
      <c r="O5" s="12"/>
    </row>
    <row r="6" spans="1:15" ht="28.5" customHeight="1" x14ac:dyDescent="0.25">
      <c r="A6" s="11" t="s">
        <v>25</v>
      </c>
      <c r="B6" s="11" t="s">
        <v>26</v>
      </c>
      <c r="C6" s="13" t="s">
        <v>14</v>
      </c>
      <c r="D6" s="13" t="s">
        <v>15</v>
      </c>
      <c r="E6" s="13" t="s">
        <v>15</v>
      </c>
      <c r="F6" s="13" t="s">
        <v>14</v>
      </c>
      <c r="G6" s="10" t="s">
        <v>14</v>
      </c>
      <c r="H6" s="10" t="s">
        <v>14</v>
      </c>
      <c r="I6" s="10" t="s">
        <v>14</v>
      </c>
      <c r="J6" s="10" t="s">
        <v>20</v>
      </c>
      <c r="K6" s="10" t="s">
        <v>20</v>
      </c>
      <c r="M6" s="12"/>
      <c r="N6" s="12"/>
      <c r="O6" s="12"/>
    </row>
    <row r="7" spans="1:15" ht="28.5" customHeight="1" x14ac:dyDescent="0.25">
      <c r="A7" s="11" t="s">
        <v>27</v>
      </c>
      <c r="B7" s="11" t="s">
        <v>28</v>
      </c>
      <c r="C7" s="10" t="s">
        <v>14</v>
      </c>
      <c r="D7" s="10" t="s">
        <v>15</v>
      </c>
      <c r="E7" s="10" t="s">
        <v>14</v>
      </c>
      <c r="F7" s="10" t="s">
        <v>14</v>
      </c>
      <c r="G7" s="10" t="s">
        <v>14</v>
      </c>
      <c r="H7" s="10" t="s">
        <v>14</v>
      </c>
      <c r="I7" s="10" t="s">
        <v>14</v>
      </c>
      <c r="J7" s="10" t="s">
        <v>20</v>
      </c>
      <c r="K7" s="10" t="s">
        <v>20</v>
      </c>
      <c r="M7" s="12"/>
      <c r="N7" s="12"/>
      <c r="O7" s="12"/>
    </row>
    <row r="8" spans="1:15" ht="28.5" customHeight="1" x14ac:dyDescent="0.25">
      <c r="A8" s="11" t="s">
        <v>29</v>
      </c>
      <c r="B8" s="11" t="s">
        <v>30</v>
      </c>
      <c r="C8" s="10" t="s">
        <v>14</v>
      </c>
      <c r="D8" s="13" t="s">
        <v>24</v>
      </c>
      <c r="E8" s="10" t="s">
        <v>15</v>
      </c>
      <c r="F8" s="10" t="s">
        <v>14</v>
      </c>
      <c r="G8" s="10" t="s">
        <v>14</v>
      </c>
      <c r="H8" s="10" t="s">
        <v>15</v>
      </c>
      <c r="I8" s="10" t="s">
        <v>14</v>
      </c>
      <c r="J8" s="10" t="s">
        <v>21</v>
      </c>
      <c r="K8" s="10" t="s">
        <v>21</v>
      </c>
      <c r="M8" s="12"/>
      <c r="N8" s="12"/>
      <c r="O8" s="12"/>
    </row>
    <row r="9" spans="1:15" ht="28.5" customHeight="1" x14ac:dyDescent="0.25">
      <c r="A9" s="11" t="s">
        <v>31</v>
      </c>
      <c r="B9" s="11" t="s">
        <v>32</v>
      </c>
      <c r="C9" s="13" t="s">
        <v>14</v>
      </c>
      <c r="D9" s="13" t="s">
        <v>19</v>
      </c>
      <c r="E9" s="13" t="s">
        <v>14</v>
      </c>
      <c r="F9" s="13" t="s">
        <v>14</v>
      </c>
      <c r="G9" s="10" t="s">
        <v>14</v>
      </c>
      <c r="H9" s="10" t="s">
        <v>15</v>
      </c>
      <c r="I9" s="13" t="s">
        <v>24</v>
      </c>
      <c r="J9" s="13" t="s">
        <v>20</v>
      </c>
      <c r="K9" s="13" t="s">
        <v>20</v>
      </c>
      <c r="M9" s="12"/>
      <c r="N9" s="12"/>
      <c r="O9" s="12"/>
    </row>
    <row r="10" spans="1:15" ht="28.5" customHeight="1" x14ac:dyDescent="0.2">
      <c r="A10" s="11" t="s">
        <v>33</v>
      </c>
      <c r="B10" s="11" t="s">
        <v>34</v>
      </c>
      <c r="C10" s="13" t="s">
        <v>14</v>
      </c>
      <c r="D10" s="13" t="s">
        <v>24</v>
      </c>
      <c r="E10" s="13" t="s">
        <v>14</v>
      </c>
      <c r="F10" s="13" t="s">
        <v>14</v>
      </c>
      <c r="G10" s="10" t="s">
        <v>14</v>
      </c>
      <c r="H10" s="10" t="s">
        <v>24</v>
      </c>
      <c r="I10" s="10" t="s">
        <v>15</v>
      </c>
      <c r="J10" s="10" t="s">
        <v>21</v>
      </c>
      <c r="K10" s="10" t="s">
        <v>21</v>
      </c>
    </row>
    <row r="11" spans="1:15" ht="28.5" customHeight="1" x14ac:dyDescent="0.2">
      <c r="A11" s="11" t="s">
        <v>35</v>
      </c>
      <c r="B11" s="11" t="s">
        <v>36</v>
      </c>
      <c r="C11" s="13" t="s">
        <v>15</v>
      </c>
      <c r="D11" s="13" t="s">
        <v>15</v>
      </c>
      <c r="E11" s="13" t="s">
        <v>15</v>
      </c>
      <c r="F11" s="13" t="s">
        <v>15</v>
      </c>
      <c r="G11" s="10" t="s">
        <v>15</v>
      </c>
      <c r="H11" s="10" t="s">
        <v>15</v>
      </c>
      <c r="I11" s="10" t="s">
        <v>15</v>
      </c>
      <c r="J11" s="13" t="s">
        <v>37</v>
      </c>
      <c r="K11" s="10" t="s">
        <v>21</v>
      </c>
    </row>
    <row r="12" spans="1:15" ht="28.5" customHeight="1" x14ac:dyDescent="0.2">
      <c r="A12" s="11" t="s">
        <v>38</v>
      </c>
      <c r="B12" s="11" t="s">
        <v>39</v>
      </c>
      <c r="C12" s="13" t="s">
        <v>14</v>
      </c>
      <c r="D12" s="13" t="s">
        <v>14</v>
      </c>
      <c r="E12" s="13" t="s">
        <v>15</v>
      </c>
      <c r="F12" s="13" t="s">
        <v>14</v>
      </c>
      <c r="G12" s="10" t="s">
        <v>14</v>
      </c>
      <c r="H12" s="10" t="s">
        <v>15</v>
      </c>
      <c r="I12" s="10" t="s">
        <v>15</v>
      </c>
      <c r="J12" s="13" t="s">
        <v>20</v>
      </c>
      <c r="K12" s="13" t="s">
        <v>20</v>
      </c>
    </row>
    <row r="13" spans="1:15" ht="28.5" customHeight="1" x14ac:dyDescent="0.2">
      <c r="A13" s="11" t="s">
        <v>40</v>
      </c>
      <c r="B13" s="11" t="s">
        <v>41</v>
      </c>
      <c r="C13" s="13" t="s">
        <v>19</v>
      </c>
      <c r="D13" s="13" t="s">
        <v>15</v>
      </c>
      <c r="E13" s="13" t="s">
        <v>15</v>
      </c>
      <c r="F13" s="13" t="s">
        <v>19</v>
      </c>
      <c r="G13" s="10" t="s">
        <v>19</v>
      </c>
      <c r="H13" s="10" t="s">
        <v>15</v>
      </c>
      <c r="I13" s="10" t="s">
        <v>15</v>
      </c>
      <c r="J13" s="13" t="s">
        <v>37</v>
      </c>
      <c r="K13" s="10" t="s">
        <v>42</v>
      </c>
    </row>
    <row r="14" spans="1:15" ht="28.5" customHeight="1" x14ac:dyDescent="0.2">
      <c r="A14" s="11" t="s">
        <v>43</v>
      </c>
      <c r="B14" s="11" t="s">
        <v>44</v>
      </c>
      <c r="C14" s="13" t="s">
        <v>19</v>
      </c>
      <c r="D14" s="13" t="s">
        <v>19</v>
      </c>
      <c r="E14" s="13" t="s">
        <v>19</v>
      </c>
      <c r="F14" s="13" t="s">
        <v>19</v>
      </c>
      <c r="G14" s="10" t="s">
        <v>19</v>
      </c>
      <c r="H14" s="10" t="s">
        <v>15</v>
      </c>
      <c r="I14" s="13" t="s">
        <v>24</v>
      </c>
      <c r="J14" s="13" t="s">
        <v>37</v>
      </c>
      <c r="K14" s="10" t="s">
        <v>42</v>
      </c>
    </row>
    <row r="15" spans="1:15" ht="28.5" customHeight="1" x14ac:dyDescent="0.2">
      <c r="A15" s="11" t="s">
        <v>45</v>
      </c>
      <c r="B15" s="11" t="s">
        <v>46</v>
      </c>
      <c r="C15" s="13" t="s">
        <v>15</v>
      </c>
      <c r="D15" s="13" t="s">
        <v>15</v>
      </c>
      <c r="E15" s="13" t="s">
        <v>15</v>
      </c>
      <c r="F15" s="13" t="s">
        <v>15</v>
      </c>
      <c r="G15" s="10" t="s">
        <v>15</v>
      </c>
      <c r="H15" s="10" t="s">
        <v>15</v>
      </c>
      <c r="I15" s="10" t="s">
        <v>15</v>
      </c>
      <c r="J15" s="10" t="s">
        <v>21</v>
      </c>
      <c r="K15" s="10" t="s">
        <v>21</v>
      </c>
    </row>
    <row r="16" spans="1:15" ht="28.5" customHeight="1" x14ac:dyDescent="0.2">
      <c r="A16" s="11" t="s">
        <v>47</v>
      </c>
      <c r="B16" s="11" t="s">
        <v>48</v>
      </c>
      <c r="C16" s="13" t="s">
        <v>19</v>
      </c>
      <c r="D16" s="13" t="s">
        <v>24</v>
      </c>
      <c r="E16" s="13" t="s">
        <v>24</v>
      </c>
      <c r="F16" s="13" t="s">
        <v>19</v>
      </c>
      <c r="G16" s="10" t="s">
        <v>19</v>
      </c>
      <c r="H16" s="10" t="s">
        <v>19</v>
      </c>
      <c r="I16" s="10" t="s">
        <v>19</v>
      </c>
      <c r="J16" s="10" t="s">
        <v>37</v>
      </c>
      <c r="K16" s="10" t="s">
        <v>21</v>
      </c>
    </row>
    <row r="17" spans="1:11" ht="28.5" customHeight="1" x14ac:dyDescent="0.2">
      <c r="A17" s="11" t="s">
        <v>49</v>
      </c>
      <c r="B17" s="11" t="s">
        <v>50</v>
      </c>
      <c r="C17" s="13" t="s">
        <v>14</v>
      </c>
      <c r="D17" s="13" t="s">
        <v>14</v>
      </c>
      <c r="E17" s="13" t="s">
        <v>15</v>
      </c>
      <c r="F17" s="13" t="s">
        <v>14</v>
      </c>
      <c r="G17" s="10" t="s">
        <v>14</v>
      </c>
      <c r="H17" s="10" t="s">
        <v>15</v>
      </c>
      <c r="I17" s="10" t="s">
        <v>14</v>
      </c>
      <c r="J17" s="13" t="s">
        <v>20</v>
      </c>
      <c r="K17" s="10" t="s">
        <v>21</v>
      </c>
    </row>
    <row r="18" spans="1:11" ht="28.5" customHeight="1" x14ac:dyDescent="0.2">
      <c r="A18" s="11" t="s">
        <v>51</v>
      </c>
      <c r="B18" s="11" t="s">
        <v>52</v>
      </c>
      <c r="C18" s="13" t="s">
        <v>14</v>
      </c>
      <c r="D18" s="13" t="s">
        <v>15</v>
      </c>
      <c r="E18" s="13" t="s">
        <v>14</v>
      </c>
      <c r="F18" s="13" t="s">
        <v>14</v>
      </c>
      <c r="G18" s="10" t="s">
        <v>14</v>
      </c>
      <c r="H18" s="10" t="s">
        <v>14</v>
      </c>
      <c r="I18" s="10" t="s">
        <v>15</v>
      </c>
      <c r="J18" s="13" t="s">
        <v>20</v>
      </c>
      <c r="K18" s="13" t="s">
        <v>20</v>
      </c>
    </row>
    <row r="19" spans="1:11" ht="28.5" customHeight="1" x14ac:dyDescent="0.2">
      <c r="A19" s="11" t="s">
        <v>53</v>
      </c>
      <c r="B19" s="11" t="s">
        <v>54</v>
      </c>
      <c r="C19" s="13" t="s">
        <v>19</v>
      </c>
      <c r="D19" s="13" t="s">
        <v>24</v>
      </c>
      <c r="E19" s="13" t="s">
        <v>24</v>
      </c>
      <c r="F19" s="13" t="s">
        <v>19</v>
      </c>
      <c r="G19" s="10" t="s">
        <v>19</v>
      </c>
      <c r="H19" s="10" t="s">
        <v>19</v>
      </c>
      <c r="I19" s="10" t="s">
        <v>15</v>
      </c>
      <c r="J19" s="10" t="s">
        <v>21</v>
      </c>
      <c r="K19" s="10" t="s">
        <v>21</v>
      </c>
    </row>
    <row r="20" spans="1:11" ht="28.5" customHeight="1" x14ac:dyDescent="0.2">
      <c r="A20" s="11" t="s">
        <v>55</v>
      </c>
      <c r="B20" s="11" t="s">
        <v>56</v>
      </c>
      <c r="C20" s="13" t="s">
        <v>14</v>
      </c>
      <c r="D20" s="13" t="s">
        <v>24</v>
      </c>
      <c r="E20" s="13" t="s">
        <v>15</v>
      </c>
      <c r="F20" s="13" t="s">
        <v>14</v>
      </c>
      <c r="G20" s="10" t="s">
        <v>15</v>
      </c>
      <c r="H20" s="10" t="s">
        <v>15</v>
      </c>
      <c r="I20" s="10" t="s">
        <v>14</v>
      </c>
      <c r="J20" s="10" t="s">
        <v>21</v>
      </c>
      <c r="K20" s="10" t="s">
        <v>21</v>
      </c>
    </row>
    <row r="21" spans="1:11" ht="28.5" customHeight="1" x14ac:dyDescent="0.2">
      <c r="A21" s="11" t="s">
        <v>57</v>
      </c>
      <c r="B21" s="11" t="s">
        <v>58</v>
      </c>
      <c r="C21" s="13" t="s">
        <v>19</v>
      </c>
      <c r="D21" s="13" t="s">
        <v>19</v>
      </c>
      <c r="E21" s="13" t="s">
        <v>19</v>
      </c>
      <c r="F21" s="13" t="s">
        <v>19</v>
      </c>
      <c r="G21" s="10" t="s">
        <v>19</v>
      </c>
      <c r="H21" s="10" t="s">
        <v>19</v>
      </c>
      <c r="I21" s="10" t="s">
        <v>19</v>
      </c>
      <c r="J21" s="10" t="s">
        <v>21</v>
      </c>
      <c r="K21" s="13" t="s">
        <v>59</v>
      </c>
    </row>
    <row r="22" spans="1:11" ht="28.5" customHeight="1" x14ac:dyDescent="0.2">
      <c r="A22" s="11" t="s">
        <v>60</v>
      </c>
      <c r="B22" s="11" t="s">
        <v>61</v>
      </c>
      <c r="C22" s="13" t="s">
        <v>19</v>
      </c>
      <c r="D22" s="13" t="s">
        <v>15</v>
      </c>
      <c r="E22" s="13" t="s">
        <v>19</v>
      </c>
      <c r="F22" s="13" t="s">
        <v>19</v>
      </c>
      <c r="G22" s="10" t="s">
        <v>19</v>
      </c>
      <c r="H22" s="10" t="s">
        <v>15</v>
      </c>
      <c r="I22" s="10" t="s">
        <v>15</v>
      </c>
      <c r="J22" s="10" t="s">
        <v>21</v>
      </c>
      <c r="K22" s="10" t="s">
        <v>21</v>
      </c>
    </row>
    <row r="23" spans="1:11" ht="28.5" customHeight="1" x14ac:dyDescent="0.2">
      <c r="A23" s="11" t="s">
        <v>62</v>
      </c>
      <c r="B23" s="11" t="s">
        <v>63</v>
      </c>
      <c r="C23" s="13" t="s">
        <v>19</v>
      </c>
      <c r="D23" s="13" t="s">
        <v>24</v>
      </c>
      <c r="E23" s="13" t="s">
        <v>24</v>
      </c>
      <c r="F23" s="13" t="s">
        <v>19</v>
      </c>
      <c r="G23" s="10" t="s">
        <v>19</v>
      </c>
      <c r="H23" s="10" t="s">
        <v>15</v>
      </c>
      <c r="I23" s="13" t="s">
        <v>24</v>
      </c>
      <c r="J23" s="13" t="s">
        <v>37</v>
      </c>
      <c r="K23" s="13" t="s">
        <v>37</v>
      </c>
    </row>
    <row r="24" spans="1:11" ht="28.5" customHeight="1" x14ac:dyDescent="0.2">
      <c r="A24" s="11" t="s">
        <v>64</v>
      </c>
      <c r="B24" s="11" t="s">
        <v>65</v>
      </c>
      <c r="C24" s="13" t="s">
        <v>15</v>
      </c>
      <c r="D24" s="13" t="s">
        <v>24</v>
      </c>
      <c r="E24" s="13" t="s">
        <v>15</v>
      </c>
      <c r="F24" s="13" t="s">
        <v>14</v>
      </c>
      <c r="G24" s="10" t="s">
        <v>14</v>
      </c>
      <c r="H24" s="10" t="s">
        <v>15</v>
      </c>
      <c r="I24" s="10" t="s">
        <v>15</v>
      </c>
      <c r="J24" s="13" t="s">
        <v>20</v>
      </c>
      <c r="K24" s="13" t="s">
        <v>20</v>
      </c>
    </row>
    <row r="25" spans="1:11" ht="28.5" customHeight="1" x14ac:dyDescent="0.2">
      <c r="A25" s="11" t="s">
        <v>66</v>
      </c>
      <c r="B25" s="11" t="s">
        <v>67</v>
      </c>
      <c r="C25" s="13" t="s">
        <v>14</v>
      </c>
      <c r="D25" s="13" t="s">
        <v>14</v>
      </c>
      <c r="E25" s="13" t="s">
        <v>24</v>
      </c>
      <c r="F25" s="13" t="s">
        <v>14</v>
      </c>
      <c r="G25" s="10" t="s">
        <v>14</v>
      </c>
      <c r="H25" s="10" t="s">
        <v>15</v>
      </c>
      <c r="I25" s="10" t="s">
        <v>15</v>
      </c>
      <c r="J25" s="10" t="s">
        <v>21</v>
      </c>
      <c r="K25" s="13" t="s">
        <v>20</v>
      </c>
    </row>
    <row r="26" spans="1:11" ht="28.5" customHeight="1" x14ac:dyDescent="0.2">
      <c r="A26" s="11" t="s">
        <v>68</v>
      </c>
      <c r="B26" s="11" t="s">
        <v>69</v>
      </c>
      <c r="C26" s="13" t="s">
        <v>19</v>
      </c>
      <c r="D26" s="13" t="s">
        <v>24</v>
      </c>
      <c r="E26" s="13" t="s">
        <v>15</v>
      </c>
      <c r="F26" s="13" t="s">
        <v>19</v>
      </c>
      <c r="G26" s="10" t="s">
        <v>19</v>
      </c>
      <c r="H26" s="10" t="s">
        <v>15</v>
      </c>
      <c r="I26" s="13" t="s">
        <v>24</v>
      </c>
      <c r="J26" s="10" t="s">
        <v>16</v>
      </c>
      <c r="K26" s="10" t="s">
        <v>16</v>
      </c>
    </row>
    <row r="27" spans="1:11" ht="28.5" customHeight="1" x14ac:dyDescent="0.2">
      <c r="A27" s="11" t="s">
        <v>70</v>
      </c>
      <c r="B27" s="11" t="s">
        <v>71</v>
      </c>
      <c r="C27" s="13" t="s">
        <v>19</v>
      </c>
      <c r="D27" s="13" t="s">
        <v>24</v>
      </c>
      <c r="E27" s="13" t="s">
        <v>72</v>
      </c>
      <c r="F27" s="13" t="s">
        <v>19</v>
      </c>
      <c r="G27" s="10" t="s">
        <v>19</v>
      </c>
      <c r="H27" s="13" t="s">
        <v>24</v>
      </c>
      <c r="I27" s="13" t="s">
        <v>24</v>
      </c>
      <c r="J27" s="10" t="s">
        <v>16</v>
      </c>
      <c r="K27" s="13" t="s">
        <v>59</v>
      </c>
    </row>
    <row r="28" spans="1:11" ht="28.5" customHeight="1" x14ac:dyDescent="0.2">
      <c r="A28" s="11" t="s">
        <v>73</v>
      </c>
      <c r="B28" s="11" t="s">
        <v>74</v>
      </c>
      <c r="C28" s="13" t="s">
        <v>14</v>
      </c>
      <c r="D28" s="13" t="s">
        <v>15</v>
      </c>
      <c r="E28" s="13" t="s">
        <v>15</v>
      </c>
      <c r="F28" s="13" t="s">
        <v>14</v>
      </c>
      <c r="G28" s="10" t="s">
        <v>14</v>
      </c>
      <c r="H28" s="10" t="s">
        <v>15</v>
      </c>
      <c r="I28" s="10" t="s">
        <v>15</v>
      </c>
      <c r="J28" s="10" t="s">
        <v>21</v>
      </c>
      <c r="K28" s="10" t="s">
        <v>21</v>
      </c>
    </row>
    <row r="29" spans="1:11" ht="28.5" customHeight="1" x14ac:dyDescent="0.2">
      <c r="A29" s="11" t="s">
        <v>75</v>
      </c>
      <c r="B29" s="11" t="s">
        <v>76</v>
      </c>
      <c r="C29" s="13" t="s">
        <v>19</v>
      </c>
      <c r="D29" s="13" t="s">
        <v>15</v>
      </c>
      <c r="E29" s="13" t="s">
        <v>15</v>
      </c>
      <c r="F29" s="13" t="s">
        <v>19</v>
      </c>
      <c r="G29" s="10" t="s">
        <v>19</v>
      </c>
      <c r="H29" s="10" t="s">
        <v>15</v>
      </c>
      <c r="I29" s="10" t="s">
        <v>19</v>
      </c>
      <c r="J29" s="10" t="s">
        <v>21</v>
      </c>
      <c r="K29" s="10" t="s">
        <v>21</v>
      </c>
    </row>
    <row r="30" spans="1:11" ht="28.5" customHeight="1" x14ac:dyDescent="0.2">
      <c r="A30" s="11" t="s">
        <v>77</v>
      </c>
      <c r="B30" s="11" t="s">
        <v>78</v>
      </c>
      <c r="C30" s="13" t="s">
        <v>19</v>
      </c>
      <c r="D30" s="13" t="s">
        <v>15</v>
      </c>
      <c r="E30" s="13" t="s">
        <v>15</v>
      </c>
      <c r="F30" s="13" t="s">
        <v>19</v>
      </c>
      <c r="G30" s="10" t="s">
        <v>19</v>
      </c>
      <c r="H30" s="10" t="s">
        <v>15</v>
      </c>
      <c r="I30" s="10" t="s">
        <v>19</v>
      </c>
      <c r="J30" s="13" t="s">
        <v>59</v>
      </c>
      <c r="K30" s="13" t="s">
        <v>59</v>
      </c>
    </row>
    <row r="31" spans="1:11" ht="28.5" customHeight="1" x14ac:dyDescent="0.2">
      <c r="A31" s="11" t="s">
        <v>79</v>
      </c>
      <c r="B31" s="11" t="s">
        <v>80</v>
      </c>
      <c r="C31" s="13" t="s">
        <v>14</v>
      </c>
      <c r="D31" s="13" t="s">
        <v>24</v>
      </c>
      <c r="E31" s="13" t="s">
        <v>14</v>
      </c>
      <c r="F31" s="13" t="s">
        <v>14</v>
      </c>
      <c r="G31" s="10" t="s">
        <v>14</v>
      </c>
      <c r="H31" s="10" t="s">
        <v>14</v>
      </c>
      <c r="I31" s="10" t="s">
        <v>15</v>
      </c>
      <c r="J31" s="10" t="s">
        <v>21</v>
      </c>
      <c r="K31" s="10" t="s">
        <v>21</v>
      </c>
    </row>
    <row r="32" spans="1:11" ht="28.5" customHeight="1" x14ac:dyDescent="0.2">
      <c r="A32" s="11" t="s">
        <v>81</v>
      </c>
      <c r="B32" s="11" t="s">
        <v>82</v>
      </c>
      <c r="C32" s="13" t="s">
        <v>14</v>
      </c>
      <c r="D32" s="13" t="s">
        <v>24</v>
      </c>
      <c r="E32" s="13" t="s">
        <v>24</v>
      </c>
      <c r="F32" s="13" t="s">
        <v>14</v>
      </c>
      <c r="G32" s="10" t="s">
        <v>14</v>
      </c>
      <c r="H32" s="10" t="s">
        <v>14</v>
      </c>
      <c r="I32" s="13" t="s">
        <v>24</v>
      </c>
      <c r="J32" s="10" t="s">
        <v>83</v>
      </c>
      <c r="K32" s="13" t="s">
        <v>59</v>
      </c>
    </row>
    <row r="33" spans="1:12" ht="28.5" customHeight="1" x14ac:dyDescent="0.2">
      <c r="A33" s="11" t="s">
        <v>84</v>
      </c>
      <c r="B33" s="11" t="s">
        <v>85</v>
      </c>
      <c r="C33" s="13" t="s">
        <v>19</v>
      </c>
      <c r="D33" s="13" t="s">
        <v>19</v>
      </c>
      <c r="E33" s="13" t="s">
        <v>19</v>
      </c>
      <c r="F33" s="13" t="s">
        <v>19</v>
      </c>
      <c r="G33" s="10" t="s">
        <v>19</v>
      </c>
      <c r="H33" s="10" t="s">
        <v>19</v>
      </c>
      <c r="I33" s="10" t="s">
        <v>15</v>
      </c>
      <c r="J33" s="10" t="s">
        <v>21</v>
      </c>
      <c r="K33" s="10" t="s">
        <v>21</v>
      </c>
    </row>
    <row r="34" spans="1:12" ht="28.5" customHeight="1" x14ac:dyDescent="0.2">
      <c r="A34" s="11" t="s">
        <v>86</v>
      </c>
      <c r="B34" s="11" t="s">
        <v>87</v>
      </c>
      <c r="C34" s="10" t="s">
        <v>88</v>
      </c>
      <c r="D34" s="13" t="s">
        <v>15</v>
      </c>
      <c r="E34" s="13" t="s">
        <v>19</v>
      </c>
      <c r="F34" s="10" t="s">
        <v>88</v>
      </c>
      <c r="G34" s="10" t="s">
        <v>15</v>
      </c>
      <c r="H34" s="10" t="s">
        <v>15</v>
      </c>
      <c r="I34" s="10" t="s">
        <v>15</v>
      </c>
      <c r="J34" s="10" t="s">
        <v>21</v>
      </c>
      <c r="K34" s="10" t="s">
        <v>21</v>
      </c>
    </row>
    <row r="35" spans="1:12" ht="28.5" customHeight="1" x14ac:dyDescent="0.2">
      <c r="A35" s="11" t="s">
        <v>89</v>
      </c>
      <c r="B35" s="11" t="s">
        <v>90</v>
      </c>
      <c r="C35" s="13" t="s">
        <v>14</v>
      </c>
      <c r="D35" s="13" t="s">
        <v>15</v>
      </c>
      <c r="E35" s="13" t="s">
        <v>15</v>
      </c>
      <c r="F35" s="13" t="s">
        <v>14</v>
      </c>
      <c r="G35" s="10" t="s">
        <v>14</v>
      </c>
      <c r="H35" s="10" t="s">
        <v>15</v>
      </c>
      <c r="I35" s="10" t="s">
        <v>15</v>
      </c>
      <c r="J35" s="13" t="s">
        <v>20</v>
      </c>
      <c r="K35" s="13" t="s">
        <v>20</v>
      </c>
    </row>
    <row r="36" spans="1:12" ht="28.5" customHeight="1" x14ac:dyDescent="0.2">
      <c r="A36" s="11" t="s">
        <v>91</v>
      </c>
      <c r="B36" s="11" t="s">
        <v>92</v>
      </c>
      <c r="C36" s="13" t="s">
        <v>15</v>
      </c>
      <c r="D36" s="13" t="s">
        <v>15</v>
      </c>
      <c r="E36" s="13" t="s">
        <v>15</v>
      </c>
      <c r="F36" s="13" t="s">
        <v>15</v>
      </c>
      <c r="G36" s="10" t="s">
        <v>14</v>
      </c>
      <c r="H36" s="10" t="s">
        <v>15</v>
      </c>
      <c r="I36" s="10" t="s">
        <v>15</v>
      </c>
      <c r="J36" s="13" t="s">
        <v>93</v>
      </c>
      <c r="K36" s="13" t="s">
        <v>93</v>
      </c>
    </row>
    <row r="37" spans="1:12" ht="28.5" customHeight="1" x14ac:dyDescent="0.2">
      <c r="A37" s="11" t="s">
        <v>94</v>
      </c>
      <c r="B37" s="11" t="s">
        <v>95</v>
      </c>
      <c r="C37" s="13" t="s">
        <v>19</v>
      </c>
      <c r="D37" s="13" t="s">
        <v>19</v>
      </c>
      <c r="E37" s="13" t="s">
        <v>15</v>
      </c>
      <c r="F37" s="13" t="s">
        <v>19</v>
      </c>
      <c r="G37" s="13" t="s">
        <v>72</v>
      </c>
      <c r="H37" s="10" t="s">
        <v>19</v>
      </c>
      <c r="I37" s="13" t="s">
        <v>72</v>
      </c>
      <c r="J37" s="13" t="s">
        <v>37</v>
      </c>
      <c r="K37" s="10" t="s">
        <v>21</v>
      </c>
    </row>
    <row r="38" spans="1:12" ht="28.5" customHeight="1" x14ac:dyDescent="0.2">
      <c r="A38" s="11" t="s">
        <v>96</v>
      </c>
      <c r="B38" s="11" t="s">
        <v>97</v>
      </c>
      <c r="C38" s="13" t="s">
        <v>19</v>
      </c>
      <c r="D38" s="13" t="s">
        <v>15</v>
      </c>
      <c r="E38" s="13" t="s">
        <v>15</v>
      </c>
      <c r="F38" s="13" t="s">
        <v>19</v>
      </c>
      <c r="G38" s="10" t="s">
        <v>19</v>
      </c>
      <c r="H38" s="10" t="s">
        <v>15</v>
      </c>
      <c r="I38" s="10" t="s">
        <v>19</v>
      </c>
      <c r="J38" s="13" t="s">
        <v>20</v>
      </c>
      <c r="K38" s="13" t="s">
        <v>20</v>
      </c>
    </row>
    <row r="39" spans="1:12" ht="28.5" customHeight="1" x14ac:dyDescent="0.2">
      <c r="A39" s="11" t="s">
        <v>98</v>
      </c>
      <c r="B39" s="11" t="s">
        <v>99</v>
      </c>
      <c r="C39" s="13" t="s">
        <v>14</v>
      </c>
      <c r="D39" s="13" t="s">
        <v>14</v>
      </c>
      <c r="E39" s="13" t="s">
        <v>14</v>
      </c>
      <c r="F39" s="13" t="s">
        <v>14</v>
      </c>
      <c r="G39" s="10" t="s">
        <v>14</v>
      </c>
      <c r="H39" s="10" t="s">
        <v>14</v>
      </c>
      <c r="I39" s="10" t="s">
        <v>14</v>
      </c>
      <c r="J39" s="10" t="s">
        <v>21</v>
      </c>
      <c r="K39" s="10" t="s">
        <v>21</v>
      </c>
    </row>
    <row r="40" spans="1:12" ht="28.5" customHeight="1" x14ac:dyDescent="0.2">
      <c r="A40" s="14" t="s">
        <v>100</v>
      </c>
      <c r="B40" s="14" t="s">
        <v>101</v>
      </c>
      <c r="C40" s="13" t="s">
        <v>19</v>
      </c>
      <c r="D40" s="13" t="s">
        <v>24</v>
      </c>
      <c r="E40" s="13" t="s">
        <v>15</v>
      </c>
      <c r="F40" s="13" t="s">
        <v>19</v>
      </c>
      <c r="G40" s="13" t="s">
        <v>72</v>
      </c>
      <c r="H40" s="10" t="s">
        <v>14</v>
      </c>
      <c r="I40" s="10" t="s">
        <v>14</v>
      </c>
      <c r="J40" s="13" t="s">
        <v>102</v>
      </c>
      <c r="K40" s="13" t="s">
        <v>102</v>
      </c>
    </row>
    <row r="41" spans="1:12" ht="28.5" customHeight="1" x14ac:dyDescent="0.25">
      <c r="A41" s="116" t="s">
        <v>103</v>
      </c>
      <c r="B41" s="116"/>
      <c r="C41" s="15">
        <v>37</v>
      </c>
      <c r="D41" s="15">
        <v>28</v>
      </c>
      <c r="E41" s="15">
        <v>32</v>
      </c>
      <c r="F41" s="15">
        <v>37</v>
      </c>
      <c r="G41" s="15">
        <v>36</v>
      </c>
      <c r="H41" s="15">
        <v>37</v>
      </c>
      <c r="I41" s="15">
        <v>30</v>
      </c>
      <c r="J41" s="15">
        <v>17</v>
      </c>
      <c r="K41" s="15">
        <v>20</v>
      </c>
      <c r="L41" s="16"/>
    </row>
    <row r="42" spans="1:12" ht="28.5" customHeight="1" x14ac:dyDescent="0.25">
      <c r="A42" s="117" t="s">
        <v>104</v>
      </c>
      <c r="B42" s="117"/>
      <c r="C42" s="17">
        <f>C41/38</f>
        <v>0.97368421052631582</v>
      </c>
      <c r="D42" s="17">
        <f t="shared" ref="D42:K42" si="0">D41/38</f>
        <v>0.73684210526315785</v>
      </c>
      <c r="E42" s="17">
        <f t="shared" si="0"/>
        <v>0.84210526315789469</v>
      </c>
      <c r="F42" s="17">
        <f t="shared" si="0"/>
        <v>0.97368421052631582</v>
      </c>
      <c r="G42" s="17">
        <f t="shared" si="0"/>
        <v>0.94736842105263153</v>
      </c>
      <c r="H42" s="17">
        <f t="shared" si="0"/>
        <v>0.97368421052631582</v>
      </c>
      <c r="I42" s="17">
        <f t="shared" si="0"/>
        <v>0.78947368421052633</v>
      </c>
      <c r="J42" s="17">
        <f t="shared" si="0"/>
        <v>0.44736842105263158</v>
      </c>
      <c r="K42" s="17">
        <f t="shared" si="0"/>
        <v>0.52631578947368418</v>
      </c>
    </row>
    <row r="43" spans="1:12" ht="28.5" customHeight="1" x14ac:dyDescent="0.2">
      <c r="A43" s="118" t="s">
        <v>105</v>
      </c>
      <c r="B43" s="118"/>
      <c r="C43" s="118"/>
      <c r="D43" s="118"/>
      <c r="E43" s="118"/>
      <c r="F43" s="118"/>
      <c r="G43" s="118"/>
      <c r="H43" s="118"/>
      <c r="I43" s="118"/>
      <c r="J43" s="118"/>
      <c r="K43" s="118"/>
    </row>
    <row r="44" spans="1:12" ht="28.5" customHeight="1" x14ac:dyDescent="0.25">
      <c r="A44" s="18"/>
      <c r="B44" s="119" t="s">
        <v>106</v>
      </c>
      <c r="C44" s="119"/>
      <c r="D44" s="119"/>
      <c r="E44" s="119"/>
      <c r="F44" s="119"/>
      <c r="G44" s="119"/>
      <c r="H44" s="119"/>
      <c r="I44" s="119"/>
      <c r="J44" s="119"/>
      <c r="K44" s="119"/>
    </row>
    <row r="45" spans="1:12" ht="28.5" customHeight="1" x14ac:dyDescent="0.25">
      <c r="A45" s="19"/>
      <c r="B45" s="20" t="s">
        <v>107</v>
      </c>
      <c r="C45" s="21"/>
      <c r="D45" s="21"/>
      <c r="E45" s="21"/>
      <c r="F45" s="21"/>
      <c r="G45" s="21"/>
      <c r="H45" s="21"/>
      <c r="I45" s="21"/>
      <c r="J45" s="21"/>
      <c r="K45" s="21"/>
    </row>
    <row r="46" spans="1:12" ht="28.5" customHeight="1" x14ac:dyDescent="0.25">
      <c r="A46" s="22"/>
      <c r="B46" s="119" t="s">
        <v>108</v>
      </c>
      <c r="C46" s="119"/>
      <c r="D46" s="119"/>
      <c r="E46" s="119"/>
      <c r="F46" s="119"/>
      <c r="G46" s="119"/>
      <c r="H46" s="119"/>
      <c r="I46" s="119"/>
      <c r="J46" s="119"/>
      <c r="K46" s="119"/>
    </row>
  </sheetData>
  <mergeCells count="6">
    <mergeCell ref="B46:K46"/>
    <mergeCell ref="A1:K1"/>
    <mergeCell ref="A41:B41"/>
    <mergeCell ref="A42:B42"/>
    <mergeCell ref="A43:K43"/>
    <mergeCell ref="B44:K44"/>
  </mergeCells>
  <conditionalFormatting sqref="A45">
    <cfRule type="cellIs" dxfId="254" priority="1" stopIfTrue="1" operator="equal">
      <formula>"EXCLUDED"</formula>
    </cfRule>
    <cfRule type="cellIs" dxfId="253" priority="2" stopIfTrue="1" operator="equal">
      <formula>"DON'T KNOW IF COUNTED"</formula>
    </cfRule>
    <cfRule type="cellIs" dxfId="252" priority="3" stopIfTrue="1" operator="equal">
      <formula>"INCLUDED"</formula>
    </cfRule>
    <cfRule type="cellIs" dxfId="251" priority="4" stopIfTrue="1" operator="equal">
      <formula>"NOT COUNTED"</formula>
    </cfRule>
    <cfRule type="cellIs" dxfId="250" priority="5" stopIfTrue="1" operator="equal">
      <formula>":"</formula>
    </cfRule>
    <cfRule type="cellIs" dxfId="249" priority="6" stopIfTrue="1" operator="equal">
      <formula>"NOT COUNTED; INCLUDED"</formula>
    </cfRule>
    <cfRule type="cellIs" dxfId="248" priority="7" stopIfTrue="1" operator="equal">
      <formula>"COUNTED; EXCLUDED"</formula>
    </cfRule>
    <cfRule type="cellIs" dxfId="247" priority="8" stopIfTrue="1" operator="equal">
      <formula>"NOT COUNTED; EXCLUDED"</formula>
    </cfRule>
    <cfRule type="cellIs" dxfId="246" priority="9" stopIfTrue="1" operator="equal">
      <formula>"COUNTED; INCLUDED"</formula>
    </cfRule>
    <cfRule type="cellIs" dxfId="245" priority="10" stopIfTrue="1" operator="equal">
      <formula>"NOT SEPARATED; INCLUDED"</formula>
    </cfRule>
    <cfRule type="cellIs" dxfId="244" priority="11" stopIfTrue="1" operator="equal">
      <formula>"SEPARATED"</formula>
    </cfRule>
    <cfRule type="cellIs" dxfId="243" priority="12" stopIfTrue="1" operator="equal">
      <formula>"SEPARATED; EXCLUDED"</formula>
    </cfRule>
    <cfRule type="cellIs" dxfId="242" priority="13" stopIfTrue="1" operator="equal">
      <formula>"SEPARATED; INCLUDED"</formula>
    </cfRule>
    <cfRule type="cellIs" dxfId="241" priority="14" stopIfTrue="1" operator="equal">
      <formula>"NOT SEPARATED; EXCLUDED"</formula>
    </cfRule>
    <cfRule type="cellIs" dxfId="240" priority="15" stopIfTrue="1" operator="equal">
      <formula>"NOT SEPARATED"</formula>
    </cfRule>
  </conditionalFormatting>
  <conditionalFormatting sqref="C3:K40">
    <cfRule type="cellIs" dxfId="239" priority="16" stopIfTrue="1" operator="equal">
      <formula>"EXCLUDED"</formula>
    </cfRule>
    <cfRule type="cellIs" dxfId="238" priority="17" stopIfTrue="1" operator="equal">
      <formula>"DON'T KNOW IF COUNTED"</formula>
    </cfRule>
    <cfRule type="cellIs" dxfId="237" priority="18" stopIfTrue="1" operator="equal">
      <formula>"INCLUDED"</formula>
    </cfRule>
    <cfRule type="cellIs" dxfId="236" priority="19" stopIfTrue="1" operator="equal">
      <formula>"NOT COUNTED"</formula>
    </cfRule>
    <cfRule type="cellIs" dxfId="235" priority="20" stopIfTrue="1" operator="equal">
      <formula>":"</formula>
    </cfRule>
    <cfRule type="cellIs" dxfId="234" priority="21" stopIfTrue="1" operator="equal">
      <formula>"NOT COUNTED; INCLUDED"</formula>
    </cfRule>
    <cfRule type="cellIs" dxfId="233" priority="22" stopIfTrue="1" operator="equal">
      <formula>"COUNTED; EXCLUDED"</formula>
    </cfRule>
    <cfRule type="cellIs" dxfId="232" priority="23" stopIfTrue="1" operator="equal">
      <formula>"NOT COUNTED; EXCLUDED"</formula>
    </cfRule>
    <cfRule type="cellIs" dxfId="231" priority="24" stopIfTrue="1" operator="equal">
      <formula>"COUNTED; INCLUDED"</formula>
    </cfRule>
    <cfRule type="cellIs" dxfId="230" priority="25" stopIfTrue="1" operator="equal">
      <formula>"NOT SEPARATED; INCLUDED"</formula>
    </cfRule>
    <cfRule type="cellIs" dxfId="229" priority="26" stopIfTrue="1" operator="equal">
      <formula>"SEPARATED"</formula>
    </cfRule>
    <cfRule type="cellIs" dxfId="228" priority="27" stopIfTrue="1" operator="equal">
      <formula>"SEPARATED; EXCLUDED"</formula>
    </cfRule>
    <cfRule type="cellIs" dxfId="227" priority="28" stopIfTrue="1" operator="equal">
      <formula>"SEPARATED; INCLUDED"</formula>
    </cfRule>
    <cfRule type="cellIs" dxfId="226" priority="29" stopIfTrue="1" operator="equal">
      <formula>"NOT SEPARATED; EXCLUDED"</formula>
    </cfRule>
    <cfRule type="cellIs" dxfId="225" priority="30" stopIfTrue="1" operator="equal">
      <formula>"NOT SEPARATED"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C66E-8371-4134-9B51-BB642A514AF6}">
  <sheetPr codeName="Sheet14">
    <tabColor theme="7" tint="-0.249977111117893"/>
  </sheetPr>
  <dimension ref="A1:K42"/>
  <sheetViews>
    <sheetView zoomScaleNormal="100" workbookViewId="0">
      <selection activeCell="M15" sqref="M15"/>
    </sheetView>
  </sheetViews>
  <sheetFormatPr defaultColWidth="18.5703125" defaultRowHeight="15.75" x14ac:dyDescent="0.25"/>
  <cols>
    <col min="1" max="1" width="6.85546875" style="27" customWidth="1"/>
    <col min="2" max="2" width="18.5703125" style="27"/>
    <col min="3" max="11" width="18.5703125" style="29"/>
    <col min="12" max="16384" width="18.5703125" style="4"/>
  </cols>
  <sheetData>
    <row r="1" spans="1:11" ht="45.75" customHeight="1" x14ac:dyDescent="0.4">
      <c r="A1" s="115" t="s">
        <v>109</v>
      </c>
      <c r="B1" s="115"/>
      <c r="C1" s="115"/>
      <c r="D1" s="115"/>
      <c r="E1" s="115"/>
      <c r="F1" s="115"/>
      <c r="G1" s="115"/>
      <c r="H1" s="115"/>
      <c r="I1" s="115"/>
      <c r="J1" s="115"/>
      <c r="K1" s="115"/>
    </row>
    <row r="2" spans="1:11" s="8" customFormat="1" ht="110.25" x14ac:dyDescent="0.25">
      <c r="A2" s="5" t="s">
        <v>1</v>
      </c>
      <c r="B2" s="5" t="s">
        <v>2</v>
      </c>
      <c r="C2" s="24" t="s">
        <v>110</v>
      </c>
      <c r="D2" s="24" t="s">
        <v>111</v>
      </c>
      <c r="E2" s="24" t="s">
        <v>112</v>
      </c>
      <c r="F2" s="24" t="s">
        <v>113</v>
      </c>
      <c r="G2" s="24" t="s">
        <v>114</v>
      </c>
      <c r="H2" s="24" t="s">
        <v>115</v>
      </c>
      <c r="I2" s="24" t="s">
        <v>116</v>
      </c>
      <c r="J2" s="24" t="s">
        <v>117</v>
      </c>
      <c r="K2" s="24" t="s">
        <v>118</v>
      </c>
    </row>
    <row r="3" spans="1:11" x14ac:dyDescent="0.2">
      <c r="A3" s="5" t="s">
        <v>12</v>
      </c>
      <c r="B3" s="5" t="s">
        <v>13</v>
      </c>
      <c r="C3" s="25"/>
      <c r="D3" s="25"/>
      <c r="E3" s="25"/>
      <c r="F3" s="25"/>
      <c r="G3" s="25"/>
      <c r="H3" s="25"/>
      <c r="I3" s="25"/>
      <c r="J3" s="120" t="s">
        <v>119</v>
      </c>
      <c r="K3" s="121"/>
    </row>
    <row r="4" spans="1:11" ht="81.75" customHeight="1" x14ac:dyDescent="0.2">
      <c r="A4" s="5" t="s">
        <v>17</v>
      </c>
      <c r="B4" s="5" t="s">
        <v>18</v>
      </c>
      <c r="C4" s="25"/>
      <c r="D4" s="25"/>
      <c r="E4" s="25"/>
      <c r="F4" s="25"/>
      <c r="G4" s="25"/>
      <c r="H4" s="120" t="s">
        <v>120</v>
      </c>
      <c r="I4" s="121"/>
      <c r="J4" s="25"/>
      <c r="K4" s="25"/>
    </row>
    <row r="5" spans="1:11" ht="74.45" customHeight="1" x14ac:dyDescent="0.2">
      <c r="A5" s="5" t="s">
        <v>22</v>
      </c>
      <c r="B5" s="5" t="s">
        <v>23</v>
      </c>
      <c r="C5" s="25"/>
      <c r="D5" s="25"/>
      <c r="E5" s="25"/>
      <c r="F5" s="25"/>
      <c r="G5" s="25"/>
      <c r="H5" s="25"/>
      <c r="I5" s="25" t="s">
        <v>121</v>
      </c>
      <c r="J5" s="25" t="s">
        <v>102</v>
      </c>
      <c r="K5" s="25" t="s">
        <v>102</v>
      </c>
    </row>
    <row r="6" spans="1:11" x14ac:dyDescent="0.2">
      <c r="A6" s="5" t="s">
        <v>25</v>
      </c>
      <c r="B6" s="5" t="s">
        <v>26</v>
      </c>
      <c r="C6" s="25"/>
      <c r="D6" s="25"/>
      <c r="E6" s="25"/>
      <c r="F6" s="25"/>
      <c r="G6" s="25"/>
      <c r="H6" s="25"/>
      <c r="I6" s="25"/>
      <c r="J6" s="25" t="s">
        <v>102</v>
      </c>
      <c r="K6" s="25" t="s">
        <v>102</v>
      </c>
    </row>
    <row r="7" spans="1:11" ht="92.1" customHeight="1" x14ac:dyDescent="0.2">
      <c r="A7" s="5" t="s">
        <v>27</v>
      </c>
      <c r="B7" s="5" t="s">
        <v>28</v>
      </c>
      <c r="C7" s="25" t="s">
        <v>122</v>
      </c>
      <c r="D7" s="25"/>
      <c r="E7" s="120" t="s">
        <v>122</v>
      </c>
      <c r="F7" s="123"/>
      <c r="G7" s="123"/>
      <c r="H7" s="123"/>
      <c r="I7" s="121"/>
      <c r="J7" s="120" t="s">
        <v>123</v>
      </c>
      <c r="K7" s="121"/>
    </row>
    <row r="8" spans="1:11" ht="95.45" customHeight="1" x14ac:dyDescent="0.2">
      <c r="A8" s="5" t="s">
        <v>29</v>
      </c>
      <c r="B8" s="5" t="s">
        <v>30</v>
      </c>
      <c r="C8" s="25"/>
      <c r="D8" s="25" t="s">
        <v>124</v>
      </c>
      <c r="E8" s="25" t="s">
        <v>125</v>
      </c>
      <c r="F8" s="25"/>
      <c r="G8" s="25"/>
      <c r="H8" s="25"/>
      <c r="I8" s="25"/>
      <c r="J8" s="25"/>
      <c r="K8" s="25"/>
    </row>
    <row r="9" spans="1:11" ht="139.5" customHeight="1" x14ac:dyDescent="0.2">
      <c r="A9" s="5" t="s">
        <v>31</v>
      </c>
      <c r="B9" s="5" t="s">
        <v>32</v>
      </c>
      <c r="C9" s="120" t="s">
        <v>126</v>
      </c>
      <c r="D9" s="123"/>
      <c r="E9" s="123"/>
      <c r="F9" s="123"/>
      <c r="G9" s="121"/>
      <c r="H9" s="25"/>
      <c r="I9" s="25" t="s">
        <v>126</v>
      </c>
      <c r="J9" s="25" t="s">
        <v>102</v>
      </c>
      <c r="K9" s="25" t="s">
        <v>102</v>
      </c>
    </row>
    <row r="10" spans="1:11" ht="149.44999999999999" customHeight="1" x14ac:dyDescent="0.2">
      <c r="A10" s="5" t="s">
        <v>33</v>
      </c>
      <c r="B10" s="5" t="s">
        <v>34</v>
      </c>
      <c r="C10" s="25"/>
      <c r="D10" s="25" t="s">
        <v>127</v>
      </c>
      <c r="E10" s="25"/>
      <c r="F10" s="25"/>
      <c r="G10" s="25"/>
      <c r="H10" s="25" t="s">
        <v>128</v>
      </c>
      <c r="I10" s="25" t="s">
        <v>129</v>
      </c>
      <c r="J10" s="25"/>
      <c r="K10" s="25"/>
    </row>
    <row r="11" spans="1:11" ht="56.25" x14ac:dyDescent="0.2">
      <c r="A11" s="5" t="s">
        <v>35</v>
      </c>
      <c r="B11" s="5" t="s">
        <v>36</v>
      </c>
      <c r="C11" s="120" t="s">
        <v>130</v>
      </c>
      <c r="D11" s="121"/>
      <c r="E11" s="25"/>
      <c r="F11" s="25" t="s">
        <v>130</v>
      </c>
      <c r="G11" s="25"/>
      <c r="H11" s="25"/>
      <c r="I11" s="25"/>
      <c r="J11" s="25" t="s">
        <v>102</v>
      </c>
      <c r="K11" s="25"/>
    </row>
    <row r="12" spans="1:11" x14ac:dyDescent="0.2">
      <c r="A12" s="5" t="s">
        <v>38</v>
      </c>
      <c r="B12" s="5" t="s">
        <v>39</v>
      </c>
      <c r="C12" s="25"/>
      <c r="D12" s="25"/>
      <c r="E12" s="25"/>
      <c r="F12" s="25"/>
      <c r="G12" s="25"/>
      <c r="H12" s="25"/>
      <c r="I12" s="25"/>
      <c r="J12" s="25" t="s">
        <v>102</v>
      </c>
      <c r="K12" s="25" t="s">
        <v>102</v>
      </c>
    </row>
    <row r="13" spans="1:11" ht="144.94999999999999" customHeight="1" x14ac:dyDescent="0.2">
      <c r="A13" s="5" t="s">
        <v>40</v>
      </c>
      <c r="B13" s="5" t="s">
        <v>41</v>
      </c>
      <c r="C13" s="25" t="s">
        <v>131</v>
      </c>
      <c r="D13" s="25" t="s">
        <v>132</v>
      </c>
      <c r="E13" s="25" t="s">
        <v>133</v>
      </c>
      <c r="F13" s="25" t="s">
        <v>131</v>
      </c>
      <c r="G13" s="25"/>
      <c r="H13" s="25" t="s">
        <v>134</v>
      </c>
      <c r="I13" s="25" t="s">
        <v>135</v>
      </c>
      <c r="J13" s="25" t="s">
        <v>136</v>
      </c>
      <c r="K13" s="25" t="s">
        <v>137</v>
      </c>
    </row>
    <row r="14" spans="1:11" ht="33.75" x14ac:dyDescent="0.2">
      <c r="A14" s="5" t="s">
        <v>43</v>
      </c>
      <c r="B14" s="5" t="s">
        <v>44</v>
      </c>
      <c r="C14" s="25" t="s">
        <v>138</v>
      </c>
      <c r="D14" s="25"/>
      <c r="E14" s="25"/>
      <c r="F14" s="25"/>
      <c r="G14" s="25"/>
      <c r="H14" s="25" t="s">
        <v>139</v>
      </c>
      <c r="I14" s="25" t="s">
        <v>140</v>
      </c>
      <c r="J14" s="25" t="s">
        <v>141</v>
      </c>
      <c r="K14" s="25"/>
    </row>
    <row r="15" spans="1:11" x14ac:dyDescent="0.2">
      <c r="A15" s="5" t="s">
        <v>45</v>
      </c>
      <c r="B15" s="5" t="s">
        <v>46</v>
      </c>
      <c r="C15" s="25"/>
      <c r="D15" s="25"/>
      <c r="E15" s="25"/>
      <c r="F15" s="25"/>
      <c r="G15" s="25"/>
      <c r="H15" s="25"/>
      <c r="I15" s="25"/>
      <c r="J15" s="25"/>
      <c r="K15" s="25"/>
    </row>
    <row r="16" spans="1:11" ht="100.5" customHeight="1" x14ac:dyDescent="0.2">
      <c r="A16" s="5" t="s">
        <v>47</v>
      </c>
      <c r="B16" s="5" t="s">
        <v>48</v>
      </c>
      <c r="C16" s="25"/>
      <c r="D16" s="25"/>
      <c r="E16" s="25" t="s">
        <v>142</v>
      </c>
      <c r="F16" s="25"/>
      <c r="G16" s="25"/>
      <c r="H16" s="25"/>
      <c r="I16" s="25"/>
      <c r="J16" s="25" t="s">
        <v>102</v>
      </c>
      <c r="K16" s="25"/>
    </row>
    <row r="17" spans="1:11" ht="46.5" customHeight="1" x14ac:dyDescent="0.2">
      <c r="A17" s="5" t="s">
        <v>49</v>
      </c>
      <c r="B17" s="5" t="s">
        <v>50</v>
      </c>
      <c r="C17" s="25"/>
      <c r="D17" s="25"/>
      <c r="E17" s="25" t="s">
        <v>143</v>
      </c>
      <c r="F17" s="25"/>
      <c r="G17" s="25"/>
      <c r="H17" s="25" t="s">
        <v>144</v>
      </c>
      <c r="I17" s="25"/>
      <c r="J17" s="25" t="s">
        <v>141</v>
      </c>
      <c r="K17" s="25"/>
    </row>
    <row r="18" spans="1:11" x14ac:dyDescent="0.2">
      <c r="A18" s="5" t="s">
        <v>51</v>
      </c>
      <c r="B18" s="5" t="s">
        <v>52</v>
      </c>
      <c r="C18" s="25"/>
      <c r="D18" s="25"/>
      <c r="E18" s="25"/>
      <c r="F18" s="25"/>
      <c r="G18" s="25"/>
      <c r="H18" s="25"/>
      <c r="I18" s="25"/>
      <c r="J18" s="25" t="s">
        <v>102</v>
      </c>
      <c r="K18" s="25" t="s">
        <v>102</v>
      </c>
    </row>
    <row r="19" spans="1:11" ht="180.95" customHeight="1" x14ac:dyDescent="0.2">
      <c r="A19" s="5" t="s">
        <v>53</v>
      </c>
      <c r="B19" s="5" t="s">
        <v>54</v>
      </c>
      <c r="C19" s="25"/>
      <c r="D19" s="25" t="s">
        <v>145</v>
      </c>
      <c r="E19" s="25" t="s">
        <v>146</v>
      </c>
      <c r="F19" s="25"/>
      <c r="G19" s="25"/>
      <c r="H19" s="25" t="s">
        <v>147</v>
      </c>
      <c r="I19" s="25"/>
      <c r="J19" s="25"/>
      <c r="K19" s="25"/>
    </row>
    <row r="20" spans="1:11" ht="52.5" customHeight="1" x14ac:dyDescent="0.2">
      <c r="A20" s="5" t="s">
        <v>55</v>
      </c>
      <c r="B20" s="5" t="s">
        <v>56</v>
      </c>
      <c r="C20" s="25"/>
      <c r="D20" s="25" t="s">
        <v>148</v>
      </c>
      <c r="E20" s="25"/>
      <c r="F20" s="25"/>
      <c r="G20" s="25"/>
      <c r="H20" s="25"/>
      <c r="I20" s="25"/>
      <c r="J20" s="25"/>
      <c r="K20" s="25"/>
    </row>
    <row r="21" spans="1:11" ht="30.6" customHeight="1" x14ac:dyDescent="0.2">
      <c r="A21" s="5" t="s">
        <v>57</v>
      </c>
      <c r="B21" s="5" t="s">
        <v>58</v>
      </c>
      <c r="C21" s="25"/>
      <c r="D21" s="25"/>
      <c r="E21" s="25"/>
      <c r="F21" s="25"/>
      <c r="G21" s="25"/>
      <c r="H21" s="25"/>
      <c r="I21" s="25"/>
      <c r="J21" s="25"/>
      <c r="K21" s="25" t="s">
        <v>149</v>
      </c>
    </row>
    <row r="22" spans="1:11" x14ac:dyDescent="0.2">
      <c r="A22" s="5" t="s">
        <v>60</v>
      </c>
      <c r="B22" s="5" t="s">
        <v>61</v>
      </c>
      <c r="C22" s="25"/>
      <c r="D22" s="25"/>
      <c r="E22" s="25"/>
      <c r="F22" s="25"/>
      <c r="G22" s="25"/>
      <c r="H22" s="25"/>
      <c r="I22" s="25"/>
      <c r="J22" s="25"/>
      <c r="K22" s="25"/>
    </row>
    <row r="23" spans="1:11" x14ac:dyDescent="0.2">
      <c r="A23" s="5" t="s">
        <v>62</v>
      </c>
      <c r="B23" s="5" t="s">
        <v>63</v>
      </c>
      <c r="C23" s="25"/>
      <c r="D23" s="25" t="s">
        <v>102</v>
      </c>
      <c r="E23" s="25" t="s">
        <v>102</v>
      </c>
      <c r="F23" s="25"/>
      <c r="G23" s="25"/>
      <c r="H23" s="25"/>
      <c r="I23" s="25" t="s">
        <v>102</v>
      </c>
      <c r="J23" s="25" t="s">
        <v>102</v>
      </c>
      <c r="K23" s="25" t="s">
        <v>102</v>
      </c>
    </row>
    <row r="24" spans="1:11" ht="108.6" customHeight="1" x14ac:dyDescent="0.2">
      <c r="A24" s="5" t="s">
        <v>64</v>
      </c>
      <c r="B24" s="5" t="s">
        <v>65</v>
      </c>
      <c r="C24" s="25"/>
      <c r="D24" s="25" t="s">
        <v>150</v>
      </c>
      <c r="E24" s="25"/>
      <c r="F24" s="25"/>
      <c r="G24" s="25"/>
      <c r="H24" s="25"/>
      <c r="I24" s="25"/>
      <c r="J24" s="25" t="s">
        <v>102</v>
      </c>
      <c r="K24" s="25" t="s">
        <v>102</v>
      </c>
    </row>
    <row r="25" spans="1:11" ht="177" customHeight="1" x14ac:dyDescent="0.2">
      <c r="A25" s="5" t="s">
        <v>66</v>
      </c>
      <c r="B25" s="5" t="s">
        <v>67</v>
      </c>
      <c r="C25" s="25"/>
      <c r="D25" s="25"/>
      <c r="E25" s="25" t="s">
        <v>151</v>
      </c>
      <c r="F25" s="25"/>
      <c r="G25" s="25"/>
      <c r="H25" s="25"/>
      <c r="I25" s="25"/>
      <c r="J25" s="25"/>
      <c r="K25" s="25" t="s">
        <v>102</v>
      </c>
    </row>
    <row r="26" spans="1:11" ht="254.45" customHeight="1" x14ac:dyDescent="0.2">
      <c r="A26" s="5" t="s">
        <v>68</v>
      </c>
      <c r="B26" s="5" t="s">
        <v>69</v>
      </c>
      <c r="C26" s="25"/>
      <c r="D26" s="25" t="s">
        <v>152</v>
      </c>
      <c r="E26" s="25"/>
      <c r="F26" s="25"/>
      <c r="G26" s="25"/>
      <c r="H26" s="25"/>
      <c r="I26" s="25" t="s">
        <v>153</v>
      </c>
      <c r="J26" s="25"/>
      <c r="K26" s="25"/>
    </row>
    <row r="27" spans="1:11" ht="108.95" customHeight="1" x14ac:dyDescent="0.2">
      <c r="A27" s="5" t="s">
        <v>70</v>
      </c>
      <c r="B27" s="5" t="s">
        <v>71</v>
      </c>
      <c r="C27" s="25" t="s">
        <v>154</v>
      </c>
      <c r="D27" s="25" t="s">
        <v>155</v>
      </c>
      <c r="E27" s="25" t="s">
        <v>156</v>
      </c>
      <c r="F27" s="25" t="s">
        <v>157</v>
      </c>
      <c r="G27" s="25" t="s">
        <v>157</v>
      </c>
      <c r="H27" s="25" t="s">
        <v>158</v>
      </c>
      <c r="I27" s="25" t="s">
        <v>159</v>
      </c>
      <c r="J27" s="25" t="s">
        <v>160</v>
      </c>
      <c r="K27" s="25" t="s">
        <v>161</v>
      </c>
    </row>
    <row r="28" spans="1:11" ht="22.5" x14ac:dyDescent="0.2">
      <c r="A28" s="5" t="s">
        <v>73</v>
      </c>
      <c r="B28" s="5" t="s">
        <v>74</v>
      </c>
      <c r="C28" s="25"/>
      <c r="D28" s="25" t="s">
        <v>162</v>
      </c>
      <c r="E28" s="25"/>
      <c r="F28" s="25"/>
      <c r="G28" s="25"/>
      <c r="H28" s="25"/>
      <c r="I28" s="25"/>
      <c r="J28" s="25"/>
      <c r="K28" s="25"/>
    </row>
    <row r="29" spans="1:11" x14ac:dyDescent="0.2">
      <c r="A29" s="5" t="s">
        <v>75</v>
      </c>
      <c r="B29" s="5" t="s">
        <v>76</v>
      </c>
      <c r="C29" s="25"/>
      <c r="D29" s="25"/>
      <c r="E29" s="25"/>
      <c r="F29" s="25"/>
      <c r="G29" s="25"/>
      <c r="H29" s="25"/>
      <c r="I29" s="25"/>
      <c r="J29" s="25"/>
      <c r="K29" s="25"/>
    </row>
    <row r="30" spans="1:11" ht="36.950000000000003" customHeight="1" x14ac:dyDescent="0.2">
      <c r="A30" s="5" t="s">
        <v>77</v>
      </c>
      <c r="B30" s="5" t="s">
        <v>78</v>
      </c>
      <c r="C30" s="25"/>
      <c r="D30" s="25" t="s">
        <v>163</v>
      </c>
      <c r="E30" s="25" t="s">
        <v>164</v>
      </c>
      <c r="F30" s="25"/>
      <c r="G30" s="25"/>
      <c r="H30" s="25"/>
      <c r="I30" s="25"/>
      <c r="J30" s="25" t="s">
        <v>165</v>
      </c>
      <c r="K30" s="25" t="s">
        <v>165</v>
      </c>
    </row>
    <row r="31" spans="1:11" x14ac:dyDescent="0.2">
      <c r="A31" s="5" t="s">
        <v>79</v>
      </c>
      <c r="B31" s="5" t="s">
        <v>80</v>
      </c>
      <c r="C31" s="25"/>
      <c r="D31" s="25" t="s">
        <v>102</v>
      </c>
      <c r="E31" s="25"/>
      <c r="F31" s="25"/>
      <c r="G31" s="25"/>
      <c r="H31" s="25"/>
      <c r="I31" s="25"/>
      <c r="J31" s="25" t="s">
        <v>166</v>
      </c>
      <c r="K31" s="25" t="s">
        <v>166</v>
      </c>
    </row>
    <row r="32" spans="1:11" ht="112.5" x14ac:dyDescent="0.2">
      <c r="A32" s="5" t="s">
        <v>81</v>
      </c>
      <c r="B32" s="5" t="s">
        <v>82</v>
      </c>
      <c r="C32" s="25"/>
      <c r="D32" s="25" t="s">
        <v>102</v>
      </c>
      <c r="E32" s="25" t="s">
        <v>167</v>
      </c>
      <c r="F32" s="25"/>
      <c r="G32" s="25"/>
      <c r="H32" s="25"/>
      <c r="I32" s="25" t="s">
        <v>102</v>
      </c>
      <c r="J32" s="25" t="s">
        <v>168</v>
      </c>
      <c r="K32" s="25" t="s">
        <v>169</v>
      </c>
    </row>
    <row r="33" spans="1:11" ht="26.1" customHeight="1" x14ac:dyDescent="0.2">
      <c r="A33" s="5" t="s">
        <v>84</v>
      </c>
      <c r="B33" s="5" t="s">
        <v>85</v>
      </c>
      <c r="C33" s="25"/>
      <c r="D33" s="25"/>
      <c r="E33" s="25"/>
      <c r="F33" s="25"/>
      <c r="G33" s="25"/>
      <c r="H33" s="25"/>
      <c r="I33" s="25" t="s">
        <v>170</v>
      </c>
      <c r="J33" s="120" t="s">
        <v>171</v>
      </c>
      <c r="K33" s="121"/>
    </row>
    <row r="34" spans="1:11" ht="31.5" x14ac:dyDescent="0.2">
      <c r="A34" s="5" t="s">
        <v>86</v>
      </c>
      <c r="B34" s="5" t="s">
        <v>87</v>
      </c>
      <c r="C34" s="25" t="s">
        <v>102</v>
      </c>
      <c r="D34" s="25"/>
      <c r="E34" s="25"/>
      <c r="F34" s="25" t="s">
        <v>102</v>
      </c>
      <c r="G34" s="25"/>
      <c r="H34" s="25"/>
      <c r="I34" s="25"/>
      <c r="J34" s="25"/>
      <c r="K34" s="25"/>
    </row>
    <row r="35" spans="1:11" x14ac:dyDescent="0.2">
      <c r="A35" s="5" t="s">
        <v>89</v>
      </c>
      <c r="B35" s="5" t="s">
        <v>90</v>
      </c>
      <c r="C35" s="25"/>
      <c r="D35" s="25"/>
      <c r="E35" s="25"/>
      <c r="F35" s="25"/>
      <c r="G35" s="25"/>
      <c r="H35" s="25"/>
      <c r="I35" s="25"/>
      <c r="J35" s="25" t="s">
        <v>102</v>
      </c>
      <c r="K35" s="25" t="s">
        <v>102</v>
      </c>
    </row>
    <row r="36" spans="1:11" ht="31.5" x14ac:dyDescent="0.2">
      <c r="A36" s="5" t="s">
        <v>91</v>
      </c>
      <c r="B36" s="5" t="s">
        <v>92</v>
      </c>
      <c r="C36" s="25"/>
      <c r="D36" s="25"/>
      <c r="E36" s="25"/>
      <c r="F36" s="25"/>
      <c r="G36" s="25"/>
      <c r="H36" s="25"/>
      <c r="I36" s="25"/>
      <c r="J36" s="25" t="s">
        <v>102</v>
      </c>
      <c r="K36" s="25" t="s">
        <v>102</v>
      </c>
    </row>
    <row r="37" spans="1:11" ht="33.75" x14ac:dyDescent="0.2">
      <c r="A37" s="5" t="s">
        <v>94</v>
      </c>
      <c r="B37" s="5" t="s">
        <v>95</v>
      </c>
      <c r="C37" s="25"/>
      <c r="D37" s="25"/>
      <c r="E37" s="25" t="s">
        <v>172</v>
      </c>
      <c r="F37" s="25"/>
      <c r="G37" s="25" t="s">
        <v>173</v>
      </c>
      <c r="H37" s="25" t="s">
        <v>174</v>
      </c>
      <c r="I37" s="25" t="s">
        <v>175</v>
      </c>
      <c r="J37" s="25" t="s">
        <v>102</v>
      </c>
      <c r="K37" s="25"/>
    </row>
    <row r="38" spans="1:11" x14ac:dyDescent="0.2">
      <c r="A38" s="5" t="s">
        <v>96</v>
      </c>
      <c r="B38" s="5" t="s">
        <v>97</v>
      </c>
      <c r="C38" s="25"/>
      <c r="D38" s="25"/>
      <c r="E38" s="25"/>
      <c r="F38" s="25"/>
      <c r="G38" s="25"/>
      <c r="H38" s="25"/>
      <c r="I38" s="25"/>
      <c r="J38" s="25" t="s">
        <v>102</v>
      </c>
      <c r="K38" s="25" t="s">
        <v>102</v>
      </c>
    </row>
    <row r="39" spans="1:11" ht="116.1" customHeight="1" x14ac:dyDescent="0.2">
      <c r="A39" s="5" t="s">
        <v>98</v>
      </c>
      <c r="B39" s="5" t="s">
        <v>99</v>
      </c>
      <c r="C39" s="25"/>
      <c r="D39" s="25" t="s">
        <v>176</v>
      </c>
      <c r="E39" s="25"/>
      <c r="F39" s="25"/>
      <c r="G39" s="25"/>
      <c r="H39" s="25"/>
      <c r="I39" s="25"/>
      <c r="J39" s="25"/>
      <c r="K39" s="25" t="s">
        <v>177</v>
      </c>
    </row>
    <row r="40" spans="1:11" x14ac:dyDescent="0.2">
      <c r="A40" s="5" t="s">
        <v>100</v>
      </c>
      <c r="B40" s="5" t="s">
        <v>101</v>
      </c>
      <c r="C40" s="25"/>
      <c r="D40" s="25" t="s">
        <v>102</v>
      </c>
      <c r="E40" s="25"/>
      <c r="F40" s="25"/>
      <c r="G40" s="25" t="s">
        <v>102</v>
      </c>
      <c r="H40" s="25"/>
      <c r="I40" s="25"/>
      <c r="J40" s="25" t="s">
        <v>102</v>
      </c>
      <c r="K40" s="25" t="s">
        <v>102</v>
      </c>
    </row>
    <row r="41" spans="1:11" ht="12.75" x14ac:dyDescent="0.2">
      <c r="A41" s="122" t="s">
        <v>105</v>
      </c>
      <c r="B41" s="122"/>
      <c r="C41" s="122"/>
      <c r="D41" s="122"/>
      <c r="E41" s="122"/>
      <c r="F41" s="122"/>
      <c r="G41" s="122"/>
      <c r="H41" s="122"/>
      <c r="I41" s="122"/>
      <c r="J41" s="122"/>
      <c r="K41" s="122"/>
    </row>
    <row r="42" spans="1:11" x14ac:dyDescent="0.25">
      <c r="A42" s="26" t="s">
        <v>178</v>
      </c>
      <c r="C42" s="28"/>
      <c r="D42" s="28"/>
      <c r="E42" s="28"/>
      <c r="F42" s="28"/>
      <c r="G42" s="28"/>
      <c r="H42" s="28"/>
      <c r="I42" s="28"/>
      <c r="J42" s="28"/>
      <c r="K42" s="28"/>
    </row>
  </sheetData>
  <mergeCells count="9">
    <mergeCell ref="C11:D11"/>
    <mergeCell ref="J33:K33"/>
    <mergeCell ref="A41:K41"/>
    <mergeCell ref="A1:K1"/>
    <mergeCell ref="J3:K3"/>
    <mergeCell ref="H4:I4"/>
    <mergeCell ref="E7:I7"/>
    <mergeCell ref="J7:K7"/>
    <mergeCell ref="C9:G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3458-A826-4446-A28E-EAFAE58FE150}">
  <sheetPr codeName="Sheet15">
    <tabColor theme="7" tint="-0.249977111117893"/>
  </sheetPr>
  <dimension ref="A1:K46"/>
  <sheetViews>
    <sheetView zoomScaleNormal="100" workbookViewId="0">
      <pane xSplit="2" ySplit="2" topLeftCell="C3" activePane="bottomRight" state="frozen"/>
      <selection activeCell="M15" sqref="M15"/>
      <selection pane="topRight" activeCell="M15" sqref="M15"/>
      <selection pane="bottomLeft" activeCell="M15" sqref="M15"/>
      <selection pane="bottomRight" activeCell="M15" sqref="M15"/>
    </sheetView>
  </sheetViews>
  <sheetFormatPr defaultColWidth="9.140625" defaultRowHeight="15" x14ac:dyDescent="0.25"/>
  <cols>
    <col min="1" max="1" width="15.85546875" style="42" customWidth="1"/>
    <col min="2" max="2" width="14.42578125" style="42" customWidth="1"/>
    <col min="3" max="10" width="14" style="29" customWidth="1"/>
    <col min="11" max="16384" width="9.140625" style="2"/>
  </cols>
  <sheetData>
    <row r="1" spans="1:11" ht="27.75" x14ac:dyDescent="0.4">
      <c r="A1" s="124" t="s">
        <v>179</v>
      </c>
      <c r="B1" s="125"/>
      <c r="C1" s="125"/>
      <c r="D1" s="125"/>
      <c r="E1" s="125"/>
      <c r="F1" s="125"/>
      <c r="G1" s="125"/>
      <c r="H1" s="125"/>
      <c r="I1" s="125"/>
      <c r="J1" s="126"/>
      <c r="K1" s="3"/>
    </row>
    <row r="2" spans="1:11" s="1" customFormat="1" ht="75" x14ac:dyDescent="0.25">
      <c r="A2" s="30" t="s">
        <v>1</v>
      </c>
      <c r="B2" s="30" t="s">
        <v>2</v>
      </c>
      <c r="C2" s="31" t="s">
        <v>180</v>
      </c>
      <c r="D2" s="31" t="s">
        <v>181</v>
      </c>
      <c r="E2" s="31" t="s">
        <v>182</v>
      </c>
      <c r="F2" s="31" t="s">
        <v>183</v>
      </c>
      <c r="G2" s="31" t="s">
        <v>184</v>
      </c>
      <c r="H2" s="31" t="s">
        <v>185</v>
      </c>
      <c r="I2" s="31" t="s">
        <v>186</v>
      </c>
      <c r="J2" s="31" t="s">
        <v>187</v>
      </c>
      <c r="K2" s="32"/>
    </row>
    <row r="3" spans="1:11" ht="36" x14ac:dyDescent="0.2">
      <c r="A3" s="30" t="s">
        <v>12</v>
      </c>
      <c r="B3" s="30" t="s">
        <v>13</v>
      </c>
      <c r="C3" s="33" t="s">
        <v>24</v>
      </c>
      <c r="D3" s="33" t="s">
        <v>14</v>
      </c>
      <c r="E3" s="33" t="s">
        <v>14</v>
      </c>
      <c r="F3" s="33" t="s">
        <v>14</v>
      </c>
      <c r="G3" s="33" t="s">
        <v>14</v>
      </c>
      <c r="H3" s="33" t="s">
        <v>24</v>
      </c>
      <c r="I3" s="33" t="s">
        <v>16</v>
      </c>
      <c r="J3" s="33" t="s">
        <v>16</v>
      </c>
    </row>
    <row r="4" spans="1:11" ht="36" x14ac:dyDescent="0.2">
      <c r="A4" s="30" t="s">
        <v>17</v>
      </c>
      <c r="B4" s="30" t="s">
        <v>18</v>
      </c>
      <c r="C4" s="33" t="s">
        <v>24</v>
      </c>
      <c r="D4" s="33" t="s">
        <v>24</v>
      </c>
      <c r="E4" s="33" t="s">
        <v>24</v>
      </c>
      <c r="F4" s="33" t="s">
        <v>24</v>
      </c>
      <c r="G4" s="33" t="s">
        <v>24</v>
      </c>
      <c r="H4" s="33" t="s">
        <v>24</v>
      </c>
      <c r="I4" s="33" t="s">
        <v>20</v>
      </c>
      <c r="J4" s="33" t="s">
        <v>37</v>
      </c>
    </row>
    <row r="5" spans="1:11" ht="24" x14ac:dyDescent="0.2">
      <c r="A5" s="30" t="s">
        <v>22</v>
      </c>
      <c r="B5" s="30" t="s">
        <v>23</v>
      </c>
      <c r="C5" s="33" t="s">
        <v>24</v>
      </c>
      <c r="D5" s="33" t="s">
        <v>24</v>
      </c>
      <c r="E5" s="33" t="s">
        <v>24</v>
      </c>
      <c r="F5" s="33" t="s">
        <v>24</v>
      </c>
      <c r="G5" s="33" t="s">
        <v>14</v>
      </c>
      <c r="H5" s="33" t="s">
        <v>14</v>
      </c>
      <c r="I5" s="33" t="s">
        <v>20</v>
      </c>
      <c r="J5" s="33" t="s">
        <v>20</v>
      </c>
    </row>
    <row r="6" spans="1:11" ht="24" x14ac:dyDescent="0.2">
      <c r="A6" s="30" t="s">
        <v>25</v>
      </c>
      <c r="B6" s="30" t="s">
        <v>26</v>
      </c>
      <c r="C6" s="33" t="s">
        <v>24</v>
      </c>
      <c r="D6" s="33" t="s">
        <v>24</v>
      </c>
      <c r="E6" s="33" t="s">
        <v>24</v>
      </c>
      <c r="F6" s="33" t="s">
        <v>24</v>
      </c>
      <c r="G6" s="33" t="s">
        <v>14</v>
      </c>
      <c r="H6" s="33" t="s">
        <v>24</v>
      </c>
      <c r="I6" s="33" t="s">
        <v>20</v>
      </c>
      <c r="J6" s="33" t="s">
        <v>20</v>
      </c>
    </row>
    <row r="7" spans="1:11" ht="36" x14ac:dyDescent="0.2">
      <c r="A7" s="30" t="s">
        <v>27</v>
      </c>
      <c r="B7" s="30" t="s">
        <v>28</v>
      </c>
      <c r="C7" s="33" t="s">
        <v>24</v>
      </c>
      <c r="D7" s="33" t="s">
        <v>24</v>
      </c>
      <c r="E7" s="33" t="s">
        <v>72</v>
      </c>
      <c r="F7" s="33" t="s">
        <v>24</v>
      </c>
      <c r="G7" s="33" t="s">
        <v>24</v>
      </c>
      <c r="H7" s="33" t="s">
        <v>14</v>
      </c>
      <c r="I7" s="33" t="s">
        <v>20</v>
      </c>
      <c r="J7" s="33" t="s">
        <v>20</v>
      </c>
    </row>
    <row r="8" spans="1:11" ht="36" x14ac:dyDescent="0.2">
      <c r="A8" s="30" t="s">
        <v>29</v>
      </c>
      <c r="B8" s="30" t="s">
        <v>30</v>
      </c>
      <c r="C8" s="33" t="s">
        <v>72</v>
      </c>
      <c r="D8" s="33" t="s">
        <v>24</v>
      </c>
      <c r="E8" s="33" t="s">
        <v>24</v>
      </c>
      <c r="F8" s="33" t="s">
        <v>72</v>
      </c>
      <c r="G8" s="33" t="s">
        <v>72</v>
      </c>
      <c r="H8" s="33" t="s">
        <v>72</v>
      </c>
      <c r="I8" s="33" t="s">
        <v>59</v>
      </c>
      <c r="J8" s="33" t="s">
        <v>59</v>
      </c>
    </row>
    <row r="9" spans="1:11" ht="24" x14ac:dyDescent="0.2">
      <c r="A9" s="30" t="s">
        <v>31</v>
      </c>
      <c r="B9" s="30" t="s">
        <v>32</v>
      </c>
      <c r="C9" s="33" t="s">
        <v>24</v>
      </c>
      <c r="D9" s="33" t="s">
        <v>24</v>
      </c>
      <c r="E9" s="33" t="s">
        <v>24</v>
      </c>
      <c r="F9" s="33" t="s">
        <v>14</v>
      </c>
      <c r="G9" s="33" t="s">
        <v>24</v>
      </c>
      <c r="H9" s="33" t="s">
        <v>14</v>
      </c>
      <c r="I9" s="33" t="s">
        <v>20</v>
      </c>
      <c r="J9" s="33" t="s">
        <v>20</v>
      </c>
    </row>
    <row r="10" spans="1:11" ht="24" x14ac:dyDescent="0.2">
      <c r="A10" s="30" t="s">
        <v>33</v>
      </c>
      <c r="B10" s="30" t="s">
        <v>34</v>
      </c>
      <c r="C10" s="33" t="s">
        <v>24</v>
      </c>
      <c r="D10" s="33" t="s">
        <v>24</v>
      </c>
      <c r="E10" s="33" t="s">
        <v>24</v>
      </c>
      <c r="F10" s="33" t="s">
        <v>24</v>
      </c>
      <c r="G10" s="33" t="s">
        <v>24</v>
      </c>
      <c r="H10" s="33" t="s">
        <v>24</v>
      </c>
      <c r="I10" s="33" t="s">
        <v>21</v>
      </c>
      <c r="J10" s="33" t="s">
        <v>21</v>
      </c>
    </row>
    <row r="11" spans="1:11" ht="36" x14ac:dyDescent="0.2">
      <c r="A11" s="30" t="s">
        <v>35</v>
      </c>
      <c r="B11" s="30" t="s">
        <v>36</v>
      </c>
      <c r="C11" s="33" t="s">
        <v>72</v>
      </c>
      <c r="D11" s="33" t="s">
        <v>72</v>
      </c>
      <c r="E11" s="33" t="s">
        <v>72</v>
      </c>
      <c r="F11" s="33" t="s">
        <v>72</v>
      </c>
      <c r="G11" s="33" t="s">
        <v>72</v>
      </c>
      <c r="H11" s="33" t="s">
        <v>72</v>
      </c>
      <c r="I11" s="33" t="s">
        <v>37</v>
      </c>
      <c r="J11" s="33" t="s">
        <v>37</v>
      </c>
    </row>
    <row r="12" spans="1:11" ht="24" x14ac:dyDescent="0.2">
      <c r="A12" s="30" t="s">
        <v>38</v>
      </c>
      <c r="B12" s="30" t="s">
        <v>39</v>
      </c>
      <c r="C12" s="33" t="s">
        <v>24</v>
      </c>
      <c r="D12" s="33" t="s">
        <v>24</v>
      </c>
      <c r="E12" s="33" t="s">
        <v>24</v>
      </c>
      <c r="F12" s="33" t="s">
        <v>24</v>
      </c>
      <c r="G12" s="33" t="s">
        <v>24</v>
      </c>
      <c r="H12" s="33" t="s">
        <v>15</v>
      </c>
      <c r="I12" s="33" t="s">
        <v>20</v>
      </c>
      <c r="J12" s="33" t="s">
        <v>20</v>
      </c>
    </row>
    <row r="13" spans="1:11" ht="36" x14ac:dyDescent="0.2">
      <c r="A13" s="30" t="s">
        <v>40</v>
      </c>
      <c r="B13" s="30" t="s">
        <v>41</v>
      </c>
      <c r="C13" s="33" t="s">
        <v>24</v>
      </c>
      <c r="D13" s="33" t="s">
        <v>24</v>
      </c>
      <c r="E13" s="33" t="s">
        <v>24</v>
      </c>
      <c r="F13" s="33" t="s">
        <v>24</v>
      </c>
      <c r="G13" s="33" t="s">
        <v>24</v>
      </c>
      <c r="H13" s="33" t="s">
        <v>72</v>
      </c>
      <c r="I13" s="33" t="s">
        <v>37</v>
      </c>
      <c r="J13" s="33" t="s">
        <v>37</v>
      </c>
    </row>
    <row r="14" spans="1:11" ht="36" x14ac:dyDescent="0.2">
      <c r="A14" s="30" t="s">
        <v>43</v>
      </c>
      <c r="B14" s="30" t="s">
        <v>44</v>
      </c>
      <c r="C14" s="33" t="s">
        <v>24</v>
      </c>
      <c r="D14" s="33" t="s">
        <v>24</v>
      </c>
      <c r="E14" s="33" t="s">
        <v>24</v>
      </c>
      <c r="F14" s="33" t="s">
        <v>24</v>
      </c>
      <c r="G14" s="33" t="s">
        <v>24</v>
      </c>
      <c r="H14" s="33" t="s">
        <v>19</v>
      </c>
      <c r="I14" s="33" t="s">
        <v>16</v>
      </c>
      <c r="J14" s="33" t="s">
        <v>21</v>
      </c>
    </row>
    <row r="15" spans="1:11" ht="24" x14ac:dyDescent="0.2">
      <c r="A15" s="30" t="s">
        <v>45</v>
      </c>
      <c r="B15" s="30" t="s">
        <v>46</v>
      </c>
      <c r="C15" s="33" t="s">
        <v>24</v>
      </c>
      <c r="D15" s="33" t="s">
        <v>15</v>
      </c>
      <c r="E15" s="33" t="s">
        <v>15</v>
      </c>
      <c r="F15" s="33" t="s">
        <v>24</v>
      </c>
      <c r="G15" s="33" t="s">
        <v>24</v>
      </c>
      <c r="H15" s="33" t="s">
        <v>15</v>
      </c>
      <c r="I15" s="33" t="s">
        <v>59</v>
      </c>
      <c r="J15" s="33" t="s">
        <v>59</v>
      </c>
    </row>
    <row r="16" spans="1:11" ht="36" x14ac:dyDescent="0.2">
      <c r="A16" s="30" t="s">
        <v>47</v>
      </c>
      <c r="B16" s="30" t="s">
        <v>48</v>
      </c>
      <c r="C16" s="33" t="s">
        <v>24</v>
      </c>
      <c r="D16" s="33" t="s">
        <v>24</v>
      </c>
      <c r="E16" s="33" t="s">
        <v>24</v>
      </c>
      <c r="F16" s="33" t="s">
        <v>72</v>
      </c>
      <c r="G16" s="33" t="s">
        <v>24</v>
      </c>
      <c r="H16" s="33" t="s">
        <v>19</v>
      </c>
      <c r="I16" s="33" t="s">
        <v>102</v>
      </c>
      <c r="J16" s="33" t="s">
        <v>37</v>
      </c>
    </row>
    <row r="17" spans="1:10" ht="24" x14ac:dyDescent="0.2">
      <c r="A17" s="30" t="s">
        <v>49</v>
      </c>
      <c r="B17" s="30" t="s">
        <v>50</v>
      </c>
      <c r="C17" s="33" t="s">
        <v>14</v>
      </c>
      <c r="D17" s="33" t="s">
        <v>14</v>
      </c>
      <c r="E17" s="33" t="s">
        <v>24</v>
      </c>
      <c r="F17" s="33" t="s">
        <v>24</v>
      </c>
      <c r="G17" s="33" t="s">
        <v>14</v>
      </c>
      <c r="H17" s="33" t="s">
        <v>24</v>
      </c>
      <c r="I17" s="33" t="s">
        <v>21</v>
      </c>
      <c r="J17" s="33" t="s">
        <v>20</v>
      </c>
    </row>
    <row r="18" spans="1:10" ht="24" x14ac:dyDescent="0.2">
      <c r="A18" s="30" t="s">
        <v>51</v>
      </c>
      <c r="B18" s="30" t="s">
        <v>52</v>
      </c>
      <c r="C18" s="33" t="s">
        <v>15</v>
      </c>
      <c r="D18" s="33" t="s">
        <v>24</v>
      </c>
      <c r="E18" s="33" t="s">
        <v>24</v>
      </c>
      <c r="F18" s="33" t="s">
        <v>14</v>
      </c>
      <c r="G18" s="33" t="s">
        <v>24</v>
      </c>
      <c r="H18" s="33" t="s">
        <v>24</v>
      </c>
      <c r="I18" s="33" t="s">
        <v>20</v>
      </c>
      <c r="J18" s="33" t="s">
        <v>20</v>
      </c>
    </row>
    <row r="19" spans="1:10" ht="36" x14ac:dyDescent="0.2">
      <c r="A19" s="30" t="s">
        <v>53</v>
      </c>
      <c r="B19" s="30" t="s">
        <v>54</v>
      </c>
      <c r="C19" s="33" t="s">
        <v>72</v>
      </c>
      <c r="D19" s="33" t="s">
        <v>24</v>
      </c>
      <c r="E19" s="34" t="s">
        <v>188</v>
      </c>
      <c r="F19" s="33" t="s">
        <v>24</v>
      </c>
      <c r="G19" s="33" t="s">
        <v>24</v>
      </c>
      <c r="H19" s="33" t="s">
        <v>42</v>
      </c>
      <c r="I19" s="33" t="s">
        <v>21</v>
      </c>
      <c r="J19" s="33" t="s">
        <v>21</v>
      </c>
    </row>
    <row r="20" spans="1:10" ht="24" x14ac:dyDescent="0.2">
      <c r="A20" s="30" t="s">
        <v>55</v>
      </c>
      <c r="B20" s="30" t="s">
        <v>56</v>
      </c>
      <c r="C20" s="33" t="s">
        <v>24</v>
      </c>
      <c r="D20" s="33" t="s">
        <v>24</v>
      </c>
      <c r="E20" s="33" t="s">
        <v>24</v>
      </c>
      <c r="F20" s="33" t="s">
        <v>24</v>
      </c>
      <c r="G20" s="33" t="s">
        <v>24</v>
      </c>
      <c r="H20" s="33" t="s">
        <v>14</v>
      </c>
      <c r="I20" s="33" t="s">
        <v>59</v>
      </c>
      <c r="J20" s="33" t="s">
        <v>59</v>
      </c>
    </row>
    <row r="21" spans="1:10" ht="36" x14ac:dyDescent="0.2">
      <c r="A21" s="30" t="s">
        <v>57</v>
      </c>
      <c r="B21" s="30" t="s">
        <v>58</v>
      </c>
      <c r="C21" s="33" t="s">
        <v>19</v>
      </c>
      <c r="D21" s="33" t="s">
        <v>19</v>
      </c>
      <c r="E21" s="33" t="s">
        <v>19</v>
      </c>
      <c r="F21" s="33" t="s">
        <v>24</v>
      </c>
      <c r="G21" s="33" t="s">
        <v>72</v>
      </c>
      <c r="H21" s="33" t="s">
        <v>24</v>
      </c>
      <c r="I21" s="33" t="s">
        <v>59</v>
      </c>
      <c r="J21" s="33" t="s">
        <v>21</v>
      </c>
    </row>
    <row r="22" spans="1:10" ht="36" x14ac:dyDescent="0.2">
      <c r="A22" s="30" t="s">
        <v>60</v>
      </c>
      <c r="B22" s="30" t="s">
        <v>61</v>
      </c>
      <c r="C22" s="33" t="s">
        <v>24</v>
      </c>
      <c r="D22" s="33" t="s">
        <v>24</v>
      </c>
      <c r="E22" s="33" t="s">
        <v>24</v>
      </c>
      <c r="F22" s="33" t="s">
        <v>24</v>
      </c>
      <c r="G22" s="33" t="s">
        <v>72</v>
      </c>
      <c r="H22" s="33" t="s">
        <v>72</v>
      </c>
      <c r="I22" s="33" t="s">
        <v>21</v>
      </c>
      <c r="J22" s="33" t="s">
        <v>21</v>
      </c>
    </row>
    <row r="23" spans="1:10" ht="36" x14ac:dyDescent="0.2">
      <c r="A23" s="30" t="s">
        <v>62</v>
      </c>
      <c r="B23" s="30" t="s">
        <v>63</v>
      </c>
      <c r="C23" s="33" t="s">
        <v>72</v>
      </c>
      <c r="D23" s="33" t="s">
        <v>24</v>
      </c>
      <c r="E23" s="33" t="s">
        <v>24</v>
      </c>
      <c r="F23" s="33" t="s">
        <v>24</v>
      </c>
      <c r="G23" s="33" t="s">
        <v>24</v>
      </c>
      <c r="H23" s="33" t="s">
        <v>24</v>
      </c>
      <c r="I23" s="33" t="s">
        <v>37</v>
      </c>
      <c r="J23" s="33" t="s">
        <v>21</v>
      </c>
    </row>
    <row r="24" spans="1:10" ht="24" x14ac:dyDescent="0.2">
      <c r="A24" s="30" t="s">
        <v>64</v>
      </c>
      <c r="B24" s="30" t="s">
        <v>65</v>
      </c>
      <c r="C24" s="33" t="s">
        <v>24</v>
      </c>
      <c r="D24" s="33" t="s">
        <v>24</v>
      </c>
      <c r="E24" s="33" t="s">
        <v>24</v>
      </c>
      <c r="F24" s="33" t="s">
        <v>24</v>
      </c>
      <c r="G24" s="33" t="s">
        <v>24</v>
      </c>
      <c r="H24" s="33" t="s">
        <v>93</v>
      </c>
      <c r="I24" s="33" t="s">
        <v>20</v>
      </c>
      <c r="J24" s="33" t="s">
        <v>20</v>
      </c>
    </row>
    <row r="25" spans="1:10" ht="24" x14ac:dyDescent="0.2">
      <c r="A25" s="30" t="s">
        <v>66</v>
      </c>
      <c r="B25" s="30" t="s">
        <v>67</v>
      </c>
      <c r="C25" s="33" t="s">
        <v>24</v>
      </c>
      <c r="D25" s="33" t="s">
        <v>24</v>
      </c>
      <c r="E25" s="33" t="s">
        <v>24</v>
      </c>
      <c r="F25" s="33" t="s">
        <v>24</v>
      </c>
      <c r="G25" s="33" t="s">
        <v>24</v>
      </c>
      <c r="H25" s="33" t="s">
        <v>24</v>
      </c>
      <c r="I25" s="33" t="s">
        <v>20</v>
      </c>
      <c r="J25" s="33" t="s">
        <v>20</v>
      </c>
    </row>
    <row r="26" spans="1:10" ht="36" x14ac:dyDescent="0.2">
      <c r="A26" s="30" t="s">
        <v>68</v>
      </c>
      <c r="B26" s="30" t="s">
        <v>69</v>
      </c>
      <c r="C26" s="33" t="s">
        <v>72</v>
      </c>
      <c r="D26" s="34" t="s">
        <v>188</v>
      </c>
      <c r="E26" s="34" t="s">
        <v>188</v>
      </c>
      <c r="F26" s="33" t="s">
        <v>24</v>
      </c>
      <c r="G26" s="33" t="s">
        <v>72</v>
      </c>
      <c r="H26" s="33" t="s">
        <v>72</v>
      </c>
      <c r="I26" s="33" t="s">
        <v>16</v>
      </c>
      <c r="J26" s="33" t="s">
        <v>16</v>
      </c>
    </row>
    <row r="27" spans="1:10" ht="36" x14ac:dyDescent="0.2">
      <c r="A27" s="30" t="s">
        <v>70</v>
      </c>
      <c r="B27" s="30" t="s">
        <v>71</v>
      </c>
      <c r="C27" s="33" t="s">
        <v>19</v>
      </c>
      <c r="D27" s="33" t="s">
        <v>24</v>
      </c>
      <c r="E27" s="33" t="s">
        <v>24</v>
      </c>
      <c r="F27" s="33" t="s">
        <v>24</v>
      </c>
      <c r="G27" s="33" t="s">
        <v>24</v>
      </c>
      <c r="H27" s="33" t="s">
        <v>24</v>
      </c>
      <c r="I27" s="33" t="s">
        <v>37</v>
      </c>
      <c r="J27" s="33" t="s">
        <v>37</v>
      </c>
    </row>
    <row r="28" spans="1:10" ht="24" x14ac:dyDescent="0.2">
      <c r="A28" s="30" t="s">
        <v>73</v>
      </c>
      <c r="B28" s="30" t="s">
        <v>74</v>
      </c>
      <c r="C28" s="33" t="s">
        <v>24</v>
      </c>
      <c r="D28" s="33" t="s">
        <v>24</v>
      </c>
      <c r="E28" s="33" t="s">
        <v>24</v>
      </c>
      <c r="F28" s="33" t="s">
        <v>14</v>
      </c>
      <c r="G28" s="33" t="s">
        <v>24</v>
      </c>
      <c r="H28" s="33" t="s">
        <v>14</v>
      </c>
      <c r="I28" s="33" t="s">
        <v>21</v>
      </c>
      <c r="J28" s="33" t="s">
        <v>59</v>
      </c>
    </row>
    <row r="29" spans="1:10" ht="36" x14ac:dyDescent="0.2">
      <c r="A29" s="30" t="s">
        <v>75</v>
      </c>
      <c r="B29" s="30" t="s">
        <v>76</v>
      </c>
      <c r="C29" s="33" t="s">
        <v>24</v>
      </c>
      <c r="D29" s="33" t="s">
        <v>15</v>
      </c>
      <c r="E29" s="33" t="s">
        <v>15</v>
      </c>
      <c r="F29" s="33" t="s">
        <v>19</v>
      </c>
      <c r="G29" s="33" t="s">
        <v>24</v>
      </c>
      <c r="H29" s="33" t="s">
        <v>19</v>
      </c>
      <c r="I29" s="33" t="s">
        <v>37</v>
      </c>
      <c r="J29" s="33" t="s">
        <v>59</v>
      </c>
    </row>
    <row r="30" spans="1:10" ht="36" x14ac:dyDescent="0.2">
      <c r="A30" s="30" t="s">
        <v>77</v>
      </c>
      <c r="B30" s="30" t="s">
        <v>78</v>
      </c>
      <c r="C30" s="33" t="s">
        <v>72</v>
      </c>
      <c r="D30" s="33" t="s">
        <v>24</v>
      </c>
      <c r="E30" s="33" t="s">
        <v>24</v>
      </c>
      <c r="F30" s="33" t="s">
        <v>93</v>
      </c>
      <c r="G30" s="33" t="s">
        <v>24</v>
      </c>
      <c r="H30" s="33" t="s">
        <v>24</v>
      </c>
      <c r="I30" s="33" t="s">
        <v>59</v>
      </c>
      <c r="J30" s="33" t="s">
        <v>59</v>
      </c>
    </row>
    <row r="31" spans="1:10" ht="30" x14ac:dyDescent="0.2">
      <c r="A31" s="30" t="s">
        <v>79</v>
      </c>
      <c r="B31" s="30" t="s">
        <v>80</v>
      </c>
      <c r="C31" s="33" t="s">
        <v>14</v>
      </c>
      <c r="D31" s="33" t="s">
        <v>24</v>
      </c>
      <c r="E31" s="35" t="s">
        <v>189</v>
      </c>
      <c r="F31" s="33" t="s">
        <v>88</v>
      </c>
      <c r="G31" s="33" t="s">
        <v>88</v>
      </c>
      <c r="H31" s="33" t="s">
        <v>88</v>
      </c>
      <c r="I31" s="33" t="s">
        <v>21</v>
      </c>
      <c r="J31" s="33" t="s">
        <v>21</v>
      </c>
    </row>
    <row r="32" spans="1:10" ht="24" x14ac:dyDescent="0.2">
      <c r="A32" s="30" t="s">
        <v>81</v>
      </c>
      <c r="B32" s="30" t="s">
        <v>82</v>
      </c>
      <c r="C32" s="33" t="s">
        <v>24</v>
      </c>
      <c r="D32" s="33" t="s">
        <v>24</v>
      </c>
      <c r="E32" s="33" t="s">
        <v>24</v>
      </c>
      <c r="F32" s="33" t="s">
        <v>24</v>
      </c>
      <c r="G32" s="33" t="s">
        <v>24</v>
      </c>
      <c r="H32" s="33" t="s">
        <v>24</v>
      </c>
      <c r="I32" s="33" t="s">
        <v>59</v>
      </c>
      <c r="J32" s="33" t="s">
        <v>21</v>
      </c>
    </row>
    <row r="33" spans="1:11" ht="36" x14ac:dyDescent="0.2">
      <c r="A33" s="30" t="s">
        <v>84</v>
      </c>
      <c r="B33" s="30" t="s">
        <v>85</v>
      </c>
      <c r="C33" s="33" t="s">
        <v>72</v>
      </c>
      <c r="D33" s="33" t="s">
        <v>24</v>
      </c>
      <c r="E33" s="33" t="s">
        <v>24</v>
      </c>
      <c r="F33" s="33" t="s">
        <v>24</v>
      </c>
      <c r="G33" s="33" t="s">
        <v>24</v>
      </c>
      <c r="H33" s="33" t="s">
        <v>72</v>
      </c>
      <c r="I33" s="33" t="s">
        <v>59</v>
      </c>
      <c r="J33" s="33" t="s">
        <v>37</v>
      </c>
    </row>
    <row r="34" spans="1:11" ht="45" x14ac:dyDescent="0.2">
      <c r="A34" s="30" t="s">
        <v>86</v>
      </c>
      <c r="B34" s="30" t="s">
        <v>87</v>
      </c>
      <c r="C34" s="33" t="s">
        <v>24</v>
      </c>
      <c r="D34" s="33" t="s">
        <v>24</v>
      </c>
      <c r="E34" s="33" t="s">
        <v>24</v>
      </c>
      <c r="F34" s="33" t="s">
        <v>24</v>
      </c>
      <c r="G34" s="33" t="s">
        <v>24</v>
      </c>
      <c r="H34" s="33" t="s">
        <v>14</v>
      </c>
      <c r="I34" s="33" t="s">
        <v>59</v>
      </c>
      <c r="J34" s="33" t="s">
        <v>59</v>
      </c>
    </row>
    <row r="35" spans="1:11" ht="24" x14ac:dyDescent="0.2">
      <c r="A35" s="30" t="s">
        <v>89</v>
      </c>
      <c r="B35" s="30" t="s">
        <v>90</v>
      </c>
      <c r="C35" s="33" t="s">
        <v>24</v>
      </c>
      <c r="D35" s="33" t="s">
        <v>24</v>
      </c>
      <c r="E35" s="33" t="s">
        <v>24</v>
      </c>
      <c r="F35" s="33" t="s">
        <v>24</v>
      </c>
      <c r="G35" s="33" t="s">
        <v>24</v>
      </c>
      <c r="H35" s="33" t="s">
        <v>24</v>
      </c>
      <c r="I35" s="33" t="s">
        <v>20</v>
      </c>
      <c r="J35" s="33" t="s">
        <v>59</v>
      </c>
    </row>
    <row r="36" spans="1:11" ht="36" x14ac:dyDescent="0.2">
      <c r="A36" s="30" t="s">
        <v>91</v>
      </c>
      <c r="B36" s="30" t="s">
        <v>92</v>
      </c>
      <c r="C36" s="33" t="s">
        <v>24</v>
      </c>
      <c r="D36" s="33" t="s">
        <v>24</v>
      </c>
      <c r="E36" s="33" t="s">
        <v>24</v>
      </c>
      <c r="F36" s="33" t="s">
        <v>24</v>
      </c>
      <c r="G36" s="33" t="s">
        <v>24</v>
      </c>
      <c r="H36" s="33" t="s">
        <v>72</v>
      </c>
      <c r="I36" s="33" t="s">
        <v>93</v>
      </c>
      <c r="J36" s="33" t="s">
        <v>59</v>
      </c>
    </row>
    <row r="37" spans="1:11" ht="36" x14ac:dyDescent="0.2">
      <c r="A37" s="30" t="s">
        <v>94</v>
      </c>
      <c r="B37" s="30" t="s">
        <v>95</v>
      </c>
      <c r="C37" s="33" t="s">
        <v>24</v>
      </c>
      <c r="D37" s="33" t="s">
        <v>24</v>
      </c>
      <c r="E37" s="33" t="s">
        <v>72</v>
      </c>
      <c r="F37" s="33" t="s">
        <v>24</v>
      </c>
      <c r="G37" s="33" t="s">
        <v>24</v>
      </c>
      <c r="H37" s="33" t="s">
        <v>19</v>
      </c>
      <c r="I37" s="33" t="s">
        <v>59</v>
      </c>
      <c r="J37" s="33" t="s">
        <v>59</v>
      </c>
    </row>
    <row r="38" spans="1:11" ht="24" x14ac:dyDescent="0.2">
      <c r="A38" s="30" t="s">
        <v>96</v>
      </c>
      <c r="B38" s="30" t="s">
        <v>97</v>
      </c>
      <c r="C38" s="33" t="s">
        <v>24</v>
      </c>
      <c r="D38" s="33" t="s">
        <v>24</v>
      </c>
      <c r="E38" s="33" t="s">
        <v>24</v>
      </c>
      <c r="F38" s="33" t="s">
        <v>24</v>
      </c>
      <c r="G38" s="33" t="s">
        <v>24</v>
      </c>
      <c r="H38" s="33" t="s">
        <v>24</v>
      </c>
      <c r="I38" s="33" t="s">
        <v>20</v>
      </c>
      <c r="J38" s="33" t="s">
        <v>20</v>
      </c>
    </row>
    <row r="39" spans="1:11" ht="24" x14ac:dyDescent="0.2">
      <c r="A39" s="30" t="s">
        <v>98</v>
      </c>
      <c r="B39" s="30" t="s">
        <v>99</v>
      </c>
      <c r="C39" s="33" t="s">
        <v>24</v>
      </c>
      <c r="D39" s="33" t="s">
        <v>24</v>
      </c>
      <c r="E39" s="33" t="s">
        <v>24</v>
      </c>
      <c r="F39" s="33" t="s">
        <v>24</v>
      </c>
      <c r="G39" s="33" t="s">
        <v>24</v>
      </c>
      <c r="H39" s="33" t="s">
        <v>14</v>
      </c>
      <c r="I39" s="33" t="s">
        <v>21</v>
      </c>
      <c r="J39" s="33" t="s">
        <v>21</v>
      </c>
    </row>
    <row r="40" spans="1:11" ht="24" x14ac:dyDescent="0.2">
      <c r="A40" s="30" t="s">
        <v>100</v>
      </c>
      <c r="B40" s="30" t="s">
        <v>101</v>
      </c>
      <c r="C40" s="33" t="s">
        <v>88</v>
      </c>
      <c r="D40" s="33" t="s">
        <v>88</v>
      </c>
      <c r="E40" s="33" t="s">
        <v>88</v>
      </c>
      <c r="F40" s="33" t="s">
        <v>88</v>
      </c>
      <c r="G40" s="33" t="s">
        <v>88</v>
      </c>
      <c r="H40" s="33" t="s">
        <v>14</v>
      </c>
      <c r="I40" s="33" t="s">
        <v>102</v>
      </c>
      <c r="J40" s="33" t="s">
        <v>102</v>
      </c>
    </row>
    <row r="41" spans="1:11" ht="42.75" customHeight="1" x14ac:dyDescent="0.25">
      <c r="A41" s="127" t="s">
        <v>103</v>
      </c>
      <c r="B41" s="128"/>
      <c r="C41" s="33">
        <v>32</v>
      </c>
      <c r="D41" s="33">
        <v>32</v>
      </c>
      <c r="E41" s="33">
        <v>32</v>
      </c>
      <c r="F41" s="33">
        <v>31</v>
      </c>
      <c r="G41" s="33">
        <v>32</v>
      </c>
      <c r="H41" s="33">
        <v>22</v>
      </c>
      <c r="I41" s="33">
        <v>27</v>
      </c>
      <c r="J41" s="33">
        <v>26</v>
      </c>
      <c r="K41" s="3"/>
    </row>
    <row r="42" spans="1:11" ht="37.5" customHeight="1" x14ac:dyDescent="0.25">
      <c r="A42" s="129" t="s">
        <v>104</v>
      </c>
      <c r="B42" s="130"/>
      <c r="C42" s="36">
        <f>C41/38</f>
        <v>0.84210526315789469</v>
      </c>
      <c r="D42" s="36">
        <f t="shared" ref="D42:J42" si="0">D41/38</f>
        <v>0.84210526315789469</v>
      </c>
      <c r="E42" s="36">
        <f t="shared" si="0"/>
        <v>0.84210526315789469</v>
      </c>
      <c r="F42" s="36">
        <f t="shared" si="0"/>
        <v>0.81578947368421051</v>
      </c>
      <c r="G42" s="36">
        <f t="shared" si="0"/>
        <v>0.84210526315789469</v>
      </c>
      <c r="H42" s="36">
        <f t="shared" si="0"/>
        <v>0.57894736842105265</v>
      </c>
      <c r="I42" s="36">
        <f t="shared" si="0"/>
        <v>0.71052631578947367</v>
      </c>
      <c r="J42" s="36">
        <f t="shared" si="0"/>
        <v>0.68421052631578949</v>
      </c>
    </row>
    <row r="43" spans="1:11" ht="12.75" customHeight="1" x14ac:dyDescent="0.2">
      <c r="A43" s="131" t="s">
        <v>105</v>
      </c>
      <c r="B43" s="131"/>
      <c r="C43" s="131"/>
      <c r="D43" s="131"/>
      <c r="E43" s="131"/>
      <c r="F43" s="131"/>
      <c r="G43" s="131"/>
      <c r="H43" s="131"/>
      <c r="I43" s="131"/>
      <c r="J43" s="131"/>
    </row>
    <row r="44" spans="1:11" x14ac:dyDescent="0.25">
      <c r="A44" s="37"/>
      <c r="B44" s="132" t="s">
        <v>108</v>
      </c>
      <c r="C44" s="132"/>
      <c r="D44" s="132"/>
      <c r="E44" s="132"/>
      <c r="F44" s="132"/>
      <c r="G44" s="132"/>
      <c r="H44" s="132"/>
      <c r="I44" s="132"/>
      <c r="J44" s="132"/>
    </row>
    <row r="45" spans="1:11" s="4" customFormat="1" x14ac:dyDescent="0.25">
      <c r="A45" s="38"/>
      <c r="B45" s="39" t="s">
        <v>107</v>
      </c>
      <c r="C45" s="40"/>
      <c r="D45" s="40"/>
      <c r="E45" s="40"/>
      <c r="F45" s="40"/>
      <c r="G45" s="40"/>
      <c r="H45" s="40"/>
      <c r="I45" s="40"/>
      <c r="J45" s="40"/>
      <c r="K45" s="21"/>
    </row>
    <row r="46" spans="1:11" x14ac:dyDescent="0.25">
      <c r="A46" s="41"/>
      <c r="B46" s="132" t="s">
        <v>190</v>
      </c>
      <c r="C46" s="132"/>
      <c r="D46" s="132"/>
      <c r="E46" s="132"/>
      <c r="F46" s="132"/>
      <c r="G46" s="132"/>
      <c r="H46" s="132"/>
      <c r="I46" s="132"/>
      <c r="J46" s="132"/>
    </row>
  </sheetData>
  <mergeCells count="6">
    <mergeCell ref="B46:J46"/>
    <mergeCell ref="A1:J1"/>
    <mergeCell ref="A41:B41"/>
    <mergeCell ref="A42:B42"/>
    <mergeCell ref="A43:J43"/>
    <mergeCell ref="B44:J44"/>
  </mergeCells>
  <conditionalFormatting sqref="A45">
    <cfRule type="cellIs" dxfId="224" priority="1" stopIfTrue="1" operator="equal">
      <formula>"EXCLUDED"</formula>
    </cfRule>
    <cfRule type="cellIs" dxfId="223" priority="2" stopIfTrue="1" operator="equal">
      <formula>"DON'T KNOW IF COUNTED"</formula>
    </cfRule>
    <cfRule type="cellIs" dxfId="222" priority="3" stopIfTrue="1" operator="equal">
      <formula>"INCLUDED"</formula>
    </cfRule>
    <cfRule type="cellIs" dxfId="221" priority="4" stopIfTrue="1" operator="equal">
      <formula>"NOT COUNTED"</formula>
    </cfRule>
    <cfRule type="cellIs" dxfId="220" priority="5" stopIfTrue="1" operator="equal">
      <formula>":"</formula>
    </cfRule>
    <cfRule type="cellIs" dxfId="219" priority="6" stopIfTrue="1" operator="equal">
      <formula>"NOT COUNTED; INCLUDED"</formula>
    </cfRule>
    <cfRule type="cellIs" dxfId="218" priority="7" stopIfTrue="1" operator="equal">
      <formula>"COUNTED; EXCLUDED"</formula>
    </cfRule>
    <cfRule type="cellIs" dxfId="217" priority="8" stopIfTrue="1" operator="equal">
      <formula>"NOT COUNTED; EXCLUDED"</formula>
    </cfRule>
    <cfRule type="cellIs" dxfId="216" priority="9" stopIfTrue="1" operator="equal">
      <formula>"COUNTED; INCLUDED"</formula>
    </cfRule>
    <cfRule type="cellIs" dxfId="215" priority="10" stopIfTrue="1" operator="equal">
      <formula>"NOT SEPARATED; INCLUDED"</formula>
    </cfRule>
    <cfRule type="cellIs" dxfId="214" priority="11" stopIfTrue="1" operator="equal">
      <formula>"SEPARATED"</formula>
    </cfRule>
    <cfRule type="cellIs" dxfId="213" priority="12" stopIfTrue="1" operator="equal">
      <formula>"SEPARATED; EXCLUDED"</formula>
    </cfRule>
    <cfRule type="cellIs" dxfId="212" priority="13" stopIfTrue="1" operator="equal">
      <formula>"SEPARATED; INCLUDED"</formula>
    </cfRule>
    <cfRule type="cellIs" dxfId="211" priority="14" stopIfTrue="1" operator="equal">
      <formula>"NOT SEPARATED; EXCLUDED"</formula>
    </cfRule>
    <cfRule type="cellIs" dxfId="210" priority="15" stopIfTrue="1" operator="equal">
      <formula>"NOT SEPARATED"</formula>
    </cfRule>
  </conditionalFormatting>
  <conditionalFormatting sqref="C3:J41">
    <cfRule type="cellIs" dxfId="209" priority="16" stopIfTrue="1" operator="equal">
      <formula>"EXCLUDED"</formula>
    </cfRule>
    <cfRule type="cellIs" dxfId="208" priority="17" stopIfTrue="1" operator="equal">
      <formula>"DON'T KNOW IF COUNTED"</formula>
    </cfRule>
    <cfRule type="cellIs" dxfId="207" priority="18" stopIfTrue="1" operator="equal">
      <formula>"INCLUDED"</formula>
    </cfRule>
    <cfRule type="cellIs" dxfId="206" priority="19" stopIfTrue="1" operator="equal">
      <formula>"NOT COUNTED"</formula>
    </cfRule>
    <cfRule type="cellIs" dxfId="205" priority="20" stopIfTrue="1" operator="equal">
      <formula>":"</formula>
    </cfRule>
    <cfRule type="cellIs" dxfId="204" priority="21" stopIfTrue="1" operator="equal">
      <formula>"NOT COUNTED; INCLUDED"</formula>
    </cfRule>
    <cfRule type="cellIs" dxfId="203" priority="22" stopIfTrue="1" operator="equal">
      <formula>"COUNTED; EXCLUDED"</formula>
    </cfRule>
    <cfRule type="cellIs" dxfId="202" priority="23" stopIfTrue="1" operator="equal">
      <formula>"NOT COUNTED; EXCLUDED"</formula>
    </cfRule>
    <cfRule type="cellIs" dxfId="201" priority="24" stopIfTrue="1" operator="equal">
      <formula>"COUNTED; INCLUDED"</formula>
    </cfRule>
    <cfRule type="cellIs" dxfId="200" priority="25" stopIfTrue="1" operator="equal">
      <formula>"NOT SEPARATED; INCLUDED"</formula>
    </cfRule>
    <cfRule type="cellIs" dxfId="199" priority="26" stopIfTrue="1" operator="equal">
      <formula>"SEPARATED"</formula>
    </cfRule>
    <cfRule type="cellIs" dxfId="198" priority="27" stopIfTrue="1" operator="equal">
      <formula>"SEPARATED; EXCLUDED"</formula>
    </cfRule>
    <cfRule type="cellIs" dxfId="197" priority="28" stopIfTrue="1" operator="equal">
      <formula>"SEPARATED; INCLUDED"</formula>
    </cfRule>
    <cfRule type="cellIs" dxfId="196" priority="29" stopIfTrue="1" operator="equal">
      <formula>"NOT SEPARATED; EXCLUDED"</formula>
    </cfRule>
    <cfRule type="cellIs" dxfId="195" priority="30" stopIfTrue="1" operator="equal">
      <formula>"NOT SEPARATED"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C575E-846A-4899-AD7A-81D194DC5878}">
  <sheetPr codeName="Sheet16">
    <tabColor theme="7" tint="-0.249977111117893"/>
  </sheetPr>
  <dimension ref="A1:K42"/>
  <sheetViews>
    <sheetView zoomScaleNormal="100" workbookViewId="0">
      <selection activeCell="M15" sqref="M15"/>
    </sheetView>
  </sheetViews>
  <sheetFormatPr defaultColWidth="16.140625" defaultRowHeight="15.75" x14ac:dyDescent="0.25"/>
  <cols>
    <col min="1" max="1" width="7.140625" style="47" customWidth="1"/>
    <col min="2" max="2" width="16.140625" style="47"/>
    <col min="3" max="8" width="16.140625" style="2"/>
    <col min="9" max="10" width="16.140625" style="4"/>
    <col min="11" max="16384" width="16.140625" style="2"/>
  </cols>
  <sheetData>
    <row r="1" spans="1:11" ht="27.75" x14ac:dyDescent="0.4">
      <c r="A1" s="124" t="s">
        <v>191</v>
      </c>
      <c r="B1" s="125"/>
      <c r="C1" s="125"/>
      <c r="D1" s="125"/>
      <c r="E1" s="125"/>
      <c r="F1" s="125"/>
      <c r="G1" s="125"/>
      <c r="H1" s="125"/>
      <c r="I1" s="125"/>
      <c r="J1" s="126"/>
    </row>
    <row r="2" spans="1:11" s="42" customFormat="1" ht="75" x14ac:dyDescent="0.25">
      <c r="A2" s="5" t="s">
        <v>1</v>
      </c>
      <c r="B2" s="5" t="s">
        <v>2</v>
      </c>
      <c r="C2" s="43" t="s">
        <v>192</v>
      </c>
      <c r="D2" s="43" t="s">
        <v>193</v>
      </c>
      <c r="E2" s="43" t="s">
        <v>194</v>
      </c>
      <c r="F2" s="43" t="s">
        <v>195</v>
      </c>
      <c r="G2" s="43" t="s">
        <v>196</v>
      </c>
      <c r="H2" s="43" t="s">
        <v>197</v>
      </c>
      <c r="I2" s="43" t="s">
        <v>198</v>
      </c>
      <c r="J2" s="43" t="s">
        <v>199</v>
      </c>
      <c r="K2" s="44"/>
    </row>
    <row r="3" spans="1:11" x14ac:dyDescent="0.2">
      <c r="A3" s="45" t="s">
        <v>12</v>
      </c>
      <c r="B3" s="45" t="s">
        <v>13</v>
      </c>
      <c r="C3" s="25"/>
      <c r="D3" s="25" t="s">
        <v>102</v>
      </c>
      <c r="E3" s="120" t="s">
        <v>200</v>
      </c>
      <c r="F3" s="123"/>
      <c r="G3" s="121"/>
      <c r="H3" s="25"/>
      <c r="I3" s="120" t="s">
        <v>201</v>
      </c>
      <c r="J3" s="121"/>
    </row>
    <row r="4" spans="1:11" ht="146.25" x14ac:dyDescent="0.2">
      <c r="A4" s="45" t="s">
        <v>17</v>
      </c>
      <c r="B4" s="45" t="s">
        <v>18</v>
      </c>
      <c r="C4" s="25"/>
      <c r="D4" s="25"/>
      <c r="E4" s="25"/>
      <c r="F4" s="25"/>
      <c r="G4" s="25"/>
      <c r="H4" s="25"/>
      <c r="I4" s="25"/>
      <c r="J4" s="25" t="s">
        <v>120</v>
      </c>
    </row>
    <row r="5" spans="1:11" ht="32.25" customHeight="1" x14ac:dyDescent="0.2">
      <c r="A5" s="45" t="s">
        <v>22</v>
      </c>
      <c r="B5" s="45" t="s">
        <v>23</v>
      </c>
      <c r="C5" s="25"/>
      <c r="D5" s="25"/>
      <c r="E5" s="25"/>
      <c r="F5" s="25"/>
      <c r="G5" s="136" t="s">
        <v>200</v>
      </c>
      <c r="H5" s="137"/>
      <c r="I5" s="25"/>
      <c r="J5" s="25"/>
    </row>
    <row r="6" spans="1:11" ht="33.75" x14ac:dyDescent="0.2">
      <c r="A6" s="45" t="s">
        <v>25</v>
      </c>
      <c r="B6" s="45" t="s">
        <v>26</v>
      </c>
      <c r="C6" s="25"/>
      <c r="D6" s="25"/>
      <c r="E6" s="25"/>
      <c r="F6" s="25"/>
      <c r="G6" s="25" t="s">
        <v>200</v>
      </c>
      <c r="H6" s="25"/>
      <c r="I6" s="25"/>
      <c r="J6" s="25"/>
    </row>
    <row r="7" spans="1:11" ht="409.5" x14ac:dyDescent="0.2">
      <c r="A7" s="45" t="s">
        <v>27</v>
      </c>
      <c r="B7" s="45" t="s">
        <v>28</v>
      </c>
      <c r="C7" s="25" t="s">
        <v>202</v>
      </c>
      <c r="D7" s="25" t="s">
        <v>203</v>
      </c>
      <c r="E7" s="25" t="s">
        <v>204</v>
      </c>
      <c r="F7" s="25" t="s">
        <v>205</v>
      </c>
      <c r="G7" s="25" t="s">
        <v>206</v>
      </c>
      <c r="H7" s="25" t="s">
        <v>207</v>
      </c>
      <c r="I7" s="120" t="s">
        <v>208</v>
      </c>
      <c r="J7" s="121"/>
    </row>
    <row r="8" spans="1:11" x14ac:dyDescent="0.2">
      <c r="A8" s="45" t="s">
        <v>29</v>
      </c>
      <c r="B8" s="45" t="s">
        <v>30</v>
      </c>
      <c r="C8" s="25"/>
      <c r="D8" s="25"/>
      <c r="E8" s="25"/>
      <c r="F8" s="25"/>
      <c r="G8" s="25"/>
      <c r="H8" s="25"/>
      <c r="I8" s="25"/>
      <c r="J8" s="25"/>
    </row>
    <row r="9" spans="1:11" ht="22.5" x14ac:dyDescent="0.2">
      <c r="A9" s="45" t="s">
        <v>31</v>
      </c>
      <c r="B9" s="45" t="s">
        <v>32</v>
      </c>
      <c r="C9" s="25"/>
      <c r="D9" s="120" t="s">
        <v>126</v>
      </c>
      <c r="E9" s="121"/>
      <c r="F9" s="25" t="s">
        <v>102</v>
      </c>
      <c r="G9" s="25"/>
      <c r="H9" s="25" t="s">
        <v>209</v>
      </c>
      <c r="I9" s="25"/>
      <c r="J9" s="25"/>
    </row>
    <row r="10" spans="1:11" x14ac:dyDescent="0.2">
      <c r="A10" s="45" t="s">
        <v>33</v>
      </c>
      <c r="B10" s="45" t="s">
        <v>34</v>
      </c>
      <c r="C10" s="25"/>
      <c r="D10" s="25"/>
      <c r="E10" s="25"/>
      <c r="F10" s="25"/>
      <c r="G10" s="25"/>
      <c r="H10" s="25"/>
      <c r="I10" s="133" t="s">
        <v>210</v>
      </c>
      <c r="J10" s="134"/>
    </row>
    <row r="11" spans="1:11" x14ac:dyDescent="0.2">
      <c r="A11" s="45" t="s">
        <v>35</v>
      </c>
      <c r="B11" s="45" t="s">
        <v>36</v>
      </c>
      <c r="C11" s="25"/>
      <c r="D11" s="25"/>
      <c r="E11" s="25"/>
      <c r="F11" s="25"/>
      <c r="G11" s="25"/>
      <c r="H11" s="25"/>
      <c r="I11" s="25"/>
      <c r="J11" s="25"/>
    </row>
    <row r="12" spans="1:11" ht="33.75" x14ac:dyDescent="0.2">
      <c r="A12" s="45" t="s">
        <v>38</v>
      </c>
      <c r="B12" s="45" t="s">
        <v>39</v>
      </c>
      <c r="C12" s="25"/>
      <c r="D12" s="25"/>
      <c r="E12" s="25"/>
      <c r="F12" s="25"/>
      <c r="G12" s="25"/>
      <c r="H12" s="25" t="s">
        <v>211</v>
      </c>
      <c r="I12" s="25"/>
      <c r="J12" s="25"/>
    </row>
    <row r="13" spans="1:11" ht="371.25" x14ac:dyDescent="0.2">
      <c r="A13" s="45" t="s">
        <v>40</v>
      </c>
      <c r="B13" s="45" t="s">
        <v>41</v>
      </c>
      <c r="C13" s="25" t="s">
        <v>212</v>
      </c>
      <c r="D13" s="25" t="s">
        <v>213</v>
      </c>
      <c r="E13" s="25" t="s">
        <v>213</v>
      </c>
      <c r="F13" s="25" t="s">
        <v>214</v>
      </c>
      <c r="G13" s="25" t="s">
        <v>215</v>
      </c>
      <c r="H13" s="25" t="s">
        <v>216</v>
      </c>
      <c r="I13" s="25" t="s">
        <v>217</v>
      </c>
      <c r="J13" s="25" t="s">
        <v>218</v>
      </c>
    </row>
    <row r="14" spans="1:11" ht="67.5" x14ac:dyDescent="0.2">
      <c r="A14" s="45" t="s">
        <v>43</v>
      </c>
      <c r="B14" s="45" t="s">
        <v>44</v>
      </c>
      <c r="C14" s="25" t="s">
        <v>219</v>
      </c>
      <c r="D14" s="25"/>
      <c r="E14" s="25"/>
      <c r="F14" s="25"/>
      <c r="G14" s="25"/>
      <c r="H14" s="25" t="s">
        <v>220</v>
      </c>
      <c r="I14" s="25" t="s">
        <v>221</v>
      </c>
      <c r="J14" s="25" t="s">
        <v>222</v>
      </c>
    </row>
    <row r="15" spans="1:11" ht="101.25" x14ac:dyDescent="0.2">
      <c r="A15" s="45" t="s">
        <v>45</v>
      </c>
      <c r="B15" s="45" t="s">
        <v>46</v>
      </c>
      <c r="C15" s="25"/>
      <c r="D15" s="25" t="s">
        <v>223</v>
      </c>
      <c r="E15" s="25" t="s">
        <v>224</v>
      </c>
      <c r="F15" s="25"/>
      <c r="G15" s="25"/>
      <c r="H15" s="25" t="s">
        <v>225</v>
      </c>
      <c r="I15" s="25"/>
      <c r="J15" s="25"/>
    </row>
    <row r="16" spans="1:11" ht="146.25" x14ac:dyDescent="0.2">
      <c r="A16" s="45" t="s">
        <v>47</v>
      </c>
      <c r="B16" s="45" t="s">
        <v>48</v>
      </c>
      <c r="C16" s="25"/>
      <c r="D16" s="25"/>
      <c r="E16" s="25"/>
      <c r="F16" s="25"/>
      <c r="G16" s="25"/>
      <c r="H16" s="25" t="s">
        <v>226</v>
      </c>
      <c r="I16" s="25" t="s">
        <v>227</v>
      </c>
      <c r="J16" s="25" t="s">
        <v>228</v>
      </c>
    </row>
    <row r="17" spans="1:10" x14ac:dyDescent="0.2">
      <c r="A17" s="45" t="s">
        <v>49</v>
      </c>
      <c r="B17" s="45" t="s">
        <v>50</v>
      </c>
      <c r="C17" s="25" t="s">
        <v>175</v>
      </c>
      <c r="D17" s="25" t="s">
        <v>175</v>
      </c>
      <c r="E17" s="25" t="s">
        <v>229</v>
      </c>
      <c r="F17" s="25" t="s">
        <v>230</v>
      </c>
      <c r="G17" s="25" t="s">
        <v>175</v>
      </c>
      <c r="H17" s="25" t="s">
        <v>231</v>
      </c>
      <c r="I17" s="25" t="s">
        <v>102</v>
      </c>
      <c r="J17" s="25" t="s">
        <v>141</v>
      </c>
    </row>
    <row r="18" spans="1:10" x14ac:dyDescent="0.2">
      <c r="A18" s="45" t="s">
        <v>51</v>
      </c>
      <c r="B18" s="45" t="s">
        <v>52</v>
      </c>
      <c r="C18" s="25" t="s">
        <v>102</v>
      </c>
      <c r="D18" s="25"/>
      <c r="E18" s="25"/>
      <c r="F18" s="25" t="s">
        <v>102</v>
      </c>
      <c r="G18" s="25"/>
      <c r="H18" s="25"/>
      <c r="I18" s="25"/>
      <c r="J18" s="25"/>
    </row>
    <row r="19" spans="1:10" ht="146.25" x14ac:dyDescent="0.2">
      <c r="A19" s="45" t="s">
        <v>53</v>
      </c>
      <c r="B19" s="45" t="s">
        <v>54</v>
      </c>
      <c r="C19" s="25"/>
      <c r="D19" s="25"/>
      <c r="E19" s="25"/>
      <c r="F19" s="25" t="s">
        <v>232</v>
      </c>
      <c r="G19" s="25" t="s">
        <v>233</v>
      </c>
      <c r="H19" s="25" t="s">
        <v>234</v>
      </c>
      <c r="I19" s="25" t="s">
        <v>235</v>
      </c>
      <c r="J19" s="25" t="s">
        <v>236</v>
      </c>
    </row>
    <row r="20" spans="1:10" ht="56.25" x14ac:dyDescent="0.2">
      <c r="A20" s="45" t="s">
        <v>55</v>
      </c>
      <c r="B20" s="45" t="s">
        <v>56</v>
      </c>
      <c r="C20" s="25"/>
      <c r="D20" s="25"/>
      <c r="E20" s="25"/>
      <c r="F20" s="25"/>
      <c r="G20" s="25"/>
      <c r="H20" s="25" t="s">
        <v>237</v>
      </c>
      <c r="I20" s="25"/>
      <c r="J20" s="25"/>
    </row>
    <row r="21" spans="1:10" ht="45" x14ac:dyDescent="0.2">
      <c r="A21" s="45" t="s">
        <v>57</v>
      </c>
      <c r="B21" s="45" t="s">
        <v>58</v>
      </c>
      <c r="C21" s="120" t="s">
        <v>238</v>
      </c>
      <c r="D21" s="123"/>
      <c r="E21" s="121"/>
      <c r="F21" s="25"/>
      <c r="G21" s="25"/>
      <c r="H21" s="25"/>
      <c r="I21" s="25"/>
      <c r="J21" s="25" t="s">
        <v>238</v>
      </c>
    </row>
    <row r="22" spans="1:10" x14ac:dyDescent="0.2">
      <c r="A22" s="45" t="s">
        <v>60</v>
      </c>
      <c r="B22" s="45" t="s">
        <v>61</v>
      </c>
      <c r="C22" s="25"/>
      <c r="D22" s="25"/>
      <c r="E22" s="25"/>
      <c r="F22" s="25"/>
      <c r="G22" s="25"/>
      <c r="H22" s="25"/>
      <c r="I22" s="133" t="s">
        <v>239</v>
      </c>
      <c r="J22" s="134"/>
    </row>
    <row r="23" spans="1:10" x14ac:dyDescent="0.2">
      <c r="A23" s="45" t="s">
        <v>62</v>
      </c>
      <c r="B23" s="45" t="s">
        <v>63</v>
      </c>
      <c r="C23" s="25"/>
      <c r="D23" s="25"/>
      <c r="E23" s="25"/>
      <c r="F23" s="25"/>
      <c r="G23" s="25"/>
      <c r="H23" s="25"/>
      <c r="I23" s="25"/>
      <c r="J23" s="25" t="s">
        <v>102</v>
      </c>
    </row>
    <row r="24" spans="1:10" ht="45" x14ac:dyDescent="0.2">
      <c r="A24" s="45" t="s">
        <v>64</v>
      </c>
      <c r="B24" s="45" t="s">
        <v>65</v>
      </c>
      <c r="C24" s="25"/>
      <c r="D24" s="25"/>
      <c r="E24" s="25"/>
      <c r="F24" s="25"/>
      <c r="G24" s="25"/>
      <c r="H24" s="25" t="s">
        <v>240</v>
      </c>
      <c r="I24" s="25"/>
      <c r="J24" s="25"/>
    </row>
    <row r="25" spans="1:10" x14ac:dyDescent="0.2">
      <c r="A25" s="45" t="s">
        <v>66</v>
      </c>
      <c r="B25" s="45" t="s">
        <v>67</v>
      </c>
      <c r="C25" s="25"/>
      <c r="D25" s="25"/>
      <c r="E25" s="25"/>
      <c r="F25" s="25"/>
      <c r="G25" s="25"/>
      <c r="H25" s="25"/>
      <c r="I25" s="25"/>
      <c r="J25" s="25"/>
    </row>
    <row r="26" spans="1:10" ht="33.75" x14ac:dyDescent="0.2">
      <c r="A26" s="45" t="s">
        <v>68</v>
      </c>
      <c r="B26" s="45" t="s">
        <v>69</v>
      </c>
      <c r="C26" s="25"/>
      <c r="D26" s="25"/>
      <c r="E26" s="25"/>
      <c r="F26" s="25"/>
      <c r="G26" s="25"/>
      <c r="H26" s="25" t="s">
        <v>241</v>
      </c>
      <c r="I26" s="133" t="s">
        <v>242</v>
      </c>
      <c r="J26" s="134"/>
    </row>
    <row r="27" spans="1:10" ht="22.5" x14ac:dyDescent="0.2">
      <c r="A27" s="45" t="s">
        <v>70</v>
      </c>
      <c r="B27" s="45" t="s">
        <v>71</v>
      </c>
      <c r="C27" s="25" t="s">
        <v>243</v>
      </c>
      <c r="D27" s="25" t="s">
        <v>244</v>
      </c>
      <c r="E27" s="25" t="s">
        <v>245</v>
      </c>
      <c r="F27" s="25" t="s">
        <v>246</v>
      </c>
      <c r="G27" s="25" t="s">
        <v>247</v>
      </c>
      <c r="H27" s="25" t="s">
        <v>243</v>
      </c>
      <c r="I27" s="25" t="s">
        <v>248</v>
      </c>
      <c r="J27" s="25" t="s">
        <v>249</v>
      </c>
    </row>
    <row r="28" spans="1:10" ht="101.25" x14ac:dyDescent="0.2">
      <c r="A28" s="45" t="s">
        <v>73</v>
      </c>
      <c r="B28" s="45" t="s">
        <v>74</v>
      </c>
      <c r="C28" s="25"/>
      <c r="D28" s="25" t="s">
        <v>250</v>
      </c>
      <c r="E28" s="25"/>
      <c r="F28" s="25" t="s">
        <v>175</v>
      </c>
      <c r="G28" s="25"/>
      <c r="H28" s="25" t="s">
        <v>175</v>
      </c>
      <c r="I28" s="25" t="s">
        <v>251</v>
      </c>
      <c r="J28" s="25"/>
    </row>
    <row r="29" spans="1:10" ht="33.75" x14ac:dyDescent="0.2">
      <c r="A29" s="45" t="s">
        <v>75</v>
      </c>
      <c r="B29" s="45" t="s">
        <v>76</v>
      </c>
      <c r="C29" s="25"/>
      <c r="D29" s="120" t="s">
        <v>252</v>
      </c>
      <c r="E29" s="123"/>
      <c r="F29" s="121"/>
      <c r="G29" s="25"/>
      <c r="H29" s="25" t="s">
        <v>252</v>
      </c>
      <c r="I29" s="25"/>
      <c r="J29" s="25"/>
    </row>
    <row r="30" spans="1:10" ht="45" x14ac:dyDescent="0.2">
      <c r="A30" s="45" t="s">
        <v>77</v>
      </c>
      <c r="B30" s="45" t="s">
        <v>78</v>
      </c>
      <c r="C30" s="25"/>
      <c r="D30" s="25"/>
      <c r="E30" s="25"/>
      <c r="F30" s="25"/>
      <c r="G30" s="25"/>
      <c r="H30" s="25" t="s">
        <v>253</v>
      </c>
      <c r="I30" s="25" t="s">
        <v>165</v>
      </c>
      <c r="J30" s="25" t="s">
        <v>165</v>
      </c>
    </row>
    <row r="31" spans="1:10" ht="31.5" x14ac:dyDescent="0.2">
      <c r="A31" s="45" t="s">
        <v>79</v>
      </c>
      <c r="B31" s="45" t="s">
        <v>80</v>
      </c>
      <c r="C31" s="25" t="s">
        <v>102</v>
      </c>
      <c r="D31" s="25"/>
      <c r="E31" s="25" t="s">
        <v>102</v>
      </c>
      <c r="F31" s="25" t="s">
        <v>102</v>
      </c>
      <c r="G31" s="25" t="s">
        <v>102</v>
      </c>
      <c r="H31" s="25" t="s">
        <v>102</v>
      </c>
      <c r="I31" s="25" t="s">
        <v>166</v>
      </c>
      <c r="J31" s="25" t="s">
        <v>166</v>
      </c>
    </row>
    <row r="32" spans="1:10" ht="90" x14ac:dyDescent="0.2">
      <c r="A32" s="45" t="s">
        <v>81</v>
      </c>
      <c r="B32" s="45" t="s">
        <v>82</v>
      </c>
      <c r="C32" s="25"/>
      <c r="D32" s="25"/>
      <c r="E32" s="25"/>
      <c r="F32" s="25"/>
      <c r="G32" s="25"/>
      <c r="H32" s="25"/>
      <c r="I32" s="25" t="s">
        <v>169</v>
      </c>
      <c r="J32" s="25" t="s">
        <v>254</v>
      </c>
    </row>
    <row r="33" spans="1:10" ht="337.5" x14ac:dyDescent="0.2">
      <c r="A33" s="45" t="s">
        <v>84</v>
      </c>
      <c r="B33" s="45" t="s">
        <v>85</v>
      </c>
      <c r="C33" s="25"/>
      <c r="D33" s="25" t="s">
        <v>255</v>
      </c>
      <c r="E33" s="25" t="s">
        <v>255</v>
      </c>
      <c r="F33" s="25" t="s">
        <v>256</v>
      </c>
      <c r="G33" s="25" t="s">
        <v>257</v>
      </c>
      <c r="H33" s="25"/>
      <c r="I33" s="25" t="s">
        <v>258</v>
      </c>
      <c r="J33" s="25" t="s">
        <v>259</v>
      </c>
    </row>
    <row r="34" spans="1:10" ht="31.5" x14ac:dyDescent="0.2">
      <c r="A34" s="45" t="s">
        <v>86</v>
      </c>
      <c r="B34" s="45" t="s">
        <v>87</v>
      </c>
      <c r="C34" s="25"/>
      <c r="D34" s="25"/>
      <c r="E34" s="25"/>
      <c r="F34" s="25"/>
      <c r="G34" s="25"/>
      <c r="H34" s="25" t="s">
        <v>175</v>
      </c>
      <c r="I34" s="25"/>
      <c r="J34" s="25"/>
    </row>
    <row r="35" spans="1:10" x14ac:dyDescent="0.2">
      <c r="A35" s="45" t="s">
        <v>89</v>
      </c>
      <c r="B35" s="45" t="s">
        <v>90</v>
      </c>
      <c r="C35" s="25"/>
      <c r="D35" s="25"/>
      <c r="E35" s="25"/>
      <c r="F35" s="25"/>
      <c r="G35" s="25"/>
      <c r="H35" s="25"/>
      <c r="I35" s="25"/>
      <c r="J35" s="25"/>
    </row>
    <row r="36" spans="1:10" ht="31.5" x14ac:dyDescent="0.2">
      <c r="A36" s="45" t="s">
        <v>91</v>
      </c>
      <c r="B36" s="45" t="s">
        <v>92</v>
      </c>
      <c r="C36" s="25"/>
      <c r="D36" s="25"/>
      <c r="E36" s="25"/>
      <c r="F36" s="25"/>
      <c r="G36" s="25"/>
      <c r="H36" s="25"/>
      <c r="I36" s="25"/>
      <c r="J36" s="25"/>
    </row>
    <row r="37" spans="1:10" ht="45" x14ac:dyDescent="0.2">
      <c r="A37" s="45" t="s">
        <v>94</v>
      </c>
      <c r="B37" s="45" t="s">
        <v>95</v>
      </c>
      <c r="C37" s="25" t="s">
        <v>260</v>
      </c>
      <c r="D37" s="25" t="s">
        <v>261</v>
      </c>
      <c r="E37" s="25"/>
      <c r="F37" s="25" t="s">
        <v>262</v>
      </c>
      <c r="G37" s="25" t="s">
        <v>263</v>
      </c>
      <c r="H37" s="25" t="s">
        <v>173</v>
      </c>
      <c r="I37" s="25"/>
      <c r="J37" s="25" t="s">
        <v>264</v>
      </c>
    </row>
    <row r="38" spans="1:10" x14ac:dyDescent="0.2">
      <c r="A38" s="45" t="s">
        <v>96</v>
      </c>
      <c r="B38" s="45" t="s">
        <v>97</v>
      </c>
      <c r="C38" s="25"/>
      <c r="D38" s="25"/>
      <c r="E38" s="25"/>
      <c r="F38" s="25"/>
      <c r="G38" s="25"/>
      <c r="H38" s="25"/>
      <c r="I38" s="25"/>
      <c r="J38" s="25"/>
    </row>
    <row r="39" spans="1:10" ht="135" x14ac:dyDescent="0.2">
      <c r="A39" s="45" t="s">
        <v>98</v>
      </c>
      <c r="B39" s="45" t="s">
        <v>99</v>
      </c>
      <c r="C39" s="46"/>
      <c r="D39" s="46"/>
      <c r="E39" s="46"/>
      <c r="F39" s="46"/>
      <c r="G39" s="46"/>
      <c r="H39" s="46" t="s">
        <v>102</v>
      </c>
      <c r="I39" s="25" t="s">
        <v>265</v>
      </c>
      <c r="J39" s="25" t="s">
        <v>266</v>
      </c>
    </row>
    <row r="40" spans="1:10" x14ac:dyDescent="0.2">
      <c r="A40" s="45" t="s">
        <v>100</v>
      </c>
      <c r="B40" s="45" t="s">
        <v>101</v>
      </c>
      <c r="C40" s="25" t="s">
        <v>102</v>
      </c>
      <c r="D40" s="25" t="s">
        <v>102</v>
      </c>
      <c r="E40" s="25" t="s">
        <v>102</v>
      </c>
      <c r="F40" s="25" t="s">
        <v>102</v>
      </c>
      <c r="G40" s="25" t="s">
        <v>102</v>
      </c>
      <c r="H40" s="25" t="s">
        <v>102</v>
      </c>
      <c r="I40" s="25" t="s">
        <v>102</v>
      </c>
      <c r="J40" s="25" t="s">
        <v>102</v>
      </c>
    </row>
    <row r="41" spans="1:10" ht="12.75" x14ac:dyDescent="0.2">
      <c r="A41" s="135" t="s">
        <v>105</v>
      </c>
      <c r="B41" s="135"/>
      <c r="C41" s="135"/>
      <c r="D41" s="135"/>
      <c r="E41" s="135"/>
      <c r="F41" s="135"/>
      <c r="G41" s="135"/>
      <c r="H41" s="135"/>
      <c r="I41" s="135"/>
      <c r="J41" s="135"/>
    </row>
    <row r="42" spans="1:10" x14ac:dyDescent="0.25">
      <c r="A42" s="47" t="s">
        <v>178</v>
      </c>
      <c r="C42" s="48"/>
      <c r="D42" s="48"/>
      <c r="E42" s="48"/>
      <c r="F42" s="48"/>
      <c r="G42" s="48"/>
      <c r="H42" s="48"/>
      <c r="I42" s="49"/>
      <c r="J42" s="49"/>
    </row>
  </sheetData>
  <mergeCells count="12">
    <mergeCell ref="A41:J41"/>
    <mergeCell ref="A1:J1"/>
    <mergeCell ref="E3:G3"/>
    <mergeCell ref="I3:J3"/>
    <mergeCell ref="G5:H5"/>
    <mergeCell ref="I7:J7"/>
    <mergeCell ref="D9:E9"/>
    <mergeCell ref="I10:J10"/>
    <mergeCell ref="C21:E21"/>
    <mergeCell ref="I22:J22"/>
    <mergeCell ref="I26:J26"/>
    <mergeCell ref="D29:F29"/>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B4D9-30D5-43F5-B481-0E40004BE6FE}">
  <sheetPr codeName="Sheet17">
    <tabColor theme="5" tint="-0.249977111117893"/>
  </sheetPr>
  <dimension ref="A1:K48"/>
  <sheetViews>
    <sheetView zoomScaleNormal="100" workbookViewId="0">
      <selection activeCell="M15" sqref="M15"/>
    </sheetView>
  </sheetViews>
  <sheetFormatPr defaultColWidth="8.7109375" defaultRowHeight="12.75" x14ac:dyDescent="0.2"/>
  <cols>
    <col min="1" max="1" width="4.28515625" style="2" bestFit="1" customWidth="1"/>
    <col min="2" max="2" width="17.140625" style="2" customWidth="1"/>
    <col min="3" max="6" width="10.42578125" style="2" customWidth="1"/>
    <col min="7" max="16384" width="8.7109375" style="2"/>
  </cols>
  <sheetData>
    <row r="1" spans="1:6" ht="27.75" x14ac:dyDescent="0.4">
      <c r="A1" s="138" t="s">
        <v>267</v>
      </c>
      <c r="B1" s="138"/>
      <c r="C1" s="138"/>
      <c r="D1" s="138"/>
      <c r="E1" s="138"/>
      <c r="F1" s="138"/>
    </row>
    <row r="2" spans="1:6" ht="51" x14ac:dyDescent="0.2">
      <c r="A2" s="50" t="s">
        <v>1</v>
      </c>
      <c r="B2" s="50" t="s">
        <v>268</v>
      </c>
      <c r="C2" s="50" t="s">
        <v>269</v>
      </c>
      <c r="D2" s="50" t="s">
        <v>270</v>
      </c>
      <c r="E2" s="50" t="s">
        <v>271</v>
      </c>
      <c r="F2" s="50" t="s">
        <v>272</v>
      </c>
    </row>
    <row r="3" spans="1:6" x14ac:dyDescent="0.2">
      <c r="A3" s="51" t="s">
        <v>12</v>
      </c>
      <c r="B3" s="51" t="s">
        <v>13</v>
      </c>
      <c r="C3" s="52" t="s">
        <v>42</v>
      </c>
      <c r="D3" s="52" t="s">
        <v>93</v>
      </c>
      <c r="E3" s="52" t="s">
        <v>93</v>
      </c>
      <c r="F3" s="52" t="s">
        <v>42</v>
      </c>
    </row>
    <row r="4" spans="1:6" x14ac:dyDescent="0.2">
      <c r="A4" s="51" t="s">
        <v>17</v>
      </c>
      <c r="B4" s="51" t="s">
        <v>18</v>
      </c>
      <c r="C4" s="52" t="s">
        <v>93</v>
      </c>
      <c r="D4" s="52" t="s">
        <v>93</v>
      </c>
      <c r="E4" s="52" t="s">
        <v>93</v>
      </c>
      <c r="F4" s="52" t="s">
        <v>93</v>
      </c>
    </row>
    <row r="5" spans="1:6" x14ac:dyDescent="0.2">
      <c r="A5" s="51" t="s">
        <v>22</v>
      </c>
      <c r="B5" s="51" t="s">
        <v>23</v>
      </c>
      <c r="C5" s="52" t="s">
        <v>93</v>
      </c>
      <c r="D5" s="52" t="s">
        <v>93</v>
      </c>
      <c r="E5" s="52" t="s">
        <v>93</v>
      </c>
      <c r="F5" s="52" t="s">
        <v>93</v>
      </c>
    </row>
    <row r="6" spans="1:6" x14ac:dyDescent="0.2">
      <c r="A6" s="51" t="s">
        <v>25</v>
      </c>
      <c r="B6" s="51" t="s">
        <v>26</v>
      </c>
      <c r="C6" s="52" t="s">
        <v>93</v>
      </c>
      <c r="D6" s="52" t="s">
        <v>93</v>
      </c>
      <c r="E6" s="52" t="s">
        <v>93</v>
      </c>
      <c r="F6" s="52" t="s">
        <v>93</v>
      </c>
    </row>
    <row r="7" spans="1:6" x14ac:dyDescent="0.2">
      <c r="A7" s="51" t="s">
        <v>27</v>
      </c>
      <c r="B7" s="51" t="s">
        <v>28</v>
      </c>
      <c r="C7" s="52" t="s">
        <v>93</v>
      </c>
      <c r="D7" s="52" t="s">
        <v>93</v>
      </c>
      <c r="E7" s="52" t="s">
        <v>93</v>
      </c>
      <c r="F7" s="52" t="s">
        <v>93</v>
      </c>
    </row>
    <row r="8" spans="1:6" x14ac:dyDescent="0.2">
      <c r="A8" s="51" t="s">
        <v>29</v>
      </c>
      <c r="B8" s="51" t="s">
        <v>30</v>
      </c>
      <c r="C8" s="52" t="s">
        <v>42</v>
      </c>
      <c r="D8" s="52" t="s">
        <v>93</v>
      </c>
      <c r="E8" s="52" t="s">
        <v>93</v>
      </c>
      <c r="F8" s="52" t="s">
        <v>93</v>
      </c>
    </row>
    <row r="9" spans="1:6" x14ac:dyDescent="0.2">
      <c r="A9" s="51" t="s">
        <v>31</v>
      </c>
      <c r="B9" s="51" t="s">
        <v>32</v>
      </c>
      <c r="C9" s="52" t="s">
        <v>93</v>
      </c>
      <c r="D9" s="52" t="s">
        <v>93</v>
      </c>
      <c r="E9" s="52" t="s">
        <v>93</v>
      </c>
      <c r="F9" s="52" t="s">
        <v>93</v>
      </c>
    </row>
    <row r="10" spans="1:6" x14ac:dyDescent="0.2">
      <c r="A10" s="51" t="s">
        <v>33</v>
      </c>
      <c r="B10" s="51" t="s">
        <v>34</v>
      </c>
      <c r="C10" s="52" t="s">
        <v>93</v>
      </c>
      <c r="D10" s="52" t="s">
        <v>93</v>
      </c>
      <c r="E10" s="52" t="s">
        <v>93</v>
      </c>
      <c r="F10" s="52" t="s">
        <v>93</v>
      </c>
    </row>
    <row r="11" spans="1:6" x14ac:dyDescent="0.2">
      <c r="A11" s="51" t="s">
        <v>35</v>
      </c>
      <c r="B11" s="51" t="s">
        <v>36</v>
      </c>
      <c r="C11" s="52" t="s">
        <v>93</v>
      </c>
      <c r="D11" s="52" t="s">
        <v>93</v>
      </c>
      <c r="E11" s="52" t="s">
        <v>93</v>
      </c>
      <c r="F11" s="52" t="s">
        <v>93</v>
      </c>
    </row>
    <row r="12" spans="1:6" x14ac:dyDescent="0.2">
      <c r="A12" s="51" t="s">
        <v>38</v>
      </c>
      <c r="B12" s="51" t="s">
        <v>39</v>
      </c>
      <c r="C12" s="52" t="s">
        <v>93</v>
      </c>
      <c r="D12" s="52" t="s">
        <v>93</v>
      </c>
      <c r="E12" s="52" t="s">
        <v>93</v>
      </c>
      <c r="F12" s="52" t="s">
        <v>93</v>
      </c>
    </row>
    <row r="13" spans="1:6" x14ac:dyDescent="0.2">
      <c r="A13" s="51" t="s">
        <v>40</v>
      </c>
      <c r="B13" s="51" t="s">
        <v>41</v>
      </c>
      <c r="C13" s="52" t="s">
        <v>93</v>
      </c>
      <c r="D13" s="52" t="s">
        <v>93</v>
      </c>
      <c r="E13" s="52" t="s">
        <v>93</v>
      </c>
      <c r="F13" s="52" t="s">
        <v>93</v>
      </c>
    </row>
    <row r="14" spans="1:6" x14ac:dyDescent="0.2">
      <c r="A14" s="51" t="s">
        <v>43</v>
      </c>
      <c r="B14" s="51" t="s">
        <v>44</v>
      </c>
      <c r="C14" s="52" t="s">
        <v>93</v>
      </c>
      <c r="D14" s="52" t="s">
        <v>93</v>
      </c>
      <c r="E14" s="52" t="s">
        <v>93</v>
      </c>
      <c r="F14" s="53" t="s">
        <v>42</v>
      </c>
    </row>
    <row r="15" spans="1:6" x14ac:dyDescent="0.2">
      <c r="A15" s="51" t="s">
        <v>45</v>
      </c>
      <c r="B15" s="51" t="s">
        <v>46</v>
      </c>
      <c r="C15" s="52" t="s">
        <v>93</v>
      </c>
      <c r="D15" s="52" t="s">
        <v>93</v>
      </c>
      <c r="E15" s="52" t="s">
        <v>93</v>
      </c>
      <c r="F15" s="52" t="s">
        <v>93</v>
      </c>
    </row>
    <row r="16" spans="1:6" x14ac:dyDescent="0.2">
      <c r="A16" s="51" t="s">
        <v>47</v>
      </c>
      <c r="B16" s="51" t="s">
        <v>48</v>
      </c>
      <c r="C16" s="52" t="s">
        <v>93</v>
      </c>
      <c r="D16" s="52" t="s">
        <v>93</v>
      </c>
      <c r="E16" s="52" t="s">
        <v>93</v>
      </c>
      <c r="F16" s="52" t="s">
        <v>93</v>
      </c>
    </row>
    <row r="17" spans="1:6" x14ac:dyDescent="0.2">
      <c r="A17" s="51" t="s">
        <v>49</v>
      </c>
      <c r="B17" s="51" t="s">
        <v>50</v>
      </c>
      <c r="C17" s="52" t="s">
        <v>93</v>
      </c>
      <c r="D17" s="52" t="s">
        <v>93</v>
      </c>
      <c r="E17" s="52" t="s">
        <v>93</v>
      </c>
      <c r="F17" s="52" t="s">
        <v>93</v>
      </c>
    </row>
    <row r="18" spans="1:6" x14ac:dyDescent="0.2">
      <c r="A18" s="51" t="s">
        <v>51</v>
      </c>
      <c r="B18" s="51" t="s">
        <v>52</v>
      </c>
      <c r="C18" s="52" t="s">
        <v>93</v>
      </c>
      <c r="D18" s="52" t="s">
        <v>93</v>
      </c>
      <c r="E18" s="52" t="s">
        <v>93</v>
      </c>
      <c r="F18" s="52" t="s">
        <v>93</v>
      </c>
    </row>
    <row r="19" spans="1:6" x14ac:dyDescent="0.2">
      <c r="A19" s="51" t="s">
        <v>53</v>
      </c>
      <c r="B19" s="51" t="s">
        <v>54</v>
      </c>
      <c r="C19" s="52" t="s">
        <v>93</v>
      </c>
      <c r="D19" s="52" t="s">
        <v>93</v>
      </c>
      <c r="E19" s="52" t="s">
        <v>93</v>
      </c>
      <c r="F19" s="52" t="s">
        <v>93</v>
      </c>
    </row>
    <row r="20" spans="1:6" x14ac:dyDescent="0.2">
      <c r="A20" s="51" t="s">
        <v>55</v>
      </c>
      <c r="B20" s="51" t="s">
        <v>56</v>
      </c>
      <c r="C20" s="52" t="s">
        <v>42</v>
      </c>
      <c r="D20" s="52" t="s">
        <v>93</v>
      </c>
      <c r="E20" s="52" t="s">
        <v>93</v>
      </c>
      <c r="F20" s="52" t="s">
        <v>93</v>
      </c>
    </row>
    <row r="21" spans="1:6" x14ac:dyDescent="0.2">
      <c r="A21" s="51" t="s">
        <v>57</v>
      </c>
      <c r="B21" s="51" t="s">
        <v>58</v>
      </c>
      <c r="C21" s="52" t="s">
        <v>93</v>
      </c>
      <c r="D21" s="52" t="s">
        <v>93</v>
      </c>
      <c r="E21" s="52" t="s">
        <v>93</v>
      </c>
      <c r="F21" s="52" t="s">
        <v>93</v>
      </c>
    </row>
    <row r="22" spans="1:6" x14ac:dyDescent="0.2">
      <c r="A22" s="51" t="s">
        <v>60</v>
      </c>
      <c r="B22" s="51" t="s">
        <v>61</v>
      </c>
      <c r="C22" s="52" t="s">
        <v>93</v>
      </c>
      <c r="D22" s="52" t="s">
        <v>93</v>
      </c>
      <c r="E22" s="52" t="s">
        <v>93</v>
      </c>
      <c r="F22" s="52" t="s">
        <v>93</v>
      </c>
    </row>
    <row r="23" spans="1:6" x14ac:dyDescent="0.2">
      <c r="A23" s="51" t="s">
        <v>62</v>
      </c>
      <c r="B23" s="51" t="s">
        <v>63</v>
      </c>
      <c r="C23" s="52" t="s">
        <v>93</v>
      </c>
      <c r="D23" s="52" t="s">
        <v>93</v>
      </c>
      <c r="E23" s="52" t="s">
        <v>93</v>
      </c>
      <c r="F23" s="52" t="s">
        <v>42</v>
      </c>
    </row>
    <row r="24" spans="1:6" x14ac:dyDescent="0.2">
      <c r="A24" s="51" t="s">
        <v>64</v>
      </c>
      <c r="B24" s="51" t="s">
        <v>65</v>
      </c>
      <c r="C24" s="52" t="s">
        <v>93</v>
      </c>
      <c r="D24" s="52" t="s">
        <v>93</v>
      </c>
      <c r="E24" s="52" t="s">
        <v>93</v>
      </c>
      <c r="F24" s="52" t="s">
        <v>93</v>
      </c>
    </row>
    <row r="25" spans="1:6" x14ac:dyDescent="0.2">
      <c r="A25" s="51" t="s">
        <v>66</v>
      </c>
      <c r="B25" s="51" t="s">
        <v>67</v>
      </c>
      <c r="C25" s="52" t="s">
        <v>93</v>
      </c>
      <c r="D25" s="52" t="s">
        <v>93</v>
      </c>
      <c r="E25" s="52" t="s">
        <v>93</v>
      </c>
      <c r="F25" s="52" t="s">
        <v>93</v>
      </c>
    </row>
    <row r="26" spans="1:6" x14ac:dyDescent="0.2">
      <c r="A26" s="51" t="s">
        <v>68</v>
      </c>
      <c r="B26" s="51" t="s">
        <v>69</v>
      </c>
      <c r="C26" s="52" t="s">
        <v>42</v>
      </c>
      <c r="D26" s="52" t="s">
        <v>93</v>
      </c>
      <c r="E26" s="52" t="s">
        <v>93</v>
      </c>
      <c r="F26" s="52" t="s">
        <v>93</v>
      </c>
    </row>
    <row r="27" spans="1:6" x14ac:dyDescent="0.2">
      <c r="A27" s="51" t="s">
        <v>70</v>
      </c>
      <c r="B27" s="51" t="s">
        <v>71</v>
      </c>
      <c r="C27" s="52" t="s">
        <v>93</v>
      </c>
      <c r="D27" s="52" t="s">
        <v>93</v>
      </c>
      <c r="E27" s="52" t="s">
        <v>93</v>
      </c>
      <c r="F27" s="52" t="s">
        <v>93</v>
      </c>
    </row>
    <row r="28" spans="1:6" x14ac:dyDescent="0.2">
      <c r="A28" s="51" t="s">
        <v>73</v>
      </c>
      <c r="B28" s="51" t="s">
        <v>74</v>
      </c>
      <c r="C28" s="53" t="s">
        <v>93</v>
      </c>
      <c r="D28" s="52" t="s">
        <v>93</v>
      </c>
      <c r="E28" s="52" t="s">
        <v>93</v>
      </c>
      <c r="F28" s="52" t="s">
        <v>93</v>
      </c>
    </row>
    <row r="29" spans="1:6" x14ac:dyDescent="0.2">
      <c r="A29" s="51" t="s">
        <v>75</v>
      </c>
      <c r="B29" s="51" t="s">
        <v>76</v>
      </c>
      <c r="C29" s="52" t="s">
        <v>93</v>
      </c>
      <c r="D29" s="52" t="s">
        <v>93</v>
      </c>
      <c r="E29" s="52" t="s">
        <v>93</v>
      </c>
      <c r="F29" s="52" t="s">
        <v>93</v>
      </c>
    </row>
    <row r="30" spans="1:6" x14ac:dyDescent="0.2">
      <c r="A30" s="51" t="s">
        <v>77</v>
      </c>
      <c r="B30" s="51" t="s">
        <v>78</v>
      </c>
      <c r="C30" s="52" t="s">
        <v>42</v>
      </c>
      <c r="D30" s="52" t="s">
        <v>93</v>
      </c>
      <c r="E30" s="52" t="s">
        <v>93</v>
      </c>
      <c r="F30" s="52" t="s">
        <v>93</v>
      </c>
    </row>
    <row r="31" spans="1:6" x14ac:dyDescent="0.2">
      <c r="A31" s="51" t="s">
        <v>79</v>
      </c>
      <c r="B31" s="51" t="s">
        <v>80</v>
      </c>
      <c r="C31" s="52" t="s">
        <v>102</v>
      </c>
      <c r="D31" s="52" t="s">
        <v>102</v>
      </c>
      <c r="E31" s="52" t="s">
        <v>102</v>
      </c>
      <c r="F31" s="52" t="s">
        <v>102</v>
      </c>
    </row>
    <row r="32" spans="1:6" x14ac:dyDescent="0.2">
      <c r="A32" s="51" t="s">
        <v>81</v>
      </c>
      <c r="B32" s="51" t="s">
        <v>82</v>
      </c>
      <c r="C32" s="53" t="s">
        <v>42</v>
      </c>
      <c r="D32" s="52" t="s">
        <v>93</v>
      </c>
      <c r="E32" s="52" t="s">
        <v>93</v>
      </c>
      <c r="F32" s="52" t="s">
        <v>93</v>
      </c>
    </row>
    <row r="33" spans="1:11" x14ac:dyDescent="0.2">
      <c r="A33" s="51" t="s">
        <v>84</v>
      </c>
      <c r="B33" s="51" t="s">
        <v>85</v>
      </c>
      <c r="C33" s="52" t="s">
        <v>93</v>
      </c>
      <c r="D33" s="52" t="s">
        <v>93</v>
      </c>
      <c r="E33" s="52" t="s">
        <v>93</v>
      </c>
      <c r="F33" s="52" t="s">
        <v>93</v>
      </c>
    </row>
    <row r="34" spans="1:11" ht="25.5" x14ac:dyDescent="0.2">
      <c r="A34" s="51" t="s">
        <v>86</v>
      </c>
      <c r="B34" s="51" t="s">
        <v>87</v>
      </c>
      <c r="C34" s="52" t="s">
        <v>93</v>
      </c>
      <c r="D34" s="52" t="s">
        <v>93</v>
      </c>
      <c r="E34" s="52" t="s">
        <v>93</v>
      </c>
      <c r="F34" s="52" t="s">
        <v>93</v>
      </c>
    </row>
    <row r="35" spans="1:11" x14ac:dyDescent="0.2">
      <c r="A35" s="51" t="s">
        <v>89</v>
      </c>
      <c r="B35" s="51" t="s">
        <v>90</v>
      </c>
      <c r="C35" s="52" t="s">
        <v>93</v>
      </c>
      <c r="D35" s="52" t="s">
        <v>93</v>
      </c>
      <c r="E35" s="52" t="s">
        <v>93</v>
      </c>
      <c r="F35" s="52" t="s">
        <v>93</v>
      </c>
    </row>
    <row r="36" spans="1:11" x14ac:dyDescent="0.2">
      <c r="A36" s="51" t="s">
        <v>91</v>
      </c>
      <c r="B36" s="51" t="s">
        <v>92</v>
      </c>
      <c r="C36" s="52" t="s">
        <v>93</v>
      </c>
      <c r="D36" s="52" t="s">
        <v>93</v>
      </c>
      <c r="E36" s="52" t="s">
        <v>93</v>
      </c>
      <c r="F36" s="52" t="s">
        <v>93</v>
      </c>
    </row>
    <row r="37" spans="1:11" x14ac:dyDescent="0.2">
      <c r="A37" s="51" t="s">
        <v>94</v>
      </c>
      <c r="B37" s="51" t="s">
        <v>95</v>
      </c>
      <c r="C37" s="52" t="s">
        <v>93</v>
      </c>
      <c r="D37" s="52" t="s">
        <v>93</v>
      </c>
      <c r="E37" s="52" t="s">
        <v>93</v>
      </c>
      <c r="F37" s="52" t="s">
        <v>93</v>
      </c>
    </row>
    <row r="38" spans="1:11" x14ac:dyDescent="0.2">
      <c r="A38" s="51" t="s">
        <v>96</v>
      </c>
      <c r="B38" s="51" t="s">
        <v>97</v>
      </c>
      <c r="C38" s="52" t="s">
        <v>93</v>
      </c>
      <c r="D38" s="52" t="s">
        <v>93</v>
      </c>
      <c r="E38" s="52" t="s">
        <v>93</v>
      </c>
      <c r="F38" s="52" t="s">
        <v>93</v>
      </c>
    </row>
    <row r="39" spans="1:11" x14ac:dyDescent="0.2">
      <c r="A39" s="51" t="s">
        <v>98</v>
      </c>
      <c r="B39" s="51" t="s">
        <v>99</v>
      </c>
      <c r="C39" s="52" t="s">
        <v>102</v>
      </c>
      <c r="D39" s="52" t="s">
        <v>102</v>
      </c>
      <c r="E39" s="52" t="s">
        <v>102</v>
      </c>
      <c r="F39" s="52" t="s">
        <v>102</v>
      </c>
    </row>
    <row r="40" spans="1:11" x14ac:dyDescent="0.2">
      <c r="A40" s="51" t="s">
        <v>273</v>
      </c>
      <c r="B40" s="51" t="s">
        <v>274</v>
      </c>
      <c r="C40" s="54" t="s">
        <v>93</v>
      </c>
      <c r="D40" s="54" t="s">
        <v>93</v>
      </c>
      <c r="E40" s="54" t="s">
        <v>93</v>
      </c>
      <c r="F40" s="54" t="s">
        <v>93</v>
      </c>
    </row>
    <row r="41" spans="1:11" s="4" customFormat="1" ht="38.450000000000003" customHeight="1" x14ac:dyDescent="0.2">
      <c r="A41" s="139" t="s">
        <v>103</v>
      </c>
      <c r="B41" s="139"/>
      <c r="C41" s="55">
        <f>COUNTIF(C3:C40,"EXCLUDED")</f>
        <v>30</v>
      </c>
      <c r="D41" s="55">
        <f t="shared" ref="D41:F41" si="0">COUNTIF(D3:D40,"EXCLUDED")</f>
        <v>36</v>
      </c>
      <c r="E41" s="55">
        <f t="shared" si="0"/>
        <v>36</v>
      </c>
      <c r="F41" s="55">
        <f t="shared" si="0"/>
        <v>33</v>
      </c>
    </row>
    <row r="42" spans="1:11" s="4" customFormat="1" ht="29.45" customHeight="1" x14ac:dyDescent="0.2">
      <c r="A42" s="140" t="s">
        <v>104</v>
      </c>
      <c r="B42" s="140"/>
      <c r="C42" s="17">
        <f>C41/38</f>
        <v>0.78947368421052633</v>
      </c>
      <c r="D42" s="17">
        <f t="shared" ref="D42:F42" si="1">D41/38</f>
        <v>0.94736842105263153</v>
      </c>
      <c r="E42" s="17">
        <f t="shared" si="1"/>
        <v>0.94736842105263153</v>
      </c>
      <c r="F42" s="17">
        <f t="shared" si="1"/>
        <v>0.86842105263157898</v>
      </c>
    </row>
    <row r="43" spans="1:11" x14ac:dyDescent="0.2">
      <c r="A43" s="141" t="s">
        <v>275</v>
      </c>
      <c r="B43" s="141"/>
      <c r="C43" s="142"/>
      <c r="D43" s="142"/>
      <c r="E43" s="142"/>
      <c r="F43" s="142"/>
    </row>
    <row r="44" spans="1:11" x14ac:dyDescent="0.2">
      <c r="A44" s="142" t="s">
        <v>276</v>
      </c>
      <c r="B44" s="142"/>
      <c r="C44" s="142"/>
      <c r="D44" s="142"/>
      <c r="E44" s="142"/>
      <c r="F44" s="142"/>
    </row>
    <row r="45" spans="1:11" x14ac:dyDescent="0.2">
      <c r="A45" s="56"/>
      <c r="B45" s="143" t="s">
        <v>277</v>
      </c>
      <c r="C45" s="143"/>
      <c r="D45" s="143"/>
      <c r="E45" s="143"/>
      <c r="F45" s="143"/>
    </row>
    <row r="46" spans="1:11" s="4" customFormat="1" x14ac:dyDescent="0.2">
      <c r="A46" s="57"/>
      <c r="B46" s="21" t="s">
        <v>107</v>
      </c>
      <c r="C46" s="21"/>
      <c r="D46" s="21"/>
      <c r="E46" s="21"/>
      <c r="F46" s="21"/>
      <c r="G46" s="21"/>
      <c r="H46" s="21"/>
      <c r="I46" s="21"/>
      <c r="J46" s="21"/>
      <c r="K46" s="21"/>
    </row>
    <row r="47" spans="1:11" x14ac:dyDescent="0.2">
      <c r="A47" s="58"/>
      <c r="B47" s="119" t="s">
        <v>278</v>
      </c>
      <c r="C47" s="119"/>
      <c r="D47" s="119"/>
      <c r="E47" s="119"/>
      <c r="F47" s="119"/>
    </row>
    <row r="48" spans="1:11" x14ac:dyDescent="0.2">
      <c r="A48" s="59"/>
      <c r="B48" s="59"/>
      <c r="C48" s="59"/>
      <c r="D48" s="59"/>
      <c r="E48" s="59"/>
    </row>
  </sheetData>
  <mergeCells count="7">
    <mergeCell ref="B47:F47"/>
    <mergeCell ref="A1:F1"/>
    <mergeCell ref="A41:B41"/>
    <mergeCell ref="A42:B42"/>
    <mergeCell ref="A43:F43"/>
    <mergeCell ref="A44:F44"/>
    <mergeCell ref="B45:F45"/>
  </mergeCells>
  <conditionalFormatting sqref="A46">
    <cfRule type="cellIs" dxfId="194" priority="1" stopIfTrue="1" operator="equal">
      <formula>"EXCLUDED"</formula>
    </cfRule>
    <cfRule type="cellIs" dxfId="193" priority="2" stopIfTrue="1" operator="equal">
      <formula>"DON'T KNOW IF COUNTED"</formula>
    </cfRule>
    <cfRule type="cellIs" dxfId="192" priority="3" stopIfTrue="1" operator="equal">
      <formula>"INCLUDED"</formula>
    </cfRule>
    <cfRule type="cellIs" dxfId="191" priority="4" stopIfTrue="1" operator="equal">
      <formula>"NOT COUNTED"</formula>
    </cfRule>
    <cfRule type="cellIs" dxfId="190" priority="5" stopIfTrue="1" operator="equal">
      <formula>":"</formula>
    </cfRule>
    <cfRule type="cellIs" dxfId="189" priority="6" stopIfTrue="1" operator="equal">
      <formula>"NOT COUNTED; INCLUDED"</formula>
    </cfRule>
    <cfRule type="cellIs" dxfId="188" priority="7" stopIfTrue="1" operator="equal">
      <formula>"COUNTED; EXCLUDED"</formula>
    </cfRule>
    <cfRule type="cellIs" dxfId="187" priority="8" stopIfTrue="1" operator="equal">
      <formula>"NOT COUNTED; EXCLUDED"</formula>
    </cfRule>
    <cfRule type="cellIs" dxfId="186" priority="9" stopIfTrue="1" operator="equal">
      <formula>"COUNTED; INCLUDED"</formula>
    </cfRule>
    <cfRule type="cellIs" dxfId="185" priority="10" stopIfTrue="1" operator="equal">
      <formula>"NOT SEPARATED; INCLUDED"</formula>
    </cfRule>
    <cfRule type="cellIs" dxfId="184" priority="11" stopIfTrue="1" operator="equal">
      <formula>"SEPARATED"</formula>
    </cfRule>
    <cfRule type="cellIs" dxfId="183" priority="12" stopIfTrue="1" operator="equal">
      <formula>"SEPARATED; EXCLUDED"</formula>
    </cfRule>
    <cfRule type="cellIs" dxfId="182" priority="13" stopIfTrue="1" operator="equal">
      <formula>"SEPARATED; INCLUDED"</formula>
    </cfRule>
    <cfRule type="cellIs" dxfId="181" priority="14" stopIfTrue="1" operator="equal">
      <formula>"NOT SEPARATED; EXCLUDED"</formula>
    </cfRule>
    <cfRule type="cellIs" dxfId="180" priority="15" stopIfTrue="1" operator="equal">
      <formula>"NOT SEPARATED"</formula>
    </cfRule>
  </conditionalFormatting>
  <conditionalFormatting sqref="C3:F40">
    <cfRule type="cellIs" dxfId="179" priority="16" stopIfTrue="1" operator="equal">
      <formula>":"</formula>
    </cfRule>
    <cfRule type="cellIs" dxfId="178" priority="17" stopIfTrue="1" operator="equal">
      <formula>"Included"</formula>
    </cfRule>
    <cfRule type="cellIs" dxfId="177" priority="18" stopIfTrue="1" operator="equal">
      <formula>"Excluded"</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E700-2A3D-4FB6-8FD7-97B8F26C3589}">
  <sheetPr codeName="Sheet18">
    <tabColor theme="5" tint="-0.249977111117893"/>
  </sheetPr>
  <dimension ref="A1:F42"/>
  <sheetViews>
    <sheetView zoomScaleNormal="100" workbookViewId="0">
      <selection activeCell="M15" sqref="M15"/>
    </sheetView>
  </sheetViews>
  <sheetFormatPr defaultColWidth="8.7109375" defaultRowHeight="12.75" x14ac:dyDescent="0.2"/>
  <cols>
    <col min="1" max="1" width="4.7109375" style="2" customWidth="1"/>
    <col min="2" max="2" width="13.140625" style="2" customWidth="1"/>
    <col min="3" max="3" width="30.85546875" style="2" customWidth="1"/>
    <col min="4" max="4" width="27.7109375" style="2" customWidth="1"/>
    <col min="5" max="5" width="21.5703125" style="2" customWidth="1"/>
    <col min="6" max="6" width="30.140625" style="2" customWidth="1"/>
    <col min="7" max="16384" width="8.7109375" style="2"/>
  </cols>
  <sheetData>
    <row r="1" spans="1:6" ht="27.75" x14ac:dyDescent="0.4">
      <c r="A1" s="138" t="s">
        <v>279</v>
      </c>
      <c r="B1" s="138"/>
      <c r="C1" s="138"/>
      <c r="D1" s="138"/>
      <c r="E1" s="138"/>
      <c r="F1" s="138"/>
    </row>
    <row r="2" spans="1:6" ht="49.5" customHeight="1" x14ac:dyDescent="0.2">
      <c r="A2" s="60" t="s">
        <v>1</v>
      </c>
      <c r="B2" s="60" t="s">
        <v>268</v>
      </c>
      <c r="C2" s="60" t="s">
        <v>280</v>
      </c>
      <c r="D2" s="60" t="s">
        <v>281</v>
      </c>
      <c r="E2" s="60" t="s">
        <v>282</v>
      </c>
      <c r="F2" s="60" t="s">
        <v>283</v>
      </c>
    </row>
    <row r="3" spans="1:6" ht="51" x14ac:dyDescent="0.2">
      <c r="A3" s="51" t="s">
        <v>12</v>
      </c>
      <c r="B3" s="51" t="s">
        <v>13</v>
      </c>
      <c r="C3" s="61" t="s">
        <v>284</v>
      </c>
      <c r="D3" s="61"/>
      <c r="E3" s="61"/>
      <c r="F3" s="61" t="s">
        <v>284</v>
      </c>
    </row>
    <row r="4" spans="1:6" x14ac:dyDescent="0.2">
      <c r="A4" s="51" t="s">
        <v>17</v>
      </c>
      <c r="B4" s="51" t="s">
        <v>18</v>
      </c>
      <c r="C4" s="61"/>
      <c r="D4" s="61"/>
      <c r="E4" s="61"/>
      <c r="F4" s="61"/>
    </row>
    <row r="5" spans="1:6" x14ac:dyDescent="0.2">
      <c r="A5" s="51" t="s">
        <v>22</v>
      </c>
      <c r="B5" s="51" t="s">
        <v>23</v>
      </c>
      <c r="C5" s="61"/>
      <c r="D5" s="61"/>
      <c r="E5" s="61"/>
      <c r="F5" s="61"/>
    </row>
    <row r="6" spans="1:6" x14ac:dyDescent="0.2">
      <c r="A6" s="51" t="s">
        <v>25</v>
      </c>
      <c r="B6" s="51" t="s">
        <v>26</v>
      </c>
      <c r="C6" s="61"/>
      <c r="D6" s="61"/>
      <c r="E6" s="61"/>
      <c r="F6" s="61"/>
    </row>
    <row r="7" spans="1:6" x14ac:dyDescent="0.2">
      <c r="A7" s="51" t="s">
        <v>27</v>
      </c>
      <c r="B7" s="51" t="s">
        <v>28</v>
      </c>
      <c r="C7" s="62"/>
      <c r="D7" s="62"/>
      <c r="E7" s="61"/>
      <c r="F7" s="61"/>
    </row>
    <row r="8" spans="1:6" ht="38.25" x14ac:dyDescent="0.2">
      <c r="A8" s="51" t="s">
        <v>29</v>
      </c>
      <c r="B8" s="51" t="s">
        <v>30</v>
      </c>
      <c r="C8" s="61" t="s">
        <v>285</v>
      </c>
      <c r="D8" s="61"/>
      <c r="E8" s="61"/>
      <c r="F8" s="61"/>
    </row>
    <row r="9" spans="1:6" x14ac:dyDescent="0.2">
      <c r="A9" s="51" t="s">
        <v>31</v>
      </c>
      <c r="B9" s="51" t="s">
        <v>32</v>
      </c>
      <c r="C9" s="61"/>
      <c r="D9" s="61"/>
      <c r="E9" s="61"/>
      <c r="F9" s="61"/>
    </row>
    <row r="10" spans="1:6" x14ac:dyDescent="0.2">
      <c r="A10" s="51" t="s">
        <v>33</v>
      </c>
      <c r="B10" s="51" t="s">
        <v>34</v>
      </c>
      <c r="C10" s="61"/>
      <c r="D10" s="61"/>
      <c r="E10" s="61"/>
      <c r="F10" s="61"/>
    </row>
    <row r="11" spans="1:6" x14ac:dyDescent="0.2">
      <c r="A11" s="51" t="s">
        <v>35</v>
      </c>
      <c r="B11" s="51" t="s">
        <v>36</v>
      </c>
      <c r="C11" s="61"/>
      <c r="D11" s="61"/>
      <c r="E11" s="61"/>
      <c r="F11" s="61"/>
    </row>
    <row r="12" spans="1:6" x14ac:dyDescent="0.2">
      <c r="A12" s="51" t="s">
        <v>38</v>
      </c>
      <c r="B12" s="51" t="s">
        <v>39</v>
      </c>
      <c r="C12" s="61"/>
      <c r="D12" s="61"/>
      <c r="E12" s="61"/>
      <c r="F12" s="62"/>
    </row>
    <row r="13" spans="1:6" ht="25.5" x14ac:dyDescent="0.2">
      <c r="A13" s="51" t="s">
        <v>40</v>
      </c>
      <c r="B13" s="51" t="s">
        <v>41</v>
      </c>
      <c r="C13" s="62" t="s">
        <v>132</v>
      </c>
      <c r="D13" s="62" t="s">
        <v>286</v>
      </c>
      <c r="E13" s="61" t="s">
        <v>287</v>
      </c>
      <c r="F13" s="62" t="s">
        <v>288</v>
      </c>
    </row>
    <row r="14" spans="1:6" ht="38.25" x14ac:dyDescent="0.2">
      <c r="A14" s="51" t="s">
        <v>43</v>
      </c>
      <c r="B14" s="51" t="s">
        <v>44</v>
      </c>
      <c r="C14" s="61"/>
      <c r="D14" s="61"/>
      <c r="E14" s="61"/>
      <c r="F14" s="63" t="s">
        <v>289</v>
      </c>
    </row>
    <row r="15" spans="1:6" x14ac:dyDescent="0.2">
      <c r="A15" s="51" t="s">
        <v>45</v>
      </c>
      <c r="B15" s="51" t="s">
        <v>46</v>
      </c>
      <c r="C15" s="61"/>
      <c r="D15" s="61"/>
      <c r="E15" s="61"/>
      <c r="F15" s="61"/>
    </row>
    <row r="16" spans="1:6" x14ac:dyDescent="0.2">
      <c r="A16" s="51" t="s">
        <v>47</v>
      </c>
      <c r="B16" s="51" t="s">
        <v>48</v>
      </c>
      <c r="C16" s="61"/>
      <c r="D16" s="61"/>
      <c r="E16" s="61"/>
      <c r="F16" s="61"/>
    </row>
    <row r="17" spans="1:6" ht="25.5" x14ac:dyDescent="0.2">
      <c r="A17" s="51" t="s">
        <v>49</v>
      </c>
      <c r="B17" s="51" t="s">
        <v>50</v>
      </c>
      <c r="C17" s="62" t="s">
        <v>290</v>
      </c>
      <c r="D17" s="61"/>
      <c r="E17" s="61" t="s">
        <v>291</v>
      </c>
      <c r="F17" s="61" t="s">
        <v>292</v>
      </c>
    </row>
    <row r="18" spans="1:6" ht="76.5" x14ac:dyDescent="0.2">
      <c r="A18" s="51" t="s">
        <v>51</v>
      </c>
      <c r="B18" s="51" t="s">
        <v>52</v>
      </c>
      <c r="C18" s="61" t="s">
        <v>293</v>
      </c>
      <c r="D18" s="61" t="s">
        <v>294</v>
      </c>
      <c r="E18" s="61" t="s">
        <v>295</v>
      </c>
      <c r="F18" s="61" t="s">
        <v>296</v>
      </c>
    </row>
    <row r="19" spans="1:6" x14ac:dyDescent="0.2">
      <c r="A19" s="51" t="s">
        <v>53</v>
      </c>
      <c r="B19" s="51" t="s">
        <v>54</v>
      </c>
      <c r="C19" s="61"/>
      <c r="D19" s="61"/>
      <c r="E19" s="61"/>
      <c r="F19" s="61"/>
    </row>
    <row r="20" spans="1:6" ht="38.25" x14ac:dyDescent="0.2">
      <c r="A20" s="51" t="s">
        <v>55</v>
      </c>
      <c r="B20" s="51" t="s">
        <v>56</v>
      </c>
      <c r="C20" s="61" t="s">
        <v>148</v>
      </c>
      <c r="D20" s="61"/>
      <c r="E20" s="61"/>
      <c r="F20" s="61"/>
    </row>
    <row r="21" spans="1:6" x14ac:dyDescent="0.2">
      <c r="A21" s="51" t="s">
        <v>57</v>
      </c>
      <c r="B21" s="51" t="s">
        <v>58</v>
      </c>
      <c r="C21" s="64"/>
      <c r="D21" s="61"/>
      <c r="E21" s="61"/>
      <c r="F21" s="61"/>
    </row>
    <row r="22" spans="1:6" x14ac:dyDescent="0.2">
      <c r="A22" s="51" t="s">
        <v>60</v>
      </c>
      <c r="B22" s="51" t="s">
        <v>61</v>
      </c>
      <c r="C22" s="61"/>
      <c r="D22" s="61"/>
      <c r="E22" s="61"/>
      <c r="F22" s="61"/>
    </row>
    <row r="23" spans="1:6" x14ac:dyDescent="0.2">
      <c r="A23" s="51" t="s">
        <v>62</v>
      </c>
      <c r="B23" s="51" t="s">
        <v>63</v>
      </c>
      <c r="C23" s="61"/>
      <c r="D23" s="61"/>
      <c r="E23" s="61"/>
      <c r="F23" s="65" t="s">
        <v>102</v>
      </c>
    </row>
    <row r="24" spans="1:6" x14ac:dyDescent="0.2">
      <c r="A24" s="51" t="s">
        <v>64</v>
      </c>
      <c r="B24" s="51" t="s">
        <v>65</v>
      </c>
      <c r="C24" s="61"/>
      <c r="D24" s="61"/>
      <c r="E24" s="61"/>
      <c r="F24" s="61"/>
    </row>
    <row r="25" spans="1:6" x14ac:dyDescent="0.2">
      <c r="A25" s="51" t="s">
        <v>66</v>
      </c>
      <c r="B25" s="51" t="s">
        <v>67</v>
      </c>
      <c r="C25" s="61"/>
      <c r="D25" s="61"/>
      <c r="E25" s="61"/>
      <c r="F25" s="61"/>
    </row>
    <row r="26" spans="1:6" ht="165.75" x14ac:dyDescent="0.2">
      <c r="A26" s="51" t="s">
        <v>68</v>
      </c>
      <c r="B26" s="51" t="s">
        <v>69</v>
      </c>
      <c r="C26" s="61" t="s">
        <v>297</v>
      </c>
      <c r="D26" s="61"/>
      <c r="E26" s="61"/>
      <c r="F26" s="61" t="s">
        <v>298</v>
      </c>
    </row>
    <row r="27" spans="1:6" x14ac:dyDescent="0.2">
      <c r="A27" s="51" t="s">
        <v>70</v>
      </c>
      <c r="B27" s="51" t="s">
        <v>71</v>
      </c>
      <c r="C27" s="61"/>
      <c r="D27" s="62" t="s">
        <v>299</v>
      </c>
      <c r="E27" s="62" t="s">
        <v>299</v>
      </c>
      <c r="F27" s="62" t="s">
        <v>299</v>
      </c>
    </row>
    <row r="28" spans="1:6" ht="25.5" x14ac:dyDescent="0.2">
      <c r="A28" s="51" t="s">
        <v>73</v>
      </c>
      <c r="B28" s="51" t="s">
        <v>74</v>
      </c>
      <c r="C28" s="63" t="s">
        <v>300</v>
      </c>
      <c r="D28" s="61"/>
      <c r="E28" s="61"/>
      <c r="F28" s="61"/>
    </row>
    <row r="29" spans="1:6" x14ac:dyDescent="0.2">
      <c r="A29" s="51" t="s">
        <v>75</v>
      </c>
      <c r="B29" s="51" t="s">
        <v>76</v>
      </c>
      <c r="C29" s="65"/>
      <c r="D29" s="65"/>
      <c r="E29" s="65"/>
      <c r="F29" s="65"/>
    </row>
    <row r="30" spans="1:6" x14ac:dyDescent="0.2">
      <c r="A30" s="51" t="s">
        <v>77</v>
      </c>
      <c r="B30" s="51" t="s">
        <v>78</v>
      </c>
      <c r="C30" s="65" t="s">
        <v>102</v>
      </c>
      <c r="D30" s="65"/>
      <c r="E30" s="66"/>
      <c r="F30" s="65"/>
    </row>
    <row r="31" spans="1:6" ht="25.5" x14ac:dyDescent="0.2">
      <c r="A31" s="51" t="s">
        <v>79</v>
      </c>
      <c r="B31" s="51" t="s">
        <v>80</v>
      </c>
      <c r="C31" s="65" t="s">
        <v>102</v>
      </c>
      <c r="D31" s="65" t="s">
        <v>102</v>
      </c>
      <c r="E31" s="65" t="s">
        <v>102</v>
      </c>
      <c r="F31" s="65" t="s">
        <v>102</v>
      </c>
    </row>
    <row r="32" spans="1:6" ht="140.25" x14ac:dyDescent="0.2">
      <c r="A32" s="51" t="s">
        <v>81</v>
      </c>
      <c r="B32" s="51" t="s">
        <v>82</v>
      </c>
      <c r="C32" s="65" t="s">
        <v>301</v>
      </c>
      <c r="D32" s="61"/>
      <c r="E32" s="64"/>
      <c r="F32" s="61"/>
    </row>
    <row r="33" spans="1:6" x14ac:dyDescent="0.2">
      <c r="A33" s="51" t="s">
        <v>84</v>
      </c>
      <c r="B33" s="51" t="s">
        <v>85</v>
      </c>
      <c r="C33" s="61"/>
      <c r="D33" s="61"/>
      <c r="E33" s="64"/>
      <c r="F33" s="61"/>
    </row>
    <row r="34" spans="1:6" ht="25.5" x14ac:dyDescent="0.2">
      <c r="A34" s="51" t="s">
        <v>86</v>
      </c>
      <c r="B34" s="51" t="s">
        <v>87</v>
      </c>
      <c r="C34" s="61"/>
      <c r="D34" s="61"/>
      <c r="E34" s="64"/>
      <c r="F34" s="61"/>
    </row>
    <row r="35" spans="1:6" x14ac:dyDescent="0.2">
      <c r="A35" s="51" t="s">
        <v>89</v>
      </c>
      <c r="B35" s="51" t="s">
        <v>90</v>
      </c>
      <c r="C35" s="61"/>
      <c r="D35" s="61"/>
      <c r="E35" s="64"/>
      <c r="F35" s="61"/>
    </row>
    <row r="36" spans="1:6" ht="25.5" x14ac:dyDescent="0.2">
      <c r="A36" s="51" t="s">
        <v>91</v>
      </c>
      <c r="B36" s="51" t="s">
        <v>92</v>
      </c>
      <c r="C36" s="61" t="s">
        <v>302</v>
      </c>
      <c r="D36" s="61"/>
      <c r="E36" s="64"/>
      <c r="F36" s="61"/>
    </row>
    <row r="37" spans="1:6" ht="25.5" x14ac:dyDescent="0.2">
      <c r="A37" s="51" t="s">
        <v>94</v>
      </c>
      <c r="B37" s="51" t="s">
        <v>95</v>
      </c>
      <c r="C37" s="61" t="s">
        <v>303</v>
      </c>
      <c r="D37" s="61"/>
      <c r="E37" s="64"/>
      <c r="F37" s="61"/>
    </row>
    <row r="38" spans="1:6" x14ac:dyDescent="0.2">
      <c r="A38" s="51" t="s">
        <v>96</v>
      </c>
      <c r="B38" s="51" t="s">
        <v>97</v>
      </c>
      <c r="C38" s="61"/>
      <c r="D38" s="61"/>
      <c r="E38" s="64"/>
      <c r="F38" s="61"/>
    </row>
    <row r="39" spans="1:6" x14ac:dyDescent="0.2">
      <c r="A39" s="51" t="s">
        <v>98</v>
      </c>
      <c r="B39" s="51" t="s">
        <v>99</v>
      </c>
      <c r="C39" s="65" t="s">
        <v>102</v>
      </c>
      <c r="D39" s="65" t="s">
        <v>102</v>
      </c>
      <c r="E39" s="65" t="s">
        <v>102</v>
      </c>
      <c r="F39" s="65" t="s">
        <v>102</v>
      </c>
    </row>
    <row r="40" spans="1:6" x14ac:dyDescent="0.2">
      <c r="A40" s="51" t="s">
        <v>273</v>
      </c>
      <c r="B40" s="51" t="s">
        <v>274</v>
      </c>
      <c r="C40" s="61"/>
      <c r="D40" s="61"/>
      <c r="E40" s="64"/>
      <c r="F40" s="64"/>
    </row>
    <row r="41" spans="1:6" ht="12" customHeight="1" x14ac:dyDescent="0.2">
      <c r="A41" s="141" t="s">
        <v>275</v>
      </c>
      <c r="B41" s="141"/>
      <c r="C41" s="141"/>
      <c r="D41" s="141"/>
      <c r="E41" s="141"/>
      <c r="F41" s="141"/>
    </row>
    <row r="42" spans="1:6" x14ac:dyDescent="0.2">
      <c r="A42" s="2" t="s">
        <v>178</v>
      </c>
    </row>
  </sheetData>
  <mergeCells count="2">
    <mergeCell ref="A1:F1"/>
    <mergeCell ref="A41:F41"/>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C59E5-FC14-4A67-B4FA-BBB7E94C432C}">
  <sheetPr codeName="Sheet19">
    <tabColor theme="8" tint="0.39997558519241921"/>
  </sheetPr>
  <dimension ref="A1:H47"/>
  <sheetViews>
    <sheetView topLeftCell="A13" zoomScaleNormal="100" workbookViewId="0">
      <selection activeCell="J44" sqref="J44"/>
    </sheetView>
  </sheetViews>
  <sheetFormatPr defaultColWidth="8.7109375" defaultRowHeight="12.75" x14ac:dyDescent="0.2"/>
  <cols>
    <col min="1" max="1" width="4.7109375" style="2" customWidth="1"/>
    <col min="2" max="2" width="15.5703125" style="2" customWidth="1"/>
    <col min="3" max="3" width="10.85546875" style="2" customWidth="1"/>
    <col min="4" max="4" width="11.140625" style="2" customWidth="1"/>
    <col min="5" max="5" width="10.42578125" style="2" customWidth="1"/>
    <col min="6" max="6" width="10" style="2" customWidth="1"/>
    <col min="7" max="16384" width="8.7109375" style="2"/>
  </cols>
  <sheetData>
    <row r="1" spans="1:8" ht="30.75" customHeight="1" x14ac:dyDescent="0.3">
      <c r="A1" s="144" t="s">
        <v>304</v>
      </c>
      <c r="B1" s="144"/>
      <c r="C1" s="144"/>
      <c r="D1" s="144"/>
      <c r="E1" s="144"/>
      <c r="F1" s="144"/>
    </row>
    <row r="2" spans="1:8" ht="25.5" x14ac:dyDescent="0.2">
      <c r="A2" s="60" t="s">
        <v>1</v>
      </c>
      <c r="B2" s="60" t="s">
        <v>268</v>
      </c>
      <c r="C2" s="50" t="s">
        <v>305</v>
      </c>
      <c r="D2" s="60" t="s">
        <v>306</v>
      </c>
      <c r="E2" s="60" t="s">
        <v>307</v>
      </c>
      <c r="F2" s="60" t="s">
        <v>308</v>
      </c>
      <c r="H2" s="3"/>
    </row>
    <row r="3" spans="1:8" x14ac:dyDescent="0.2">
      <c r="A3" s="51" t="s">
        <v>12</v>
      </c>
      <c r="B3" s="51" t="s">
        <v>13</v>
      </c>
      <c r="C3" s="52" t="s">
        <v>42</v>
      </c>
      <c r="D3" s="52" t="s">
        <v>93</v>
      </c>
      <c r="E3" s="52" t="s">
        <v>93</v>
      </c>
      <c r="F3" s="52" t="s">
        <v>93</v>
      </c>
    </row>
    <row r="4" spans="1:8" x14ac:dyDescent="0.2">
      <c r="A4" s="51" t="s">
        <v>17</v>
      </c>
      <c r="B4" s="51" t="s">
        <v>18</v>
      </c>
      <c r="C4" s="52" t="s">
        <v>42</v>
      </c>
      <c r="D4" s="52" t="s">
        <v>93</v>
      </c>
      <c r="E4" s="52" t="s">
        <v>93</v>
      </c>
      <c r="F4" s="52" t="s">
        <v>93</v>
      </c>
    </row>
    <row r="5" spans="1:8" x14ac:dyDescent="0.2">
      <c r="A5" s="51" t="s">
        <v>22</v>
      </c>
      <c r="B5" s="51" t="s">
        <v>23</v>
      </c>
      <c r="C5" s="52" t="s">
        <v>93</v>
      </c>
      <c r="D5" s="52" t="s">
        <v>93</v>
      </c>
      <c r="E5" s="52" t="s">
        <v>93</v>
      </c>
      <c r="F5" s="52" t="s">
        <v>93</v>
      </c>
    </row>
    <row r="6" spans="1:8" x14ac:dyDescent="0.2">
      <c r="A6" s="51" t="s">
        <v>25</v>
      </c>
      <c r="B6" s="51" t="s">
        <v>26</v>
      </c>
      <c r="C6" s="52" t="s">
        <v>102</v>
      </c>
      <c r="D6" s="52" t="s">
        <v>102</v>
      </c>
      <c r="E6" s="52" t="s">
        <v>102</v>
      </c>
      <c r="F6" s="52" t="s">
        <v>102</v>
      </c>
    </row>
    <row r="7" spans="1:8" x14ac:dyDescent="0.2">
      <c r="A7" s="51" t="s">
        <v>27</v>
      </c>
      <c r="B7" s="51" t="s">
        <v>28</v>
      </c>
      <c r="C7" s="52" t="s">
        <v>93</v>
      </c>
      <c r="D7" s="52" t="s">
        <v>93</v>
      </c>
      <c r="E7" s="52" t="s">
        <v>93</v>
      </c>
      <c r="F7" s="52" t="s">
        <v>93</v>
      </c>
    </row>
    <row r="8" spans="1:8" x14ac:dyDescent="0.2">
      <c r="A8" s="51" t="s">
        <v>29</v>
      </c>
      <c r="B8" s="51" t="s">
        <v>30</v>
      </c>
      <c r="C8" s="52" t="s">
        <v>93</v>
      </c>
      <c r="D8" s="52" t="s">
        <v>93</v>
      </c>
      <c r="E8" s="52" t="s">
        <v>93</v>
      </c>
      <c r="F8" s="52" t="s">
        <v>42</v>
      </c>
    </row>
    <row r="9" spans="1:8" x14ac:dyDescent="0.2">
      <c r="A9" s="51" t="s">
        <v>31</v>
      </c>
      <c r="B9" s="51" t="s">
        <v>32</v>
      </c>
      <c r="C9" s="52" t="s">
        <v>93</v>
      </c>
      <c r="D9" s="52" t="s">
        <v>93</v>
      </c>
      <c r="E9" s="52" t="s">
        <v>93</v>
      </c>
      <c r="F9" s="52" t="s">
        <v>42</v>
      </c>
    </row>
    <row r="10" spans="1:8" x14ac:dyDescent="0.2">
      <c r="A10" s="51" t="s">
        <v>33</v>
      </c>
      <c r="B10" s="51" t="s">
        <v>34</v>
      </c>
      <c r="C10" s="52" t="s">
        <v>93</v>
      </c>
      <c r="D10" s="52" t="s">
        <v>93</v>
      </c>
      <c r="E10" s="52" t="s">
        <v>93</v>
      </c>
      <c r="F10" s="52" t="s">
        <v>42</v>
      </c>
    </row>
    <row r="11" spans="1:8" x14ac:dyDescent="0.2">
      <c r="A11" s="51" t="s">
        <v>35</v>
      </c>
      <c r="B11" s="51" t="s">
        <v>36</v>
      </c>
      <c r="C11" s="52" t="s">
        <v>93</v>
      </c>
      <c r="D11" s="52" t="s">
        <v>93</v>
      </c>
      <c r="E11" s="52" t="s">
        <v>93</v>
      </c>
      <c r="F11" s="52" t="s">
        <v>42</v>
      </c>
    </row>
    <row r="12" spans="1:8" x14ac:dyDescent="0.2">
      <c r="A12" s="51" t="s">
        <v>38</v>
      </c>
      <c r="B12" s="51" t="s">
        <v>39</v>
      </c>
      <c r="C12" s="52" t="s">
        <v>102</v>
      </c>
      <c r="D12" s="52" t="s">
        <v>102</v>
      </c>
      <c r="E12" s="52" t="s">
        <v>102</v>
      </c>
      <c r="F12" s="52" t="s">
        <v>102</v>
      </c>
    </row>
    <row r="13" spans="1:8" x14ac:dyDescent="0.2">
      <c r="A13" s="51" t="s">
        <v>40</v>
      </c>
      <c r="B13" s="51" t="s">
        <v>41</v>
      </c>
      <c r="C13" s="52" t="s">
        <v>93</v>
      </c>
      <c r="D13" s="52" t="s">
        <v>93</v>
      </c>
      <c r="E13" s="52" t="s">
        <v>93</v>
      </c>
      <c r="F13" s="52" t="s">
        <v>93</v>
      </c>
    </row>
    <row r="14" spans="1:8" x14ac:dyDescent="0.2">
      <c r="A14" s="51" t="s">
        <v>43</v>
      </c>
      <c r="B14" s="51" t="s">
        <v>44</v>
      </c>
      <c r="C14" s="52" t="s">
        <v>93</v>
      </c>
      <c r="D14" s="52" t="s">
        <v>93</v>
      </c>
      <c r="E14" s="52" t="s">
        <v>93</v>
      </c>
      <c r="F14" s="53" t="s">
        <v>93</v>
      </c>
    </row>
    <row r="15" spans="1:8" x14ac:dyDescent="0.2">
      <c r="A15" s="51" t="s">
        <v>45</v>
      </c>
      <c r="B15" s="51" t="s">
        <v>46</v>
      </c>
      <c r="C15" s="52" t="s">
        <v>93</v>
      </c>
      <c r="D15" s="52" t="s">
        <v>93</v>
      </c>
      <c r="E15" s="52" t="s">
        <v>93</v>
      </c>
      <c r="F15" s="52" t="s">
        <v>93</v>
      </c>
    </row>
    <row r="16" spans="1:8" x14ac:dyDescent="0.2">
      <c r="A16" s="51" t="s">
        <v>47</v>
      </c>
      <c r="B16" s="51" t="s">
        <v>48</v>
      </c>
      <c r="C16" s="52" t="s">
        <v>93</v>
      </c>
      <c r="D16" s="52" t="s">
        <v>93</v>
      </c>
      <c r="E16" s="52" t="s">
        <v>93</v>
      </c>
      <c r="F16" s="52" t="s">
        <v>93</v>
      </c>
    </row>
    <row r="17" spans="1:6" x14ac:dyDescent="0.2">
      <c r="A17" s="51" t="s">
        <v>49</v>
      </c>
      <c r="B17" s="51" t="s">
        <v>50</v>
      </c>
      <c r="C17" s="52" t="s">
        <v>93</v>
      </c>
      <c r="D17" s="52" t="s">
        <v>93</v>
      </c>
      <c r="E17" s="52" t="s">
        <v>93</v>
      </c>
      <c r="F17" s="52" t="s">
        <v>93</v>
      </c>
    </row>
    <row r="18" spans="1:6" x14ac:dyDescent="0.2">
      <c r="A18" s="51" t="s">
        <v>51</v>
      </c>
      <c r="B18" s="51" t="s">
        <v>52</v>
      </c>
      <c r="C18" s="52" t="s">
        <v>42</v>
      </c>
      <c r="D18" s="52" t="s">
        <v>93</v>
      </c>
      <c r="E18" s="52" t="s">
        <v>93</v>
      </c>
      <c r="F18" s="52" t="s">
        <v>42</v>
      </c>
    </row>
    <row r="19" spans="1:6" x14ac:dyDescent="0.2">
      <c r="A19" s="51" t="s">
        <v>53</v>
      </c>
      <c r="B19" s="51" t="s">
        <v>54</v>
      </c>
      <c r="C19" s="52" t="s">
        <v>93</v>
      </c>
      <c r="D19" s="52" t="s">
        <v>93</v>
      </c>
      <c r="E19" s="52" t="s">
        <v>93</v>
      </c>
      <c r="F19" s="52" t="s">
        <v>93</v>
      </c>
    </row>
    <row r="20" spans="1:6" x14ac:dyDescent="0.2">
      <c r="A20" s="51" t="s">
        <v>55</v>
      </c>
      <c r="B20" s="51" t="s">
        <v>56</v>
      </c>
      <c r="C20" s="52" t="s">
        <v>93</v>
      </c>
      <c r="D20" s="52" t="s">
        <v>93</v>
      </c>
      <c r="E20" s="52" t="s">
        <v>93</v>
      </c>
      <c r="F20" s="52" t="s">
        <v>93</v>
      </c>
    </row>
    <row r="21" spans="1:6" x14ac:dyDescent="0.2">
      <c r="A21" s="51" t="s">
        <v>57</v>
      </c>
      <c r="B21" s="51" t="s">
        <v>58</v>
      </c>
      <c r="C21" s="52" t="s">
        <v>42</v>
      </c>
      <c r="D21" s="52" t="s">
        <v>93</v>
      </c>
      <c r="E21" s="52" t="s">
        <v>93</v>
      </c>
      <c r="F21" s="52" t="s">
        <v>42</v>
      </c>
    </row>
    <row r="22" spans="1:6" x14ac:dyDescent="0.2">
      <c r="A22" s="51" t="s">
        <v>60</v>
      </c>
      <c r="B22" s="51" t="s">
        <v>61</v>
      </c>
      <c r="C22" s="52" t="s">
        <v>93</v>
      </c>
      <c r="D22" s="52" t="s">
        <v>93</v>
      </c>
      <c r="E22" s="52" t="s">
        <v>93</v>
      </c>
      <c r="F22" s="52" t="s">
        <v>93</v>
      </c>
    </row>
    <row r="23" spans="1:6" x14ac:dyDescent="0.2">
      <c r="A23" s="51" t="s">
        <v>62</v>
      </c>
      <c r="B23" s="51" t="s">
        <v>63</v>
      </c>
      <c r="C23" s="52" t="s">
        <v>102</v>
      </c>
      <c r="D23" s="52" t="s">
        <v>102</v>
      </c>
      <c r="E23" s="52" t="s">
        <v>102</v>
      </c>
      <c r="F23" s="52" t="s">
        <v>102</v>
      </c>
    </row>
    <row r="24" spans="1:6" x14ac:dyDescent="0.2">
      <c r="A24" s="51" t="s">
        <v>64</v>
      </c>
      <c r="B24" s="51" t="s">
        <v>65</v>
      </c>
      <c r="C24" s="52" t="s">
        <v>42</v>
      </c>
      <c r="D24" s="52" t="s">
        <v>93</v>
      </c>
      <c r="E24" s="52" t="s">
        <v>93</v>
      </c>
      <c r="F24" s="52" t="s">
        <v>42</v>
      </c>
    </row>
    <row r="25" spans="1:6" x14ac:dyDescent="0.2">
      <c r="A25" s="51" t="s">
        <v>66</v>
      </c>
      <c r="B25" s="51" t="s">
        <v>67</v>
      </c>
      <c r="C25" s="52" t="s">
        <v>93</v>
      </c>
      <c r="D25" s="52" t="s">
        <v>93</v>
      </c>
      <c r="E25" s="52" t="s">
        <v>93</v>
      </c>
      <c r="F25" s="52" t="s">
        <v>93</v>
      </c>
    </row>
    <row r="26" spans="1:6" x14ac:dyDescent="0.2">
      <c r="A26" s="51" t="s">
        <v>68</v>
      </c>
      <c r="B26" s="51" t="s">
        <v>69</v>
      </c>
      <c r="C26" s="52" t="s">
        <v>42</v>
      </c>
      <c r="D26" s="52" t="s">
        <v>93</v>
      </c>
      <c r="E26" s="52" t="s">
        <v>93</v>
      </c>
      <c r="F26" s="52" t="s">
        <v>93</v>
      </c>
    </row>
    <row r="27" spans="1:6" x14ac:dyDescent="0.2">
      <c r="A27" s="51" t="s">
        <v>70</v>
      </c>
      <c r="B27" s="51" t="s">
        <v>71</v>
      </c>
      <c r="C27" s="52" t="s">
        <v>93</v>
      </c>
      <c r="D27" s="52" t="s">
        <v>93</v>
      </c>
      <c r="E27" s="52" t="s">
        <v>93</v>
      </c>
      <c r="F27" s="52" t="s">
        <v>93</v>
      </c>
    </row>
    <row r="28" spans="1:6" x14ac:dyDescent="0.2">
      <c r="A28" s="51" t="s">
        <v>73</v>
      </c>
      <c r="B28" s="51" t="s">
        <v>74</v>
      </c>
      <c r="C28" s="53" t="s">
        <v>93</v>
      </c>
      <c r="D28" s="52" t="s">
        <v>93</v>
      </c>
      <c r="E28" s="52" t="s">
        <v>93</v>
      </c>
      <c r="F28" s="52" t="s">
        <v>93</v>
      </c>
    </row>
    <row r="29" spans="1:6" x14ac:dyDescent="0.2">
      <c r="A29" s="51" t="s">
        <v>75</v>
      </c>
      <c r="B29" s="51" t="s">
        <v>76</v>
      </c>
      <c r="C29" s="53" t="s">
        <v>93</v>
      </c>
      <c r="D29" s="52" t="s">
        <v>93</v>
      </c>
      <c r="E29" s="52" t="s">
        <v>93</v>
      </c>
      <c r="F29" s="52" t="s">
        <v>42</v>
      </c>
    </row>
    <row r="30" spans="1:6" x14ac:dyDescent="0.2">
      <c r="A30" s="51" t="s">
        <v>77</v>
      </c>
      <c r="B30" s="51" t="s">
        <v>78</v>
      </c>
      <c r="C30" s="52" t="s">
        <v>93</v>
      </c>
      <c r="D30" s="52" t="s">
        <v>93</v>
      </c>
      <c r="E30" s="52" t="s">
        <v>93</v>
      </c>
      <c r="F30" s="52" t="s">
        <v>93</v>
      </c>
    </row>
    <row r="31" spans="1:6" x14ac:dyDescent="0.2">
      <c r="A31" s="51" t="s">
        <v>79</v>
      </c>
      <c r="B31" s="51" t="s">
        <v>80</v>
      </c>
      <c r="C31" s="52" t="s">
        <v>102</v>
      </c>
      <c r="D31" s="52" t="s">
        <v>102</v>
      </c>
      <c r="E31" s="52" t="s">
        <v>102</v>
      </c>
      <c r="F31" s="52" t="s">
        <v>102</v>
      </c>
    </row>
    <row r="32" spans="1:6" x14ac:dyDescent="0.2">
      <c r="A32" s="51" t="s">
        <v>81</v>
      </c>
      <c r="B32" s="51" t="s">
        <v>82</v>
      </c>
      <c r="C32" s="53" t="s">
        <v>102</v>
      </c>
      <c r="D32" s="52" t="s">
        <v>102</v>
      </c>
      <c r="E32" s="52" t="s">
        <v>102</v>
      </c>
      <c r="F32" s="52" t="s">
        <v>102</v>
      </c>
    </row>
    <row r="33" spans="1:6" x14ac:dyDescent="0.2">
      <c r="A33" s="51" t="s">
        <v>84</v>
      </c>
      <c r="B33" s="51" t="s">
        <v>85</v>
      </c>
      <c r="C33" s="52" t="s">
        <v>93</v>
      </c>
      <c r="D33" s="52" t="s">
        <v>93</v>
      </c>
      <c r="E33" s="52" t="s">
        <v>93</v>
      </c>
      <c r="F33" s="52" t="s">
        <v>93</v>
      </c>
    </row>
    <row r="34" spans="1:6" ht="25.5" x14ac:dyDescent="0.2">
      <c r="A34" s="51" t="s">
        <v>86</v>
      </c>
      <c r="B34" s="51" t="s">
        <v>87</v>
      </c>
      <c r="C34" s="52" t="s">
        <v>93</v>
      </c>
      <c r="D34" s="52" t="s">
        <v>93</v>
      </c>
      <c r="E34" s="52" t="s">
        <v>93</v>
      </c>
      <c r="F34" s="52" t="s">
        <v>93</v>
      </c>
    </row>
    <row r="35" spans="1:6" x14ac:dyDescent="0.2">
      <c r="A35" s="51" t="s">
        <v>89</v>
      </c>
      <c r="B35" s="51" t="s">
        <v>90</v>
      </c>
      <c r="C35" s="52" t="s">
        <v>93</v>
      </c>
      <c r="D35" s="52" t="s">
        <v>93</v>
      </c>
      <c r="E35" s="52" t="s">
        <v>93</v>
      </c>
      <c r="F35" s="52" t="s">
        <v>93</v>
      </c>
    </row>
    <row r="36" spans="1:6" ht="18.95" customHeight="1" x14ac:dyDescent="0.2">
      <c r="A36" s="51" t="s">
        <v>91</v>
      </c>
      <c r="B36" s="51" t="s">
        <v>92</v>
      </c>
      <c r="C36" s="52" t="s">
        <v>93</v>
      </c>
      <c r="D36" s="52" t="s">
        <v>93</v>
      </c>
      <c r="E36" s="52" t="s">
        <v>93</v>
      </c>
      <c r="F36" s="52" t="s">
        <v>93</v>
      </c>
    </row>
    <row r="37" spans="1:6" x14ac:dyDescent="0.2">
      <c r="A37" s="51" t="s">
        <v>94</v>
      </c>
      <c r="B37" s="51" t="s">
        <v>95</v>
      </c>
      <c r="C37" s="52" t="s">
        <v>93</v>
      </c>
      <c r="D37" s="52" t="s">
        <v>93</v>
      </c>
      <c r="E37" s="52" t="s">
        <v>93</v>
      </c>
      <c r="F37" s="52" t="s">
        <v>42</v>
      </c>
    </row>
    <row r="38" spans="1:6" x14ac:dyDescent="0.2">
      <c r="A38" s="51" t="s">
        <v>96</v>
      </c>
      <c r="B38" s="51" t="s">
        <v>97</v>
      </c>
      <c r="C38" s="52" t="s">
        <v>93</v>
      </c>
      <c r="D38" s="52" t="s">
        <v>93</v>
      </c>
      <c r="E38" s="52" t="s">
        <v>93</v>
      </c>
      <c r="F38" s="52" t="s">
        <v>93</v>
      </c>
    </row>
    <row r="39" spans="1:6" x14ac:dyDescent="0.2">
      <c r="A39" s="51" t="s">
        <v>98</v>
      </c>
      <c r="B39" s="51" t="s">
        <v>99</v>
      </c>
      <c r="C39" s="52" t="s">
        <v>102</v>
      </c>
      <c r="D39" s="52" t="s">
        <v>102</v>
      </c>
      <c r="E39" s="52" t="s">
        <v>102</v>
      </c>
      <c r="F39" s="52" t="s">
        <v>102</v>
      </c>
    </row>
    <row r="40" spans="1:6" x14ac:dyDescent="0.2">
      <c r="A40" s="51" t="s">
        <v>273</v>
      </c>
      <c r="B40" s="51" t="s">
        <v>274</v>
      </c>
      <c r="C40" s="54" t="s">
        <v>42</v>
      </c>
      <c r="D40" s="54" t="s">
        <v>42</v>
      </c>
      <c r="E40" s="54" t="s">
        <v>93</v>
      </c>
      <c r="F40" s="54" t="s">
        <v>42</v>
      </c>
    </row>
    <row r="41" spans="1:6" s="4" customFormat="1" ht="41.1" customHeight="1" x14ac:dyDescent="0.2">
      <c r="A41" s="139" t="s">
        <v>103</v>
      </c>
      <c r="B41" s="139"/>
      <c r="C41" s="55">
        <f>COUNTIF(C3:C40,"EXCLUDED")</f>
        <v>25</v>
      </c>
      <c r="D41" s="55">
        <f t="shared" ref="D41:F41" si="0">COUNTIF(D3:D40,"EXCLUDED")</f>
        <v>31</v>
      </c>
      <c r="E41" s="55">
        <f t="shared" si="0"/>
        <v>32</v>
      </c>
      <c r="F41" s="55">
        <f t="shared" si="0"/>
        <v>22</v>
      </c>
    </row>
    <row r="42" spans="1:6" s="4" customFormat="1" ht="30.6" customHeight="1" x14ac:dyDescent="0.2">
      <c r="A42" s="140" t="s">
        <v>104</v>
      </c>
      <c r="B42" s="140"/>
      <c r="C42" s="17">
        <f>C41/38</f>
        <v>0.65789473684210531</v>
      </c>
      <c r="D42" s="17">
        <f t="shared" ref="D42:F42" si="1">D41/38</f>
        <v>0.81578947368421051</v>
      </c>
      <c r="E42" s="17">
        <f t="shared" si="1"/>
        <v>0.84210526315789469</v>
      </c>
      <c r="F42" s="17">
        <f t="shared" si="1"/>
        <v>0.57894736842105265</v>
      </c>
    </row>
    <row r="43" spans="1:6" x14ac:dyDescent="0.2">
      <c r="A43" s="141" t="s">
        <v>275</v>
      </c>
      <c r="B43" s="141"/>
      <c r="C43" s="142"/>
      <c r="D43" s="142"/>
      <c r="E43" s="142"/>
      <c r="F43" s="142"/>
    </row>
    <row r="44" spans="1:6" x14ac:dyDescent="0.2">
      <c r="A44" s="142" t="s">
        <v>276</v>
      </c>
      <c r="B44" s="142"/>
      <c r="C44" s="142"/>
      <c r="D44" s="142"/>
      <c r="E44" s="142"/>
      <c r="F44" s="142"/>
    </row>
    <row r="45" spans="1:6" x14ac:dyDescent="0.2">
      <c r="A45" s="56"/>
      <c r="B45" s="143" t="s">
        <v>277</v>
      </c>
      <c r="C45" s="143"/>
      <c r="D45" s="143"/>
      <c r="E45" s="143"/>
      <c r="F45" s="143"/>
    </row>
    <row r="46" spans="1:6" x14ac:dyDescent="0.2">
      <c r="A46" s="57"/>
      <c r="B46" s="21" t="s">
        <v>107</v>
      </c>
      <c r="C46" s="21"/>
      <c r="D46" s="21"/>
      <c r="E46" s="21"/>
      <c r="F46" s="21"/>
    </row>
    <row r="47" spans="1:6" x14ac:dyDescent="0.2">
      <c r="A47" s="58"/>
      <c r="B47" s="119" t="s">
        <v>278</v>
      </c>
      <c r="C47" s="119"/>
      <c r="D47" s="119"/>
      <c r="E47" s="119"/>
      <c r="F47" s="119"/>
    </row>
  </sheetData>
  <mergeCells count="7">
    <mergeCell ref="B47:F47"/>
    <mergeCell ref="A1:F1"/>
    <mergeCell ref="A41:B41"/>
    <mergeCell ref="A42:B42"/>
    <mergeCell ref="A43:F43"/>
    <mergeCell ref="A44:F44"/>
    <mergeCell ref="B45:F45"/>
  </mergeCells>
  <conditionalFormatting sqref="A46">
    <cfRule type="cellIs" dxfId="176" priority="1" stopIfTrue="1" operator="equal">
      <formula>"EXCLUDED"</formula>
    </cfRule>
    <cfRule type="cellIs" dxfId="175" priority="2" stopIfTrue="1" operator="equal">
      <formula>"DON'T KNOW IF COUNTED"</formula>
    </cfRule>
    <cfRule type="cellIs" dxfId="174" priority="3" stopIfTrue="1" operator="equal">
      <formula>"INCLUDED"</formula>
    </cfRule>
    <cfRule type="cellIs" dxfId="173" priority="4" stopIfTrue="1" operator="equal">
      <formula>"NOT COUNTED"</formula>
    </cfRule>
    <cfRule type="cellIs" dxfId="172" priority="5" stopIfTrue="1" operator="equal">
      <formula>":"</formula>
    </cfRule>
    <cfRule type="cellIs" dxfId="171" priority="6" stopIfTrue="1" operator="equal">
      <formula>"NOT COUNTED; INCLUDED"</formula>
    </cfRule>
    <cfRule type="cellIs" dxfId="170" priority="7" stopIfTrue="1" operator="equal">
      <formula>"COUNTED; EXCLUDED"</formula>
    </cfRule>
    <cfRule type="cellIs" dxfId="169" priority="8" stopIfTrue="1" operator="equal">
      <formula>"NOT COUNTED; EXCLUDED"</formula>
    </cfRule>
    <cfRule type="cellIs" dxfId="168" priority="9" stopIfTrue="1" operator="equal">
      <formula>"COUNTED; INCLUDED"</formula>
    </cfRule>
    <cfRule type="cellIs" dxfId="167" priority="10" stopIfTrue="1" operator="equal">
      <formula>"NOT SEPARATED; INCLUDED"</formula>
    </cfRule>
    <cfRule type="cellIs" dxfId="166" priority="11" stopIfTrue="1" operator="equal">
      <formula>"SEPARATED"</formula>
    </cfRule>
    <cfRule type="cellIs" dxfId="165" priority="12" stopIfTrue="1" operator="equal">
      <formula>"SEPARATED; EXCLUDED"</formula>
    </cfRule>
    <cfRule type="cellIs" dxfId="164" priority="13" stopIfTrue="1" operator="equal">
      <formula>"SEPARATED; INCLUDED"</formula>
    </cfRule>
    <cfRule type="cellIs" dxfId="163" priority="14" stopIfTrue="1" operator="equal">
      <formula>"NOT SEPARATED; EXCLUDED"</formula>
    </cfRule>
    <cfRule type="cellIs" dxfId="162" priority="15" stopIfTrue="1" operator="equal">
      <formula>"NOT SEPARATED"</formula>
    </cfRule>
  </conditionalFormatting>
  <conditionalFormatting sqref="C3:F40">
    <cfRule type="cellIs" dxfId="161" priority="16" stopIfTrue="1" operator="equal">
      <formula>":"</formula>
    </cfRule>
    <cfRule type="cellIs" dxfId="160" priority="17" stopIfTrue="1" operator="equal">
      <formula>"Included"</formula>
    </cfRule>
    <cfRule type="cellIs" dxfId="159" priority="18" stopIfTrue="1" operator="equal">
      <formula>"Excluded"</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D749-0027-4908-B56D-E6517E3864A2}">
  <sheetPr codeName="Sheet29">
    <tabColor theme="8" tint="0.39997558519241921"/>
  </sheetPr>
  <dimension ref="A1:F42"/>
  <sheetViews>
    <sheetView zoomScaleNormal="100" workbookViewId="0">
      <selection activeCell="M15" sqref="M15"/>
    </sheetView>
  </sheetViews>
  <sheetFormatPr defaultColWidth="8.7109375" defaultRowHeight="12.75" x14ac:dyDescent="0.2"/>
  <cols>
    <col min="1" max="1" width="4.7109375" style="2" customWidth="1"/>
    <col min="2" max="2" width="13.85546875" style="2" customWidth="1"/>
    <col min="3" max="3" width="36.85546875" style="2" customWidth="1"/>
    <col min="4" max="4" width="24.85546875" style="2" customWidth="1"/>
    <col min="5" max="5" width="29.140625" style="2" customWidth="1"/>
    <col min="6" max="6" width="43.85546875" style="2" bestFit="1" customWidth="1"/>
    <col min="7" max="16384" width="8.7109375" style="2"/>
  </cols>
  <sheetData>
    <row r="1" spans="1:6" ht="25.5" customHeight="1" x14ac:dyDescent="0.3">
      <c r="A1" s="144" t="s">
        <v>309</v>
      </c>
      <c r="B1" s="144"/>
      <c r="C1" s="144"/>
      <c r="D1" s="144"/>
      <c r="E1" s="144"/>
      <c r="F1" s="144"/>
    </row>
    <row r="2" spans="1:6" s="67" customFormat="1" ht="25.5" x14ac:dyDescent="0.2">
      <c r="A2" s="50" t="s">
        <v>1</v>
      </c>
      <c r="B2" s="50" t="s">
        <v>268</v>
      </c>
      <c r="C2" s="50" t="s">
        <v>310</v>
      </c>
      <c r="D2" s="50" t="s">
        <v>311</v>
      </c>
      <c r="E2" s="50" t="s">
        <v>312</v>
      </c>
      <c r="F2" s="50" t="s">
        <v>313</v>
      </c>
    </row>
    <row r="3" spans="1:6" x14ac:dyDescent="0.2">
      <c r="A3" s="51" t="s">
        <v>12</v>
      </c>
      <c r="B3" s="51" t="s">
        <v>13</v>
      </c>
      <c r="C3" s="61" t="s">
        <v>102</v>
      </c>
      <c r="D3" s="61"/>
      <c r="E3" s="61"/>
      <c r="F3" s="61"/>
    </row>
    <row r="4" spans="1:6" ht="25.5" x14ac:dyDescent="0.2">
      <c r="A4" s="51" t="s">
        <v>17</v>
      </c>
      <c r="B4" s="51" t="s">
        <v>18</v>
      </c>
      <c r="C4" s="61" t="s">
        <v>314</v>
      </c>
      <c r="D4" s="61"/>
      <c r="E4" s="61"/>
      <c r="F4" s="61"/>
    </row>
    <row r="5" spans="1:6" x14ac:dyDescent="0.2">
      <c r="A5" s="51" t="s">
        <v>22</v>
      </c>
      <c r="B5" s="51" t="s">
        <v>23</v>
      </c>
      <c r="C5" s="61"/>
      <c r="D5" s="61"/>
      <c r="E5" s="61"/>
      <c r="F5" s="61"/>
    </row>
    <row r="6" spans="1:6" x14ac:dyDescent="0.2">
      <c r="A6" s="51" t="s">
        <v>25</v>
      </c>
      <c r="B6" s="51" t="s">
        <v>26</v>
      </c>
      <c r="C6" s="145" t="s">
        <v>315</v>
      </c>
      <c r="D6" s="146"/>
      <c r="E6" s="146"/>
      <c r="F6" s="147"/>
    </row>
    <row r="7" spans="1:6" x14ac:dyDescent="0.2">
      <c r="A7" s="51" t="s">
        <v>27</v>
      </c>
      <c r="B7" s="51" t="s">
        <v>28</v>
      </c>
      <c r="C7" s="61"/>
      <c r="D7" s="61"/>
      <c r="E7" s="61"/>
      <c r="F7" s="61"/>
    </row>
    <row r="8" spans="1:6" ht="25.5" x14ac:dyDescent="0.2">
      <c r="A8" s="51" t="s">
        <v>29</v>
      </c>
      <c r="B8" s="51" t="s">
        <v>30</v>
      </c>
      <c r="C8" s="61"/>
      <c r="D8" s="61"/>
      <c r="E8" s="61"/>
      <c r="F8" s="62" t="s">
        <v>316</v>
      </c>
    </row>
    <row r="9" spans="1:6" ht="38.25" x14ac:dyDescent="0.2">
      <c r="A9" s="51" t="s">
        <v>31</v>
      </c>
      <c r="B9" s="51" t="s">
        <v>32</v>
      </c>
      <c r="C9" s="65"/>
      <c r="D9" s="65"/>
      <c r="E9" s="65"/>
      <c r="F9" s="65" t="s">
        <v>317</v>
      </c>
    </row>
    <row r="10" spans="1:6" ht="38.25" x14ac:dyDescent="0.2">
      <c r="A10" s="51" t="s">
        <v>33</v>
      </c>
      <c r="B10" s="51" t="s">
        <v>34</v>
      </c>
      <c r="C10" s="65" t="s">
        <v>318</v>
      </c>
      <c r="D10" s="65" t="s">
        <v>319</v>
      </c>
      <c r="E10" s="65" t="s">
        <v>320</v>
      </c>
      <c r="F10" s="65" t="s">
        <v>321</v>
      </c>
    </row>
    <row r="11" spans="1:6" ht="140.25" x14ac:dyDescent="0.2">
      <c r="A11" s="51" t="s">
        <v>35</v>
      </c>
      <c r="B11" s="51" t="s">
        <v>36</v>
      </c>
      <c r="C11" s="65"/>
      <c r="D11" s="65"/>
      <c r="E11" s="65"/>
      <c r="F11" s="63" t="s">
        <v>322</v>
      </c>
    </row>
    <row r="12" spans="1:6" ht="25.5" x14ac:dyDescent="0.2">
      <c r="A12" s="51" t="s">
        <v>38</v>
      </c>
      <c r="B12" s="51" t="s">
        <v>39</v>
      </c>
      <c r="C12" s="65" t="s">
        <v>323</v>
      </c>
      <c r="D12" s="65" t="s">
        <v>102</v>
      </c>
      <c r="E12" s="65" t="s">
        <v>102</v>
      </c>
      <c r="F12" s="65" t="s">
        <v>102</v>
      </c>
    </row>
    <row r="13" spans="1:6" ht="25.5" x14ac:dyDescent="0.2">
      <c r="A13" s="51" t="s">
        <v>40</v>
      </c>
      <c r="B13" s="51" t="s">
        <v>41</v>
      </c>
      <c r="C13" s="65" t="s">
        <v>324</v>
      </c>
      <c r="D13" s="65" t="s">
        <v>325</v>
      </c>
      <c r="E13" s="65" t="s">
        <v>326</v>
      </c>
      <c r="F13" s="65" t="s">
        <v>327</v>
      </c>
    </row>
    <row r="14" spans="1:6" x14ac:dyDescent="0.2">
      <c r="A14" s="51" t="s">
        <v>43</v>
      </c>
      <c r="B14" s="51" t="s">
        <v>44</v>
      </c>
      <c r="C14" s="65"/>
      <c r="D14" s="65"/>
      <c r="E14" s="65"/>
      <c r="F14" s="65"/>
    </row>
    <row r="15" spans="1:6" x14ac:dyDescent="0.2">
      <c r="A15" s="51" t="s">
        <v>45</v>
      </c>
      <c r="B15" s="51" t="s">
        <v>46</v>
      </c>
      <c r="C15" s="65"/>
      <c r="D15" s="65"/>
      <c r="E15" s="65"/>
      <c r="F15" s="65"/>
    </row>
    <row r="16" spans="1:6" x14ac:dyDescent="0.2">
      <c r="A16" s="51" t="s">
        <v>47</v>
      </c>
      <c r="B16" s="51" t="s">
        <v>48</v>
      </c>
      <c r="C16" s="65"/>
      <c r="D16" s="65"/>
      <c r="E16" s="65"/>
      <c r="F16" s="65"/>
    </row>
    <row r="17" spans="1:6" x14ac:dyDescent="0.2">
      <c r="A17" s="51" t="s">
        <v>49</v>
      </c>
      <c r="B17" s="51" t="s">
        <v>50</v>
      </c>
      <c r="C17" s="65"/>
      <c r="D17" s="63"/>
      <c r="E17" s="65"/>
      <c r="F17" s="63"/>
    </row>
    <row r="18" spans="1:6" ht="51.95" customHeight="1" x14ac:dyDescent="0.2">
      <c r="A18" s="51" t="s">
        <v>51</v>
      </c>
      <c r="B18" s="51" t="s">
        <v>52</v>
      </c>
      <c r="C18" s="65" t="s">
        <v>328</v>
      </c>
      <c r="D18" s="65"/>
      <c r="E18" s="65"/>
      <c r="F18" s="65" t="s">
        <v>329</v>
      </c>
    </row>
    <row r="19" spans="1:6" x14ac:dyDescent="0.2">
      <c r="A19" s="51" t="s">
        <v>53</v>
      </c>
      <c r="B19" s="51" t="s">
        <v>54</v>
      </c>
      <c r="C19" s="65"/>
      <c r="D19" s="65"/>
      <c r="E19" s="65"/>
      <c r="F19" s="65"/>
    </row>
    <row r="20" spans="1:6" x14ac:dyDescent="0.2">
      <c r="A20" s="51" t="s">
        <v>55</v>
      </c>
      <c r="B20" s="51" t="s">
        <v>56</v>
      </c>
      <c r="C20" s="68"/>
      <c r="D20" s="68"/>
      <c r="E20" s="68"/>
      <c r="F20" s="68"/>
    </row>
    <row r="21" spans="1:6" ht="25.5" x14ac:dyDescent="0.2">
      <c r="A21" s="51" t="s">
        <v>57</v>
      </c>
      <c r="B21" s="51" t="s">
        <v>58</v>
      </c>
      <c r="C21" s="65" t="s">
        <v>330</v>
      </c>
      <c r="D21" s="65"/>
      <c r="E21" s="65"/>
      <c r="F21" s="65" t="s">
        <v>330</v>
      </c>
    </row>
    <row r="22" spans="1:6" x14ac:dyDescent="0.2">
      <c r="A22" s="51" t="s">
        <v>60</v>
      </c>
      <c r="B22" s="51" t="s">
        <v>61</v>
      </c>
      <c r="C22" s="65"/>
      <c r="D22" s="65"/>
      <c r="E22" s="65"/>
      <c r="F22" s="65"/>
    </row>
    <row r="23" spans="1:6" x14ac:dyDescent="0.2">
      <c r="A23" s="51" t="s">
        <v>62</v>
      </c>
      <c r="B23" s="51" t="s">
        <v>63</v>
      </c>
      <c r="C23" s="65" t="s">
        <v>102</v>
      </c>
      <c r="D23" s="65" t="s">
        <v>102</v>
      </c>
      <c r="E23" s="65" t="s">
        <v>102</v>
      </c>
      <c r="F23" s="65" t="s">
        <v>102</v>
      </c>
    </row>
    <row r="24" spans="1:6" ht="38.25" x14ac:dyDescent="0.2">
      <c r="A24" s="51" t="s">
        <v>64</v>
      </c>
      <c r="B24" s="51" t="s">
        <v>65</v>
      </c>
      <c r="C24" s="61" t="s">
        <v>331</v>
      </c>
      <c r="D24" s="61"/>
      <c r="E24" s="61"/>
      <c r="F24" s="61" t="s">
        <v>332</v>
      </c>
    </row>
    <row r="25" spans="1:6" x14ac:dyDescent="0.2">
      <c r="A25" s="51" t="s">
        <v>66</v>
      </c>
      <c r="B25" s="51" t="s">
        <v>67</v>
      </c>
      <c r="C25" s="61"/>
      <c r="D25" s="61"/>
      <c r="E25" s="61"/>
      <c r="F25" s="61"/>
    </row>
    <row r="26" spans="1:6" ht="117.6" customHeight="1" x14ac:dyDescent="0.2">
      <c r="A26" s="51" t="s">
        <v>68</v>
      </c>
      <c r="B26" s="51" t="s">
        <v>69</v>
      </c>
      <c r="C26" s="61" t="s">
        <v>297</v>
      </c>
      <c r="D26" s="61"/>
      <c r="E26" s="61"/>
      <c r="F26" s="61"/>
    </row>
    <row r="27" spans="1:6" ht="25.5" x14ac:dyDescent="0.2">
      <c r="A27" s="51" t="s">
        <v>70</v>
      </c>
      <c r="B27" s="51" t="s">
        <v>71</v>
      </c>
      <c r="C27" s="63" t="s">
        <v>333</v>
      </c>
      <c r="D27" s="62" t="s">
        <v>334</v>
      </c>
      <c r="E27" s="62" t="s">
        <v>335</v>
      </c>
      <c r="F27" s="62" t="s">
        <v>334</v>
      </c>
    </row>
    <row r="28" spans="1:6" ht="242.25" x14ac:dyDescent="0.2">
      <c r="A28" s="51" t="s">
        <v>73</v>
      </c>
      <c r="B28" s="51" t="s">
        <v>74</v>
      </c>
      <c r="C28" s="61"/>
      <c r="D28" s="61"/>
      <c r="E28" s="61"/>
      <c r="F28" s="61" t="s">
        <v>336</v>
      </c>
    </row>
    <row r="29" spans="1:6" x14ac:dyDescent="0.2">
      <c r="A29" s="51" t="s">
        <v>75</v>
      </c>
      <c r="B29" s="51" t="s">
        <v>76</v>
      </c>
      <c r="C29" s="145" t="s">
        <v>337</v>
      </c>
      <c r="D29" s="146"/>
      <c r="E29" s="146"/>
      <c r="F29" s="147"/>
    </row>
    <row r="30" spans="1:6" x14ac:dyDescent="0.2">
      <c r="A30" s="51" t="s">
        <v>77</v>
      </c>
      <c r="B30" s="51" t="s">
        <v>78</v>
      </c>
      <c r="C30" s="61"/>
      <c r="D30" s="61"/>
      <c r="E30" s="64"/>
      <c r="F30" s="61"/>
    </row>
    <row r="31" spans="1:6" x14ac:dyDescent="0.2">
      <c r="A31" s="51" t="s">
        <v>79</v>
      </c>
      <c r="B31" s="51" t="s">
        <v>80</v>
      </c>
      <c r="C31" s="65" t="s">
        <v>102</v>
      </c>
      <c r="D31" s="65" t="s">
        <v>102</v>
      </c>
      <c r="E31" s="65" t="s">
        <v>102</v>
      </c>
      <c r="F31" s="65" t="s">
        <v>102</v>
      </c>
    </row>
    <row r="32" spans="1:6" x14ac:dyDescent="0.2">
      <c r="A32" s="51" t="s">
        <v>81</v>
      </c>
      <c r="B32" s="51" t="s">
        <v>82</v>
      </c>
      <c r="C32" s="65" t="s">
        <v>102</v>
      </c>
      <c r="D32" s="65" t="s">
        <v>102</v>
      </c>
      <c r="E32" s="65" t="s">
        <v>102</v>
      </c>
      <c r="F32" s="65" t="s">
        <v>102</v>
      </c>
    </row>
    <row r="33" spans="1:6" x14ac:dyDescent="0.2">
      <c r="A33" s="51" t="s">
        <v>84</v>
      </c>
      <c r="B33" s="51" t="s">
        <v>85</v>
      </c>
      <c r="C33" s="61"/>
      <c r="D33" s="61"/>
      <c r="E33" s="64"/>
      <c r="F33" s="61"/>
    </row>
    <row r="34" spans="1:6" ht="25.5" x14ac:dyDescent="0.2">
      <c r="A34" s="51" t="s">
        <v>86</v>
      </c>
      <c r="B34" s="51" t="s">
        <v>87</v>
      </c>
      <c r="C34" s="61"/>
      <c r="D34" s="61"/>
      <c r="E34" s="64"/>
      <c r="F34" s="61"/>
    </row>
    <row r="35" spans="1:6" x14ac:dyDescent="0.2">
      <c r="A35" s="51" t="s">
        <v>89</v>
      </c>
      <c r="B35" s="51" t="s">
        <v>90</v>
      </c>
      <c r="C35" s="61"/>
      <c r="D35" s="61"/>
      <c r="E35" s="64"/>
      <c r="F35" s="61"/>
    </row>
    <row r="36" spans="1:6" ht="25.5" x14ac:dyDescent="0.2">
      <c r="A36" s="51" t="s">
        <v>91</v>
      </c>
      <c r="B36" s="51" t="s">
        <v>92</v>
      </c>
      <c r="C36" s="61"/>
      <c r="D36" s="61"/>
      <c r="E36" s="64"/>
      <c r="F36" s="61" t="s">
        <v>338</v>
      </c>
    </row>
    <row r="37" spans="1:6" ht="38.25" x14ac:dyDescent="0.2">
      <c r="A37" s="51" t="s">
        <v>94</v>
      </c>
      <c r="B37" s="51" t="s">
        <v>95</v>
      </c>
      <c r="C37" s="62"/>
      <c r="D37" s="61"/>
      <c r="E37" s="64"/>
      <c r="F37" s="61" t="s">
        <v>339</v>
      </c>
    </row>
    <row r="38" spans="1:6" x14ac:dyDescent="0.2">
      <c r="A38" s="51" t="s">
        <v>96</v>
      </c>
      <c r="B38" s="51" t="s">
        <v>97</v>
      </c>
      <c r="C38" s="61"/>
      <c r="D38" s="61"/>
      <c r="E38" s="64"/>
      <c r="F38" s="61"/>
    </row>
    <row r="39" spans="1:6" x14ac:dyDescent="0.2">
      <c r="A39" s="51" t="s">
        <v>98</v>
      </c>
      <c r="B39" s="51" t="s">
        <v>99</v>
      </c>
      <c r="C39" s="65" t="s">
        <v>102</v>
      </c>
      <c r="D39" s="65" t="s">
        <v>102</v>
      </c>
      <c r="E39" s="65" t="s">
        <v>102</v>
      </c>
      <c r="F39" s="65" t="s">
        <v>102</v>
      </c>
    </row>
    <row r="40" spans="1:6" x14ac:dyDescent="0.2">
      <c r="A40" s="51" t="s">
        <v>273</v>
      </c>
      <c r="B40" s="51" t="s">
        <v>274</v>
      </c>
      <c r="C40" s="65" t="s">
        <v>102</v>
      </c>
      <c r="D40" s="65" t="s">
        <v>102</v>
      </c>
      <c r="E40" s="65"/>
      <c r="F40" s="65" t="s">
        <v>102</v>
      </c>
    </row>
    <row r="41" spans="1:6" x14ac:dyDescent="0.2">
      <c r="A41" s="141" t="s">
        <v>275</v>
      </c>
      <c r="B41" s="141"/>
      <c r="C41" s="141"/>
      <c r="D41" s="141"/>
      <c r="E41" s="141"/>
      <c r="F41" s="141"/>
    </row>
    <row r="42" spans="1:6" x14ac:dyDescent="0.2">
      <c r="A42" s="2" t="s">
        <v>178</v>
      </c>
      <c r="B42" s="59"/>
    </row>
  </sheetData>
  <mergeCells count="4">
    <mergeCell ref="A1:F1"/>
    <mergeCell ref="C6:F6"/>
    <mergeCell ref="C29:F29"/>
    <mergeCell ref="A41:F41"/>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8368-5910-467E-9F4D-FFF1867525C4}">
  <sheetPr codeName="Sheet20">
    <tabColor theme="5" tint="-0.249977111117893"/>
  </sheetPr>
  <dimension ref="A1:H47"/>
  <sheetViews>
    <sheetView zoomScaleNormal="100" workbookViewId="0">
      <selection activeCell="M15" sqref="M15"/>
    </sheetView>
  </sheetViews>
  <sheetFormatPr defaultColWidth="14.85546875" defaultRowHeight="12.75" x14ac:dyDescent="0.2"/>
  <cols>
    <col min="1" max="1" width="5.28515625" style="2" customWidth="1"/>
    <col min="2" max="2" width="16.85546875" style="2" customWidth="1"/>
    <col min="3" max="3" width="13.140625" style="2" customWidth="1"/>
    <col min="4" max="4" width="10.42578125" style="2" customWidth="1"/>
    <col min="5" max="5" width="12.5703125" style="2" customWidth="1"/>
    <col min="6" max="6" width="12.140625" style="2" customWidth="1"/>
    <col min="7" max="7" width="11.85546875" style="2" customWidth="1"/>
    <col min="8" max="16384" width="14.85546875" style="2"/>
  </cols>
  <sheetData>
    <row r="1" spans="1:7" ht="30.75" customHeight="1" x14ac:dyDescent="0.4">
      <c r="A1" s="148" t="s">
        <v>340</v>
      </c>
      <c r="B1" s="148"/>
      <c r="C1" s="148"/>
      <c r="D1" s="148"/>
      <c r="E1" s="148"/>
      <c r="F1" s="148"/>
      <c r="G1" s="148"/>
    </row>
    <row r="2" spans="1:7" ht="38.25" x14ac:dyDescent="0.2">
      <c r="A2" s="60" t="s">
        <v>1</v>
      </c>
      <c r="B2" s="60" t="s">
        <v>268</v>
      </c>
      <c r="C2" s="69" t="s">
        <v>341</v>
      </c>
      <c r="D2" s="69" t="s">
        <v>342</v>
      </c>
      <c r="E2" s="69" t="s">
        <v>343</v>
      </c>
      <c r="F2" s="70" t="s">
        <v>344</v>
      </c>
      <c r="G2" s="69" t="s">
        <v>345</v>
      </c>
    </row>
    <row r="3" spans="1:7" x14ac:dyDescent="0.2">
      <c r="A3" s="51" t="s">
        <v>12</v>
      </c>
      <c r="B3" s="51" t="s">
        <v>13</v>
      </c>
      <c r="C3" s="71" t="s">
        <v>93</v>
      </c>
      <c r="D3" s="71" t="s">
        <v>93</v>
      </c>
      <c r="E3" s="71" t="s">
        <v>93</v>
      </c>
      <c r="F3" s="71" t="s">
        <v>93</v>
      </c>
      <c r="G3" s="71" t="s">
        <v>93</v>
      </c>
    </row>
    <row r="4" spans="1:7" x14ac:dyDescent="0.2">
      <c r="A4" s="51" t="s">
        <v>17</v>
      </c>
      <c r="B4" s="51" t="s">
        <v>18</v>
      </c>
      <c r="C4" s="71" t="s">
        <v>93</v>
      </c>
      <c r="D4" s="71" t="s">
        <v>93</v>
      </c>
      <c r="E4" s="71" t="s">
        <v>93</v>
      </c>
      <c r="F4" s="71" t="s">
        <v>93</v>
      </c>
      <c r="G4" s="71" t="s">
        <v>93</v>
      </c>
    </row>
    <row r="5" spans="1:7" x14ac:dyDescent="0.2">
      <c r="A5" s="51" t="s">
        <v>22</v>
      </c>
      <c r="B5" s="51" t="s">
        <v>23</v>
      </c>
      <c r="C5" s="71" t="s">
        <v>93</v>
      </c>
      <c r="D5" s="71" t="s">
        <v>93</v>
      </c>
      <c r="E5" s="71" t="s">
        <v>93</v>
      </c>
      <c r="F5" s="71" t="s">
        <v>93</v>
      </c>
      <c r="G5" s="71" t="s">
        <v>93</v>
      </c>
    </row>
    <row r="6" spans="1:7" x14ac:dyDescent="0.2">
      <c r="A6" s="51" t="s">
        <v>25</v>
      </c>
      <c r="B6" s="51" t="s">
        <v>26</v>
      </c>
      <c r="C6" s="71" t="s">
        <v>93</v>
      </c>
      <c r="D6" s="71" t="s">
        <v>93</v>
      </c>
      <c r="E6" s="71" t="s">
        <v>93</v>
      </c>
      <c r="F6" s="71" t="s">
        <v>93</v>
      </c>
      <c r="G6" s="71" t="s">
        <v>93</v>
      </c>
    </row>
    <row r="7" spans="1:7" x14ac:dyDescent="0.2">
      <c r="A7" s="51" t="s">
        <v>27</v>
      </c>
      <c r="B7" s="51" t="s">
        <v>28</v>
      </c>
      <c r="C7" s="71" t="s">
        <v>93</v>
      </c>
      <c r="D7" s="71" t="s">
        <v>42</v>
      </c>
      <c r="E7" s="71" t="s">
        <v>93</v>
      </c>
      <c r="F7" s="71" t="s">
        <v>93</v>
      </c>
      <c r="G7" s="71" t="s">
        <v>42</v>
      </c>
    </row>
    <row r="8" spans="1:7" x14ac:dyDescent="0.2">
      <c r="A8" s="51" t="s">
        <v>29</v>
      </c>
      <c r="B8" s="51" t="s">
        <v>30</v>
      </c>
      <c r="C8" s="71" t="s">
        <v>42</v>
      </c>
      <c r="D8" s="71" t="s">
        <v>42</v>
      </c>
      <c r="E8" s="71" t="s">
        <v>93</v>
      </c>
      <c r="F8" s="71" t="s">
        <v>93</v>
      </c>
      <c r="G8" s="71" t="s">
        <v>93</v>
      </c>
    </row>
    <row r="9" spans="1:7" x14ac:dyDescent="0.2">
      <c r="A9" s="51" t="s">
        <v>31</v>
      </c>
      <c r="B9" s="51" t="s">
        <v>32</v>
      </c>
      <c r="C9" s="71" t="s">
        <v>93</v>
      </c>
      <c r="D9" s="71" t="s">
        <v>93</v>
      </c>
      <c r="E9" s="71" t="s">
        <v>93</v>
      </c>
      <c r="F9" s="71" t="s">
        <v>93</v>
      </c>
      <c r="G9" s="71" t="s">
        <v>42</v>
      </c>
    </row>
    <row r="10" spans="1:7" x14ac:dyDescent="0.2">
      <c r="A10" s="51" t="s">
        <v>33</v>
      </c>
      <c r="B10" s="51" t="s">
        <v>34</v>
      </c>
      <c r="C10" s="71" t="s">
        <v>93</v>
      </c>
      <c r="D10" s="71" t="s">
        <v>93</v>
      </c>
      <c r="E10" s="71" t="s">
        <v>93</v>
      </c>
      <c r="F10" s="71" t="s">
        <v>93</v>
      </c>
      <c r="G10" s="71" t="s">
        <v>93</v>
      </c>
    </row>
    <row r="11" spans="1:7" x14ac:dyDescent="0.2">
      <c r="A11" s="51" t="s">
        <v>35</v>
      </c>
      <c r="B11" s="51" t="s">
        <v>36</v>
      </c>
      <c r="C11" s="71" t="s">
        <v>93</v>
      </c>
      <c r="D11" s="71" t="s">
        <v>93</v>
      </c>
      <c r="E11" s="71" t="s">
        <v>93</v>
      </c>
      <c r="F11" s="71" t="s">
        <v>93</v>
      </c>
      <c r="G11" s="71" t="s">
        <v>42</v>
      </c>
    </row>
    <row r="12" spans="1:7" x14ac:dyDescent="0.2">
      <c r="A12" s="51" t="s">
        <v>38</v>
      </c>
      <c r="B12" s="51" t="s">
        <v>39</v>
      </c>
      <c r="C12" s="71" t="s">
        <v>93</v>
      </c>
      <c r="D12" s="71" t="s">
        <v>93</v>
      </c>
      <c r="E12" s="71" t="s">
        <v>93</v>
      </c>
      <c r="F12" s="71" t="s">
        <v>93</v>
      </c>
      <c r="G12" s="71" t="s">
        <v>93</v>
      </c>
    </row>
    <row r="13" spans="1:7" x14ac:dyDescent="0.2">
      <c r="A13" s="51" t="s">
        <v>40</v>
      </c>
      <c r="B13" s="51" t="s">
        <v>41</v>
      </c>
      <c r="C13" s="71" t="s">
        <v>93</v>
      </c>
      <c r="D13" s="71" t="s">
        <v>93</v>
      </c>
      <c r="E13" s="71" t="s">
        <v>93</v>
      </c>
      <c r="F13" s="71" t="s">
        <v>93</v>
      </c>
      <c r="G13" s="71" t="s">
        <v>93</v>
      </c>
    </row>
    <row r="14" spans="1:7" x14ac:dyDescent="0.2">
      <c r="A14" s="51" t="s">
        <v>43</v>
      </c>
      <c r="B14" s="51" t="s">
        <v>44</v>
      </c>
      <c r="C14" s="71" t="s">
        <v>93</v>
      </c>
      <c r="D14" s="71" t="s">
        <v>93</v>
      </c>
      <c r="E14" s="71" t="s">
        <v>93</v>
      </c>
      <c r="F14" s="71" t="s">
        <v>93</v>
      </c>
      <c r="G14" s="71" t="s">
        <v>93</v>
      </c>
    </row>
    <row r="15" spans="1:7" x14ac:dyDescent="0.2">
      <c r="A15" s="51" t="s">
        <v>45</v>
      </c>
      <c r="B15" s="51" t="s">
        <v>46</v>
      </c>
      <c r="C15" s="71" t="s">
        <v>93</v>
      </c>
      <c r="D15" s="71" t="s">
        <v>93</v>
      </c>
      <c r="E15" s="71" t="s">
        <v>93</v>
      </c>
      <c r="F15" s="71" t="s">
        <v>93</v>
      </c>
      <c r="G15" s="71" t="s">
        <v>93</v>
      </c>
    </row>
    <row r="16" spans="1:7" x14ac:dyDescent="0.2">
      <c r="A16" s="51" t="s">
        <v>47</v>
      </c>
      <c r="B16" s="51" t="s">
        <v>48</v>
      </c>
      <c r="C16" s="71" t="s">
        <v>93</v>
      </c>
      <c r="D16" s="71" t="s">
        <v>93</v>
      </c>
      <c r="E16" s="71" t="s">
        <v>93</v>
      </c>
      <c r="F16" s="71" t="s">
        <v>93</v>
      </c>
      <c r="G16" s="71" t="s">
        <v>93</v>
      </c>
    </row>
    <row r="17" spans="1:7" x14ac:dyDescent="0.2">
      <c r="A17" s="51" t="s">
        <v>49</v>
      </c>
      <c r="B17" s="51" t="s">
        <v>50</v>
      </c>
      <c r="C17" s="71" t="s">
        <v>93</v>
      </c>
      <c r="D17" s="71" t="s">
        <v>93</v>
      </c>
      <c r="E17" s="71" t="s">
        <v>93</v>
      </c>
      <c r="F17" s="71" t="s">
        <v>93</v>
      </c>
      <c r="G17" s="71" t="s">
        <v>93</v>
      </c>
    </row>
    <row r="18" spans="1:7" x14ac:dyDescent="0.2">
      <c r="A18" s="51" t="s">
        <v>51</v>
      </c>
      <c r="B18" s="51" t="s">
        <v>52</v>
      </c>
      <c r="C18" s="71" t="s">
        <v>42</v>
      </c>
      <c r="D18" s="71" t="s">
        <v>42</v>
      </c>
      <c r="E18" s="71" t="s">
        <v>42</v>
      </c>
      <c r="F18" s="71" t="s">
        <v>42</v>
      </c>
      <c r="G18" s="71" t="s">
        <v>93</v>
      </c>
    </row>
    <row r="19" spans="1:7" x14ac:dyDescent="0.2">
      <c r="A19" s="51" t="s">
        <v>53</v>
      </c>
      <c r="B19" s="51" t="s">
        <v>54</v>
      </c>
      <c r="C19" s="71" t="s">
        <v>93</v>
      </c>
      <c r="D19" s="71" t="s">
        <v>93</v>
      </c>
      <c r="E19" s="71" t="s">
        <v>93</v>
      </c>
      <c r="F19" s="71" t="s">
        <v>93</v>
      </c>
      <c r="G19" s="71" t="s">
        <v>93</v>
      </c>
    </row>
    <row r="20" spans="1:7" x14ac:dyDescent="0.2">
      <c r="A20" s="51" t="s">
        <v>55</v>
      </c>
      <c r="B20" s="51" t="s">
        <v>56</v>
      </c>
      <c r="C20" s="71" t="s">
        <v>93</v>
      </c>
      <c r="D20" s="71" t="s">
        <v>93</v>
      </c>
      <c r="E20" s="71" t="s">
        <v>93</v>
      </c>
      <c r="F20" s="71" t="s">
        <v>93</v>
      </c>
      <c r="G20" s="71" t="s">
        <v>93</v>
      </c>
    </row>
    <row r="21" spans="1:7" x14ac:dyDescent="0.2">
      <c r="A21" s="51" t="s">
        <v>57</v>
      </c>
      <c r="B21" s="51" t="s">
        <v>58</v>
      </c>
      <c r="C21" s="71" t="s">
        <v>93</v>
      </c>
      <c r="D21" s="71" t="s">
        <v>93</v>
      </c>
      <c r="E21" s="71" t="s">
        <v>93</v>
      </c>
      <c r="F21" s="71" t="s">
        <v>93</v>
      </c>
      <c r="G21" s="71" t="s">
        <v>93</v>
      </c>
    </row>
    <row r="22" spans="1:7" x14ac:dyDescent="0.2">
      <c r="A22" s="51" t="s">
        <v>60</v>
      </c>
      <c r="B22" s="51" t="s">
        <v>61</v>
      </c>
      <c r="C22" s="71" t="s">
        <v>93</v>
      </c>
      <c r="D22" s="71" t="s">
        <v>93</v>
      </c>
      <c r="E22" s="71" t="s">
        <v>93</v>
      </c>
      <c r="F22" s="71" t="s">
        <v>93</v>
      </c>
      <c r="G22" s="71" t="s">
        <v>93</v>
      </c>
    </row>
    <row r="23" spans="1:7" x14ac:dyDescent="0.2">
      <c r="A23" s="51" t="s">
        <v>62</v>
      </c>
      <c r="B23" s="51" t="s">
        <v>63</v>
      </c>
      <c r="C23" s="71" t="s">
        <v>42</v>
      </c>
      <c r="D23" s="71" t="s">
        <v>42</v>
      </c>
      <c r="E23" s="71" t="s">
        <v>42</v>
      </c>
      <c r="F23" s="71" t="s">
        <v>93</v>
      </c>
      <c r="G23" s="71" t="s">
        <v>93</v>
      </c>
    </row>
    <row r="24" spans="1:7" x14ac:dyDescent="0.2">
      <c r="A24" s="51" t="s">
        <v>64</v>
      </c>
      <c r="B24" s="51" t="s">
        <v>65</v>
      </c>
      <c r="C24" s="71" t="s">
        <v>93</v>
      </c>
      <c r="D24" s="71" t="s">
        <v>93</v>
      </c>
      <c r="E24" s="71" t="s">
        <v>93</v>
      </c>
      <c r="F24" s="71" t="s">
        <v>93</v>
      </c>
      <c r="G24" s="71" t="s">
        <v>93</v>
      </c>
    </row>
    <row r="25" spans="1:7" x14ac:dyDescent="0.2">
      <c r="A25" s="51" t="s">
        <v>66</v>
      </c>
      <c r="B25" s="51" t="s">
        <v>67</v>
      </c>
      <c r="C25" s="71" t="s">
        <v>93</v>
      </c>
      <c r="D25" s="71" t="s">
        <v>93</v>
      </c>
      <c r="E25" s="71" t="s">
        <v>93</v>
      </c>
      <c r="F25" s="71" t="s">
        <v>93</v>
      </c>
      <c r="G25" s="71" t="s">
        <v>93</v>
      </c>
    </row>
    <row r="26" spans="1:7" x14ac:dyDescent="0.2">
      <c r="A26" s="51" t="s">
        <v>68</v>
      </c>
      <c r="B26" s="51" t="s">
        <v>69</v>
      </c>
      <c r="C26" s="71" t="s">
        <v>93</v>
      </c>
      <c r="D26" s="71" t="s">
        <v>93</v>
      </c>
      <c r="E26" s="71" t="s">
        <v>93</v>
      </c>
      <c r="F26" s="71" t="s">
        <v>93</v>
      </c>
      <c r="G26" s="71" t="s">
        <v>93</v>
      </c>
    </row>
    <row r="27" spans="1:7" x14ac:dyDescent="0.2">
      <c r="A27" s="51" t="s">
        <v>70</v>
      </c>
      <c r="B27" s="51" t="s">
        <v>71</v>
      </c>
      <c r="C27" s="71" t="s">
        <v>93</v>
      </c>
      <c r="D27" s="71" t="s">
        <v>93</v>
      </c>
      <c r="E27" s="71" t="s">
        <v>93</v>
      </c>
      <c r="F27" s="71" t="s">
        <v>93</v>
      </c>
      <c r="G27" s="71" t="s">
        <v>93</v>
      </c>
    </row>
    <row r="28" spans="1:7" x14ac:dyDescent="0.2">
      <c r="A28" s="51" t="s">
        <v>73</v>
      </c>
      <c r="B28" s="51" t="s">
        <v>74</v>
      </c>
      <c r="C28" s="71" t="s">
        <v>93</v>
      </c>
      <c r="D28" s="71" t="s">
        <v>42</v>
      </c>
      <c r="E28" s="71" t="s">
        <v>93</v>
      </c>
      <c r="F28" s="71" t="s">
        <v>93</v>
      </c>
      <c r="G28" s="71" t="s">
        <v>93</v>
      </c>
    </row>
    <row r="29" spans="1:7" x14ac:dyDescent="0.2">
      <c r="A29" s="51" t="s">
        <v>75</v>
      </c>
      <c r="B29" s="51" t="s">
        <v>76</v>
      </c>
      <c r="C29" s="71" t="s">
        <v>93</v>
      </c>
      <c r="D29" s="71" t="s">
        <v>42</v>
      </c>
      <c r="E29" s="71" t="s">
        <v>93</v>
      </c>
      <c r="F29" s="71" t="s">
        <v>93</v>
      </c>
      <c r="G29" s="71" t="s">
        <v>42</v>
      </c>
    </row>
    <row r="30" spans="1:7" x14ac:dyDescent="0.2">
      <c r="A30" s="51" t="s">
        <v>77</v>
      </c>
      <c r="B30" s="51" t="s">
        <v>78</v>
      </c>
      <c r="C30" s="71" t="s">
        <v>93</v>
      </c>
      <c r="D30" s="71" t="s">
        <v>93</v>
      </c>
      <c r="E30" s="71" t="s">
        <v>93</v>
      </c>
      <c r="F30" s="71" t="s">
        <v>93</v>
      </c>
      <c r="G30" s="71" t="s">
        <v>93</v>
      </c>
    </row>
    <row r="31" spans="1:7" x14ac:dyDescent="0.2">
      <c r="A31" s="51" t="s">
        <v>79</v>
      </c>
      <c r="B31" s="51" t="s">
        <v>80</v>
      </c>
      <c r="C31" s="71" t="s">
        <v>102</v>
      </c>
      <c r="D31" s="71" t="s">
        <v>102</v>
      </c>
      <c r="E31" s="71" t="s">
        <v>102</v>
      </c>
      <c r="F31" s="71" t="s">
        <v>102</v>
      </c>
      <c r="G31" s="71" t="s">
        <v>102</v>
      </c>
    </row>
    <row r="32" spans="1:7" x14ac:dyDescent="0.2">
      <c r="A32" s="51" t="s">
        <v>81</v>
      </c>
      <c r="B32" s="51" t="s">
        <v>82</v>
      </c>
      <c r="C32" s="71" t="s">
        <v>93</v>
      </c>
      <c r="D32" s="71" t="s">
        <v>93</v>
      </c>
      <c r="E32" s="71" t="s">
        <v>93</v>
      </c>
      <c r="F32" s="71" t="s">
        <v>93</v>
      </c>
      <c r="G32" s="71" t="s">
        <v>93</v>
      </c>
    </row>
    <row r="33" spans="1:8" x14ac:dyDescent="0.2">
      <c r="A33" s="51" t="s">
        <v>84</v>
      </c>
      <c r="B33" s="51" t="s">
        <v>85</v>
      </c>
      <c r="C33" s="71" t="s">
        <v>93</v>
      </c>
      <c r="D33" s="71" t="s">
        <v>93</v>
      </c>
      <c r="E33" s="71" t="s">
        <v>93</v>
      </c>
      <c r="F33" s="71" t="s">
        <v>93</v>
      </c>
      <c r="G33" s="71" t="s">
        <v>93</v>
      </c>
    </row>
    <row r="34" spans="1:8" ht="25.5" x14ac:dyDescent="0.2">
      <c r="A34" s="51" t="s">
        <v>86</v>
      </c>
      <c r="B34" s="51" t="s">
        <v>87</v>
      </c>
      <c r="C34" s="71" t="s">
        <v>93</v>
      </c>
      <c r="D34" s="71" t="s">
        <v>93</v>
      </c>
      <c r="E34" s="71" t="s">
        <v>93</v>
      </c>
      <c r="F34" s="71" t="s">
        <v>93</v>
      </c>
      <c r="G34" s="71" t="s">
        <v>93</v>
      </c>
    </row>
    <row r="35" spans="1:8" x14ac:dyDescent="0.2">
      <c r="A35" s="51" t="s">
        <v>89</v>
      </c>
      <c r="B35" s="51" t="s">
        <v>90</v>
      </c>
      <c r="C35" s="71" t="s">
        <v>93</v>
      </c>
      <c r="D35" s="71" t="s">
        <v>93</v>
      </c>
      <c r="E35" s="71" t="s">
        <v>93</v>
      </c>
      <c r="F35" s="71" t="s">
        <v>93</v>
      </c>
      <c r="G35" s="71" t="s">
        <v>93</v>
      </c>
    </row>
    <row r="36" spans="1:8" x14ac:dyDescent="0.2">
      <c r="A36" s="51" t="s">
        <v>91</v>
      </c>
      <c r="B36" s="51" t="s">
        <v>92</v>
      </c>
      <c r="C36" s="71" t="s">
        <v>93</v>
      </c>
      <c r="D36" s="71" t="s">
        <v>93</v>
      </c>
      <c r="E36" s="71" t="s">
        <v>93</v>
      </c>
      <c r="F36" s="71" t="s">
        <v>93</v>
      </c>
      <c r="G36" s="71" t="s">
        <v>93</v>
      </c>
    </row>
    <row r="37" spans="1:8" x14ac:dyDescent="0.2">
      <c r="A37" s="51" t="s">
        <v>94</v>
      </c>
      <c r="B37" s="51" t="s">
        <v>95</v>
      </c>
      <c r="C37" s="71" t="s">
        <v>93</v>
      </c>
      <c r="D37" s="71" t="s">
        <v>93</v>
      </c>
      <c r="E37" s="71" t="s">
        <v>93</v>
      </c>
      <c r="F37" s="71" t="s">
        <v>93</v>
      </c>
      <c r="G37" s="71" t="s">
        <v>93</v>
      </c>
    </row>
    <row r="38" spans="1:8" x14ac:dyDescent="0.2">
      <c r="A38" s="51" t="s">
        <v>96</v>
      </c>
      <c r="B38" s="51" t="s">
        <v>97</v>
      </c>
      <c r="C38" s="71" t="s">
        <v>93</v>
      </c>
      <c r="D38" s="71" t="s">
        <v>93</v>
      </c>
      <c r="E38" s="71" t="s">
        <v>93</v>
      </c>
      <c r="F38" s="71" t="s">
        <v>93</v>
      </c>
      <c r="G38" s="71" t="s">
        <v>93</v>
      </c>
    </row>
    <row r="39" spans="1:8" x14ac:dyDescent="0.2">
      <c r="A39" s="51" t="s">
        <v>98</v>
      </c>
      <c r="B39" s="51" t="s">
        <v>99</v>
      </c>
      <c r="C39" s="71" t="s">
        <v>102</v>
      </c>
      <c r="D39" s="71" t="s">
        <v>102</v>
      </c>
      <c r="E39" s="71" t="s">
        <v>102</v>
      </c>
      <c r="F39" s="71" t="s">
        <v>102</v>
      </c>
      <c r="G39" s="71" t="s">
        <v>102</v>
      </c>
    </row>
    <row r="40" spans="1:8" x14ac:dyDescent="0.2">
      <c r="A40" s="51" t="s">
        <v>273</v>
      </c>
      <c r="B40" s="51" t="s">
        <v>274</v>
      </c>
      <c r="C40" s="71" t="s">
        <v>42</v>
      </c>
      <c r="D40" s="71" t="s">
        <v>42</v>
      </c>
      <c r="E40" s="71" t="s">
        <v>42</v>
      </c>
      <c r="F40" s="71" t="s">
        <v>102</v>
      </c>
      <c r="G40" s="71" t="s">
        <v>42</v>
      </c>
    </row>
    <row r="41" spans="1:8" x14ac:dyDescent="0.2">
      <c r="A41" s="139" t="s">
        <v>103</v>
      </c>
      <c r="B41" s="139"/>
      <c r="C41" s="72">
        <f>COUNTIF(C3:C40,"EXCLUDED")</f>
        <v>32</v>
      </c>
      <c r="D41" s="72">
        <f t="shared" ref="D41:G41" si="0">COUNTIF(D3:D40,"EXCLUDED")</f>
        <v>29</v>
      </c>
      <c r="E41" s="72">
        <f t="shared" si="0"/>
        <v>33</v>
      </c>
      <c r="F41" s="72">
        <f t="shared" si="0"/>
        <v>34</v>
      </c>
      <c r="G41" s="73">
        <f t="shared" si="0"/>
        <v>31</v>
      </c>
      <c r="H41" s="74"/>
    </row>
    <row r="42" spans="1:8" x14ac:dyDescent="0.2">
      <c r="A42" s="140" t="s">
        <v>104</v>
      </c>
      <c r="B42" s="140"/>
      <c r="C42" s="75">
        <f>C41/38</f>
        <v>0.84210526315789469</v>
      </c>
      <c r="D42" s="75">
        <f t="shared" ref="D42:G42" si="1">D41/38</f>
        <v>0.76315789473684215</v>
      </c>
      <c r="E42" s="75">
        <f t="shared" si="1"/>
        <v>0.86842105263157898</v>
      </c>
      <c r="F42" s="75">
        <f t="shared" si="1"/>
        <v>0.89473684210526316</v>
      </c>
      <c r="G42" s="76">
        <f t="shared" si="1"/>
        <v>0.81578947368421051</v>
      </c>
      <c r="H42" s="4"/>
    </row>
    <row r="43" spans="1:8" x14ac:dyDescent="0.2">
      <c r="A43" s="149" t="s">
        <v>275</v>
      </c>
      <c r="B43" s="149"/>
      <c r="C43" s="149"/>
      <c r="D43" s="149"/>
      <c r="E43" s="149"/>
      <c r="F43" s="149"/>
      <c r="G43" s="149"/>
      <c r="H43" s="4"/>
    </row>
    <row r="44" spans="1:8" x14ac:dyDescent="0.2">
      <c r="A44" s="142" t="s">
        <v>276</v>
      </c>
      <c r="B44" s="142"/>
      <c r="C44" s="142"/>
      <c r="D44" s="142"/>
      <c r="E44" s="142"/>
      <c r="F44" s="142"/>
      <c r="G44" s="142"/>
      <c r="H44" s="4"/>
    </row>
    <row r="45" spans="1:8" x14ac:dyDescent="0.2">
      <c r="A45" s="56"/>
      <c r="B45" s="143" t="s">
        <v>277</v>
      </c>
      <c r="C45" s="143"/>
      <c r="D45" s="143"/>
      <c r="E45" s="143"/>
      <c r="F45" s="143"/>
      <c r="G45" s="143"/>
      <c r="H45" s="4"/>
    </row>
    <row r="46" spans="1:8" x14ac:dyDescent="0.2">
      <c r="A46" s="57"/>
      <c r="B46" s="21" t="s">
        <v>107</v>
      </c>
      <c r="C46" s="21"/>
      <c r="D46" s="21"/>
      <c r="E46" s="21"/>
      <c r="F46" s="21"/>
    </row>
    <row r="47" spans="1:8" x14ac:dyDescent="0.2">
      <c r="A47" s="58"/>
      <c r="B47" s="119" t="s">
        <v>278</v>
      </c>
      <c r="C47" s="119"/>
      <c r="D47" s="119"/>
      <c r="E47" s="119"/>
      <c r="F47" s="119"/>
    </row>
  </sheetData>
  <mergeCells count="7">
    <mergeCell ref="B47:F47"/>
    <mergeCell ref="A1:G1"/>
    <mergeCell ref="A41:B41"/>
    <mergeCell ref="A42:B42"/>
    <mergeCell ref="A43:G43"/>
    <mergeCell ref="A44:G44"/>
    <mergeCell ref="B45:G45"/>
  </mergeCells>
  <conditionalFormatting sqref="A46">
    <cfRule type="cellIs" dxfId="158" priority="1" stopIfTrue="1" operator="equal">
      <formula>"EXCLUDED"</formula>
    </cfRule>
    <cfRule type="cellIs" dxfId="157" priority="2" stopIfTrue="1" operator="equal">
      <formula>"DON'T KNOW IF COUNTED"</formula>
    </cfRule>
    <cfRule type="cellIs" dxfId="156" priority="3" stopIfTrue="1" operator="equal">
      <formula>"INCLUDED"</formula>
    </cfRule>
    <cfRule type="cellIs" dxfId="155" priority="4" stopIfTrue="1" operator="equal">
      <formula>"NOT COUNTED"</formula>
    </cfRule>
    <cfRule type="cellIs" dxfId="154" priority="5" stopIfTrue="1" operator="equal">
      <formula>":"</formula>
    </cfRule>
    <cfRule type="cellIs" dxfId="153" priority="6" stopIfTrue="1" operator="equal">
      <formula>"NOT COUNTED; INCLUDED"</formula>
    </cfRule>
    <cfRule type="cellIs" dxfId="152" priority="7" stopIfTrue="1" operator="equal">
      <formula>"COUNTED; EXCLUDED"</formula>
    </cfRule>
    <cfRule type="cellIs" dxfId="151" priority="8" stopIfTrue="1" operator="equal">
      <formula>"NOT COUNTED; EXCLUDED"</formula>
    </cfRule>
    <cfRule type="cellIs" dxfId="150" priority="9" stopIfTrue="1" operator="equal">
      <formula>"COUNTED; INCLUDED"</formula>
    </cfRule>
    <cfRule type="cellIs" dxfId="149" priority="10" stopIfTrue="1" operator="equal">
      <formula>"NOT SEPARATED; INCLUDED"</formula>
    </cfRule>
    <cfRule type="cellIs" dxfId="148" priority="11" stopIfTrue="1" operator="equal">
      <formula>"SEPARATED"</formula>
    </cfRule>
    <cfRule type="cellIs" dxfId="147" priority="12" stopIfTrue="1" operator="equal">
      <formula>"SEPARATED; EXCLUDED"</formula>
    </cfRule>
    <cfRule type="cellIs" dxfId="146" priority="13" stopIfTrue="1" operator="equal">
      <formula>"SEPARATED; INCLUDED"</formula>
    </cfRule>
    <cfRule type="cellIs" dxfId="145" priority="14" stopIfTrue="1" operator="equal">
      <formula>"NOT SEPARATED; EXCLUDED"</formula>
    </cfRule>
    <cfRule type="cellIs" dxfId="144" priority="15" stopIfTrue="1" operator="equal">
      <formula>"NOT SEPARATED"</formula>
    </cfRule>
  </conditionalFormatting>
  <conditionalFormatting sqref="C3:G40">
    <cfRule type="cellIs" dxfId="143" priority="16" stopIfTrue="1" operator="equal">
      <formula>":"</formula>
    </cfRule>
    <cfRule type="cellIs" dxfId="142" priority="17" stopIfTrue="1" operator="equal">
      <formula>"Included"</formula>
    </cfRule>
    <cfRule type="cellIs" dxfId="141" priority="18" stopIfTrue="1" operator="equal">
      <formula>"Excluded"</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49E7-84FA-4786-AF9C-782CBA11B487}">
  <sheetPr codeName="Sheet30">
    <tabColor theme="5" tint="-0.249977111117893"/>
  </sheetPr>
  <dimension ref="A1:H42"/>
  <sheetViews>
    <sheetView zoomScaleNormal="100" workbookViewId="0">
      <selection activeCell="M15" sqref="M15"/>
    </sheetView>
  </sheetViews>
  <sheetFormatPr defaultColWidth="14.85546875" defaultRowHeight="12.75" x14ac:dyDescent="0.2"/>
  <cols>
    <col min="1" max="1" width="5.28515625" style="2" customWidth="1"/>
    <col min="2" max="2" width="18.28515625" style="2" customWidth="1"/>
    <col min="3" max="5" width="18.28515625" style="4" customWidth="1"/>
    <col min="6" max="6" width="23.140625" style="4" customWidth="1"/>
    <col min="7" max="7" width="23.42578125" style="4" customWidth="1"/>
    <col min="8" max="16384" width="14.85546875" style="2"/>
  </cols>
  <sheetData>
    <row r="1" spans="1:7" ht="36" customHeight="1" x14ac:dyDescent="0.4">
      <c r="A1" s="150" t="s">
        <v>346</v>
      </c>
      <c r="B1" s="150"/>
      <c r="C1" s="150"/>
      <c r="D1" s="150"/>
      <c r="E1" s="150"/>
      <c r="F1" s="150"/>
      <c r="G1" s="150"/>
    </row>
    <row r="2" spans="1:7" ht="38.25" x14ac:dyDescent="0.2">
      <c r="A2" s="60" t="s">
        <v>1</v>
      </c>
      <c r="B2" s="60" t="s">
        <v>268</v>
      </c>
      <c r="C2" s="77" t="s">
        <v>347</v>
      </c>
      <c r="D2" s="77" t="s">
        <v>348</v>
      </c>
      <c r="E2" s="77" t="s">
        <v>349</v>
      </c>
      <c r="F2" s="77" t="s">
        <v>350</v>
      </c>
      <c r="G2" s="77" t="s">
        <v>351</v>
      </c>
    </row>
    <row r="3" spans="1:7" x14ac:dyDescent="0.2">
      <c r="A3" s="51" t="s">
        <v>12</v>
      </c>
      <c r="B3" s="51" t="s">
        <v>13</v>
      </c>
      <c r="C3" s="78"/>
      <c r="D3" s="78"/>
      <c r="E3" s="78"/>
      <c r="F3" s="78"/>
      <c r="G3" s="78"/>
    </row>
    <row r="4" spans="1:7" ht="131.44999999999999" customHeight="1" x14ac:dyDescent="0.2">
      <c r="A4" s="51" t="s">
        <v>17</v>
      </c>
      <c r="B4" s="51" t="s">
        <v>18</v>
      </c>
      <c r="C4" s="151" t="s">
        <v>120</v>
      </c>
      <c r="D4" s="152"/>
      <c r="E4" s="78"/>
      <c r="F4" s="78" t="s">
        <v>120</v>
      </c>
      <c r="G4" s="78"/>
    </row>
    <row r="5" spans="1:7" x14ac:dyDescent="0.2">
      <c r="A5" s="51" t="s">
        <v>22</v>
      </c>
      <c r="B5" s="51" t="s">
        <v>23</v>
      </c>
      <c r="C5" s="78"/>
      <c r="D5" s="78"/>
      <c r="E5" s="78"/>
      <c r="F5" s="78"/>
      <c r="G5" s="78"/>
    </row>
    <row r="6" spans="1:7" x14ac:dyDescent="0.2">
      <c r="A6" s="51" t="s">
        <v>25</v>
      </c>
      <c r="B6" s="51" t="s">
        <v>26</v>
      </c>
      <c r="C6" s="78"/>
      <c r="D6" s="78"/>
      <c r="E6" s="78"/>
      <c r="F6" s="78"/>
      <c r="G6" s="78"/>
    </row>
    <row r="7" spans="1:7" ht="102" x14ac:dyDescent="0.2">
      <c r="A7" s="51" t="s">
        <v>27</v>
      </c>
      <c r="B7" s="51" t="s">
        <v>28</v>
      </c>
      <c r="C7" s="78"/>
      <c r="D7" s="78" t="s">
        <v>352</v>
      </c>
      <c r="E7" s="78"/>
      <c r="F7" s="78"/>
      <c r="G7" s="78" t="s">
        <v>353</v>
      </c>
    </row>
    <row r="8" spans="1:7" ht="75" customHeight="1" x14ac:dyDescent="0.2">
      <c r="A8" s="51" t="s">
        <v>29</v>
      </c>
      <c r="B8" s="51" t="s">
        <v>30</v>
      </c>
      <c r="C8" s="151" t="s">
        <v>354</v>
      </c>
      <c r="D8" s="152"/>
      <c r="E8" s="78"/>
      <c r="F8" s="78"/>
      <c r="G8" s="78"/>
    </row>
    <row r="9" spans="1:7" ht="25.5" x14ac:dyDescent="0.2">
      <c r="A9" s="51" t="s">
        <v>31</v>
      </c>
      <c r="B9" s="51" t="s">
        <v>32</v>
      </c>
      <c r="C9" s="78"/>
      <c r="D9" s="78"/>
      <c r="E9" s="78"/>
      <c r="F9" s="78"/>
      <c r="G9" s="78" t="s">
        <v>355</v>
      </c>
    </row>
    <row r="10" spans="1:7" x14ac:dyDescent="0.2">
      <c r="A10" s="51" t="s">
        <v>33</v>
      </c>
      <c r="B10" s="51" t="s">
        <v>34</v>
      </c>
      <c r="C10" s="78"/>
      <c r="D10" s="78"/>
      <c r="E10" s="78"/>
      <c r="F10" s="78"/>
      <c r="G10" s="78"/>
    </row>
    <row r="11" spans="1:7" ht="25.5" x14ac:dyDescent="0.2">
      <c r="A11" s="51" t="s">
        <v>35</v>
      </c>
      <c r="B11" s="51" t="s">
        <v>36</v>
      </c>
      <c r="C11" s="78"/>
      <c r="D11" s="78"/>
      <c r="E11" s="78"/>
      <c r="F11" s="78"/>
      <c r="G11" s="78" t="s">
        <v>356</v>
      </c>
    </row>
    <row r="12" spans="1:7" x14ac:dyDescent="0.2">
      <c r="A12" s="51" t="s">
        <v>38</v>
      </c>
      <c r="B12" s="51" t="s">
        <v>39</v>
      </c>
      <c r="C12" s="78"/>
      <c r="D12" s="78"/>
      <c r="E12" s="78"/>
      <c r="F12" s="78"/>
      <c r="G12" s="78"/>
    </row>
    <row r="13" spans="1:7" ht="25.5" x14ac:dyDescent="0.2">
      <c r="A13" s="51" t="s">
        <v>40</v>
      </c>
      <c r="B13" s="51" t="s">
        <v>41</v>
      </c>
      <c r="C13" s="78"/>
      <c r="D13" s="78"/>
      <c r="E13" s="78"/>
      <c r="F13" s="78" t="s">
        <v>357</v>
      </c>
      <c r="G13" s="78" t="s">
        <v>358</v>
      </c>
    </row>
    <row r="14" spans="1:7" x14ac:dyDescent="0.2">
      <c r="A14" s="51" t="s">
        <v>43</v>
      </c>
      <c r="B14" s="51" t="s">
        <v>44</v>
      </c>
      <c r="C14" s="78"/>
      <c r="D14" s="78"/>
      <c r="E14" s="78"/>
      <c r="F14" s="78"/>
      <c r="G14" s="78"/>
    </row>
    <row r="15" spans="1:7" x14ac:dyDescent="0.2">
      <c r="A15" s="51" t="s">
        <v>45</v>
      </c>
      <c r="B15" s="51" t="s">
        <v>46</v>
      </c>
      <c r="C15" s="78"/>
      <c r="D15" s="78"/>
      <c r="E15" s="78"/>
      <c r="F15" s="78"/>
      <c r="G15" s="78"/>
    </row>
    <row r="16" spans="1:7" x14ac:dyDescent="0.2">
      <c r="A16" s="51" t="s">
        <v>47</v>
      </c>
      <c r="B16" s="51" t="s">
        <v>48</v>
      </c>
      <c r="C16" s="78"/>
      <c r="D16" s="78"/>
      <c r="E16" s="78"/>
      <c r="F16" s="78"/>
      <c r="G16" s="78"/>
    </row>
    <row r="17" spans="1:7" x14ac:dyDescent="0.2">
      <c r="A17" s="51" t="s">
        <v>49</v>
      </c>
      <c r="B17" s="51" t="s">
        <v>50</v>
      </c>
      <c r="C17" s="78"/>
      <c r="D17" s="78"/>
      <c r="E17" s="78"/>
      <c r="F17" s="78" t="s">
        <v>359</v>
      </c>
      <c r="G17" s="78"/>
    </row>
    <row r="18" spans="1:7" ht="153" customHeight="1" x14ac:dyDescent="0.2">
      <c r="A18" s="51" t="s">
        <v>51</v>
      </c>
      <c r="B18" s="51" t="s">
        <v>52</v>
      </c>
      <c r="C18" s="151" t="s">
        <v>360</v>
      </c>
      <c r="D18" s="152"/>
      <c r="E18" s="153" t="s">
        <v>361</v>
      </c>
      <c r="F18" s="152"/>
      <c r="G18" s="78"/>
    </row>
    <row r="19" spans="1:7" x14ac:dyDescent="0.2">
      <c r="A19" s="51" t="s">
        <v>53</v>
      </c>
      <c r="B19" s="51" t="s">
        <v>54</v>
      </c>
      <c r="C19" s="78"/>
      <c r="D19" s="78"/>
      <c r="E19" s="78"/>
      <c r="F19" s="78"/>
      <c r="G19" s="78"/>
    </row>
    <row r="20" spans="1:7" x14ac:dyDescent="0.2">
      <c r="A20" s="51" t="s">
        <v>55</v>
      </c>
      <c r="B20" s="51" t="s">
        <v>56</v>
      </c>
      <c r="C20" s="78"/>
      <c r="D20" s="78"/>
      <c r="E20" s="78"/>
      <c r="F20" s="78"/>
      <c r="G20" s="78"/>
    </row>
    <row r="21" spans="1:7" x14ac:dyDescent="0.2">
      <c r="A21" s="51" t="s">
        <v>57</v>
      </c>
      <c r="B21" s="51" t="s">
        <v>58</v>
      </c>
      <c r="C21" s="78"/>
      <c r="D21" s="78"/>
      <c r="E21" s="78"/>
      <c r="F21" s="78"/>
      <c r="G21" s="78"/>
    </row>
    <row r="22" spans="1:7" x14ac:dyDescent="0.2">
      <c r="A22" s="51" t="s">
        <v>60</v>
      </c>
      <c r="B22" s="51" t="s">
        <v>61</v>
      </c>
      <c r="C22" s="78"/>
      <c r="D22" s="78"/>
      <c r="E22" s="78"/>
      <c r="F22" s="78"/>
      <c r="G22" s="78"/>
    </row>
    <row r="23" spans="1:7" x14ac:dyDescent="0.2">
      <c r="A23" s="51" t="s">
        <v>62</v>
      </c>
      <c r="B23" s="51" t="s">
        <v>63</v>
      </c>
      <c r="C23" s="78" t="s">
        <v>102</v>
      </c>
      <c r="D23" s="78" t="s">
        <v>102</v>
      </c>
      <c r="E23" s="78" t="s">
        <v>102</v>
      </c>
      <c r="F23" s="78"/>
      <c r="G23" s="78"/>
    </row>
    <row r="24" spans="1:7" x14ac:dyDescent="0.2">
      <c r="A24" s="51" t="s">
        <v>64</v>
      </c>
      <c r="B24" s="51" t="s">
        <v>65</v>
      </c>
      <c r="C24" s="78"/>
      <c r="D24" s="78"/>
      <c r="E24" s="78"/>
      <c r="F24" s="78"/>
      <c r="G24" s="78"/>
    </row>
    <row r="25" spans="1:7" x14ac:dyDescent="0.2">
      <c r="A25" s="51" t="s">
        <v>66</v>
      </c>
      <c r="B25" s="51" t="s">
        <v>67</v>
      </c>
      <c r="C25" s="78"/>
      <c r="D25" s="78"/>
      <c r="E25" s="78"/>
      <c r="F25" s="78"/>
      <c r="G25" s="78"/>
    </row>
    <row r="26" spans="1:7" ht="89.25" x14ac:dyDescent="0.2">
      <c r="A26" s="51" t="s">
        <v>68</v>
      </c>
      <c r="B26" s="51" t="s">
        <v>69</v>
      </c>
      <c r="C26" s="78" t="s">
        <v>362</v>
      </c>
      <c r="D26" s="78"/>
      <c r="E26" s="78"/>
      <c r="F26" s="78"/>
      <c r="G26" s="78"/>
    </row>
    <row r="27" spans="1:7" ht="25.5" x14ac:dyDescent="0.2">
      <c r="A27" s="51" t="s">
        <v>70</v>
      </c>
      <c r="B27" s="51" t="s">
        <v>71</v>
      </c>
      <c r="C27" s="78" t="s">
        <v>363</v>
      </c>
      <c r="D27" s="78" t="s">
        <v>364</v>
      </c>
      <c r="E27" s="78" t="s">
        <v>365</v>
      </c>
      <c r="F27" s="78" t="s">
        <v>366</v>
      </c>
      <c r="G27" s="78" t="s">
        <v>367</v>
      </c>
    </row>
    <row r="28" spans="1:7" ht="51" x14ac:dyDescent="0.2">
      <c r="A28" s="51" t="s">
        <v>73</v>
      </c>
      <c r="B28" s="51" t="s">
        <v>74</v>
      </c>
      <c r="C28" s="78"/>
      <c r="D28" s="78" t="s">
        <v>368</v>
      </c>
      <c r="E28" s="78"/>
      <c r="F28" s="78"/>
      <c r="G28" s="78"/>
    </row>
    <row r="29" spans="1:7" ht="63.95" customHeight="1" x14ac:dyDescent="0.2">
      <c r="A29" s="51" t="s">
        <v>75</v>
      </c>
      <c r="B29" s="51" t="s">
        <v>76</v>
      </c>
      <c r="C29" s="78"/>
      <c r="D29" s="78" t="s">
        <v>369</v>
      </c>
      <c r="E29" s="78"/>
      <c r="F29" s="78"/>
      <c r="G29" s="78" t="s">
        <v>370</v>
      </c>
    </row>
    <row r="30" spans="1:7" x14ac:dyDescent="0.2">
      <c r="A30" s="51" t="s">
        <v>77</v>
      </c>
      <c r="B30" s="51" t="s">
        <v>78</v>
      </c>
      <c r="C30" s="78"/>
      <c r="D30" s="78"/>
      <c r="E30" s="78"/>
      <c r="F30" s="78"/>
      <c r="G30" s="78"/>
    </row>
    <row r="31" spans="1:7" x14ac:dyDescent="0.2">
      <c r="A31" s="51" t="s">
        <v>79</v>
      </c>
      <c r="B31" s="51" t="s">
        <v>80</v>
      </c>
      <c r="C31" s="78" t="s">
        <v>102</v>
      </c>
      <c r="D31" s="78" t="s">
        <v>102</v>
      </c>
      <c r="E31" s="78" t="s">
        <v>102</v>
      </c>
      <c r="F31" s="78" t="s">
        <v>102</v>
      </c>
      <c r="G31" s="78" t="s">
        <v>102</v>
      </c>
    </row>
    <row r="32" spans="1:7" x14ac:dyDescent="0.2">
      <c r="A32" s="51" t="s">
        <v>81</v>
      </c>
      <c r="B32" s="51" t="s">
        <v>82</v>
      </c>
      <c r="C32" s="78"/>
      <c r="D32" s="78"/>
      <c r="E32" s="78"/>
      <c r="F32" s="78"/>
      <c r="G32" s="78"/>
    </row>
    <row r="33" spans="1:8" x14ac:dyDescent="0.2">
      <c r="A33" s="51" t="s">
        <v>84</v>
      </c>
      <c r="B33" s="51" t="s">
        <v>85</v>
      </c>
      <c r="C33" s="78"/>
      <c r="D33" s="78"/>
      <c r="E33" s="78"/>
      <c r="F33" s="78"/>
      <c r="G33" s="78"/>
    </row>
    <row r="34" spans="1:8" ht="25.5" x14ac:dyDescent="0.2">
      <c r="A34" s="51" t="s">
        <v>86</v>
      </c>
      <c r="B34" s="51" t="s">
        <v>87</v>
      </c>
      <c r="C34" s="78"/>
      <c r="D34" s="78"/>
      <c r="E34" s="78"/>
      <c r="F34" s="78"/>
      <c r="G34" s="78"/>
    </row>
    <row r="35" spans="1:8" x14ac:dyDescent="0.2">
      <c r="A35" s="51" t="s">
        <v>89</v>
      </c>
      <c r="B35" s="51" t="s">
        <v>90</v>
      </c>
      <c r="C35" s="78"/>
      <c r="D35" s="78"/>
      <c r="E35" s="78"/>
      <c r="F35" s="78"/>
      <c r="G35" s="78"/>
    </row>
    <row r="36" spans="1:8" x14ac:dyDescent="0.2">
      <c r="A36" s="51" t="s">
        <v>91</v>
      </c>
      <c r="B36" s="51" t="s">
        <v>92</v>
      </c>
      <c r="C36" s="78"/>
      <c r="D36" s="78"/>
      <c r="E36" s="78"/>
      <c r="F36" s="78"/>
      <c r="G36" s="78"/>
    </row>
    <row r="37" spans="1:8" x14ac:dyDescent="0.2">
      <c r="A37" s="51" t="s">
        <v>94</v>
      </c>
      <c r="B37" s="51" t="s">
        <v>95</v>
      </c>
      <c r="C37" s="78"/>
      <c r="D37" s="78"/>
      <c r="E37" s="78"/>
      <c r="F37" s="78"/>
      <c r="G37" s="78"/>
    </row>
    <row r="38" spans="1:8" x14ac:dyDescent="0.2">
      <c r="A38" s="51" t="s">
        <v>96</v>
      </c>
      <c r="B38" s="51" t="s">
        <v>97</v>
      </c>
      <c r="C38" s="78"/>
      <c r="D38" s="78"/>
      <c r="E38" s="78"/>
      <c r="F38" s="78"/>
      <c r="G38" s="78"/>
    </row>
    <row r="39" spans="1:8" x14ac:dyDescent="0.2">
      <c r="A39" s="51" t="s">
        <v>98</v>
      </c>
      <c r="B39" s="51" t="s">
        <v>99</v>
      </c>
      <c r="C39" s="78" t="s">
        <v>102</v>
      </c>
      <c r="D39" s="78" t="s">
        <v>102</v>
      </c>
      <c r="E39" s="78" t="s">
        <v>102</v>
      </c>
      <c r="F39" s="78" t="s">
        <v>102</v>
      </c>
      <c r="G39" s="78" t="s">
        <v>102</v>
      </c>
    </row>
    <row r="40" spans="1:8" x14ac:dyDescent="0.2">
      <c r="A40" s="51" t="s">
        <v>273</v>
      </c>
      <c r="B40" s="51" t="s">
        <v>274</v>
      </c>
      <c r="C40" s="78" t="s">
        <v>102</v>
      </c>
      <c r="D40" s="78" t="s">
        <v>102</v>
      </c>
      <c r="E40" s="78" t="s">
        <v>102</v>
      </c>
      <c r="F40" s="78" t="s">
        <v>102</v>
      </c>
      <c r="G40" s="78" t="s">
        <v>102</v>
      </c>
    </row>
    <row r="41" spans="1:8" ht="14.45" customHeight="1" x14ac:dyDescent="0.2">
      <c r="A41" s="142" t="s">
        <v>275</v>
      </c>
      <c r="B41" s="142"/>
      <c r="C41" s="142"/>
      <c r="D41" s="142"/>
      <c r="E41" s="142"/>
      <c r="F41" s="142"/>
      <c r="G41" s="142"/>
      <c r="H41" s="4"/>
    </row>
    <row r="42" spans="1:8" x14ac:dyDescent="0.2">
      <c r="A42" s="2" t="s">
        <v>178</v>
      </c>
    </row>
  </sheetData>
  <mergeCells count="6">
    <mergeCell ref="A41:G41"/>
    <mergeCell ref="A1:G1"/>
    <mergeCell ref="C4:D4"/>
    <mergeCell ref="C8:D8"/>
    <mergeCell ref="C18:D18"/>
    <mergeCell ref="E18:F18"/>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D739-BB2C-4911-89F4-7DF065C45096}">
  <sheetPr codeName="Sheet21">
    <tabColor theme="5" tint="0.39997558519241921"/>
  </sheetPr>
  <dimension ref="A1:F47"/>
  <sheetViews>
    <sheetView zoomScaleNormal="100" workbookViewId="0">
      <selection activeCell="J42" sqref="J42"/>
    </sheetView>
  </sheetViews>
  <sheetFormatPr defaultColWidth="8.7109375" defaultRowHeight="12.75" x14ac:dyDescent="0.2"/>
  <cols>
    <col min="1" max="1" width="4.7109375" style="2" customWidth="1"/>
    <col min="2" max="2" width="16.7109375" style="2" customWidth="1"/>
    <col min="3" max="3" width="12.7109375" style="2" customWidth="1"/>
    <col min="4" max="4" width="9.5703125" style="2" customWidth="1"/>
    <col min="5" max="5" width="10.5703125" style="2" customWidth="1"/>
    <col min="6" max="6" width="7" style="2" customWidth="1"/>
    <col min="7" max="16384" width="8.7109375" style="2"/>
  </cols>
  <sheetData>
    <row r="1" spans="1:5" ht="33.75" customHeight="1" x14ac:dyDescent="0.2">
      <c r="A1" s="154" t="s">
        <v>371</v>
      </c>
      <c r="B1" s="154"/>
      <c r="C1" s="154"/>
      <c r="D1" s="154"/>
      <c r="E1" s="154"/>
    </row>
    <row r="2" spans="1:5" ht="63.75" x14ac:dyDescent="0.2">
      <c r="A2" s="60" t="s">
        <v>1</v>
      </c>
      <c r="B2" s="60" t="s">
        <v>268</v>
      </c>
      <c r="C2" s="69" t="s">
        <v>372</v>
      </c>
      <c r="D2" s="69" t="s">
        <v>373</v>
      </c>
      <c r="E2" s="69" t="s">
        <v>374</v>
      </c>
    </row>
    <row r="3" spans="1:5" x14ac:dyDescent="0.2">
      <c r="A3" s="51" t="s">
        <v>12</v>
      </c>
      <c r="B3" s="51" t="s">
        <v>13</v>
      </c>
      <c r="C3" s="52" t="s">
        <v>42</v>
      </c>
      <c r="D3" s="52" t="s">
        <v>42</v>
      </c>
      <c r="E3" s="52" t="s">
        <v>42</v>
      </c>
    </row>
    <row r="4" spans="1:5" x14ac:dyDescent="0.2">
      <c r="A4" s="51" t="s">
        <v>17</v>
      </c>
      <c r="B4" s="51" t="s">
        <v>18</v>
      </c>
      <c r="C4" s="52" t="s">
        <v>42</v>
      </c>
      <c r="D4" s="52" t="s">
        <v>42</v>
      </c>
      <c r="E4" s="52" t="s">
        <v>42</v>
      </c>
    </row>
    <row r="5" spans="1:5" x14ac:dyDescent="0.2">
      <c r="A5" s="51" t="s">
        <v>22</v>
      </c>
      <c r="B5" s="51" t="s">
        <v>23</v>
      </c>
      <c r="C5" s="52" t="s">
        <v>42</v>
      </c>
      <c r="D5" s="52" t="s">
        <v>42</v>
      </c>
      <c r="E5" s="52" t="s">
        <v>42</v>
      </c>
    </row>
    <row r="6" spans="1:5" x14ac:dyDescent="0.2">
      <c r="A6" s="51" t="s">
        <v>25</v>
      </c>
      <c r="B6" s="51" t="s">
        <v>26</v>
      </c>
      <c r="C6" s="52" t="s">
        <v>42</v>
      </c>
      <c r="D6" s="52" t="s">
        <v>42</v>
      </c>
      <c r="E6" s="52" t="s">
        <v>42</v>
      </c>
    </row>
    <row r="7" spans="1:5" x14ac:dyDescent="0.2">
      <c r="A7" s="51" t="s">
        <v>27</v>
      </c>
      <c r="B7" s="51" t="s">
        <v>28</v>
      </c>
      <c r="C7" s="52" t="s">
        <v>42</v>
      </c>
      <c r="D7" s="52" t="s">
        <v>42</v>
      </c>
      <c r="E7" s="52" t="s">
        <v>93</v>
      </c>
    </row>
    <row r="8" spans="1:5" x14ac:dyDescent="0.2">
      <c r="A8" s="51" t="s">
        <v>29</v>
      </c>
      <c r="B8" s="51" t="s">
        <v>30</v>
      </c>
      <c r="C8" s="52" t="s">
        <v>42</v>
      </c>
      <c r="D8" s="52" t="s">
        <v>42</v>
      </c>
      <c r="E8" s="52" t="s">
        <v>42</v>
      </c>
    </row>
    <row r="9" spans="1:5" x14ac:dyDescent="0.2">
      <c r="A9" s="51" t="s">
        <v>31</v>
      </c>
      <c r="B9" s="51" t="s">
        <v>32</v>
      </c>
      <c r="C9" s="52" t="s">
        <v>42</v>
      </c>
      <c r="D9" s="52" t="s">
        <v>42</v>
      </c>
      <c r="E9" s="52" t="s">
        <v>42</v>
      </c>
    </row>
    <row r="10" spans="1:5" x14ac:dyDescent="0.2">
      <c r="A10" s="51" t="s">
        <v>33</v>
      </c>
      <c r="B10" s="51" t="s">
        <v>34</v>
      </c>
      <c r="C10" s="52" t="s">
        <v>42</v>
      </c>
      <c r="D10" s="52" t="s">
        <v>42</v>
      </c>
      <c r="E10" s="52" t="s">
        <v>42</v>
      </c>
    </row>
    <row r="11" spans="1:5" x14ac:dyDescent="0.2">
      <c r="A11" s="51" t="s">
        <v>35</v>
      </c>
      <c r="B11" s="51" t="s">
        <v>36</v>
      </c>
      <c r="C11" s="52" t="s">
        <v>42</v>
      </c>
      <c r="D11" s="52" t="s">
        <v>93</v>
      </c>
      <c r="E11" s="52" t="s">
        <v>93</v>
      </c>
    </row>
    <row r="12" spans="1:5" x14ac:dyDescent="0.2">
      <c r="A12" s="51" t="s">
        <v>38</v>
      </c>
      <c r="B12" s="51" t="s">
        <v>39</v>
      </c>
      <c r="C12" s="52" t="s">
        <v>42</v>
      </c>
      <c r="D12" s="52" t="s">
        <v>42</v>
      </c>
      <c r="E12" s="52" t="s">
        <v>42</v>
      </c>
    </row>
    <row r="13" spans="1:5" x14ac:dyDescent="0.2">
      <c r="A13" s="51" t="s">
        <v>40</v>
      </c>
      <c r="B13" s="51" t="s">
        <v>41</v>
      </c>
      <c r="C13" s="52" t="s">
        <v>42</v>
      </c>
      <c r="D13" s="52" t="s">
        <v>42</v>
      </c>
      <c r="E13" s="52" t="s">
        <v>42</v>
      </c>
    </row>
    <row r="14" spans="1:5" ht="12.95" customHeight="1" x14ac:dyDescent="0.2">
      <c r="A14" s="51" t="s">
        <v>43</v>
      </c>
      <c r="B14" s="51" t="s">
        <v>44</v>
      </c>
      <c r="C14" s="52" t="s">
        <v>102</v>
      </c>
      <c r="D14" s="52" t="s">
        <v>102</v>
      </c>
      <c r="E14" s="52" t="s">
        <v>102</v>
      </c>
    </row>
    <row r="15" spans="1:5" x14ac:dyDescent="0.2">
      <c r="A15" s="51" t="s">
        <v>45</v>
      </c>
      <c r="B15" s="51" t="s">
        <v>46</v>
      </c>
      <c r="C15" s="52" t="s">
        <v>42</v>
      </c>
      <c r="D15" s="52" t="s">
        <v>42</v>
      </c>
      <c r="E15" s="52" t="s">
        <v>42</v>
      </c>
    </row>
    <row r="16" spans="1:5" x14ac:dyDescent="0.2">
      <c r="A16" s="51" t="s">
        <v>47</v>
      </c>
      <c r="B16" s="51" t="s">
        <v>48</v>
      </c>
      <c r="C16" s="52" t="s">
        <v>42</v>
      </c>
      <c r="D16" s="52" t="s">
        <v>42</v>
      </c>
      <c r="E16" s="52" t="s">
        <v>42</v>
      </c>
    </row>
    <row r="17" spans="1:5" x14ac:dyDescent="0.2">
      <c r="A17" s="51" t="s">
        <v>49</v>
      </c>
      <c r="B17" s="51" t="s">
        <v>50</v>
      </c>
      <c r="C17" s="52" t="s">
        <v>42</v>
      </c>
      <c r="D17" s="52" t="s">
        <v>42</v>
      </c>
      <c r="E17" s="52" t="s">
        <v>42</v>
      </c>
    </row>
    <row r="18" spans="1:5" x14ac:dyDescent="0.2">
      <c r="A18" s="51" t="s">
        <v>51</v>
      </c>
      <c r="B18" s="51" t="s">
        <v>52</v>
      </c>
      <c r="C18" s="52" t="s">
        <v>42</v>
      </c>
      <c r="D18" s="52" t="s">
        <v>42</v>
      </c>
      <c r="E18" s="52" t="s">
        <v>42</v>
      </c>
    </row>
    <row r="19" spans="1:5" x14ac:dyDescent="0.2">
      <c r="A19" s="51" t="s">
        <v>53</v>
      </c>
      <c r="B19" s="51" t="s">
        <v>54</v>
      </c>
      <c r="C19" s="52" t="s">
        <v>42</v>
      </c>
      <c r="D19" s="52" t="s">
        <v>42</v>
      </c>
      <c r="E19" s="52" t="s">
        <v>42</v>
      </c>
    </row>
    <row r="20" spans="1:5" x14ac:dyDescent="0.2">
      <c r="A20" s="51" t="s">
        <v>55</v>
      </c>
      <c r="B20" s="51" t="s">
        <v>56</v>
      </c>
      <c r="C20" s="52" t="s">
        <v>42</v>
      </c>
      <c r="D20" s="52" t="s">
        <v>42</v>
      </c>
      <c r="E20" s="52" t="s">
        <v>42</v>
      </c>
    </row>
    <row r="21" spans="1:5" x14ac:dyDescent="0.2">
      <c r="A21" s="51" t="s">
        <v>57</v>
      </c>
      <c r="B21" s="51" t="s">
        <v>58</v>
      </c>
      <c r="C21" s="52" t="s">
        <v>42</v>
      </c>
      <c r="D21" s="52" t="s">
        <v>42</v>
      </c>
      <c r="E21" s="52" t="s">
        <v>42</v>
      </c>
    </row>
    <row r="22" spans="1:5" x14ac:dyDescent="0.2">
      <c r="A22" s="51" t="s">
        <v>60</v>
      </c>
      <c r="B22" s="51" t="s">
        <v>61</v>
      </c>
      <c r="C22" s="52" t="s">
        <v>42</v>
      </c>
      <c r="D22" s="52" t="s">
        <v>42</v>
      </c>
      <c r="E22" s="52" t="s">
        <v>42</v>
      </c>
    </row>
    <row r="23" spans="1:5" x14ac:dyDescent="0.2">
      <c r="A23" s="51" t="s">
        <v>62</v>
      </c>
      <c r="B23" s="51" t="s">
        <v>63</v>
      </c>
      <c r="C23" s="52" t="s">
        <v>42</v>
      </c>
      <c r="D23" s="52" t="s">
        <v>42</v>
      </c>
      <c r="E23" s="52" t="s">
        <v>93</v>
      </c>
    </row>
    <row r="24" spans="1:5" x14ac:dyDescent="0.2">
      <c r="A24" s="51" t="s">
        <v>64</v>
      </c>
      <c r="B24" s="51" t="s">
        <v>65</v>
      </c>
      <c r="C24" s="52" t="s">
        <v>42</v>
      </c>
      <c r="D24" s="52" t="s">
        <v>42</v>
      </c>
      <c r="E24" s="52" t="s">
        <v>93</v>
      </c>
    </row>
    <row r="25" spans="1:5" x14ac:dyDescent="0.2">
      <c r="A25" s="51" t="s">
        <v>66</v>
      </c>
      <c r="B25" s="51" t="s">
        <v>67</v>
      </c>
      <c r="C25" s="52" t="s">
        <v>42</v>
      </c>
      <c r="D25" s="52" t="s">
        <v>42</v>
      </c>
      <c r="E25" s="52" t="s">
        <v>42</v>
      </c>
    </row>
    <row r="26" spans="1:5" x14ac:dyDescent="0.2">
      <c r="A26" s="51" t="s">
        <v>68</v>
      </c>
      <c r="B26" s="51" t="s">
        <v>69</v>
      </c>
      <c r="C26" s="52" t="s">
        <v>42</v>
      </c>
      <c r="D26" s="52" t="s">
        <v>42</v>
      </c>
      <c r="E26" s="52" t="s">
        <v>42</v>
      </c>
    </row>
    <row r="27" spans="1:5" x14ac:dyDescent="0.2">
      <c r="A27" s="51" t="s">
        <v>70</v>
      </c>
      <c r="B27" s="51" t="s">
        <v>71</v>
      </c>
      <c r="C27" s="52" t="s">
        <v>42</v>
      </c>
      <c r="D27" s="52" t="s">
        <v>42</v>
      </c>
      <c r="E27" s="52" t="s">
        <v>42</v>
      </c>
    </row>
    <row r="28" spans="1:5" x14ac:dyDescent="0.2">
      <c r="A28" s="51" t="s">
        <v>73</v>
      </c>
      <c r="B28" s="51" t="s">
        <v>74</v>
      </c>
      <c r="C28" s="52" t="s">
        <v>42</v>
      </c>
      <c r="D28" s="52" t="s">
        <v>93</v>
      </c>
      <c r="E28" s="52" t="s">
        <v>42</v>
      </c>
    </row>
    <row r="29" spans="1:5" x14ac:dyDescent="0.2">
      <c r="A29" s="51" t="s">
        <v>75</v>
      </c>
      <c r="B29" s="51" t="s">
        <v>76</v>
      </c>
      <c r="C29" s="52" t="s">
        <v>42</v>
      </c>
      <c r="D29" s="52" t="s">
        <v>42</v>
      </c>
      <c r="E29" s="52" t="s">
        <v>42</v>
      </c>
    </row>
    <row r="30" spans="1:5" x14ac:dyDescent="0.2">
      <c r="A30" s="51" t="s">
        <v>77</v>
      </c>
      <c r="B30" s="51" t="s">
        <v>78</v>
      </c>
      <c r="C30" s="52" t="s">
        <v>42</v>
      </c>
      <c r="D30" s="52" t="s">
        <v>42</v>
      </c>
      <c r="E30" s="52" t="s">
        <v>42</v>
      </c>
    </row>
    <row r="31" spans="1:5" x14ac:dyDescent="0.2">
      <c r="A31" s="51" t="s">
        <v>79</v>
      </c>
      <c r="B31" s="51" t="s">
        <v>80</v>
      </c>
      <c r="C31" s="52" t="s">
        <v>102</v>
      </c>
      <c r="D31" s="52" t="s">
        <v>102</v>
      </c>
      <c r="E31" s="52" t="s">
        <v>102</v>
      </c>
    </row>
    <row r="32" spans="1:5" x14ac:dyDescent="0.2">
      <c r="A32" s="51" t="s">
        <v>81</v>
      </c>
      <c r="B32" s="51" t="s">
        <v>82</v>
      </c>
      <c r="C32" s="52" t="s">
        <v>42</v>
      </c>
      <c r="D32" s="52" t="s">
        <v>42</v>
      </c>
      <c r="E32" s="52" t="s">
        <v>42</v>
      </c>
    </row>
    <row r="33" spans="1:6" x14ac:dyDescent="0.2">
      <c r="A33" s="51" t="s">
        <v>84</v>
      </c>
      <c r="B33" s="51" t="s">
        <v>85</v>
      </c>
      <c r="C33" s="52" t="s">
        <v>42</v>
      </c>
      <c r="D33" s="52" t="s">
        <v>42</v>
      </c>
      <c r="E33" s="52" t="s">
        <v>42</v>
      </c>
    </row>
    <row r="34" spans="1:6" ht="25.5" x14ac:dyDescent="0.2">
      <c r="A34" s="51" t="s">
        <v>86</v>
      </c>
      <c r="B34" s="51" t="s">
        <v>87</v>
      </c>
      <c r="C34" s="52" t="s">
        <v>42</v>
      </c>
      <c r="D34" s="52" t="s">
        <v>42</v>
      </c>
      <c r="E34" s="52" t="s">
        <v>42</v>
      </c>
    </row>
    <row r="35" spans="1:6" x14ac:dyDescent="0.2">
      <c r="A35" s="51" t="s">
        <v>89</v>
      </c>
      <c r="B35" s="51" t="s">
        <v>90</v>
      </c>
      <c r="C35" s="52" t="s">
        <v>42</v>
      </c>
      <c r="D35" s="52" t="s">
        <v>42</v>
      </c>
      <c r="E35" s="52" t="s">
        <v>42</v>
      </c>
    </row>
    <row r="36" spans="1:6" x14ac:dyDescent="0.2">
      <c r="A36" s="51" t="s">
        <v>91</v>
      </c>
      <c r="B36" s="51" t="s">
        <v>92</v>
      </c>
      <c r="C36" s="52" t="s">
        <v>42</v>
      </c>
      <c r="D36" s="52" t="s">
        <v>42</v>
      </c>
      <c r="E36" s="52" t="s">
        <v>42</v>
      </c>
    </row>
    <row r="37" spans="1:6" x14ac:dyDescent="0.2">
      <c r="A37" s="51" t="s">
        <v>94</v>
      </c>
      <c r="B37" s="51" t="s">
        <v>95</v>
      </c>
      <c r="C37" s="52" t="s">
        <v>42</v>
      </c>
      <c r="D37" s="52" t="s">
        <v>42</v>
      </c>
      <c r="E37" s="52" t="s">
        <v>42</v>
      </c>
    </row>
    <row r="38" spans="1:6" x14ac:dyDescent="0.2">
      <c r="A38" s="51" t="s">
        <v>96</v>
      </c>
      <c r="B38" s="51" t="s">
        <v>97</v>
      </c>
      <c r="C38" s="52" t="s">
        <v>42</v>
      </c>
      <c r="D38" s="52" t="s">
        <v>42</v>
      </c>
      <c r="E38" s="52" t="s">
        <v>42</v>
      </c>
    </row>
    <row r="39" spans="1:6" x14ac:dyDescent="0.2">
      <c r="A39" s="51" t="s">
        <v>98</v>
      </c>
      <c r="B39" s="51" t="s">
        <v>99</v>
      </c>
      <c r="C39" s="52" t="s">
        <v>102</v>
      </c>
      <c r="D39" s="52" t="s">
        <v>102</v>
      </c>
      <c r="E39" s="52" t="s">
        <v>102</v>
      </c>
    </row>
    <row r="40" spans="1:6" x14ac:dyDescent="0.2">
      <c r="A40" s="60" t="s">
        <v>273</v>
      </c>
      <c r="B40" s="60" t="s">
        <v>274</v>
      </c>
      <c r="C40" s="54" t="s">
        <v>42</v>
      </c>
      <c r="D40" s="54" t="s">
        <v>42</v>
      </c>
      <c r="E40" s="52" t="s">
        <v>42</v>
      </c>
    </row>
    <row r="41" spans="1:6" ht="40.5" customHeight="1" x14ac:dyDescent="0.2">
      <c r="A41" s="139" t="s">
        <v>103</v>
      </c>
      <c r="B41" s="139"/>
      <c r="C41" s="72">
        <f>COUNTIF(C3:C40,"INCLUDED")</f>
        <v>35</v>
      </c>
      <c r="D41" s="72">
        <f t="shared" ref="D41:E41" si="0">COUNTIF(D3:D40,"INCLUDED")</f>
        <v>33</v>
      </c>
      <c r="E41" s="72">
        <f t="shared" si="0"/>
        <v>31</v>
      </c>
    </row>
    <row r="42" spans="1:6" ht="32.1" customHeight="1" x14ac:dyDescent="0.2">
      <c r="A42" s="140" t="s">
        <v>104</v>
      </c>
      <c r="B42" s="140"/>
      <c r="C42" s="75">
        <f>C41/38</f>
        <v>0.92105263157894735</v>
      </c>
      <c r="D42" s="75">
        <f t="shared" ref="D42:E42" si="1">D41/38</f>
        <v>0.86842105263157898</v>
      </c>
      <c r="E42" s="75">
        <f t="shared" si="1"/>
        <v>0.81578947368421051</v>
      </c>
    </row>
    <row r="43" spans="1:6" x14ac:dyDescent="0.2">
      <c r="A43" s="142" t="s">
        <v>275</v>
      </c>
      <c r="B43" s="142"/>
      <c r="C43" s="142"/>
      <c r="D43" s="142"/>
      <c r="E43" s="142"/>
    </row>
    <row r="44" spans="1:6" ht="15" customHeight="1" x14ac:dyDescent="0.2">
      <c r="A44" s="142" t="s">
        <v>276</v>
      </c>
      <c r="B44" s="142"/>
      <c r="C44" s="142"/>
      <c r="D44" s="142"/>
      <c r="E44" s="142"/>
    </row>
    <row r="45" spans="1:6" ht="12" customHeight="1" x14ac:dyDescent="0.2">
      <c r="A45" s="56"/>
      <c r="B45" s="143" t="s">
        <v>277</v>
      </c>
      <c r="C45" s="143"/>
      <c r="D45" s="143"/>
      <c r="E45" s="143"/>
    </row>
    <row r="46" spans="1:6" x14ac:dyDescent="0.2">
      <c r="A46" s="57"/>
      <c r="B46" s="21" t="s">
        <v>107</v>
      </c>
      <c r="C46" s="21"/>
      <c r="D46" s="21"/>
      <c r="E46" s="21"/>
      <c r="F46" s="21"/>
    </row>
    <row r="47" spans="1:6" x14ac:dyDescent="0.2">
      <c r="A47" s="58"/>
      <c r="B47" s="59" t="s">
        <v>278</v>
      </c>
      <c r="C47" s="59"/>
      <c r="D47" s="59"/>
      <c r="E47" s="59"/>
      <c r="F47" s="59"/>
    </row>
  </sheetData>
  <mergeCells count="6">
    <mergeCell ref="B45:E45"/>
    <mergeCell ref="A1:E1"/>
    <mergeCell ref="A41:B41"/>
    <mergeCell ref="A42:B42"/>
    <mergeCell ref="A43:E43"/>
    <mergeCell ref="A44:E44"/>
  </mergeCells>
  <conditionalFormatting sqref="A46">
    <cfRule type="cellIs" dxfId="140" priority="1" stopIfTrue="1" operator="equal">
      <formula>"EXCLUDED"</formula>
    </cfRule>
    <cfRule type="cellIs" dxfId="139" priority="2" stopIfTrue="1" operator="equal">
      <formula>"DON'T KNOW IF COUNTED"</formula>
    </cfRule>
    <cfRule type="cellIs" dxfId="138" priority="3" stopIfTrue="1" operator="equal">
      <formula>"INCLUDED"</formula>
    </cfRule>
    <cfRule type="cellIs" dxfId="137" priority="4" stopIfTrue="1" operator="equal">
      <formula>"NOT COUNTED"</formula>
    </cfRule>
    <cfRule type="cellIs" dxfId="136" priority="5" stopIfTrue="1" operator="equal">
      <formula>":"</formula>
    </cfRule>
    <cfRule type="cellIs" dxfId="135" priority="6" stopIfTrue="1" operator="equal">
      <formula>"NOT COUNTED; INCLUDED"</formula>
    </cfRule>
    <cfRule type="cellIs" dxfId="134" priority="7" stopIfTrue="1" operator="equal">
      <formula>"COUNTED; EXCLUDED"</formula>
    </cfRule>
    <cfRule type="cellIs" dxfId="133" priority="8" stopIfTrue="1" operator="equal">
      <formula>"NOT COUNTED; EXCLUDED"</formula>
    </cfRule>
    <cfRule type="cellIs" dxfId="132" priority="9" stopIfTrue="1" operator="equal">
      <formula>"COUNTED; INCLUDED"</formula>
    </cfRule>
    <cfRule type="cellIs" dxfId="131" priority="10" stopIfTrue="1" operator="equal">
      <formula>"NOT SEPARATED; INCLUDED"</formula>
    </cfRule>
    <cfRule type="cellIs" dxfId="130" priority="11" stopIfTrue="1" operator="equal">
      <formula>"SEPARATED"</formula>
    </cfRule>
    <cfRule type="cellIs" dxfId="129" priority="12" stopIfTrue="1" operator="equal">
      <formula>"SEPARATED; EXCLUDED"</formula>
    </cfRule>
    <cfRule type="cellIs" dxfId="128" priority="13" stopIfTrue="1" operator="equal">
      <formula>"SEPARATED; INCLUDED"</formula>
    </cfRule>
    <cfRule type="cellIs" dxfId="127" priority="14" stopIfTrue="1" operator="equal">
      <formula>"NOT SEPARATED; EXCLUDED"</formula>
    </cfRule>
    <cfRule type="cellIs" dxfId="126" priority="15" stopIfTrue="1" operator="equal">
      <formula>"NOT SEPARATED"</formula>
    </cfRule>
  </conditionalFormatting>
  <conditionalFormatting sqref="C3:E40">
    <cfRule type="cellIs" dxfId="125" priority="16" stopIfTrue="1" operator="equal">
      <formula>":"</formula>
    </cfRule>
    <cfRule type="cellIs" dxfId="124" priority="17" stopIfTrue="1" operator="equal">
      <formula>"Included"</formula>
    </cfRule>
    <cfRule type="cellIs" dxfId="123" priority="18" stopIfTrue="1" operator="equal">
      <formula>"Excluded"</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5785-C827-467D-8014-97539FA56B54}">
  <sheetPr codeName="Sheet31">
    <tabColor theme="5" tint="0.39997558519241921"/>
  </sheetPr>
  <dimension ref="A1:F42"/>
  <sheetViews>
    <sheetView zoomScaleNormal="100" workbookViewId="0">
      <selection activeCell="M15" sqref="M15"/>
    </sheetView>
  </sheetViews>
  <sheetFormatPr defaultColWidth="8.7109375" defaultRowHeight="12.75" x14ac:dyDescent="0.2"/>
  <cols>
    <col min="1" max="1" width="4.7109375" style="2" customWidth="1"/>
    <col min="2" max="2" width="16.140625" style="2" customWidth="1"/>
    <col min="3" max="3" width="25.85546875" style="2" customWidth="1"/>
    <col min="4" max="4" width="25.42578125" style="2" customWidth="1"/>
    <col min="5" max="5" width="28.85546875" style="2" customWidth="1"/>
    <col min="6" max="6" width="9.42578125" style="2" customWidth="1"/>
    <col min="7" max="16384" width="8.7109375" style="2"/>
  </cols>
  <sheetData>
    <row r="1" spans="1:6" ht="30.75" customHeight="1" x14ac:dyDescent="0.4">
      <c r="A1" s="148" t="s">
        <v>375</v>
      </c>
      <c r="B1" s="148"/>
      <c r="C1" s="148"/>
      <c r="D1" s="148"/>
      <c r="E1" s="148"/>
    </row>
    <row r="2" spans="1:6" ht="40.5" customHeight="1" x14ac:dyDescent="0.2">
      <c r="A2" s="60" t="s">
        <v>1</v>
      </c>
      <c r="B2" s="60" t="s">
        <v>268</v>
      </c>
      <c r="C2" s="69" t="s">
        <v>376</v>
      </c>
      <c r="D2" s="69" t="s">
        <v>377</v>
      </c>
      <c r="E2" s="69" t="s">
        <v>378</v>
      </c>
      <c r="F2" s="79"/>
    </row>
    <row r="3" spans="1:6" x14ac:dyDescent="0.2">
      <c r="A3" s="51" t="s">
        <v>12</v>
      </c>
      <c r="B3" s="51" t="s">
        <v>13</v>
      </c>
      <c r="C3" s="61"/>
      <c r="D3" s="61"/>
      <c r="E3" s="61"/>
      <c r="F3" s="80"/>
    </row>
    <row r="4" spans="1:6" x14ac:dyDescent="0.2">
      <c r="A4" s="51" t="s">
        <v>17</v>
      </c>
      <c r="B4" s="51" t="s">
        <v>18</v>
      </c>
      <c r="C4" s="61"/>
      <c r="D4" s="61"/>
      <c r="E4" s="61"/>
      <c r="F4" s="80"/>
    </row>
    <row r="5" spans="1:6" x14ac:dyDescent="0.2">
      <c r="A5" s="51" t="s">
        <v>22</v>
      </c>
      <c r="B5" s="51" t="s">
        <v>23</v>
      </c>
      <c r="C5" s="61"/>
      <c r="D5" s="61"/>
      <c r="E5" s="61"/>
      <c r="F5" s="80"/>
    </row>
    <row r="6" spans="1:6" x14ac:dyDescent="0.2">
      <c r="A6" s="51" t="s">
        <v>25</v>
      </c>
      <c r="B6" s="51" t="s">
        <v>26</v>
      </c>
      <c r="C6" s="61"/>
      <c r="D6" s="61"/>
      <c r="E6" s="61"/>
      <c r="F6" s="80"/>
    </row>
    <row r="7" spans="1:6" ht="127.5" x14ac:dyDescent="0.2">
      <c r="A7" s="51" t="s">
        <v>27</v>
      </c>
      <c r="B7" s="51" t="s">
        <v>28</v>
      </c>
      <c r="C7" s="61" t="s">
        <v>379</v>
      </c>
      <c r="D7" s="61"/>
      <c r="E7" s="65" t="s">
        <v>380</v>
      </c>
      <c r="F7" s="81"/>
    </row>
    <row r="8" spans="1:6" x14ac:dyDescent="0.2">
      <c r="A8" s="51" t="s">
        <v>29</v>
      </c>
      <c r="B8" s="51" t="s">
        <v>30</v>
      </c>
      <c r="C8" s="61"/>
      <c r="D8" s="61"/>
      <c r="E8" s="61"/>
      <c r="F8" s="80"/>
    </row>
    <row r="9" spans="1:6" x14ac:dyDescent="0.2">
      <c r="A9" s="51" t="s">
        <v>31</v>
      </c>
      <c r="B9" s="51" t="s">
        <v>32</v>
      </c>
      <c r="C9" s="61"/>
      <c r="D9" s="61"/>
      <c r="E9" s="61"/>
      <c r="F9" s="80"/>
    </row>
    <row r="10" spans="1:6" x14ac:dyDescent="0.2">
      <c r="A10" s="51" t="s">
        <v>33</v>
      </c>
      <c r="B10" s="51" t="s">
        <v>34</v>
      </c>
      <c r="C10" s="61"/>
      <c r="D10" s="61"/>
      <c r="E10" s="61"/>
      <c r="F10" s="80"/>
    </row>
    <row r="11" spans="1:6" ht="114.75" x14ac:dyDescent="0.2">
      <c r="A11" s="51" t="s">
        <v>35</v>
      </c>
      <c r="B11" s="51" t="s">
        <v>36</v>
      </c>
      <c r="C11" s="61"/>
      <c r="D11" s="61" t="s">
        <v>381</v>
      </c>
      <c r="E11" s="65" t="s">
        <v>102</v>
      </c>
      <c r="F11" s="80"/>
    </row>
    <row r="12" spans="1:6" x14ac:dyDescent="0.2">
      <c r="A12" s="51" t="s">
        <v>38</v>
      </c>
      <c r="B12" s="51" t="s">
        <v>39</v>
      </c>
      <c r="C12" s="61"/>
      <c r="D12" s="61"/>
      <c r="E12" s="61"/>
      <c r="F12" s="80"/>
    </row>
    <row r="13" spans="1:6" ht="51" x14ac:dyDescent="0.2">
      <c r="A13" s="51" t="s">
        <v>40</v>
      </c>
      <c r="B13" s="51" t="s">
        <v>41</v>
      </c>
      <c r="C13" s="145" t="s">
        <v>382</v>
      </c>
      <c r="D13" s="147"/>
      <c r="E13" s="64" t="s">
        <v>383</v>
      </c>
      <c r="F13" s="82"/>
    </row>
    <row r="14" spans="1:6" ht="12.95" customHeight="1" x14ac:dyDescent="0.2">
      <c r="A14" s="51" t="s">
        <v>43</v>
      </c>
      <c r="B14" s="51" t="s">
        <v>44</v>
      </c>
      <c r="C14" s="155" t="s">
        <v>384</v>
      </c>
      <c r="D14" s="156"/>
      <c r="E14" s="157"/>
      <c r="F14" s="83"/>
    </row>
    <row r="15" spans="1:6" x14ac:dyDescent="0.2">
      <c r="A15" s="51" t="s">
        <v>45</v>
      </c>
      <c r="B15" s="51" t="s">
        <v>46</v>
      </c>
      <c r="C15" s="61"/>
      <c r="D15" s="61"/>
      <c r="E15" s="61"/>
      <c r="F15" s="80"/>
    </row>
    <row r="16" spans="1:6" x14ac:dyDescent="0.2">
      <c r="A16" s="51" t="s">
        <v>47</v>
      </c>
      <c r="B16" s="51" t="s">
        <v>48</v>
      </c>
      <c r="C16" s="61"/>
      <c r="D16" s="61"/>
      <c r="E16" s="61"/>
      <c r="F16" s="80"/>
    </row>
    <row r="17" spans="1:6" x14ac:dyDescent="0.2">
      <c r="A17" s="51" t="s">
        <v>49</v>
      </c>
      <c r="B17" s="51" t="s">
        <v>50</v>
      </c>
      <c r="C17" s="61"/>
      <c r="D17" s="61"/>
      <c r="E17" s="61"/>
      <c r="F17" s="80"/>
    </row>
    <row r="18" spans="1:6" x14ac:dyDescent="0.2">
      <c r="A18" s="51" t="s">
        <v>51</v>
      </c>
      <c r="B18" s="51" t="s">
        <v>52</v>
      </c>
      <c r="C18" s="61"/>
      <c r="D18" s="61"/>
      <c r="E18" s="61"/>
      <c r="F18" s="80"/>
    </row>
    <row r="19" spans="1:6" x14ac:dyDescent="0.2">
      <c r="A19" s="51" t="s">
        <v>53</v>
      </c>
      <c r="B19" s="51" t="s">
        <v>54</v>
      </c>
      <c r="C19" s="61" t="s">
        <v>385</v>
      </c>
      <c r="D19" s="61" t="s">
        <v>386</v>
      </c>
      <c r="E19" s="61"/>
      <c r="F19" s="80"/>
    </row>
    <row r="20" spans="1:6" x14ac:dyDescent="0.2">
      <c r="A20" s="51" t="s">
        <v>55</v>
      </c>
      <c r="B20" s="51" t="s">
        <v>56</v>
      </c>
      <c r="C20" s="61"/>
      <c r="D20" s="61"/>
      <c r="E20" s="61"/>
      <c r="F20" s="80"/>
    </row>
    <row r="21" spans="1:6" x14ac:dyDescent="0.2">
      <c r="A21" s="51" t="s">
        <v>57</v>
      </c>
      <c r="B21" s="51" t="s">
        <v>58</v>
      </c>
      <c r="C21" s="61"/>
      <c r="D21" s="61"/>
      <c r="E21" s="61"/>
      <c r="F21" s="80"/>
    </row>
    <row r="22" spans="1:6" x14ac:dyDescent="0.2">
      <c r="A22" s="51" t="s">
        <v>60</v>
      </c>
      <c r="B22" s="51" t="s">
        <v>61</v>
      </c>
      <c r="C22" s="61"/>
      <c r="D22" s="61"/>
      <c r="E22" s="61"/>
      <c r="F22" s="80"/>
    </row>
    <row r="23" spans="1:6" x14ac:dyDescent="0.2">
      <c r="A23" s="51" t="s">
        <v>62</v>
      </c>
      <c r="B23" s="51" t="s">
        <v>63</v>
      </c>
      <c r="C23" s="61"/>
      <c r="D23" s="61"/>
      <c r="E23" s="65" t="s">
        <v>102</v>
      </c>
      <c r="F23" s="80"/>
    </row>
    <row r="24" spans="1:6" ht="51" x14ac:dyDescent="0.2">
      <c r="A24" s="51" t="s">
        <v>64</v>
      </c>
      <c r="B24" s="51" t="s">
        <v>65</v>
      </c>
      <c r="C24" s="61"/>
      <c r="D24" s="61"/>
      <c r="E24" s="61" t="s">
        <v>387</v>
      </c>
      <c r="F24" s="80"/>
    </row>
    <row r="25" spans="1:6" x14ac:dyDescent="0.2">
      <c r="A25" s="51" t="s">
        <v>66</v>
      </c>
      <c r="B25" s="51" t="s">
        <v>67</v>
      </c>
      <c r="C25" s="61"/>
      <c r="D25" s="61"/>
      <c r="E25" s="61"/>
      <c r="F25" s="80"/>
    </row>
    <row r="26" spans="1:6" ht="25.5" x14ac:dyDescent="0.2">
      <c r="A26" s="51" t="s">
        <v>68</v>
      </c>
      <c r="B26" s="51" t="s">
        <v>69</v>
      </c>
      <c r="C26" s="61"/>
      <c r="D26" s="61"/>
      <c r="E26" s="61" t="s">
        <v>388</v>
      </c>
      <c r="F26" s="80"/>
    </row>
    <row r="27" spans="1:6" x14ac:dyDescent="0.2">
      <c r="A27" s="51" t="s">
        <v>70</v>
      </c>
      <c r="B27" s="51" t="s">
        <v>71</v>
      </c>
      <c r="C27" s="61"/>
      <c r="D27" s="61"/>
      <c r="E27" s="61"/>
      <c r="F27" s="80"/>
    </row>
    <row r="28" spans="1:6" x14ac:dyDescent="0.2">
      <c r="A28" s="51" t="s">
        <v>73</v>
      </c>
      <c r="B28" s="51" t="s">
        <v>74</v>
      </c>
      <c r="C28" s="61"/>
      <c r="D28" s="65" t="s">
        <v>102</v>
      </c>
      <c r="E28" s="65"/>
      <c r="F28" s="81"/>
    </row>
    <row r="29" spans="1:6" x14ac:dyDescent="0.2">
      <c r="A29" s="51" t="s">
        <v>75</v>
      </c>
      <c r="B29" s="51" t="s">
        <v>76</v>
      </c>
      <c r="C29" s="61"/>
      <c r="D29" s="61"/>
      <c r="E29" s="61"/>
      <c r="F29" s="80"/>
    </row>
    <row r="30" spans="1:6" ht="38.25" x14ac:dyDescent="0.2">
      <c r="A30" s="51" t="s">
        <v>77</v>
      </c>
      <c r="B30" s="51" t="s">
        <v>78</v>
      </c>
      <c r="C30" s="61"/>
      <c r="D30" s="61"/>
      <c r="E30" s="61" t="s">
        <v>389</v>
      </c>
      <c r="F30" s="84"/>
    </row>
    <row r="31" spans="1:6" x14ac:dyDescent="0.2">
      <c r="A31" s="51" t="s">
        <v>79</v>
      </c>
      <c r="B31" s="51" t="s">
        <v>80</v>
      </c>
      <c r="C31" s="65" t="s">
        <v>102</v>
      </c>
      <c r="D31" s="65" t="s">
        <v>102</v>
      </c>
      <c r="E31" s="65" t="s">
        <v>102</v>
      </c>
      <c r="F31" s="80"/>
    </row>
    <row r="32" spans="1:6" ht="114.75" x14ac:dyDescent="0.2">
      <c r="A32" s="51" t="s">
        <v>81</v>
      </c>
      <c r="B32" s="51" t="s">
        <v>82</v>
      </c>
      <c r="C32" s="61" t="s">
        <v>390</v>
      </c>
      <c r="D32" s="61" t="s">
        <v>391</v>
      </c>
      <c r="E32" s="61" t="s">
        <v>392</v>
      </c>
      <c r="F32" s="84"/>
    </row>
    <row r="33" spans="1:6" ht="63.75" x14ac:dyDescent="0.2">
      <c r="A33" s="51" t="s">
        <v>84</v>
      </c>
      <c r="B33" s="51" t="s">
        <v>85</v>
      </c>
      <c r="C33" s="61" t="s">
        <v>393</v>
      </c>
      <c r="D33" s="61" t="s">
        <v>394</v>
      </c>
      <c r="E33" s="61" t="s">
        <v>395</v>
      </c>
      <c r="F33" s="80"/>
    </row>
    <row r="34" spans="1:6" ht="25.5" x14ac:dyDescent="0.2">
      <c r="A34" s="51" t="s">
        <v>86</v>
      </c>
      <c r="B34" s="51" t="s">
        <v>87</v>
      </c>
      <c r="C34" s="61"/>
      <c r="D34" s="64"/>
      <c r="E34" s="61"/>
      <c r="F34" s="80"/>
    </row>
    <row r="35" spans="1:6" x14ac:dyDescent="0.2">
      <c r="A35" s="51" t="s">
        <v>89</v>
      </c>
      <c r="B35" s="51" t="s">
        <v>90</v>
      </c>
      <c r="C35" s="61"/>
      <c r="D35" s="61"/>
      <c r="E35" s="61"/>
      <c r="F35" s="80"/>
    </row>
    <row r="36" spans="1:6" ht="25.5" x14ac:dyDescent="0.2">
      <c r="A36" s="51" t="s">
        <v>91</v>
      </c>
      <c r="B36" s="51" t="s">
        <v>92</v>
      </c>
      <c r="C36" s="145" t="s">
        <v>396</v>
      </c>
      <c r="D36" s="147"/>
      <c r="E36" s="61"/>
      <c r="F36" s="80"/>
    </row>
    <row r="37" spans="1:6" x14ac:dyDescent="0.2">
      <c r="A37" s="51" t="s">
        <v>94</v>
      </c>
      <c r="B37" s="51" t="s">
        <v>95</v>
      </c>
      <c r="C37" s="61"/>
      <c r="D37" s="64"/>
      <c r="E37" s="61"/>
      <c r="F37" s="80"/>
    </row>
    <row r="38" spans="1:6" x14ac:dyDescent="0.2">
      <c r="A38" s="51" t="s">
        <v>96</v>
      </c>
      <c r="B38" s="51" t="s">
        <v>97</v>
      </c>
      <c r="C38" s="61"/>
      <c r="D38" s="64"/>
      <c r="E38" s="61"/>
      <c r="F38" s="80"/>
    </row>
    <row r="39" spans="1:6" x14ac:dyDescent="0.2">
      <c r="A39" s="60" t="s">
        <v>98</v>
      </c>
      <c r="B39" s="60" t="s">
        <v>99</v>
      </c>
      <c r="C39" s="65" t="s">
        <v>102</v>
      </c>
      <c r="D39" s="65" t="s">
        <v>102</v>
      </c>
      <c r="E39" s="65" t="s">
        <v>102</v>
      </c>
      <c r="F39" s="80"/>
    </row>
    <row r="40" spans="1:6" x14ac:dyDescent="0.2">
      <c r="A40" s="85" t="s">
        <v>273</v>
      </c>
      <c r="B40" s="85" t="s">
        <v>274</v>
      </c>
      <c r="C40" s="86"/>
      <c r="D40" s="64"/>
      <c r="E40" s="61"/>
      <c r="F40" s="80"/>
    </row>
    <row r="41" spans="1:6" x14ac:dyDescent="0.2">
      <c r="A41" s="87" t="s">
        <v>275</v>
      </c>
      <c r="B41" s="87"/>
      <c r="C41" s="88"/>
    </row>
    <row r="42" spans="1:6" ht="15" customHeight="1" x14ac:dyDescent="0.2">
      <c r="A42" s="89" t="s">
        <v>178</v>
      </c>
      <c r="B42" s="89"/>
    </row>
  </sheetData>
  <mergeCells count="4">
    <mergeCell ref="A1:E1"/>
    <mergeCell ref="C13:D13"/>
    <mergeCell ref="C14:E14"/>
    <mergeCell ref="C36:D36"/>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C84CB-5D42-485C-8E7E-658914FB025C}">
  <sheetPr codeName="Sheet22">
    <tabColor theme="5" tint="0.59999389629810485"/>
  </sheetPr>
  <dimension ref="A1:F48"/>
  <sheetViews>
    <sheetView topLeftCell="A11" zoomScaleNormal="100" workbookViewId="0">
      <selection activeCell="M15" sqref="M15"/>
    </sheetView>
  </sheetViews>
  <sheetFormatPr defaultColWidth="8.7109375" defaultRowHeight="12.75" x14ac:dyDescent="0.2"/>
  <cols>
    <col min="1" max="1" width="4.7109375" style="2" customWidth="1"/>
    <col min="2" max="2" width="16.5703125" style="2" customWidth="1"/>
    <col min="3" max="4" width="9" style="2" customWidth="1"/>
    <col min="5" max="5" width="15" style="2" customWidth="1"/>
    <col min="6" max="16384" width="8.7109375" style="2"/>
  </cols>
  <sheetData>
    <row r="1" spans="1:5" ht="26.25" customHeight="1" x14ac:dyDescent="0.2">
      <c r="A1" s="154" t="s">
        <v>397</v>
      </c>
      <c r="B1" s="154"/>
      <c r="C1" s="154"/>
      <c r="D1" s="154"/>
      <c r="E1" s="154"/>
    </row>
    <row r="2" spans="1:5" x14ac:dyDescent="0.2">
      <c r="A2" s="60" t="s">
        <v>1</v>
      </c>
      <c r="B2" s="60" t="s">
        <v>268</v>
      </c>
      <c r="C2" s="158" t="s">
        <v>398</v>
      </c>
      <c r="D2" s="158" t="s">
        <v>373</v>
      </c>
      <c r="E2" s="158" t="s">
        <v>399</v>
      </c>
    </row>
    <row r="3" spans="1:5" x14ac:dyDescent="0.2">
      <c r="A3" s="90"/>
      <c r="B3" s="90"/>
      <c r="C3" s="159" t="s">
        <v>398</v>
      </c>
      <c r="D3" s="159" t="s">
        <v>373</v>
      </c>
      <c r="E3" s="159"/>
    </row>
    <row r="4" spans="1:5" x14ac:dyDescent="0.2">
      <c r="A4" s="51" t="s">
        <v>12</v>
      </c>
      <c r="B4" s="51" t="s">
        <v>13</v>
      </c>
      <c r="C4" s="71" t="s">
        <v>93</v>
      </c>
      <c r="D4" s="71" t="s">
        <v>93</v>
      </c>
      <c r="E4" s="52" t="s">
        <v>93</v>
      </c>
    </row>
    <row r="5" spans="1:5" x14ac:dyDescent="0.2">
      <c r="A5" s="51" t="s">
        <v>17</v>
      </c>
      <c r="B5" s="51" t="s">
        <v>18</v>
      </c>
      <c r="C5" s="71" t="s">
        <v>93</v>
      </c>
      <c r="D5" s="71" t="s">
        <v>93</v>
      </c>
      <c r="E5" s="52" t="s">
        <v>42</v>
      </c>
    </row>
    <row r="6" spans="1:5" x14ac:dyDescent="0.2">
      <c r="A6" s="51" t="s">
        <v>22</v>
      </c>
      <c r="B6" s="51" t="s">
        <v>23</v>
      </c>
      <c r="C6" s="71" t="s">
        <v>93</v>
      </c>
      <c r="D6" s="71" t="s">
        <v>93</v>
      </c>
      <c r="E6" s="52" t="s">
        <v>42</v>
      </c>
    </row>
    <row r="7" spans="1:5" x14ac:dyDescent="0.2">
      <c r="A7" s="51" t="s">
        <v>25</v>
      </c>
      <c r="B7" s="51" t="s">
        <v>26</v>
      </c>
      <c r="C7" s="71" t="s">
        <v>93</v>
      </c>
      <c r="D7" s="71" t="s">
        <v>93</v>
      </c>
      <c r="E7" s="52" t="s">
        <v>42</v>
      </c>
    </row>
    <row r="8" spans="1:5" x14ac:dyDescent="0.2">
      <c r="A8" s="51" t="s">
        <v>27</v>
      </c>
      <c r="B8" s="51" t="s">
        <v>28</v>
      </c>
      <c r="C8" s="71" t="s">
        <v>93</v>
      </c>
      <c r="D8" s="71" t="s">
        <v>93</v>
      </c>
      <c r="E8" s="52" t="s">
        <v>42</v>
      </c>
    </row>
    <row r="9" spans="1:5" x14ac:dyDescent="0.2">
      <c r="A9" s="51" t="s">
        <v>29</v>
      </c>
      <c r="B9" s="51" t="s">
        <v>30</v>
      </c>
      <c r="C9" s="71" t="s">
        <v>93</v>
      </c>
      <c r="D9" s="71" t="s">
        <v>93</v>
      </c>
      <c r="E9" s="52" t="s">
        <v>42</v>
      </c>
    </row>
    <row r="10" spans="1:5" x14ac:dyDescent="0.2">
      <c r="A10" s="51" t="s">
        <v>31</v>
      </c>
      <c r="B10" s="51" t="s">
        <v>32</v>
      </c>
      <c r="C10" s="71" t="s">
        <v>93</v>
      </c>
      <c r="D10" s="71" t="s">
        <v>93</v>
      </c>
      <c r="E10" s="52" t="s">
        <v>93</v>
      </c>
    </row>
    <row r="11" spans="1:5" x14ac:dyDescent="0.2">
      <c r="A11" s="51" t="s">
        <v>33</v>
      </c>
      <c r="B11" s="51" t="s">
        <v>34</v>
      </c>
      <c r="C11" s="71" t="s">
        <v>93</v>
      </c>
      <c r="D11" s="71" t="s">
        <v>93</v>
      </c>
      <c r="E11" s="52" t="s">
        <v>42</v>
      </c>
    </row>
    <row r="12" spans="1:5" x14ac:dyDescent="0.2">
      <c r="A12" s="51" t="s">
        <v>35</v>
      </c>
      <c r="B12" s="51" t="s">
        <v>36</v>
      </c>
      <c r="C12" s="71" t="s">
        <v>93</v>
      </c>
      <c r="D12" s="71" t="s">
        <v>93</v>
      </c>
      <c r="E12" s="52" t="s">
        <v>42</v>
      </c>
    </row>
    <row r="13" spans="1:5" x14ac:dyDescent="0.2">
      <c r="A13" s="51" t="s">
        <v>38</v>
      </c>
      <c r="B13" s="51" t="s">
        <v>39</v>
      </c>
      <c r="C13" s="71" t="s">
        <v>93</v>
      </c>
      <c r="D13" s="71" t="s">
        <v>93</v>
      </c>
      <c r="E13" s="52" t="s">
        <v>42</v>
      </c>
    </row>
    <row r="14" spans="1:5" x14ac:dyDescent="0.2">
      <c r="A14" s="51" t="s">
        <v>40</v>
      </c>
      <c r="B14" s="51" t="s">
        <v>41</v>
      </c>
      <c r="C14" s="71" t="s">
        <v>93</v>
      </c>
      <c r="D14" s="71" t="s">
        <v>93</v>
      </c>
      <c r="E14" s="52" t="s">
        <v>42</v>
      </c>
    </row>
    <row r="15" spans="1:5" x14ac:dyDescent="0.2">
      <c r="A15" s="51" t="s">
        <v>43</v>
      </c>
      <c r="B15" s="51" t="s">
        <v>44</v>
      </c>
      <c r="C15" s="71" t="s">
        <v>102</v>
      </c>
      <c r="D15" s="71" t="s">
        <v>102</v>
      </c>
      <c r="E15" s="52" t="s">
        <v>102</v>
      </c>
    </row>
    <row r="16" spans="1:5" x14ac:dyDescent="0.2">
      <c r="A16" s="51" t="s">
        <v>45</v>
      </c>
      <c r="B16" s="51" t="s">
        <v>46</v>
      </c>
      <c r="C16" s="71" t="s">
        <v>93</v>
      </c>
      <c r="D16" s="71" t="s">
        <v>93</v>
      </c>
      <c r="E16" s="52" t="s">
        <v>42</v>
      </c>
    </row>
    <row r="17" spans="1:5" x14ac:dyDescent="0.2">
      <c r="A17" s="51" t="s">
        <v>47</v>
      </c>
      <c r="B17" s="51" t="s">
        <v>48</v>
      </c>
      <c r="C17" s="71" t="s">
        <v>93</v>
      </c>
      <c r="D17" s="71" t="s">
        <v>93</v>
      </c>
      <c r="E17" s="52" t="s">
        <v>42</v>
      </c>
    </row>
    <row r="18" spans="1:5" x14ac:dyDescent="0.2">
      <c r="A18" s="51" t="s">
        <v>49</v>
      </c>
      <c r="B18" s="51" t="s">
        <v>50</v>
      </c>
      <c r="C18" s="71" t="s">
        <v>93</v>
      </c>
      <c r="D18" s="71" t="s">
        <v>93</v>
      </c>
      <c r="E18" s="52" t="s">
        <v>93</v>
      </c>
    </row>
    <row r="19" spans="1:5" x14ac:dyDescent="0.2">
      <c r="A19" s="51" t="s">
        <v>51</v>
      </c>
      <c r="B19" s="51" t="s">
        <v>52</v>
      </c>
      <c r="C19" s="71" t="s">
        <v>42</v>
      </c>
      <c r="D19" s="71" t="s">
        <v>42</v>
      </c>
      <c r="E19" s="52" t="s">
        <v>93</v>
      </c>
    </row>
    <row r="20" spans="1:5" x14ac:dyDescent="0.2">
      <c r="A20" s="51" t="s">
        <v>53</v>
      </c>
      <c r="B20" s="51" t="s">
        <v>54</v>
      </c>
      <c r="C20" s="71" t="s">
        <v>93</v>
      </c>
      <c r="D20" s="71" t="s">
        <v>93</v>
      </c>
      <c r="E20" s="52" t="s">
        <v>93</v>
      </c>
    </row>
    <row r="21" spans="1:5" x14ac:dyDescent="0.2">
      <c r="A21" s="51" t="s">
        <v>55</v>
      </c>
      <c r="B21" s="51" t="s">
        <v>56</v>
      </c>
      <c r="C21" s="71" t="s">
        <v>93</v>
      </c>
      <c r="D21" s="71" t="s">
        <v>93</v>
      </c>
      <c r="E21" s="52" t="s">
        <v>93</v>
      </c>
    </row>
    <row r="22" spans="1:5" x14ac:dyDescent="0.2">
      <c r="A22" s="51" t="s">
        <v>57</v>
      </c>
      <c r="B22" s="51" t="s">
        <v>58</v>
      </c>
      <c r="C22" s="71" t="s">
        <v>93</v>
      </c>
      <c r="D22" s="71" t="s">
        <v>93</v>
      </c>
      <c r="E22" s="52" t="s">
        <v>93</v>
      </c>
    </row>
    <row r="23" spans="1:5" x14ac:dyDescent="0.2">
      <c r="A23" s="51" t="s">
        <v>60</v>
      </c>
      <c r="B23" s="51" t="s">
        <v>61</v>
      </c>
      <c r="C23" s="71" t="s">
        <v>93</v>
      </c>
      <c r="D23" s="71" t="s">
        <v>93</v>
      </c>
      <c r="E23" s="52" t="s">
        <v>42</v>
      </c>
    </row>
    <row r="24" spans="1:5" x14ac:dyDescent="0.2">
      <c r="A24" s="51" t="s">
        <v>62</v>
      </c>
      <c r="B24" s="51" t="s">
        <v>63</v>
      </c>
      <c r="C24" s="71" t="s">
        <v>42</v>
      </c>
      <c r="D24" s="71" t="s">
        <v>42</v>
      </c>
      <c r="E24" s="52" t="s">
        <v>93</v>
      </c>
    </row>
    <row r="25" spans="1:5" x14ac:dyDescent="0.2">
      <c r="A25" s="51" t="s">
        <v>64</v>
      </c>
      <c r="B25" s="51" t="s">
        <v>65</v>
      </c>
      <c r="C25" s="71" t="s">
        <v>93</v>
      </c>
      <c r="D25" s="71" t="s">
        <v>93</v>
      </c>
      <c r="E25" s="52" t="s">
        <v>42</v>
      </c>
    </row>
    <row r="26" spans="1:5" x14ac:dyDescent="0.2">
      <c r="A26" s="51" t="s">
        <v>66</v>
      </c>
      <c r="B26" s="51" t="s">
        <v>67</v>
      </c>
      <c r="C26" s="71" t="s">
        <v>93</v>
      </c>
      <c r="D26" s="71" t="s">
        <v>93</v>
      </c>
      <c r="E26" s="52" t="s">
        <v>42</v>
      </c>
    </row>
    <row r="27" spans="1:5" x14ac:dyDescent="0.2">
      <c r="A27" s="51" t="s">
        <v>68</v>
      </c>
      <c r="B27" s="51" t="s">
        <v>69</v>
      </c>
      <c r="C27" s="71" t="s">
        <v>93</v>
      </c>
      <c r="D27" s="71" t="s">
        <v>93</v>
      </c>
      <c r="E27" s="52" t="s">
        <v>93</v>
      </c>
    </row>
    <row r="28" spans="1:5" x14ac:dyDescent="0.2">
      <c r="A28" s="51" t="s">
        <v>70</v>
      </c>
      <c r="B28" s="51" t="s">
        <v>71</v>
      </c>
      <c r="C28" s="71" t="s">
        <v>93</v>
      </c>
      <c r="D28" s="71" t="s">
        <v>93</v>
      </c>
      <c r="E28" s="52" t="s">
        <v>93</v>
      </c>
    </row>
    <row r="29" spans="1:5" x14ac:dyDescent="0.2">
      <c r="A29" s="51" t="s">
        <v>73</v>
      </c>
      <c r="B29" s="51" t="s">
        <v>74</v>
      </c>
      <c r="C29" s="71" t="s">
        <v>93</v>
      </c>
      <c r="D29" s="71" t="s">
        <v>93</v>
      </c>
      <c r="E29" s="52" t="s">
        <v>42</v>
      </c>
    </row>
    <row r="30" spans="1:5" x14ac:dyDescent="0.2">
      <c r="A30" s="51" t="s">
        <v>75</v>
      </c>
      <c r="B30" s="51" t="s">
        <v>76</v>
      </c>
      <c r="C30" s="71" t="s">
        <v>93</v>
      </c>
      <c r="D30" s="71" t="s">
        <v>93</v>
      </c>
      <c r="E30" s="52" t="s">
        <v>42</v>
      </c>
    </row>
    <row r="31" spans="1:5" x14ac:dyDescent="0.2">
      <c r="A31" s="51" t="s">
        <v>77</v>
      </c>
      <c r="B31" s="51" t="s">
        <v>78</v>
      </c>
      <c r="C31" s="71" t="s">
        <v>93</v>
      </c>
      <c r="D31" s="71" t="s">
        <v>93</v>
      </c>
      <c r="E31" s="52" t="s">
        <v>42</v>
      </c>
    </row>
    <row r="32" spans="1:5" x14ac:dyDescent="0.2">
      <c r="A32" s="51" t="s">
        <v>79</v>
      </c>
      <c r="B32" s="51" t="s">
        <v>80</v>
      </c>
      <c r="C32" s="71" t="s">
        <v>102</v>
      </c>
      <c r="D32" s="71" t="s">
        <v>102</v>
      </c>
      <c r="E32" s="52" t="s">
        <v>102</v>
      </c>
    </row>
    <row r="33" spans="1:6" x14ac:dyDescent="0.2">
      <c r="A33" s="51" t="s">
        <v>81</v>
      </c>
      <c r="B33" s="51" t="s">
        <v>82</v>
      </c>
      <c r="C33" s="71" t="s">
        <v>93</v>
      </c>
      <c r="D33" s="71" t="s">
        <v>93</v>
      </c>
      <c r="E33" s="52" t="s">
        <v>42</v>
      </c>
    </row>
    <row r="34" spans="1:6" x14ac:dyDescent="0.2">
      <c r="A34" s="51" t="s">
        <v>84</v>
      </c>
      <c r="B34" s="51" t="s">
        <v>85</v>
      </c>
      <c r="C34" s="71" t="s">
        <v>93</v>
      </c>
      <c r="D34" s="71" t="s">
        <v>93</v>
      </c>
      <c r="E34" s="52" t="s">
        <v>93</v>
      </c>
    </row>
    <row r="35" spans="1:6" ht="25.5" x14ac:dyDescent="0.2">
      <c r="A35" s="51" t="s">
        <v>86</v>
      </c>
      <c r="B35" s="51" t="s">
        <v>87</v>
      </c>
      <c r="C35" s="71" t="s">
        <v>93</v>
      </c>
      <c r="D35" s="71" t="s">
        <v>93</v>
      </c>
      <c r="E35" s="52" t="s">
        <v>42</v>
      </c>
    </row>
    <row r="36" spans="1:6" x14ac:dyDescent="0.2">
      <c r="A36" s="51" t="s">
        <v>89</v>
      </c>
      <c r="B36" s="51" t="s">
        <v>90</v>
      </c>
      <c r="C36" s="71" t="s">
        <v>93</v>
      </c>
      <c r="D36" s="71" t="s">
        <v>93</v>
      </c>
      <c r="E36" s="52" t="s">
        <v>42</v>
      </c>
    </row>
    <row r="37" spans="1:6" x14ac:dyDescent="0.2">
      <c r="A37" s="51" t="s">
        <v>91</v>
      </c>
      <c r="B37" s="51" t="s">
        <v>92</v>
      </c>
      <c r="C37" s="71" t="s">
        <v>93</v>
      </c>
      <c r="D37" s="71" t="s">
        <v>93</v>
      </c>
      <c r="E37" s="52" t="s">
        <v>42</v>
      </c>
    </row>
    <row r="38" spans="1:6" x14ac:dyDescent="0.2">
      <c r="A38" s="51" t="s">
        <v>94</v>
      </c>
      <c r="B38" s="51" t="s">
        <v>95</v>
      </c>
      <c r="C38" s="71" t="s">
        <v>93</v>
      </c>
      <c r="D38" s="71" t="s">
        <v>93</v>
      </c>
      <c r="E38" s="52" t="s">
        <v>42</v>
      </c>
    </row>
    <row r="39" spans="1:6" x14ac:dyDescent="0.2">
      <c r="A39" s="51" t="s">
        <v>96</v>
      </c>
      <c r="B39" s="51" t="s">
        <v>97</v>
      </c>
      <c r="C39" s="71" t="s">
        <v>42</v>
      </c>
      <c r="D39" s="71" t="s">
        <v>42</v>
      </c>
      <c r="E39" s="52" t="s">
        <v>42</v>
      </c>
    </row>
    <row r="40" spans="1:6" x14ac:dyDescent="0.2">
      <c r="A40" s="51" t="s">
        <v>98</v>
      </c>
      <c r="B40" s="51" t="s">
        <v>99</v>
      </c>
      <c r="C40" s="71" t="s">
        <v>42</v>
      </c>
      <c r="D40" s="71" t="s">
        <v>42</v>
      </c>
      <c r="E40" s="52" t="s">
        <v>42</v>
      </c>
    </row>
    <row r="41" spans="1:6" x14ac:dyDescent="0.2">
      <c r="A41" s="60" t="s">
        <v>273</v>
      </c>
      <c r="B41" s="60" t="s">
        <v>274</v>
      </c>
      <c r="C41" s="71" t="s">
        <v>42</v>
      </c>
      <c r="D41" s="71" t="s">
        <v>42</v>
      </c>
      <c r="E41" s="52" t="s">
        <v>42</v>
      </c>
    </row>
    <row r="42" spans="1:6" x14ac:dyDescent="0.2">
      <c r="A42" s="139" t="s">
        <v>103</v>
      </c>
      <c r="B42" s="139"/>
      <c r="C42" s="72">
        <f>COUNTIF(C4:C41,"EXCLUDED")</f>
        <v>31</v>
      </c>
      <c r="D42" s="72">
        <f>COUNTIF(D4:D41,"EXCLUDED")</f>
        <v>31</v>
      </c>
      <c r="E42" s="72">
        <f t="shared" ref="E42" si="0">COUNTIF(E4:E41,"INCLUDED")</f>
        <v>25</v>
      </c>
    </row>
    <row r="43" spans="1:6" x14ac:dyDescent="0.2">
      <c r="A43" s="140" t="s">
        <v>104</v>
      </c>
      <c r="B43" s="140"/>
      <c r="C43" s="75">
        <f>C42/38</f>
        <v>0.81578947368421051</v>
      </c>
      <c r="D43" s="75">
        <f t="shared" ref="D43:E43" si="1">D42/38</f>
        <v>0.81578947368421051</v>
      </c>
      <c r="E43" s="75">
        <f t="shared" si="1"/>
        <v>0.65789473684210531</v>
      </c>
    </row>
    <row r="44" spans="1:6" x14ac:dyDescent="0.2">
      <c r="A44" s="142" t="s">
        <v>275</v>
      </c>
      <c r="B44" s="142"/>
      <c r="C44" s="142"/>
      <c r="D44" s="142"/>
      <c r="E44" s="142"/>
    </row>
    <row r="45" spans="1:6" x14ac:dyDescent="0.2">
      <c r="A45" s="142" t="s">
        <v>276</v>
      </c>
      <c r="B45" s="142"/>
      <c r="C45" s="142"/>
      <c r="D45" s="142"/>
      <c r="E45" s="142"/>
    </row>
    <row r="46" spans="1:6" x14ac:dyDescent="0.2">
      <c r="A46" s="56"/>
      <c r="B46" s="143" t="s">
        <v>277</v>
      </c>
      <c r="C46" s="143"/>
      <c r="D46" s="143"/>
      <c r="E46" s="143"/>
    </row>
    <row r="47" spans="1:6" x14ac:dyDescent="0.2">
      <c r="A47" s="57"/>
      <c r="B47" s="21" t="s">
        <v>107</v>
      </c>
      <c r="C47" s="21"/>
      <c r="D47" s="21"/>
      <c r="E47" s="21"/>
      <c r="F47" s="21"/>
    </row>
    <row r="48" spans="1:6" x14ac:dyDescent="0.2">
      <c r="A48" s="58"/>
      <c r="B48" s="59" t="s">
        <v>278</v>
      </c>
      <c r="C48" s="59"/>
      <c r="D48" s="59"/>
      <c r="E48" s="59"/>
      <c r="F48" s="59"/>
    </row>
  </sheetData>
  <mergeCells count="9">
    <mergeCell ref="A44:E44"/>
    <mergeCell ref="A45:E45"/>
    <mergeCell ref="B46:E46"/>
    <mergeCell ref="A1:E1"/>
    <mergeCell ref="C2:C3"/>
    <mergeCell ref="D2:D3"/>
    <mergeCell ref="E2:E3"/>
    <mergeCell ref="A42:B42"/>
    <mergeCell ref="A43:B43"/>
  </mergeCells>
  <conditionalFormatting sqref="A47">
    <cfRule type="cellIs" dxfId="122" priority="1" stopIfTrue="1" operator="equal">
      <formula>"EXCLUDED"</formula>
    </cfRule>
    <cfRule type="cellIs" dxfId="121" priority="2" stopIfTrue="1" operator="equal">
      <formula>"DON'T KNOW IF COUNTED"</formula>
    </cfRule>
    <cfRule type="cellIs" dxfId="120" priority="3" stopIfTrue="1" operator="equal">
      <formula>"INCLUDED"</formula>
    </cfRule>
    <cfRule type="cellIs" dxfId="119" priority="4" stopIfTrue="1" operator="equal">
      <formula>"NOT COUNTED"</formula>
    </cfRule>
    <cfRule type="cellIs" dxfId="118" priority="5" stopIfTrue="1" operator="equal">
      <formula>":"</formula>
    </cfRule>
    <cfRule type="cellIs" dxfId="117" priority="6" stopIfTrue="1" operator="equal">
      <formula>"NOT COUNTED; INCLUDED"</formula>
    </cfRule>
    <cfRule type="cellIs" dxfId="116" priority="7" stopIfTrue="1" operator="equal">
      <formula>"COUNTED; EXCLUDED"</formula>
    </cfRule>
    <cfRule type="cellIs" dxfId="115" priority="8" stopIfTrue="1" operator="equal">
      <formula>"NOT COUNTED; EXCLUDED"</formula>
    </cfRule>
    <cfRule type="cellIs" dxfId="114" priority="9" stopIfTrue="1" operator="equal">
      <formula>"COUNTED; INCLUDED"</formula>
    </cfRule>
    <cfRule type="cellIs" dxfId="113" priority="10" stopIfTrue="1" operator="equal">
      <formula>"NOT SEPARATED; INCLUDED"</formula>
    </cfRule>
    <cfRule type="cellIs" dxfId="112" priority="11" stopIfTrue="1" operator="equal">
      <formula>"SEPARATED"</formula>
    </cfRule>
    <cfRule type="cellIs" dxfId="111" priority="12" stopIfTrue="1" operator="equal">
      <formula>"SEPARATED; EXCLUDED"</formula>
    </cfRule>
    <cfRule type="cellIs" dxfId="110" priority="13" stopIfTrue="1" operator="equal">
      <formula>"SEPARATED; INCLUDED"</formula>
    </cfRule>
    <cfRule type="cellIs" dxfId="109" priority="14" stopIfTrue="1" operator="equal">
      <formula>"NOT SEPARATED; EXCLUDED"</formula>
    </cfRule>
    <cfRule type="cellIs" dxfId="108" priority="15" stopIfTrue="1" operator="equal">
      <formula>"NOT SEPARATED"</formula>
    </cfRule>
  </conditionalFormatting>
  <conditionalFormatting sqref="C4:D41">
    <cfRule type="cellIs" dxfId="107" priority="17" stopIfTrue="1" operator="equal">
      <formula>"Included"</formula>
    </cfRule>
    <cfRule type="cellIs" dxfId="106" priority="18" stopIfTrue="1" operator="equal">
      <formula>"Excluded"</formula>
    </cfRule>
  </conditionalFormatting>
  <conditionalFormatting sqref="C4:E41">
    <cfRule type="cellIs" dxfId="105" priority="16" stopIfTrue="1" operator="equal">
      <formula>":"</formula>
    </cfRule>
  </conditionalFormatting>
  <conditionalFormatting sqref="E4:E41">
    <cfRule type="cellIs" dxfId="104" priority="20" stopIfTrue="1" operator="equal">
      <formula>"Included"</formula>
    </cfRule>
    <cfRule type="cellIs" dxfId="103" priority="21" stopIfTrue="1" operator="equal">
      <formula>"Excluded"</formula>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3A68-173F-4CA5-AF7E-8C71F8B39D93}">
  <sheetPr codeName="Sheet33">
    <tabColor theme="5" tint="0.59999389629810485"/>
  </sheetPr>
  <dimension ref="A1:E42"/>
  <sheetViews>
    <sheetView zoomScaleNormal="100" workbookViewId="0">
      <selection activeCell="M15" sqref="M15"/>
    </sheetView>
  </sheetViews>
  <sheetFormatPr defaultColWidth="8.7109375" defaultRowHeight="12.75" x14ac:dyDescent="0.2"/>
  <cols>
    <col min="1" max="1" width="4.7109375" style="2" customWidth="1"/>
    <col min="2" max="2" width="16.7109375" style="2" customWidth="1"/>
    <col min="3" max="3" width="17.5703125" style="2" customWidth="1"/>
    <col min="4" max="4" width="20.28515625" style="2" customWidth="1"/>
    <col min="5" max="5" width="37.42578125" style="2" customWidth="1"/>
    <col min="6" max="16384" width="8.7109375" style="2"/>
  </cols>
  <sheetData>
    <row r="1" spans="1:5" ht="29.25" customHeight="1" x14ac:dyDescent="0.4">
      <c r="A1" s="160" t="s">
        <v>400</v>
      </c>
      <c r="B1" s="160"/>
      <c r="C1" s="160"/>
      <c r="D1" s="160"/>
      <c r="E1" s="160"/>
    </row>
    <row r="2" spans="1:5" ht="25.5" x14ac:dyDescent="0.2">
      <c r="A2" s="85" t="s">
        <v>1</v>
      </c>
      <c r="B2" s="85" t="s">
        <v>268</v>
      </c>
      <c r="C2" s="85" t="s">
        <v>401</v>
      </c>
      <c r="D2" s="85" t="s">
        <v>377</v>
      </c>
      <c r="E2" s="85" t="s">
        <v>402</v>
      </c>
    </row>
    <row r="3" spans="1:5" ht="25.5" x14ac:dyDescent="0.2">
      <c r="A3" s="85" t="s">
        <v>12</v>
      </c>
      <c r="B3" s="85" t="s">
        <v>13</v>
      </c>
      <c r="C3" s="91"/>
      <c r="D3" s="91"/>
      <c r="E3" s="91" t="s">
        <v>403</v>
      </c>
    </row>
    <row r="4" spans="1:5" x14ac:dyDescent="0.2">
      <c r="A4" s="85" t="s">
        <v>17</v>
      </c>
      <c r="B4" s="85" t="s">
        <v>18</v>
      </c>
      <c r="C4" s="91"/>
      <c r="D4" s="91"/>
      <c r="E4" s="91"/>
    </row>
    <row r="5" spans="1:5" x14ac:dyDescent="0.2">
      <c r="A5" s="85" t="s">
        <v>22</v>
      </c>
      <c r="B5" s="85" t="s">
        <v>23</v>
      </c>
      <c r="C5" s="91"/>
      <c r="D5" s="91"/>
      <c r="E5" s="91"/>
    </row>
    <row r="6" spans="1:5" x14ac:dyDescent="0.2">
      <c r="A6" s="85" t="s">
        <v>25</v>
      </c>
      <c r="B6" s="85" t="s">
        <v>26</v>
      </c>
      <c r="C6" s="91"/>
      <c r="D6" s="91"/>
      <c r="E6" s="91" t="s">
        <v>404</v>
      </c>
    </row>
    <row r="7" spans="1:5" x14ac:dyDescent="0.2">
      <c r="A7" s="85" t="s">
        <v>27</v>
      </c>
      <c r="B7" s="85" t="s">
        <v>28</v>
      </c>
      <c r="C7" s="161" t="s">
        <v>405</v>
      </c>
      <c r="D7" s="162"/>
      <c r="E7" s="91"/>
    </row>
    <row r="8" spans="1:5" x14ac:dyDescent="0.2">
      <c r="A8" s="85" t="s">
        <v>29</v>
      </c>
      <c r="B8" s="85" t="s">
        <v>30</v>
      </c>
      <c r="C8" s="91"/>
      <c r="D8" s="91"/>
      <c r="E8" s="91" t="s">
        <v>406</v>
      </c>
    </row>
    <row r="9" spans="1:5" x14ac:dyDescent="0.2">
      <c r="A9" s="85" t="s">
        <v>31</v>
      </c>
      <c r="B9" s="85" t="s">
        <v>32</v>
      </c>
      <c r="C9" s="91"/>
      <c r="D9" s="91"/>
      <c r="E9" s="91" t="s">
        <v>407</v>
      </c>
    </row>
    <row r="10" spans="1:5" x14ac:dyDescent="0.2">
      <c r="A10" s="85" t="s">
        <v>33</v>
      </c>
      <c r="B10" s="85" t="s">
        <v>34</v>
      </c>
      <c r="C10" s="91"/>
      <c r="D10" s="91"/>
      <c r="E10" s="91"/>
    </row>
    <row r="11" spans="1:5" ht="63.6" customHeight="1" x14ac:dyDescent="0.2">
      <c r="A11" s="85" t="s">
        <v>35</v>
      </c>
      <c r="B11" s="85" t="s">
        <v>36</v>
      </c>
      <c r="C11" s="91"/>
      <c r="D11" s="91" t="s">
        <v>408</v>
      </c>
      <c r="E11" s="91"/>
    </row>
    <row r="12" spans="1:5" x14ac:dyDescent="0.2">
      <c r="A12" s="85" t="s">
        <v>38</v>
      </c>
      <c r="B12" s="85" t="s">
        <v>39</v>
      </c>
      <c r="C12" s="91"/>
      <c r="D12" s="91"/>
      <c r="E12" s="91"/>
    </row>
    <row r="13" spans="1:5" x14ac:dyDescent="0.2">
      <c r="A13" s="85" t="s">
        <v>40</v>
      </c>
      <c r="B13" s="85" t="s">
        <v>41</v>
      </c>
      <c r="C13" s="161" t="s">
        <v>382</v>
      </c>
      <c r="D13" s="162"/>
      <c r="E13" s="92" t="s">
        <v>409</v>
      </c>
    </row>
    <row r="14" spans="1:5" x14ac:dyDescent="0.2">
      <c r="A14" s="85" t="s">
        <v>43</v>
      </c>
      <c r="B14" s="85" t="s">
        <v>44</v>
      </c>
      <c r="C14" s="153" t="s">
        <v>410</v>
      </c>
      <c r="D14" s="163"/>
      <c r="E14" s="152"/>
    </row>
    <row r="15" spans="1:5" x14ac:dyDescent="0.2">
      <c r="A15" s="85" t="s">
        <v>45</v>
      </c>
      <c r="B15" s="85" t="s">
        <v>46</v>
      </c>
      <c r="C15" s="91"/>
      <c r="D15" s="91"/>
      <c r="E15" s="91"/>
    </row>
    <row r="16" spans="1:5" x14ac:dyDescent="0.2">
      <c r="A16" s="85" t="s">
        <v>47</v>
      </c>
      <c r="B16" s="85" t="s">
        <v>48</v>
      </c>
      <c r="C16" s="91"/>
      <c r="D16" s="91"/>
      <c r="E16" s="91" t="s">
        <v>411</v>
      </c>
    </row>
    <row r="17" spans="1:5" x14ac:dyDescent="0.2">
      <c r="A17" s="85" t="s">
        <v>49</v>
      </c>
      <c r="B17" s="85" t="s">
        <v>50</v>
      </c>
      <c r="C17" s="91"/>
      <c r="D17" s="91"/>
      <c r="E17" s="92" t="s">
        <v>412</v>
      </c>
    </row>
    <row r="18" spans="1:5" ht="51" x14ac:dyDescent="0.2">
      <c r="A18" s="85" t="s">
        <v>51</v>
      </c>
      <c r="B18" s="85" t="s">
        <v>52</v>
      </c>
      <c r="C18" s="161" t="s">
        <v>413</v>
      </c>
      <c r="D18" s="162"/>
      <c r="E18" s="91" t="s">
        <v>414</v>
      </c>
    </row>
    <row r="19" spans="1:5" ht="63.75" x14ac:dyDescent="0.2">
      <c r="A19" s="85" t="s">
        <v>53</v>
      </c>
      <c r="B19" s="85" t="s">
        <v>54</v>
      </c>
      <c r="C19" s="91"/>
      <c r="D19" s="91"/>
      <c r="E19" s="91" t="s">
        <v>415</v>
      </c>
    </row>
    <row r="20" spans="1:5" ht="38.25" x14ac:dyDescent="0.2">
      <c r="A20" s="85" t="s">
        <v>55</v>
      </c>
      <c r="B20" s="85" t="s">
        <v>56</v>
      </c>
      <c r="C20" s="91"/>
      <c r="D20" s="91"/>
      <c r="E20" s="91" t="s">
        <v>416</v>
      </c>
    </row>
    <row r="21" spans="1:5" ht="51" x14ac:dyDescent="0.2">
      <c r="A21" s="85" t="s">
        <v>57</v>
      </c>
      <c r="B21" s="85" t="s">
        <v>58</v>
      </c>
      <c r="C21" s="91"/>
      <c r="D21" s="91"/>
      <c r="E21" s="91" t="s">
        <v>417</v>
      </c>
    </row>
    <row r="22" spans="1:5" ht="25.5" x14ac:dyDescent="0.2">
      <c r="A22" s="85" t="s">
        <v>60</v>
      </c>
      <c r="B22" s="85" t="s">
        <v>61</v>
      </c>
      <c r="C22" s="91"/>
      <c r="D22" s="91"/>
      <c r="E22" s="92" t="s">
        <v>418</v>
      </c>
    </row>
    <row r="23" spans="1:5" x14ac:dyDescent="0.2">
      <c r="A23" s="85" t="s">
        <v>62</v>
      </c>
      <c r="B23" s="85" t="s">
        <v>63</v>
      </c>
      <c r="C23" s="93" t="s">
        <v>419</v>
      </c>
      <c r="D23" s="93" t="s">
        <v>419</v>
      </c>
      <c r="E23" s="93" t="s">
        <v>419</v>
      </c>
    </row>
    <row r="24" spans="1:5" x14ac:dyDescent="0.2">
      <c r="A24" s="85" t="s">
        <v>64</v>
      </c>
      <c r="B24" s="85" t="s">
        <v>65</v>
      </c>
      <c r="C24" s="91"/>
      <c r="D24" s="91"/>
      <c r="E24" s="91"/>
    </row>
    <row r="25" spans="1:5" x14ac:dyDescent="0.2">
      <c r="A25" s="85" t="s">
        <v>66</v>
      </c>
      <c r="B25" s="85" t="s">
        <v>67</v>
      </c>
      <c r="C25" s="91"/>
      <c r="D25" s="91"/>
      <c r="E25" s="91"/>
    </row>
    <row r="26" spans="1:5" ht="140.25" x14ac:dyDescent="0.2">
      <c r="A26" s="85" t="s">
        <v>68</v>
      </c>
      <c r="B26" s="85" t="s">
        <v>69</v>
      </c>
      <c r="C26" s="91"/>
      <c r="D26" s="91"/>
      <c r="E26" s="91" t="s">
        <v>297</v>
      </c>
    </row>
    <row r="27" spans="1:5" ht="25.5" x14ac:dyDescent="0.2">
      <c r="A27" s="85" t="s">
        <v>70</v>
      </c>
      <c r="B27" s="85" t="s">
        <v>71</v>
      </c>
      <c r="C27" s="91" t="s">
        <v>334</v>
      </c>
      <c r="D27" s="91" t="s">
        <v>420</v>
      </c>
      <c r="E27" s="92" t="s">
        <v>421</v>
      </c>
    </row>
    <row r="28" spans="1:5" ht="25.5" x14ac:dyDescent="0.2">
      <c r="A28" s="85" t="s">
        <v>73</v>
      </c>
      <c r="B28" s="85" t="s">
        <v>74</v>
      </c>
      <c r="C28" s="91"/>
      <c r="D28" s="91"/>
      <c r="E28" s="91" t="s">
        <v>422</v>
      </c>
    </row>
    <row r="29" spans="1:5" x14ac:dyDescent="0.2">
      <c r="A29" s="85" t="s">
        <v>75</v>
      </c>
      <c r="B29" s="85" t="s">
        <v>76</v>
      </c>
      <c r="C29" s="91"/>
      <c r="D29" s="91"/>
      <c r="E29" s="91"/>
    </row>
    <row r="30" spans="1:5" x14ac:dyDescent="0.2">
      <c r="A30" s="85" t="s">
        <v>77</v>
      </c>
      <c r="B30" s="85" t="s">
        <v>78</v>
      </c>
      <c r="C30" s="91"/>
      <c r="D30" s="91"/>
      <c r="E30" s="91"/>
    </row>
    <row r="31" spans="1:5" x14ac:dyDescent="0.2">
      <c r="A31" s="85" t="s">
        <v>79</v>
      </c>
      <c r="B31" s="85" t="s">
        <v>80</v>
      </c>
      <c r="C31" s="93" t="s">
        <v>419</v>
      </c>
      <c r="D31" s="93" t="s">
        <v>419</v>
      </c>
      <c r="E31" s="93" t="s">
        <v>419</v>
      </c>
    </row>
    <row r="32" spans="1:5" ht="51" x14ac:dyDescent="0.2">
      <c r="A32" s="85" t="s">
        <v>81</v>
      </c>
      <c r="B32" s="85" t="s">
        <v>82</v>
      </c>
      <c r="C32" s="91" t="s">
        <v>423</v>
      </c>
      <c r="D32" s="91"/>
      <c r="E32" s="91" t="s">
        <v>424</v>
      </c>
    </row>
    <row r="33" spans="1:5" ht="38.25" x14ac:dyDescent="0.2">
      <c r="A33" s="85" t="s">
        <v>84</v>
      </c>
      <c r="B33" s="85" t="s">
        <v>85</v>
      </c>
      <c r="C33" s="91"/>
      <c r="D33" s="91"/>
      <c r="E33" s="91" t="s">
        <v>425</v>
      </c>
    </row>
    <row r="34" spans="1:5" ht="25.5" x14ac:dyDescent="0.2">
      <c r="A34" s="85" t="s">
        <v>86</v>
      </c>
      <c r="B34" s="85" t="s">
        <v>87</v>
      </c>
      <c r="C34" s="91"/>
      <c r="D34" s="91"/>
      <c r="E34" s="91"/>
    </row>
    <row r="35" spans="1:5" x14ac:dyDescent="0.2">
      <c r="A35" s="85" t="s">
        <v>89</v>
      </c>
      <c r="B35" s="85" t="s">
        <v>90</v>
      </c>
      <c r="C35" s="91"/>
      <c r="D35" s="91"/>
      <c r="E35" s="91"/>
    </row>
    <row r="36" spans="1:5" x14ac:dyDescent="0.2">
      <c r="A36" s="85" t="s">
        <v>91</v>
      </c>
      <c r="B36" s="85" t="s">
        <v>92</v>
      </c>
      <c r="C36" s="91"/>
      <c r="D36" s="91"/>
      <c r="E36" s="91"/>
    </row>
    <row r="37" spans="1:5" x14ac:dyDescent="0.2">
      <c r="A37" s="85" t="s">
        <v>94</v>
      </c>
      <c r="B37" s="85" t="s">
        <v>95</v>
      </c>
      <c r="C37" s="91"/>
      <c r="D37" s="91"/>
      <c r="E37" s="91"/>
    </row>
    <row r="38" spans="1:5" ht="33.6" customHeight="1" x14ac:dyDescent="0.2">
      <c r="A38" s="85" t="s">
        <v>96</v>
      </c>
      <c r="B38" s="85" t="s">
        <v>97</v>
      </c>
      <c r="C38" s="161" t="s">
        <v>426</v>
      </c>
      <c r="D38" s="162"/>
      <c r="E38" s="91"/>
    </row>
    <row r="39" spans="1:5" ht="114.75" x14ac:dyDescent="0.2">
      <c r="A39" s="85" t="s">
        <v>98</v>
      </c>
      <c r="B39" s="85" t="s">
        <v>99</v>
      </c>
      <c r="C39" s="91" t="s">
        <v>427</v>
      </c>
      <c r="D39" s="91" t="s">
        <v>428</v>
      </c>
      <c r="E39" s="91"/>
    </row>
    <row r="40" spans="1:5" x14ac:dyDescent="0.2">
      <c r="A40" s="85" t="s">
        <v>273</v>
      </c>
      <c r="B40" s="85" t="s">
        <v>274</v>
      </c>
      <c r="C40" s="93" t="s">
        <v>419</v>
      </c>
      <c r="D40" s="93" t="s">
        <v>419</v>
      </c>
      <c r="E40" s="91"/>
    </row>
    <row r="41" spans="1:5" x14ac:dyDescent="0.2">
      <c r="A41" s="142" t="s">
        <v>275</v>
      </c>
      <c r="B41" s="142"/>
      <c r="C41" s="142"/>
      <c r="D41" s="142"/>
      <c r="E41" s="142"/>
    </row>
    <row r="42" spans="1:5" x14ac:dyDescent="0.2">
      <c r="A42" s="89" t="s">
        <v>178</v>
      </c>
    </row>
  </sheetData>
  <mergeCells count="7">
    <mergeCell ref="A41:E41"/>
    <mergeCell ref="A1:E1"/>
    <mergeCell ref="C7:D7"/>
    <mergeCell ref="C13:D13"/>
    <mergeCell ref="C14:E14"/>
    <mergeCell ref="C18:D18"/>
    <mergeCell ref="C38:D38"/>
  </mergeCells>
  <conditionalFormatting sqref="C3:E6 C7 E7 C8:E12 E13 C13:C14 C15:E17 C18 E18 C19:E37 C38 E38 C39:E40">
    <cfRule type="cellIs" dxfId="102" priority="1" stopIfTrue="1" operator="equal">
      <formula>":"</formula>
    </cfRule>
    <cfRule type="cellIs" dxfId="101" priority="2" stopIfTrue="1" operator="equal">
      <formula>"Included"</formula>
    </cfRule>
    <cfRule type="cellIs" dxfId="100" priority="3" stopIfTrue="1" operator="equal">
      <formula>"Excluded"</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2135-D9FE-4D00-82F5-553E96D2EBDE}">
  <sheetPr codeName="Sheet23">
    <tabColor theme="4" tint="0.39997558519241921"/>
  </sheetPr>
  <dimension ref="A1:F47"/>
  <sheetViews>
    <sheetView zoomScaleNormal="100" workbookViewId="0">
      <selection activeCell="J21" sqref="J21"/>
    </sheetView>
  </sheetViews>
  <sheetFormatPr defaultColWidth="8.7109375" defaultRowHeight="12.75" x14ac:dyDescent="0.2"/>
  <cols>
    <col min="1" max="1" width="4.7109375" style="2" customWidth="1"/>
    <col min="2" max="2" width="16.7109375" style="2" customWidth="1"/>
    <col min="3" max="3" width="12.7109375" style="2" customWidth="1"/>
    <col min="4" max="4" width="12.42578125" style="2" customWidth="1"/>
    <col min="5" max="5" width="12.7109375" style="2" customWidth="1"/>
    <col min="6" max="16384" width="8.7109375" style="2"/>
  </cols>
  <sheetData>
    <row r="1" spans="1:5" ht="38.25" customHeight="1" x14ac:dyDescent="0.35">
      <c r="A1" s="164" t="s">
        <v>341</v>
      </c>
      <c r="B1" s="164"/>
      <c r="C1" s="164"/>
      <c r="D1" s="164"/>
      <c r="E1" s="164"/>
    </row>
    <row r="2" spans="1:5" ht="38.25" x14ac:dyDescent="0.2">
      <c r="A2" s="60" t="s">
        <v>1</v>
      </c>
      <c r="B2" s="60" t="s">
        <v>268</v>
      </c>
      <c r="C2" s="50" t="s">
        <v>343</v>
      </c>
      <c r="D2" s="50" t="s">
        <v>429</v>
      </c>
      <c r="E2" s="60" t="s">
        <v>430</v>
      </c>
    </row>
    <row r="3" spans="1:5" x14ac:dyDescent="0.2">
      <c r="A3" s="51" t="s">
        <v>12</v>
      </c>
      <c r="B3" s="51" t="s">
        <v>13</v>
      </c>
      <c r="C3" s="52" t="s">
        <v>42</v>
      </c>
      <c r="D3" s="52" t="s">
        <v>93</v>
      </c>
      <c r="E3" s="52" t="s">
        <v>93</v>
      </c>
    </row>
    <row r="4" spans="1:5" x14ac:dyDescent="0.2">
      <c r="A4" s="51" t="s">
        <v>17</v>
      </c>
      <c r="B4" s="51" t="s">
        <v>18</v>
      </c>
      <c r="C4" s="52" t="s">
        <v>93</v>
      </c>
      <c r="D4" s="52" t="s">
        <v>93</v>
      </c>
      <c r="E4" s="52" t="s">
        <v>93</v>
      </c>
    </row>
    <row r="5" spans="1:5" x14ac:dyDescent="0.2">
      <c r="A5" s="51" t="s">
        <v>22</v>
      </c>
      <c r="B5" s="51" t="s">
        <v>23</v>
      </c>
      <c r="C5" s="52" t="s">
        <v>93</v>
      </c>
      <c r="D5" s="52" t="s">
        <v>93</v>
      </c>
      <c r="E5" s="52" t="s">
        <v>93</v>
      </c>
    </row>
    <row r="6" spans="1:5" x14ac:dyDescent="0.2">
      <c r="A6" s="51" t="s">
        <v>25</v>
      </c>
      <c r="B6" s="51" t="s">
        <v>26</v>
      </c>
      <c r="C6" s="52" t="s">
        <v>42</v>
      </c>
      <c r="D6" s="52" t="s">
        <v>42</v>
      </c>
      <c r="E6" s="52" t="s">
        <v>93</v>
      </c>
    </row>
    <row r="7" spans="1:5" x14ac:dyDescent="0.2">
      <c r="A7" s="51" t="s">
        <v>27</v>
      </c>
      <c r="B7" s="51" t="s">
        <v>28</v>
      </c>
      <c r="C7" s="52" t="s">
        <v>42</v>
      </c>
      <c r="D7" s="52" t="s">
        <v>42</v>
      </c>
      <c r="E7" s="52" t="s">
        <v>93</v>
      </c>
    </row>
    <row r="8" spans="1:5" x14ac:dyDescent="0.2">
      <c r="A8" s="51" t="s">
        <v>29</v>
      </c>
      <c r="B8" s="51" t="s">
        <v>30</v>
      </c>
      <c r="C8" s="52" t="s">
        <v>93</v>
      </c>
      <c r="D8" s="52" t="s">
        <v>93</v>
      </c>
      <c r="E8" s="52" t="s">
        <v>93</v>
      </c>
    </row>
    <row r="9" spans="1:5" x14ac:dyDescent="0.2">
      <c r="A9" s="51" t="s">
        <v>31</v>
      </c>
      <c r="B9" s="51" t="s">
        <v>32</v>
      </c>
      <c r="C9" s="52" t="s">
        <v>93</v>
      </c>
      <c r="D9" s="52" t="s">
        <v>93</v>
      </c>
      <c r="E9" s="52" t="s">
        <v>93</v>
      </c>
    </row>
    <row r="10" spans="1:5" x14ac:dyDescent="0.2">
      <c r="A10" s="51" t="s">
        <v>33</v>
      </c>
      <c r="B10" s="51" t="s">
        <v>34</v>
      </c>
      <c r="C10" s="52" t="s">
        <v>93</v>
      </c>
      <c r="D10" s="52" t="s">
        <v>93</v>
      </c>
      <c r="E10" s="52" t="s">
        <v>93</v>
      </c>
    </row>
    <row r="11" spans="1:5" x14ac:dyDescent="0.2">
      <c r="A11" s="51" t="s">
        <v>35</v>
      </c>
      <c r="B11" s="51" t="s">
        <v>36</v>
      </c>
      <c r="C11" s="52" t="s">
        <v>42</v>
      </c>
      <c r="D11" s="52" t="s">
        <v>93</v>
      </c>
      <c r="E11" s="52" t="s">
        <v>42</v>
      </c>
    </row>
    <row r="12" spans="1:5" x14ac:dyDescent="0.2">
      <c r="A12" s="51" t="s">
        <v>38</v>
      </c>
      <c r="B12" s="51" t="s">
        <v>39</v>
      </c>
      <c r="C12" s="52" t="s">
        <v>93</v>
      </c>
      <c r="D12" s="52" t="s">
        <v>93</v>
      </c>
      <c r="E12" s="52" t="s">
        <v>93</v>
      </c>
    </row>
    <row r="13" spans="1:5" x14ac:dyDescent="0.2">
      <c r="A13" s="51" t="s">
        <v>40</v>
      </c>
      <c r="B13" s="51" t="s">
        <v>41</v>
      </c>
      <c r="C13" s="52" t="s">
        <v>93</v>
      </c>
      <c r="D13" s="52" t="s">
        <v>42</v>
      </c>
      <c r="E13" s="52" t="s">
        <v>93</v>
      </c>
    </row>
    <row r="14" spans="1:5" x14ac:dyDescent="0.2">
      <c r="A14" s="51" t="s">
        <v>43</v>
      </c>
      <c r="B14" s="51" t="s">
        <v>44</v>
      </c>
      <c r="C14" s="52" t="s">
        <v>42</v>
      </c>
      <c r="D14" s="52" t="s">
        <v>42</v>
      </c>
      <c r="E14" s="52" t="s">
        <v>93</v>
      </c>
    </row>
    <row r="15" spans="1:5" x14ac:dyDescent="0.2">
      <c r="A15" s="51" t="s">
        <v>45</v>
      </c>
      <c r="B15" s="51" t="s">
        <v>46</v>
      </c>
      <c r="C15" s="52" t="s">
        <v>93</v>
      </c>
      <c r="D15" s="52" t="s">
        <v>93</v>
      </c>
      <c r="E15" s="52" t="s">
        <v>93</v>
      </c>
    </row>
    <row r="16" spans="1:5" x14ac:dyDescent="0.2">
      <c r="A16" s="51" t="s">
        <v>47</v>
      </c>
      <c r="B16" s="51" t="s">
        <v>48</v>
      </c>
      <c r="C16" s="52" t="s">
        <v>42</v>
      </c>
      <c r="D16" s="52" t="s">
        <v>42</v>
      </c>
      <c r="E16" s="52" t="s">
        <v>93</v>
      </c>
    </row>
    <row r="17" spans="1:5" x14ac:dyDescent="0.2">
      <c r="A17" s="51" t="s">
        <v>49</v>
      </c>
      <c r="B17" s="51" t="s">
        <v>50</v>
      </c>
      <c r="C17" s="52" t="s">
        <v>93</v>
      </c>
      <c r="D17" s="52" t="s">
        <v>93</v>
      </c>
      <c r="E17" s="52" t="s">
        <v>93</v>
      </c>
    </row>
    <row r="18" spans="1:5" x14ac:dyDescent="0.2">
      <c r="A18" s="51" t="s">
        <v>51</v>
      </c>
      <c r="B18" s="51" t="s">
        <v>52</v>
      </c>
      <c r="C18" s="52" t="s">
        <v>42</v>
      </c>
      <c r="D18" s="52" t="s">
        <v>93</v>
      </c>
      <c r="E18" s="52" t="s">
        <v>42</v>
      </c>
    </row>
    <row r="19" spans="1:5" x14ac:dyDescent="0.2">
      <c r="A19" s="51" t="s">
        <v>53</v>
      </c>
      <c r="B19" s="51" t="s">
        <v>54</v>
      </c>
      <c r="C19" s="52" t="s">
        <v>93</v>
      </c>
      <c r="D19" s="52" t="s">
        <v>93</v>
      </c>
      <c r="E19" s="52" t="s">
        <v>93</v>
      </c>
    </row>
    <row r="20" spans="1:5" x14ac:dyDescent="0.2">
      <c r="A20" s="51" t="s">
        <v>55</v>
      </c>
      <c r="B20" s="51" t="s">
        <v>56</v>
      </c>
      <c r="C20" s="52" t="s">
        <v>42</v>
      </c>
      <c r="D20" s="52" t="s">
        <v>42</v>
      </c>
      <c r="E20" s="52" t="s">
        <v>93</v>
      </c>
    </row>
    <row r="21" spans="1:5" x14ac:dyDescent="0.2">
      <c r="A21" s="51" t="s">
        <v>57</v>
      </c>
      <c r="B21" s="51" t="s">
        <v>58</v>
      </c>
      <c r="C21" s="52" t="s">
        <v>93</v>
      </c>
      <c r="D21" s="52" t="s">
        <v>93</v>
      </c>
      <c r="E21" s="52" t="s">
        <v>93</v>
      </c>
    </row>
    <row r="22" spans="1:5" x14ac:dyDescent="0.2">
      <c r="A22" s="51" t="s">
        <v>60</v>
      </c>
      <c r="B22" s="51" t="s">
        <v>61</v>
      </c>
      <c r="C22" s="52" t="s">
        <v>93</v>
      </c>
      <c r="D22" s="52" t="s">
        <v>93</v>
      </c>
      <c r="E22" s="52" t="s">
        <v>93</v>
      </c>
    </row>
    <row r="23" spans="1:5" x14ac:dyDescent="0.2">
      <c r="A23" s="51" t="s">
        <v>62</v>
      </c>
      <c r="B23" s="51" t="s">
        <v>63</v>
      </c>
      <c r="C23" s="52" t="s">
        <v>42</v>
      </c>
      <c r="D23" s="52" t="s">
        <v>42</v>
      </c>
      <c r="E23" s="52" t="s">
        <v>93</v>
      </c>
    </row>
    <row r="24" spans="1:5" x14ac:dyDescent="0.2">
      <c r="A24" s="51" t="s">
        <v>64</v>
      </c>
      <c r="B24" s="51" t="s">
        <v>65</v>
      </c>
      <c r="C24" s="52" t="s">
        <v>93</v>
      </c>
      <c r="D24" s="52" t="s">
        <v>42</v>
      </c>
      <c r="E24" s="52" t="s">
        <v>93</v>
      </c>
    </row>
    <row r="25" spans="1:5" x14ac:dyDescent="0.2">
      <c r="A25" s="51" t="s">
        <v>66</v>
      </c>
      <c r="B25" s="51" t="s">
        <v>67</v>
      </c>
      <c r="C25" s="52" t="s">
        <v>93</v>
      </c>
      <c r="D25" s="52" t="s">
        <v>93</v>
      </c>
      <c r="E25" s="52" t="s">
        <v>93</v>
      </c>
    </row>
    <row r="26" spans="1:5" x14ac:dyDescent="0.2">
      <c r="A26" s="51" t="s">
        <v>68</v>
      </c>
      <c r="B26" s="51" t="s">
        <v>69</v>
      </c>
      <c r="C26" s="52" t="s">
        <v>42</v>
      </c>
      <c r="D26" s="52" t="s">
        <v>42</v>
      </c>
      <c r="E26" s="52" t="s">
        <v>93</v>
      </c>
    </row>
    <row r="27" spans="1:5" x14ac:dyDescent="0.2">
      <c r="A27" s="51" t="s">
        <v>70</v>
      </c>
      <c r="B27" s="51" t="s">
        <v>71</v>
      </c>
      <c r="C27" s="52" t="s">
        <v>42</v>
      </c>
      <c r="D27" s="52" t="s">
        <v>93</v>
      </c>
      <c r="E27" s="52" t="s">
        <v>42</v>
      </c>
    </row>
    <row r="28" spans="1:5" x14ac:dyDescent="0.2">
      <c r="A28" s="51" t="s">
        <v>73</v>
      </c>
      <c r="B28" s="51" t="s">
        <v>74</v>
      </c>
      <c r="C28" s="52" t="s">
        <v>93</v>
      </c>
      <c r="D28" s="52" t="s">
        <v>93</v>
      </c>
      <c r="E28" s="52" t="s">
        <v>93</v>
      </c>
    </row>
    <row r="29" spans="1:5" x14ac:dyDescent="0.2">
      <c r="A29" s="51" t="s">
        <v>75</v>
      </c>
      <c r="B29" s="51" t="s">
        <v>76</v>
      </c>
      <c r="C29" s="52" t="s">
        <v>93</v>
      </c>
      <c r="D29" s="52" t="s">
        <v>42</v>
      </c>
      <c r="E29" s="52" t="s">
        <v>93</v>
      </c>
    </row>
    <row r="30" spans="1:5" x14ac:dyDescent="0.2">
      <c r="A30" s="51" t="s">
        <v>77</v>
      </c>
      <c r="B30" s="51" t="s">
        <v>78</v>
      </c>
      <c r="C30" s="52" t="s">
        <v>42</v>
      </c>
      <c r="D30" s="52" t="s">
        <v>42</v>
      </c>
      <c r="E30" s="52" t="s">
        <v>93</v>
      </c>
    </row>
    <row r="31" spans="1:5" x14ac:dyDescent="0.2">
      <c r="A31" s="51" t="s">
        <v>79</v>
      </c>
      <c r="B31" s="51" t="s">
        <v>80</v>
      </c>
      <c r="C31" s="52" t="s">
        <v>102</v>
      </c>
      <c r="D31" s="52" t="s">
        <v>102</v>
      </c>
      <c r="E31" s="52" t="s">
        <v>102</v>
      </c>
    </row>
    <row r="32" spans="1:5" x14ac:dyDescent="0.2">
      <c r="A32" s="51" t="s">
        <v>81</v>
      </c>
      <c r="B32" s="51" t="s">
        <v>82</v>
      </c>
      <c r="C32" s="52" t="s">
        <v>93</v>
      </c>
      <c r="D32" s="52" t="s">
        <v>93</v>
      </c>
      <c r="E32" s="52" t="s">
        <v>93</v>
      </c>
    </row>
    <row r="33" spans="1:6" x14ac:dyDescent="0.2">
      <c r="A33" s="51" t="s">
        <v>84</v>
      </c>
      <c r="B33" s="51" t="s">
        <v>85</v>
      </c>
      <c r="C33" s="52" t="s">
        <v>93</v>
      </c>
      <c r="D33" s="52" t="s">
        <v>93</v>
      </c>
      <c r="E33" s="52" t="s">
        <v>93</v>
      </c>
    </row>
    <row r="34" spans="1:6" ht="25.5" x14ac:dyDescent="0.2">
      <c r="A34" s="51" t="s">
        <v>86</v>
      </c>
      <c r="B34" s="51" t="s">
        <v>87</v>
      </c>
      <c r="C34" s="52" t="s">
        <v>42</v>
      </c>
      <c r="D34" s="52" t="s">
        <v>42</v>
      </c>
      <c r="E34" s="52" t="s">
        <v>42</v>
      </c>
    </row>
    <row r="35" spans="1:6" x14ac:dyDescent="0.2">
      <c r="A35" s="51" t="s">
        <v>89</v>
      </c>
      <c r="B35" s="51" t="s">
        <v>90</v>
      </c>
      <c r="C35" s="52" t="s">
        <v>93</v>
      </c>
      <c r="D35" s="52" t="s">
        <v>93</v>
      </c>
      <c r="E35" s="52" t="s">
        <v>93</v>
      </c>
    </row>
    <row r="36" spans="1:6" x14ac:dyDescent="0.2">
      <c r="A36" s="51" t="s">
        <v>91</v>
      </c>
      <c r="B36" s="51" t="s">
        <v>92</v>
      </c>
      <c r="C36" s="52" t="s">
        <v>42</v>
      </c>
      <c r="D36" s="52" t="s">
        <v>42</v>
      </c>
      <c r="E36" s="52" t="s">
        <v>93</v>
      </c>
    </row>
    <row r="37" spans="1:6" x14ac:dyDescent="0.2">
      <c r="A37" s="51" t="s">
        <v>94</v>
      </c>
      <c r="B37" s="51" t="s">
        <v>95</v>
      </c>
      <c r="C37" s="52" t="s">
        <v>93</v>
      </c>
      <c r="D37" s="52" t="s">
        <v>93</v>
      </c>
      <c r="E37" s="52" t="s">
        <v>93</v>
      </c>
    </row>
    <row r="38" spans="1:6" x14ac:dyDescent="0.2">
      <c r="A38" s="51" t="s">
        <v>96</v>
      </c>
      <c r="B38" s="51" t="s">
        <v>97</v>
      </c>
      <c r="C38" s="52" t="s">
        <v>93</v>
      </c>
      <c r="D38" s="52" t="s">
        <v>42</v>
      </c>
      <c r="E38" s="52" t="s">
        <v>93</v>
      </c>
    </row>
    <row r="39" spans="1:6" x14ac:dyDescent="0.2">
      <c r="A39" s="51" t="s">
        <v>98</v>
      </c>
      <c r="B39" s="51" t="s">
        <v>99</v>
      </c>
      <c r="C39" s="52" t="s">
        <v>102</v>
      </c>
      <c r="D39" s="52" t="s">
        <v>102</v>
      </c>
      <c r="E39" s="52" t="s">
        <v>102</v>
      </c>
    </row>
    <row r="40" spans="1:6" ht="17.25" customHeight="1" x14ac:dyDescent="0.2">
      <c r="A40" s="60" t="s">
        <v>273</v>
      </c>
      <c r="B40" s="60" t="s">
        <v>274</v>
      </c>
      <c r="C40" s="54" t="s">
        <v>42</v>
      </c>
      <c r="D40" s="54" t="s">
        <v>42</v>
      </c>
      <c r="E40" s="54" t="s">
        <v>102</v>
      </c>
    </row>
    <row r="41" spans="1:6" ht="41.45" customHeight="1" x14ac:dyDescent="0.2">
      <c r="A41" s="139" t="s">
        <v>103</v>
      </c>
      <c r="B41" s="139"/>
      <c r="C41" s="72">
        <f>COUNTIF(C3:C40,"EXCLUDED")</f>
        <v>21</v>
      </c>
      <c r="D41" s="72">
        <f>COUNTIF(D3:D40,"EXCLUDED")</f>
        <v>21</v>
      </c>
      <c r="E41" s="72">
        <f>COUNTIF(E3:E40,"EXCLUDED")</f>
        <v>31</v>
      </c>
    </row>
    <row r="42" spans="1:6" ht="29.1" customHeight="1" x14ac:dyDescent="0.2">
      <c r="A42" s="140" t="s">
        <v>104</v>
      </c>
      <c r="B42" s="140"/>
      <c r="C42" s="75">
        <f>C41/38</f>
        <v>0.55263157894736847</v>
      </c>
      <c r="D42" s="75">
        <f t="shared" ref="D42:E42" si="0">D41/38</f>
        <v>0.55263157894736847</v>
      </c>
      <c r="E42" s="75">
        <f t="shared" si="0"/>
        <v>0.81578947368421051</v>
      </c>
    </row>
    <row r="43" spans="1:6" ht="15" customHeight="1" x14ac:dyDescent="0.2">
      <c r="A43" s="142" t="s">
        <v>275</v>
      </c>
      <c r="B43" s="142"/>
      <c r="C43" s="142"/>
      <c r="D43" s="142"/>
      <c r="E43" s="142"/>
    </row>
    <row r="44" spans="1:6" ht="12" customHeight="1" x14ac:dyDescent="0.2">
      <c r="A44" s="142" t="s">
        <v>276</v>
      </c>
      <c r="B44" s="142"/>
      <c r="C44" s="142"/>
      <c r="D44" s="142"/>
      <c r="E44" s="142"/>
    </row>
    <row r="45" spans="1:6" ht="15" customHeight="1" x14ac:dyDescent="0.2">
      <c r="A45" s="56"/>
      <c r="B45" s="143" t="s">
        <v>277</v>
      </c>
      <c r="C45" s="143"/>
      <c r="D45" s="143"/>
      <c r="E45" s="143"/>
    </row>
    <row r="46" spans="1:6" x14ac:dyDescent="0.2">
      <c r="A46" s="57"/>
      <c r="B46" s="21" t="s">
        <v>107</v>
      </c>
      <c r="C46" s="21"/>
      <c r="D46" s="21"/>
      <c r="E46" s="21"/>
      <c r="F46" s="21"/>
    </row>
    <row r="47" spans="1:6" x14ac:dyDescent="0.2">
      <c r="A47" s="58"/>
      <c r="B47" s="59" t="s">
        <v>278</v>
      </c>
      <c r="C47" s="59"/>
      <c r="D47" s="59"/>
      <c r="E47" s="59"/>
      <c r="F47" s="59"/>
    </row>
  </sheetData>
  <mergeCells count="6">
    <mergeCell ref="B45:E45"/>
    <mergeCell ref="A1:E1"/>
    <mergeCell ref="A41:B41"/>
    <mergeCell ref="A42:B42"/>
    <mergeCell ref="A43:E43"/>
    <mergeCell ref="A44:E44"/>
  </mergeCells>
  <conditionalFormatting sqref="A46">
    <cfRule type="cellIs" dxfId="99" priority="1" stopIfTrue="1" operator="equal">
      <formula>"EXCLUDED"</formula>
    </cfRule>
    <cfRule type="cellIs" dxfId="98" priority="2" stopIfTrue="1" operator="equal">
      <formula>"DON'T KNOW IF COUNTED"</formula>
    </cfRule>
    <cfRule type="cellIs" dxfId="97" priority="3" stopIfTrue="1" operator="equal">
      <formula>"INCLUDED"</formula>
    </cfRule>
    <cfRule type="cellIs" dxfId="96" priority="4" stopIfTrue="1" operator="equal">
      <formula>"NOT COUNTED"</formula>
    </cfRule>
    <cfRule type="cellIs" dxfId="95" priority="5" stopIfTrue="1" operator="equal">
      <formula>":"</formula>
    </cfRule>
    <cfRule type="cellIs" dxfId="94" priority="6" stopIfTrue="1" operator="equal">
      <formula>"NOT COUNTED; INCLUDED"</formula>
    </cfRule>
    <cfRule type="cellIs" dxfId="93" priority="7" stopIfTrue="1" operator="equal">
      <formula>"COUNTED; EXCLUDED"</formula>
    </cfRule>
    <cfRule type="cellIs" dxfId="92" priority="8" stopIfTrue="1" operator="equal">
      <formula>"NOT COUNTED; EXCLUDED"</formula>
    </cfRule>
    <cfRule type="cellIs" dxfId="91" priority="9" stopIfTrue="1" operator="equal">
      <formula>"COUNTED; INCLUDED"</formula>
    </cfRule>
    <cfRule type="cellIs" dxfId="90" priority="10" stopIfTrue="1" operator="equal">
      <formula>"NOT SEPARATED; INCLUDED"</formula>
    </cfRule>
    <cfRule type="cellIs" dxfId="89" priority="11" stopIfTrue="1" operator="equal">
      <formula>"SEPARATED"</formula>
    </cfRule>
    <cfRule type="cellIs" dxfId="88" priority="12" stopIfTrue="1" operator="equal">
      <formula>"SEPARATED; EXCLUDED"</formula>
    </cfRule>
    <cfRule type="cellIs" dxfId="87" priority="13" stopIfTrue="1" operator="equal">
      <formula>"SEPARATED; INCLUDED"</formula>
    </cfRule>
    <cfRule type="cellIs" dxfId="86" priority="14" stopIfTrue="1" operator="equal">
      <formula>"NOT SEPARATED; EXCLUDED"</formula>
    </cfRule>
    <cfRule type="cellIs" dxfId="85" priority="15" stopIfTrue="1" operator="equal">
      <formula>"NOT SEPARATED"</formula>
    </cfRule>
  </conditionalFormatting>
  <conditionalFormatting sqref="C3:E40">
    <cfRule type="cellIs" dxfId="84" priority="16" stopIfTrue="1" operator="equal">
      <formula>":"</formula>
    </cfRule>
    <cfRule type="cellIs" dxfId="83" priority="17" stopIfTrue="1" operator="equal">
      <formula>"Included"</formula>
    </cfRule>
    <cfRule type="cellIs" dxfId="82" priority="18" stopIfTrue="1" operator="equal">
      <formula>"Excluded"</formula>
    </cfRule>
  </conditionalFormatting>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4DB4-1252-4B50-9746-DE80310ACB0D}">
  <sheetPr codeName="Sheet34">
    <tabColor theme="4" tint="0.39997558519241921"/>
  </sheetPr>
  <dimension ref="A1:E42"/>
  <sheetViews>
    <sheetView zoomScaleNormal="100" workbookViewId="0">
      <selection activeCell="M15" sqref="M15"/>
    </sheetView>
  </sheetViews>
  <sheetFormatPr defaultColWidth="8.7109375" defaultRowHeight="12.75" x14ac:dyDescent="0.2"/>
  <cols>
    <col min="1" max="1" width="4.7109375" style="2" customWidth="1"/>
    <col min="2" max="2" width="13.140625" style="2" customWidth="1"/>
    <col min="3" max="5" width="28.5703125" style="2" customWidth="1"/>
    <col min="6" max="6" width="7.140625" style="2" customWidth="1"/>
    <col min="7" max="16384" width="8.7109375" style="2"/>
  </cols>
  <sheetData>
    <row r="1" spans="1:5" ht="33.75" customHeight="1" x14ac:dyDescent="0.4">
      <c r="A1" s="138" t="s">
        <v>431</v>
      </c>
      <c r="B1" s="138"/>
      <c r="C1" s="138"/>
      <c r="D1" s="138"/>
      <c r="E1" s="138"/>
    </row>
    <row r="2" spans="1:5" ht="25.5" x14ac:dyDescent="0.2">
      <c r="A2" s="60" t="s">
        <v>1</v>
      </c>
      <c r="B2" s="60" t="s">
        <v>268</v>
      </c>
      <c r="C2" s="50" t="s">
        <v>349</v>
      </c>
      <c r="D2" s="50" t="s">
        <v>432</v>
      </c>
      <c r="E2" s="60" t="s">
        <v>433</v>
      </c>
    </row>
    <row r="3" spans="1:5" ht="38.25" x14ac:dyDescent="0.2">
      <c r="A3" s="51" t="s">
        <v>12</v>
      </c>
      <c r="B3" s="51" t="s">
        <v>13</v>
      </c>
      <c r="C3" s="64" t="s">
        <v>434</v>
      </c>
      <c r="D3" s="64"/>
      <c r="E3" s="64"/>
    </row>
    <row r="4" spans="1:5" ht="42.95" customHeight="1" x14ac:dyDescent="0.2">
      <c r="A4" s="51" t="s">
        <v>17</v>
      </c>
      <c r="B4" s="51" t="s">
        <v>18</v>
      </c>
      <c r="C4" s="165" t="s">
        <v>120</v>
      </c>
      <c r="D4" s="166"/>
      <c r="E4" s="167"/>
    </row>
    <row r="5" spans="1:5" x14ac:dyDescent="0.2">
      <c r="A5" s="51" t="s">
        <v>22</v>
      </c>
      <c r="B5" s="51" t="s">
        <v>23</v>
      </c>
      <c r="C5" s="64"/>
      <c r="D5" s="64"/>
      <c r="E5" s="64"/>
    </row>
    <row r="6" spans="1:5" ht="30.95" customHeight="1" x14ac:dyDescent="0.2">
      <c r="A6" s="51" t="s">
        <v>25</v>
      </c>
      <c r="B6" s="51" t="s">
        <v>26</v>
      </c>
      <c r="C6" s="64" t="s">
        <v>435</v>
      </c>
      <c r="D6" s="64" t="s">
        <v>436</v>
      </c>
      <c r="E6" s="64"/>
    </row>
    <row r="7" spans="1:5" ht="51" x14ac:dyDescent="0.2">
      <c r="A7" s="51" t="s">
        <v>27</v>
      </c>
      <c r="B7" s="51" t="s">
        <v>28</v>
      </c>
      <c r="C7" s="64" t="s">
        <v>437</v>
      </c>
      <c r="D7" s="64" t="s">
        <v>438</v>
      </c>
      <c r="E7" s="64"/>
    </row>
    <row r="8" spans="1:5" x14ac:dyDescent="0.2">
      <c r="A8" s="51" t="s">
        <v>29</v>
      </c>
      <c r="B8" s="51" t="s">
        <v>30</v>
      </c>
      <c r="C8" s="64"/>
      <c r="D8" s="64"/>
      <c r="E8" s="64"/>
    </row>
    <row r="9" spans="1:5" x14ac:dyDescent="0.2">
      <c r="A9" s="51" t="s">
        <v>31</v>
      </c>
      <c r="B9" s="51" t="s">
        <v>32</v>
      </c>
      <c r="C9" s="64"/>
      <c r="D9" s="64"/>
      <c r="E9" s="64"/>
    </row>
    <row r="10" spans="1:5" x14ac:dyDescent="0.2">
      <c r="A10" s="51" t="s">
        <v>33</v>
      </c>
      <c r="B10" s="51" t="s">
        <v>34</v>
      </c>
      <c r="C10" s="64"/>
      <c r="D10" s="64"/>
      <c r="E10" s="64"/>
    </row>
    <row r="11" spans="1:5" ht="25.5" x14ac:dyDescent="0.2">
      <c r="A11" s="51" t="s">
        <v>35</v>
      </c>
      <c r="B11" s="51" t="s">
        <v>36</v>
      </c>
      <c r="C11" s="64"/>
      <c r="D11" s="64" t="s">
        <v>439</v>
      </c>
      <c r="E11" s="64"/>
    </row>
    <row r="12" spans="1:5" x14ac:dyDescent="0.2">
      <c r="A12" s="51" t="s">
        <v>38</v>
      </c>
      <c r="B12" s="51" t="s">
        <v>39</v>
      </c>
      <c r="C12" s="64"/>
      <c r="D12" s="64"/>
      <c r="E12" s="64"/>
    </row>
    <row r="13" spans="1:5" ht="105.6" customHeight="1" x14ac:dyDescent="0.2">
      <c r="A13" s="51" t="s">
        <v>40</v>
      </c>
      <c r="B13" s="51" t="s">
        <v>41</v>
      </c>
      <c r="C13" s="64" t="s">
        <v>440</v>
      </c>
      <c r="D13" s="64" t="s">
        <v>441</v>
      </c>
      <c r="E13" s="64"/>
    </row>
    <row r="14" spans="1:5" ht="51" x14ac:dyDescent="0.2">
      <c r="A14" s="51" t="s">
        <v>43</v>
      </c>
      <c r="B14" s="51" t="s">
        <v>44</v>
      </c>
      <c r="C14" s="64" t="s">
        <v>442</v>
      </c>
      <c r="D14" s="64" t="s">
        <v>443</v>
      </c>
      <c r="E14" s="64"/>
    </row>
    <row r="15" spans="1:5" x14ac:dyDescent="0.2">
      <c r="A15" s="51" t="s">
        <v>45</v>
      </c>
      <c r="B15" s="51" t="s">
        <v>46</v>
      </c>
      <c r="C15" s="64"/>
      <c r="D15" s="64"/>
      <c r="E15" s="64"/>
    </row>
    <row r="16" spans="1:5" x14ac:dyDescent="0.2">
      <c r="A16" s="51" t="s">
        <v>47</v>
      </c>
      <c r="B16" s="51" t="s">
        <v>48</v>
      </c>
      <c r="C16" s="93" t="s">
        <v>102</v>
      </c>
      <c r="D16" s="93" t="s">
        <v>102</v>
      </c>
      <c r="E16" s="64"/>
    </row>
    <row r="17" spans="1:5" x14ac:dyDescent="0.2">
      <c r="A17" s="51" t="s">
        <v>49</v>
      </c>
      <c r="B17" s="51" t="s">
        <v>50</v>
      </c>
      <c r="C17" s="64"/>
      <c r="D17" s="64"/>
      <c r="E17" s="64" t="s">
        <v>444</v>
      </c>
    </row>
    <row r="18" spans="1:5" ht="216.75" x14ac:dyDescent="0.2">
      <c r="A18" s="51" t="s">
        <v>51</v>
      </c>
      <c r="B18" s="51" t="s">
        <v>52</v>
      </c>
      <c r="C18" s="64" t="s">
        <v>445</v>
      </c>
      <c r="D18" s="64"/>
      <c r="E18" s="64" t="s">
        <v>446</v>
      </c>
    </row>
    <row r="19" spans="1:5" x14ac:dyDescent="0.2">
      <c r="A19" s="51" t="s">
        <v>53</v>
      </c>
      <c r="B19" s="51" t="s">
        <v>54</v>
      </c>
      <c r="C19" s="64"/>
      <c r="D19" s="64"/>
      <c r="E19" s="64"/>
    </row>
    <row r="20" spans="1:5" ht="25.5" x14ac:dyDescent="0.2">
      <c r="A20" s="51" t="s">
        <v>55</v>
      </c>
      <c r="B20" s="51" t="s">
        <v>56</v>
      </c>
      <c r="C20" s="93" t="s">
        <v>102</v>
      </c>
      <c r="D20" s="64" t="s">
        <v>447</v>
      </c>
      <c r="E20" s="64"/>
    </row>
    <row r="21" spans="1:5" x14ac:dyDescent="0.2">
      <c r="A21" s="51" t="s">
        <v>57</v>
      </c>
      <c r="B21" s="51" t="s">
        <v>58</v>
      </c>
      <c r="C21" s="64"/>
      <c r="D21" s="64"/>
      <c r="E21" s="64"/>
    </row>
    <row r="22" spans="1:5" x14ac:dyDescent="0.2">
      <c r="A22" s="51" t="s">
        <v>60</v>
      </c>
      <c r="B22" s="51" t="s">
        <v>61</v>
      </c>
      <c r="C22" s="64"/>
      <c r="D22" s="64"/>
      <c r="E22" s="64"/>
    </row>
    <row r="23" spans="1:5" x14ac:dyDescent="0.2">
      <c r="A23" s="51" t="s">
        <v>62</v>
      </c>
      <c r="B23" s="51" t="s">
        <v>63</v>
      </c>
      <c r="C23" s="64" t="s">
        <v>102</v>
      </c>
      <c r="D23" s="64" t="s">
        <v>102</v>
      </c>
      <c r="E23" s="64"/>
    </row>
    <row r="24" spans="1:5" ht="25.5" x14ac:dyDescent="0.2">
      <c r="A24" s="51" t="s">
        <v>64</v>
      </c>
      <c r="B24" s="51" t="s">
        <v>65</v>
      </c>
      <c r="C24" s="93"/>
      <c r="D24" s="64" t="s">
        <v>448</v>
      </c>
      <c r="E24" s="64"/>
    </row>
    <row r="25" spans="1:5" ht="144" customHeight="1" x14ac:dyDescent="0.2">
      <c r="A25" s="51" t="s">
        <v>66</v>
      </c>
      <c r="B25" s="51" t="s">
        <v>67</v>
      </c>
      <c r="C25" s="64"/>
      <c r="D25" s="64" t="s">
        <v>449</v>
      </c>
      <c r="E25" s="64" t="s">
        <v>450</v>
      </c>
    </row>
    <row r="26" spans="1:5" ht="178.5" x14ac:dyDescent="0.2">
      <c r="A26" s="51" t="s">
        <v>68</v>
      </c>
      <c r="B26" s="51" t="s">
        <v>69</v>
      </c>
      <c r="C26" s="64" t="s">
        <v>297</v>
      </c>
      <c r="D26" s="64" t="s">
        <v>297</v>
      </c>
      <c r="E26" s="64"/>
    </row>
    <row r="27" spans="1:5" ht="39" customHeight="1" x14ac:dyDescent="0.2">
      <c r="A27" s="51" t="s">
        <v>70</v>
      </c>
      <c r="B27" s="51" t="s">
        <v>71</v>
      </c>
      <c r="C27" s="64" t="s">
        <v>451</v>
      </c>
      <c r="D27" s="64" t="s">
        <v>452</v>
      </c>
      <c r="E27" s="66" t="s">
        <v>453</v>
      </c>
    </row>
    <row r="28" spans="1:5" ht="38.25" x14ac:dyDescent="0.2">
      <c r="A28" s="51" t="s">
        <v>73</v>
      </c>
      <c r="B28" s="51" t="s">
        <v>74</v>
      </c>
      <c r="C28" s="64" t="s">
        <v>454</v>
      </c>
      <c r="D28" s="64" t="s">
        <v>455</v>
      </c>
      <c r="E28" s="64"/>
    </row>
    <row r="29" spans="1:5" x14ac:dyDescent="0.2">
      <c r="A29" s="51" t="s">
        <v>75</v>
      </c>
      <c r="B29" s="51" t="s">
        <v>76</v>
      </c>
      <c r="C29" s="94"/>
      <c r="D29" s="94" t="s">
        <v>456</v>
      </c>
      <c r="E29" s="64"/>
    </row>
    <row r="30" spans="1:5" x14ac:dyDescent="0.2">
      <c r="A30" s="51" t="s">
        <v>77</v>
      </c>
      <c r="B30" s="95" t="s">
        <v>78</v>
      </c>
      <c r="C30" s="93" t="s">
        <v>102</v>
      </c>
      <c r="D30" s="92" t="s">
        <v>102</v>
      </c>
      <c r="E30" s="86"/>
    </row>
    <row r="31" spans="1:5" ht="25.5" x14ac:dyDescent="0.2">
      <c r="A31" s="51" t="s">
        <v>79</v>
      </c>
      <c r="B31" s="95" t="s">
        <v>80</v>
      </c>
      <c r="C31" s="93" t="s">
        <v>102</v>
      </c>
      <c r="D31" s="92" t="s">
        <v>102</v>
      </c>
      <c r="E31" s="92" t="s">
        <v>102</v>
      </c>
    </row>
    <row r="32" spans="1:5" x14ac:dyDescent="0.2">
      <c r="A32" s="51" t="s">
        <v>81</v>
      </c>
      <c r="B32" s="51" t="s">
        <v>82</v>
      </c>
      <c r="C32" s="96" t="s">
        <v>457</v>
      </c>
      <c r="D32" s="96" t="s">
        <v>458</v>
      </c>
      <c r="E32" s="64" t="s">
        <v>457</v>
      </c>
    </row>
    <row r="33" spans="1:5" x14ac:dyDescent="0.2">
      <c r="A33" s="51" t="s">
        <v>84</v>
      </c>
      <c r="B33" s="51" t="s">
        <v>85</v>
      </c>
      <c r="C33" s="64"/>
      <c r="D33" s="64" t="s">
        <v>459</v>
      </c>
      <c r="E33" s="64"/>
    </row>
    <row r="34" spans="1:5" ht="25.5" x14ac:dyDescent="0.2">
      <c r="A34" s="51" t="s">
        <v>86</v>
      </c>
      <c r="B34" s="51" t="s">
        <v>87</v>
      </c>
      <c r="C34" s="93" t="s">
        <v>102</v>
      </c>
      <c r="D34" s="92" t="s">
        <v>102</v>
      </c>
      <c r="E34" s="92" t="s">
        <v>102</v>
      </c>
    </row>
    <row r="35" spans="1:5" x14ac:dyDescent="0.2">
      <c r="A35" s="51" t="s">
        <v>89</v>
      </c>
      <c r="B35" s="51" t="s">
        <v>90</v>
      </c>
      <c r="C35" s="64"/>
      <c r="D35" s="64"/>
      <c r="E35" s="64"/>
    </row>
    <row r="36" spans="1:5" ht="25.5" x14ac:dyDescent="0.2">
      <c r="A36" s="51" t="s">
        <v>91</v>
      </c>
      <c r="B36" s="51" t="s">
        <v>92</v>
      </c>
      <c r="C36" s="93" t="s">
        <v>102</v>
      </c>
      <c r="D36" s="64" t="s">
        <v>460</v>
      </c>
      <c r="E36" s="64"/>
    </row>
    <row r="37" spans="1:5" x14ac:dyDescent="0.2">
      <c r="A37" s="51" t="s">
        <v>94</v>
      </c>
      <c r="B37" s="51" t="s">
        <v>95</v>
      </c>
      <c r="C37" s="64"/>
      <c r="D37" s="64"/>
      <c r="E37" s="64"/>
    </row>
    <row r="38" spans="1:5" ht="25.5" x14ac:dyDescent="0.2">
      <c r="A38" s="51" t="s">
        <v>96</v>
      </c>
      <c r="B38" s="51" t="s">
        <v>97</v>
      </c>
      <c r="C38" s="64"/>
      <c r="D38" s="64" t="s">
        <v>426</v>
      </c>
      <c r="E38" s="64"/>
    </row>
    <row r="39" spans="1:5" x14ac:dyDescent="0.2">
      <c r="A39" s="60" t="s">
        <v>98</v>
      </c>
      <c r="B39" s="60" t="s">
        <v>99</v>
      </c>
      <c r="C39" s="93" t="s">
        <v>102</v>
      </c>
      <c r="D39" s="92" t="s">
        <v>102</v>
      </c>
      <c r="E39" s="92" t="s">
        <v>102</v>
      </c>
    </row>
    <row r="40" spans="1:5" x14ac:dyDescent="0.2">
      <c r="A40" s="85" t="s">
        <v>273</v>
      </c>
      <c r="B40" s="85" t="s">
        <v>274</v>
      </c>
      <c r="C40" s="93" t="s">
        <v>102</v>
      </c>
      <c r="D40" s="92" t="s">
        <v>102</v>
      </c>
      <c r="E40" s="92" t="s">
        <v>102</v>
      </c>
    </row>
    <row r="41" spans="1:5" x14ac:dyDescent="0.2">
      <c r="A41" s="142" t="s">
        <v>275</v>
      </c>
      <c r="B41" s="142"/>
      <c r="C41" s="142"/>
      <c r="D41" s="142"/>
      <c r="E41" s="142"/>
    </row>
    <row r="42" spans="1:5" x14ac:dyDescent="0.2">
      <c r="A42" s="89" t="s">
        <v>178</v>
      </c>
    </row>
  </sheetData>
  <mergeCells count="3">
    <mergeCell ref="A1:E1"/>
    <mergeCell ref="C4:E4"/>
    <mergeCell ref="A41:E41"/>
  </mergeCell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3DCB-6F81-4878-A81C-00CFCE732F50}">
  <sheetPr codeName="Sheet24">
    <tabColor theme="7" tint="0.59999389629810485"/>
  </sheetPr>
  <dimension ref="A1:G47"/>
  <sheetViews>
    <sheetView zoomScaleNormal="100" workbookViewId="0">
      <selection activeCell="M15" sqref="M15"/>
    </sheetView>
  </sheetViews>
  <sheetFormatPr defaultColWidth="8.7109375" defaultRowHeight="12.75" x14ac:dyDescent="0.2"/>
  <cols>
    <col min="1" max="1" width="4.7109375" style="2" customWidth="1"/>
    <col min="2" max="2" width="16" style="2" customWidth="1"/>
    <col min="3" max="3" width="12.7109375" style="2" customWidth="1"/>
    <col min="4" max="5" width="9.85546875" style="2" customWidth="1"/>
    <col min="6" max="6" width="10.85546875" style="2" customWidth="1"/>
    <col min="7" max="7" width="14.85546875" style="2" customWidth="1"/>
    <col min="8" max="16384" width="8.7109375" style="2"/>
  </cols>
  <sheetData>
    <row r="1" spans="1:7" ht="41.25" customHeight="1" x14ac:dyDescent="0.4">
      <c r="A1" s="148" t="s">
        <v>461</v>
      </c>
      <c r="B1" s="148"/>
      <c r="C1" s="148"/>
      <c r="D1" s="148"/>
      <c r="E1" s="148"/>
      <c r="F1" s="148"/>
    </row>
    <row r="2" spans="1:7" ht="63.75" x14ac:dyDescent="0.2">
      <c r="A2" s="60" t="s">
        <v>1</v>
      </c>
      <c r="B2" s="60" t="s">
        <v>268</v>
      </c>
      <c r="C2" s="69" t="s">
        <v>462</v>
      </c>
      <c r="D2" s="69" t="s">
        <v>463</v>
      </c>
      <c r="E2" s="69" t="s">
        <v>464</v>
      </c>
      <c r="F2" s="69" t="s">
        <v>465</v>
      </c>
      <c r="G2" s="3"/>
    </row>
    <row r="3" spans="1:7" x14ac:dyDescent="0.2">
      <c r="A3" s="51" t="s">
        <v>12</v>
      </c>
      <c r="B3" s="51" t="s">
        <v>13</v>
      </c>
      <c r="C3" s="52" t="s">
        <v>42</v>
      </c>
      <c r="D3" s="52" t="s">
        <v>42</v>
      </c>
      <c r="E3" s="52" t="s">
        <v>93</v>
      </c>
      <c r="F3" s="52" t="s">
        <v>93</v>
      </c>
    </row>
    <row r="4" spans="1:7" x14ac:dyDescent="0.2">
      <c r="A4" s="51" t="s">
        <v>17</v>
      </c>
      <c r="B4" s="51" t="s">
        <v>18</v>
      </c>
      <c r="C4" s="52" t="s">
        <v>42</v>
      </c>
      <c r="D4" s="52" t="s">
        <v>42</v>
      </c>
      <c r="E4" s="52" t="s">
        <v>93</v>
      </c>
      <c r="F4" s="52" t="s">
        <v>93</v>
      </c>
    </row>
    <row r="5" spans="1:7" x14ac:dyDescent="0.2">
      <c r="A5" s="51" t="s">
        <v>22</v>
      </c>
      <c r="B5" s="51" t="s">
        <v>23</v>
      </c>
      <c r="C5" s="52" t="s">
        <v>42</v>
      </c>
      <c r="D5" s="52" t="s">
        <v>42</v>
      </c>
      <c r="E5" s="52" t="s">
        <v>93</v>
      </c>
      <c r="F5" s="52" t="s">
        <v>93</v>
      </c>
    </row>
    <row r="6" spans="1:7" x14ac:dyDescent="0.2">
      <c r="A6" s="51" t="s">
        <v>25</v>
      </c>
      <c r="B6" s="51" t="s">
        <v>26</v>
      </c>
      <c r="C6" s="52" t="s">
        <v>42</v>
      </c>
      <c r="D6" s="52" t="s">
        <v>42</v>
      </c>
      <c r="E6" s="52" t="s">
        <v>93</v>
      </c>
      <c r="F6" s="52" t="s">
        <v>93</v>
      </c>
    </row>
    <row r="7" spans="1:7" x14ac:dyDescent="0.2">
      <c r="A7" s="51" t="s">
        <v>27</v>
      </c>
      <c r="B7" s="51" t="s">
        <v>28</v>
      </c>
      <c r="C7" s="52" t="s">
        <v>42</v>
      </c>
      <c r="D7" s="52" t="s">
        <v>42</v>
      </c>
      <c r="E7" s="52" t="s">
        <v>93</v>
      </c>
      <c r="F7" s="52" t="s">
        <v>93</v>
      </c>
    </row>
    <row r="8" spans="1:7" x14ac:dyDescent="0.2">
      <c r="A8" s="51" t="s">
        <v>29</v>
      </c>
      <c r="B8" s="51" t="s">
        <v>30</v>
      </c>
      <c r="C8" s="52" t="s">
        <v>42</v>
      </c>
      <c r="D8" s="52" t="s">
        <v>42</v>
      </c>
      <c r="E8" s="52" t="s">
        <v>93</v>
      </c>
      <c r="F8" s="52" t="s">
        <v>93</v>
      </c>
    </row>
    <row r="9" spans="1:7" x14ac:dyDescent="0.2">
      <c r="A9" s="51" t="s">
        <v>31</v>
      </c>
      <c r="B9" s="51" t="s">
        <v>32</v>
      </c>
      <c r="C9" s="52" t="s">
        <v>42</v>
      </c>
      <c r="D9" s="52" t="s">
        <v>42</v>
      </c>
      <c r="E9" s="52" t="s">
        <v>93</v>
      </c>
      <c r="F9" s="52" t="s">
        <v>93</v>
      </c>
    </row>
    <row r="10" spans="1:7" x14ac:dyDescent="0.2">
      <c r="A10" s="51" t="s">
        <v>33</v>
      </c>
      <c r="B10" s="51" t="s">
        <v>34</v>
      </c>
      <c r="C10" s="52" t="s">
        <v>42</v>
      </c>
      <c r="D10" s="52" t="s">
        <v>42</v>
      </c>
      <c r="E10" s="52" t="s">
        <v>93</v>
      </c>
      <c r="F10" s="52" t="s">
        <v>93</v>
      </c>
    </row>
    <row r="11" spans="1:7" x14ac:dyDescent="0.2">
      <c r="A11" s="51" t="s">
        <v>35</v>
      </c>
      <c r="B11" s="51" t="s">
        <v>36</v>
      </c>
      <c r="C11" s="52" t="s">
        <v>42</v>
      </c>
      <c r="D11" s="52" t="s">
        <v>42</v>
      </c>
      <c r="E11" s="52" t="s">
        <v>93</v>
      </c>
      <c r="F11" s="52" t="s">
        <v>93</v>
      </c>
    </row>
    <row r="12" spans="1:7" x14ac:dyDescent="0.2">
      <c r="A12" s="51" t="s">
        <v>38</v>
      </c>
      <c r="B12" s="51" t="s">
        <v>39</v>
      </c>
      <c r="C12" s="52" t="s">
        <v>93</v>
      </c>
      <c r="D12" s="52" t="s">
        <v>93</v>
      </c>
      <c r="E12" s="52" t="s">
        <v>93</v>
      </c>
      <c r="F12" s="52" t="s">
        <v>93</v>
      </c>
    </row>
    <row r="13" spans="1:7" x14ac:dyDescent="0.2">
      <c r="A13" s="51" t="s">
        <v>40</v>
      </c>
      <c r="B13" s="51" t="s">
        <v>41</v>
      </c>
      <c r="C13" s="52" t="s">
        <v>42</v>
      </c>
      <c r="D13" s="52" t="s">
        <v>42</v>
      </c>
      <c r="E13" s="52" t="s">
        <v>93</v>
      </c>
      <c r="F13" s="52" t="s">
        <v>93</v>
      </c>
    </row>
    <row r="14" spans="1:7" x14ac:dyDescent="0.2">
      <c r="A14" s="51" t="s">
        <v>43</v>
      </c>
      <c r="B14" s="51" t="s">
        <v>44</v>
      </c>
      <c r="C14" s="52" t="s">
        <v>42</v>
      </c>
      <c r="D14" s="52" t="s">
        <v>42</v>
      </c>
      <c r="E14" s="52" t="s">
        <v>93</v>
      </c>
      <c r="F14" s="52" t="s">
        <v>93</v>
      </c>
    </row>
    <row r="15" spans="1:7" x14ac:dyDescent="0.2">
      <c r="A15" s="51" t="s">
        <v>45</v>
      </c>
      <c r="B15" s="51" t="s">
        <v>46</v>
      </c>
      <c r="C15" s="52" t="s">
        <v>42</v>
      </c>
      <c r="D15" s="52" t="s">
        <v>42</v>
      </c>
      <c r="E15" s="52" t="s">
        <v>93</v>
      </c>
      <c r="F15" s="52" t="s">
        <v>93</v>
      </c>
    </row>
    <row r="16" spans="1:7" x14ac:dyDescent="0.2">
      <c r="A16" s="51" t="s">
        <v>47</v>
      </c>
      <c r="B16" s="51" t="s">
        <v>48</v>
      </c>
      <c r="C16" s="52" t="s">
        <v>42</v>
      </c>
      <c r="D16" s="52" t="s">
        <v>42</v>
      </c>
      <c r="E16" s="52" t="s">
        <v>93</v>
      </c>
      <c r="F16" s="52" t="s">
        <v>93</v>
      </c>
    </row>
    <row r="17" spans="1:6" x14ac:dyDescent="0.2">
      <c r="A17" s="51" t="s">
        <v>49</v>
      </c>
      <c r="B17" s="51" t="s">
        <v>50</v>
      </c>
      <c r="C17" s="52" t="s">
        <v>42</v>
      </c>
      <c r="D17" s="52" t="s">
        <v>42</v>
      </c>
      <c r="E17" s="52" t="s">
        <v>93</v>
      </c>
      <c r="F17" s="52" t="s">
        <v>93</v>
      </c>
    </row>
    <row r="18" spans="1:6" x14ac:dyDescent="0.2">
      <c r="A18" s="51" t="s">
        <v>51</v>
      </c>
      <c r="B18" s="51" t="s">
        <v>52</v>
      </c>
      <c r="C18" s="52" t="s">
        <v>42</v>
      </c>
      <c r="D18" s="52" t="s">
        <v>93</v>
      </c>
      <c r="E18" s="52" t="s">
        <v>42</v>
      </c>
      <c r="F18" s="52" t="s">
        <v>42</v>
      </c>
    </row>
    <row r="19" spans="1:6" x14ac:dyDescent="0.2">
      <c r="A19" s="51" t="s">
        <v>53</v>
      </c>
      <c r="B19" s="51" t="s">
        <v>54</v>
      </c>
      <c r="C19" s="52" t="s">
        <v>42</v>
      </c>
      <c r="D19" s="52" t="s">
        <v>42</v>
      </c>
      <c r="E19" s="52" t="s">
        <v>93</v>
      </c>
      <c r="F19" s="52" t="s">
        <v>93</v>
      </c>
    </row>
    <row r="20" spans="1:6" x14ac:dyDescent="0.2">
      <c r="A20" s="51" t="s">
        <v>55</v>
      </c>
      <c r="B20" s="51" t="s">
        <v>56</v>
      </c>
      <c r="C20" s="52" t="s">
        <v>93</v>
      </c>
      <c r="D20" s="52" t="s">
        <v>93</v>
      </c>
      <c r="E20" s="52" t="s">
        <v>93</v>
      </c>
      <c r="F20" s="52" t="s">
        <v>93</v>
      </c>
    </row>
    <row r="21" spans="1:6" x14ac:dyDescent="0.2">
      <c r="A21" s="51" t="s">
        <v>57</v>
      </c>
      <c r="B21" s="51" t="s">
        <v>58</v>
      </c>
      <c r="C21" s="52" t="s">
        <v>42</v>
      </c>
      <c r="D21" s="52" t="s">
        <v>42</v>
      </c>
      <c r="E21" s="52" t="s">
        <v>93</v>
      </c>
      <c r="F21" s="52" t="s">
        <v>93</v>
      </c>
    </row>
    <row r="22" spans="1:6" x14ac:dyDescent="0.2">
      <c r="A22" s="51" t="s">
        <v>60</v>
      </c>
      <c r="B22" s="51" t="s">
        <v>61</v>
      </c>
      <c r="C22" s="52" t="s">
        <v>42</v>
      </c>
      <c r="D22" s="52" t="s">
        <v>42</v>
      </c>
      <c r="E22" s="52" t="s">
        <v>93</v>
      </c>
      <c r="F22" s="52" t="s">
        <v>93</v>
      </c>
    </row>
    <row r="23" spans="1:6" x14ac:dyDescent="0.2">
      <c r="A23" s="51" t="s">
        <v>62</v>
      </c>
      <c r="B23" s="51" t="s">
        <v>63</v>
      </c>
      <c r="C23" s="52" t="s">
        <v>42</v>
      </c>
      <c r="D23" s="52" t="s">
        <v>42</v>
      </c>
      <c r="E23" s="52" t="s">
        <v>42</v>
      </c>
      <c r="F23" s="52" t="s">
        <v>93</v>
      </c>
    </row>
    <row r="24" spans="1:6" x14ac:dyDescent="0.2">
      <c r="A24" s="51" t="s">
        <v>64</v>
      </c>
      <c r="B24" s="51" t="s">
        <v>65</v>
      </c>
      <c r="C24" s="52" t="s">
        <v>42</v>
      </c>
      <c r="D24" s="52" t="s">
        <v>42</v>
      </c>
      <c r="E24" s="52" t="s">
        <v>93</v>
      </c>
      <c r="F24" s="52" t="s">
        <v>93</v>
      </c>
    </row>
    <row r="25" spans="1:6" x14ac:dyDescent="0.2">
      <c r="A25" s="51" t="s">
        <v>66</v>
      </c>
      <c r="B25" s="51" t="s">
        <v>67</v>
      </c>
      <c r="C25" s="52" t="s">
        <v>42</v>
      </c>
      <c r="D25" s="52" t="s">
        <v>42</v>
      </c>
      <c r="E25" s="52" t="s">
        <v>93</v>
      </c>
      <c r="F25" s="52" t="s">
        <v>93</v>
      </c>
    </row>
    <row r="26" spans="1:6" x14ac:dyDescent="0.2">
      <c r="A26" s="51" t="s">
        <v>68</v>
      </c>
      <c r="B26" s="51" t="s">
        <v>69</v>
      </c>
      <c r="C26" s="52" t="s">
        <v>42</v>
      </c>
      <c r="D26" s="52" t="s">
        <v>42</v>
      </c>
      <c r="E26" s="52" t="s">
        <v>93</v>
      </c>
      <c r="F26" s="52" t="s">
        <v>93</v>
      </c>
    </row>
    <row r="27" spans="1:6" x14ac:dyDescent="0.2">
      <c r="A27" s="51" t="s">
        <v>70</v>
      </c>
      <c r="B27" s="51" t="s">
        <v>71</v>
      </c>
      <c r="C27" s="52" t="s">
        <v>93</v>
      </c>
      <c r="D27" s="52" t="s">
        <v>93</v>
      </c>
      <c r="E27" s="52" t="s">
        <v>93</v>
      </c>
      <c r="F27" s="52" t="s">
        <v>93</v>
      </c>
    </row>
    <row r="28" spans="1:6" x14ac:dyDescent="0.2">
      <c r="A28" s="51" t="s">
        <v>73</v>
      </c>
      <c r="B28" s="51" t="s">
        <v>74</v>
      </c>
      <c r="C28" s="52" t="s">
        <v>42</v>
      </c>
      <c r="D28" s="52" t="s">
        <v>42</v>
      </c>
      <c r="E28" s="52" t="s">
        <v>93</v>
      </c>
      <c r="F28" s="52" t="s">
        <v>93</v>
      </c>
    </row>
    <row r="29" spans="1:6" x14ac:dyDescent="0.2">
      <c r="A29" s="51" t="s">
        <v>75</v>
      </c>
      <c r="B29" s="51" t="s">
        <v>76</v>
      </c>
      <c r="C29" s="52" t="s">
        <v>42</v>
      </c>
      <c r="D29" s="52" t="s">
        <v>42</v>
      </c>
      <c r="E29" s="52" t="s">
        <v>93</v>
      </c>
      <c r="F29" s="52" t="s">
        <v>93</v>
      </c>
    </row>
    <row r="30" spans="1:6" x14ac:dyDescent="0.2">
      <c r="A30" s="51" t="s">
        <v>77</v>
      </c>
      <c r="B30" s="51" t="s">
        <v>78</v>
      </c>
      <c r="C30" s="52" t="s">
        <v>42</v>
      </c>
      <c r="D30" s="52" t="s">
        <v>42</v>
      </c>
      <c r="E30" s="52" t="s">
        <v>93</v>
      </c>
      <c r="F30" s="52" t="s">
        <v>93</v>
      </c>
    </row>
    <row r="31" spans="1:6" x14ac:dyDescent="0.2">
      <c r="A31" s="51" t="s">
        <v>79</v>
      </c>
      <c r="B31" s="51" t="s">
        <v>80</v>
      </c>
      <c r="C31" s="52" t="s">
        <v>102</v>
      </c>
      <c r="D31" s="52" t="s">
        <v>102</v>
      </c>
      <c r="E31" s="52" t="s">
        <v>102</v>
      </c>
      <c r="F31" s="52" t="s">
        <v>102</v>
      </c>
    </row>
    <row r="32" spans="1:6" x14ac:dyDescent="0.2">
      <c r="A32" s="51" t="s">
        <v>81</v>
      </c>
      <c r="B32" s="51" t="s">
        <v>82</v>
      </c>
      <c r="C32" s="52" t="s">
        <v>42</v>
      </c>
      <c r="D32" s="52" t="s">
        <v>42</v>
      </c>
      <c r="E32" s="52" t="s">
        <v>42</v>
      </c>
      <c r="F32" s="52" t="s">
        <v>93</v>
      </c>
    </row>
    <row r="33" spans="1:6" x14ac:dyDescent="0.2">
      <c r="A33" s="51" t="s">
        <v>84</v>
      </c>
      <c r="B33" s="51" t="s">
        <v>85</v>
      </c>
      <c r="C33" s="52" t="s">
        <v>42</v>
      </c>
      <c r="D33" s="52" t="s">
        <v>42</v>
      </c>
      <c r="E33" s="52" t="s">
        <v>93</v>
      </c>
      <c r="F33" s="52" t="s">
        <v>93</v>
      </c>
    </row>
    <row r="34" spans="1:6" ht="25.5" x14ac:dyDescent="0.2">
      <c r="A34" s="51" t="s">
        <v>86</v>
      </c>
      <c r="B34" s="51" t="s">
        <v>87</v>
      </c>
      <c r="C34" s="52" t="s">
        <v>42</v>
      </c>
      <c r="D34" s="52" t="s">
        <v>42</v>
      </c>
      <c r="E34" s="52" t="s">
        <v>93</v>
      </c>
      <c r="F34" s="52" t="s">
        <v>93</v>
      </c>
    </row>
    <row r="35" spans="1:6" x14ac:dyDescent="0.2">
      <c r="A35" s="51" t="s">
        <v>89</v>
      </c>
      <c r="B35" s="51" t="s">
        <v>90</v>
      </c>
      <c r="C35" s="52" t="s">
        <v>42</v>
      </c>
      <c r="D35" s="52" t="s">
        <v>42</v>
      </c>
      <c r="E35" s="52" t="s">
        <v>93</v>
      </c>
      <c r="F35" s="52" t="s">
        <v>93</v>
      </c>
    </row>
    <row r="36" spans="1:6" ht="25.5" x14ac:dyDescent="0.2">
      <c r="A36" s="51" t="s">
        <v>91</v>
      </c>
      <c r="B36" s="51" t="s">
        <v>92</v>
      </c>
      <c r="C36" s="52" t="s">
        <v>102</v>
      </c>
      <c r="D36" s="52" t="s">
        <v>102</v>
      </c>
      <c r="E36" s="52" t="s">
        <v>102</v>
      </c>
      <c r="F36" s="52" t="s">
        <v>102</v>
      </c>
    </row>
    <row r="37" spans="1:6" x14ac:dyDescent="0.2">
      <c r="A37" s="51" t="s">
        <v>94</v>
      </c>
      <c r="B37" s="51" t="s">
        <v>95</v>
      </c>
      <c r="C37" s="52" t="s">
        <v>93</v>
      </c>
      <c r="D37" s="52" t="s">
        <v>42</v>
      </c>
      <c r="E37" s="52" t="s">
        <v>93</v>
      </c>
      <c r="F37" s="52" t="s">
        <v>93</v>
      </c>
    </row>
    <row r="38" spans="1:6" x14ac:dyDescent="0.2">
      <c r="A38" s="51" t="s">
        <v>96</v>
      </c>
      <c r="B38" s="51" t="s">
        <v>97</v>
      </c>
      <c r="C38" s="52" t="s">
        <v>42</v>
      </c>
      <c r="D38" s="52" t="s">
        <v>42</v>
      </c>
      <c r="E38" s="52" t="s">
        <v>93</v>
      </c>
      <c r="F38" s="52" t="s">
        <v>93</v>
      </c>
    </row>
    <row r="39" spans="1:6" x14ac:dyDescent="0.2">
      <c r="A39" s="51" t="s">
        <v>98</v>
      </c>
      <c r="B39" s="51" t="s">
        <v>99</v>
      </c>
      <c r="C39" s="52" t="s">
        <v>42</v>
      </c>
      <c r="D39" s="52" t="s">
        <v>42</v>
      </c>
      <c r="E39" s="52" t="s">
        <v>93</v>
      </c>
      <c r="F39" s="52" t="s">
        <v>93</v>
      </c>
    </row>
    <row r="40" spans="1:6" x14ac:dyDescent="0.2">
      <c r="A40" s="60" t="s">
        <v>273</v>
      </c>
      <c r="B40" s="60" t="s">
        <v>274</v>
      </c>
      <c r="C40" s="52" t="s">
        <v>42</v>
      </c>
      <c r="D40" s="52" t="s">
        <v>42</v>
      </c>
      <c r="E40" s="52" t="s">
        <v>42</v>
      </c>
      <c r="F40" s="52" t="s">
        <v>42</v>
      </c>
    </row>
    <row r="41" spans="1:6" ht="38.450000000000003" customHeight="1" x14ac:dyDescent="0.2">
      <c r="A41" s="139" t="s">
        <v>103</v>
      </c>
      <c r="B41" s="139"/>
      <c r="C41" s="72">
        <f>COUNTIF(C3:C40,"INCLUDED")</f>
        <v>32</v>
      </c>
      <c r="D41" s="72">
        <f>COUNTIF(D3:D40,"INCLUDED")</f>
        <v>32</v>
      </c>
      <c r="E41" s="72">
        <f>COUNTIF(E3:E40,"EXCLUDED")</f>
        <v>32</v>
      </c>
      <c r="F41" s="72">
        <f>COUNTIF(F3:F40,"EXCLUDED")</f>
        <v>34</v>
      </c>
    </row>
    <row r="42" spans="1:6" ht="27.6" customHeight="1" x14ac:dyDescent="0.2">
      <c r="A42" s="140" t="s">
        <v>104</v>
      </c>
      <c r="B42" s="140"/>
      <c r="C42" s="75">
        <f>C41/38</f>
        <v>0.84210526315789469</v>
      </c>
      <c r="D42" s="75">
        <f t="shared" ref="D42:E42" si="0">D41/38</f>
        <v>0.84210526315789469</v>
      </c>
      <c r="E42" s="75">
        <f t="shared" si="0"/>
        <v>0.84210526315789469</v>
      </c>
      <c r="F42" s="75">
        <f>F41/38</f>
        <v>0.89473684210526316</v>
      </c>
    </row>
    <row r="43" spans="1:6" x14ac:dyDescent="0.2">
      <c r="A43" s="149" t="s">
        <v>275</v>
      </c>
      <c r="B43" s="149"/>
      <c r="C43" s="149"/>
      <c r="D43" s="149"/>
      <c r="E43" s="149"/>
      <c r="F43" s="149"/>
    </row>
    <row r="44" spans="1:6" x14ac:dyDescent="0.2">
      <c r="A44" s="142" t="s">
        <v>276</v>
      </c>
      <c r="B44" s="142"/>
      <c r="C44" s="142"/>
      <c r="D44" s="142"/>
      <c r="E44" s="142"/>
      <c r="F44" s="142"/>
    </row>
    <row r="45" spans="1:6" x14ac:dyDescent="0.2">
      <c r="A45" s="56"/>
      <c r="B45" s="143" t="s">
        <v>277</v>
      </c>
      <c r="C45" s="143"/>
      <c r="D45" s="143"/>
      <c r="E45" s="143"/>
      <c r="F45" s="143"/>
    </row>
    <row r="46" spans="1:6" x14ac:dyDescent="0.2">
      <c r="A46" s="57"/>
      <c r="B46" s="21" t="s">
        <v>107</v>
      </c>
      <c r="C46" s="21"/>
      <c r="D46" s="21"/>
      <c r="E46" s="21"/>
      <c r="F46" s="21"/>
    </row>
    <row r="47" spans="1:6" x14ac:dyDescent="0.2">
      <c r="A47" s="58"/>
      <c r="B47" s="119" t="s">
        <v>278</v>
      </c>
      <c r="C47" s="119"/>
      <c r="D47" s="119"/>
      <c r="E47" s="119"/>
      <c r="F47" s="119"/>
    </row>
  </sheetData>
  <mergeCells count="7">
    <mergeCell ref="B47:F47"/>
    <mergeCell ref="A1:F1"/>
    <mergeCell ref="A41:B41"/>
    <mergeCell ref="A42:B42"/>
    <mergeCell ref="A43:F43"/>
    <mergeCell ref="A44:F44"/>
    <mergeCell ref="B45:F45"/>
  </mergeCells>
  <conditionalFormatting sqref="A46">
    <cfRule type="cellIs" dxfId="81" priority="1" stopIfTrue="1" operator="equal">
      <formula>"EXCLUDED"</formula>
    </cfRule>
    <cfRule type="cellIs" dxfId="80" priority="2" stopIfTrue="1" operator="equal">
      <formula>"DON'T KNOW IF COUNTED"</formula>
    </cfRule>
    <cfRule type="cellIs" dxfId="79" priority="3" stopIfTrue="1" operator="equal">
      <formula>"INCLUDED"</formula>
    </cfRule>
    <cfRule type="cellIs" dxfId="78" priority="4" stopIfTrue="1" operator="equal">
      <formula>"NOT COUNTED"</formula>
    </cfRule>
    <cfRule type="cellIs" dxfId="77" priority="5" stopIfTrue="1" operator="equal">
      <formula>":"</formula>
    </cfRule>
    <cfRule type="cellIs" dxfId="76" priority="6" stopIfTrue="1" operator="equal">
      <formula>"NOT COUNTED; INCLUDED"</formula>
    </cfRule>
    <cfRule type="cellIs" dxfId="75" priority="7" stopIfTrue="1" operator="equal">
      <formula>"COUNTED; EXCLUDED"</formula>
    </cfRule>
    <cfRule type="cellIs" dxfId="74" priority="8" stopIfTrue="1" operator="equal">
      <formula>"NOT COUNTED; EXCLUDED"</formula>
    </cfRule>
    <cfRule type="cellIs" dxfId="73" priority="9" stopIfTrue="1" operator="equal">
      <formula>"COUNTED; INCLUDED"</formula>
    </cfRule>
    <cfRule type="cellIs" dxfId="72" priority="10" stopIfTrue="1" operator="equal">
      <formula>"NOT SEPARATED; INCLUDED"</formula>
    </cfRule>
    <cfRule type="cellIs" dxfId="71" priority="11" stopIfTrue="1" operator="equal">
      <formula>"SEPARATED"</formula>
    </cfRule>
    <cfRule type="cellIs" dxfId="70" priority="12" stopIfTrue="1" operator="equal">
      <formula>"SEPARATED; EXCLUDED"</formula>
    </cfRule>
    <cfRule type="cellIs" dxfId="69" priority="13" stopIfTrue="1" operator="equal">
      <formula>"SEPARATED; INCLUDED"</formula>
    </cfRule>
    <cfRule type="cellIs" dxfId="68" priority="14" stopIfTrue="1" operator="equal">
      <formula>"NOT SEPARATED; EXCLUDED"</formula>
    </cfRule>
    <cfRule type="cellIs" dxfId="67" priority="15" stopIfTrue="1" operator="equal">
      <formula>"NOT SEPARATED"</formula>
    </cfRule>
  </conditionalFormatting>
  <conditionalFormatting sqref="C3:D40">
    <cfRule type="cellIs" dxfId="66" priority="20" stopIfTrue="1" operator="equal">
      <formula>"Included"</formula>
    </cfRule>
    <cfRule type="cellIs" dxfId="65" priority="21" stopIfTrue="1" operator="equal">
      <formula>"Excluded"</formula>
    </cfRule>
  </conditionalFormatting>
  <conditionalFormatting sqref="C3:F40">
    <cfRule type="cellIs" dxfId="64" priority="16" stopIfTrue="1" operator="equal">
      <formula>":"</formula>
    </cfRule>
  </conditionalFormatting>
  <conditionalFormatting sqref="E3:F40">
    <cfRule type="cellIs" dxfId="63" priority="17" stopIfTrue="1" operator="equal">
      <formula>"Included"</formula>
    </cfRule>
    <cfRule type="cellIs" dxfId="62" priority="18" stopIfTrue="1" operator="equal">
      <formula>"Excluded"</formula>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B587-7434-4596-8E80-8CDBBF535C4E}">
  <sheetPr codeName="Sheet32">
    <tabColor theme="7" tint="0.59999389629810485"/>
  </sheetPr>
  <dimension ref="A1:G42"/>
  <sheetViews>
    <sheetView zoomScaleNormal="100" workbookViewId="0">
      <selection activeCell="M15" sqref="M15"/>
    </sheetView>
  </sheetViews>
  <sheetFormatPr defaultColWidth="8.7109375" defaultRowHeight="12.75" x14ac:dyDescent="0.2"/>
  <cols>
    <col min="1" max="1" width="4.7109375" style="2" customWidth="1"/>
    <col min="2" max="2" width="13.140625" style="2" customWidth="1"/>
    <col min="3" max="3" width="23.85546875" style="4" customWidth="1"/>
    <col min="4" max="4" width="20.5703125" style="4" customWidth="1"/>
    <col min="5" max="5" width="23" style="4" customWidth="1"/>
    <col min="6" max="6" width="25.42578125" style="4" customWidth="1"/>
    <col min="7" max="7" width="14.85546875" style="2" customWidth="1"/>
    <col min="8" max="16384" width="8.7109375" style="2"/>
  </cols>
  <sheetData>
    <row r="1" spans="1:7" ht="24.75" customHeight="1" x14ac:dyDescent="0.35">
      <c r="A1" s="164" t="s">
        <v>466</v>
      </c>
      <c r="B1" s="164"/>
      <c r="C1" s="164"/>
      <c r="D1" s="164"/>
      <c r="E1" s="164"/>
      <c r="F1" s="164"/>
    </row>
    <row r="2" spans="1:7" ht="38.25" x14ac:dyDescent="0.2">
      <c r="A2" s="60" t="s">
        <v>1</v>
      </c>
      <c r="B2" s="60" t="s">
        <v>268</v>
      </c>
      <c r="C2" s="69" t="s">
        <v>467</v>
      </c>
      <c r="D2" s="69" t="s">
        <v>468</v>
      </c>
      <c r="E2" s="69" t="s">
        <v>469</v>
      </c>
      <c r="F2" s="69" t="s">
        <v>470</v>
      </c>
      <c r="G2" s="3"/>
    </row>
    <row r="3" spans="1:7" x14ac:dyDescent="0.2">
      <c r="A3" s="51" t="s">
        <v>12</v>
      </c>
      <c r="B3" s="51" t="s">
        <v>13</v>
      </c>
      <c r="C3" s="97"/>
      <c r="D3" s="97"/>
      <c r="E3" s="97"/>
      <c r="F3" s="97"/>
    </row>
    <row r="4" spans="1:7" x14ac:dyDescent="0.2">
      <c r="A4" s="51" t="s">
        <v>17</v>
      </c>
      <c r="B4" s="51" t="s">
        <v>18</v>
      </c>
      <c r="C4" s="97"/>
      <c r="D4" s="97"/>
      <c r="E4" s="97"/>
      <c r="F4" s="97"/>
    </row>
    <row r="5" spans="1:7" ht="87.95" customHeight="1" x14ac:dyDescent="0.2">
      <c r="A5" s="51" t="s">
        <v>22</v>
      </c>
      <c r="B5" s="51" t="s">
        <v>23</v>
      </c>
      <c r="C5" s="97" t="s">
        <v>471</v>
      </c>
      <c r="D5" s="97"/>
      <c r="E5" s="97"/>
      <c r="F5" s="97"/>
    </row>
    <row r="6" spans="1:7" x14ac:dyDescent="0.2">
      <c r="A6" s="51" t="s">
        <v>25</v>
      </c>
      <c r="B6" s="51" t="s">
        <v>26</v>
      </c>
      <c r="C6" s="97"/>
      <c r="D6" s="97"/>
      <c r="E6" s="97"/>
      <c r="F6" s="97"/>
    </row>
    <row r="7" spans="1:7" x14ac:dyDescent="0.2">
      <c r="A7" s="51" t="s">
        <v>27</v>
      </c>
      <c r="B7" s="51" t="s">
        <v>28</v>
      </c>
      <c r="C7" s="97"/>
      <c r="D7" s="97"/>
      <c r="E7" s="97"/>
      <c r="F7" s="97"/>
    </row>
    <row r="8" spans="1:7" x14ac:dyDescent="0.2">
      <c r="A8" s="51" t="s">
        <v>29</v>
      </c>
      <c r="B8" s="51" t="s">
        <v>30</v>
      </c>
      <c r="C8" s="97"/>
      <c r="D8" s="97"/>
      <c r="E8" s="97"/>
      <c r="F8" s="97"/>
    </row>
    <row r="9" spans="1:7" x14ac:dyDescent="0.2">
      <c r="A9" s="51" t="s">
        <v>31</v>
      </c>
      <c r="B9" s="51" t="s">
        <v>32</v>
      </c>
      <c r="C9" s="97"/>
      <c r="D9" s="97"/>
      <c r="E9" s="97"/>
      <c r="F9" s="97"/>
    </row>
    <row r="10" spans="1:7" x14ac:dyDescent="0.2">
      <c r="A10" s="51" t="s">
        <v>33</v>
      </c>
      <c r="B10" s="51" t="s">
        <v>34</v>
      </c>
      <c r="C10" s="97"/>
      <c r="D10" s="97"/>
      <c r="E10" s="97"/>
      <c r="F10" s="97"/>
    </row>
    <row r="11" spans="1:7" x14ac:dyDescent="0.2">
      <c r="A11" s="51" t="s">
        <v>35</v>
      </c>
      <c r="B11" s="51" t="s">
        <v>36</v>
      </c>
      <c r="C11" s="168" t="s">
        <v>472</v>
      </c>
      <c r="D11" s="169"/>
      <c r="E11" s="97"/>
      <c r="F11" s="97"/>
    </row>
    <row r="12" spans="1:7" x14ac:dyDescent="0.2">
      <c r="A12" s="51" t="s">
        <v>38</v>
      </c>
      <c r="B12" s="51" t="s">
        <v>39</v>
      </c>
      <c r="C12" s="98" t="s">
        <v>102</v>
      </c>
      <c r="D12" s="98" t="s">
        <v>102</v>
      </c>
      <c r="E12" s="97"/>
      <c r="F12" s="97"/>
    </row>
    <row r="13" spans="1:7" ht="38.25" x14ac:dyDescent="0.2">
      <c r="A13" s="51" t="s">
        <v>40</v>
      </c>
      <c r="B13" s="51" t="s">
        <v>41</v>
      </c>
      <c r="C13" s="99" t="s">
        <v>473</v>
      </c>
      <c r="D13" s="97"/>
      <c r="E13" s="97"/>
      <c r="F13" s="97" t="s">
        <v>474</v>
      </c>
    </row>
    <row r="14" spans="1:7" ht="51" x14ac:dyDescent="0.2">
      <c r="A14" s="51" t="s">
        <v>43</v>
      </c>
      <c r="B14" s="51" t="s">
        <v>44</v>
      </c>
      <c r="C14" s="97"/>
      <c r="D14" s="97"/>
      <c r="E14" s="97" t="s">
        <v>475</v>
      </c>
      <c r="F14" s="97" t="s">
        <v>476</v>
      </c>
    </row>
    <row r="15" spans="1:7" x14ac:dyDescent="0.2">
      <c r="A15" s="51" t="s">
        <v>45</v>
      </c>
      <c r="B15" s="51" t="s">
        <v>46</v>
      </c>
      <c r="C15" s="97"/>
      <c r="D15" s="97"/>
      <c r="E15" s="97"/>
      <c r="F15" s="97"/>
    </row>
    <row r="16" spans="1:7" ht="23.1" customHeight="1" x14ac:dyDescent="0.2">
      <c r="A16" s="51" t="s">
        <v>47</v>
      </c>
      <c r="B16" s="51" t="s">
        <v>48</v>
      </c>
      <c r="C16" s="97"/>
      <c r="D16" s="97"/>
      <c r="E16" s="168" t="s">
        <v>477</v>
      </c>
      <c r="F16" s="169"/>
    </row>
    <row r="17" spans="1:6" x14ac:dyDescent="0.2">
      <c r="A17" s="51" t="s">
        <v>49</v>
      </c>
      <c r="B17" s="51" t="s">
        <v>50</v>
      </c>
      <c r="C17" s="97"/>
      <c r="D17" s="97"/>
      <c r="E17" s="168" t="s">
        <v>478</v>
      </c>
      <c r="F17" s="169"/>
    </row>
    <row r="18" spans="1:6" x14ac:dyDescent="0.2">
      <c r="A18" s="51" t="s">
        <v>51</v>
      </c>
      <c r="B18" s="51" t="s">
        <v>52</v>
      </c>
      <c r="C18" s="97"/>
      <c r="D18" s="98" t="s">
        <v>102</v>
      </c>
      <c r="E18" s="98" t="s">
        <v>102</v>
      </c>
      <c r="F18" s="98" t="s">
        <v>102</v>
      </c>
    </row>
    <row r="19" spans="1:6" x14ac:dyDescent="0.2">
      <c r="A19" s="51" t="s">
        <v>53</v>
      </c>
      <c r="B19" s="51" t="s">
        <v>54</v>
      </c>
      <c r="C19" s="97"/>
      <c r="D19" s="97"/>
      <c r="E19" s="97"/>
      <c r="F19" s="97"/>
    </row>
    <row r="20" spans="1:6" ht="76.5" x14ac:dyDescent="0.2">
      <c r="A20" s="51" t="s">
        <v>55</v>
      </c>
      <c r="B20" s="51" t="s">
        <v>56</v>
      </c>
      <c r="C20" s="97" t="s">
        <v>479</v>
      </c>
      <c r="D20" s="97" t="s">
        <v>480</v>
      </c>
      <c r="E20" s="97"/>
      <c r="F20" s="97"/>
    </row>
    <row r="21" spans="1:6" x14ac:dyDescent="0.2">
      <c r="A21" s="51" t="s">
        <v>57</v>
      </c>
      <c r="B21" s="51" t="s">
        <v>58</v>
      </c>
      <c r="C21" s="97"/>
      <c r="D21" s="97"/>
      <c r="E21" s="97"/>
      <c r="F21" s="97"/>
    </row>
    <row r="22" spans="1:6" x14ac:dyDescent="0.2">
      <c r="A22" s="51" t="s">
        <v>60</v>
      </c>
      <c r="B22" s="51" t="s">
        <v>61</v>
      </c>
      <c r="C22" s="97"/>
      <c r="D22" s="97"/>
      <c r="E22" s="93"/>
      <c r="F22" s="97"/>
    </row>
    <row r="23" spans="1:6" x14ac:dyDescent="0.2">
      <c r="A23" s="51" t="s">
        <v>62</v>
      </c>
      <c r="B23" s="51" t="s">
        <v>63</v>
      </c>
      <c r="C23" s="97"/>
      <c r="D23" s="97"/>
      <c r="E23" s="97" t="s">
        <v>102</v>
      </c>
      <c r="F23" s="97"/>
    </row>
    <row r="24" spans="1:6" x14ac:dyDescent="0.2">
      <c r="A24" s="51" t="s">
        <v>64</v>
      </c>
      <c r="B24" s="51" t="s">
        <v>65</v>
      </c>
      <c r="C24" s="97"/>
      <c r="D24" s="97"/>
      <c r="E24" s="97"/>
      <c r="F24" s="97"/>
    </row>
    <row r="25" spans="1:6" x14ac:dyDescent="0.2">
      <c r="A25" s="51" t="s">
        <v>66</v>
      </c>
      <c r="B25" s="51" t="s">
        <v>67</v>
      </c>
      <c r="C25" s="97"/>
      <c r="D25" s="97"/>
      <c r="E25" s="97"/>
      <c r="F25" s="97"/>
    </row>
    <row r="26" spans="1:6" x14ac:dyDescent="0.2">
      <c r="A26" s="51" t="s">
        <v>68</v>
      </c>
      <c r="B26" s="51" t="s">
        <v>69</v>
      </c>
      <c r="C26" s="97"/>
      <c r="D26" s="97"/>
      <c r="E26" s="97"/>
      <c r="F26" s="97"/>
    </row>
    <row r="27" spans="1:6" ht="48" customHeight="1" x14ac:dyDescent="0.2">
      <c r="A27" s="51" t="s">
        <v>70</v>
      </c>
      <c r="B27" s="51" t="s">
        <v>71</v>
      </c>
      <c r="C27" s="97" t="s">
        <v>481</v>
      </c>
      <c r="D27" s="97" t="s">
        <v>482</v>
      </c>
      <c r="E27" s="97" t="s">
        <v>483</v>
      </c>
      <c r="F27" s="97" t="s">
        <v>484</v>
      </c>
    </row>
    <row r="28" spans="1:6" x14ac:dyDescent="0.2">
      <c r="A28" s="51" t="s">
        <v>73</v>
      </c>
      <c r="B28" s="51" t="s">
        <v>74</v>
      </c>
      <c r="C28" s="97"/>
      <c r="D28" s="97"/>
      <c r="E28" s="97"/>
      <c r="F28" s="97"/>
    </row>
    <row r="29" spans="1:6" x14ac:dyDescent="0.2">
      <c r="A29" s="51" t="s">
        <v>75</v>
      </c>
      <c r="B29" s="51" t="s">
        <v>76</v>
      </c>
      <c r="C29" s="97"/>
      <c r="D29" s="97"/>
      <c r="E29" s="97"/>
      <c r="F29" s="97"/>
    </row>
    <row r="30" spans="1:6" x14ac:dyDescent="0.2">
      <c r="A30" s="51" t="s">
        <v>77</v>
      </c>
      <c r="B30" s="51" t="s">
        <v>78</v>
      </c>
      <c r="C30" s="97"/>
      <c r="D30" s="97"/>
      <c r="E30" s="97"/>
      <c r="F30" s="97"/>
    </row>
    <row r="31" spans="1:6" ht="25.5" x14ac:dyDescent="0.2">
      <c r="A31" s="51" t="s">
        <v>79</v>
      </c>
      <c r="B31" s="51" t="s">
        <v>80</v>
      </c>
      <c r="C31" s="93" t="s">
        <v>102</v>
      </c>
      <c r="D31" s="93" t="s">
        <v>102</v>
      </c>
      <c r="E31" s="93" t="s">
        <v>102</v>
      </c>
      <c r="F31" s="93" t="s">
        <v>102</v>
      </c>
    </row>
    <row r="32" spans="1:6" ht="38.25" x14ac:dyDescent="0.2">
      <c r="A32" s="51" t="s">
        <v>81</v>
      </c>
      <c r="B32" s="51" t="s">
        <v>82</v>
      </c>
      <c r="C32" s="97"/>
      <c r="D32" s="97"/>
      <c r="E32" s="97" t="s">
        <v>485</v>
      </c>
      <c r="F32" s="97"/>
    </row>
    <row r="33" spans="1:6" ht="89.1" customHeight="1" x14ac:dyDescent="0.2">
      <c r="A33" s="51" t="s">
        <v>84</v>
      </c>
      <c r="B33" s="51" t="s">
        <v>85</v>
      </c>
      <c r="C33" s="170" t="s">
        <v>486</v>
      </c>
      <c r="D33" s="171"/>
      <c r="E33" s="100" t="s">
        <v>487</v>
      </c>
      <c r="F33" s="100"/>
    </row>
    <row r="34" spans="1:6" ht="25.5" x14ac:dyDescent="0.2">
      <c r="A34" s="51" t="s">
        <v>86</v>
      </c>
      <c r="B34" s="51" t="s">
        <v>87</v>
      </c>
      <c r="C34" s="101"/>
      <c r="D34" s="101"/>
      <c r="E34" s="101"/>
      <c r="F34" s="101"/>
    </row>
    <row r="35" spans="1:6" x14ac:dyDescent="0.2">
      <c r="A35" s="51" t="s">
        <v>89</v>
      </c>
      <c r="B35" s="51" t="s">
        <v>90</v>
      </c>
      <c r="C35" s="102"/>
      <c r="D35" s="102"/>
      <c r="E35" s="102"/>
      <c r="F35" s="101"/>
    </row>
    <row r="36" spans="1:6" ht="25.5" x14ac:dyDescent="0.2">
      <c r="A36" s="51" t="s">
        <v>91</v>
      </c>
      <c r="B36" s="51" t="s">
        <v>92</v>
      </c>
      <c r="C36" s="93" t="s">
        <v>102</v>
      </c>
      <c r="D36" s="93" t="s">
        <v>102</v>
      </c>
      <c r="E36" s="93" t="s">
        <v>102</v>
      </c>
      <c r="F36" s="93" t="s">
        <v>102</v>
      </c>
    </row>
    <row r="37" spans="1:6" ht="82.5" customHeight="1" x14ac:dyDescent="0.2">
      <c r="A37" s="51" t="s">
        <v>94</v>
      </c>
      <c r="B37" s="51" t="s">
        <v>95</v>
      </c>
      <c r="C37" s="102" t="s">
        <v>488</v>
      </c>
      <c r="D37" s="101"/>
      <c r="E37" s="101"/>
      <c r="F37" s="101"/>
    </row>
    <row r="38" spans="1:6" x14ac:dyDescent="0.2">
      <c r="A38" s="51" t="s">
        <v>96</v>
      </c>
      <c r="B38" s="51" t="s">
        <v>97</v>
      </c>
      <c r="C38" s="102"/>
      <c r="D38" s="101"/>
      <c r="E38" s="101"/>
      <c r="F38" s="101"/>
    </row>
    <row r="39" spans="1:6" x14ac:dyDescent="0.2">
      <c r="A39" s="51" t="s">
        <v>98</v>
      </c>
      <c r="B39" s="51" t="s">
        <v>99</v>
      </c>
      <c r="C39" s="102"/>
      <c r="D39" s="101"/>
      <c r="E39" s="102"/>
      <c r="F39" s="101"/>
    </row>
    <row r="40" spans="1:6" x14ac:dyDescent="0.2">
      <c r="A40" s="60" t="s">
        <v>273</v>
      </c>
      <c r="B40" s="60" t="s">
        <v>274</v>
      </c>
      <c r="C40" s="102"/>
      <c r="D40" s="101"/>
      <c r="E40" s="93" t="s">
        <v>102</v>
      </c>
      <c r="F40" s="93" t="s">
        <v>102</v>
      </c>
    </row>
    <row r="41" spans="1:6" x14ac:dyDescent="0.2">
      <c r="A41" s="149" t="s">
        <v>275</v>
      </c>
      <c r="B41" s="149"/>
      <c r="C41" s="2"/>
      <c r="D41" s="2"/>
      <c r="E41" s="2"/>
      <c r="F41" s="2"/>
    </row>
    <row r="42" spans="1:6" x14ac:dyDescent="0.2">
      <c r="A42" s="89" t="s">
        <v>178</v>
      </c>
    </row>
  </sheetData>
  <mergeCells count="6">
    <mergeCell ref="A41:B41"/>
    <mergeCell ref="A1:F1"/>
    <mergeCell ref="C11:D11"/>
    <mergeCell ref="E16:F16"/>
    <mergeCell ref="E17:F17"/>
    <mergeCell ref="C33:D33"/>
  </mergeCell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DA6E-FB57-42E5-8246-4394F7066360}">
  <sheetPr codeName="Sheet25">
    <tabColor theme="7" tint="-0.249977111117893"/>
  </sheetPr>
  <dimension ref="A1:F47"/>
  <sheetViews>
    <sheetView zoomScaleNormal="100" workbookViewId="0">
      <selection activeCell="M15" sqref="M15"/>
    </sheetView>
  </sheetViews>
  <sheetFormatPr defaultColWidth="8.7109375" defaultRowHeight="12.75" x14ac:dyDescent="0.2"/>
  <cols>
    <col min="1" max="1" width="4.7109375" style="2" customWidth="1"/>
    <col min="2" max="2" width="18" style="2" customWidth="1"/>
    <col min="3" max="3" width="12.7109375" style="2" customWidth="1"/>
    <col min="4" max="4" width="14.140625" style="2" customWidth="1"/>
    <col min="5" max="5" width="14" style="2" customWidth="1"/>
    <col min="6" max="16384" width="8.7109375" style="2"/>
  </cols>
  <sheetData>
    <row r="1" spans="1:5" ht="27" customHeight="1" x14ac:dyDescent="0.4">
      <c r="A1" s="148" t="s">
        <v>489</v>
      </c>
      <c r="B1" s="148"/>
      <c r="C1" s="148"/>
      <c r="D1" s="148"/>
      <c r="E1" s="148"/>
    </row>
    <row r="2" spans="1:5" ht="51" x14ac:dyDescent="0.2">
      <c r="A2" s="60" t="s">
        <v>1</v>
      </c>
      <c r="B2" s="60" t="s">
        <v>268</v>
      </c>
      <c r="C2" s="69" t="s">
        <v>490</v>
      </c>
      <c r="D2" s="69" t="s">
        <v>491</v>
      </c>
      <c r="E2" s="69" t="s">
        <v>492</v>
      </c>
    </row>
    <row r="3" spans="1:5" x14ac:dyDescent="0.2">
      <c r="A3" s="51" t="s">
        <v>12</v>
      </c>
      <c r="B3" s="51" t="s">
        <v>13</v>
      </c>
      <c r="C3" s="52" t="s">
        <v>93</v>
      </c>
      <c r="D3" s="52" t="s">
        <v>42</v>
      </c>
      <c r="E3" s="52" t="s">
        <v>42</v>
      </c>
    </row>
    <row r="4" spans="1:5" x14ac:dyDescent="0.2">
      <c r="A4" s="51" t="s">
        <v>17</v>
      </c>
      <c r="B4" s="51" t="s">
        <v>18</v>
      </c>
      <c r="C4" s="52" t="s">
        <v>93</v>
      </c>
      <c r="D4" s="52" t="s">
        <v>93</v>
      </c>
      <c r="E4" s="52" t="s">
        <v>42</v>
      </c>
    </row>
    <row r="5" spans="1:5" x14ac:dyDescent="0.2">
      <c r="A5" s="51" t="s">
        <v>22</v>
      </c>
      <c r="B5" s="51" t="s">
        <v>23</v>
      </c>
      <c r="C5" s="52" t="s">
        <v>93</v>
      </c>
      <c r="D5" s="52" t="s">
        <v>93</v>
      </c>
      <c r="E5" s="52" t="s">
        <v>42</v>
      </c>
    </row>
    <row r="6" spans="1:5" x14ac:dyDescent="0.2">
      <c r="A6" s="51" t="s">
        <v>25</v>
      </c>
      <c r="B6" s="51" t="s">
        <v>26</v>
      </c>
      <c r="C6" s="52" t="s">
        <v>93</v>
      </c>
      <c r="D6" s="52" t="s">
        <v>93</v>
      </c>
      <c r="E6" s="52" t="s">
        <v>42</v>
      </c>
    </row>
    <row r="7" spans="1:5" x14ac:dyDescent="0.2">
      <c r="A7" s="51" t="s">
        <v>27</v>
      </c>
      <c r="B7" s="51" t="s">
        <v>28</v>
      </c>
      <c r="C7" s="71" t="s">
        <v>93</v>
      </c>
      <c r="D7" s="71" t="s">
        <v>93</v>
      </c>
      <c r="E7" s="52" t="s">
        <v>93</v>
      </c>
    </row>
    <row r="8" spans="1:5" x14ac:dyDescent="0.2">
      <c r="A8" s="51" t="s">
        <v>29</v>
      </c>
      <c r="B8" s="51" t="s">
        <v>30</v>
      </c>
      <c r="C8" s="52" t="s">
        <v>42</v>
      </c>
      <c r="D8" s="52" t="s">
        <v>93</v>
      </c>
      <c r="E8" s="52" t="s">
        <v>42</v>
      </c>
    </row>
    <row r="9" spans="1:5" x14ac:dyDescent="0.2">
      <c r="A9" s="51" t="s">
        <v>31</v>
      </c>
      <c r="B9" s="51" t="s">
        <v>32</v>
      </c>
      <c r="C9" s="52" t="s">
        <v>93</v>
      </c>
      <c r="D9" s="52" t="s">
        <v>93</v>
      </c>
      <c r="E9" s="52" t="s">
        <v>42</v>
      </c>
    </row>
    <row r="10" spans="1:5" x14ac:dyDescent="0.2">
      <c r="A10" s="51" t="s">
        <v>33</v>
      </c>
      <c r="B10" s="51" t="s">
        <v>34</v>
      </c>
      <c r="C10" s="52" t="s">
        <v>93</v>
      </c>
      <c r="D10" s="52" t="s">
        <v>93</v>
      </c>
      <c r="E10" s="52" t="s">
        <v>42</v>
      </c>
    </row>
    <row r="11" spans="1:5" x14ac:dyDescent="0.2">
      <c r="A11" s="51" t="s">
        <v>35</v>
      </c>
      <c r="B11" s="51" t="s">
        <v>36</v>
      </c>
      <c r="C11" s="52" t="s">
        <v>93</v>
      </c>
      <c r="D11" s="52" t="s">
        <v>93</v>
      </c>
      <c r="E11" s="52" t="s">
        <v>42</v>
      </c>
    </row>
    <row r="12" spans="1:5" x14ac:dyDescent="0.2">
      <c r="A12" s="51" t="s">
        <v>38</v>
      </c>
      <c r="B12" s="51" t="s">
        <v>39</v>
      </c>
      <c r="C12" s="52" t="s">
        <v>93</v>
      </c>
      <c r="D12" s="52" t="s">
        <v>93</v>
      </c>
      <c r="E12" s="52" t="s">
        <v>42</v>
      </c>
    </row>
    <row r="13" spans="1:5" x14ac:dyDescent="0.2">
      <c r="A13" s="51" t="s">
        <v>40</v>
      </c>
      <c r="B13" s="51" t="s">
        <v>41</v>
      </c>
      <c r="C13" s="52" t="s">
        <v>42</v>
      </c>
      <c r="D13" s="52" t="s">
        <v>93</v>
      </c>
      <c r="E13" s="52" t="s">
        <v>42</v>
      </c>
    </row>
    <row r="14" spans="1:5" x14ac:dyDescent="0.2">
      <c r="A14" s="51" t="s">
        <v>43</v>
      </c>
      <c r="B14" s="51" t="s">
        <v>44</v>
      </c>
      <c r="C14" s="52" t="s">
        <v>93</v>
      </c>
      <c r="D14" s="52" t="s">
        <v>93</v>
      </c>
      <c r="E14" s="52" t="s">
        <v>42</v>
      </c>
    </row>
    <row r="15" spans="1:5" x14ac:dyDescent="0.2">
      <c r="A15" s="51" t="s">
        <v>45</v>
      </c>
      <c r="B15" s="51" t="s">
        <v>46</v>
      </c>
      <c r="C15" s="52" t="s">
        <v>93</v>
      </c>
      <c r="D15" s="52" t="s">
        <v>93</v>
      </c>
      <c r="E15" s="52" t="s">
        <v>42</v>
      </c>
    </row>
    <row r="16" spans="1:5" x14ac:dyDescent="0.2">
      <c r="A16" s="51" t="s">
        <v>47</v>
      </c>
      <c r="B16" s="51" t="s">
        <v>48</v>
      </c>
      <c r="C16" s="52" t="s">
        <v>93</v>
      </c>
      <c r="D16" s="52" t="s">
        <v>93</v>
      </c>
      <c r="E16" s="52" t="s">
        <v>42</v>
      </c>
    </row>
    <row r="17" spans="1:5" x14ac:dyDescent="0.2">
      <c r="A17" s="51" t="s">
        <v>49</v>
      </c>
      <c r="B17" s="51" t="s">
        <v>50</v>
      </c>
      <c r="C17" s="52" t="s">
        <v>93</v>
      </c>
      <c r="D17" s="52" t="s">
        <v>93</v>
      </c>
      <c r="E17" s="52" t="s">
        <v>42</v>
      </c>
    </row>
    <row r="18" spans="1:5" x14ac:dyDescent="0.2">
      <c r="A18" s="51" t="s">
        <v>51</v>
      </c>
      <c r="B18" s="51" t="s">
        <v>52</v>
      </c>
      <c r="C18" s="52" t="s">
        <v>93</v>
      </c>
      <c r="D18" s="52" t="s">
        <v>93</v>
      </c>
      <c r="E18" s="52" t="s">
        <v>93</v>
      </c>
    </row>
    <row r="19" spans="1:5" x14ac:dyDescent="0.2">
      <c r="A19" s="51" t="s">
        <v>53</v>
      </c>
      <c r="B19" s="51" t="s">
        <v>54</v>
      </c>
      <c r="C19" s="52" t="s">
        <v>42</v>
      </c>
      <c r="D19" s="52" t="s">
        <v>93</v>
      </c>
      <c r="E19" s="52" t="s">
        <v>42</v>
      </c>
    </row>
    <row r="20" spans="1:5" x14ac:dyDescent="0.2">
      <c r="A20" s="51" t="s">
        <v>55</v>
      </c>
      <c r="B20" s="51" t="s">
        <v>56</v>
      </c>
      <c r="C20" s="52" t="s">
        <v>93</v>
      </c>
      <c r="D20" s="52" t="s">
        <v>93</v>
      </c>
      <c r="E20" s="52" t="s">
        <v>42</v>
      </c>
    </row>
    <row r="21" spans="1:5" x14ac:dyDescent="0.2">
      <c r="A21" s="51" t="s">
        <v>57</v>
      </c>
      <c r="B21" s="51" t="s">
        <v>58</v>
      </c>
      <c r="C21" s="52" t="s">
        <v>93</v>
      </c>
      <c r="D21" s="52" t="s">
        <v>93</v>
      </c>
      <c r="E21" s="52" t="s">
        <v>42</v>
      </c>
    </row>
    <row r="22" spans="1:5" x14ac:dyDescent="0.2">
      <c r="A22" s="51" t="s">
        <v>60</v>
      </c>
      <c r="B22" s="51" t="s">
        <v>61</v>
      </c>
      <c r="C22" s="52" t="s">
        <v>93</v>
      </c>
      <c r="D22" s="52" t="s">
        <v>93</v>
      </c>
      <c r="E22" s="52" t="s">
        <v>42</v>
      </c>
    </row>
    <row r="23" spans="1:5" x14ac:dyDescent="0.2">
      <c r="A23" s="51" t="s">
        <v>62</v>
      </c>
      <c r="B23" s="51" t="s">
        <v>63</v>
      </c>
      <c r="C23" s="52" t="s">
        <v>93</v>
      </c>
      <c r="D23" s="52" t="s">
        <v>93</v>
      </c>
      <c r="E23" s="52" t="s">
        <v>42</v>
      </c>
    </row>
    <row r="24" spans="1:5" x14ac:dyDescent="0.2">
      <c r="A24" s="51" t="s">
        <v>64</v>
      </c>
      <c r="B24" s="51" t="s">
        <v>65</v>
      </c>
      <c r="C24" s="52" t="s">
        <v>93</v>
      </c>
      <c r="D24" s="52" t="s">
        <v>93</v>
      </c>
      <c r="E24" s="52" t="s">
        <v>42</v>
      </c>
    </row>
    <row r="25" spans="1:5" x14ac:dyDescent="0.2">
      <c r="A25" s="51" t="s">
        <v>66</v>
      </c>
      <c r="B25" s="51" t="s">
        <v>67</v>
      </c>
      <c r="C25" s="52" t="s">
        <v>93</v>
      </c>
      <c r="D25" s="52" t="s">
        <v>93</v>
      </c>
      <c r="E25" s="52" t="s">
        <v>42</v>
      </c>
    </row>
    <row r="26" spans="1:5" x14ac:dyDescent="0.2">
      <c r="A26" s="51" t="s">
        <v>68</v>
      </c>
      <c r="B26" s="51" t="s">
        <v>69</v>
      </c>
      <c r="C26" s="52" t="s">
        <v>42</v>
      </c>
      <c r="D26" s="52" t="s">
        <v>93</v>
      </c>
      <c r="E26" s="52" t="s">
        <v>42</v>
      </c>
    </row>
    <row r="27" spans="1:5" x14ac:dyDescent="0.2">
      <c r="A27" s="51" t="s">
        <v>70</v>
      </c>
      <c r="B27" s="51" t="s">
        <v>71</v>
      </c>
      <c r="C27" s="52" t="s">
        <v>42</v>
      </c>
      <c r="D27" s="52" t="s">
        <v>42</v>
      </c>
      <c r="E27" s="52" t="s">
        <v>42</v>
      </c>
    </row>
    <row r="28" spans="1:5" x14ac:dyDescent="0.2">
      <c r="A28" s="51" t="s">
        <v>73</v>
      </c>
      <c r="B28" s="51" t="s">
        <v>74</v>
      </c>
      <c r="C28" s="52" t="s">
        <v>93</v>
      </c>
      <c r="D28" s="52" t="s">
        <v>93</v>
      </c>
      <c r="E28" s="52" t="s">
        <v>42</v>
      </c>
    </row>
    <row r="29" spans="1:5" x14ac:dyDescent="0.2">
      <c r="A29" s="51" t="s">
        <v>75</v>
      </c>
      <c r="B29" s="51" t="s">
        <v>76</v>
      </c>
      <c r="C29" s="52" t="s">
        <v>93</v>
      </c>
      <c r="D29" s="52" t="s">
        <v>93</v>
      </c>
      <c r="E29" s="52" t="s">
        <v>42</v>
      </c>
    </row>
    <row r="30" spans="1:5" x14ac:dyDescent="0.2">
      <c r="A30" s="51" t="s">
        <v>77</v>
      </c>
      <c r="B30" s="51" t="s">
        <v>78</v>
      </c>
      <c r="C30" s="52" t="s">
        <v>93</v>
      </c>
      <c r="D30" s="52" t="s">
        <v>93</v>
      </c>
      <c r="E30" s="52" t="s">
        <v>42</v>
      </c>
    </row>
    <row r="31" spans="1:5" x14ac:dyDescent="0.2">
      <c r="A31" s="51" t="s">
        <v>79</v>
      </c>
      <c r="B31" s="51" t="s">
        <v>80</v>
      </c>
      <c r="C31" s="52" t="s">
        <v>102</v>
      </c>
      <c r="D31" s="52" t="s">
        <v>102</v>
      </c>
      <c r="E31" s="52" t="s">
        <v>102</v>
      </c>
    </row>
    <row r="32" spans="1:5" x14ac:dyDescent="0.2">
      <c r="A32" s="51" t="s">
        <v>81</v>
      </c>
      <c r="B32" s="51" t="s">
        <v>82</v>
      </c>
      <c r="C32" s="52" t="s">
        <v>93</v>
      </c>
      <c r="D32" s="52" t="s">
        <v>93</v>
      </c>
      <c r="E32" s="52" t="s">
        <v>42</v>
      </c>
    </row>
    <row r="33" spans="1:6" x14ac:dyDescent="0.2">
      <c r="A33" s="51" t="s">
        <v>84</v>
      </c>
      <c r="B33" s="51" t="s">
        <v>85</v>
      </c>
      <c r="C33" s="52" t="s">
        <v>93</v>
      </c>
      <c r="D33" s="52" t="s">
        <v>93</v>
      </c>
      <c r="E33" s="52" t="s">
        <v>42</v>
      </c>
    </row>
    <row r="34" spans="1:6" ht="25.5" x14ac:dyDescent="0.2">
      <c r="A34" s="51" t="s">
        <v>86</v>
      </c>
      <c r="B34" s="51" t="s">
        <v>87</v>
      </c>
      <c r="C34" s="52" t="s">
        <v>93</v>
      </c>
      <c r="D34" s="103" t="s">
        <v>93</v>
      </c>
      <c r="E34" s="52" t="s">
        <v>42</v>
      </c>
    </row>
    <row r="35" spans="1:6" x14ac:dyDescent="0.2">
      <c r="A35" s="51" t="s">
        <v>89</v>
      </c>
      <c r="B35" s="51" t="s">
        <v>90</v>
      </c>
      <c r="C35" s="52" t="s">
        <v>93</v>
      </c>
      <c r="D35" s="103" t="s">
        <v>93</v>
      </c>
      <c r="E35" s="52" t="s">
        <v>42</v>
      </c>
    </row>
    <row r="36" spans="1:6" x14ac:dyDescent="0.2">
      <c r="A36" s="51" t="s">
        <v>91</v>
      </c>
      <c r="B36" s="51" t="s">
        <v>92</v>
      </c>
      <c r="C36" s="52" t="s">
        <v>102</v>
      </c>
      <c r="D36" s="103" t="s">
        <v>102</v>
      </c>
      <c r="E36" s="52" t="s">
        <v>102</v>
      </c>
    </row>
    <row r="37" spans="1:6" x14ac:dyDescent="0.2">
      <c r="A37" s="51" t="s">
        <v>94</v>
      </c>
      <c r="B37" s="51" t="s">
        <v>95</v>
      </c>
      <c r="C37" s="52" t="s">
        <v>93</v>
      </c>
      <c r="D37" s="103" t="s">
        <v>42</v>
      </c>
      <c r="E37" s="52" t="s">
        <v>42</v>
      </c>
    </row>
    <row r="38" spans="1:6" x14ac:dyDescent="0.2">
      <c r="A38" s="51" t="s">
        <v>96</v>
      </c>
      <c r="B38" s="51" t="s">
        <v>97</v>
      </c>
      <c r="C38" s="52" t="s">
        <v>93</v>
      </c>
      <c r="D38" s="103" t="s">
        <v>93</v>
      </c>
      <c r="E38" s="52" t="s">
        <v>42</v>
      </c>
    </row>
    <row r="39" spans="1:6" x14ac:dyDescent="0.2">
      <c r="A39" s="51" t="s">
        <v>98</v>
      </c>
      <c r="B39" s="51" t="s">
        <v>99</v>
      </c>
      <c r="C39" s="54" t="s">
        <v>93</v>
      </c>
      <c r="D39" s="104" t="s">
        <v>93</v>
      </c>
      <c r="E39" s="52" t="s">
        <v>42</v>
      </c>
    </row>
    <row r="40" spans="1:6" x14ac:dyDescent="0.2">
      <c r="A40" s="60" t="s">
        <v>273</v>
      </c>
      <c r="B40" s="60" t="s">
        <v>274</v>
      </c>
      <c r="C40" s="54" t="s">
        <v>42</v>
      </c>
      <c r="D40" s="104" t="s">
        <v>42</v>
      </c>
      <c r="E40" s="54" t="s">
        <v>42</v>
      </c>
    </row>
    <row r="41" spans="1:6" x14ac:dyDescent="0.2">
      <c r="A41" s="139" t="s">
        <v>103</v>
      </c>
      <c r="B41" s="139"/>
      <c r="C41" s="72">
        <f>COUNTIF(C3:C40,"EXCLUDED")</f>
        <v>30</v>
      </c>
      <c r="D41" s="72">
        <f>COUNTIF(D3:D40,"EXCLUDED")</f>
        <v>32</v>
      </c>
      <c r="E41" s="72">
        <f t="shared" ref="E41" si="0">COUNTIF(E3:E40,"INCLUDED")</f>
        <v>34</v>
      </c>
    </row>
    <row r="42" spans="1:6" x14ac:dyDescent="0.2">
      <c r="A42" s="140" t="s">
        <v>104</v>
      </c>
      <c r="B42" s="140"/>
      <c r="C42" s="75">
        <f>C41/38</f>
        <v>0.78947368421052633</v>
      </c>
      <c r="D42" s="75">
        <f t="shared" ref="D42:E42" si="1">D41/38</f>
        <v>0.84210526315789469</v>
      </c>
      <c r="E42" s="75">
        <f t="shared" si="1"/>
        <v>0.89473684210526316</v>
      </c>
    </row>
    <row r="43" spans="1:6" x14ac:dyDescent="0.2">
      <c r="A43" s="142" t="s">
        <v>275</v>
      </c>
      <c r="B43" s="142"/>
      <c r="C43" s="142"/>
      <c r="D43" s="142"/>
      <c r="E43" s="142"/>
    </row>
    <row r="44" spans="1:6" x14ac:dyDescent="0.2">
      <c r="A44" s="142" t="s">
        <v>276</v>
      </c>
      <c r="B44" s="142"/>
      <c r="C44" s="142"/>
      <c r="D44" s="142"/>
      <c r="E44" s="142"/>
    </row>
    <row r="45" spans="1:6" x14ac:dyDescent="0.2">
      <c r="A45" s="56"/>
      <c r="B45" s="143" t="s">
        <v>277</v>
      </c>
      <c r="C45" s="143"/>
      <c r="D45" s="143"/>
      <c r="E45" s="143"/>
    </row>
    <row r="46" spans="1:6" x14ac:dyDescent="0.2">
      <c r="A46" s="57"/>
      <c r="B46" s="21" t="s">
        <v>107</v>
      </c>
      <c r="C46" s="21"/>
      <c r="D46" s="21"/>
      <c r="E46" s="21"/>
      <c r="F46" s="21"/>
    </row>
    <row r="47" spans="1:6" x14ac:dyDescent="0.2">
      <c r="A47" s="58"/>
      <c r="B47" s="59" t="s">
        <v>278</v>
      </c>
      <c r="C47" s="59"/>
      <c r="D47" s="59"/>
      <c r="E47" s="59"/>
      <c r="F47" s="59"/>
    </row>
  </sheetData>
  <mergeCells count="6">
    <mergeCell ref="B45:E45"/>
    <mergeCell ref="A1:E1"/>
    <mergeCell ref="A41:B41"/>
    <mergeCell ref="A42:B42"/>
    <mergeCell ref="A43:E43"/>
    <mergeCell ref="A44:E44"/>
  </mergeCells>
  <conditionalFormatting sqref="A46">
    <cfRule type="cellIs" dxfId="61" priority="1" stopIfTrue="1" operator="equal">
      <formula>"EXCLUDED"</formula>
    </cfRule>
    <cfRule type="cellIs" dxfId="60" priority="2" stopIfTrue="1" operator="equal">
      <formula>"DON'T KNOW IF COUNTED"</formula>
    </cfRule>
    <cfRule type="cellIs" dxfId="59" priority="3" stopIfTrue="1" operator="equal">
      <formula>"INCLUDED"</formula>
    </cfRule>
    <cfRule type="cellIs" dxfId="58" priority="4" stopIfTrue="1" operator="equal">
      <formula>"NOT COUNTED"</formula>
    </cfRule>
    <cfRule type="cellIs" dxfId="57" priority="5" stopIfTrue="1" operator="equal">
      <formula>":"</formula>
    </cfRule>
    <cfRule type="cellIs" dxfId="56" priority="6" stopIfTrue="1" operator="equal">
      <formula>"NOT COUNTED; INCLUDED"</formula>
    </cfRule>
    <cfRule type="cellIs" dxfId="55" priority="7" stopIfTrue="1" operator="equal">
      <formula>"COUNTED; EXCLUDED"</formula>
    </cfRule>
    <cfRule type="cellIs" dxfId="54" priority="8" stopIfTrue="1" operator="equal">
      <formula>"NOT COUNTED; EXCLUDED"</formula>
    </cfRule>
    <cfRule type="cellIs" dxfId="53" priority="9" stopIfTrue="1" operator="equal">
      <formula>"COUNTED; INCLUDED"</formula>
    </cfRule>
    <cfRule type="cellIs" dxfId="52" priority="10" stopIfTrue="1" operator="equal">
      <formula>"NOT SEPARATED; INCLUDED"</formula>
    </cfRule>
    <cfRule type="cellIs" dxfId="51" priority="11" stopIfTrue="1" operator="equal">
      <formula>"SEPARATED"</formula>
    </cfRule>
    <cfRule type="cellIs" dxfId="50" priority="12" stopIfTrue="1" operator="equal">
      <formula>"SEPARATED; EXCLUDED"</formula>
    </cfRule>
    <cfRule type="cellIs" dxfId="49" priority="13" stopIfTrue="1" operator="equal">
      <formula>"SEPARATED; INCLUDED"</formula>
    </cfRule>
    <cfRule type="cellIs" dxfId="48" priority="14" stopIfTrue="1" operator="equal">
      <formula>"NOT SEPARATED; EXCLUDED"</formula>
    </cfRule>
    <cfRule type="cellIs" dxfId="47" priority="15" stopIfTrue="1" operator="equal">
      <formula>"NOT SEPARATED"</formula>
    </cfRule>
  </conditionalFormatting>
  <conditionalFormatting sqref="C3:D40">
    <cfRule type="cellIs" dxfId="46" priority="19" stopIfTrue="1" operator="equal">
      <formula>"Included"</formula>
    </cfRule>
    <cfRule type="cellIs" dxfId="45" priority="20" stopIfTrue="1" operator="equal">
      <formula>"Excluded"</formula>
    </cfRule>
  </conditionalFormatting>
  <conditionalFormatting sqref="C3:E40">
    <cfRule type="cellIs" dxfId="44" priority="18" stopIfTrue="1" operator="equal">
      <formula>":"</formula>
    </cfRule>
  </conditionalFormatting>
  <conditionalFormatting sqref="E3:E40">
    <cfRule type="cellIs" dxfId="43" priority="16" stopIfTrue="1" operator="equal">
      <formula>"Excluded"</formula>
    </cfRule>
    <cfRule type="cellIs" dxfId="42" priority="17" stopIfTrue="1" operator="equal">
      <formula>"Included"</formula>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3C36-0A9F-48AF-9D77-C49110C53A4A}">
  <sheetPr codeName="Sheet35">
    <tabColor theme="7" tint="-0.249977111117893"/>
  </sheetPr>
  <dimension ref="A1:E42"/>
  <sheetViews>
    <sheetView zoomScaleNormal="100" workbookViewId="0">
      <selection activeCell="M15" sqref="M15"/>
    </sheetView>
  </sheetViews>
  <sheetFormatPr defaultColWidth="8.7109375" defaultRowHeight="12.75" x14ac:dyDescent="0.2"/>
  <cols>
    <col min="1" max="1" width="4.7109375" style="2" customWidth="1"/>
    <col min="2" max="2" width="13.140625" style="2" customWidth="1"/>
    <col min="3" max="3" width="29.42578125" style="2" customWidth="1"/>
    <col min="4" max="4" width="26.5703125" style="2" customWidth="1"/>
    <col min="5" max="5" width="28.42578125" style="2" customWidth="1"/>
    <col min="6" max="16384" width="8.7109375" style="2"/>
  </cols>
  <sheetData>
    <row r="1" spans="1:5" ht="34.5" customHeight="1" x14ac:dyDescent="0.4">
      <c r="A1" s="148" t="s">
        <v>493</v>
      </c>
      <c r="B1" s="148"/>
      <c r="C1" s="148"/>
      <c r="D1" s="148"/>
      <c r="E1" s="148"/>
    </row>
    <row r="2" spans="1:5" ht="38.25" x14ac:dyDescent="0.2">
      <c r="A2" s="60" t="s">
        <v>1</v>
      </c>
      <c r="B2" s="60" t="s">
        <v>268</v>
      </c>
      <c r="C2" s="69" t="s">
        <v>494</v>
      </c>
      <c r="D2" s="69" t="s">
        <v>495</v>
      </c>
      <c r="E2" s="69" t="s">
        <v>496</v>
      </c>
    </row>
    <row r="3" spans="1:5" ht="33.6" customHeight="1" x14ac:dyDescent="0.2">
      <c r="A3" s="51" t="s">
        <v>12</v>
      </c>
      <c r="B3" s="51" t="s">
        <v>13</v>
      </c>
      <c r="C3" s="61">
        <v>501</v>
      </c>
      <c r="D3" s="61" t="s">
        <v>497</v>
      </c>
      <c r="E3" s="61"/>
    </row>
    <row r="4" spans="1:5" ht="114.95" customHeight="1" x14ac:dyDescent="0.2">
      <c r="A4" s="51" t="s">
        <v>17</v>
      </c>
      <c r="B4" s="51" t="s">
        <v>18</v>
      </c>
      <c r="C4" s="61" t="s">
        <v>120</v>
      </c>
      <c r="D4" s="61"/>
      <c r="E4" s="61" t="s">
        <v>120</v>
      </c>
    </row>
    <row r="5" spans="1:5" x14ac:dyDescent="0.2">
      <c r="A5" s="51" t="s">
        <v>22</v>
      </c>
      <c r="B5" s="51" t="s">
        <v>23</v>
      </c>
      <c r="C5" s="61"/>
      <c r="D5" s="61"/>
      <c r="E5" s="61"/>
    </row>
    <row r="6" spans="1:5" x14ac:dyDescent="0.2">
      <c r="A6" s="51" t="s">
        <v>25</v>
      </c>
      <c r="B6" s="51" t="s">
        <v>26</v>
      </c>
      <c r="C6" s="61"/>
      <c r="D6" s="61"/>
      <c r="E6" s="61"/>
    </row>
    <row r="7" spans="1:5" ht="51" x14ac:dyDescent="0.2">
      <c r="A7" s="51" t="s">
        <v>27</v>
      </c>
      <c r="B7" s="51" t="s">
        <v>28</v>
      </c>
      <c r="C7" s="61" t="s">
        <v>498</v>
      </c>
      <c r="D7" s="61" t="s">
        <v>499</v>
      </c>
      <c r="E7" s="61" t="s">
        <v>500</v>
      </c>
    </row>
    <row r="8" spans="1:5" ht="51" x14ac:dyDescent="0.2">
      <c r="A8" s="51" t="s">
        <v>29</v>
      </c>
      <c r="B8" s="51" t="s">
        <v>30</v>
      </c>
      <c r="C8" s="61" t="s">
        <v>501</v>
      </c>
      <c r="D8" s="61"/>
      <c r="E8" s="61"/>
    </row>
    <row r="9" spans="1:5" x14ac:dyDescent="0.2">
      <c r="A9" s="51" t="s">
        <v>31</v>
      </c>
      <c r="B9" s="51" t="s">
        <v>32</v>
      </c>
      <c r="C9" s="61"/>
      <c r="D9" s="61"/>
      <c r="E9" s="61"/>
    </row>
    <row r="10" spans="1:5" x14ac:dyDescent="0.2">
      <c r="A10" s="51" t="s">
        <v>33</v>
      </c>
      <c r="B10" s="51" t="s">
        <v>34</v>
      </c>
      <c r="C10" s="61"/>
      <c r="D10" s="61"/>
      <c r="E10" s="61"/>
    </row>
    <row r="11" spans="1:5" x14ac:dyDescent="0.2">
      <c r="A11" s="51" t="s">
        <v>35</v>
      </c>
      <c r="B11" s="51" t="s">
        <v>36</v>
      </c>
      <c r="C11" s="61"/>
      <c r="D11" s="61"/>
      <c r="E11" s="61"/>
    </row>
    <row r="12" spans="1:5" x14ac:dyDescent="0.2">
      <c r="A12" s="51" t="s">
        <v>38</v>
      </c>
      <c r="B12" s="51" t="s">
        <v>39</v>
      </c>
      <c r="C12" s="61"/>
      <c r="D12" s="61"/>
      <c r="E12" s="61"/>
    </row>
    <row r="13" spans="1:5" ht="25.5" x14ac:dyDescent="0.2">
      <c r="A13" s="51" t="s">
        <v>40</v>
      </c>
      <c r="B13" s="51" t="s">
        <v>41</v>
      </c>
      <c r="C13" s="61" t="s">
        <v>502</v>
      </c>
      <c r="D13" s="61" t="s">
        <v>503</v>
      </c>
      <c r="E13" s="61" t="s">
        <v>474</v>
      </c>
    </row>
    <row r="14" spans="1:5" x14ac:dyDescent="0.2">
      <c r="A14" s="51" t="s">
        <v>43</v>
      </c>
      <c r="B14" s="51" t="s">
        <v>44</v>
      </c>
      <c r="C14" s="61"/>
      <c r="D14" s="61"/>
      <c r="E14" s="61"/>
    </row>
    <row r="15" spans="1:5" x14ac:dyDescent="0.2">
      <c r="A15" s="51" t="s">
        <v>45</v>
      </c>
      <c r="B15" s="51" t="s">
        <v>46</v>
      </c>
      <c r="C15" s="61"/>
      <c r="D15" s="61"/>
      <c r="E15" s="61"/>
    </row>
    <row r="16" spans="1:5" x14ac:dyDescent="0.2">
      <c r="A16" s="51" t="s">
        <v>47</v>
      </c>
      <c r="B16" s="51" t="s">
        <v>48</v>
      </c>
      <c r="C16" s="61"/>
      <c r="D16" s="61"/>
      <c r="E16" s="61"/>
    </row>
    <row r="17" spans="1:5" x14ac:dyDescent="0.2">
      <c r="A17" s="51" t="s">
        <v>49</v>
      </c>
      <c r="B17" s="51" t="s">
        <v>50</v>
      </c>
      <c r="C17" s="61"/>
      <c r="D17" s="61"/>
      <c r="E17" s="61"/>
    </row>
    <row r="18" spans="1:5" x14ac:dyDescent="0.2">
      <c r="A18" s="51" t="s">
        <v>51</v>
      </c>
      <c r="B18" s="51" t="s">
        <v>52</v>
      </c>
      <c r="C18" s="61"/>
      <c r="D18" s="61"/>
      <c r="E18" s="65" t="s">
        <v>102</v>
      </c>
    </row>
    <row r="19" spans="1:5" ht="87.95" customHeight="1" x14ac:dyDescent="0.2">
      <c r="A19" s="51" t="s">
        <v>53</v>
      </c>
      <c r="B19" s="51" t="s">
        <v>54</v>
      </c>
      <c r="C19" s="61" t="s">
        <v>504</v>
      </c>
      <c r="D19" s="61"/>
      <c r="E19" s="61"/>
    </row>
    <row r="20" spans="1:5" x14ac:dyDescent="0.2">
      <c r="A20" s="51" t="s">
        <v>55</v>
      </c>
      <c r="B20" s="51" t="s">
        <v>56</v>
      </c>
      <c r="C20" s="61"/>
      <c r="D20" s="61"/>
      <c r="E20" s="61"/>
    </row>
    <row r="21" spans="1:5" x14ac:dyDescent="0.2">
      <c r="A21" s="51" t="s">
        <v>57</v>
      </c>
      <c r="B21" s="51" t="s">
        <v>58</v>
      </c>
      <c r="C21" s="61"/>
      <c r="D21" s="61"/>
      <c r="E21" s="61"/>
    </row>
    <row r="22" spans="1:5" x14ac:dyDescent="0.2">
      <c r="A22" s="51" t="s">
        <v>60</v>
      </c>
      <c r="B22" s="51" t="s">
        <v>61</v>
      </c>
      <c r="C22" s="61"/>
      <c r="D22" s="61"/>
      <c r="E22" s="61"/>
    </row>
    <row r="23" spans="1:5" x14ac:dyDescent="0.2">
      <c r="A23" s="51" t="s">
        <v>62</v>
      </c>
      <c r="B23" s="51" t="s">
        <v>63</v>
      </c>
      <c r="C23" s="61"/>
      <c r="D23" s="61"/>
      <c r="E23" s="61"/>
    </row>
    <row r="24" spans="1:5" x14ac:dyDescent="0.2">
      <c r="A24" s="51" t="s">
        <v>64</v>
      </c>
      <c r="B24" s="51" t="s">
        <v>65</v>
      </c>
      <c r="C24" s="61"/>
      <c r="D24" s="61"/>
      <c r="E24" s="61"/>
    </row>
    <row r="25" spans="1:5" x14ac:dyDescent="0.2">
      <c r="A25" s="51" t="s">
        <v>66</v>
      </c>
      <c r="B25" s="51" t="s">
        <v>67</v>
      </c>
      <c r="C25" s="61"/>
      <c r="D25" s="61"/>
      <c r="E25" s="61"/>
    </row>
    <row r="26" spans="1:5" ht="164.45" customHeight="1" x14ac:dyDescent="0.2">
      <c r="A26" s="51" t="s">
        <v>68</v>
      </c>
      <c r="B26" s="51" t="s">
        <v>69</v>
      </c>
      <c r="C26" s="61" t="s">
        <v>297</v>
      </c>
      <c r="D26" s="61"/>
      <c r="E26" s="61"/>
    </row>
    <row r="27" spans="1:5" ht="38.25" x14ac:dyDescent="0.2">
      <c r="A27" s="51" t="s">
        <v>70</v>
      </c>
      <c r="B27" s="51" t="s">
        <v>71</v>
      </c>
      <c r="C27" s="61" t="s">
        <v>102</v>
      </c>
      <c r="D27" s="61" t="s">
        <v>505</v>
      </c>
      <c r="E27" s="61"/>
    </row>
    <row r="28" spans="1:5" x14ac:dyDescent="0.2">
      <c r="A28" s="51" t="s">
        <v>73</v>
      </c>
      <c r="B28" s="51" t="s">
        <v>74</v>
      </c>
      <c r="C28" s="61"/>
      <c r="D28" s="61"/>
      <c r="E28" s="61"/>
    </row>
    <row r="29" spans="1:5" x14ac:dyDescent="0.2">
      <c r="A29" s="51" t="s">
        <v>75</v>
      </c>
      <c r="B29" s="51" t="s">
        <v>76</v>
      </c>
      <c r="C29" s="61"/>
      <c r="D29" s="61"/>
      <c r="E29" s="61"/>
    </row>
    <row r="30" spans="1:5" x14ac:dyDescent="0.2">
      <c r="A30" s="51" t="s">
        <v>77</v>
      </c>
      <c r="B30" s="51" t="s">
        <v>78</v>
      </c>
      <c r="C30" s="61"/>
      <c r="D30" s="61"/>
      <c r="E30" s="61"/>
    </row>
    <row r="31" spans="1:5" ht="25.5" x14ac:dyDescent="0.2">
      <c r="A31" s="51" t="s">
        <v>79</v>
      </c>
      <c r="B31" s="51" t="s">
        <v>80</v>
      </c>
      <c r="C31" s="65" t="s">
        <v>102</v>
      </c>
      <c r="D31" s="65" t="s">
        <v>102</v>
      </c>
      <c r="E31" s="65" t="s">
        <v>102</v>
      </c>
    </row>
    <row r="32" spans="1:5" x14ac:dyDescent="0.2">
      <c r="A32" s="51" t="s">
        <v>81</v>
      </c>
      <c r="B32" s="51" t="s">
        <v>82</v>
      </c>
      <c r="C32" s="61"/>
      <c r="D32" s="61"/>
      <c r="E32" s="61"/>
    </row>
    <row r="33" spans="1:5" x14ac:dyDescent="0.2">
      <c r="A33" s="51" t="s">
        <v>84</v>
      </c>
      <c r="B33" s="51" t="s">
        <v>85</v>
      </c>
      <c r="C33" s="61"/>
      <c r="D33" s="61"/>
      <c r="E33" s="61"/>
    </row>
    <row r="34" spans="1:5" ht="25.5" x14ac:dyDescent="0.2">
      <c r="A34" s="51" t="s">
        <v>86</v>
      </c>
      <c r="B34" s="51" t="s">
        <v>87</v>
      </c>
      <c r="C34" s="61"/>
      <c r="D34" s="61"/>
      <c r="E34" s="61"/>
    </row>
    <row r="35" spans="1:5" x14ac:dyDescent="0.2">
      <c r="A35" s="51" t="s">
        <v>89</v>
      </c>
      <c r="B35" s="51" t="s">
        <v>90</v>
      </c>
      <c r="C35" s="61"/>
      <c r="D35" s="61"/>
      <c r="E35" s="61"/>
    </row>
    <row r="36" spans="1:5" ht="25.5" x14ac:dyDescent="0.2">
      <c r="A36" s="51" t="s">
        <v>91</v>
      </c>
      <c r="B36" s="51" t="s">
        <v>92</v>
      </c>
      <c r="C36" s="105" t="s">
        <v>102</v>
      </c>
      <c r="D36" s="105" t="s">
        <v>102</v>
      </c>
      <c r="E36" s="105" t="s">
        <v>102</v>
      </c>
    </row>
    <row r="37" spans="1:5" x14ac:dyDescent="0.2">
      <c r="A37" s="51" t="s">
        <v>94</v>
      </c>
      <c r="B37" s="51" t="s">
        <v>95</v>
      </c>
      <c r="C37" s="61"/>
      <c r="D37" s="105" t="s">
        <v>102</v>
      </c>
      <c r="E37" s="61"/>
    </row>
    <row r="38" spans="1:5" x14ac:dyDescent="0.2">
      <c r="A38" s="51" t="s">
        <v>96</v>
      </c>
      <c r="B38" s="51" t="s">
        <v>97</v>
      </c>
      <c r="C38" s="61"/>
      <c r="D38" s="61"/>
      <c r="E38" s="61"/>
    </row>
    <row r="39" spans="1:5" x14ac:dyDescent="0.2">
      <c r="A39" s="60" t="s">
        <v>98</v>
      </c>
      <c r="B39" s="60" t="s">
        <v>99</v>
      </c>
      <c r="C39" s="61"/>
      <c r="D39" s="61"/>
      <c r="E39" s="61"/>
    </row>
    <row r="40" spans="1:5" x14ac:dyDescent="0.2">
      <c r="A40" s="85" t="s">
        <v>273</v>
      </c>
      <c r="B40" s="85" t="s">
        <v>274</v>
      </c>
      <c r="C40" s="105" t="s">
        <v>102</v>
      </c>
      <c r="D40" s="105" t="s">
        <v>102</v>
      </c>
      <c r="E40" s="61"/>
    </row>
    <row r="41" spans="1:5" x14ac:dyDescent="0.2">
      <c r="A41" s="142" t="s">
        <v>275</v>
      </c>
      <c r="B41" s="142"/>
      <c r="C41" s="142"/>
    </row>
    <row r="42" spans="1:5" x14ac:dyDescent="0.2">
      <c r="A42" s="89" t="s">
        <v>178</v>
      </c>
    </row>
  </sheetData>
  <mergeCells count="2">
    <mergeCell ref="A1:E1"/>
    <mergeCell ref="A41:C41"/>
  </mergeCell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BCAB-E716-47E2-96FE-C00604215DCA}">
  <sheetPr codeName="Sheet26">
    <tabColor theme="2" tint="-0.249977111117893"/>
  </sheetPr>
  <dimension ref="A1:F47"/>
  <sheetViews>
    <sheetView zoomScaleNormal="100" workbookViewId="0">
      <selection activeCell="M15" sqref="M15"/>
    </sheetView>
  </sheetViews>
  <sheetFormatPr defaultColWidth="8.7109375" defaultRowHeight="12.75" x14ac:dyDescent="0.2"/>
  <cols>
    <col min="1" max="1" width="4.7109375" style="2" customWidth="1"/>
    <col min="2" max="2" width="16.140625" style="2" customWidth="1"/>
    <col min="3" max="6" width="11.42578125" style="2" customWidth="1"/>
    <col min="7" max="16384" width="8.7109375" style="2"/>
  </cols>
  <sheetData>
    <row r="1" spans="1:6" ht="22.5" customHeight="1" x14ac:dyDescent="0.35">
      <c r="A1" s="164" t="s">
        <v>506</v>
      </c>
      <c r="B1" s="164"/>
      <c r="C1" s="164"/>
      <c r="D1" s="164"/>
      <c r="E1" s="164"/>
      <c r="F1" s="164"/>
    </row>
    <row r="2" spans="1:6" ht="63.75" x14ac:dyDescent="0.2">
      <c r="A2" s="60" t="s">
        <v>1</v>
      </c>
      <c r="B2" s="60" t="s">
        <v>268</v>
      </c>
      <c r="C2" s="69" t="s">
        <v>490</v>
      </c>
      <c r="D2" s="69" t="s">
        <v>491</v>
      </c>
      <c r="E2" s="69" t="s">
        <v>492</v>
      </c>
      <c r="F2" s="60" t="s">
        <v>507</v>
      </c>
    </row>
    <row r="3" spans="1:6" x14ac:dyDescent="0.2">
      <c r="A3" s="51" t="s">
        <v>12</v>
      </c>
      <c r="B3" s="51" t="s">
        <v>13</v>
      </c>
      <c r="C3" s="71" t="s">
        <v>93</v>
      </c>
      <c r="D3" s="71" t="s">
        <v>93</v>
      </c>
      <c r="E3" s="71" t="s">
        <v>93</v>
      </c>
      <c r="F3" s="71" t="s">
        <v>93</v>
      </c>
    </row>
    <row r="4" spans="1:6" x14ac:dyDescent="0.2">
      <c r="A4" s="51" t="s">
        <v>17</v>
      </c>
      <c r="B4" s="51" t="s">
        <v>18</v>
      </c>
      <c r="C4" s="71" t="s">
        <v>93</v>
      </c>
      <c r="D4" s="71" t="s">
        <v>93</v>
      </c>
      <c r="E4" s="71" t="s">
        <v>93</v>
      </c>
      <c r="F4" s="71" t="s">
        <v>93</v>
      </c>
    </row>
    <row r="5" spans="1:6" x14ac:dyDescent="0.2">
      <c r="A5" s="51" t="s">
        <v>22</v>
      </c>
      <c r="B5" s="51" t="s">
        <v>23</v>
      </c>
      <c r="C5" s="71" t="s">
        <v>93</v>
      </c>
      <c r="D5" s="71" t="s">
        <v>93</v>
      </c>
      <c r="E5" s="71" t="s">
        <v>93</v>
      </c>
      <c r="F5" s="71" t="s">
        <v>93</v>
      </c>
    </row>
    <row r="6" spans="1:6" x14ac:dyDescent="0.2">
      <c r="A6" s="51" t="s">
        <v>25</v>
      </c>
      <c r="B6" s="51" t="s">
        <v>26</v>
      </c>
      <c r="C6" s="71" t="s">
        <v>93</v>
      </c>
      <c r="D6" s="71" t="s">
        <v>93</v>
      </c>
      <c r="E6" s="71" t="s">
        <v>93</v>
      </c>
      <c r="F6" s="71" t="s">
        <v>93</v>
      </c>
    </row>
    <row r="7" spans="1:6" x14ac:dyDescent="0.2">
      <c r="A7" s="51" t="s">
        <v>27</v>
      </c>
      <c r="B7" s="51" t="s">
        <v>28</v>
      </c>
      <c r="C7" s="71" t="s">
        <v>93</v>
      </c>
      <c r="D7" s="71" t="s">
        <v>93</v>
      </c>
      <c r="E7" s="71" t="s">
        <v>93</v>
      </c>
      <c r="F7" s="71" t="s">
        <v>93</v>
      </c>
    </row>
    <row r="8" spans="1:6" x14ac:dyDescent="0.2">
      <c r="A8" s="51" t="s">
        <v>29</v>
      </c>
      <c r="B8" s="51" t="s">
        <v>30</v>
      </c>
      <c r="C8" s="71" t="s">
        <v>93</v>
      </c>
      <c r="D8" s="71" t="s">
        <v>93</v>
      </c>
      <c r="E8" s="71" t="s">
        <v>93</v>
      </c>
      <c r="F8" s="71" t="s">
        <v>93</v>
      </c>
    </row>
    <row r="9" spans="1:6" x14ac:dyDescent="0.2">
      <c r="A9" s="51" t="s">
        <v>31</v>
      </c>
      <c r="B9" s="51" t="s">
        <v>32</v>
      </c>
      <c r="C9" s="71" t="s">
        <v>93</v>
      </c>
      <c r="D9" s="71" t="s">
        <v>93</v>
      </c>
      <c r="E9" s="71" t="s">
        <v>93</v>
      </c>
      <c r="F9" s="71" t="s">
        <v>93</v>
      </c>
    </row>
    <row r="10" spans="1:6" x14ac:dyDescent="0.2">
      <c r="A10" s="51" t="s">
        <v>33</v>
      </c>
      <c r="B10" s="51" t="s">
        <v>34</v>
      </c>
      <c r="C10" s="71" t="s">
        <v>93</v>
      </c>
      <c r="D10" s="71" t="s">
        <v>93</v>
      </c>
      <c r="E10" s="71" t="s">
        <v>93</v>
      </c>
      <c r="F10" s="71" t="s">
        <v>93</v>
      </c>
    </row>
    <row r="11" spans="1:6" x14ac:dyDescent="0.2">
      <c r="A11" s="51" t="s">
        <v>35</v>
      </c>
      <c r="B11" s="51" t="s">
        <v>36</v>
      </c>
      <c r="C11" s="71" t="s">
        <v>93</v>
      </c>
      <c r="D11" s="71" t="s">
        <v>93</v>
      </c>
      <c r="E11" s="71" t="s">
        <v>93</v>
      </c>
      <c r="F11" s="71" t="s">
        <v>93</v>
      </c>
    </row>
    <row r="12" spans="1:6" x14ac:dyDescent="0.2">
      <c r="A12" s="51" t="s">
        <v>38</v>
      </c>
      <c r="B12" s="51" t="s">
        <v>39</v>
      </c>
      <c r="C12" s="71" t="s">
        <v>93</v>
      </c>
      <c r="D12" s="71" t="s">
        <v>93</v>
      </c>
      <c r="E12" s="71" t="s">
        <v>93</v>
      </c>
      <c r="F12" s="71" t="s">
        <v>93</v>
      </c>
    </row>
    <row r="13" spans="1:6" x14ac:dyDescent="0.2">
      <c r="A13" s="51" t="s">
        <v>40</v>
      </c>
      <c r="B13" s="51" t="s">
        <v>41</v>
      </c>
      <c r="C13" s="71" t="s">
        <v>93</v>
      </c>
      <c r="D13" s="71" t="s">
        <v>93</v>
      </c>
      <c r="E13" s="71" t="s">
        <v>93</v>
      </c>
      <c r="F13" s="71" t="s">
        <v>93</v>
      </c>
    </row>
    <row r="14" spans="1:6" x14ac:dyDescent="0.2">
      <c r="A14" s="51" t="s">
        <v>43</v>
      </c>
      <c r="B14" s="51" t="s">
        <v>44</v>
      </c>
      <c r="C14" s="71" t="s">
        <v>93</v>
      </c>
      <c r="D14" s="71" t="s">
        <v>93</v>
      </c>
      <c r="E14" s="71" t="s">
        <v>93</v>
      </c>
      <c r="F14" s="71" t="s">
        <v>93</v>
      </c>
    </row>
    <row r="15" spans="1:6" x14ac:dyDescent="0.2">
      <c r="A15" s="51" t="s">
        <v>45</v>
      </c>
      <c r="B15" s="51" t="s">
        <v>46</v>
      </c>
      <c r="C15" s="71" t="s">
        <v>93</v>
      </c>
      <c r="D15" s="71" t="s">
        <v>93</v>
      </c>
      <c r="E15" s="71" t="s">
        <v>93</v>
      </c>
      <c r="F15" s="71" t="s">
        <v>93</v>
      </c>
    </row>
    <row r="16" spans="1:6" x14ac:dyDescent="0.2">
      <c r="A16" s="51" t="s">
        <v>47</v>
      </c>
      <c r="B16" s="51" t="s">
        <v>48</v>
      </c>
      <c r="C16" s="71" t="s">
        <v>93</v>
      </c>
      <c r="D16" s="71" t="s">
        <v>93</v>
      </c>
      <c r="E16" s="71" t="s">
        <v>93</v>
      </c>
      <c r="F16" s="71" t="s">
        <v>93</v>
      </c>
    </row>
    <row r="17" spans="1:6" x14ac:dyDescent="0.2">
      <c r="A17" s="51" t="s">
        <v>49</v>
      </c>
      <c r="B17" s="51" t="s">
        <v>50</v>
      </c>
      <c r="C17" s="71" t="s">
        <v>93</v>
      </c>
      <c r="D17" s="71" t="s">
        <v>93</v>
      </c>
      <c r="E17" s="71" t="s">
        <v>93</v>
      </c>
      <c r="F17" s="71" t="s">
        <v>93</v>
      </c>
    </row>
    <row r="18" spans="1:6" x14ac:dyDescent="0.2">
      <c r="A18" s="51" t="s">
        <v>51</v>
      </c>
      <c r="B18" s="51" t="s">
        <v>52</v>
      </c>
      <c r="C18" s="71" t="s">
        <v>93</v>
      </c>
      <c r="D18" s="71" t="s">
        <v>93</v>
      </c>
      <c r="E18" s="71" t="s">
        <v>93</v>
      </c>
      <c r="F18" s="71" t="s">
        <v>93</v>
      </c>
    </row>
    <row r="19" spans="1:6" x14ac:dyDescent="0.2">
      <c r="A19" s="51" t="s">
        <v>53</v>
      </c>
      <c r="B19" s="51" t="s">
        <v>54</v>
      </c>
      <c r="C19" s="71" t="s">
        <v>93</v>
      </c>
      <c r="D19" s="71" t="s">
        <v>93</v>
      </c>
      <c r="E19" s="71" t="s">
        <v>93</v>
      </c>
      <c r="F19" s="71" t="s">
        <v>93</v>
      </c>
    </row>
    <row r="20" spans="1:6" x14ac:dyDescent="0.2">
      <c r="A20" s="51" t="s">
        <v>55</v>
      </c>
      <c r="B20" s="51" t="s">
        <v>56</v>
      </c>
      <c r="C20" s="71" t="s">
        <v>93</v>
      </c>
      <c r="D20" s="71" t="s">
        <v>93</v>
      </c>
      <c r="E20" s="71" t="s">
        <v>93</v>
      </c>
      <c r="F20" s="71" t="s">
        <v>93</v>
      </c>
    </row>
    <row r="21" spans="1:6" x14ac:dyDescent="0.2">
      <c r="A21" s="51" t="s">
        <v>57</v>
      </c>
      <c r="B21" s="51" t="s">
        <v>58</v>
      </c>
      <c r="C21" s="71" t="s">
        <v>93</v>
      </c>
      <c r="D21" s="71" t="s">
        <v>93</v>
      </c>
      <c r="E21" s="71" t="s">
        <v>93</v>
      </c>
      <c r="F21" s="71" t="s">
        <v>93</v>
      </c>
    </row>
    <row r="22" spans="1:6" x14ac:dyDescent="0.2">
      <c r="A22" s="51" t="s">
        <v>60</v>
      </c>
      <c r="B22" s="51" t="s">
        <v>61</v>
      </c>
      <c r="C22" s="71" t="s">
        <v>93</v>
      </c>
      <c r="D22" s="71" t="s">
        <v>93</v>
      </c>
      <c r="E22" s="71" t="s">
        <v>93</v>
      </c>
      <c r="F22" s="71" t="s">
        <v>93</v>
      </c>
    </row>
    <row r="23" spans="1:6" x14ac:dyDescent="0.2">
      <c r="A23" s="51" t="s">
        <v>62</v>
      </c>
      <c r="B23" s="51" t="s">
        <v>63</v>
      </c>
      <c r="C23" s="71" t="s">
        <v>93</v>
      </c>
      <c r="D23" s="71" t="s">
        <v>93</v>
      </c>
      <c r="E23" s="71" t="s">
        <v>93</v>
      </c>
      <c r="F23" s="71" t="s">
        <v>93</v>
      </c>
    </row>
    <row r="24" spans="1:6" x14ac:dyDescent="0.2">
      <c r="A24" s="51" t="s">
        <v>64</v>
      </c>
      <c r="B24" s="51" t="s">
        <v>65</v>
      </c>
      <c r="C24" s="71" t="s">
        <v>93</v>
      </c>
      <c r="D24" s="71" t="s">
        <v>93</v>
      </c>
      <c r="E24" s="71" t="s">
        <v>93</v>
      </c>
      <c r="F24" s="71" t="s">
        <v>93</v>
      </c>
    </row>
    <row r="25" spans="1:6" x14ac:dyDescent="0.2">
      <c r="A25" s="51" t="s">
        <v>66</v>
      </c>
      <c r="B25" s="51" t="s">
        <v>67</v>
      </c>
      <c r="C25" s="71" t="s">
        <v>93</v>
      </c>
      <c r="D25" s="71" t="s">
        <v>93</v>
      </c>
      <c r="E25" s="71" t="s">
        <v>93</v>
      </c>
      <c r="F25" s="71" t="s">
        <v>93</v>
      </c>
    </row>
    <row r="26" spans="1:6" x14ac:dyDescent="0.2">
      <c r="A26" s="51" t="s">
        <v>68</v>
      </c>
      <c r="B26" s="51" t="s">
        <v>69</v>
      </c>
      <c r="C26" s="71" t="s">
        <v>93</v>
      </c>
      <c r="D26" s="71" t="s">
        <v>93</v>
      </c>
      <c r="E26" s="71" t="s">
        <v>93</v>
      </c>
      <c r="F26" s="71" t="s">
        <v>93</v>
      </c>
    </row>
    <row r="27" spans="1:6" x14ac:dyDescent="0.2">
      <c r="A27" s="51" t="s">
        <v>70</v>
      </c>
      <c r="B27" s="51" t="s">
        <v>71</v>
      </c>
      <c r="C27" s="71" t="s">
        <v>93</v>
      </c>
      <c r="D27" s="71" t="s">
        <v>93</v>
      </c>
      <c r="E27" s="71" t="s">
        <v>93</v>
      </c>
      <c r="F27" s="71" t="s">
        <v>93</v>
      </c>
    </row>
    <row r="28" spans="1:6" x14ac:dyDescent="0.2">
      <c r="A28" s="51" t="s">
        <v>73</v>
      </c>
      <c r="B28" s="51" t="s">
        <v>74</v>
      </c>
      <c r="C28" s="71" t="s">
        <v>93</v>
      </c>
      <c r="D28" s="71" t="s">
        <v>93</v>
      </c>
      <c r="E28" s="71" t="s">
        <v>93</v>
      </c>
      <c r="F28" s="71" t="s">
        <v>93</v>
      </c>
    </row>
    <row r="29" spans="1:6" x14ac:dyDescent="0.2">
      <c r="A29" s="51" t="s">
        <v>75</v>
      </c>
      <c r="B29" s="51" t="s">
        <v>76</v>
      </c>
      <c r="C29" s="71" t="s">
        <v>93</v>
      </c>
      <c r="D29" s="71" t="s">
        <v>93</v>
      </c>
      <c r="E29" s="71" t="s">
        <v>93</v>
      </c>
      <c r="F29" s="71" t="s">
        <v>93</v>
      </c>
    </row>
    <row r="30" spans="1:6" x14ac:dyDescent="0.2">
      <c r="A30" s="51" t="s">
        <v>77</v>
      </c>
      <c r="B30" s="51" t="s">
        <v>78</v>
      </c>
      <c r="C30" s="71" t="s">
        <v>93</v>
      </c>
      <c r="D30" s="71" t="s">
        <v>93</v>
      </c>
      <c r="E30" s="71" t="s">
        <v>93</v>
      </c>
      <c r="F30" s="71" t="s">
        <v>93</v>
      </c>
    </row>
    <row r="31" spans="1:6" x14ac:dyDescent="0.2">
      <c r="A31" s="51" t="s">
        <v>79</v>
      </c>
      <c r="B31" s="51" t="s">
        <v>80</v>
      </c>
      <c r="C31" s="71" t="s">
        <v>102</v>
      </c>
      <c r="D31" s="71" t="s">
        <v>102</v>
      </c>
      <c r="E31" s="71" t="s">
        <v>102</v>
      </c>
      <c r="F31" s="71" t="s">
        <v>102</v>
      </c>
    </row>
    <row r="32" spans="1:6" x14ac:dyDescent="0.2">
      <c r="A32" s="51" t="s">
        <v>81</v>
      </c>
      <c r="B32" s="51" t="s">
        <v>82</v>
      </c>
      <c r="C32" s="71" t="s">
        <v>93</v>
      </c>
      <c r="D32" s="71" t="s">
        <v>93</v>
      </c>
      <c r="E32" s="71" t="s">
        <v>93</v>
      </c>
      <c r="F32" s="71" t="s">
        <v>93</v>
      </c>
    </row>
    <row r="33" spans="1:6" x14ac:dyDescent="0.2">
      <c r="A33" s="51" t="s">
        <v>84</v>
      </c>
      <c r="B33" s="51" t="s">
        <v>85</v>
      </c>
      <c r="C33" s="71" t="s">
        <v>93</v>
      </c>
      <c r="D33" s="71" t="s">
        <v>93</v>
      </c>
      <c r="E33" s="71" t="s">
        <v>93</v>
      </c>
      <c r="F33" s="106" t="s">
        <v>93</v>
      </c>
    </row>
    <row r="34" spans="1:6" ht="25.5" x14ac:dyDescent="0.2">
      <c r="A34" s="51" t="s">
        <v>86</v>
      </c>
      <c r="B34" s="51" t="s">
        <v>87</v>
      </c>
      <c r="C34" s="71" t="s">
        <v>93</v>
      </c>
      <c r="D34" s="107" t="s">
        <v>93</v>
      </c>
      <c r="E34" s="107" t="s">
        <v>93</v>
      </c>
      <c r="F34" s="108" t="s">
        <v>93</v>
      </c>
    </row>
    <row r="35" spans="1:6" x14ac:dyDescent="0.2">
      <c r="A35" s="51" t="s">
        <v>89</v>
      </c>
      <c r="B35" s="51" t="s">
        <v>90</v>
      </c>
      <c r="C35" s="71" t="s">
        <v>93</v>
      </c>
      <c r="D35" s="107" t="s">
        <v>93</v>
      </c>
      <c r="E35" s="107" t="s">
        <v>93</v>
      </c>
      <c r="F35" s="108" t="s">
        <v>93</v>
      </c>
    </row>
    <row r="36" spans="1:6" ht="25.5" x14ac:dyDescent="0.2">
      <c r="A36" s="51" t="s">
        <v>91</v>
      </c>
      <c r="B36" s="51" t="s">
        <v>92</v>
      </c>
      <c r="C36" s="71" t="s">
        <v>102</v>
      </c>
      <c r="D36" s="107" t="s">
        <v>102</v>
      </c>
      <c r="E36" s="107" t="s">
        <v>102</v>
      </c>
      <c r="F36" s="108" t="s">
        <v>102</v>
      </c>
    </row>
    <row r="37" spans="1:6" x14ac:dyDescent="0.2">
      <c r="A37" s="51" t="s">
        <v>94</v>
      </c>
      <c r="B37" s="51" t="s">
        <v>95</v>
      </c>
      <c r="C37" s="71" t="s">
        <v>93</v>
      </c>
      <c r="D37" s="107" t="s">
        <v>93</v>
      </c>
      <c r="E37" s="107" t="s">
        <v>93</v>
      </c>
      <c r="F37" s="108" t="s">
        <v>93</v>
      </c>
    </row>
    <row r="38" spans="1:6" x14ac:dyDescent="0.2">
      <c r="A38" s="51" t="s">
        <v>96</v>
      </c>
      <c r="B38" s="51" t="s">
        <v>97</v>
      </c>
      <c r="C38" s="71" t="s">
        <v>93</v>
      </c>
      <c r="D38" s="107" t="s">
        <v>93</v>
      </c>
      <c r="E38" s="107" t="s">
        <v>93</v>
      </c>
      <c r="F38" s="108" t="s">
        <v>93</v>
      </c>
    </row>
    <row r="39" spans="1:6" x14ac:dyDescent="0.2">
      <c r="A39" s="51" t="s">
        <v>98</v>
      </c>
      <c r="B39" s="51" t="s">
        <v>99</v>
      </c>
      <c r="C39" s="106" t="s">
        <v>102</v>
      </c>
      <c r="D39" s="109" t="s">
        <v>102</v>
      </c>
      <c r="E39" s="109" t="s">
        <v>102</v>
      </c>
      <c r="F39" s="108" t="s">
        <v>102</v>
      </c>
    </row>
    <row r="40" spans="1:6" x14ac:dyDescent="0.2">
      <c r="A40" s="60" t="s">
        <v>273</v>
      </c>
      <c r="B40" s="60" t="s">
        <v>274</v>
      </c>
      <c r="C40" s="106" t="s">
        <v>42</v>
      </c>
      <c r="D40" s="109" t="s">
        <v>42</v>
      </c>
      <c r="E40" s="109" t="s">
        <v>42</v>
      </c>
      <c r="F40" s="108" t="s">
        <v>42</v>
      </c>
    </row>
    <row r="41" spans="1:6" ht="39.6" customHeight="1" x14ac:dyDescent="0.2">
      <c r="A41" s="139" t="s">
        <v>103</v>
      </c>
      <c r="B41" s="139"/>
      <c r="C41" s="64">
        <f>COUNTIF(C3:C40,"EXCLUDED")</f>
        <v>34</v>
      </c>
      <c r="D41" s="64">
        <f t="shared" ref="D41:F41" si="0">COUNTIF(D3:D40,"EXCLUDED")</f>
        <v>34</v>
      </c>
      <c r="E41" s="64">
        <f t="shared" si="0"/>
        <v>34</v>
      </c>
      <c r="F41" s="96">
        <f t="shared" si="0"/>
        <v>34</v>
      </c>
    </row>
    <row r="42" spans="1:6" ht="37.5" customHeight="1" x14ac:dyDescent="0.2">
      <c r="A42" s="140" t="s">
        <v>104</v>
      </c>
      <c r="B42" s="140"/>
      <c r="C42" s="75">
        <f>C41/38</f>
        <v>0.89473684210526316</v>
      </c>
      <c r="D42" s="75">
        <f t="shared" ref="D42:E42" si="1">D41/38</f>
        <v>0.89473684210526316</v>
      </c>
      <c r="E42" s="75">
        <f t="shared" si="1"/>
        <v>0.89473684210526316</v>
      </c>
      <c r="F42" s="75">
        <f>F41/38</f>
        <v>0.89473684210526316</v>
      </c>
    </row>
    <row r="43" spans="1:6" x14ac:dyDescent="0.2">
      <c r="A43" s="142" t="s">
        <v>275</v>
      </c>
      <c r="B43" s="142"/>
      <c r="C43" s="142"/>
      <c r="D43" s="142"/>
      <c r="E43" s="142"/>
      <c r="F43" s="142"/>
    </row>
    <row r="44" spans="1:6" ht="15" customHeight="1" x14ac:dyDescent="0.2">
      <c r="A44" s="142" t="s">
        <v>276</v>
      </c>
      <c r="B44" s="142"/>
      <c r="C44" s="142"/>
      <c r="D44" s="142"/>
      <c r="E44" s="142"/>
      <c r="F44" s="142"/>
    </row>
    <row r="45" spans="1:6" ht="12" customHeight="1" x14ac:dyDescent="0.2">
      <c r="A45" s="56"/>
      <c r="B45" s="143" t="s">
        <v>277</v>
      </c>
      <c r="C45" s="143"/>
      <c r="D45" s="143"/>
      <c r="E45" s="143"/>
      <c r="F45" s="143"/>
    </row>
    <row r="46" spans="1:6" x14ac:dyDescent="0.2">
      <c r="A46" s="57"/>
      <c r="B46" s="21" t="s">
        <v>107</v>
      </c>
      <c r="C46" s="21"/>
      <c r="D46" s="21"/>
      <c r="E46" s="21"/>
      <c r="F46" s="21"/>
    </row>
    <row r="47" spans="1:6" x14ac:dyDescent="0.2">
      <c r="A47" s="58"/>
      <c r="B47" s="119" t="s">
        <v>278</v>
      </c>
      <c r="C47" s="119"/>
      <c r="D47" s="119"/>
      <c r="E47" s="119"/>
      <c r="F47" s="119"/>
    </row>
  </sheetData>
  <mergeCells count="7">
    <mergeCell ref="B47:F47"/>
    <mergeCell ref="A1:F1"/>
    <mergeCell ref="A41:B41"/>
    <mergeCell ref="A42:B42"/>
    <mergeCell ref="A43:F43"/>
    <mergeCell ref="A44:F44"/>
    <mergeCell ref="B45:F45"/>
  </mergeCells>
  <conditionalFormatting sqref="A46">
    <cfRule type="cellIs" dxfId="41" priority="1" stopIfTrue="1" operator="equal">
      <formula>"EXCLUDED"</formula>
    </cfRule>
    <cfRule type="cellIs" dxfId="40" priority="2" stopIfTrue="1" operator="equal">
      <formula>"DON'T KNOW IF COUNTED"</formula>
    </cfRule>
    <cfRule type="cellIs" dxfId="39" priority="3" stopIfTrue="1" operator="equal">
      <formula>"INCLUDED"</formula>
    </cfRule>
    <cfRule type="cellIs" dxfId="38" priority="4" stopIfTrue="1" operator="equal">
      <formula>"NOT COUNTED"</formula>
    </cfRule>
    <cfRule type="cellIs" dxfId="37" priority="5" stopIfTrue="1" operator="equal">
      <formula>":"</formula>
    </cfRule>
    <cfRule type="cellIs" dxfId="36" priority="6" stopIfTrue="1" operator="equal">
      <formula>"NOT COUNTED; INCLUDED"</formula>
    </cfRule>
    <cfRule type="cellIs" dxfId="35" priority="7" stopIfTrue="1" operator="equal">
      <formula>"COUNTED; EXCLUDED"</formula>
    </cfRule>
    <cfRule type="cellIs" dxfId="34" priority="8" stopIfTrue="1" operator="equal">
      <formula>"NOT COUNTED; EXCLUDED"</formula>
    </cfRule>
    <cfRule type="cellIs" dxfId="33" priority="9" stopIfTrue="1" operator="equal">
      <formula>"COUNTED; INCLUDED"</formula>
    </cfRule>
    <cfRule type="cellIs" dxfId="32" priority="10" stopIfTrue="1" operator="equal">
      <formula>"NOT SEPARATED; INCLUDED"</formula>
    </cfRule>
    <cfRule type="cellIs" dxfId="31" priority="11" stopIfTrue="1" operator="equal">
      <formula>"SEPARATED"</formula>
    </cfRule>
    <cfRule type="cellIs" dxfId="30" priority="12" stopIfTrue="1" operator="equal">
      <formula>"SEPARATED; EXCLUDED"</formula>
    </cfRule>
    <cfRule type="cellIs" dxfId="29" priority="13" stopIfTrue="1" operator="equal">
      <formula>"SEPARATED; INCLUDED"</formula>
    </cfRule>
    <cfRule type="cellIs" dxfId="28" priority="14" stopIfTrue="1" operator="equal">
      <formula>"NOT SEPARATED; EXCLUDED"</formula>
    </cfRule>
    <cfRule type="cellIs" dxfId="27" priority="15" stopIfTrue="1" operator="equal">
      <formula>"NOT SEPARATED"</formula>
    </cfRule>
  </conditionalFormatting>
  <conditionalFormatting sqref="C3:F40">
    <cfRule type="cellIs" dxfId="26" priority="16" stopIfTrue="1" operator="equal">
      <formula>":"</formula>
    </cfRule>
    <cfRule type="cellIs" dxfId="25" priority="17" stopIfTrue="1" operator="equal">
      <formula>"Included"</formula>
    </cfRule>
    <cfRule type="cellIs" dxfId="24" priority="18" stopIfTrue="1" operator="equal">
      <formula>"Excluded"</formula>
    </cfRule>
  </conditionalFormatting>
  <conditionalFormatting sqref="G42:G43">
    <cfRule type="cellIs" dxfId="23" priority="19" stopIfTrue="1" operator="equal">
      <formula>":"</formula>
    </cfRule>
    <cfRule type="cellIs" dxfId="22" priority="20" stopIfTrue="1" operator="equal">
      <formula>"Included"</formula>
    </cfRule>
    <cfRule type="cellIs" dxfId="21" priority="21" stopIfTrue="1" operator="equal">
      <formula>"Excluded"</formula>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4A46-26EB-46F3-A29E-08066E5ED0D1}">
  <sheetPr codeName="Sheet36">
    <tabColor theme="2" tint="-0.249977111117893"/>
  </sheetPr>
  <dimension ref="A1:G42"/>
  <sheetViews>
    <sheetView zoomScaleNormal="100" workbookViewId="0">
      <selection activeCell="M15" sqref="M15"/>
    </sheetView>
  </sheetViews>
  <sheetFormatPr defaultColWidth="8.7109375" defaultRowHeight="12.75" x14ac:dyDescent="0.2"/>
  <cols>
    <col min="1" max="1" width="4.7109375" style="2" customWidth="1"/>
    <col min="2" max="2" width="16.140625" style="2" customWidth="1"/>
    <col min="3" max="6" width="16.5703125" style="2" customWidth="1"/>
    <col min="7" max="16384" width="8.7109375" style="2"/>
  </cols>
  <sheetData>
    <row r="1" spans="1:6" ht="30" customHeight="1" x14ac:dyDescent="0.35">
      <c r="A1" s="172" t="s">
        <v>508</v>
      </c>
      <c r="B1" s="172"/>
      <c r="C1" s="172"/>
      <c r="D1" s="172"/>
      <c r="E1" s="172"/>
      <c r="F1" s="172"/>
    </row>
    <row r="2" spans="1:6" ht="51" x14ac:dyDescent="0.2">
      <c r="A2" s="85" t="s">
        <v>1</v>
      </c>
      <c r="B2" s="85" t="s">
        <v>268</v>
      </c>
      <c r="C2" s="77" t="s">
        <v>509</v>
      </c>
      <c r="D2" s="77" t="s">
        <v>495</v>
      </c>
      <c r="E2" s="77" t="s">
        <v>496</v>
      </c>
      <c r="F2" s="77" t="s">
        <v>510</v>
      </c>
    </row>
    <row r="3" spans="1:6" x14ac:dyDescent="0.2">
      <c r="A3" s="85" t="s">
        <v>12</v>
      </c>
      <c r="B3" s="85" t="s">
        <v>13</v>
      </c>
      <c r="C3" s="92"/>
      <c r="D3" s="92"/>
      <c r="E3" s="92"/>
      <c r="F3" s="92"/>
    </row>
    <row r="4" spans="1:6" x14ac:dyDescent="0.2">
      <c r="A4" s="85" t="s">
        <v>17</v>
      </c>
      <c r="B4" s="85" t="s">
        <v>18</v>
      </c>
      <c r="C4" s="92"/>
      <c r="D4" s="92"/>
      <c r="E4" s="92"/>
      <c r="F4" s="92"/>
    </row>
    <row r="5" spans="1:6" x14ac:dyDescent="0.2">
      <c r="A5" s="85" t="s">
        <v>22</v>
      </c>
      <c r="B5" s="85" t="s">
        <v>23</v>
      </c>
      <c r="C5" s="92"/>
      <c r="D5" s="92"/>
      <c r="E5" s="92"/>
      <c r="F5" s="92"/>
    </row>
    <row r="6" spans="1:6" x14ac:dyDescent="0.2">
      <c r="A6" s="85" t="s">
        <v>25</v>
      </c>
      <c r="B6" s="85" t="s">
        <v>26</v>
      </c>
      <c r="C6" s="92"/>
      <c r="D6" s="92"/>
      <c r="E6" s="92"/>
      <c r="F6" s="92"/>
    </row>
    <row r="7" spans="1:6" x14ac:dyDescent="0.2">
      <c r="A7" s="85" t="s">
        <v>27</v>
      </c>
      <c r="B7" s="85" t="s">
        <v>28</v>
      </c>
      <c r="C7" s="92"/>
      <c r="D7" s="92"/>
      <c r="E7" s="92"/>
      <c r="F7" s="92"/>
    </row>
    <row r="8" spans="1:6" x14ac:dyDescent="0.2">
      <c r="A8" s="85" t="s">
        <v>29</v>
      </c>
      <c r="B8" s="85" t="s">
        <v>30</v>
      </c>
      <c r="C8" s="92"/>
      <c r="D8" s="92"/>
      <c r="E8" s="92"/>
      <c r="F8" s="92"/>
    </row>
    <row r="9" spans="1:6" x14ac:dyDescent="0.2">
      <c r="A9" s="85" t="s">
        <v>31</v>
      </c>
      <c r="B9" s="85" t="s">
        <v>32</v>
      </c>
      <c r="C9" s="92"/>
      <c r="D9" s="92"/>
      <c r="E9" s="92"/>
      <c r="F9" s="92"/>
    </row>
    <row r="10" spans="1:6" x14ac:dyDescent="0.2">
      <c r="A10" s="85" t="s">
        <v>33</v>
      </c>
      <c r="B10" s="85" t="s">
        <v>34</v>
      </c>
      <c r="C10" s="92"/>
      <c r="D10" s="92"/>
      <c r="E10" s="92"/>
      <c r="F10" s="92"/>
    </row>
    <row r="11" spans="1:6" x14ac:dyDescent="0.2">
      <c r="A11" s="85" t="s">
        <v>35</v>
      </c>
      <c r="B11" s="85" t="s">
        <v>36</v>
      </c>
      <c r="C11" s="92"/>
      <c r="D11" s="92"/>
      <c r="E11" s="92"/>
      <c r="F11" s="92"/>
    </row>
    <row r="12" spans="1:6" x14ac:dyDescent="0.2">
      <c r="A12" s="85" t="s">
        <v>38</v>
      </c>
      <c r="B12" s="85" t="s">
        <v>39</v>
      </c>
      <c r="C12" s="92"/>
      <c r="D12" s="92"/>
      <c r="E12" s="92"/>
      <c r="F12" s="92"/>
    </row>
    <row r="13" spans="1:6" ht="51" x14ac:dyDescent="0.2">
      <c r="A13" s="85" t="s">
        <v>40</v>
      </c>
      <c r="B13" s="85" t="s">
        <v>41</v>
      </c>
      <c r="C13" s="92" t="s">
        <v>474</v>
      </c>
      <c r="D13" s="92" t="s">
        <v>503</v>
      </c>
      <c r="E13" s="92" t="s">
        <v>511</v>
      </c>
      <c r="F13" s="92" t="s">
        <v>512</v>
      </c>
    </row>
    <row r="14" spans="1:6" x14ac:dyDescent="0.2">
      <c r="A14" s="85" t="s">
        <v>43</v>
      </c>
      <c r="B14" s="85" t="s">
        <v>44</v>
      </c>
      <c r="C14" s="92"/>
      <c r="D14" s="92"/>
      <c r="E14" s="92"/>
      <c r="F14" s="92"/>
    </row>
    <row r="15" spans="1:6" x14ac:dyDescent="0.2">
      <c r="A15" s="85" t="s">
        <v>45</v>
      </c>
      <c r="B15" s="85" t="s">
        <v>46</v>
      </c>
      <c r="C15" s="92"/>
      <c r="D15" s="92"/>
      <c r="E15" s="92"/>
      <c r="F15" s="92"/>
    </row>
    <row r="16" spans="1:6" x14ac:dyDescent="0.2">
      <c r="A16" s="85" t="s">
        <v>47</v>
      </c>
      <c r="B16" s="85" t="s">
        <v>48</v>
      </c>
      <c r="C16" s="92"/>
      <c r="D16" s="92"/>
      <c r="E16" s="92"/>
      <c r="F16" s="92"/>
    </row>
    <row r="17" spans="1:7" x14ac:dyDescent="0.2">
      <c r="A17" s="85" t="s">
        <v>49</v>
      </c>
      <c r="B17" s="85" t="s">
        <v>50</v>
      </c>
      <c r="C17" s="92"/>
      <c r="D17" s="92"/>
      <c r="E17" s="92"/>
      <c r="F17" s="92"/>
    </row>
    <row r="18" spans="1:7" x14ac:dyDescent="0.2">
      <c r="A18" s="85" t="s">
        <v>51</v>
      </c>
      <c r="B18" s="85" t="s">
        <v>52</v>
      </c>
      <c r="C18" s="92"/>
      <c r="D18" s="92"/>
      <c r="E18" s="92"/>
      <c r="F18" s="92"/>
    </row>
    <row r="19" spans="1:7" x14ac:dyDescent="0.2">
      <c r="A19" s="85" t="s">
        <v>53</v>
      </c>
      <c r="B19" s="85" t="s">
        <v>54</v>
      </c>
      <c r="C19" s="92"/>
      <c r="D19" s="92"/>
      <c r="E19" s="92"/>
      <c r="F19" s="92"/>
    </row>
    <row r="20" spans="1:7" x14ac:dyDescent="0.2">
      <c r="A20" s="85" t="s">
        <v>55</v>
      </c>
      <c r="B20" s="85" t="s">
        <v>56</v>
      </c>
      <c r="C20" s="92"/>
      <c r="D20" s="92"/>
      <c r="E20" s="92"/>
      <c r="F20" s="92"/>
    </row>
    <row r="21" spans="1:7" x14ac:dyDescent="0.2">
      <c r="A21" s="85" t="s">
        <v>57</v>
      </c>
      <c r="B21" s="85" t="s">
        <v>58</v>
      </c>
      <c r="C21" s="92"/>
      <c r="D21" s="92"/>
      <c r="E21" s="92"/>
      <c r="F21" s="92"/>
    </row>
    <row r="22" spans="1:7" x14ac:dyDescent="0.2">
      <c r="A22" s="85" t="s">
        <v>60</v>
      </c>
      <c r="B22" s="85" t="s">
        <v>61</v>
      </c>
      <c r="C22" s="92"/>
      <c r="D22" s="92"/>
      <c r="E22" s="92"/>
      <c r="F22" s="92"/>
    </row>
    <row r="23" spans="1:7" x14ac:dyDescent="0.2">
      <c r="A23" s="85" t="s">
        <v>62</v>
      </c>
      <c r="B23" s="85" t="s">
        <v>63</v>
      </c>
      <c r="C23" s="92"/>
      <c r="D23" s="92"/>
      <c r="E23" s="92"/>
      <c r="F23" s="92"/>
    </row>
    <row r="24" spans="1:7" x14ac:dyDescent="0.2">
      <c r="A24" s="85" t="s">
        <v>64</v>
      </c>
      <c r="B24" s="85" t="s">
        <v>65</v>
      </c>
      <c r="C24" s="92"/>
      <c r="D24" s="92"/>
      <c r="E24" s="92"/>
      <c r="F24" s="92"/>
    </row>
    <row r="25" spans="1:7" x14ac:dyDescent="0.2">
      <c r="A25" s="85" t="s">
        <v>66</v>
      </c>
      <c r="B25" s="85" t="s">
        <v>67</v>
      </c>
      <c r="C25" s="92"/>
      <c r="D25" s="92"/>
      <c r="E25" s="92"/>
      <c r="F25" s="92"/>
    </row>
    <row r="26" spans="1:7" x14ac:dyDescent="0.2">
      <c r="A26" s="85" t="s">
        <v>68</v>
      </c>
      <c r="B26" s="85" t="s">
        <v>69</v>
      </c>
      <c r="C26" s="92"/>
      <c r="D26" s="92"/>
      <c r="E26" s="92"/>
      <c r="F26" s="92"/>
    </row>
    <row r="27" spans="1:7" x14ac:dyDescent="0.2">
      <c r="A27" s="85" t="s">
        <v>70</v>
      </c>
      <c r="B27" s="85" t="s">
        <v>71</v>
      </c>
      <c r="C27" s="110" t="s">
        <v>299</v>
      </c>
      <c r="D27" s="110" t="s">
        <v>299</v>
      </c>
      <c r="E27" s="110" t="s">
        <v>299</v>
      </c>
      <c r="F27" s="110" t="s">
        <v>299</v>
      </c>
      <c r="G27" s="110"/>
    </row>
    <row r="28" spans="1:7" x14ac:dyDescent="0.2">
      <c r="A28" s="85" t="s">
        <v>73</v>
      </c>
      <c r="B28" s="85" t="s">
        <v>74</v>
      </c>
      <c r="C28" s="92"/>
      <c r="D28" s="92"/>
      <c r="E28" s="92"/>
      <c r="F28" s="92"/>
    </row>
    <row r="29" spans="1:7" x14ac:dyDescent="0.2">
      <c r="A29" s="85" t="s">
        <v>75</v>
      </c>
      <c r="B29" s="85" t="s">
        <v>76</v>
      </c>
      <c r="C29" s="92"/>
      <c r="D29" s="92"/>
      <c r="E29" s="92"/>
      <c r="F29" s="92"/>
    </row>
    <row r="30" spans="1:7" x14ac:dyDescent="0.2">
      <c r="A30" s="85" t="s">
        <v>77</v>
      </c>
      <c r="B30" s="85" t="s">
        <v>78</v>
      </c>
      <c r="C30" s="92"/>
      <c r="D30" s="92"/>
      <c r="E30" s="92"/>
      <c r="F30" s="92"/>
    </row>
    <row r="31" spans="1:7" x14ac:dyDescent="0.2">
      <c r="A31" s="85" t="s">
        <v>79</v>
      </c>
      <c r="B31" s="85" t="s">
        <v>80</v>
      </c>
      <c r="C31" s="93" t="s">
        <v>102</v>
      </c>
      <c r="D31" s="93" t="s">
        <v>102</v>
      </c>
      <c r="E31" s="93" t="s">
        <v>102</v>
      </c>
      <c r="F31" s="93" t="s">
        <v>102</v>
      </c>
    </row>
    <row r="32" spans="1:7" x14ac:dyDescent="0.2">
      <c r="A32" s="85" t="s">
        <v>81</v>
      </c>
      <c r="B32" s="85" t="s">
        <v>82</v>
      </c>
      <c r="C32" s="92"/>
      <c r="D32" s="92"/>
      <c r="E32" s="92"/>
      <c r="F32" s="92"/>
    </row>
    <row r="33" spans="1:6" x14ac:dyDescent="0.2">
      <c r="A33" s="85" t="s">
        <v>84</v>
      </c>
      <c r="B33" s="85" t="s">
        <v>85</v>
      </c>
      <c r="C33" s="92"/>
      <c r="D33" s="92"/>
      <c r="E33" s="92"/>
      <c r="F33" s="92"/>
    </row>
    <row r="34" spans="1:6" ht="25.5" x14ac:dyDescent="0.2">
      <c r="A34" s="85" t="s">
        <v>86</v>
      </c>
      <c r="B34" s="85" t="s">
        <v>87</v>
      </c>
      <c r="C34" s="92"/>
      <c r="D34" s="92"/>
      <c r="E34" s="92"/>
      <c r="F34" s="92"/>
    </row>
    <row r="35" spans="1:6" x14ac:dyDescent="0.2">
      <c r="A35" s="85" t="s">
        <v>89</v>
      </c>
      <c r="B35" s="85" t="s">
        <v>90</v>
      </c>
      <c r="C35" s="92"/>
      <c r="D35" s="92"/>
      <c r="E35" s="92"/>
      <c r="F35" s="92"/>
    </row>
    <row r="36" spans="1:6" ht="25.5" x14ac:dyDescent="0.2">
      <c r="A36" s="85" t="s">
        <v>91</v>
      </c>
      <c r="B36" s="85" t="s">
        <v>92</v>
      </c>
      <c r="C36" s="93" t="s">
        <v>102</v>
      </c>
      <c r="D36" s="93" t="s">
        <v>102</v>
      </c>
      <c r="E36" s="93" t="s">
        <v>102</v>
      </c>
      <c r="F36" s="93" t="s">
        <v>102</v>
      </c>
    </row>
    <row r="37" spans="1:6" x14ac:dyDescent="0.2">
      <c r="A37" s="85" t="s">
        <v>94</v>
      </c>
      <c r="B37" s="85" t="s">
        <v>95</v>
      </c>
      <c r="C37" s="92"/>
      <c r="D37" s="92"/>
      <c r="E37" s="92"/>
      <c r="F37" s="92"/>
    </row>
    <row r="38" spans="1:6" x14ac:dyDescent="0.2">
      <c r="A38" s="85" t="s">
        <v>96</v>
      </c>
      <c r="B38" s="85" t="s">
        <v>97</v>
      </c>
      <c r="C38" s="92"/>
      <c r="D38" s="92"/>
      <c r="E38" s="92"/>
      <c r="F38" s="92"/>
    </row>
    <row r="39" spans="1:6" x14ac:dyDescent="0.2">
      <c r="A39" s="85" t="s">
        <v>98</v>
      </c>
      <c r="B39" s="85" t="s">
        <v>99</v>
      </c>
      <c r="C39" s="93" t="s">
        <v>102</v>
      </c>
      <c r="D39" s="93" t="s">
        <v>102</v>
      </c>
      <c r="E39" s="93" t="s">
        <v>102</v>
      </c>
      <c r="F39" s="93" t="s">
        <v>102</v>
      </c>
    </row>
    <row r="40" spans="1:6" x14ac:dyDescent="0.2">
      <c r="A40" s="85" t="s">
        <v>273</v>
      </c>
      <c r="B40" s="85" t="s">
        <v>274</v>
      </c>
      <c r="C40" s="93" t="s">
        <v>102</v>
      </c>
      <c r="D40" s="93" t="s">
        <v>102</v>
      </c>
      <c r="E40" s="93" t="s">
        <v>102</v>
      </c>
      <c r="F40" s="93" t="s">
        <v>102</v>
      </c>
    </row>
    <row r="41" spans="1:6" x14ac:dyDescent="0.2">
      <c r="A41" s="142" t="s">
        <v>275</v>
      </c>
      <c r="B41" s="142"/>
      <c r="C41" s="142"/>
      <c r="D41" s="142"/>
      <c r="E41" s="142"/>
      <c r="F41" s="142"/>
    </row>
    <row r="42" spans="1:6" x14ac:dyDescent="0.2">
      <c r="A42" s="89" t="s">
        <v>178</v>
      </c>
    </row>
  </sheetData>
  <mergeCells count="2">
    <mergeCell ref="A1:F1"/>
    <mergeCell ref="A41:F41"/>
  </mergeCells>
  <conditionalFormatting sqref="G41">
    <cfRule type="cellIs" dxfId="20" priority="1" stopIfTrue="1" operator="equal">
      <formula>":"</formula>
    </cfRule>
    <cfRule type="cellIs" dxfId="19" priority="2" stopIfTrue="1" operator="equal">
      <formula>"Included"</formula>
    </cfRule>
    <cfRule type="cellIs" dxfId="18" priority="3" stopIfTrue="1" operator="equal">
      <formula>"Excluded"</formula>
    </cfRule>
  </conditionalFormatting>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8F04-3E11-4E5B-A3C2-E78750A54DA6}">
  <sheetPr codeName="Sheet27">
    <tabColor theme="9" tint="0.79998168889431442"/>
  </sheetPr>
  <dimension ref="A1:G47"/>
  <sheetViews>
    <sheetView zoomScaleNormal="100" workbookViewId="0">
      <selection activeCell="M15" sqref="M15"/>
    </sheetView>
  </sheetViews>
  <sheetFormatPr defaultColWidth="8.7109375" defaultRowHeight="12.75" x14ac:dyDescent="0.2"/>
  <cols>
    <col min="1" max="1" width="4.7109375" style="2" customWidth="1"/>
    <col min="2" max="2" width="18.85546875" style="2" customWidth="1"/>
    <col min="3" max="6" width="10.7109375" style="2" customWidth="1"/>
    <col min="7" max="8" width="11.7109375" style="2" customWidth="1"/>
    <col min="9" max="16384" width="8.7109375" style="2"/>
  </cols>
  <sheetData>
    <row r="1" spans="1:7" ht="30" customHeight="1" x14ac:dyDescent="0.4">
      <c r="A1" s="148" t="s">
        <v>513</v>
      </c>
      <c r="B1" s="148"/>
      <c r="C1" s="148"/>
      <c r="D1" s="148"/>
      <c r="E1" s="148"/>
      <c r="F1" s="148"/>
      <c r="G1" s="148"/>
    </row>
    <row r="2" spans="1:7" ht="25.5" x14ac:dyDescent="0.2">
      <c r="A2" s="60" t="s">
        <v>1</v>
      </c>
      <c r="B2" s="60" t="s">
        <v>268</v>
      </c>
      <c r="C2" s="69" t="s">
        <v>514</v>
      </c>
      <c r="D2" s="69" t="s">
        <v>515</v>
      </c>
      <c r="E2" s="69" t="s">
        <v>516</v>
      </c>
      <c r="F2" s="60" t="s">
        <v>517</v>
      </c>
      <c r="G2" s="60" t="s">
        <v>518</v>
      </c>
    </row>
    <row r="3" spans="1:7" x14ac:dyDescent="0.2">
      <c r="A3" s="51" t="s">
        <v>12</v>
      </c>
      <c r="B3" s="51" t="s">
        <v>13</v>
      </c>
      <c r="C3" s="52" t="s">
        <v>42</v>
      </c>
      <c r="D3" s="52" t="s">
        <v>42</v>
      </c>
      <c r="E3" s="52" t="s">
        <v>42</v>
      </c>
      <c r="F3" s="52" t="s">
        <v>93</v>
      </c>
      <c r="G3" s="52" t="s">
        <v>93</v>
      </c>
    </row>
    <row r="4" spans="1:7" x14ac:dyDescent="0.2">
      <c r="A4" s="51" t="s">
        <v>17</v>
      </c>
      <c r="B4" s="51" t="s">
        <v>18</v>
      </c>
      <c r="C4" s="52" t="s">
        <v>42</v>
      </c>
      <c r="D4" s="52" t="s">
        <v>42</v>
      </c>
      <c r="E4" s="52" t="s">
        <v>42</v>
      </c>
      <c r="F4" s="52" t="s">
        <v>42</v>
      </c>
      <c r="G4" s="52" t="s">
        <v>93</v>
      </c>
    </row>
    <row r="5" spans="1:7" x14ac:dyDescent="0.2">
      <c r="A5" s="51" t="s">
        <v>22</v>
      </c>
      <c r="B5" s="51" t="s">
        <v>23</v>
      </c>
      <c r="C5" s="52" t="s">
        <v>42</v>
      </c>
      <c r="D5" s="52" t="s">
        <v>42</v>
      </c>
      <c r="E5" s="52" t="s">
        <v>42</v>
      </c>
      <c r="F5" s="52" t="s">
        <v>42</v>
      </c>
      <c r="G5" s="52" t="s">
        <v>42</v>
      </c>
    </row>
    <row r="6" spans="1:7" x14ac:dyDescent="0.2">
      <c r="A6" s="51" t="s">
        <v>25</v>
      </c>
      <c r="B6" s="51" t="s">
        <v>26</v>
      </c>
      <c r="C6" s="52" t="s">
        <v>42</v>
      </c>
      <c r="D6" s="52" t="s">
        <v>42</v>
      </c>
      <c r="E6" s="52" t="s">
        <v>42</v>
      </c>
      <c r="F6" s="52" t="s">
        <v>42</v>
      </c>
      <c r="G6" s="52" t="s">
        <v>42</v>
      </c>
    </row>
    <row r="7" spans="1:7" x14ac:dyDescent="0.2">
      <c r="A7" s="51" t="s">
        <v>27</v>
      </c>
      <c r="B7" s="51" t="s">
        <v>28</v>
      </c>
      <c r="C7" s="52" t="s">
        <v>42</v>
      </c>
      <c r="D7" s="52" t="s">
        <v>93</v>
      </c>
      <c r="E7" s="52" t="s">
        <v>93</v>
      </c>
      <c r="F7" s="52" t="s">
        <v>93</v>
      </c>
      <c r="G7" s="52" t="s">
        <v>93</v>
      </c>
    </row>
    <row r="8" spans="1:7" x14ac:dyDescent="0.2">
      <c r="A8" s="51" t="s">
        <v>29</v>
      </c>
      <c r="B8" s="51" t="s">
        <v>30</v>
      </c>
      <c r="C8" s="52" t="s">
        <v>42</v>
      </c>
      <c r="D8" s="52" t="s">
        <v>42</v>
      </c>
      <c r="E8" s="52" t="s">
        <v>42</v>
      </c>
      <c r="F8" s="52" t="s">
        <v>42</v>
      </c>
      <c r="G8" s="52" t="s">
        <v>42</v>
      </c>
    </row>
    <row r="9" spans="1:7" x14ac:dyDescent="0.2">
      <c r="A9" s="51" t="s">
        <v>31</v>
      </c>
      <c r="B9" s="51" t="s">
        <v>32</v>
      </c>
      <c r="C9" s="52" t="s">
        <v>42</v>
      </c>
      <c r="D9" s="52" t="s">
        <v>42</v>
      </c>
      <c r="E9" s="52" t="s">
        <v>42</v>
      </c>
      <c r="F9" s="52" t="s">
        <v>42</v>
      </c>
      <c r="G9" s="52" t="s">
        <v>42</v>
      </c>
    </row>
    <row r="10" spans="1:7" x14ac:dyDescent="0.2">
      <c r="A10" s="51" t="s">
        <v>33</v>
      </c>
      <c r="B10" s="51" t="s">
        <v>34</v>
      </c>
      <c r="C10" s="52" t="s">
        <v>42</v>
      </c>
      <c r="D10" s="52" t="s">
        <v>42</v>
      </c>
      <c r="E10" s="52" t="s">
        <v>42</v>
      </c>
      <c r="F10" s="52" t="s">
        <v>42</v>
      </c>
      <c r="G10" s="52" t="s">
        <v>93</v>
      </c>
    </row>
    <row r="11" spans="1:7" x14ac:dyDescent="0.2">
      <c r="A11" s="51" t="s">
        <v>35</v>
      </c>
      <c r="B11" s="51" t="s">
        <v>36</v>
      </c>
      <c r="C11" s="52" t="s">
        <v>42</v>
      </c>
      <c r="D11" s="52" t="s">
        <v>42</v>
      </c>
      <c r="E11" s="52" t="s">
        <v>42</v>
      </c>
      <c r="F11" s="52" t="s">
        <v>42</v>
      </c>
      <c r="G11" s="52" t="s">
        <v>42</v>
      </c>
    </row>
    <row r="12" spans="1:7" x14ac:dyDescent="0.2">
      <c r="A12" s="51" t="s">
        <v>38</v>
      </c>
      <c r="B12" s="51" t="s">
        <v>39</v>
      </c>
      <c r="C12" s="52" t="s">
        <v>42</v>
      </c>
      <c r="D12" s="52" t="s">
        <v>42</v>
      </c>
      <c r="E12" s="52" t="s">
        <v>42</v>
      </c>
      <c r="F12" s="52" t="s">
        <v>42</v>
      </c>
      <c r="G12" s="52" t="s">
        <v>42</v>
      </c>
    </row>
    <row r="13" spans="1:7" x14ac:dyDescent="0.2">
      <c r="A13" s="51" t="s">
        <v>40</v>
      </c>
      <c r="B13" s="51" t="s">
        <v>41</v>
      </c>
      <c r="C13" s="52" t="s">
        <v>42</v>
      </c>
      <c r="D13" s="52" t="s">
        <v>42</v>
      </c>
      <c r="E13" s="52" t="s">
        <v>42</v>
      </c>
      <c r="F13" s="52" t="s">
        <v>42</v>
      </c>
      <c r="G13" s="52" t="s">
        <v>93</v>
      </c>
    </row>
    <row r="14" spans="1:7" x14ac:dyDescent="0.2">
      <c r="A14" s="51" t="s">
        <v>43</v>
      </c>
      <c r="B14" s="51" t="s">
        <v>44</v>
      </c>
      <c r="C14" s="52" t="s">
        <v>42</v>
      </c>
      <c r="D14" s="52" t="s">
        <v>42</v>
      </c>
      <c r="E14" s="52" t="s">
        <v>42</v>
      </c>
      <c r="F14" s="52" t="s">
        <v>42</v>
      </c>
      <c r="G14" s="52" t="s">
        <v>102</v>
      </c>
    </row>
    <row r="15" spans="1:7" x14ac:dyDescent="0.2">
      <c r="A15" s="51" t="s">
        <v>45</v>
      </c>
      <c r="B15" s="51" t="s">
        <v>46</v>
      </c>
      <c r="C15" s="52" t="s">
        <v>42</v>
      </c>
      <c r="D15" s="52" t="s">
        <v>42</v>
      </c>
      <c r="E15" s="52" t="s">
        <v>42</v>
      </c>
      <c r="F15" s="52" t="s">
        <v>42</v>
      </c>
      <c r="G15" s="52" t="s">
        <v>42</v>
      </c>
    </row>
    <row r="16" spans="1:7" x14ac:dyDescent="0.2">
      <c r="A16" s="51" t="s">
        <v>47</v>
      </c>
      <c r="B16" s="51" t="s">
        <v>48</v>
      </c>
      <c r="C16" s="52" t="s">
        <v>42</v>
      </c>
      <c r="D16" s="52" t="s">
        <v>93</v>
      </c>
      <c r="E16" s="52" t="s">
        <v>42</v>
      </c>
      <c r="F16" s="52" t="s">
        <v>42</v>
      </c>
      <c r="G16" s="52" t="s">
        <v>42</v>
      </c>
    </row>
    <row r="17" spans="1:7" x14ac:dyDescent="0.2">
      <c r="A17" s="51" t="s">
        <v>49</v>
      </c>
      <c r="B17" s="51" t="s">
        <v>50</v>
      </c>
      <c r="C17" s="52" t="s">
        <v>42</v>
      </c>
      <c r="D17" s="52" t="s">
        <v>93</v>
      </c>
      <c r="E17" s="52" t="s">
        <v>42</v>
      </c>
      <c r="F17" s="52" t="s">
        <v>42</v>
      </c>
      <c r="G17" s="52" t="s">
        <v>42</v>
      </c>
    </row>
    <row r="18" spans="1:7" x14ac:dyDescent="0.2">
      <c r="A18" s="51" t="s">
        <v>51</v>
      </c>
      <c r="B18" s="51" t="s">
        <v>52</v>
      </c>
      <c r="C18" s="52" t="s">
        <v>93</v>
      </c>
      <c r="D18" s="52" t="s">
        <v>93</v>
      </c>
      <c r="E18" s="52" t="s">
        <v>93</v>
      </c>
      <c r="F18" s="52" t="s">
        <v>93</v>
      </c>
      <c r="G18" s="52" t="s">
        <v>93</v>
      </c>
    </row>
    <row r="19" spans="1:7" x14ac:dyDescent="0.2">
      <c r="A19" s="51" t="s">
        <v>53</v>
      </c>
      <c r="B19" s="51" t="s">
        <v>54</v>
      </c>
      <c r="C19" s="52" t="s">
        <v>42</v>
      </c>
      <c r="D19" s="52" t="s">
        <v>93</v>
      </c>
      <c r="E19" s="52" t="s">
        <v>42</v>
      </c>
      <c r="F19" s="52" t="s">
        <v>42</v>
      </c>
      <c r="G19" s="52" t="s">
        <v>93</v>
      </c>
    </row>
    <row r="20" spans="1:7" x14ac:dyDescent="0.2">
      <c r="A20" s="51" t="s">
        <v>55</v>
      </c>
      <c r="B20" s="51" t="s">
        <v>56</v>
      </c>
      <c r="C20" s="52" t="s">
        <v>42</v>
      </c>
      <c r="D20" s="52" t="s">
        <v>42</v>
      </c>
      <c r="E20" s="52" t="s">
        <v>42</v>
      </c>
      <c r="F20" s="52" t="s">
        <v>42</v>
      </c>
      <c r="G20" s="52" t="s">
        <v>93</v>
      </c>
    </row>
    <row r="21" spans="1:7" x14ac:dyDescent="0.2">
      <c r="A21" s="51" t="s">
        <v>57</v>
      </c>
      <c r="B21" s="51" t="s">
        <v>58</v>
      </c>
      <c r="C21" s="52" t="s">
        <v>93</v>
      </c>
      <c r="D21" s="52" t="s">
        <v>42</v>
      </c>
      <c r="E21" s="52" t="s">
        <v>93</v>
      </c>
      <c r="F21" s="52" t="s">
        <v>93</v>
      </c>
      <c r="G21" s="52" t="s">
        <v>93</v>
      </c>
    </row>
    <row r="22" spans="1:7" x14ac:dyDescent="0.2">
      <c r="A22" s="51" t="s">
        <v>60</v>
      </c>
      <c r="B22" s="51" t="s">
        <v>61</v>
      </c>
      <c r="C22" s="52" t="s">
        <v>42</v>
      </c>
      <c r="D22" s="52" t="s">
        <v>42</v>
      </c>
      <c r="E22" s="52" t="s">
        <v>42</v>
      </c>
      <c r="F22" s="52" t="s">
        <v>42</v>
      </c>
      <c r="G22" s="52" t="s">
        <v>42</v>
      </c>
    </row>
    <row r="23" spans="1:7" x14ac:dyDescent="0.2">
      <c r="A23" s="51" t="s">
        <v>62</v>
      </c>
      <c r="B23" s="51" t="s">
        <v>63</v>
      </c>
      <c r="C23" s="52" t="s">
        <v>42</v>
      </c>
      <c r="D23" s="52" t="s">
        <v>93</v>
      </c>
      <c r="E23" s="52" t="s">
        <v>42</v>
      </c>
      <c r="F23" s="52" t="s">
        <v>42</v>
      </c>
      <c r="G23" s="52" t="s">
        <v>42</v>
      </c>
    </row>
    <row r="24" spans="1:7" x14ac:dyDescent="0.2">
      <c r="A24" s="51" t="s">
        <v>64</v>
      </c>
      <c r="B24" s="51" t="s">
        <v>65</v>
      </c>
      <c r="C24" s="52" t="s">
        <v>42</v>
      </c>
      <c r="D24" s="52" t="s">
        <v>42</v>
      </c>
      <c r="E24" s="52" t="s">
        <v>42</v>
      </c>
      <c r="F24" s="52" t="s">
        <v>42</v>
      </c>
      <c r="G24" s="52" t="s">
        <v>93</v>
      </c>
    </row>
    <row r="25" spans="1:7" x14ac:dyDescent="0.2">
      <c r="A25" s="51" t="s">
        <v>66</v>
      </c>
      <c r="B25" s="51" t="s">
        <v>67</v>
      </c>
      <c r="C25" s="52" t="s">
        <v>42</v>
      </c>
      <c r="D25" s="52" t="s">
        <v>42</v>
      </c>
      <c r="E25" s="52" t="s">
        <v>42</v>
      </c>
      <c r="F25" s="52" t="s">
        <v>42</v>
      </c>
      <c r="G25" s="52" t="s">
        <v>93</v>
      </c>
    </row>
    <row r="26" spans="1:7" x14ac:dyDescent="0.2">
      <c r="A26" s="51" t="s">
        <v>68</v>
      </c>
      <c r="B26" s="51" t="s">
        <v>69</v>
      </c>
      <c r="C26" s="52" t="s">
        <v>42</v>
      </c>
      <c r="D26" s="52" t="s">
        <v>42</v>
      </c>
      <c r="E26" s="52" t="s">
        <v>42</v>
      </c>
      <c r="F26" s="52" t="s">
        <v>42</v>
      </c>
      <c r="G26" s="52" t="s">
        <v>42</v>
      </c>
    </row>
    <row r="27" spans="1:7" x14ac:dyDescent="0.2">
      <c r="A27" s="51" t="s">
        <v>70</v>
      </c>
      <c r="B27" s="51" t="s">
        <v>71</v>
      </c>
      <c r="C27" s="52" t="s">
        <v>42</v>
      </c>
      <c r="D27" s="52" t="s">
        <v>93</v>
      </c>
      <c r="E27" s="52" t="s">
        <v>42</v>
      </c>
      <c r="F27" s="52" t="s">
        <v>42</v>
      </c>
      <c r="G27" s="52" t="s">
        <v>42</v>
      </c>
    </row>
    <row r="28" spans="1:7" x14ac:dyDescent="0.2">
      <c r="A28" s="51" t="s">
        <v>73</v>
      </c>
      <c r="B28" s="51" t="s">
        <v>74</v>
      </c>
      <c r="C28" s="52" t="s">
        <v>42</v>
      </c>
      <c r="D28" s="52" t="s">
        <v>42</v>
      </c>
      <c r="E28" s="52" t="s">
        <v>42</v>
      </c>
      <c r="F28" s="52" t="s">
        <v>42</v>
      </c>
      <c r="G28" s="52" t="s">
        <v>42</v>
      </c>
    </row>
    <row r="29" spans="1:7" x14ac:dyDescent="0.2">
      <c r="A29" s="51" t="s">
        <v>75</v>
      </c>
      <c r="B29" s="51" t="s">
        <v>76</v>
      </c>
      <c r="C29" s="52" t="s">
        <v>42</v>
      </c>
      <c r="D29" s="52" t="s">
        <v>42</v>
      </c>
      <c r="E29" s="52" t="s">
        <v>42</v>
      </c>
      <c r="F29" s="52" t="s">
        <v>42</v>
      </c>
      <c r="G29" s="52" t="s">
        <v>42</v>
      </c>
    </row>
    <row r="30" spans="1:7" x14ac:dyDescent="0.2">
      <c r="A30" s="51" t="s">
        <v>77</v>
      </c>
      <c r="B30" s="51" t="s">
        <v>78</v>
      </c>
      <c r="C30" s="52" t="s">
        <v>102</v>
      </c>
      <c r="D30" s="52" t="s">
        <v>102</v>
      </c>
      <c r="E30" s="52" t="s">
        <v>102</v>
      </c>
      <c r="F30" s="52" t="s">
        <v>102</v>
      </c>
      <c r="G30" s="52" t="s">
        <v>102</v>
      </c>
    </row>
    <row r="31" spans="1:7" x14ac:dyDescent="0.2">
      <c r="A31" s="51" t="s">
        <v>79</v>
      </c>
      <c r="B31" s="51" t="s">
        <v>80</v>
      </c>
      <c r="C31" s="52" t="s">
        <v>102</v>
      </c>
      <c r="D31" s="52" t="s">
        <v>102</v>
      </c>
      <c r="E31" s="52" t="s">
        <v>102</v>
      </c>
      <c r="F31" s="52" t="s">
        <v>102</v>
      </c>
      <c r="G31" s="52" t="s">
        <v>102</v>
      </c>
    </row>
    <row r="32" spans="1:7" x14ac:dyDescent="0.2">
      <c r="A32" s="51" t="s">
        <v>81</v>
      </c>
      <c r="B32" s="51" t="s">
        <v>82</v>
      </c>
      <c r="C32" s="52" t="s">
        <v>42</v>
      </c>
      <c r="D32" s="52" t="s">
        <v>93</v>
      </c>
      <c r="E32" s="52" t="s">
        <v>93</v>
      </c>
      <c r="F32" s="52" t="s">
        <v>42</v>
      </c>
      <c r="G32" s="52" t="s">
        <v>93</v>
      </c>
    </row>
    <row r="33" spans="1:7" x14ac:dyDescent="0.2">
      <c r="A33" s="51" t="s">
        <v>84</v>
      </c>
      <c r="B33" s="51" t="s">
        <v>85</v>
      </c>
      <c r="C33" s="52" t="s">
        <v>42</v>
      </c>
      <c r="D33" s="52" t="s">
        <v>93</v>
      </c>
      <c r="E33" s="52" t="s">
        <v>93</v>
      </c>
      <c r="F33" s="52" t="s">
        <v>93</v>
      </c>
      <c r="G33" s="52" t="s">
        <v>93</v>
      </c>
    </row>
    <row r="34" spans="1:7" ht="25.5" x14ac:dyDescent="0.2">
      <c r="A34" s="51" t="s">
        <v>86</v>
      </c>
      <c r="B34" s="51" t="s">
        <v>87</v>
      </c>
      <c r="C34" s="52" t="s">
        <v>42</v>
      </c>
      <c r="D34" s="52" t="s">
        <v>42</v>
      </c>
      <c r="E34" s="52" t="s">
        <v>42</v>
      </c>
      <c r="F34" s="52" t="s">
        <v>42</v>
      </c>
      <c r="G34" s="52" t="s">
        <v>42</v>
      </c>
    </row>
    <row r="35" spans="1:7" x14ac:dyDescent="0.2">
      <c r="A35" s="51" t="s">
        <v>89</v>
      </c>
      <c r="B35" s="51" t="s">
        <v>90</v>
      </c>
      <c r="C35" s="52" t="s">
        <v>42</v>
      </c>
      <c r="D35" s="52" t="s">
        <v>42</v>
      </c>
      <c r="E35" s="52" t="s">
        <v>42</v>
      </c>
      <c r="F35" s="52" t="s">
        <v>42</v>
      </c>
      <c r="G35" s="52" t="s">
        <v>42</v>
      </c>
    </row>
    <row r="36" spans="1:7" ht="17.45" customHeight="1" x14ac:dyDescent="0.2">
      <c r="A36" s="51" t="s">
        <v>91</v>
      </c>
      <c r="B36" s="51" t="s">
        <v>92</v>
      </c>
      <c r="C36" s="52" t="s">
        <v>42</v>
      </c>
      <c r="D36" s="52" t="s">
        <v>42</v>
      </c>
      <c r="E36" s="52" t="s">
        <v>42</v>
      </c>
      <c r="F36" s="52" t="s">
        <v>42</v>
      </c>
      <c r="G36" s="52" t="s">
        <v>42</v>
      </c>
    </row>
    <row r="37" spans="1:7" x14ac:dyDescent="0.2">
      <c r="A37" s="51" t="s">
        <v>94</v>
      </c>
      <c r="B37" s="51" t="s">
        <v>95</v>
      </c>
      <c r="C37" s="52" t="s">
        <v>42</v>
      </c>
      <c r="D37" s="52" t="s">
        <v>42</v>
      </c>
      <c r="E37" s="52" t="s">
        <v>42</v>
      </c>
      <c r="F37" s="52" t="s">
        <v>42</v>
      </c>
      <c r="G37" s="52" t="s">
        <v>42</v>
      </c>
    </row>
    <row r="38" spans="1:7" x14ac:dyDescent="0.2">
      <c r="A38" s="51" t="s">
        <v>96</v>
      </c>
      <c r="B38" s="51" t="s">
        <v>97</v>
      </c>
      <c r="C38" s="52" t="s">
        <v>42</v>
      </c>
      <c r="D38" s="52" t="s">
        <v>42</v>
      </c>
      <c r="E38" s="52" t="s">
        <v>42</v>
      </c>
      <c r="F38" s="52" t="s">
        <v>42</v>
      </c>
      <c r="G38" s="52" t="s">
        <v>42</v>
      </c>
    </row>
    <row r="39" spans="1:7" x14ac:dyDescent="0.2">
      <c r="A39" s="51" t="s">
        <v>98</v>
      </c>
      <c r="B39" s="51" t="s">
        <v>99</v>
      </c>
      <c r="C39" s="52" t="s">
        <v>102</v>
      </c>
      <c r="D39" s="52" t="s">
        <v>102</v>
      </c>
      <c r="E39" s="52" t="s">
        <v>102</v>
      </c>
      <c r="F39" s="52" t="s">
        <v>102</v>
      </c>
      <c r="G39" s="52" t="s">
        <v>102</v>
      </c>
    </row>
    <row r="40" spans="1:7" ht="17.25" customHeight="1" x14ac:dyDescent="0.2">
      <c r="A40" s="60" t="s">
        <v>273</v>
      </c>
      <c r="B40" s="60" t="s">
        <v>274</v>
      </c>
      <c r="C40" s="54" t="s">
        <v>42</v>
      </c>
      <c r="D40" s="54" t="s">
        <v>93</v>
      </c>
      <c r="E40" s="54" t="s">
        <v>42</v>
      </c>
      <c r="F40" s="54" t="s">
        <v>42</v>
      </c>
      <c r="G40" s="54" t="s">
        <v>102</v>
      </c>
    </row>
    <row r="41" spans="1:7" ht="29.1" customHeight="1" x14ac:dyDescent="0.2">
      <c r="A41" s="139" t="s">
        <v>103</v>
      </c>
      <c r="B41" s="139"/>
      <c r="C41" s="72">
        <f>COUNTIF(C3:C40,"INCLUDED")</f>
        <v>33</v>
      </c>
      <c r="D41" s="72">
        <f t="shared" ref="D41:G41" si="0">COUNTIF(D3:D40,"INCLUDED")</f>
        <v>25</v>
      </c>
      <c r="E41" s="72">
        <f t="shared" si="0"/>
        <v>30</v>
      </c>
      <c r="F41" s="72">
        <f t="shared" si="0"/>
        <v>30</v>
      </c>
      <c r="G41" s="72">
        <f t="shared" si="0"/>
        <v>20</v>
      </c>
    </row>
    <row r="42" spans="1:7" ht="27.75" customHeight="1" x14ac:dyDescent="0.2">
      <c r="A42" s="140" t="s">
        <v>104</v>
      </c>
      <c r="B42" s="140"/>
      <c r="C42" s="75">
        <f>C41/38</f>
        <v>0.86842105263157898</v>
      </c>
      <c r="D42" s="75">
        <f t="shared" ref="D42:E42" si="1">D41/38</f>
        <v>0.65789473684210531</v>
      </c>
      <c r="E42" s="75">
        <f t="shared" si="1"/>
        <v>0.78947368421052633</v>
      </c>
      <c r="F42" s="75">
        <f>F41/38</f>
        <v>0.78947368421052633</v>
      </c>
      <c r="G42" s="75">
        <f>G41/38</f>
        <v>0.52631578947368418</v>
      </c>
    </row>
    <row r="43" spans="1:7" ht="15" customHeight="1" x14ac:dyDescent="0.2">
      <c r="A43" s="149" t="s">
        <v>275</v>
      </c>
      <c r="B43" s="149"/>
      <c r="C43" s="149"/>
      <c r="D43" s="149"/>
      <c r="E43" s="149"/>
      <c r="F43" s="149"/>
      <c r="G43" s="149"/>
    </row>
    <row r="44" spans="1:7" ht="12" customHeight="1" x14ac:dyDescent="0.2">
      <c r="A44" s="142" t="s">
        <v>276</v>
      </c>
      <c r="B44" s="142"/>
      <c r="C44" s="142"/>
      <c r="D44" s="142"/>
      <c r="E44" s="142"/>
      <c r="F44" s="142"/>
      <c r="G44" s="142"/>
    </row>
    <row r="45" spans="1:7" ht="15" customHeight="1" x14ac:dyDescent="0.2">
      <c r="A45" s="56"/>
      <c r="B45" s="143" t="s">
        <v>277</v>
      </c>
      <c r="C45" s="143"/>
      <c r="D45" s="143"/>
      <c r="E45" s="143"/>
      <c r="F45" s="143"/>
      <c r="G45" s="143"/>
    </row>
    <row r="46" spans="1:7" x14ac:dyDescent="0.2">
      <c r="A46" s="57"/>
      <c r="B46" s="21" t="s">
        <v>107</v>
      </c>
      <c r="C46" s="21"/>
      <c r="D46" s="21"/>
      <c r="E46" s="21"/>
      <c r="F46" s="21"/>
    </row>
    <row r="47" spans="1:7" x14ac:dyDescent="0.2">
      <c r="A47" s="58"/>
      <c r="B47" s="119" t="s">
        <v>278</v>
      </c>
      <c r="C47" s="119"/>
      <c r="D47" s="119"/>
      <c r="E47" s="119"/>
      <c r="F47" s="119"/>
    </row>
  </sheetData>
  <mergeCells count="7">
    <mergeCell ref="B47:F47"/>
    <mergeCell ref="A1:G1"/>
    <mergeCell ref="A41:B41"/>
    <mergeCell ref="A42:B42"/>
    <mergeCell ref="A43:G43"/>
    <mergeCell ref="A44:G44"/>
    <mergeCell ref="B45:G45"/>
  </mergeCells>
  <conditionalFormatting sqref="A46">
    <cfRule type="cellIs" dxfId="17" priority="1" stopIfTrue="1" operator="equal">
      <formula>"EXCLUDED"</formula>
    </cfRule>
    <cfRule type="cellIs" dxfId="16" priority="2" stopIfTrue="1" operator="equal">
      <formula>"DON'T KNOW IF COUNTED"</formula>
    </cfRule>
    <cfRule type="cellIs" dxfId="15" priority="3" stopIfTrue="1" operator="equal">
      <formula>"INCLUDED"</formula>
    </cfRule>
    <cfRule type="cellIs" dxfId="14" priority="4" stopIfTrue="1" operator="equal">
      <formula>"NOT COUNTED"</formula>
    </cfRule>
    <cfRule type="cellIs" dxfId="13" priority="5" stopIfTrue="1" operator="equal">
      <formula>":"</formula>
    </cfRule>
    <cfRule type="cellIs" dxfId="12" priority="6" stopIfTrue="1" operator="equal">
      <formula>"NOT COUNTED; INCLUDED"</formula>
    </cfRule>
    <cfRule type="cellIs" dxfId="11" priority="7" stopIfTrue="1" operator="equal">
      <formula>"COUNTED; EXCLUDED"</formula>
    </cfRule>
    <cfRule type="cellIs" dxfId="10" priority="8" stopIfTrue="1" operator="equal">
      <formula>"NOT COUNTED; EXCLUDED"</formula>
    </cfRule>
    <cfRule type="cellIs" dxfId="9" priority="9" stopIfTrue="1" operator="equal">
      <formula>"COUNTED; INCLUDED"</formula>
    </cfRule>
    <cfRule type="cellIs" dxfId="8" priority="10" stopIfTrue="1" operator="equal">
      <formula>"NOT SEPARATED; INCLUDED"</formula>
    </cfRule>
    <cfRule type="cellIs" dxfId="7" priority="11" stopIfTrue="1" operator="equal">
      <formula>"SEPARATED"</formula>
    </cfRule>
    <cfRule type="cellIs" dxfId="6" priority="12" stopIfTrue="1" operator="equal">
      <formula>"SEPARATED; EXCLUDED"</formula>
    </cfRule>
    <cfRule type="cellIs" dxfId="5" priority="13" stopIfTrue="1" operator="equal">
      <formula>"SEPARATED; INCLUDED"</formula>
    </cfRule>
    <cfRule type="cellIs" dxfId="4" priority="14" stopIfTrue="1" operator="equal">
      <formula>"NOT SEPARATED; EXCLUDED"</formula>
    </cfRule>
    <cfRule type="cellIs" dxfId="3" priority="15" stopIfTrue="1" operator="equal">
      <formula>"NOT SEPARATED"</formula>
    </cfRule>
  </conditionalFormatting>
  <conditionalFormatting sqref="C3:G40">
    <cfRule type="cellIs" dxfId="2" priority="16" stopIfTrue="1" operator="equal">
      <formula>":"</formula>
    </cfRule>
    <cfRule type="cellIs" dxfId="1" priority="17" stopIfTrue="1" operator="equal">
      <formula>"Included"</formula>
    </cfRule>
    <cfRule type="cellIs" dxfId="0" priority="18" stopIfTrue="1" operator="equal">
      <formula>"Excluded"</formula>
    </cfRule>
  </conditionalFormatting>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07E5-0404-4E61-A0B4-00DBB2E9D8AB}">
  <sheetPr codeName="Sheet37">
    <tabColor theme="9" tint="0.79998168889431442"/>
  </sheetPr>
  <dimension ref="A1:G42"/>
  <sheetViews>
    <sheetView zoomScaleNormal="100" workbookViewId="0">
      <selection activeCell="M15" sqref="M15"/>
    </sheetView>
  </sheetViews>
  <sheetFormatPr defaultColWidth="8.7109375" defaultRowHeight="12.75" x14ac:dyDescent="0.2"/>
  <cols>
    <col min="1" max="1" width="4.7109375" style="2" customWidth="1"/>
    <col min="2" max="2" width="13.140625" style="2" customWidth="1"/>
    <col min="3" max="3" width="19" style="2" customWidth="1"/>
    <col min="4" max="4" width="21.42578125" style="2" customWidth="1"/>
    <col min="5" max="6" width="19" style="2" customWidth="1"/>
    <col min="7" max="7" width="27.140625" style="2" customWidth="1"/>
    <col min="8" max="16384" width="8.7109375" style="2"/>
  </cols>
  <sheetData>
    <row r="1" spans="1:7" ht="33.75" customHeight="1" x14ac:dyDescent="0.4">
      <c r="A1" s="150" t="s">
        <v>519</v>
      </c>
      <c r="B1" s="150"/>
      <c r="C1" s="150"/>
      <c r="D1" s="150"/>
      <c r="E1" s="150"/>
      <c r="F1" s="150"/>
      <c r="G1" s="150"/>
    </row>
    <row r="2" spans="1:7" ht="38.25" x14ac:dyDescent="0.2">
      <c r="A2" s="60" t="s">
        <v>1</v>
      </c>
      <c r="B2" s="111" t="s">
        <v>268</v>
      </c>
      <c r="C2" s="77" t="s">
        <v>520</v>
      </c>
      <c r="D2" s="77" t="s">
        <v>521</v>
      </c>
      <c r="E2" s="77" t="s">
        <v>522</v>
      </c>
      <c r="F2" s="77" t="s">
        <v>523</v>
      </c>
      <c r="G2" s="77" t="s">
        <v>524</v>
      </c>
    </row>
    <row r="3" spans="1:7" ht="20.100000000000001" customHeight="1" x14ac:dyDescent="0.2">
      <c r="A3" s="51" t="s">
        <v>12</v>
      </c>
      <c r="B3" s="51" t="s">
        <v>13</v>
      </c>
      <c r="C3" s="96"/>
      <c r="D3" s="96"/>
      <c r="E3" s="96"/>
      <c r="F3" s="173" t="s">
        <v>201</v>
      </c>
      <c r="G3" s="174"/>
    </row>
    <row r="4" spans="1:7" ht="153" x14ac:dyDescent="0.2">
      <c r="A4" s="51" t="s">
        <v>17</v>
      </c>
      <c r="B4" s="51" t="s">
        <v>18</v>
      </c>
      <c r="C4" s="64"/>
      <c r="D4" s="64" t="s">
        <v>120</v>
      </c>
      <c r="E4" s="64"/>
      <c r="F4" s="64"/>
      <c r="G4" s="64" t="s">
        <v>525</v>
      </c>
    </row>
    <row r="5" spans="1:7" x14ac:dyDescent="0.2">
      <c r="A5" s="51" t="s">
        <v>22</v>
      </c>
      <c r="B5" s="51" t="s">
        <v>23</v>
      </c>
      <c r="C5" s="64"/>
      <c r="D5" s="64"/>
      <c r="E5" s="64"/>
      <c r="F5" s="64"/>
      <c r="G5" s="64"/>
    </row>
    <row r="6" spans="1:7" x14ac:dyDescent="0.2">
      <c r="A6" s="51" t="s">
        <v>25</v>
      </c>
      <c r="B6" s="51" t="s">
        <v>26</v>
      </c>
      <c r="C6" s="64"/>
      <c r="D6" s="64"/>
      <c r="E6" s="64"/>
      <c r="F6" s="64"/>
      <c r="G6" s="64"/>
    </row>
    <row r="7" spans="1:7" ht="75" customHeight="1" x14ac:dyDescent="0.2">
      <c r="A7" s="51" t="s">
        <v>27</v>
      </c>
      <c r="B7" s="51" t="s">
        <v>28</v>
      </c>
      <c r="C7" s="64"/>
      <c r="D7" s="64" t="s">
        <v>526</v>
      </c>
      <c r="E7" s="64" t="s">
        <v>527</v>
      </c>
      <c r="F7" s="64" t="s">
        <v>528</v>
      </c>
      <c r="G7" s="64" t="s">
        <v>529</v>
      </c>
    </row>
    <row r="8" spans="1:7" x14ac:dyDescent="0.2">
      <c r="A8" s="51" t="s">
        <v>29</v>
      </c>
      <c r="B8" s="51" t="s">
        <v>30</v>
      </c>
      <c r="C8" s="64"/>
      <c r="D8" s="64"/>
      <c r="E8" s="64"/>
      <c r="F8" s="64"/>
      <c r="G8" s="64"/>
    </row>
    <row r="9" spans="1:7" x14ac:dyDescent="0.2">
      <c r="A9" s="51" t="s">
        <v>31</v>
      </c>
      <c r="B9" s="51" t="s">
        <v>32</v>
      </c>
      <c r="C9" s="64"/>
      <c r="D9" s="64"/>
      <c r="E9" s="64"/>
      <c r="F9" s="64"/>
      <c r="G9" s="64"/>
    </row>
    <row r="10" spans="1:7" ht="84" customHeight="1" x14ac:dyDescent="0.2">
      <c r="A10" s="51" t="s">
        <v>33</v>
      </c>
      <c r="B10" s="51" t="s">
        <v>34</v>
      </c>
      <c r="C10" s="64"/>
      <c r="D10" s="64"/>
      <c r="E10" s="64"/>
      <c r="F10" s="64"/>
      <c r="G10" s="64" t="s">
        <v>530</v>
      </c>
    </row>
    <row r="11" spans="1:7" x14ac:dyDescent="0.2">
      <c r="A11" s="51" t="s">
        <v>35</v>
      </c>
      <c r="B11" s="51" t="s">
        <v>36</v>
      </c>
      <c r="C11" s="64"/>
      <c r="D11" s="64"/>
      <c r="E11" s="64"/>
      <c r="F11" s="64"/>
      <c r="G11" s="64"/>
    </row>
    <row r="12" spans="1:7" x14ac:dyDescent="0.2">
      <c r="A12" s="51" t="s">
        <v>38</v>
      </c>
      <c r="B12" s="51" t="s">
        <v>39</v>
      </c>
      <c r="C12" s="64"/>
      <c r="D12" s="64"/>
      <c r="E12" s="64"/>
      <c r="F12" s="64"/>
      <c r="G12" s="64"/>
    </row>
    <row r="13" spans="1:7" ht="63.75" x14ac:dyDescent="0.2">
      <c r="A13" s="51" t="s">
        <v>40</v>
      </c>
      <c r="B13" s="51" t="s">
        <v>41</v>
      </c>
      <c r="C13" s="64" t="s">
        <v>531</v>
      </c>
      <c r="D13" s="64" t="s">
        <v>532</v>
      </c>
      <c r="E13" s="64" t="s">
        <v>533</v>
      </c>
      <c r="F13" s="64" t="s">
        <v>534</v>
      </c>
      <c r="G13" s="64" t="s">
        <v>535</v>
      </c>
    </row>
    <row r="14" spans="1:7" ht="51" x14ac:dyDescent="0.2">
      <c r="A14" s="51" t="s">
        <v>43</v>
      </c>
      <c r="B14" s="51" t="s">
        <v>44</v>
      </c>
      <c r="C14" s="64"/>
      <c r="D14" s="64" t="s">
        <v>536</v>
      </c>
      <c r="E14" s="64"/>
      <c r="F14" s="64"/>
      <c r="G14" s="64" t="s">
        <v>537</v>
      </c>
    </row>
    <row r="15" spans="1:7" x14ac:dyDescent="0.2">
      <c r="A15" s="51" t="s">
        <v>45</v>
      </c>
      <c r="B15" s="51" t="s">
        <v>46</v>
      </c>
      <c r="C15" s="64"/>
      <c r="D15" s="64"/>
      <c r="E15" s="64"/>
      <c r="F15" s="64"/>
      <c r="G15" s="64" t="s">
        <v>538</v>
      </c>
    </row>
    <row r="16" spans="1:7" ht="51" x14ac:dyDescent="0.2">
      <c r="A16" s="51" t="s">
        <v>47</v>
      </c>
      <c r="B16" s="51" t="s">
        <v>48</v>
      </c>
      <c r="C16" s="64"/>
      <c r="D16" s="64" t="s">
        <v>539</v>
      </c>
      <c r="E16" s="64"/>
      <c r="F16" s="64"/>
      <c r="G16" s="64"/>
    </row>
    <row r="17" spans="1:7" ht="25.5" x14ac:dyDescent="0.2">
      <c r="A17" s="51" t="s">
        <v>49</v>
      </c>
      <c r="B17" s="51" t="s">
        <v>50</v>
      </c>
      <c r="C17" s="64"/>
      <c r="D17" s="64" t="s">
        <v>540</v>
      </c>
      <c r="E17" s="64"/>
      <c r="F17" s="64"/>
      <c r="G17" s="64"/>
    </row>
    <row r="18" spans="1:7" x14ac:dyDescent="0.2">
      <c r="A18" s="51" t="s">
        <v>51</v>
      </c>
      <c r="B18" s="51" t="s">
        <v>52</v>
      </c>
      <c r="C18" s="64" t="s">
        <v>102</v>
      </c>
      <c r="D18" s="64"/>
      <c r="E18" s="64"/>
      <c r="F18" s="64"/>
      <c r="G18" s="64"/>
    </row>
    <row r="19" spans="1:7" ht="51" x14ac:dyDescent="0.2">
      <c r="A19" s="51" t="s">
        <v>53</v>
      </c>
      <c r="B19" s="51" t="s">
        <v>54</v>
      </c>
      <c r="C19" s="64"/>
      <c r="D19" s="64" t="s">
        <v>541</v>
      </c>
      <c r="E19" s="64"/>
      <c r="F19" s="64"/>
      <c r="G19" s="64" t="s">
        <v>542</v>
      </c>
    </row>
    <row r="20" spans="1:7" ht="53.1" customHeight="1" x14ac:dyDescent="0.2">
      <c r="A20" s="51" t="s">
        <v>55</v>
      </c>
      <c r="B20" s="51" t="s">
        <v>56</v>
      </c>
      <c r="C20" s="64"/>
      <c r="D20" s="64"/>
      <c r="E20" s="64"/>
      <c r="F20" s="64"/>
      <c r="G20" s="64" t="s">
        <v>543</v>
      </c>
    </row>
    <row r="21" spans="1:7" ht="50.45" customHeight="1" x14ac:dyDescent="0.2">
      <c r="A21" s="51" t="s">
        <v>57</v>
      </c>
      <c r="B21" s="51" t="s">
        <v>58</v>
      </c>
      <c r="C21" s="64" t="s">
        <v>544</v>
      </c>
      <c r="D21" s="64"/>
      <c r="E21" s="64" t="s">
        <v>545</v>
      </c>
      <c r="F21" s="64" t="s">
        <v>546</v>
      </c>
      <c r="G21" s="64" t="s">
        <v>547</v>
      </c>
    </row>
    <row r="22" spans="1:7" x14ac:dyDescent="0.2">
      <c r="A22" s="51" t="s">
        <v>60</v>
      </c>
      <c r="B22" s="51" t="s">
        <v>61</v>
      </c>
      <c r="C22" s="64"/>
      <c r="D22" s="64"/>
      <c r="E22" s="64"/>
      <c r="F22" s="64"/>
      <c r="G22" s="64"/>
    </row>
    <row r="23" spans="1:7" x14ac:dyDescent="0.2">
      <c r="A23" s="51" t="s">
        <v>62</v>
      </c>
      <c r="B23" s="51" t="s">
        <v>63</v>
      </c>
      <c r="C23" s="64"/>
      <c r="D23" s="66" t="s">
        <v>102</v>
      </c>
      <c r="E23" s="64"/>
      <c r="F23" s="64"/>
      <c r="G23" s="64"/>
    </row>
    <row r="24" spans="1:7" ht="29.45" customHeight="1" x14ac:dyDescent="0.2">
      <c r="A24" s="51" t="s">
        <v>64</v>
      </c>
      <c r="B24" s="51" t="s">
        <v>65</v>
      </c>
      <c r="C24" s="64"/>
      <c r="D24" s="64"/>
      <c r="E24" s="64"/>
      <c r="F24" s="64"/>
      <c r="G24" s="64" t="s">
        <v>548</v>
      </c>
    </row>
    <row r="25" spans="1:7" ht="111.95" customHeight="1" x14ac:dyDescent="0.2">
      <c r="A25" s="51" t="s">
        <v>66</v>
      </c>
      <c r="B25" s="51" t="s">
        <v>67</v>
      </c>
      <c r="C25" s="64"/>
      <c r="D25" s="64"/>
      <c r="E25" s="64"/>
      <c r="F25" s="64"/>
      <c r="G25" s="64" t="s">
        <v>549</v>
      </c>
    </row>
    <row r="26" spans="1:7" x14ac:dyDescent="0.2">
      <c r="A26" s="51" t="s">
        <v>68</v>
      </c>
      <c r="B26" s="51" t="s">
        <v>69</v>
      </c>
      <c r="C26" s="64"/>
      <c r="D26" s="64"/>
      <c r="E26" s="64"/>
      <c r="F26" s="64"/>
      <c r="G26" s="64"/>
    </row>
    <row r="27" spans="1:7" ht="64.5" customHeight="1" x14ac:dyDescent="0.2">
      <c r="A27" s="51" t="s">
        <v>70</v>
      </c>
      <c r="B27" s="51" t="s">
        <v>71</v>
      </c>
      <c r="C27" s="64"/>
      <c r="D27" s="64" t="s">
        <v>299</v>
      </c>
      <c r="E27" s="64" t="s">
        <v>550</v>
      </c>
      <c r="F27" s="64"/>
      <c r="G27" s="64" t="s">
        <v>551</v>
      </c>
    </row>
    <row r="28" spans="1:7" ht="102" x14ac:dyDescent="0.2">
      <c r="A28" s="51" t="s">
        <v>73</v>
      </c>
      <c r="B28" s="51" t="s">
        <v>74</v>
      </c>
      <c r="C28" s="64"/>
      <c r="D28" s="64"/>
      <c r="E28" s="64"/>
      <c r="F28" s="64" t="s">
        <v>552</v>
      </c>
      <c r="G28" s="64" t="s">
        <v>553</v>
      </c>
    </row>
    <row r="29" spans="1:7" ht="102" x14ac:dyDescent="0.2">
      <c r="A29" s="51" t="s">
        <v>75</v>
      </c>
      <c r="B29" s="51" t="s">
        <v>76</v>
      </c>
      <c r="C29" s="64"/>
      <c r="D29" s="64"/>
      <c r="E29" s="64" t="s">
        <v>554</v>
      </c>
      <c r="F29" s="64"/>
      <c r="G29" s="64"/>
    </row>
    <row r="30" spans="1:7" ht="40.5" customHeight="1" x14ac:dyDescent="0.2">
      <c r="A30" s="51" t="s">
        <v>77</v>
      </c>
      <c r="B30" s="51" t="s">
        <v>78</v>
      </c>
      <c r="C30" s="165" t="s">
        <v>555</v>
      </c>
      <c r="D30" s="166"/>
      <c r="E30" s="166"/>
      <c r="F30" s="166"/>
      <c r="G30" s="167"/>
    </row>
    <row r="31" spans="1:7" ht="25.5" x14ac:dyDescent="0.2">
      <c r="A31" s="51" t="s">
        <v>79</v>
      </c>
      <c r="B31" s="51" t="s">
        <v>80</v>
      </c>
      <c r="C31" s="66" t="s">
        <v>102</v>
      </c>
      <c r="D31" s="66" t="s">
        <v>102</v>
      </c>
      <c r="E31" s="66" t="s">
        <v>102</v>
      </c>
      <c r="F31" s="66" t="s">
        <v>102</v>
      </c>
      <c r="G31" s="66" t="s">
        <v>102</v>
      </c>
    </row>
    <row r="32" spans="1:7" ht="102" x14ac:dyDescent="0.2">
      <c r="A32" s="51" t="s">
        <v>81</v>
      </c>
      <c r="B32" s="51" t="s">
        <v>82</v>
      </c>
      <c r="C32" s="64" t="s">
        <v>556</v>
      </c>
      <c r="D32" s="66" t="s">
        <v>102</v>
      </c>
      <c r="E32" s="66" t="s">
        <v>102</v>
      </c>
      <c r="F32" s="64"/>
      <c r="G32" s="66" t="s">
        <v>102</v>
      </c>
    </row>
    <row r="33" spans="1:7" ht="194.1" customHeight="1" x14ac:dyDescent="0.2">
      <c r="A33" s="51" t="s">
        <v>84</v>
      </c>
      <c r="B33" s="51" t="s">
        <v>85</v>
      </c>
      <c r="C33" s="64" t="s">
        <v>557</v>
      </c>
      <c r="D33" s="64" t="s">
        <v>558</v>
      </c>
      <c r="E33" s="64" t="s">
        <v>559</v>
      </c>
      <c r="F33" s="64" t="s">
        <v>560</v>
      </c>
      <c r="G33" s="64" t="s">
        <v>561</v>
      </c>
    </row>
    <row r="34" spans="1:7" ht="25.5" x14ac:dyDescent="0.2">
      <c r="A34" s="51" t="s">
        <v>86</v>
      </c>
      <c r="B34" s="51" t="s">
        <v>87</v>
      </c>
      <c r="C34" s="64"/>
      <c r="D34" s="64"/>
      <c r="E34" s="64"/>
      <c r="F34" s="64"/>
      <c r="G34" s="64"/>
    </row>
    <row r="35" spans="1:7" x14ac:dyDescent="0.2">
      <c r="A35" s="51" t="s">
        <v>89</v>
      </c>
      <c r="B35" s="51" t="s">
        <v>90</v>
      </c>
      <c r="C35" s="64"/>
      <c r="D35" s="64"/>
      <c r="E35" s="64"/>
      <c r="F35" s="64"/>
      <c r="G35" s="64"/>
    </row>
    <row r="36" spans="1:7" ht="25.5" x14ac:dyDescent="0.2">
      <c r="A36" s="51" t="s">
        <v>91</v>
      </c>
      <c r="B36" s="51" t="s">
        <v>92</v>
      </c>
      <c r="C36" s="64" t="s">
        <v>562</v>
      </c>
      <c r="D36" s="64"/>
      <c r="E36" s="64"/>
      <c r="F36" s="64"/>
      <c r="G36" s="64"/>
    </row>
    <row r="37" spans="1:7" x14ac:dyDescent="0.2">
      <c r="A37" s="51" t="s">
        <v>94</v>
      </c>
      <c r="B37" s="51" t="s">
        <v>95</v>
      </c>
      <c r="C37" s="64"/>
      <c r="D37" s="64"/>
      <c r="E37" s="64"/>
      <c r="F37" s="64"/>
      <c r="G37" s="64"/>
    </row>
    <row r="38" spans="1:7" x14ac:dyDescent="0.2">
      <c r="A38" s="51" t="s">
        <v>96</v>
      </c>
      <c r="B38" s="51" t="s">
        <v>97</v>
      </c>
      <c r="C38" s="64"/>
      <c r="D38" s="64"/>
      <c r="E38" s="64"/>
      <c r="F38" s="64"/>
      <c r="G38" s="64"/>
    </row>
    <row r="39" spans="1:7" x14ac:dyDescent="0.2">
      <c r="A39" s="51" t="s">
        <v>98</v>
      </c>
      <c r="B39" s="51" t="s">
        <v>99</v>
      </c>
      <c r="C39" s="66" t="s">
        <v>102</v>
      </c>
      <c r="D39" s="66" t="s">
        <v>102</v>
      </c>
      <c r="E39" s="66" t="s">
        <v>102</v>
      </c>
      <c r="F39" s="66" t="s">
        <v>102</v>
      </c>
      <c r="G39" s="66" t="s">
        <v>102</v>
      </c>
    </row>
    <row r="40" spans="1:7" x14ac:dyDescent="0.2">
      <c r="A40" s="60" t="s">
        <v>273</v>
      </c>
      <c r="B40" s="60" t="s">
        <v>274</v>
      </c>
      <c r="C40" s="94"/>
      <c r="D40" s="66" t="s">
        <v>102</v>
      </c>
      <c r="E40" s="94"/>
      <c r="F40" s="94"/>
      <c r="G40" s="66" t="s">
        <v>102</v>
      </c>
    </row>
    <row r="41" spans="1:7" x14ac:dyDescent="0.2">
      <c r="A41" s="149" t="s">
        <v>275</v>
      </c>
      <c r="B41" s="149"/>
      <c r="C41" s="149"/>
      <c r="D41" s="149"/>
      <c r="E41" s="149"/>
      <c r="F41" s="149"/>
      <c r="G41" s="149"/>
    </row>
    <row r="42" spans="1:7" x14ac:dyDescent="0.2">
      <c r="A42" s="89" t="s">
        <v>178</v>
      </c>
      <c r="B42" s="59"/>
      <c r="C42" s="59"/>
      <c r="D42" s="59"/>
      <c r="E42" s="59"/>
    </row>
  </sheetData>
  <mergeCells count="4">
    <mergeCell ref="A1:G1"/>
    <mergeCell ref="F3:G3"/>
    <mergeCell ref="C30:G30"/>
    <mergeCell ref="A41:G4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Table of contents </vt:lpstr>
      <vt:lpstr>15.1 Int Hom incl</vt:lpstr>
      <vt:lpstr>15.1 Int Hom incl comments</vt:lpstr>
      <vt:lpstr>15.1 Int Hom excl</vt:lpstr>
      <vt:lpstr>15.1 Int Hom excl comments</vt:lpstr>
      <vt:lpstr>15.1 Serious assault</vt:lpstr>
      <vt:lpstr>15.1 Serious assault comments</vt:lpstr>
      <vt:lpstr>15.1 Kidnapping</vt:lpstr>
      <vt:lpstr>15.1 Kidnapping comments</vt:lpstr>
      <vt:lpstr>15.1 Sexual violence</vt:lpstr>
      <vt:lpstr>15.1 Sexual violence comments</vt:lpstr>
      <vt:lpstr>15.1 Rape</vt:lpstr>
      <vt:lpstr>15.1 Rape comments</vt:lpstr>
      <vt:lpstr>15.1 Sexual assault</vt:lpstr>
      <vt:lpstr>15.1 Sexual assault comments</vt:lpstr>
      <vt:lpstr>15.1 Sexual exploitation</vt:lpstr>
      <vt:lpstr>15.1 Sexual exploitation commen</vt:lpstr>
      <vt:lpstr>15.1 Robbery</vt:lpstr>
      <vt:lpstr>15.1 Robbery comments</vt:lpstr>
      <vt:lpstr>15.1 Theft</vt:lpstr>
      <vt:lpstr>15.1 Theft  comments</vt:lpstr>
      <vt:lpstr>15.1 Fraud</vt:lpstr>
      <vt:lpstr>15.1 Fraud comments</vt:lpstr>
      <vt:lpstr>15.1 Corruption</vt:lpstr>
      <vt:lpstr>15.1 Corruption comments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STURC Arsela (ESTAT-EXT)</dc:creator>
  <cp:lastModifiedBy>STURC Arsela (ESTAT-EXT)</cp:lastModifiedBy>
  <dcterms:created xsi:type="dcterms:W3CDTF">2026-04-28T13:54:43Z</dcterms:created>
  <dcterms:modified xsi:type="dcterms:W3CDTF">2026-04-29T11:59:53Z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2026-04-28T13:57:56Z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a76166e6-2a16-4b21-9e2c-61024ddabf0e</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ies>
</file>