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U:\CRIME AND JUSTICE\SOGETI\REGULAR PRODUCTION 2025\zz.Acceptance -eurobase_2026\metadata\"/>
    </mc:Choice>
  </mc:AlternateContent>
  <xr:revisionPtr revIDLastSave="0" documentId="13_ncr:1_{67AC18BF-89AC-4B81-8D67-45040DE6CF83}" xr6:coauthVersionLast="47" xr6:coauthVersionMax="47" xr10:uidLastSave="{00000000-0000-0000-0000-000000000000}"/>
  <bookViews>
    <workbookView xWindow="44880" yWindow="1425" windowWidth="29040" windowHeight="15720" xr2:uid="{B8062AE6-AA18-422D-82A5-AD0495D4D9E9}"/>
  </bookViews>
  <sheets>
    <sheet name="Table of contents " sheetId="1" r:id="rId1"/>
    <sheet name="10.6.3 Counting Unit" sheetId="2" r:id="rId2"/>
    <sheet name="10.6.4 Counting rules- offence" sheetId="3" r:id="rId3"/>
    <sheet name="10.6.5 Counting rules for pers." sheetId="4" r:id="rId4"/>
    <sheet name="10.6.6 Count persons " sheetId="5" r:id="rId5"/>
  </sheets>
  <definedNames>
    <definedName name="_xlnm._FilterDatabase" localSheetId="1" hidden="1">'10.6.3 Counting Unit'!$A$2:$F$41</definedName>
    <definedName name="_xlnm._FilterDatabase" localSheetId="2" hidden="1">'10.6.4 Counting rules- offence'!$A$2:$E$45</definedName>
    <definedName name="_xlnm._FilterDatabase" localSheetId="3" hidden="1">'10.6.5 Counting rules for pers.'!$A$3:$O$42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5" l="1"/>
  <c r="L42" i="5"/>
  <c r="L43" i="5" s="1"/>
  <c r="K42" i="5"/>
  <c r="K43" i="5" s="1"/>
  <c r="J42" i="5"/>
  <c r="J43" i="5" s="1"/>
  <c r="I42" i="5"/>
  <c r="I43" i="5" s="1"/>
  <c r="H42" i="5"/>
  <c r="H43" i="5" s="1"/>
  <c r="G42" i="5"/>
  <c r="G43" i="5" s="1"/>
  <c r="F42" i="5"/>
  <c r="F43" i="5" s="1"/>
  <c r="E42" i="5"/>
  <c r="E43" i="5" s="1"/>
  <c r="D42" i="5"/>
  <c r="D43" i="5" s="1"/>
  <c r="C42" i="5"/>
  <c r="G43" i="4"/>
  <c r="F43" i="4"/>
  <c r="E43" i="4"/>
  <c r="C43" i="4"/>
  <c r="L42" i="4"/>
  <c r="L43" i="4" s="1"/>
  <c r="K42" i="4"/>
  <c r="K43" i="4" s="1"/>
  <c r="J42" i="4"/>
  <c r="J43" i="4" s="1"/>
  <c r="I42" i="4"/>
  <c r="I43" i="4" s="1"/>
  <c r="H42" i="4"/>
  <c r="H43" i="4" s="1"/>
  <c r="G42" i="4"/>
  <c r="F42" i="4"/>
  <c r="E42" i="4"/>
  <c r="D42" i="4"/>
  <c r="D43" i="4" s="1"/>
  <c r="C42" i="4"/>
  <c r="E41" i="3"/>
  <c r="E42" i="3" s="1"/>
  <c r="D41" i="3"/>
  <c r="D42" i="3" s="1"/>
  <c r="C41" i="3"/>
  <c r="C42" i="3" s="1"/>
</calcChain>
</file>

<file path=xl/sharedStrings.xml><?xml version="1.0" encoding="utf-8"?>
<sst xmlns="http://schemas.openxmlformats.org/spreadsheetml/2006/main" count="1349" uniqueCount="152">
  <si>
    <t xml:space="preserve"> Table of Contents</t>
  </si>
  <si>
    <t>10.6.3 Counting Unit</t>
  </si>
  <si>
    <t>10.6.4 Counting rules- offence</t>
  </si>
  <si>
    <t>10.6.5 Counting rules for persons</t>
  </si>
  <si>
    <t xml:space="preserve">10.6.6 Count persons </t>
  </si>
  <si>
    <t>Counting unit of prosecutions and courts data</t>
  </si>
  <si>
    <t>ISO</t>
  </si>
  <si>
    <t>Country</t>
  </si>
  <si>
    <t>PROSECUTION (counting unit of prosecuted persons)</t>
  </si>
  <si>
    <t>Courts  (counting unit of convicted persons)</t>
  </si>
  <si>
    <t>IF PERSONS against whom prosecution commenced in the reporting year</t>
  </si>
  <si>
    <t>Comments</t>
  </si>
  <si>
    <t>BE</t>
  </si>
  <si>
    <t>Belgium</t>
  </si>
  <si>
    <t>NO, OTHER COUNT OF PERSONS</t>
  </si>
  <si>
    <t>Accused person may be involved  in several cases and is counted in each case</t>
  </si>
  <si>
    <t>NO, CASES</t>
  </si>
  <si>
    <t>Cases (which may involve multiple persons)</t>
  </si>
  <si>
    <t>BG</t>
  </si>
  <si>
    <t>Bulgaria</t>
  </si>
  <si>
    <t>YES</t>
  </si>
  <si>
    <t>CZ</t>
  </si>
  <si>
    <t>Czechia</t>
  </si>
  <si>
    <t>Number of persons against whom has the prosecution already finished; all possible results are included - e.g. Procecured person was charged and send before the court, the prosecution was stopped etc.</t>
  </si>
  <si>
    <t>DK</t>
  </si>
  <si>
    <t>Denmark</t>
  </si>
  <si>
    <t>NO, CONVICTIONS</t>
  </si>
  <si>
    <t>Convictions</t>
  </si>
  <si>
    <t>DE</t>
  </si>
  <si>
    <t>Germany</t>
  </si>
  <si>
    <t>The available statistics on public prosecution offices (Staatsanwaltschaftsstatistik) does not collect cases or persons but proceeedings.</t>
  </si>
  <si>
    <t>The counting unit of court convictions statistics is persons finally convicted.</t>
  </si>
  <si>
    <t>EE</t>
  </si>
  <si>
    <t>Estonia</t>
  </si>
  <si>
    <t>IE</t>
  </si>
  <si>
    <t>Ireland</t>
  </si>
  <si>
    <t>:</t>
  </si>
  <si>
    <t>EL</t>
  </si>
  <si>
    <t>Greece</t>
  </si>
  <si>
    <t>ES</t>
  </si>
  <si>
    <t>Spain</t>
  </si>
  <si>
    <t>Judgment usually: Person in some cases</t>
  </si>
  <si>
    <t>FR</t>
  </si>
  <si>
    <t>France</t>
  </si>
  <si>
    <t>erson in a case. For instance, if a person is prosecuted in two different cases, this person is counted twice.</t>
  </si>
  <si>
    <t xml:space="preserve">Conviction. For instance, if a person is convicted twice, this person is counted twice. </t>
  </si>
  <si>
    <t>HR</t>
  </si>
  <si>
    <t>Croatia</t>
  </si>
  <si>
    <t>Known persons against whom public prosecutors office has reached a final decision based on the crime reports submitted against them. For unknown persons reported for criminal offence, data refer to the moment the crime report is submitted.</t>
  </si>
  <si>
    <t>IT</t>
  </si>
  <si>
    <t>Italy</t>
  </si>
  <si>
    <t>The year corresponds to thepublic prosecutor office decision about archiviation or start of the penal action after the investigation on the person reported</t>
  </si>
  <si>
    <t>CY</t>
  </si>
  <si>
    <t>Cyprus</t>
  </si>
  <si>
    <t>LV</t>
  </si>
  <si>
    <t>Latvia</t>
  </si>
  <si>
    <t>LT</t>
  </si>
  <si>
    <t>Lithuania</t>
  </si>
  <si>
    <t>LU</t>
  </si>
  <si>
    <t>Luxembourg</t>
  </si>
  <si>
    <t>Affaires</t>
  </si>
  <si>
    <t>HU</t>
  </si>
  <si>
    <t>Hungary</t>
  </si>
  <si>
    <t>MT</t>
  </si>
  <si>
    <t>Malta</t>
  </si>
  <si>
    <t>NL</t>
  </si>
  <si>
    <t>Netherlands</t>
  </si>
  <si>
    <t>AT</t>
  </si>
  <si>
    <t>Austria</t>
  </si>
  <si>
    <t>PL</t>
  </si>
  <si>
    <t>Poland</t>
  </si>
  <si>
    <t>PT</t>
  </si>
  <si>
    <t>Portugal</t>
  </si>
  <si>
    <t>Corresponds to persons brought before criminal courts. Does not include all persons prosecuted in the reporting year</t>
  </si>
  <si>
    <t>RO</t>
  </si>
  <si>
    <t>Romania</t>
  </si>
  <si>
    <t>NO</t>
  </si>
  <si>
    <t>The counting unit is the file with the unique number.</t>
  </si>
  <si>
    <t>SI</t>
  </si>
  <si>
    <t>Slovenia</t>
  </si>
  <si>
    <t>SK</t>
  </si>
  <si>
    <t>Slovakia</t>
  </si>
  <si>
    <t>FI</t>
  </si>
  <si>
    <t>Finland</t>
  </si>
  <si>
    <t>SE</t>
  </si>
  <si>
    <t>Sweden</t>
  </si>
  <si>
    <t>Decisions by court regarding persons, the same person is counted for each conviction during a year.</t>
  </si>
  <si>
    <t>IS</t>
  </si>
  <si>
    <t>Iceland</t>
  </si>
  <si>
    <t>Cases</t>
  </si>
  <si>
    <t>LI</t>
  </si>
  <si>
    <t>Liechtenstein </t>
  </si>
  <si>
    <t>Norway</t>
  </si>
  <si>
    <t>Counting unit is unique person, but only includes persons with a "Committed for trial" (i.e. brought to court) or given a "Ticket fine" by the police/prosecution authority for their principal offence. See https://www.ssb.no/en/statbank/table/09420</t>
  </si>
  <si>
    <t>CH</t>
  </si>
  <si>
    <t>Switzerland </t>
  </si>
  <si>
    <t>BA</t>
  </si>
  <si>
    <t>Bosnia and Herzegovina </t>
  </si>
  <si>
    <t>ME</t>
  </si>
  <si>
    <t>Montenegro</t>
  </si>
  <si>
    <t>MK</t>
  </si>
  <si>
    <t>North Macedonia</t>
  </si>
  <si>
    <t>AL</t>
  </si>
  <si>
    <t>Albania</t>
  </si>
  <si>
    <t>RS</t>
  </si>
  <si>
    <t>Serbia</t>
  </si>
  <si>
    <t>TR</t>
  </si>
  <si>
    <t>Türkiye</t>
  </si>
  <si>
    <t>It is persons against whom prosecution completed in the reporting year</t>
  </si>
  <si>
    <t>XK</t>
  </si>
  <si>
    <t>Kosovo*</t>
  </si>
  <si>
    <t>*under United Nations Security Council Resolution 1244/99</t>
  </si>
  <si>
    <t>:=no information provided</t>
  </si>
  <si>
    <t>NO or :</t>
  </si>
  <si>
    <t>Counting rules for offences (police data)</t>
  </si>
  <si>
    <t>Use of principal offence rule</t>
  </si>
  <si>
    <t>Counting rule for multiple (serial) offences of the same type</t>
  </si>
  <si>
    <t>Counting rule for when an offence is committed by more than one person</t>
  </si>
  <si>
    <t>AS MORE THAN ONE OFFENCE</t>
  </si>
  <si>
    <t>AS ONE OFFENCE</t>
  </si>
  <si>
    <t>OTHER (The decision on the type of recording is made in the respective police station. In principle, several cases in a series are recorded as on case if they are reported at the same time. Multiple cases are recorded if they are reported one after another.)</t>
  </si>
  <si>
    <t>OTHER (Depends on time lag between the offences etc.)</t>
  </si>
  <si>
    <t>OTHER (Incidents with samme victim same offender counted as single incident if reported at same time. Incidents with offender and different victims and vice versa are counted as separated incidents)</t>
  </si>
  <si>
    <t>AS MORE THAN ONE OFENCE (As a general rule, as an individual crime for each act committed in acts against persons and as a single crime for the totality of acts committed simultaneously in crimes against property</t>
  </si>
  <si>
    <t>OTHER (In the case of continuing offence, only one OFFENCEis counted; in the case of concurrence of several offences in one action all offences are counted.
Source: General Inspectorate of Romanian Police within the Ministry of Internal Affairs.)</t>
  </si>
  <si>
    <t>AS ONE OFFENCE (Depends on the types of offences. Usually an OFFENCE commited by several persons is counted as one offence, but there are a few exceptions to the rule.)</t>
  </si>
  <si>
    <t>OTHER (If a crime is perpetrated on the same victim several times by the same offender, the offense counts once, but we set a multiple flag.)</t>
  </si>
  <si>
    <t>AS ONE OFFENCE (Depending on whether in the concrete case, in the actions of each of the suspects, there are elements of the criminal offense.)</t>
  </si>
  <si>
    <t>Total number of countries that comply with the rule</t>
  </si>
  <si>
    <t>% of countries that comply with the rule</t>
  </si>
  <si>
    <t>: = no information given  </t>
  </si>
  <si>
    <t>rule properly applied</t>
  </si>
  <si>
    <t>rule NOT properly applied</t>
  </si>
  <si>
    <t>other/not provided</t>
  </si>
  <si>
    <t>Counting rules for persons when counting total number of persons</t>
  </si>
  <si>
    <t> Country</t>
  </si>
  <si>
    <t>Use of Principal Offence Rule</t>
  </si>
  <si>
    <t>Counting of persons for multiple (serial) offences of the same type</t>
  </si>
  <si>
    <t>Counting the same person multiple times in the same year</t>
  </si>
  <si>
    <t>Police (offenders)</t>
  </si>
  <si>
    <t>Prosecution</t>
  </si>
  <si>
    <t>Courts  </t>
  </si>
  <si>
    <t>Prisons  </t>
  </si>
  <si>
    <t>Prosecution </t>
  </si>
  <si>
    <t>ONE</t>
  </si>
  <si>
    <t>MORE</t>
  </si>
  <si>
    <t>DON’T KNOW</t>
  </si>
  <si>
    <t>OTHER</t>
  </si>
  <si>
    <t>Kosovo</t>
  </si>
  <si>
    <t>Counting rules for persons when counting persons in reference to an offence</t>
  </si>
  <si>
    <r>
      <t> </t>
    </r>
    <r>
      <rPr>
        <b/>
        <sz val="9"/>
        <color indexed="8"/>
        <rFont val="Arial"/>
        <family val="2"/>
      </rPr>
      <t>Country</t>
    </r>
  </si>
  <si>
    <t>IF PERSONS against whom Courts  commenced in the reporting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</si>
</sst>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rgb="FF222222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rgb="FFFF0000"/>
      <name val="Arial"/>
      <family val="2"/>
    </font>
    <font>
      <i/>
      <sz val="10"/>
      <color indexed="8"/>
      <name val="Arial"/>
      <family val="2"/>
    </font>
    <font>
      <i/>
      <sz val="9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b/>
      <i/>
      <sz val="9"/>
      <color indexed="8"/>
      <name val="Arial"/>
      <family val="2"/>
    </font>
    <font>
      <sz val="9"/>
      <color theme="1"/>
      <name val="Arial"/>
      <family val="2"/>
    </font>
    <font>
      <b/>
      <sz val="9"/>
      <color rgb="FF222222"/>
      <name val="Arial"/>
      <family val="2"/>
    </font>
    <font>
      <b/>
      <sz val="9"/>
      <color rgb="FFFF0000"/>
      <name val="Arial"/>
      <family val="2"/>
    </font>
    <font>
      <b/>
      <sz val="18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/>
    <xf numFmtId="0" fontId="8" fillId="0" borderId="5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0" borderId="0" xfId="0" applyFont="1"/>
    <xf numFmtId="0" fontId="5" fillId="0" borderId="5" xfId="0" applyFont="1" applyBorder="1"/>
    <xf numFmtId="0" fontId="6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10" fillId="0" borderId="0" xfId="0" applyFont="1"/>
    <xf numFmtId="0" fontId="1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6" fillId="2" borderId="5" xfId="0" applyFont="1" applyFill="1" applyBorder="1" applyAlignment="1">
      <alignment wrapText="1"/>
    </xf>
    <xf numFmtId="0" fontId="12" fillId="0" borderId="0" xfId="3" applyFont="1"/>
    <xf numFmtId="0" fontId="13" fillId="3" borderId="6" xfId="3" applyFont="1" applyFill="1" applyBorder="1" applyAlignment="1">
      <alignment vertical="center" wrapText="1"/>
    </xf>
    <xf numFmtId="0" fontId="13" fillId="3" borderId="7" xfId="3" applyFont="1" applyFill="1" applyBorder="1" applyAlignment="1">
      <alignment horizontal="center" vertical="center" wrapText="1"/>
    </xf>
    <xf numFmtId="0" fontId="13" fillId="3" borderId="6" xfId="3" applyFont="1" applyFill="1" applyBorder="1" applyAlignment="1">
      <alignment horizontal="center" vertical="center" wrapText="1"/>
    </xf>
    <xf numFmtId="0" fontId="12" fillId="3" borderId="6" xfId="3" applyFont="1" applyFill="1" applyBorder="1" applyAlignment="1">
      <alignment vertical="center" wrapText="1"/>
    </xf>
    <xf numFmtId="0" fontId="12" fillId="0" borderId="6" xfId="3" applyFont="1" applyBorder="1" applyAlignment="1">
      <alignment horizontal="center" vertical="center" wrapText="1"/>
    </xf>
    <xf numFmtId="0" fontId="12" fillId="3" borderId="7" xfId="3" applyFont="1" applyFill="1" applyBorder="1" applyAlignment="1">
      <alignment vertical="center" wrapText="1"/>
    </xf>
    <xf numFmtId="0" fontId="12" fillId="2" borderId="0" xfId="3" applyFont="1" applyFill="1" applyAlignment="1">
      <alignment wrapText="1"/>
    </xf>
    <xf numFmtId="0" fontId="12" fillId="0" borderId="0" xfId="3" applyFont="1" applyAlignment="1">
      <alignment wrapText="1"/>
    </xf>
    <xf numFmtId="0" fontId="12" fillId="2" borderId="6" xfId="3" applyFont="1" applyFill="1" applyBorder="1" applyAlignment="1">
      <alignment horizontal="center" vertical="center" wrapText="1"/>
    </xf>
    <xf numFmtId="0" fontId="12" fillId="0" borderId="7" xfId="3" applyFont="1" applyBorder="1" applyAlignment="1">
      <alignment horizontal="center" vertical="center" wrapText="1"/>
    </xf>
    <xf numFmtId="9" fontId="5" fillId="0" borderId="5" xfId="1" applyFont="1" applyBorder="1"/>
    <xf numFmtId="9" fontId="5" fillId="0" borderId="0" xfId="1" applyFont="1"/>
    <xf numFmtId="0" fontId="12" fillId="3" borderId="0" xfId="3" applyFont="1" applyFill="1" applyAlignment="1">
      <alignment vertical="center" wrapText="1"/>
    </xf>
    <xf numFmtId="0" fontId="16" fillId="0" borderId="0" xfId="3" applyFont="1" applyAlignment="1">
      <alignment vertical="center" wrapText="1"/>
    </xf>
    <xf numFmtId="0" fontId="12" fillId="4" borderId="0" xfId="3" applyFont="1" applyFill="1"/>
    <xf numFmtId="0" fontId="12" fillId="5" borderId="0" xfId="3" applyFont="1" applyFill="1"/>
    <xf numFmtId="0" fontId="12" fillId="2" borderId="0" xfId="3" applyFont="1" applyFill="1"/>
    <xf numFmtId="0" fontId="8" fillId="3" borderId="5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/>
    <xf numFmtId="0" fontId="19" fillId="0" borderId="0" xfId="0" applyFont="1" applyAlignment="1">
      <alignment vertical="center"/>
    </xf>
    <xf numFmtId="0" fontId="8" fillId="3" borderId="7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vertical="center" wrapText="1"/>
    </xf>
    <xf numFmtId="0" fontId="8" fillId="0" borderId="0" xfId="0" applyFont="1"/>
    <xf numFmtId="0" fontId="8" fillId="3" borderId="8" xfId="0" applyFont="1" applyFill="1" applyBorder="1" applyAlignment="1">
      <alignment vertical="center" wrapText="1"/>
    </xf>
    <xf numFmtId="0" fontId="20" fillId="0" borderId="0" xfId="0" applyFont="1"/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1" fillId="0" borderId="0" xfId="0" applyFont="1"/>
    <xf numFmtId="0" fontId="0" fillId="6" borderId="0" xfId="0" applyFill="1"/>
    <xf numFmtId="0" fontId="2" fillId="6" borderId="0" xfId="2" quotePrefix="1" applyFill="1"/>
    <xf numFmtId="0" fontId="21" fillId="6" borderId="0" xfId="0" applyFont="1" applyFill="1"/>
    <xf numFmtId="0" fontId="7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10" fillId="0" borderId="0" xfId="0" applyFont="1" applyAlignment="1">
      <alignment horizontal="left"/>
    </xf>
    <xf numFmtId="0" fontId="13" fillId="0" borderId="2" xfId="3" applyFont="1" applyBorder="1" applyAlignment="1">
      <alignment horizontal="center" wrapText="1"/>
    </xf>
    <xf numFmtId="0" fontId="13" fillId="0" borderId="3" xfId="3" applyFont="1" applyBorder="1" applyAlignment="1">
      <alignment horizontal="center" wrapText="1"/>
    </xf>
    <xf numFmtId="0" fontId="14" fillId="3" borderId="0" xfId="3" applyFont="1" applyFill="1" applyAlignment="1">
      <alignment horizontal="left" vertical="center" wrapText="1"/>
    </xf>
    <xf numFmtId="0" fontId="15" fillId="0" borderId="0" xfId="3" applyFont="1" applyAlignment="1">
      <alignment horizontal="left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8" fillId="4" borderId="0" xfId="3" applyFont="1" applyFill="1" applyAlignment="1">
      <alignment horizontal="center"/>
    </xf>
    <xf numFmtId="0" fontId="18" fillId="5" borderId="0" xfId="3" applyFont="1" applyFill="1" applyAlignment="1">
      <alignment horizontal="center"/>
    </xf>
    <xf numFmtId="0" fontId="18" fillId="2" borderId="0" xfId="3" applyFont="1" applyFill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3" fillId="0" borderId="5" xfId="3" applyFont="1" applyBorder="1" applyAlignment="1">
      <alignment horizontal="center" wrapText="1"/>
    </xf>
  </cellXfs>
  <cellStyles count="4">
    <cellStyle name="Hyperlink" xfId="2" builtinId="8"/>
    <cellStyle name="Normal" xfId="0" builtinId="0"/>
    <cellStyle name="Normal 2" xfId="3" xr:uid="{591026DA-4E58-4D37-A9A3-AAF8312C2CE8}"/>
    <cellStyle name="Percent" xfId="1" builtinId="5"/>
  </cellStyles>
  <dxfs count="31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Palette B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B656BD"/>
      </a:accent1>
      <a:accent2>
        <a:srgbClr val="2644A7"/>
      </a:accent2>
      <a:accent3>
        <a:srgbClr val="B09120"/>
      </a:accent3>
      <a:accent4>
        <a:srgbClr val="672DC4"/>
      </a:accent4>
      <a:accent5>
        <a:srgbClr val="388AE2"/>
      </a:accent5>
      <a:accent6>
        <a:srgbClr val="AF155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D8AA-19CB-4401-8499-C8543C0CEDBA}">
  <dimension ref="C2:C7"/>
  <sheetViews>
    <sheetView tabSelected="1" workbookViewId="0">
      <selection activeCell="C2" sqref="C2"/>
    </sheetView>
  </sheetViews>
  <sheetFormatPr defaultRowHeight="30" customHeight="1" x14ac:dyDescent="0.25"/>
  <cols>
    <col min="3" max="3" width="55.5703125" customWidth="1"/>
  </cols>
  <sheetData>
    <row r="2" spans="3:3" ht="30" customHeight="1" x14ac:dyDescent="0.35">
      <c r="C2" s="51" t="s">
        <v>0</v>
      </c>
    </row>
    <row r="3" spans="3:3" ht="30" customHeight="1" x14ac:dyDescent="0.25">
      <c r="C3" s="49"/>
    </row>
    <row r="4" spans="3:3" ht="30" customHeight="1" x14ac:dyDescent="0.25">
      <c r="C4" s="50" t="s">
        <v>1</v>
      </c>
    </row>
    <row r="5" spans="3:3" ht="30" customHeight="1" x14ac:dyDescent="0.25">
      <c r="C5" s="50" t="s">
        <v>2</v>
      </c>
    </row>
    <row r="6" spans="3:3" ht="30" customHeight="1" x14ac:dyDescent="0.25">
      <c r="C6" s="50" t="s">
        <v>3</v>
      </c>
    </row>
    <row r="7" spans="3:3" ht="30" customHeight="1" x14ac:dyDescent="0.25">
      <c r="C7" s="50" t="s">
        <v>4</v>
      </c>
    </row>
  </sheetData>
  <hyperlinks>
    <hyperlink ref="C4" location="'10.6.3 Counting Unit'!A1" display="'10.6.3 Counting Unit" xr:uid="{33B6EA33-0A3E-4844-8615-C852DE1501EB}"/>
    <hyperlink ref="C5" location="'Table of contents '!A1" display="10.6.4 Counting rules- offence" xr:uid="{BCC3CF8D-FF3E-4222-A00A-0873668C34C8}"/>
    <hyperlink ref="C6" location="'10.6.5 Counting rules for pers.'!A1" display="10.6.5 Counting rules for persons" xr:uid="{061AED28-0467-465A-8F7C-5AF5E1BF9E5E}"/>
    <hyperlink ref="C7" location="'10.6.6 Count persons '!A1" display="'10.6.6 Count persons " xr:uid="{4802D2D8-E335-4ABC-B25F-4B862E62787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54356-EF95-407B-BD73-6ADB763A41E9}">
  <sheetPr codeName="Sheet6">
    <tabColor theme="0" tint="-0.14999847407452621"/>
  </sheetPr>
  <dimension ref="A1:H45"/>
  <sheetViews>
    <sheetView zoomScaleNormal="100" workbookViewId="0">
      <selection activeCell="H8" sqref="H8"/>
    </sheetView>
  </sheetViews>
  <sheetFormatPr defaultColWidth="8.7109375" defaultRowHeight="12.75" x14ac:dyDescent="0.2"/>
  <cols>
    <col min="1" max="1" width="6" style="2" customWidth="1"/>
    <col min="2" max="2" width="12.5703125" style="2" customWidth="1"/>
    <col min="3" max="3" width="18.140625" style="3" customWidth="1"/>
    <col min="4" max="4" width="40.85546875" style="4" customWidth="1"/>
    <col min="5" max="5" width="26.7109375" style="4" customWidth="1"/>
    <col min="6" max="6" width="42.85546875" style="4" customWidth="1"/>
    <col min="7" max="7" width="22.28515625" style="2" customWidth="1"/>
    <col min="8" max="16384" width="8.7109375" style="2"/>
  </cols>
  <sheetData>
    <row r="1" spans="1:8" x14ac:dyDescent="0.2">
      <c r="A1" s="1" t="s">
        <v>5</v>
      </c>
    </row>
    <row r="2" spans="1:8" s="5" customFormat="1" x14ac:dyDescent="0.2">
      <c r="A2" s="52" t="s">
        <v>6</v>
      </c>
      <c r="B2" s="52" t="s">
        <v>7</v>
      </c>
      <c r="C2" s="54" t="s">
        <v>8</v>
      </c>
      <c r="D2" s="55"/>
      <c r="E2" s="54" t="s">
        <v>9</v>
      </c>
      <c r="F2" s="55"/>
    </row>
    <row r="3" spans="1:8" s="5" customFormat="1" ht="48" x14ac:dyDescent="0.2">
      <c r="A3" s="53"/>
      <c r="B3" s="53"/>
      <c r="C3" s="6" t="s">
        <v>10</v>
      </c>
      <c r="D3" s="7" t="s">
        <v>11</v>
      </c>
      <c r="E3" s="7" t="s">
        <v>151</v>
      </c>
      <c r="F3" s="7" t="s">
        <v>11</v>
      </c>
      <c r="G3" s="8"/>
      <c r="H3" s="8"/>
    </row>
    <row r="4" spans="1:8" ht="25.5" x14ac:dyDescent="0.2">
      <c r="A4" s="9" t="s">
        <v>12</v>
      </c>
      <c r="B4" s="9" t="s">
        <v>13</v>
      </c>
      <c r="C4" s="10" t="s">
        <v>14</v>
      </c>
      <c r="D4" s="11" t="s">
        <v>15</v>
      </c>
      <c r="E4" s="11" t="s">
        <v>16</v>
      </c>
      <c r="F4" s="11" t="s">
        <v>17</v>
      </c>
    </row>
    <row r="5" spans="1:8" x14ac:dyDescent="0.2">
      <c r="A5" s="9" t="s">
        <v>18</v>
      </c>
      <c r="B5" s="9" t="s">
        <v>19</v>
      </c>
      <c r="C5" s="10" t="s">
        <v>20</v>
      </c>
      <c r="D5" s="11"/>
      <c r="E5" s="11" t="s">
        <v>20</v>
      </c>
      <c r="F5" s="11"/>
    </row>
    <row r="6" spans="1:8" ht="63.75" x14ac:dyDescent="0.2">
      <c r="A6" s="9" t="s">
        <v>21</v>
      </c>
      <c r="B6" s="9" t="s">
        <v>22</v>
      </c>
      <c r="C6" s="10" t="s">
        <v>14</v>
      </c>
      <c r="D6" s="11" t="s">
        <v>23</v>
      </c>
      <c r="E6" s="11" t="s">
        <v>20</v>
      </c>
      <c r="F6" s="11"/>
    </row>
    <row r="7" spans="1:8" x14ac:dyDescent="0.2">
      <c r="A7" s="9" t="s">
        <v>24</v>
      </c>
      <c r="B7" s="9" t="s">
        <v>25</v>
      </c>
      <c r="C7" s="10" t="s">
        <v>20</v>
      </c>
      <c r="D7" s="11"/>
      <c r="E7" s="11" t="s">
        <v>26</v>
      </c>
      <c r="F7" s="11" t="s">
        <v>27</v>
      </c>
    </row>
    <row r="8" spans="1:8" ht="38.25" x14ac:dyDescent="0.2">
      <c r="A8" s="9" t="s">
        <v>28</v>
      </c>
      <c r="B8" s="9" t="s">
        <v>29</v>
      </c>
      <c r="C8" s="10" t="s">
        <v>16</v>
      </c>
      <c r="D8" s="11" t="s">
        <v>30</v>
      </c>
      <c r="E8" s="11" t="s">
        <v>20</v>
      </c>
      <c r="F8" s="11" t="s">
        <v>31</v>
      </c>
    </row>
    <row r="9" spans="1:8" x14ac:dyDescent="0.2">
      <c r="A9" s="9" t="s">
        <v>32</v>
      </c>
      <c r="B9" s="9" t="s">
        <v>33</v>
      </c>
      <c r="C9" s="10" t="s">
        <v>20</v>
      </c>
      <c r="D9" s="11"/>
      <c r="E9" s="11" t="s">
        <v>20</v>
      </c>
      <c r="F9" s="11"/>
    </row>
    <row r="10" spans="1:8" x14ac:dyDescent="0.2">
      <c r="A10" s="9" t="s">
        <v>34</v>
      </c>
      <c r="B10" s="9" t="s">
        <v>35</v>
      </c>
      <c r="C10" s="10" t="s">
        <v>36</v>
      </c>
      <c r="D10" s="11"/>
      <c r="E10" s="11" t="s">
        <v>36</v>
      </c>
      <c r="F10" s="11"/>
    </row>
    <row r="11" spans="1:8" x14ac:dyDescent="0.2">
      <c r="A11" s="9" t="s">
        <v>37</v>
      </c>
      <c r="B11" s="9" t="s">
        <v>38</v>
      </c>
      <c r="C11" s="10" t="s">
        <v>20</v>
      </c>
      <c r="D11" s="11"/>
      <c r="E11" s="11" t="s">
        <v>20</v>
      </c>
      <c r="F11" s="11"/>
    </row>
    <row r="12" spans="1:8" x14ac:dyDescent="0.2">
      <c r="A12" s="9" t="s">
        <v>39</v>
      </c>
      <c r="B12" s="9" t="s">
        <v>40</v>
      </c>
      <c r="C12" s="10" t="s">
        <v>36</v>
      </c>
      <c r="D12" s="11"/>
      <c r="E12" s="11" t="s">
        <v>26</v>
      </c>
      <c r="F12" s="11" t="s">
        <v>41</v>
      </c>
    </row>
    <row r="13" spans="1:8" ht="38.25" x14ac:dyDescent="0.2">
      <c r="A13" s="9" t="s">
        <v>42</v>
      </c>
      <c r="B13" s="9" t="s">
        <v>43</v>
      </c>
      <c r="C13" s="10" t="s">
        <v>20</v>
      </c>
      <c r="D13" s="11" t="s">
        <v>44</v>
      </c>
      <c r="E13" s="11" t="s">
        <v>26</v>
      </c>
      <c r="F13" s="11" t="s">
        <v>45</v>
      </c>
    </row>
    <row r="14" spans="1:8" ht="76.5" x14ac:dyDescent="0.2">
      <c r="A14" s="9" t="s">
        <v>46</v>
      </c>
      <c r="B14" s="9" t="s">
        <v>47</v>
      </c>
      <c r="C14" s="10" t="s">
        <v>14</v>
      </c>
      <c r="D14" s="11" t="s">
        <v>48</v>
      </c>
      <c r="E14" s="11" t="s">
        <v>20</v>
      </c>
      <c r="F14" s="11"/>
      <c r="G14" s="4"/>
    </row>
    <row r="15" spans="1:8" ht="51" x14ac:dyDescent="0.2">
      <c r="A15" s="9" t="s">
        <v>49</v>
      </c>
      <c r="B15" s="9" t="s">
        <v>50</v>
      </c>
      <c r="C15" s="10" t="s">
        <v>14</v>
      </c>
      <c r="D15" s="11" t="s">
        <v>51</v>
      </c>
      <c r="E15" s="11" t="s">
        <v>20</v>
      </c>
      <c r="F15" s="11"/>
    </row>
    <row r="16" spans="1:8" x14ac:dyDescent="0.2">
      <c r="A16" s="9" t="s">
        <v>52</v>
      </c>
      <c r="B16" s="9" t="s">
        <v>53</v>
      </c>
      <c r="C16" s="10" t="s">
        <v>36</v>
      </c>
      <c r="D16" s="11"/>
      <c r="E16" s="11" t="s">
        <v>20</v>
      </c>
      <c r="F16" s="11"/>
    </row>
    <row r="17" spans="1:6" x14ac:dyDescent="0.2">
      <c r="A17" s="9" t="s">
        <v>54</v>
      </c>
      <c r="B17" s="9" t="s">
        <v>55</v>
      </c>
      <c r="C17" s="10" t="s">
        <v>20</v>
      </c>
      <c r="D17" s="11"/>
      <c r="E17" s="11" t="s">
        <v>20</v>
      </c>
      <c r="F17" s="11"/>
    </row>
    <row r="18" spans="1:6" x14ac:dyDescent="0.2">
      <c r="A18" s="9" t="s">
        <v>56</v>
      </c>
      <c r="B18" s="9" t="s">
        <v>57</v>
      </c>
      <c r="C18" s="10" t="s">
        <v>20</v>
      </c>
      <c r="D18" s="11"/>
      <c r="E18" s="11" t="s">
        <v>20</v>
      </c>
      <c r="F18" s="11"/>
    </row>
    <row r="19" spans="1:6" x14ac:dyDescent="0.2">
      <c r="A19" s="9" t="s">
        <v>58</v>
      </c>
      <c r="B19" s="9" t="s">
        <v>59</v>
      </c>
      <c r="C19" s="10" t="s">
        <v>16</v>
      </c>
      <c r="D19" s="11" t="s">
        <v>60</v>
      </c>
      <c r="E19" s="11" t="s">
        <v>20</v>
      </c>
      <c r="F19" s="11"/>
    </row>
    <row r="20" spans="1:6" x14ac:dyDescent="0.2">
      <c r="A20" s="9" t="s">
        <v>61</v>
      </c>
      <c r="B20" s="9" t="s">
        <v>62</v>
      </c>
      <c r="C20" s="10" t="s">
        <v>20</v>
      </c>
      <c r="D20" s="11"/>
      <c r="E20" s="11" t="s">
        <v>20</v>
      </c>
      <c r="F20" s="11"/>
    </row>
    <row r="21" spans="1:6" x14ac:dyDescent="0.2">
      <c r="A21" s="9" t="s">
        <v>63</v>
      </c>
      <c r="B21" s="9" t="s">
        <v>64</v>
      </c>
      <c r="C21" s="10" t="s">
        <v>20</v>
      </c>
      <c r="D21" s="11"/>
      <c r="E21" s="11" t="s">
        <v>20</v>
      </c>
      <c r="F21" s="11"/>
    </row>
    <row r="22" spans="1:6" x14ac:dyDescent="0.2">
      <c r="A22" s="9" t="s">
        <v>65</v>
      </c>
      <c r="B22" s="9" t="s">
        <v>66</v>
      </c>
      <c r="C22" s="10" t="s">
        <v>20</v>
      </c>
      <c r="D22" s="11"/>
      <c r="E22" s="11" t="s">
        <v>20</v>
      </c>
      <c r="F22" s="11"/>
    </row>
    <row r="23" spans="1:6" x14ac:dyDescent="0.2">
      <c r="A23" s="9" t="s">
        <v>67</v>
      </c>
      <c r="B23" s="9" t="s">
        <v>68</v>
      </c>
      <c r="C23" s="10" t="s">
        <v>20</v>
      </c>
      <c r="D23" s="11"/>
      <c r="E23" s="11" t="s">
        <v>20</v>
      </c>
      <c r="F23" s="11"/>
    </row>
    <row r="24" spans="1:6" x14ac:dyDescent="0.2">
      <c r="A24" s="9" t="s">
        <v>69</v>
      </c>
      <c r="B24" s="9" t="s">
        <v>70</v>
      </c>
      <c r="C24" s="10" t="s">
        <v>20</v>
      </c>
      <c r="D24" s="11"/>
      <c r="E24" s="11" t="s">
        <v>20</v>
      </c>
      <c r="F24" s="11"/>
    </row>
    <row r="25" spans="1:6" ht="38.25" x14ac:dyDescent="0.2">
      <c r="A25" s="9" t="s">
        <v>71</v>
      </c>
      <c r="B25" s="9" t="s">
        <v>72</v>
      </c>
      <c r="C25" s="10" t="s">
        <v>14</v>
      </c>
      <c r="D25" s="11" t="s">
        <v>73</v>
      </c>
      <c r="E25" s="11" t="s">
        <v>20</v>
      </c>
      <c r="F25" s="11"/>
    </row>
    <row r="26" spans="1:6" ht="25.5" x14ac:dyDescent="0.2">
      <c r="A26" s="9" t="s">
        <v>74</v>
      </c>
      <c r="B26" s="9" t="s">
        <v>75</v>
      </c>
      <c r="C26" s="10" t="s">
        <v>20</v>
      </c>
      <c r="D26" s="11"/>
      <c r="E26" s="11" t="s">
        <v>76</v>
      </c>
      <c r="F26" s="11" t="s">
        <v>77</v>
      </c>
    </row>
    <row r="27" spans="1:6" x14ac:dyDescent="0.2">
      <c r="A27" s="9" t="s">
        <v>78</v>
      </c>
      <c r="B27" s="9" t="s">
        <v>79</v>
      </c>
      <c r="C27" s="10" t="s">
        <v>20</v>
      </c>
      <c r="D27" s="11"/>
      <c r="E27" s="11" t="s">
        <v>20</v>
      </c>
      <c r="F27" s="11"/>
    </row>
    <row r="28" spans="1:6" x14ac:dyDescent="0.2">
      <c r="A28" s="9" t="s">
        <v>80</v>
      </c>
      <c r="B28" s="9" t="s">
        <v>81</v>
      </c>
      <c r="C28" s="10" t="s">
        <v>20</v>
      </c>
      <c r="D28" s="11"/>
      <c r="E28" s="11" t="s">
        <v>20</v>
      </c>
      <c r="F28" s="11"/>
    </row>
    <row r="29" spans="1:6" x14ac:dyDescent="0.2">
      <c r="A29" s="9" t="s">
        <v>82</v>
      </c>
      <c r="B29" s="9" t="s">
        <v>83</v>
      </c>
      <c r="C29" s="10" t="s">
        <v>36</v>
      </c>
      <c r="D29" s="11"/>
      <c r="E29" s="11" t="s">
        <v>36</v>
      </c>
      <c r="F29" s="11"/>
    </row>
    <row r="30" spans="1:6" ht="38.25" x14ac:dyDescent="0.2">
      <c r="A30" s="9" t="s">
        <v>84</v>
      </c>
      <c r="B30" s="9" t="s">
        <v>85</v>
      </c>
      <c r="C30" s="10" t="s">
        <v>20</v>
      </c>
      <c r="D30" s="11"/>
      <c r="E30" s="11" t="s">
        <v>26</v>
      </c>
      <c r="F30" s="11" t="s">
        <v>86</v>
      </c>
    </row>
    <row r="31" spans="1:6" x14ac:dyDescent="0.2">
      <c r="A31" s="9" t="s">
        <v>87</v>
      </c>
      <c r="B31" s="9" t="s">
        <v>88</v>
      </c>
      <c r="C31" s="10" t="s">
        <v>20</v>
      </c>
      <c r="D31" s="11"/>
      <c r="E31" s="11" t="s">
        <v>16</v>
      </c>
      <c r="F31" s="11" t="s">
        <v>89</v>
      </c>
    </row>
    <row r="32" spans="1:6" x14ac:dyDescent="0.2">
      <c r="A32" s="9" t="s">
        <v>90</v>
      </c>
      <c r="B32" s="9" t="s">
        <v>91</v>
      </c>
      <c r="C32" s="10" t="s">
        <v>20</v>
      </c>
      <c r="D32" s="11"/>
      <c r="E32" s="11" t="s">
        <v>20</v>
      </c>
      <c r="F32" s="11"/>
    </row>
    <row r="33" spans="1:6" ht="76.5" x14ac:dyDescent="0.2">
      <c r="A33" s="9" t="s">
        <v>76</v>
      </c>
      <c r="B33" s="9" t="s">
        <v>92</v>
      </c>
      <c r="C33" s="10" t="s">
        <v>14</v>
      </c>
      <c r="D33" s="11" t="s">
        <v>93</v>
      </c>
      <c r="E33" s="11" t="s">
        <v>20</v>
      </c>
      <c r="F33" s="11"/>
    </row>
    <row r="34" spans="1:6" x14ac:dyDescent="0.2">
      <c r="A34" s="9" t="s">
        <v>94</v>
      </c>
      <c r="B34" s="9" t="s">
        <v>95</v>
      </c>
      <c r="C34" s="10" t="s">
        <v>36</v>
      </c>
      <c r="D34" s="11"/>
      <c r="E34" s="11" t="s">
        <v>20</v>
      </c>
      <c r="F34" s="11"/>
    </row>
    <row r="35" spans="1:6" x14ac:dyDescent="0.2">
      <c r="A35" s="9" t="s">
        <v>96</v>
      </c>
      <c r="B35" s="9" t="s">
        <v>97</v>
      </c>
      <c r="C35" s="10" t="s">
        <v>20</v>
      </c>
      <c r="D35" s="11"/>
      <c r="E35" s="11" t="s">
        <v>20</v>
      </c>
      <c r="F35" s="11"/>
    </row>
    <row r="36" spans="1:6" x14ac:dyDescent="0.2">
      <c r="A36" s="9" t="s">
        <v>98</v>
      </c>
      <c r="B36" s="9" t="s">
        <v>99</v>
      </c>
      <c r="C36" s="10" t="s">
        <v>20</v>
      </c>
      <c r="D36" s="11"/>
      <c r="E36" s="11" t="s">
        <v>20</v>
      </c>
      <c r="F36" s="11"/>
    </row>
    <row r="37" spans="1:6" x14ac:dyDescent="0.2">
      <c r="A37" s="9" t="s">
        <v>100</v>
      </c>
      <c r="B37" s="9" t="s">
        <v>101</v>
      </c>
      <c r="C37" s="10" t="s">
        <v>20</v>
      </c>
      <c r="D37" s="11"/>
      <c r="E37" s="11" t="s">
        <v>20</v>
      </c>
      <c r="F37" s="11"/>
    </row>
    <row r="38" spans="1:6" x14ac:dyDescent="0.2">
      <c r="A38" s="9" t="s">
        <v>102</v>
      </c>
      <c r="B38" s="9" t="s">
        <v>103</v>
      </c>
      <c r="C38" s="10" t="s">
        <v>20</v>
      </c>
      <c r="D38" s="11"/>
      <c r="E38" s="11" t="s">
        <v>20</v>
      </c>
      <c r="F38" s="11"/>
    </row>
    <row r="39" spans="1:6" x14ac:dyDescent="0.2">
      <c r="A39" s="9" t="s">
        <v>104</v>
      </c>
      <c r="B39" s="9" t="s">
        <v>105</v>
      </c>
      <c r="C39" s="10" t="s">
        <v>20</v>
      </c>
      <c r="D39" s="11"/>
      <c r="E39" s="11" t="s">
        <v>20</v>
      </c>
      <c r="F39" s="11"/>
    </row>
    <row r="40" spans="1:6" ht="25.5" x14ac:dyDescent="0.2">
      <c r="A40" s="9" t="s">
        <v>106</v>
      </c>
      <c r="B40" s="9" t="s">
        <v>107</v>
      </c>
      <c r="C40" s="10" t="s">
        <v>14</v>
      </c>
      <c r="D40" s="11" t="s">
        <v>108</v>
      </c>
      <c r="E40" s="11" t="s">
        <v>20</v>
      </c>
      <c r="F40" s="11"/>
    </row>
    <row r="41" spans="1:6" x14ac:dyDescent="0.2">
      <c r="A41" s="9" t="s">
        <v>109</v>
      </c>
      <c r="B41" s="9" t="s">
        <v>110</v>
      </c>
      <c r="C41" s="10" t="s">
        <v>20</v>
      </c>
      <c r="D41" s="11"/>
      <c r="E41" s="11" t="s">
        <v>20</v>
      </c>
      <c r="F41" s="11"/>
    </row>
    <row r="42" spans="1:6" x14ac:dyDescent="0.2">
      <c r="A42" s="56" t="s">
        <v>111</v>
      </c>
      <c r="B42" s="56"/>
      <c r="C42" s="56"/>
      <c r="D42" s="56"/>
      <c r="E42" s="56"/>
      <c r="F42" s="2"/>
    </row>
    <row r="43" spans="1:6" x14ac:dyDescent="0.2">
      <c r="A43" s="12" t="s">
        <v>112</v>
      </c>
      <c r="B43" s="12"/>
      <c r="C43" s="13"/>
      <c r="D43" s="14"/>
      <c r="E43" s="14"/>
      <c r="F43" s="14"/>
    </row>
    <row r="44" spans="1:6" x14ac:dyDescent="0.2">
      <c r="B44" s="10" t="s">
        <v>20</v>
      </c>
    </row>
    <row r="45" spans="1:6" x14ac:dyDescent="0.2">
      <c r="B45" s="15" t="s">
        <v>113</v>
      </c>
    </row>
  </sheetData>
  <mergeCells count="5">
    <mergeCell ref="A2:A3"/>
    <mergeCell ref="B2:B3"/>
    <mergeCell ref="C2:D2"/>
    <mergeCell ref="E2:F2"/>
    <mergeCell ref="A42:E42"/>
  </mergeCells>
  <conditionalFormatting sqref="C4:F41 B44:B45">
    <cfRule type="cellIs" dxfId="30" priority="1" operator="equal">
      <formula>"NO"</formula>
    </cfRule>
    <cfRule type="cellIs" dxfId="29" priority="2" operator="equal">
      <formula>"NO, CONVICTIONS"</formula>
    </cfRule>
    <cfRule type="cellIs" dxfId="28" priority="3" operator="equal">
      <formula>"NO, CASES"</formula>
    </cfRule>
    <cfRule type="cellIs" dxfId="27" priority="4" operator="equal">
      <formula>"NO, OTHER COUNT OF PERSONS"</formula>
    </cfRule>
    <cfRule type="cellIs" dxfId="26" priority="5" stopIfTrue="1" operator="equal">
      <formula>":"</formula>
    </cfRule>
    <cfRule type="cellIs" dxfId="25" priority="6" stopIfTrue="1" operator="equal">
      <formula>"YES"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2C0D-CC48-42F9-8E38-8080A1664F1B}">
  <sheetPr codeName="Sheet7">
    <tabColor theme="0"/>
  </sheetPr>
  <dimension ref="A1:L45"/>
  <sheetViews>
    <sheetView zoomScaleNormal="100" workbookViewId="0">
      <selection activeCell="E2" sqref="E2"/>
    </sheetView>
  </sheetViews>
  <sheetFormatPr defaultColWidth="8.7109375" defaultRowHeight="12.75" x14ac:dyDescent="0.2"/>
  <cols>
    <col min="1" max="1" width="6.42578125" style="16" customWidth="1"/>
    <col min="2" max="2" width="18.5703125" style="16" bestFit="1" customWidth="1"/>
    <col min="3" max="3" width="24.42578125" style="16" customWidth="1"/>
    <col min="4" max="4" width="41.28515625" style="16" customWidth="1"/>
    <col min="5" max="5" width="40.85546875" style="16" customWidth="1"/>
    <col min="6" max="7" width="8.7109375" style="16"/>
    <col min="8" max="8" width="33.5703125" style="16" customWidth="1"/>
    <col min="9" max="16384" width="8.7109375" style="16"/>
  </cols>
  <sheetData>
    <row r="1" spans="1:8" x14ac:dyDescent="0.2">
      <c r="A1" s="1" t="s">
        <v>114</v>
      </c>
    </row>
    <row r="2" spans="1:8" ht="59.25" customHeight="1" x14ac:dyDescent="0.2">
      <c r="A2" s="17" t="s">
        <v>6</v>
      </c>
      <c r="B2" s="17" t="s">
        <v>7</v>
      </c>
      <c r="C2" s="18" t="s">
        <v>115</v>
      </c>
      <c r="D2" s="19" t="s">
        <v>116</v>
      </c>
      <c r="E2" s="19" t="s">
        <v>117</v>
      </c>
      <c r="F2" s="8"/>
    </row>
    <row r="3" spans="1:8" x14ac:dyDescent="0.2">
      <c r="A3" s="20" t="s">
        <v>12</v>
      </c>
      <c r="B3" s="20" t="s">
        <v>13</v>
      </c>
      <c r="C3" s="21" t="s">
        <v>76</v>
      </c>
      <c r="D3" s="21" t="s">
        <v>118</v>
      </c>
      <c r="E3" s="21" t="s">
        <v>119</v>
      </c>
      <c r="H3" s="8"/>
    </row>
    <row r="4" spans="1:8" x14ac:dyDescent="0.2">
      <c r="A4" s="20" t="s">
        <v>18</v>
      </c>
      <c r="B4" s="20" t="s">
        <v>19</v>
      </c>
      <c r="C4" s="21" t="s">
        <v>76</v>
      </c>
      <c r="D4" s="21" t="s">
        <v>118</v>
      </c>
      <c r="E4" s="21" t="s">
        <v>119</v>
      </c>
    </row>
    <row r="5" spans="1:8" x14ac:dyDescent="0.2">
      <c r="A5" s="20" t="s">
        <v>21</v>
      </c>
      <c r="B5" s="20" t="s">
        <v>22</v>
      </c>
      <c r="C5" s="21" t="s">
        <v>76</v>
      </c>
      <c r="D5" s="21" t="s">
        <v>119</v>
      </c>
      <c r="E5" s="21" t="s">
        <v>119</v>
      </c>
    </row>
    <row r="6" spans="1:8" x14ac:dyDescent="0.2">
      <c r="A6" s="20" t="s">
        <v>24</v>
      </c>
      <c r="B6" s="20" t="s">
        <v>25</v>
      </c>
      <c r="C6" s="21" t="s">
        <v>76</v>
      </c>
      <c r="D6" s="21" t="s">
        <v>118</v>
      </c>
      <c r="E6" s="21" t="s">
        <v>119</v>
      </c>
    </row>
    <row r="7" spans="1:8" ht="76.5" x14ac:dyDescent="0.2">
      <c r="A7" s="22" t="s">
        <v>28</v>
      </c>
      <c r="B7" s="22" t="s">
        <v>29</v>
      </c>
      <c r="C7" s="21" t="s">
        <v>76</v>
      </c>
      <c r="D7" s="23" t="s">
        <v>120</v>
      </c>
      <c r="E7" s="21" t="s">
        <v>119</v>
      </c>
    </row>
    <row r="8" spans="1:8" ht="25.5" x14ac:dyDescent="0.2">
      <c r="A8" s="20" t="s">
        <v>32</v>
      </c>
      <c r="B8" s="20" t="s">
        <v>33</v>
      </c>
      <c r="C8" s="21" t="s">
        <v>76</v>
      </c>
      <c r="D8" s="23" t="s">
        <v>121</v>
      </c>
      <c r="E8" s="21" t="s">
        <v>119</v>
      </c>
    </row>
    <row r="9" spans="1:8" ht="63.75" x14ac:dyDescent="0.2">
      <c r="A9" s="22" t="s">
        <v>34</v>
      </c>
      <c r="B9" s="22" t="s">
        <v>35</v>
      </c>
      <c r="C9" s="21" t="s">
        <v>20</v>
      </c>
      <c r="D9" s="23" t="s">
        <v>122</v>
      </c>
      <c r="E9" s="21" t="s">
        <v>118</v>
      </c>
    </row>
    <row r="10" spans="1:8" x14ac:dyDescent="0.2">
      <c r="A10" s="20" t="s">
        <v>37</v>
      </c>
      <c r="B10" s="20" t="s">
        <v>38</v>
      </c>
      <c r="C10" s="21" t="s">
        <v>76</v>
      </c>
      <c r="D10" s="21" t="s">
        <v>118</v>
      </c>
      <c r="E10" s="21" t="s">
        <v>119</v>
      </c>
    </row>
    <row r="11" spans="1:8" ht="63.75" x14ac:dyDescent="0.2">
      <c r="A11" s="20" t="s">
        <v>39</v>
      </c>
      <c r="B11" s="20" t="s">
        <v>40</v>
      </c>
      <c r="C11" s="21" t="s">
        <v>76</v>
      </c>
      <c r="D11" s="23" t="s">
        <v>123</v>
      </c>
      <c r="E11" s="21" t="s">
        <v>119</v>
      </c>
    </row>
    <row r="12" spans="1:8" x14ac:dyDescent="0.2">
      <c r="A12" s="20" t="s">
        <v>42</v>
      </c>
      <c r="B12" s="20" t="s">
        <v>43</v>
      </c>
      <c r="C12" s="21" t="s">
        <v>76</v>
      </c>
      <c r="D12" s="21" t="s">
        <v>118</v>
      </c>
      <c r="E12" s="21" t="s">
        <v>119</v>
      </c>
    </row>
    <row r="13" spans="1:8" x14ac:dyDescent="0.2">
      <c r="A13" s="20" t="s">
        <v>46</v>
      </c>
      <c r="B13" s="20" t="s">
        <v>47</v>
      </c>
      <c r="C13" s="21" t="s">
        <v>76</v>
      </c>
      <c r="D13" s="21" t="s">
        <v>118</v>
      </c>
      <c r="E13" s="21" t="s">
        <v>119</v>
      </c>
    </row>
    <row r="14" spans="1:8" x14ac:dyDescent="0.2">
      <c r="A14" s="20" t="s">
        <v>49</v>
      </c>
      <c r="B14" s="20" t="s">
        <v>50</v>
      </c>
      <c r="C14" s="21" t="s">
        <v>76</v>
      </c>
      <c r="D14" s="21" t="s">
        <v>118</v>
      </c>
      <c r="E14" s="21" t="s">
        <v>119</v>
      </c>
    </row>
    <row r="15" spans="1:8" x14ac:dyDescent="0.2">
      <c r="A15" s="20" t="s">
        <v>52</v>
      </c>
      <c r="B15" s="20" t="s">
        <v>53</v>
      </c>
      <c r="C15" s="21" t="s">
        <v>20</v>
      </c>
      <c r="D15" s="21" t="s">
        <v>118</v>
      </c>
      <c r="E15" s="21" t="s">
        <v>119</v>
      </c>
    </row>
    <row r="16" spans="1:8" x14ac:dyDescent="0.2">
      <c r="A16" s="20" t="s">
        <v>54</v>
      </c>
      <c r="B16" s="20" t="s">
        <v>55</v>
      </c>
      <c r="C16" s="21" t="s">
        <v>76</v>
      </c>
      <c r="D16" s="21" t="s">
        <v>118</v>
      </c>
      <c r="E16" s="21" t="s">
        <v>119</v>
      </c>
    </row>
    <row r="17" spans="1:8" x14ac:dyDescent="0.2">
      <c r="A17" s="20" t="s">
        <v>56</v>
      </c>
      <c r="B17" s="20" t="s">
        <v>57</v>
      </c>
      <c r="C17" s="21" t="s">
        <v>76</v>
      </c>
      <c r="D17" s="21" t="s">
        <v>118</v>
      </c>
      <c r="E17" s="21" t="s">
        <v>119</v>
      </c>
    </row>
    <row r="18" spans="1:8" x14ac:dyDescent="0.2">
      <c r="A18" s="20" t="s">
        <v>58</v>
      </c>
      <c r="B18" s="20" t="s">
        <v>59</v>
      </c>
      <c r="C18" s="21" t="s">
        <v>76</v>
      </c>
      <c r="D18" s="21" t="s">
        <v>119</v>
      </c>
      <c r="E18" s="21" t="s">
        <v>119</v>
      </c>
    </row>
    <row r="19" spans="1:8" x14ac:dyDescent="0.2">
      <c r="A19" s="20" t="s">
        <v>61</v>
      </c>
      <c r="B19" s="20" t="s">
        <v>62</v>
      </c>
      <c r="C19" s="21" t="s">
        <v>76</v>
      </c>
      <c r="D19" s="21" t="s">
        <v>118</v>
      </c>
      <c r="E19" s="21" t="s">
        <v>119</v>
      </c>
    </row>
    <row r="20" spans="1:8" x14ac:dyDescent="0.2">
      <c r="A20" s="20" t="s">
        <v>63</v>
      </c>
      <c r="B20" s="20" t="s">
        <v>64</v>
      </c>
      <c r="C20" s="21" t="s">
        <v>20</v>
      </c>
      <c r="D20" s="21" t="s">
        <v>118</v>
      </c>
      <c r="E20" s="21" t="s">
        <v>119</v>
      </c>
    </row>
    <row r="21" spans="1:8" x14ac:dyDescent="0.2">
      <c r="A21" s="20" t="s">
        <v>65</v>
      </c>
      <c r="B21" s="20" t="s">
        <v>66</v>
      </c>
      <c r="C21" s="21" t="s">
        <v>76</v>
      </c>
      <c r="D21" s="21" t="s">
        <v>118</v>
      </c>
      <c r="E21" s="21" t="s">
        <v>119</v>
      </c>
    </row>
    <row r="22" spans="1:8" x14ac:dyDescent="0.2">
      <c r="A22" s="20" t="s">
        <v>67</v>
      </c>
      <c r="B22" s="20" t="s">
        <v>68</v>
      </c>
      <c r="C22" s="21" t="s">
        <v>76</v>
      </c>
      <c r="D22" s="21" t="s">
        <v>118</v>
      </c>
      <c r="E22" s="21" t="s">
        <v>119</v>
      </c>
    </row>
    <row r="23" spans="1:8" x14ac:dyDescent="0.2">
      <c r="A23" s="20" t="s">
        <v>69</v>
      </c>
      <c r="B23" s="20" t="s">
        <v>70</v>
      </c>
      <c r="C23" s="21" t="s">
        <v>76</v>
      </c>
      <c r="D23" s="21" t="s">
        <v>118</v>
      </c>
      <c r="E23" s="21" t="s">
        <v>119</v>
      </c>
    </row>
    <row r="24" spans="1:8" x14ac:dyDescent="0.2">
      <c r="A24" s="20" t="s">
        <v>71</v>
      </c>
      <c r="B24" s="20" t="s">
        <v>72</v>
      </c>
      <c r="C24" s="21" t="s">
        <v>20</v>
      </c>
      <c r="D24" s="21" t="s">
        <v>119</v>
      </c>
      <c r="E24" s="21" t="s">
        <v>119</v>
      </c>
    </row>
    <row r="25" spans="1:8" ht="76.5" x14ac:dyDescent="0.2">
      <c r="A25" s="22" t="s">
        <v>74</v>
      </c>
      <c r="B25" s="22" t="s">
        <v>75</v>
      </c>
      <c r="C25" s="21" t="s">
        <v>76</v>
      </c>
      <c r="D25" s="23" t="s">
        <v>124</v>
      </c>
      <c r="E25" s="21" t="s">
        <v>119</v>
      </c>
      <c r="H25" s="24"/>
    </row>
    <row r="26" spans="1:8" x14ac:dyDescent="0.2">
      <c r="A26" s="20" t="s">
        <v>78</v>
      </c>
      <c r="B26" s="20" t="s">
        <v>79</v>
      </c>
      <c r="C26" s="21" t="s">
        <v>76</v>
      </c>
      <c r="D26" s="21" t="s">
        <v>118</v>
      </c>
      <c r="E26" s="21" t="s">
        <v>119</v>
      </c>
    </row>
    <row r="27" spans="1:8" x14ac:dyDescent="0.2">
      <c r="A27" s="20" t="s">
        <v>80</v>
      </c>
      <c r="B27" s="20" t="s">
        <v>81</v>
      </c>
      <c r="C27" s="21" t="s">
        <v>20</v>
      </c>
      <c r="D27" s="21" t="s">
        <v>119</v>
      </c>
      <c r="E27" s="21" t="s">
        <v>119</v>
      </c>
    </row>
    <row r="28" spans="1:8" x14ac:dyDescent="0.2">
      <c r="A28" s="20" t="s">
        <v>82</v>
      </c>
      <c r="B28" s="20" t="s">
        <v>83</v>
      </c>
      <c r="C28" s="21" t="s">
        <v>76</v>
      </c>
      <c r="D28" s="21" t="s">
        <v>118</v>
      </c>
      <c r="E28" s="21" t="s">
        <v>119</v>
      </c>
    </row>
    <row r="29" spans="1:8" ht="51" x14ac:dyDescent="0.25">
      <c r="A29" s="20" t="s">
        <v>84</v>
      </c>
      <c r="B29" s="20" t="s">
        <v>85</v>
      </c>
      <c r="C29" s="21" t="s">
        <v>76</v>
      </c>
      <c r="D29" s="21" t="s">
        <v>118</v>
      </c>
      <c r="E29" s="25" t="s">
        <v>125</v>
      </c>
      <c r="H29"/>
    </row>
    <row r="30" spans="1:8" x14ac:dyDescent="0.2">
      <c r="A30" s="20" t="s">
        <v>87</v>
      </c>
      <c r="B30" s="20" t="s">
        <v>88</v>
      </c>
      <c r="C30" s="21" t="s">
        <v>76</v>
      </c>
      <c r="D30" s="21" t="s">
        <v>118</v>
      </c>
      <c r="E30" s="21" t="s">
        <v>119</v>
      </c>
    </row>
    <row r="31" spans="1:8" x14ac:dyDescent="0.2">
      <c r="A31" s="20" t="s">
        <v>90</v>
      </c>
      <c r="B31" s="20" t="s">
        <v>91</v>
      </c>
      <c r="C31" s="21" t="s">
        <v>76</v>
      </c>
      <c r="D31" s="21" t="s">
        <v>118</v>
      </c>
      <c r="E31" s="21" t="s">
        <v>119</v>
      </c>
    </row>
    <row r="32" spans="1:8" x14ac:dyDescent="0.2">
      <c r="A32" s="20" t="s">
        <v>76</v>
      </c>
      <c r="B32" s="20" t="s">
        <v>92</v>
      </c>
      <c r="C32" s="21" t="s">
        <v>76</v>
      </c>
      <c r="D32" s="21" t="s">
        <v>118</v>
      </c>
      <c r="E32" s="21" t="s">
        <v>119</v>
      </c>
    </row>
    <row r="33" spans="1:12" ht="51" x14ac:dyDescent="0.2">
      <c r="A33" s="22" t="s">
        <v>94</v>
      </c>
      <c r="B33" s="22" t="s">
        <v>95</v>
      </c>
      <c r="C33" s="21" t="s">
        <v>76</v>
      </c>
      <c r="D33" s="23" t="s">
        <v>126</v>
      </c>
      <c r="E33" s="21" t="s">
        <v>119</v>
      </c>
    </row>
    <row r="34" spans="1:12" x14ac:dyDescent="0.2">
      <c r="A34" s="20" t="s">
        <v>98</v>
      </c>
      <c r="B34" s="20" t="s">
        <v>99</v>
      </c>
      <c r="C34" s="21" t="s">
        <v>76</v>
      </c>
      <c r="D34" s="21" t="s">
        <v>118</v>
      </c>
      <c r="E34" s="21" t="s">
        <v>119</v>
      </c>
    </row>
    <row r="35" spans="1:12" ht="51" x14ac:dyDescent="0.2">
      <c r="A35" s="20" t="s">
        <v>100</v>
      </c>
      <c r="B35" s="20" t="s">
        <v>101</v>
      </c>
      <c r="C35" s="21" t="s">
        <v>76</v>
      </c>
      <c r="D35" s="21" t="s">
        <v>118</v>
      </c>
      <c r="E35" s="25" t="s">
        <v>127</v>
      </c>
    </row>
    <row r="36" spans="1:12" x14ac:dyDescent="0.2">
      <c r="A36" s="20" t="s">
        <v>102</v>
      </c>
      <c r="B36" s="20" t="s">
        <v>103</v>
      </c>
      <c r="C36" s="21" t="s">
        <v>76</v>
      </c>
      <c r="D36" s="21" t="s">
        <v>118</v>
      </c>
      <c r="E36" s="21" t="s">
        <v>119</v>
      </c>
    </row>
    <row r="37" spans="1:12" x14ac:dyDescent="0.2">
      <c r="A37" s="20" t="s">
        <v>104</v>
      </c>
      <c r="B37" s="20" t="s">
        <v>105</v>
      </c>
      <c r="C37" s="21" t="s">
        <v>76</v>
      </c>
      <c r="D37" s="21" t="s">
        <v>118</v>
      </c>
      <c r="E37" s="21" t="s">
        <v>119</v>
      </c>
    </row>
    <row r="38" spans="1:12" x14ac:dyDescent="0.2">
      <c r="A38" s="20" t="s">
        <v>106</v>
      </c>
      <c r="B38" s="20" t="s">
        <v>107</v>
      </c>
      <c r="C38" s="21" t="s">
        <v>76</v>
      </c>
      <c r="D38" s="21" t="s">
        <v>118</v>
      </c>
      <c r="E38" s="21" t="s">
        <v>119</v>
      </c>
    </row>
    <row r="39" spans="1:12" ht="25.5" x14ac:dyDescent="0.2">
      <c r="A39" s="20" t="s">
        <v>96</v>
      </c>
      <c r="B39" s="20" t="s">
        <v>97</v>
      </c>
      <c r="C39" s="21" t="s">
        <v>20</v>
      </c>
      <c r="D39" s="21" t="s">
        <v>119</v>
      </c>
      <c r="E39" s="21" t="s">
        <v>119</v>
      </c>
    </row>
    <row r="40" spans="1:12" x14ac:dyDescent="0.2">
      <c r="A40" s="22" t="s">
        <v>109</v>
      </c>
      <c r="B40" s="22" t="s">
        <v>110</v>
      </c>
      <c r="C40" s="26" t="s">
        <v>76</v>
      </c>
      <c r="D40" s="26" t="s">
        <v>118</v>
      </c>
      <c r="E40" s="26" t="s">
        <v>118</v>
      </c>
    </row>
    <row r="41" spans="1:12" s="2" customFormat="1" ht="40.5" customHeight="1" x14ac:dyDescent="0.2">
      <c r="A41" s="57" t="s">
        <v>128</v>
      </c>
      <c r="B41" s="58"/>
      <c r="C41" s="9">
        <f>COUNTIF(C3:C40,"NO")</f>
        <v>32</v>
      </c>
      <c r="D41" s="9">
        <f>COUNTIF(D3:D40,"AS MORE THAN ONE OFFENCE")</f>
        <v>27</v>
      </c>
      <c r="E41" s="9">
        <f>COUNTIF(E3:E40,"AS ONE OFFENCE")</f>
        <v>34</v>
      </c>
    </row>
    <row r="42" spans="1:12" s="2" customFormat="1" ht="34.5" customHeight="1" x14ac:dyDescent="0.2">
      <c r="A42" s="57" t="s">
        <v>129</v>
      </c>
      <c r="B42" s="58"/>
      <c r="C42" s="27">
        <f>C41/38</f>
        <v>0.84210526315789469</v>
      </c>
      <c r="D42" s="27">
        <f t="shared" ref="D42:E42" si="0">D41/38</f>
        <v>0.71052631578947367</v>
      </c>
      <c r="E42" s="27">
        <f t="shared" si="0"/>
        <v>0.89473684210526316</v>
      </c>
      <c r="F42" s="28"/>
      <c r="G42" s="28"/>
      <c r="H42" s="28"/>
      <c r="I42" s="28"/>
      <c r="J42" s="28"/>
      <c r="K42" s="28"/>
      <c r="L42" s="28"/>
    </row>
    <row r="43" spans="1:12" x14ac:dyDescent="0.2">
      <c r="A43" s="29"/>
      <c r="B43" s="59" t="s">
        <v>111</v>
      </c>
      <c r="C43" s="59"/>
      <c r="D43" s="59"/>
      <c r="E43" s="59"/>
    </row>
    <row r="44" spans="1:12" x14ac:dyDescent="0.2">
      <c r="B44" s="60" t="s">
        <v>130</v>
      </c>
      <c r="C44" s="60"/>
      <c r="D44" s="60"/>
      <c r="E44" s="60"/>
    </row>
    <row r="45" spans="1:12" x14ac:dyDescent="0.2">
      <c r="A45" s="30"/>
      <c r="C45" s="31" t="s">
        <v>131</v>
      </c>
      <c r="D45" s="32" t="s">
        <v>132</v>
      </c>
      <c r="E45" s="33" t="s">
        <v>133</v>
      </c>
    </row>
  </sheetData>
  <autoFilter ref="A2:E45" xr:uid="{00000000-0001-0000-0200-000000000000}"/>
  <mergeCells count="4">
    <mergeCell ref="A41:B41"/>
    <mergeCell ref="A42:B42"/>
    <mergeCell ref="B43:E43"/>
    <mergeCell ref="B44:E44"/>
  </mergeCells>
  <conditionalFormatting sqref="C3:C41">
    <cfRule type="cellIs" dxfId="24" priority="8" operator="equal">
      <formula>"YES"</formula>
    </cfRule>
    <cfRule type="cellIs" dxfId="23" priority="9" operator="equal">
      <formula>"NO"</formula>
    </cfRule>
  </conditionalFormatting>
  <conditionalFormatting sqref="D3:D6 D10 D12:D24 D26:D32 D34:D41">
    <cfRule type="cellIs" dxfId="22" priority="6" operator="equal">
      <formula>"AS ONE OFFENCE"</formula>
    </cfRule>
    <cfRule type="cellIs" dxfId="21" priority="7" operator="equal">
      <formula>"AS MORE THAN ONE OFFENCE"</formula>
    </cfRule>
  </conditionalFormatting>
  <conditionalFormatting sqref="E3:E8 E10:E41">
    <cfRule type="cellIs" dxfId="20" priority="4" operator="equal">
      <formula>"AS ONE OFFENCE"</formula>
    </cfRule>
    <cfRule type="cellIs" dxfId="19" priority="5" operator="equal">
      <formula>"AS MORE THAN ONE OFFENCE"</formula>
    </cfRule>
  </conditionalFormatting>
  <conditionalFormatting sqref="E9">
    <cfRule type="cellIs" dxfId="18" priority="1" operator="equal">
      <formula>"AS ONE OFFENCE"</formula>
    </cfRule>
    <cfRule type="cellIs" dxfId="17" priority="2" operator="equal">
      <formula>"AS MORE THAN ONE OFFENCE"</formula>
    </cfRule>
  </conditionalFormatting>
  <conditionalFormatting sqref="F42:L4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4F9BF-AD96-4A7D-B260-53D193CFA851}">
  <sheetPr codeName="Sheet8"/>
  <dimension ref="A1:O46"/>
  <sheetViews>
    <sheetView zoomScaleNormal="100" workbookViewId="0">
      <selection activeCell="E18" sqref="E18"/>
    </sheetView>
  </sheetViews>
  <sheetFormatPr defaultColWidth="9.140625" defaultRowHeight="12.75" x14ac:dyDescent="0.2"/>
  <cols>
    <col min="1" max="1" width="4.85546875" style="2" customWidth="1"/>
    <col min="2" max="2" width="11.140625" style="2" customWidth="1"/>
    <col min="3" max="3" width="10.85546875" style="2" customWidth="1"/>
    <col min="4" max="4" width="12.28515625" style="2" customWidth="1"/>
    <col min="5" max="5" width="8.5703125" style="2" customWidth="1"/>
    <col min="6" max="6" width="8.42578125" style="2" bestFit="1" customWidth="1"/>
    <col min="7" max="7" width="11.42578125" style="2" customWidth="1"/>
    <col min="8" max="8" width="12.140625" style="2" customWidth="1"/>
    <col min="9" max="9" width="13.42578125" style="2" customWidth="1"/>
    <col min="10" max="10" width="10.5703125" style="2" customWidth="1"/>
    <col min="11" max="11" width="12" style="2" customWidth="1"/>
    <col min="12" max="12" width="7.7109375" style="2" bestFit="1" customWidth="1"/>
    <col min="13" max="16384" width="9.140625" style="2"/>
  </cols>
  <sheetData>
    <row r="1" spans="1:15" x14ac:dyDescent="0.2">
      <c r="A1" s="1" t="s">
        <v>134</v>
      </c>
    </row>
    <row r="2" spans="1:15" s="5" customFormat="1" ht="22.5" customHeight="1" x14ac:dyDescent="0.2">
      <c r="A2" s="67" t="s">
        <v>6</v>
      </c>
      <c r="B2" s="67" t="s">
        <v>135</v>
      </c>
      <c r="C2" s="61" t="s">
        <v>136</v>
      </c>
      <c r="D2" s="61"/>
      <c r="E2" s="61"/>
      <c r="F2" s="61"/>
      <c r="G2" s="61" t="s">
        <v>137</v>
      </c>
      <c r="H2" s="61"/>
      <c r="I2" s="61"/>
      <c r="J2" s="61" t="s">
        <v>138</v>
      </c>
      <c r="K2" s="61"/>
      <c r="L2" s="61"/>
    </row>
    <row r="3" spans="1:15" ht="24" x14ac:dyDescent="0.2">
      <c r="A3" s="68"/>
      <c r="B3" s="68"/>
      <c r="C3" s="34" t="s">
        <v>139</v>
      </c>
      <c r="D3" s="34" t="s">
        <v>140</v>
      </c>
      <c r="E3" s="34" t="s">
        <v>141</v>
      </c>
      <c r="F3" s="34" t="s">
        <v>142</v>
      </c>
      <c r="G3" s="34" t="s">
        <v>139</v>
      </c>
      <c r="H3" s="34" t="s">
        <v>143</v>
      </c>
      <c r="I3" s="34" t="s">
        <v>141</v>
      </c>
      <c r="J3" s="34" t="s">
        <v>139</v>
      </c>
      <c r="K3" s="34" t="s">
        <v>143</v>
      </c>
      <c r="L3" s="34" t="s">
        <v>141</v>
      </c>
      <c r="M3" s="8"/>
      <c r="N3" s="8"/>
    </row>
    <row r="4" spans="1:15" x14ac:dyDescent="0.2">
      <c r="A4" s="35" t="s">
        <v>12</v>
      </c>
      <c r="B4" s="35" t="s">
        <v>13</v>
      </c>
      <c r="C4" s="36" t="s">
        <v>76</v>
      </c>
      <c r="D4" s="36" t="s">
        <v>76</v>
      </c>
      <c r="E4" s="36" t="s">
        <v>20</v>
      </c>
      <c r="F4" s="36" t="s">
        <v>76</v>
      </c>
      <c r="G4" s="36" t="s">
        <v>144</v>
      </c>
      <c r="H4" s="36" t="s">
        <v>145</v>
      </c>
      <c r="I4" s="36" t="s">
        <v>144</v>
      </c>
      <c r="J4" s="36" t="s">
        <v>144</v>
      </c>
      <c r="K4" s="36" t="s">
        <v>145</v>
      </c>
      <c r="L4" s="36" t="s">
        <v>145</v>
      </c>
      <c r="O4" s="8"/>
    </row>
    <row r="5" spans="1:15" ht="24" customHeight="1" x14ac:dyDescent="0.2">
      <c r="A5" s="37" t="s">
        <v>18</v>
      </c>
      <c r="B5" s="37" t="s">
        <v>19</v>
      </c>
      <c r="C5" s="36" t="s">
        <v>20</v>
      </c>
      <c r="D5" s="36" t="s">
        <v>20</v>
      </c>
      <c r="E5" s="36" t="s">
        <v>20</v>
      </c>
      <c r="F5" s="36" t="s">
        <v>20</v>
      </c>
      <c r="G5" s="36" t="s">
        <v>144</v>
      </c>
      <c r="H5" s="36" t="s">
        <v>146</v>
      </c>
      <c r="I5" s="36" t="s">
        <v>144</v>
      </c>
      <c r="J5" s="36" t="s">
        <v>145</v>
      </c>
      <c r="K5" s="36" t="s">
        <v>145</v>
      </c>
      <c r="L5" s="36" t="s">
        <v>145</v>
      </c>
    </row>
    <row r="6" spans="1:15" x14ac:dyDescent="0.2">
      <c r="A6" s="37" t="s">
        <v>21</v>
      </c>
      <c r="B6" s="37" t="s">
        <v>22</v>
      </c>
      <c r="C6" s="36" t="s">
        <v>76</v>
      </c>
      <c r="D6" s="36" t="s">
        <v>20</v>
      </c>
      <c r="E6" s="36" t="s">
        <v>20</v>
      </c>
      <c r="F6" s="36" t="s">
        <v>76</v>
      </c>
      <c r="G6" s="36" t="s">
        <v>144</v>
      </c>
      <c r="H6" s="36" t="s">
        <v>146</v>
      </c>
      <c r="I6" s="36" t="s">
        <v>146</v>
      </c>
      <c r="J6" s="36" t="s">
        <v>144</v>
      </c>
      <c r="K6" s="36" t="s">
        <v>145</v>
      </c>
      <c r="L6" s="36" t="s">
        <v>145</v>
      </c>
    </row>
    <row r="7" spans="1:15" x14ac:dyDescent="0.2">
      <c r="A7" s="37" t="s">
        <v>24</v>
      </c>
      <c r="B7" s="37" t="s">
        <v>25</v>
      </c>
      <c r="C7" s="36" t="s">
        <v>20</v>
      </c>
      <c r="D7" s="36" t="s">
        <v>76</v>
      </c>
      <c r="E7" s="36" t="s">
        <v>20</v>
      </c>
      <c r="F7" s="36" t="s">
        <v>20</v>
      </c>
      <c r="G7" s="36" t="s">
        <v>145</v>
      </c>
      <c r="H7" s="36" t="s">
        <v>144</v>
      </c>
      <c r="I7" s="36" t="s">
        <v>145</v>
      </c>
      <c r="J7" s="36" t="s">
        <v>145</v>
      </c>
      <c r="K7" s="36" t="s">
        <v>144</v>
      </c>
      <c r="L7" s="36" t="s">
        <v>145</v>
      </c>
    </row>
    <row r="8" spans="1:15" x14ac:dyDescent="0.2">
      <c r="A8" s="37" t="s">
        <v>28</v>
      </c>
      <c r="B8" s="37" t="s">
        <v>29</v>
      </c>
      <c r="C8" s="36" t="s">
        <v>20</v>
      </c>
      <c r="D8" s="36" t="s">
        <v>36</v>
      </c>
      <c r="E8" s="36" t="s">
        <v>20</v>
      </c>
      <c r="F8" s="36" t="s">
        <v>76</v>
      </c>
      <c r="G8" s="36" t="s">
        <v>147</v>
      </c>
      <c r="H8" s="36" t="s">
        <v>36</v>
      </c>
      <c r="I8" s="36" t="s">
        <v>36</v>
      </c>
      <c r="J8" s="36" t="s">
        <v>147</v>
      </c>
      <c r="K8" s="36" t="s">
        <v>36</v>
      </c>
      <c r="L8" s="36" t="s">
        <v>145</v>
      </c>
    </row>
    <row r="9" spans="1:15" ht="15" customHeight="1" x14ac:dyDescent="0.2">
      <c r="A9" s="37" t="s">
        <v>32</v>
      </c>
      <c r="B9" s="37" t="s">
        <v>33</v>
      </c>
      <c r="C9" s="36" t="s">
        <v>76</v>
      </c>
      <c r="D9" s="36" t="s">
        <v>76</v>
      </c>
      <c r="E9" s="36" t="s">
        <v>76</v>
      </c>
      <c r="F9" s="36" t="s">
        <v>20</v>
      </c>
      <c r="G9" s="36" t="s">
        <v>144</v>
      </c>
      <c r="H9" s="36" t="s">
        <v>147</v>
      </c>
      <c r="I9" s="36" t="s">
        <v>144</v>
      </c>
      <c r="J9" s="36" t="s">
        <v>145</v>
      </c>
      <c r="K9" s="36" t="s">
        <v>145</v>
      </c>
      <c r="L9" s="36" t="s">
        <v>145</v>
      </c>
    </row>
    <row r="10" spans="1:15" x14ac:dyDescent="0.2">
      <c r="A10" s="37" t="s">
        <v>34</v>
      </c>
      <c r="B10" s="37" t="s">
        <v>35</v>
      </c>
      <c r="C10" s="36" t="s">
        <v>36</v>
      </c>
      <c r="D10" s="36" t="s">
        <v>36</v>
      </c>
      <c r="E10" s="36" t="s">
        <v>36</v>
      </c>
      <c r="F10" s="36" t="s">
        <v>36</v>
      </c>
      <c r="G10" s="36" t="s">
        <v>36</v>
      </c>
      <c r="H10" s="36" t="s">
        <v>36</v>
      </c>
      <c r="I10" s="36" t="s">
        <v>36</v>
      </c>
      <c r="J10" s="36" t="s">
        <v>36</v>
      </c>
      <c r="K10" s="36" t="s">
        <v>36</v>
      </c>
      <c r="L10" s="36" t="s">
        <v>36</v>
      </c>
    </row>
    <row r="11" spans="1:15" x14ac:dyDescent="0.2">
      <c r="A11" s="37" t="s">
        <v>37</v>
      </c>
      <c r="B11" s="37" t="s">
        <v>38</v>
      </c>
      <c r="C11" s="36" t="s">
        <v>76</v>
      </c>
      <c r="D11" s="36" t="s">
        <v>20</v>
      </c>
      <c r="E11" s="36" t="s">
        <v>20</v>
      </c>
      <c r="F11" s="36" t="s">
        <v>20</v>
      </c>
      <c r="G11" s="36" t="s">
        <v>145</v>
      </c>
      <c r="H11" s="36" t="s">
        <v>144</v>
      </c>
      <c r="I11" s="36" t="s">
        <v>144</v>
      </c>
      <c r="J11" s="36" t="s">
        <v>145</v>
      </c>
      <c r="K11" s="36" t="s">
        <v>145</v>
      </c>
      <c r="L11" s="36" t="s">
        <v>145</v>
      </c>
    </row>
    <row r="12" spans="1:15" ht="15" customHeight="1" x14ac:dyDescent="0.2">
      <c r="A12" s="37" t="s">
        <v>39</v>
      </c>
      <c r="B12" s="37" t="s">
        <v>40</v>
      </c>
      <c r="C12" s="36" t="s">
        <v>76</v>
      </c>
      <c r="D12" s="36" t="s">
        <v>36</v>
      </c>
      <c r="E12" s="36" t="s">
        <v>20</v>
      </c>
      <c r="F12" s="36" t="s">
        <v>76</v>
      </c>
      <c r="G12" s="36" t="s">
        <v>144</v>
      </c>
      <c r="H12" s="36" t="s">
        <v>36</v>
      </c>
      <c r="I12" s="36" t="s">
        <v>147</v>
      </c>
      <c r="J12" s="36" t="s">
        <v>145</v>
      </c>
      <c r="K12" s="36" t="s">
        <v>36</v>
      </c>
      <c r="L12" s="36" t="s">
        <v>145</v>
      </c>
    </row>
    <row r="13" spans="1:15" x14ac:dyDescent="0.2">
      <c r="A13" s="37" t="s">
        <v>42</v>
      </c>
      <c r="B13" s="37" t="s">
        <v>43</v>
      </c>
      <c r="C13" s="36" t="s">
        <v>20</v>
      </c>
      <c r="D13" s="36" t="s">
        <v>20</v>
      </c>
      <c r="E13" s="36" t="s">
        <v>20</v>
      </c>
      <c r="F13" s="36" t="s">
        <v>20</v>
      </c>
      <c r="G13" s="36" t="s">
        <v>144</v>
      </c>
      <c r="H13" s="36" t="s">
        <v>144</v>
      </c>
      <c r="I13" s="36" t="s">
        <v>144</v>
      </c>
      <c r="J13" s="36" t="s">
        <v>145</v>
      </c>
      <c r="K13" s="36" t="s">
        <v>145</v>
      </c>
      <c r="L13" s="36" t="s">
        <v>144</v>
      </c>
    </row>
    <row r="14" spans="1:15" x14ac:dyDescent="0.2">
      <c r="A14" s="37" t="s">
        <v>46</v>
      </c>
      <c r="B14" s="37" t="s">
        <v>47</v>
      </c>
      <c r="C14" s="36" t="s">
        <v>20</v>
      </c>
      <c r="D14" s="36" t="s">
        <v>20</v>
      </c>
      <c r="E14" s="36" t="s">
        <v>20</v>
      </c>
      <c r="F14" s="36" t="s">
        <v>20</v>
      </c>
      <c r="G14" s="36" t="s">
        <v>144</v>
      </c>
      <c r="H14" s="36" t="s">
        <v>144</v>
      </c>
      <c r="I14" s="36" t="s">
        <v>144</v>
      </c>
      <c r="J14" s="36" t="s">
        <v>144</v>
      </c>
      <c r="K14" s="36" t="s">
        <v>145</v>
      </c>
      <c r="L14" s="36" t="s">
        <v>145</v>
      </c>
    </row>
    <row r="15" spans="1:15" x14ac:dyDescent="0.2">
      <c r="A15" s="37" t="s">
        <v>49</v>
      </c>
      <c r="B15" s="37" t="s">
        <v>50</v>
      </c>
      <c r="C15" s="36" t="s">
        <v>20</v>
      </c>
      <c r="D15" s="36" t="s">
        <v>76</v>
      </c>
      <c r="E15" s="36" t="s">
        <v>20</v>
      </c>
      <c r="F15" s="36" t="s">
        <v>76</v>
      </c>
      <c r="G15" s="36" t="s">
        <v>144</v>
      </c>
      <c r="H15" s="36" t="s">
        <v>144</v>
      </c>
      <c r="I15" s="36" t="s">
        <v>144</v>
      </c>
      <c r="J15" s="36" t="s">
        <v>145</v>
      </c>
      <c r="K15" s="36" t="s">
        <v>145</v>
      </c>
      <c r="L15" s="36" t="s">
        <v>145</v>
      </c>
    </row>
    <row r="16" spans="1:15" x14ac:dyDescent="0.2">
      <c r="A16" s="37" t="s">
        <v>52</v>
      </c>
      <c r="B16" s="37" t="s">
        <v>53</v>
      </c>
      <c r="C16" s="36" t="s">
        <v>20</v>
      </c>
      <c r="D16" s="36" t="s">
        <v>36</v>
      </c>
      <c r="E16" s="36" t="s">
        <v>20</v>
      </c>
      <c r="F16" s="36" t="s">
        <v>20</v>
      </c>
      <c r="G16" s="36" t="s">
        <v>144</v>
      </c>
      <c r="H16" s="36" t="s">
        <v>36</v>
      </c>
      <c r="I16" s="36" t="s">
        <v>144</v>
      </c>
      <c r="J16" s="36" t="s">
        <v>145</v>
      </c>
      <c r="K16" s="36" t="s">
        <v>36</v>
      </c>
      <c r="L16" s="36" t="s">
        <v>145</v>
      </c>
    </row>
    <row r="17" spans="1:12" x14ac:dyDescent="0.2">
      <c r="A17" s="37" t="s">
        <v>54</v>
      </c>
      <c r="B17" s="37" t="s">
        <v>55</v>
      </c>
      <c r="C17" s="36" t="s">
        <v>20</v>
      </c>
      <c r="D17" s="36" t="s">
        <v>20</v>
      </c>
      <c r="E17" s="36" t="s">
        <v>20</v>
      </c>
      <c r="F17" s="36" t="s">
        <v>76</v>
      </c>
      <c r="G17" s="36" t="s">
        <v>144</v>
      </c>
      <c r="H17" s="36" t="s">
        <v>144</v>
      </c>
      <c r="I17" s="36" t="s">
        <v>144</v>
      </c>
      <c r="J17" s="36" t="s">
        <v>144</v>
      </c>
      <c r="K17" s="36" t="s">
        <v>144</v>
      </c>
      <c r="L17" s="36" t="s">
        <v>145</v>
      </c>
    </row>
    <row r="18" spans="1:12" x14ac:dyDescent="0.2">
      <c r="A18" s="37" t="s">
        <v>56</v>
      </c>
      <c r="B18" s="37" t="s">
        <v>57</v>
      </c>
      <c r="C18" s="36" t="s">
        <v>76</v>
      </c>
      <c r="D18" s="36" t="s">
        <v>20</v>
      </c>
      <c r="E18" s="36" t="s">
        <v>20</v>
      </c>
      <c r="F18" s="36" t="s">
        <v>20</v>
      </c>
      <c r="G18" s="36" t="s">
        <v>144</v>
      </c>
      <c r="H18" s="36" t="s">
        <v>146</v>
      </c>
      <c r="I18" s="36" t="s">
        <v>146</v>
      </c>
      <c r="J18" s="36" t="s">
        <v>145</v>
      </c>
      <c r="K18" s="36" t="s">
        <v>145</v>
      </c>
      <c r="L18" s="36" t="s">
        <v>145</v>
      </c>
    </row>
    <row r="19" spans="1:12" x14ac:dyDescent="0.2">
      <c r="A19" s="37" t="s">
        <v>58</v>
      </c>
      <c r="B19" s="37" t="s">
        <v>59</v>
      </c>
      <c r="C19" s="36" t="s">
        <v>76</v>
      </c>
      <c r="D19" s="36" t="s">
        <v>76</v>
      </c>
      <c r="E19" s="36" t="s">
        <v>76</v>
      </c>
      <c r="F19" s="36" t="s">
        <v>20</v>
      </c>
      <c r="G19" s="36" t="s">
        <v>147</v>
      </c>
      <c r="H19" s="36" t="s">
        <v>144</v>
      </c>
      <c r="I19" s="36" t="s">
        <v>144</v>
      </c>
      <c r="J19" s="36" t="s">
        <v>147</v>
      </c>
      <c r="K19" s="36" t="s">
        <v>144</v>
      </c>
      <c r="L19" s="36" t="s">
        <v>144</v>
      </c>
    </row>
    <row r="20" spans="1:12" x14ac:dyDescent="0.2">
      <c r="A20" s="37" t="s">
        <v>61</v>
      </c>
      <c r="B20" s="37" t="s">
        <v>62</v>
      </c>
      <c r="C20" s="36" t="s">
        <v>76</v>
      </c>
      <c r="D20" s="36" t="s">
        <v>76</v>
      </c>
      <c r="E20" s="36" t="s">
        <v>20</v>
      </c>
      <c r="F20" s="36" t="s">
        <v>20</v>
      </c>
      <c r="G20" s="36" t="s">
        <v>145</v>
      </c>
      <c r="H20" s="36" t="s">
        <v>144</v>
      </c>
      <c r="I20" s="36" t="s">
        <v>36</v>
      </c>
      <c r="J20" s="36" t="s">
        <v>145</v>
      </c>
      <c r="K20" s="36" t="s">
        <v>145</v>
      </c>
      <c r="L20" s="36" t="s">
        <v>145</v>
      </c>
    </row>
    <row r="21" spans="1:12" x14ac:dyDescent="0.2">
      <c r="A21" s="37" t="s">
        <v>63</v>
      </c>
      <c r="B21" s="37" t="s">
        <v>64</v>
      </c>
      <c r="C21" s="36" t="s">
        <v>20</v>
      </c>
      <c r="D21" s="36" t="s">
        <v>20</v>
      </c>
      <c r="E21" s="36" t="s">
        <v>20</v>
      </c>
      <c r="F21" s="36" t="s">
        <v>20</v>
      </c>
      <c r="G21" s="36" t="s">
        <v>147</v>
      </c>
      <c r="H21" s="36" t="s">
        <v>147</v>
      </c>
      <c r="I21" s="36" t="s">
        <v>144</v>
      </c>
      <c r="J21" s="36" t="s">
        <v>145</v>
      </c>
      <c r="K21" s="36" t="s">
        <v>145</v>
      </c>
      <c r="L21" s="36" t="s">
        <v>145</v>
      </c>
    </row>
    <row r="22" spans="1:12" x14ac:dyDescent="0.2">
      <c r="A22" s="37" t="s">
        <v>65</v>
      </c>
      <c r="B22" s="37" t="s">
        <v>66</v>
      </c>
      <c r="C22" s="36" t="s">
        <v>20</v>
      </c>
      <c r="D22" s="36" t="s">
        <v>20</v>
      </c>
      <c r="E22" s="36" t="s">
        <v>20</v>
      </c>
      <c r="F22" s="36" t="s">
        <v>20</v>
      </c>
      <c r="G22" s="36" t="s">
        <v>144</v>
      </c>
      <c r="H22" s="36" t="s">
        <v>36</v>
      </c>
      <c r="I22" s="36" t="s">
        <v>36</v>
      </c>
      <c r="J22" s="36" t="s">
        <v>144</v>
      </c>
      <c r="K22" s="36" t="s">
        <v>145</v>
      </c>
      <c r="L22" s="36" t="s">
        <v>145</v>
      </c>
    </row>
    <row r="23" spans="1:12" x14ac:dyDescent="0.2">
      <c r="A23" s="37" t="s">
        <v>67</v>
      </c>
      <c r="B23" s="37" t="s">
        <v>68</v>
      </c>
      <c r="C23" s="36" t="s">
        <v>76</v>
      </c>
      <c r="D23" s="36" t="s">
        <v>20</v>
      </c>
      <c r="E23" s="36" t="s">
        <v>20</v>
      </c>
      <c r="F23" s="36" t="s">
        <v>20</v>
      </c>
      <c r="G23" s="36" t="s">
        <v>145</v>
      </c>
      <c r="H23" s="36" t="s">
        <v>145</v>
      </c>
      <c r="I23" s="36" t="s">
        <v>145</v>
      </c>
      <c r="J23" s="36" t="s">
        <v>145</v>
      </c>
      <c r="K23" s="36" t="s">
        <v>145</v>
      </c>
      <c r="L23" s="36" t="s">
        <v>144</v>
      </c>
    </row>
    <row r="24" spans="1:12" x14ac:dyDescent="0.2">
      <c r="A24" s="37" t="s">
        <v>69</v>
      </c>
      <c r="B24" s="37" t="s">
        <v>70</v>
      </c>
      <c r="C24" s="36" t="s">
        <v>20</v>
      </c>
      <c r="D24" s="36" t="s">
        <v>20</v>
      </c>
      <c r="E24" s="36" t="s">
        <v>20</v>
      </c>
      <c r="F24" s="36" t="s">
        <v>20</v>
      </c>
      <c r="G24" s="36" t="s">
        <v>144</v>
      </c>
      <c r="H24" s="36" t="s">
        <v>146</v>
      </c>
      <c r="I24" s="36" t="s">
        <v>36</v>
      </c>
      <c r="J24" s="36" t="s">
        <v>147</v>
      </c>
      <c r="K24" s="36" t="s">
        <v>145</v>
      </c>
      <c r="L24" s="36" t="s">
        <v>145</v>
      </c>
    </row>
    <row r="25" spans="1:12" x14ac:dyDescent="0.2">
      <c r="A25" s="37" t="s">
        <v>71</v>
      </c>
      <c r="B25" s="37" t="s">
        <v>72</v>
      </c>
      <c r="C25" s="36" t="s">
        <v>20</v>
      </c>
      <c r="D25" s="36" t="s">
        <v>20</v>
      </c>
      <c r="E25" s="36" t="s">
        <v>20</v>
      </c>
      <c r="F25" s="36" t="s">
        <v>20</v>
      </c>
      <c r="G25" s="36" t="s">
        <v>145</v>
      </c>
      <c r="H25" s="36" t="s">
        <v>144</v>
      </c>
      <c r="I25" s="36" t="s">
        <v>144</v>
      </c>
      <c r="J25" s="36" t="s">
        <v>145</v>
      </c>
      <c r="K25" s="36" t="s">
        <v>145</v>
      </c>
      <c r="L25" s="36" t="s">
        <v>145</v>
      </c>
    </row>
    <row r="26" spans="1:12" x14ac:dyDescent="0.2">
      <c r="A26" s="37" t="s">
        <v>74</v>
      </c>
      <c r="B26" s="37" t="s">
        <v>75</v>
      </c>
      <c r="C26" s="36" t="s">
        <v>20</v>
      </c>
      <c r="D26" s="36" t="s">
        <v>20</v>
      </c>
      <c r="E26" s="36" t="s">
        <v>20</v>
      </c>
      <c r="F26" s="36" t="s">
        <v>20</v>
      </c>
      <c r="G26" s="36" t="s">
        <v>147</v>
      </c>
      <c r="H26" s="36" t="s">
        <v>145</v>
      </c>
      <c r="I26" s="36" t="s">
        <v>36</v>
      </c>
      <c r="J26" s="36" t="s">
        <v>145</v>
      </c>
      <c r="K26" s="36" t="s">
        <v>145</v>
      </c>
      <c r="L26" s="36" t="s">
        <v>145</v>
      </c>
    </row>
    <row r="27" spans="1:12" x14ac:dyDescent="0.2">
      <c r="A27" s="37" t="s">
        <v>78</v>
      </c>
      <c r="B27" s="37" t="s">
        <v>79</v>
      </c>
      <c r="C27" s="36" t="s">
        <v>20</v>
      </c>
      <c r="D27" s="36" t="s">
        <v>20</v>
      </c>
      <c r="E27" s="36" t="s">
        <v>20</v>
      </c>
      <c r="F27" s="36" t="s">
        <v>20</v>
      </c>
      <c r="G27" s="36" t="s">
        <v>144</v>
      </c>
      <c r="H27" s="36" t="s">
        <v>144</v>
      </c>
      <c r="I27" s="36" t="s">
        <v>144</v>
      </c>
      <c r="J27" s="36" t="s">
        <v>144</v>
      </c>
      <c r="K27" s="36" t="s">
        <v>145</v>
      </c>
      <c r="L27" s="36" t="s">
        <v>145</v>
      </c>
    </row>
    <row r="28" spans="1:12" x14ac:dyDescent="0.2">
      <c r="A28" s="37" t="s">
        <v>80</v>
      </c>
      <c r="B28" s="37" t="s">
        <v>81</v>
      </c>
      <c r="C28" s="36" t="s">
        <v>20</v>
      </c>
      <c r="D28" s="36" t="s">
        <v>20</v>
      </c>
      <c r="E28" s="36" t="s">
        <v>20</v>
      </c>
      <c r="F28" s="36" t="s">
        <v>76</v>
      </c>
      <c r="G28" s="36" t="s">
        <v>144</v>
      </c>
      <c r="H28" s="36" t="s">
        <v>144</v>
      </c>
      <c r="I28" s="36" t="s">
        <v>144</v>
      </c>
      <c r="J28" s="36" t="s">
        <v>145</v>
      </c>
      <c r="K28" s="36" t="s">
        <v>145</v>
      </c>
      <c r="L28" s="36" t="s">
        <v>145</v>
      </c>
    </row>
    <row r="29" spans="1:12" x14ac:dyDescent="0.2">
      <c r="A29" s="37" t="s">
        <v>82</v>
      </c>
      <c r="B29" s="37" t="s">
        <v>83</v>
      </c>
      <c r="C29" s="36" t="s">
        <v>20</v>
      </c>
      <c r="D29" s="36" t="s">
        <v>36</v>
      </c>
      <c r="E29" s="36" t="s">
        <v>36</v>
      </c>
      <c r="F29" s="36" t="s">
        <v>20</v>
      </c>
      <c r="G29" s="36" t="s">
        <v>144</v>
      </c>
      <c r="H29" s="36" t="s">
        <v>36</v>
      </c>
      <c r="I29" s="36" t="s">
        <v>36</v>
      </c>
      <c r="J29" s="36" t="s">
        <v>144</v>
      </c>
      <c r="K29" s="36" t="s">
        <v>36</v>
      </c>
      <c r="L29" s="36" t="s">
        <v>36</v>
      </c>
    </row>
    <row r="30" spans="1:12" x14ac:dyDescent="0.2">
      <c r="A30" s="37" t="s">
        <v>84</v>
      </c>
      <c r="B30" s="37" t="s">
        <v>85</v>
      </c>
      <c r="C30" s="36" t="s">
        <v>76</v>
      </c>
      <c r="D30" s="36" t="s">
        <v>76</v>
      </c>
      <c r="E30" s="36" t="s">
        <v>20</v>
      </c>
      <c r="F30" s="36" t="s">
        <v>20</v>
      </c>
      <c r="G30" s="36" t="s">
        <v>144</v>
      </c>
      <c r="H30" s="36" t="s">
        <v>144</v>
      </c>
      <c r="I30" s="36" t="s">
        <v>144</v>
      </c>
      <c r="J30" s="36" t="s">
        <v>145</v>
      </c>
      <c r="K30" s="36" t="s">
        <v>145</v>
      </c>
      <c r="L30" s="36" t="s">
        <v>145</v>
      </c>
    </row>
    <row r="31" spans="1:12" x14ac:dyDescent="0.2">
      <c r="A31" s="37" t="s">
        <v>87</v>
      </c>
      <c r="B31" s="37" t="s">
        <v>88</v>
      </c>
      <c r="C31" s="36" t="s">
        <v>20</v>
      </c>
      <c r="D31" s="36" t="s">
        <v>20</v>
      </c>
      <c r="E31" s="36" t="s">
        <v>76</v>
      </c>
      <c r="F31" s="36" t="s">
        <v>20</v>
      </c>
      <c r="G31" s="36" t="s">
        <v>144</v>
      </c>
      <c r="H31" s="36" t="s">
        <v>146</v>
      </c>
      <c r="I31" s="36" t="s">
        <v>146</v>
      </c>
      <c r="J31" s="36" t="s">
        <v>144</v>
      </c>
      <c r="K31" s="36" t="s">
        <v>145</v>
      </c>
      <c r="L31" s="36" t="s">
        <v>145</v>
      </c>
    </row>
    <row r="32" spans="1:12" ht="24" x14ac:dyDescent="0.2">
      <c r="A32" s="37" t="s">
        <v>90</v>
      </c>
      <c r="B32" s="37" t="s">
        <v>91</v>
      </c>
      <c r="C32" s="36" t="s">
        <v>36</v>
      </c>
      <c r="D32" s="36" t="s">
        <v>76</v>
      </c>
      <c r="E32" s="36" t="s">
        <v>20</v>
      </c>
      <c r="F32" s="36" t="s">
        <v>20</v>
      </c>
      <c r="G32" s="36" t="s">
        <v>36</v>
      </c>
      <c r="H32" s="36" t="s">
        <v>144</v>
      </c>
      <c r="I32" s="36" t="s">
        <v>36</v>
      </c>
      <c r="J32" s="36" t="s">
        <v>36</v>
      </c>
      <c r="K32" s="36" t="s">
        <v>145</v>
      </c>
      <c r="L32" s="36" t="s">
        <v>144</v>
      </c>
    </row>
    <row r="33" spans="1:12" x14ac:dyDescent="0.2">
      <c r="A33" s="37" t="s">
        <v>76</v>
      </c>
      <c r="B33" s="37" t="s">
        <v>92</v>
      </c>
      <c r="C33" s="36" t="s">
        <v>20</v>
      </c>
      <c r="D33" s="36" t="s">
        <v>20</v>
      </c>
      <c r="E33" s="36" t="s">
        <v>20</v>
      </c>
      <c r="F33" s="36" t="s">
        <v>20</v>
      </c>
      <c r="G33" s="36" t="s">
        <v>144</v>
      </c>
      <c r="H33" s="36" t="s">
        <v>144</v>
      </c>
      <c r="I33" s="36" t="s">
        <v>144</v>
      </c>
      <c r="J33" s="36" t="s">
        <v>144</v>
      </c>
      <c r="K33" s="36" t="s">
        <v>144</v>
      </c>
      <c r="L33" s="36" t="s">
        <v>144</v>
      </c>
    </row>
    <row r="34" spans="1:12" x14ac:dyDescent="0.2">
      <c r="A34" s="37" t="s">
        <v>94</v>
      </c>
      <c r="B34" s="37" t="s">
        <v>95</v>
      </c>
      <c r="C34" s="36" t="s">
        <v>76</v>
      </c>
      <c r="D34" s="36" t="s">
        <v>36</v>
      </c>
      <c r="E34" s="36" t="s">
        <v>76</v>
      </c>
      <c r="F34" s="36" t="s">
        <v>20</v>
      </c>
      <c r="G34" s="36" t="s">
        <v>144</v>
      </c>
      <c r="H34" s="36" t="s">
        <v>36</v>
      </c>
      <c r="I34" s="36" t="s">
        <v>144</v>
      </c>
      <c r="J34" s="36" t="s">
        <v>144</v>
      </c>
      <c r="K34" s="36" t="s">
        <v>36</v>
      </c>
      <c r="L34" s="36" t="s">
        <v>144</v>
      </c>
    </row>
    <row r="35" spans="1:12" x14ac:dyDescent="0.2">
      <c r="A35" s="37" t="s">
        <v>98</v>
      </c>
      <c r="B35" s="37" t="s">
        <v>99</v>
      </c>
      <c r="C35" s="36" t="s">
        <v>76</v>
      </c>
      <c r="D35" s="36" t="s">
        <v>20</v>
      </c>
      <c r="E35" s="36" t="s">
        <v>20</v>
      </c>
      <c r="F35" s="36" t="s">
        <v>20</v>
      </c>
      <c r="G35" s="36" t="s">
        <v>144</v>
      </c>
      <c r="H35" s="36" t="s">
        <v>146</v>
      </c>
      <c r="I35" s="36" t="s">
        <v>146</v>
      </c>
      <c r="J35" s="36" t="s">
        <v>145</v>
      </c>
      <c r="K35" s="36" t="s">
        <v>145</v>
      </c>
      <c r="L35" s="36" t="s">
        <v>145</v>
      </c>
    </row>
    <row r="36" spans="1:12" ht="24" x14ac:dyDescent="0.2">
      <c r="A36" s="37" t="s">
        <v>100</v>
      </c>
      <c r="B36" s="37" t="s">
        <v>101</v>
      </c>
      <c r="C36" s="36" t="s">
        <v>76</v>
      </c>
      <c r="D36" s="36" t="s">
        <v>20</v>
      </c>
      <c r="E36" s="36" t="s">
        <v>20</v>
      </c>
      <c r="F36" s="36" t="s">
        <v>20</v>
      </c>
      <c r="G36" s="36" t="s">
        <v>144</v>
      </c>
      <c r="H36" s="36" t="s">
        <v>145</v>
      </c>
      <c r="I36" s="36" t="s">
        <v>144</v>
      </c>
      <c r="J36" s="36" t="s">
        <v>145</v>
      </c>
      <c r="K36" s="36" t="s">
        <v>145</v>
      </c>
      <c r="L36" s="36" t="s">
        <v>145</v>
      </c>
    </row>
    <row r="37" spans="1:12" x14ac:dyDescent="0.2">
      <c r="A37" s="37" t="s">
        <v>102</v>
      </c>
      <c r="B37" s="37" t="s">
        <v>103</v>
      </c>
      <c r="C37" s="36" t="s">
        <v>76</v>
      </c>
      <c r="D37" s="36" t="s">
        <v>20</v>
      </c>
      <c r="E37" s="36" t="s">
        <v>20</v>
      </c>
      <c r="F37" s="36" t="s">
        <v>36</v>
      </c>
      <c r="G37" s="36" t="s">
        <v>147</v>
      </c>
      <c r="H37" s="36" t="s">
        <v>146</v>
      </c>
      <c r="I37" s="36" t="s">
        <v>146</v>
      </c>
      <c r="J37" s="36" t="s">
        <v>145</v>
      </c>
      <c r="K37" s="36" t="s">
        <v>145</v>
      </c>
      <c r="L37" s="36" t="s">
        <v>145</v>
      </c>
    </row>
    <row r="38" spans="1:12" x14ac:dyDescent="0.2">
      <c r="A38" s="37" t="s">
        <v>104</v>
      </c>
      <c r="B38" s="37" t="s">
        <v>105</v>
      </c>
      <c r="C38" s="36" t="s">
        <v>20</v>
      </c>
      <c r="D38" s="36" t="s">
        <v>20</v>
      </c>
      <c r="E38" s="36" t="s">
        <v>20</v>
      </c>
      <c r="F38" s="36" t="s">
        <v>20</v>
      </c>
      <c r="G38" s="36" t="s">
        <v>144</v>
      </c>
      <c r="H38" s="36" t="s">
        <v>144</v>
      </c>
      <c r="I38" s="36" t="s">
        <v>144</v>
      </c>
      <c r="J38" s="36" t="s">
        <v>145</v>
      </c>
      <c r="K38" s="36" t="s">
        <v>145</v>
      </c>
      <c r="L38" s="36" t="s">
        <v>145</v>
      </c>
    </row>
    <row r="39" spans="1:12" x14ac:dyDescent="0.2">
      <c r="A39" s="37" t="s">
        <v>106</v>
      </c>
      <c r="B39" s="37" t="s">
        <v>107</v>
      </c>
      <c r="C39" s="36" t="s">
        <v>20</v>
      </c>
      <c r="D39" s="36" t="s">
        <v>20</v>
      </c>
      <c r="E39" s="36" t="s">
        <v>20</v>
      </c>
      <c r="F39" s="36" t="s">
        <v>36</v>
      </c>
      <c r="G39" s="36" t="s">
        <v>144</v>
      </c>
      <c r="H39" s="36" t="s">
        <v>36</v>
      </c>
      <c r="I39" s="36" t="s">
        <v>144</v>
      </c>
      <c r="J39" s="36" t="s">
        <v>144</v>
      </c>
      <c r="K39" s="36" t="s">
        <v>145</v>
      </c>
      <c r="L39" s="36" t="s">
        <v>145</v>
      </c>
    </row>
    <row r="40" spans="1:12" ht="24" x14ac:dyDescent="0.2">
      <c r="A40" s="37" t="s">
        <v>96</v>
      </c>
      <c r="B40" s="37" t="s">
        <v>97</v>
      </c>
      <c r="C40" s="36" t="s">
        <v>20</v>
      </c>
      <c r="D40" s="36" t="s">
        <v>20</v>
      </c>
      <c r="E40" s="36" t="s">
        <v>20</v>
      </c>
      <c r="F40" s="36" t="s">
        <v>20</v>
      </c>
      <c r="G40" s="36" t="s">
        <v>144</v>
      </c>
      <c r="H40" s="36" t="s">
        <v>144</v>
      </c>
      <c r="I40" s="36" t="s">
        <v>144</v>
      </c>
      <c r="J40" s="36" t="s">
        <v>145</v>
      </c>
      <c r="K40" s="36" t="s">
        <v>144</v>
      </c>
      <c r="L40" s="36" t="s">
        <v>144</v>
      </c>
    </row>
    <row r="41" spans="1:12" x14ac:dyDescent="0.2">
      <c r="A41" s="37" t="s">
        <v>109</v>
      </c>
      <c r="B41" s="37" t="s">
        <v>148</v>
      </c>
      <c r="C41" s="38" t="s">
        <v>36</v>
      </c>
      <c r="D41" s="38" t="s">
        <v>36</v>
      </c>
      <c r="E41" s="38" t="s">
        <v>20</v>
      </c>
      <c r="F41" s="38" t="s">
        <v>76</v>
      </c>
      <c r="G41" s="38" t="s">
        <v>36</v>
      </c>
      <c r="H41" s="38" t="s">
        <v>36</v>
      </c>
      <c r="I41" s="38" t="s">
        <v>145</v>
      </c>
      <c r="J41" s="38" t="s">
        <v>36</v>
      </c>
      <c r="K41" s="38" t="s">
        <v>144</v>
      </c>
      <c r="L41" s="38" t="s">
        <v>145</v>
      </c>
    </row>
    <row r="42" spans="1:12" ht="53.1" customHeight="1" x14ac:dyDescent="0.2">
      <c r="A42" s="57" t="s">
        <v>128</v>
      </c>
      <c r="B42" s="58"/>
      <c r="C42" s="9">
        <f>COUNTIF(C4:C41,"YES")</f>
        <v>21</v>
      </c>
      <c r="D42" s="9">
        <f>COUNTIF(D4:D41,"YES")</f>
        <v>23</v>
      </c>
      <c r="E42" s="9">
        <f>COUNTIF(E4:E41,"YES")</f>
        <v>32</v>
      </c>
      <c r="F42" s="9">
        <f>COUNTIF(F4:F41,"YES")</f>
        <v>27</v>
      </c>
      <c r="G42" s="9">
        <f t="shared" ref="G42:L42" si="0">COUNTIF(G4:G41,"ONE")</f>
        <v>25</v>
      </c>
      <c r="H42" s="9">
        <f t="shared" si="0"/>
        <v>16</v>
      </c>
      <c r="I42" s="9">
        <f t="shared" si="0"/>
        <v>21</v>
      </c>
      <c r="J42" s="9">
        <f t="shared" si="0"/>
        <v>11</v>
      </c>
      <c r="K42" s="9">
        <f t="shared" si="0"/>
        <v>6</v>
      </c>
      <c r="L42" s="9">
        <f t="shared" si="0"/>
        <v>7</v>
      </c>
    </row>
    <row r="43" spans="1:12" ht="39.950000000000003" customHeight="1" x14ac:dyDescent="0.2">
      <c r="A43" s="57" t="s">
        <v>129</v>
      </c>
      <c r="B43" s="58"/>
      <c r="C43" s="27">
        <f>C42/38</f>
        <v>0.55263157894736847</v>
      </c>
      <c r="D43" s="27">
        <f t="shared" ref="D43:L43" si="1">D42/38</f>
        <v>0.60526315789473684</v>
      </c>
      <c r="E43" s="27">
        <f t="shared" si="1"/>
        <v>0.84210526315789469</v>
      </c>
      <c r="F43" s="27">
        <f t="shared" si="1"/>
        <v>0.71052631578947367</v>
      </c>
      <c r="G43" s="27">
        <f t="shared" si="1"/>
        <v>0.65789473684210531</v>
      </c>
      <c r="H43" s="27">
        <f t="shared" si="1"/>
        <v>0.42105263157894735</v>
      </c>
      <c r="I43" s="27">
        <f t="shared" si="1"/>
        <v>0.55263157894736847</v>
      </c>
      <c r="J43" s="27">
        <f t="shared" si="1"/>
        <v>0.28947368421052633</v>
      </c>
      <c r="K43" s="27">
        <f t="shared" si="1"/>
        <v>0.15789473684210525</v>
      </c>
      <c r="L43" s="27">
        <f t="shared" si="1"/>
        <v>0.18421052631578946</v>
      </c>
    </row>
    <row r="44" spans="1:12" x14ac:dyDescent="0.2">
      <c r="A44" s="62" t="s">
        <v>111</v>
      </c>
      <c r="B44" s="62"/>
      <c r="C44" s="63"/>
      <c r="D44" s="63"/>
      <c r="E44" s="63"/>
      <c r="F44" s="63"/>
      <c r="G44" s="63"/>
      <c r="H44" s="63"/>
      <c r="I44" s="63"/>
      <c r="J44" s="63"/>
      <c r="K44" s="63"/>
      <c r="L44" s="63"/>
    </row>
    <row r="45" spans="1:12" x14ac:dyDescent="0.2">
      <c r="A45" s="63" t="s">
        <v>112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</row>
    <row r="46" spans="1:12" x14ac:dyDescent="0.2">
      <c r="A46" s="39"/>
      <c r="B46" s="39"/>
      <c r="C46" s="64" t="s">
        <v>131</v>
      </c>
      <c r="D46" s="64"/>
      <c r="E46" s="64"/>
      <c r="F46" s="64"/>
      <c r="G46" s="65" t="s">
        <v>132</v>
      </c>
      <c r="H46" s="65"/>
      <c r="I46" s="65"/>
      <c r="J46" s="66" t="s">
        <v>133</v>
      </c>
      <c r="K46" s="66"/>
      <c r="L46" s="66"/>
    </row>
  </sheetData>
  <mergeCells count="12">
    <mergeCell ref="J2:L2"/>
    <mergeCell ref="A43:B43"/>
    <mergeCell ref="A44:L44"/>
    <mergeCell ref="A45:L45"/>
    <mergeCell ref="C46:F46"/>
    <mergeCell ref="G46:I46"/>
    <mergeCell ref="J46:L46"/>
    <mergeCell ref="A42:B42"/>
    <mergeCell ref="A2:A3"/>
    <mergeCell ref="B2:B3"/>
    <mergeCell ref="C2:F2"/>
    <mergeCell ref="G2:I2"/>
  </mergeCells>
  <conditionalFormatting sqref="C4:F42">
    <cfRule type="cellIs" dxfId="16" priority="9" operator="equal">
      <formula>":"</formula>
    </cfRule>
    <cfRule type="cellIs" dxfId="15" priority="10" operator="equal">
      <formula>"NO"</formula>
    </cfRule>
    <cfRule type="cellIs" dxfId="14" priority="11" operator="equal">
      <formula>"YES"</formula>
    </cfRule>
  </conditionalFormatting>
  <conditionalFormatting sqref="G4:L4 G5:G6 I5:L6 G7:L42">
    <cfRule type="cellIs" dxfId="13" priority="7" operator="equal">
      <formula>"ONE"</formula>
    </cfRule>
    <cfRule type="cellIs" dxfId="12" priority="8" operator="equal">
      <formula>"MORE"</formula>
    </cfRule>
  </conditionalFormatting>
  <conditionalFormatting sqref="G4:L41">
    <cfRule type="cellIs" dxfId="11" priority="1" operator="equal">
      <formula>"DON’T KNOW"</formula>
    </cfRule>
    <cfRule type="cellIs" dxfId="10" priority="2" operator="equal">
      <formula>":"</formula>
    </cfRule>
    <cfRule type="cellIs" dxfId="9" priority="3" operator="equal">
      <formula>"OTHER"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F4673-3888-40F3-95FA-044941710200}">
  <sheetPr codeName="Sheet9"/>
  <dimension ref="A1:N46"/>
  <sheetViews>
    <sheetView zoomScaleNormal="100" workbookViewId="0">
      <selection activeCell="N21" sqref="N21"/>
    </sheetView>
  </sheetViews>
  <sheetFormatPr defaultColWidth="10.85546875" defaultRowHeight="12" x14ac:dyDescent="0.2"/>
  <cols>
    <col min="1" max="1" width="5.85546875" style="39" customWidth="1"/>
    <col min="2" max="2" width="10.85546875" style="39"/>
    <col min="3" max="3" width="10.140625" style="39" customWidth="1"/>
    <col min="4" max="4" width="12.140625" style="39" bestFit="1" customWidth="1"/>
    <col min="5" max="5" width="8.140625" style="39" bestFit="1" customWidth="1"/>
    <col min="6" max="6" width="8.7109375" style="39" bestFit="1" customWidth="1"/>
    <col min="7" max="7" width="10.5703125" style="39" customWidth="1"/>
    <col min="8" max="8" width="12.140625" style="39" bestFit="1" customWidth="1"/>
    <col min="9" max="9" width="12.85546875" style="39" customWidth="1"/>
    <col min="10" max="10" width="10.28515625" style="39" customWidth="1"/>
    <col min="11" max="11" width="12.140625" style="39" bestFit="1" customWidth="1"/>
    <col min="12" max="12" width="9.5703125" style="39" bestFit="1" customWidth="1"/>
    <col min="13" max="16384" width="10.85546875" style="39"/>
  </cols>
  <sheetData>
    <row r="1" spans="1:14" x14ac:dyDescent="0.2">
      <c r="A1" s="40" t="s">
        <v>149</v>
      </c>
      <c r="N1" s="40"/>
    </row>
    <row r="2" spans="1:14" s="43" customFormat="1" ht="26.45" customHeight="1" x14ac:dyDescent="0.2">
      <c r="A2" s="41" t="s">
        <v>6</v>
      </c>
      <c r="B2" s="42" t="s">
        <v>150</v>
      </c>
      <c r="C2" s="61" t="s">
        <v>136</v>
      </c>
      <c r="D2" s="61"/>
      <c r="E2" s="61"/>
      <c r="F2" s="61"/>
      <c r="G2" s="61" t="s">
        <v>137</v>
      </c>
      <c r="H2" s="61"/>
      <c r="I2" s="61"/>
      <c r="J2" s="61" t="s">
        <v>138</v>
      </c>
      <c r="K2" s="61"/>
      <c r="L2" s="61"/>
    </row>
    <row r="3" spans="1:14" ht="24" x14ac:dyDescent="0.2">
      <c r="A3" s="44"/>
      <c r="B3" s="35"/>
      <c r="C3" s="34" t="s">
        <v>139</v>
      </c>
      <c r="D3" s="34" t="s">
        <v>143</v>
      </c>
      <c r="E3" s="34" t="s">
        <v>141</v>
      </c>
      <c r="F3" s="34" t="s">
        <v>142</v>
      </c>
      <c r="G3" s="34" t="s">
        <v>139</v>
      </c>
      <c r="H3" s="34" t="s">
        <v>143</v>
      </c>
      <c r="I3" s="34" t="s">
        <v>141</v>
      </c>
      <c r="J3" s="34" t="s">
        <v>139</v>
      </c>
      <c r="K3" s="34" t="s">
        <v>143</v>
      </c>
      <c r="L3" s="34" t="s">
        <v>141</v>
      </c>
      <c r="M3" s="45"/>
    </row>
    <row r="4" spans="1:14" ht="12.75" x14ac:dyDescent="0.2">
      <c r="A4" s="37" t="s">
        <v>12</v>
      </c>
      <c r="B4" s="37" t="s">
        <v>13</v>
      </c>
      <c r="C4" s="46" t="s">
        <v>76</v>
      </c>
      <c r="D4" s="46" t="s">
        <v>76</v>
      </c>
      <c r="E4" s="46" t="s">
        <v>20</v>
      </c>
      <c r="F4" s="46" t="s">
        <v>76</v>
      </c>
      <c r="G4" s="46" t="s">
        <v>144</v>
      </c>
      <c r="H4" s="46" t="s">
        <v>145</v>
      </c>
      <c r="I4" s="46" t="s">
        <v>144</v>
      </c>
      <c r="J4" s="46" t="s">
        <v>144</v>
      </c>
      <c r="K4" s="46" t="s">
        <v>145</v>
      </c>
      <c r="L4" s="46" t="s">
        <v>145</v>
      </c>
      <c r="N4" s="8"/>
    </row>
    <row r="5" spans="1:14" x14ac:dyDescent="0.2">
      <c r="A5" s="37" t="s">
        <v>18</v>
      </c>
      <c r="B5" s="37" t="s">
        <v>19</v>
      </c>
      <c r="C5" s="46" t="s">
        <v>20</v>
      </c>
      <c r="D5" s="46" t="s">
        <v>76</v>
      </c>
      <c r="E5" s="46" t="s">
        <v>20</v>
      </c>
      <c r="F5" s="46" t="s">
        <v>20</v>
      </c>
      <c r="G5" s="46" t="s">
        <v>144</v>
      </c>
      <c r="H5" s="46" t="s">
        <v>146</v>
      </c>
      <c r="I5" s="46" t="s">
        <v>144</v>
      </c>
      <c r="J5" s="46" t="s">
        <v>145</v>
      </c>
      <c r="K5" s="46" t="s">
        <v>145</v>
      </c>
      <c r="L5" s="46" t="s">
        <v>145</v>
      </c>
    </row>
    <row r="6" spans="1:14" x14ac:dyDescent="0.2">
      <c r="A6" s="37" t="s">
        <v>21</v>
      </c>
      <c r="B6" s="37" t="s">
        <v>22</v>
      </c>
      <c r="C6" s="46" t="s">
        <v>20</v>
      </c>
      <c r="D6" s="46" t="s">
        <v>76</v>
      </c>
      <c r="E6" s="46" t="s">
        <v>76</v>
      </c>
      <c r="F6" s="46" t="s">
        <v>76</v>
      </c>
      <c r="G6" s="46" t="s">
        <v>144</v>
      </c>
      <c r="H6" s="46" t="s">
        <v>36</v>
      </c>
      <c r="I6" s="46" t="s">
        <v>146</v>
      </c>
      <c r="J6" s="46" t="s">
        <v>144</v>
      </c>
      <c r="K6" s="46" t="s">
        <v>145</v>
      </c>
      <c r="L6" s="46" t="s">
        <v>145</v>
      </c>
    </row>
    <row r="7" spans="1:14" x14ac:dyDescent="0.2">
      <c r="A7" s="37" t="s">
        <v>24</v>
      </c>
      <c r="B7" s="37" t="s">
        <v>25</v>
      </c>
      <c r="C7" s="46" t="s">
        <v>20</v>
      </c>
      <c r="D7" s="46" t="s">
        <v>36</v>
      </c>
      <c r="E7" s="46" t="s">
        <v>20</v>
      </c>
      <c r="F7" s="46" t="s">
        <v>20</v>
      </c>
      <c r="G7" s="46" t="s">
        <v>145</v>
      </c>
      <c r="H7" s="46" t="s">
        <v>36</v>
      </c>
      <c r="I7" s="46" t="s">
        <v>145</v>
      </c>
      <c r="J7" s="46" t="s">
        <v>145</v>
      </c>
      <c r="K7" s="46" t="s">
        <v>36</v>
      </c>
      <c r="L7" s="46" t="s">
        <v>145</v>
      </c>
    </row>
    <row r="8" spans="1:14" x14ac:dyDescent="0.2">
      <c r="A8" s="37" t="s">
        <v>28</v>
      </c>
      <c r="B8" s="37" t="s">
        <v>29</v>
      </c>
      <c r="C8" s="46" t="s">
        <v>20</v>
      </c>
      <c r="D8" s="46" t="s">
        <v>36</v>
      </c>
      <c r="E8" s="46" t="s">
        <v>20</v>
      </c>
      <c r="F8" s="46" t="s">
        <v>20</v>
      </c>
      <c r="G8" s="46" t="s">
        <v>147</v>
      </c>
      <c r="H8" s="46" t="s">
        <v>36</v>
      </c>
      <c r="I8" s="46" t="s">
        <v>36</v>
      </c>
      <c r="J8" s="46" t="s">
        <v>147</v>
      </c>
      <c r="K8" s="46" t="s">
        <v>36</v>
      </c>
      <c r="L8" s="46" t="s">
        <v>36</v>
      </c>
    </row>
    <row r="9" spans="1:14" x14ac:dyDescent="0.2">
      <c r="A9" s="37" t="s">
        <v>32</v>
      </c>
      <c r="B9" s="37" t="s">
        <v>33</v>
      </c>
      <c r="C9" s="46" t="s">
        <v>76</v>
      </c>
      <c r="D9" s="46" t="s">
        <v>76</v>
      </c>
      <c r="E9" s="46" t="s">
        <v>76</v>
      </c>
      <c r="F9" s="46" t="s">
        <v>20</v>
      </c>
      <c r="G9" s="46" t="s">
        <v>144</v>
      </c>
      <c r="H9" s="46" t="s">
        <v>147</v>
      </c>
      <c r="I9" s="46" t="s">
        <v>144</v>
      </c>
      <c r="J9" s="46" t="s">
        <v>145</v>
      </c>
      <c r="K9" s="46" t="s">
        <v>145</v>
      </c>
      <c r="L9" s="46" t="s">
        <v>145</v>
      </c>
    </row>
    <row r="10" spans="1:14" x14ac:dyDescent="0.2">
      <c r="A10" s="37" t="s">
        <v>34</v>
      </c>
      <c r="B10" s="37" t="s">
        <v>35</v>
      </c>
      <c r="C10" s="46" t="s">
        <v>36</v>
      </c>
      <c r="D10" s="46" t="s">
        <v>36</v>
      </c>
      <c r="E10" s="46" t="s">
        <v>36</v>
      </c>
      <c r="F10" s="46" t="s">
        <v>36</v>
      </c>
      <c r="G10" s="46" t="s">
        <v>36</v>
      </c>
      <c r="H10" s="46" t="s">
        <v>36</v>
      </c>
      <c r="I10" s="46" t="s">
        <v>36</v>
      </c>
      <c r="J10" s="46" t="s">
        <v>36</v>
      </c>
      <c r="K10" s="46" t="s">
        <v>36</v>
      </c>
      <c r="L10" s="46" t="s">
        <v>36</v>
      </c>
    </row>
    <row r="11" spans="1:14" x14ac:dyDescent="0.2">
      <c r="A11" s="37" t="s">
        <v>37</v>
      </c>
      <c r="B11" s="37" t="s">
        <v>38</v>
      </c>
      <c r="C11" s="46" t="s">
        <v>76</v>
      </c>
      <c r="D11" s="46" t="s">
        <v>20</v>
      </c>
      <c r="E11" s="46" t="s">
        <v>20</v>
      </c>
      <c r="F11" s="46" t="s">
        <v>20</v>
      </c>
      <c r="G11" s="46" t="s">
        <v>145</v>
      </c>
      <c r="H11" s="46" t="s">
        <v>146</v>
      </c>
      <c r="I11" s="46" t="s">
        <v>146</v>
      </c>
      <c r="J11" s="46" t="s">
        <v>145</v>
      </c>
      <c r="K11" s="46" t="s">
        <v>145</v>
      </c>
      <c r="L11" s="46" t="s">
        <v>145</v>
      </c>
    </row>
    <row r="12" spans="1:14" x14ac:dyDescent="0.2">
      <c r="A12" s="37" t="s">
        <v>39</v>
      </c>
      <c r="B12" s="37" t="s">
        <v>40</v>
      </c>
      <c r="C12" s="46" t="s">
        <v>76</v>
      </c>
      <c r="D12" s="46" t="s">
        <v>36</v>
      </c>
      <c r="E12" s="46" t="s">
        <v>20</v>
      </c>
      <c r="F12" s="46" t="s">
        <v>20</v>
      </c>
      <c r="G12" s="46" t="s">
        <v>144</v>
      </c>
      <c r="H12" s="46" t="s">
        <v>36</v>
      </c>
      <c r="I12" s="46" t="s">
        <v>147</v>
      </c>
      <c r="J12" s="46" t="s">
        <v>145</v>
      </c>
      <c r="K12" s="46" t="s">
        <v>36</v>
      </c>
      <c r="L12" s="46" t="s">
        <v>145</v>
      </c>
    </row>
    <row r="13" spans="1:14" x14ac:dyDescent="0.2">
      <c r="A13" s="37" t="s">
        <v>42</v>
      </c>
      <c r="B13" s="37" t="s">
        <v>43</v>
      </c>
      <c r="C13" s="46" t="s">
        <v>20</v>
      </c>
      <c r="D13" s="46" t="s">
        <v>76</v>
      </c>
      <c r="E13" s="46" t="s">
        <v>20</v>
      </c>
      <c r="F13" s="46" t="s">
        <v>20</v>
      </c>
      <c r="G13" s="46" t="s">
        <v>144</v>
      </c>
      <c r="H13" s="46" t="s">
        <v>144</v>
      </c>
      <c r="I13" s="46" t="s">
        <v>144</v>
      </c>
      <c r="J13" s="46" t="s">
        <v>145</v>
      </c>
      <c r="K13" s="46" t="s">
        <v>145</v>
      </c>
      <c r="L13" s="46" t="s">
        <v>144</v>
      </c>
    </row>
    <row r="14" spans="1:14" x14ac:dyDescent="0.2">
      <c r="A14" s="37" t="s">
        <v>46</v>
      </c>
      <c r="B14" s="37" t="s">
        <v>47</v>
      </c>
      <c r="C14" s="46" t="s">
        <v>36</v>
      </c>
      <c r="D14" s="46" t="s">
        <v>20</v>
      </c>
      <c r="E14" s="46" t="s">
        <v>20</v>
      </c>
      <c r="F14" s="46" t="s">
        <v>20</v>
      </c>
      <c r="G14" s="46" t="s">
        <v>36</v>
      </c>
      <c r="H14" s="46" t="s">
        <v>144</v>
      </c>
      <c r="I14" s="46" t="s">
        <v>144</v>
      </c>
      <c r="J14" s="46" t="s">
        <v>36</v>
      </c>
      <c r="K14" s="46" t="s">
        <v>145</v>
      </c>
      <c r="L14" s="46" t="s">
        <v>145</v>
      </c>
    </row>
    <row r="15" spans="1:14" x14ac:dyDescent="0.2">
      <c r="A15" s="37" t="s">
        <v>49</v>
      </c>
      <c r="B15" s="37" t="s">
        <v>50</v>
      </c>
      <c r="C15" s="46" t="s">
        <v>76</v>
      </c>
      <c r="D15" s="46" t="s">
        <v>76</v>
      </c>
      <c r="E15" s="46" t="s">
        <v>76</v>
      </c>
      <c r="F15" s="46" t="s">
        <v>76</v>
      </c>
      <c r="G15" s="46" t="s">
        <v>144</v>
      </c>
      <c r="H15" s="46" t="s">
        <v>145</v>
      </c>
      <c r="I15" s="46" t="s">
        <v>145</v>
      </c>
      <c r="J15" s="46" t="s">
        <v>145</v>
      </c>
      <c r="K15" s="46" t="s">
        <v>145</v>
      </c>
      <c r="L15" s="46" t="s">
        <v>145</v>
      </c>
    </row>
    <row r="16" spans="1:14" x14ac:dyDescent="0.2">
      <c r="A16" s="37" t="s">
        <v>52</v>
      </c>
      <c r="B16" s="37" t="s">
        <v>53</v>
      </c>
      <c r="C16" s="46" t="s">
        <v>36</v>
      </c>
      <c r="D16" s="46" t="s">
        <v>36</v>
      </c>
      <c r="E16" s="46" t="s">
        <v>20</v>
      </c>
      <c r="F16" s="46" t="s">
        <v>20</v>
      </c>
      <c r="G16" s="46" t="s">
        <v>36</v>
      </c>
      <c r="H16" s="46" t="s">
        <v>36</v>
      </c>
      <c r="I16" s="46" t="s">
        <v>144</v>
      </c>
      <c r="J16" s="46" t="s">
        <v>36</v>
      </c>
      <c r="K16" s="46" t="s">
        <v>36</v>
      </c>
      <c r="L16" s="46" t="s">
        <v>145</v>
      </c>
    </row>
    <row r="17" spans="1:12" x14ac:dyDescent="0.2">
      <c r="A17" s="37" t="s">
        <v>54</v>
      </c>
      <c r="B17" s="37" t="s">
        <v>55</v>
      </c>
      <c r="C17" s="46" t="s">
        <v>20</v>
      </c>
      <c r="D17" s="46" t="s">
        <v>36</v>
      </c>
      <c r="E17" s="46" t="s">
        <v>20</v>
      </c>
      <c r="F17" s="46" t="s">
        <v>76</v>
      </c>
      <c r="G17" s="46" t="s">
        <v>144</v>
      </c>
      <c r="H17" s="46" t="s">
        <v>36</v>
      </c>
      <c r="I17" s="46" t="s">
        <v>144</v>
      </c>
      <c r="J17" s="46" t="s">
        <v>144</v>
      </c>
      <c r="K17" s="46" t="s">
        <v>36</v>
      </c>
      <c r="L17" s="46" t="s">
        <v>145</v>
      </c>
    </row>
    <row r="18" spans="1:12" x14ac:dyDescent="0.2">
      <c r="A18" s="37" t="s">
        <v>56</v>
      </c>
      <c r="B18" s="37" t="s">
        <v>57</v>
      </c>
      <c r="C18" s="46" t="s">
        <v>76</v>
      </c>
      <c r="D18" s="46" t="s">
        <v>20</v>
      </c>
      <c r="E18" s="46" t="s">
        <v>20</v>
      </c>
      <c r="F18" s="46" t="s">
        <v>20</v>
      </c>
      <c r="G18" s="46" t="s">
        <v>144</v>
      </c>
      <c r="H18" s="46" t="s">
        <v>146</v>
      </c>
      <c r="I18" s="46" t="s">
        <v>146</v>
      </c>
      <c r="J18" s="46" t="s">
        <v>145</v>
      </c>
      <c r="K18" s="46" t="s">
        <v>145</v>
      </c>
      <c r="L18" s="46" t="s">
        <v>145</v>
      </c>
    </row>
    <row r="19" spans="1:12" x14ac:dyDescent="0.2">
      <c r="A19" s="37" t="s">
        <v>58</v>
      </c>
      <c r="B19" s="37" t="s">
        <v>59</v>
      </c>
      <c r="C19" s="46" t="s">
        <v>36</v>
      </c>
      <c r="D19" s="46" t="s">
        <v>76</v>
      </c>
      <c r="E19" s="46" t="s">
        <v>76</v>
      </c>
      <c r="F19" s="46" t="s">
        <v>20</v>
      </c>
      <c r="G19" s="46" t="s">
        <v>147</v>
      </c>
      <c r="H19" s="46" t="s">
        <v>144</v>
      </c>
      <c r="I19" s="46" t="s">
        <v>144</v>
      </c>
      <c r="J19" s="46" t="s">
        <v>147</v>
      </c>
      <c r="K19" s="46" t="s">
        <v>144</v>
      </c>
      <c r="L19" s="46" t="s">
        <v>144</v>
      </c>
    </row>
    <row r="20" spans="1:12" x14ac:dyDescent="0.2">
      <c r="A20" s="37" t="s">
        <v>61</v>
      </c>
      <c r="B20" s="37" t="s">
        <v>62</v>
      </c>
      <c r="C20" s="46" t="s">
        <v>76</v>
      </c>
      <c r="D20" s="46" t="s">
        <v>76</v>
      </c>
      <c r="E20" s="46" t="s">
        <v>20</v>
      </c>
      <c r="F20" s="46" t="s">
        <v>20</v>
      </c>
      <c r="G20" s="46" t="s">
        <v>145</v>
      </c>
      <c r="H20" s="46" t="s">
        <v>144</v>
      </c>
      <c r="I20" s="46" t="s">
        <v>36</v>
      </c>
      <c r="J20" s="46" t="s">
        <v>145</v>
      </c>
      <c r="K20" s="46" t="s">
        <v>145</v>
      </c>
      <c r="L20" s="46" t="s">
        <v>145</v>
      </c>
    </row>
    <row r="21" spans="1:12" x14ac:dyDescent="0.2">
      <c r="A21" s="37" t="s">
        <v>63</v>
      </c>
      <c r="B21" s="37" t="s">
        <v>64</v>
      </c>
      <c r="C21" s="46" t="s">
        <v>20</v>
      </c>
      <c r="D21" s="46" t="s">
        <v>20</v>
      </c>
      <c r="E21" s="46" t="s">
        <v>76</v>
      </c>
      <c r="F21" s="46" t="s">
        <v>76</v>
      </c>
      <c r="G21" s="46" t="s">
        <v>145</v>
      </c>
      <c r="H21" s="46" t="s">
        <v>147</v>
      </c>
      <c r="I21" s="46" t="s">
        <v>144</v>
      </c>
      <c r="J21" s="46" t="s">
        <v>145</v>
      </c>
      <c r="K21" s="46" t="s">
        <v>145</v>
      </c>
      <c r="L21" s="46" t="s">
        <v>145</v>
      </c>
    </row>
    <row r="22" spans="1:12" x14ac:dyDescent="0.2">
      <c r="A22" s="37" t="s">
        <v>65</v>
      </c>
      <c r="B22" s="37" t="s">
        <v>66</v>
      </c>
      <c r="C22" s="46" t="s">
        <v>20</v>
      </c>
      <c r="D22" s="46" t="s">
        <v>20</v>
      </c>
      <c r="E22" s="46" t="s">
        <v>20</v>
      </c>
      <c r="F22" s="46" t="s">
        <v>20</v>
      </c>
      <c r="G22" s="46" t="s">
        <v>144</v>
      </c>
      <c r="H22" s="46" t="s">
        <v>36</v>
      </c>
      <c r="I22" s="46" t="s">
        <v>36</v>
      </c>
      <c r="J22" s="46" t="s">
        <v>144</v>
      </c>
      <c r="K22" s="46" t="s">
        <v>145</v>
      </c>
      <c r="L22" s="46" t="s">
        <v>145</v>
      </c>
    </row>
    <row r="23" spans="1:12" x14ac:dyDescent="0.2">
      <c r="A23" s="37" t="s">
        <v>67</v>
      </c>
      <c r="B23" s="37" t="s">
        <v>68</v>
      </c>
      <c r="C23" s="46" t="s">
        <v>76</v>
      </c>
      <c r="D23" s="46" t="s">
        <v>76</v>
      </c>
      <c r="E23" s="46" t="s">
        <v>76</v>
      </c>
      <c r="F23" s="46" t="s">
        <v>76</v>
      </c>
      <c r="G23" s="46" t="s">
        <v>145</v>
      </c>
      <c r="H23" s="46" t="s">
        <v>145</v>
      </c>
      <c r="I23" s="46" t="s">
        <v>145</v>
      </c>
      <c r="J23" s="46" t="s">
        <v>145</v>
      </c>
      <c r="K23" s="46" t="s">
        <v>145</v>
      </c>
      <c r="L23" s="46" t="s">
        <v>145</v>
      </c>
    </row>
    <row r="24" spans="1:12" x14ac:dyDescent="0.2">
      <c r="A24" s="37" t="s">
        <v>69</v>
      </c>
      <c r="B24" s="37" t="s">
        <v>70</v>
      </c>
      <c r="C24" s="46" t="s">
        <v>20</v>
      </c>
      <c r="D24" s="46" t="s">
        <v>20</v>
      </c>
      <c r="E24" s="46" t="s">
        <v>20</v>
      </c>
      <c r="F24" s="46" t="s">
        <v>20</v>
      </c>
      <c r="G24" s="46" t="s">
        <v>144</v>
      </c>
      <c r="H24" s="46" t="s">
        <v>146</v>
      </c>
      <c r="I24" s="46" t="s">
        <v>36</v>
      </c>
      <c r="J24" s="46" t="s">
        <v>147</v>
      </c>
      <c r="K24" s="46" t="s">
        <v>145</v>
      </c>
      <c r="L24" s="46" t="s">
        <v>145</v>
      </c>
    </row>
    <row r="25" spans="1:12" x14ac:dyDescent="0.2">
      <c r="A25" s="37" t="s">
        <v>71</v>
      </c>
      <c r="B25" s="37" t="s">
        <v>72</v>
      </c>
      <c r="C25" s="46" t="s">
        <v>20</v>
      </c>
      <c r="D25" s="46" t="s">
        <v>20</v>
      </c>
      <c r="E25" s="46" t="s">
        <v>20</v>
      </c>
      <c r="F25" s="46" t="s">
        <v>20</v>
      </c>
      <c r="G25" s="46" t="s">
        <v>145</v>
      </c>
      <c r="H25" s="46" t="s">
        <v>144</v>
      </c>
      <c r="I25" s="46" t="s">
        <v>144</v>
      </c>
      <c r="J25" s="46" t="s">
        <v>145</v>
      </c>
      <c r="K25" s="46" t="s">
        <v>145</v>
      </c>
      <c r="L25" s="46" t="s">
        <v>145</v>
      </c>
    </row>
    <row r="26" spans="1:12" x14ac:dyDescent="0.2">
      <c r="A26" s="37" t="s">
        <v>74</v>
      </c>
      <c r="B26" s="37" t="s">
        <v>75</v>
      </c>
      <c r="C26" s="46" t="s">
        <v>20</v>
      </c>
      <c r="D26" s="46" t="s">
        <v>20</v>
      </c>
      <c r="E26" s="46" t="s">
        <v>20</v>
      </c>
      <c r="F26" s="46" t="s">
        <v>20</v>
      </c>
      <c r="G26" s="46" t="s">
        <v>147</v>
      </c>
      <c r="H26" s="46" t="s">
        <v>145</v>
      </c>
      <c r="I26" s="46" t="s">
        <v>36</v>
      </c>
      <c r="J26" s="46" t="s">
        <v>144</v>
      </c>
      <c r="K26" s="46" t="s">
        <v>145</v>
      </c>
      <c r="L26" s="46" t="s">
        <v>145</v>
      </c>
    </row>
    <row r="27" spans="1:12" x14ac:dyDescent="0.2">
      <c r="A27" s="37" t="s">
        <v>78</v>
      </c>
      <c r="B27" s="37" t="s">
        <v>79</v>
      </c>
      <c r="C27" s="46" t="s">
        <v>76</v>
      </c>
      <c r="D27" s="46" t="s">
        <v>36</v>
      </c>
      <c r="E27" s="46" t="s">
        <v>36</v>
      </c>
      <c r="F27" s="46" t="s">
        <v>36</v>
      </c>
      <c r="G27" s="46" t="s">
        <v>144</v>
      </c>
      <c r="H27" s="46" t="s">
        <v>36</v>
      </c>
      <c r="I27" s="46" t="s">
        <v>36</v>
      </c>
      <c r="J27" s="46" t="s">
        <v>144</v>
      </c>
      <c r="K27" s="46" t="s">
        <v>36</v>
      </c>
      <c r="L27" s="46" t="s">
        <v>36</v>
      </c>
    </row>
    <row r="28" spans="1:12" x14ac:dyDescent="0.2">
      <c r="A28" s="37" t="s">
        <v>80</v>
      </c>
      <c r="B28" s="37" t="s">
        <v>81</v>
      </c>
      <c r="C28" s="46" t="s">
        <v>20</v>
      </c>
      <c r="D28" s="46" t="s">
        <v>20</v>
      </c>
      <c r="E28" s="46" t="s">
        <v>76</v>
      </c>
      <c r="F28" s="46" t="s">
        <v>20</v>
      </c>
      <c r="G28" s="46" t="s">
        <v>144</v>
      </c>
      <c r="H28" s="46" t="s">
        <v>144</v>
      </c>
      <c r="I28" s="46" t="s">
        <v>144</v>
      </c>
      <c r="J28" s="46" t="s">
        <v>145</v>
      </c>
      <c r="K28" s="46" t="s">
        <v>145</v>
      </c>
      <c r="L28" s="46" t="s">
        <v>145</v>
      </c>
    </row>
    <row r="29" spans="1:12" x14ac:dyDescent="0.2">
      <c r="A29" s="37" t="s">
        <v>82</v>
      </c>
      <c r="B29" s="37" t="s">
        <v>83</v>
      </c>
      <c r="C29" s="46" t="s">
        <v>76</v>
      </c>
      <c r="D29" s="46" t="s">
        <v>36</v>
      </c>
      <c r="E29" s="46" t="s">
        <v>36</v>
      </c>
      <c r="F29" s="46" t="s">
        <v>20</v>
      </c>
      <c r="G29" s="46" t="s">
        <v>145</v>
      </c>
      <c r="H29" s="46" t="s">
        <v>36</v>
      </c>
      <c r="I29" s="46" t="s">
        <v>36</v>
      </c>
      <c r="J29" s="46" t="s">
        <v>145</v>
      </c>
      <c r="K29" s="46" t="s">
        <v>36</v>
      </c>
      <c r="L29" s="46" t="s">
        <v>36</v>
      </c>
    </row>
    <row r="30" spans="1:12" x14ac:dyDescent="0.2">
      <c r="A30" s="37" t="s">
        <v>84</v>
      </c>
      <c r="B30" s="37" t="s">
        <v>85</v>
      </c>
      <c r="C30" s="46" t="s">
        <v>76</v>
      </c>
      <c r="D30" s="46" t="s">
        <v>76</v>
      </c>
      <c r="E30" s="46" t="s">
        <v>20</v>
      </c>
      <c r="F30" s="46" t="s">
        <v>20</v>
      </c>
      <c r="G30" s="46" t="s">
        <v>144</v>
      </c>
      <c r="H30" s="46" t="s">
        <v>144</v>
      </c>
      <c r="I30" s="46" t="s">
        <v>144</v>
      </c>
      <c r="J30" s="46" t="s">
        <v>145</v>
      </c>
      <c r="K30" s="46" t="s">
        <v>145</v>
      </c>
      <c r="L30" s="46" t="s">
        <v>145</v>
      </c>
    </row>
    <row r="31" spans="1:12" x14ac:dyDescent="0.2">
      <c r="A31" s="37" t="s">
        <v>87</v>
      </c>
      <c r="B31" s="37" t="s">
        <v>88</v>
      </c>
      <c r="C31" s="46" t="s">
        <v>20</v>
      </c>
      <c r="D31" s="46" t="s">
        <v>20</v>
      </c>
      <c r="E31" s="46" t="s">
        <v>76</v>
      </c>
      <c r="F31" s="46" t="s">
        <v>20</v>
      </c>
      <c r="G31" s="46" t="s">
        <v>144</v>
      </c>
      <c r="H31" s="46" t="s">
        <v>146</v>
      </c>
      <c r="I31" s="46" t="s">
        <v>146</v>
      </c>
      <c r="J31" s="46" t="s">
        <v>144</v>
      </c>
      <c r="K31" s="46" t="s">
        <v>145</v>
      </c>
      <c r="L31" s="46" t="s">
        <v>145</v>
      </c>
    </row>
    <row r="32" spans="1:12" ht="24" x14ac:dyDescent="0.2">
      <c r="A32" s="37" t="s">
        <v>90</v>
      </c>
      <c r="B32" s="37" t="s">
        <v>91</v>
      </c>
      <c r="C32" s="46" t="s">
        <v>36</v>
      </c>
      <c r="D32" s="46" t="s">
        <v>76</v>
      </c>
      <c r="E32" s="46" t="s">
        <v>36</v>
      </c>
      <c r="F32" s="46" t="s">
        <v>20</v>
      </c>
      <c r="G32" s="46" t="s">
        <v>36</v>
      </c>
      <c r="H32" s="46" t="s">
        <v>144</v>
      </c>
      <c r="I32" s="46" t="s">
        <v>36</v>
      </c>
      <c r="J32" s="46" t="s">
        <v>36</v>
      </c>
      <c r="K32" s="46" t="s">
        <v>145</v>
      </c>
      <c r="L32" s="46" t="s">
        <v>36</v>
      </c>
    </row>
    <row r="33" spans="1:12" x14ac:dyDescent="0.2">
      <c r="A33" s="37" t="s">
        <v>76</v>
      </c>
      <c r="B33" s="37" t="s">
        <v>92</v>
      </c>
      <c r="C33" s="46" t="s">
        <v>20</v>
      </c>
      <c r="D33" s="46" t="s">
        <v>20</v>
      </c>
      <c r="E33" s="46" t="s">
        <v>20</v>
      </c>
      <c r="F33" s="46" t="s">
        <v>20</v>
      </c>
      <c r="G33" s="46" t="s">
        <v>144</v>
      </c>
      <c r="H33" s="46" t="s">
        <v>144</v>
      </c>
      <c r="I33" s="46" t="s">
        <v>144</v>
      </c>
      <c r="J33" s="46" t="s">
        <v>144</v>
      </c>
      <c r="K33" s="46" t="s">
        <v>144</v>
      </c>
      <c r="L33" s="46" t="s">
        <v>144</v>
      </c>
    </row>
    <row r="34" spans="1:12" x14ac:dyDescent="0.2">
      <c r="A34" s="37" t="s">
        <v>94</v>
      </c>
      <c r="B34" s="37" t="s">
        <v>95</v>
      </c>
      <c r="C34" s="46" t="s">
        <v>36</v>
      </c>
      <c r="D34" s="46" t="s">
        <v>36</v>
      </c>
      <c r="E34" s="46" t="s">
        <v>76</v>
      </c>
      <c r="F34" s="46" t="s">
        <v>20</v>
      </c>
      <c r="G34" s="46" t="s">
        <v>144</v>
      </c>
      <c r="H34" s="46" t="s">
        <v>36</v>
      </c>
      <c r="I34" s="46" t="s">
        <v>144</v>
      </c>
      <c r="J34" s="46" t="s">
        <v>144</v>
      </c>
      <c r="K34" s="46" t="s">
        <v>36</v>
      </c>
      <c r="L34" s="46" t="s">
        <v>144</v>
      </c>
    </row>
    <row r="35" spans="1:12" x14ac:dyDescent="0.2">
      <c r="A35" s="37" t="s">
        <v>98</v>
      </c>
      <c r="B35" s="37" t="s">
        <v>99</v>
      </c>
      <c r="C35" s="46" t="s">
        <v>76</v>
      </c>
      <c r="D35" s="46" t="s">
        <v>20</v>
      </c>
      <c r="E35" s="46" t="s">
        <v>20</v>
      </c>
      <c r="F35" s="46" t="s">
        <v>20</v>
      </c>
      <c r="G35" s="46" t="s">
        <v>144</v>
      </c>
      <c r="H35" s="46" t="s">
        <v>146</v>
      </c>
      <c r="I35" s="46" t="s">
        <v>146</v>
      </c>
      <c r="J35" s="46" t="s">
        <v>145</v>
      </c>
      <c r="K35" s="46" t="s">
        <v>145</v>
      </c>
      <c r="L35" s="46" t="s">
        <v>145</v>
      </c>
    </row>
    <row r="36" spans="1:12" ht="24" x14ac:dyDescent="0.2">
      <c r="A36" s="37" t="s">
        <v>100</v>
      </c>
      <c r="B36" s="37" t="s">
        <v>101</v>
      </c>
      <c r="C36" s="46" t="s">
        <v>76</v>
      </c>
      <c r="D36" s="46" t="s">
        <v>20</v>
      </c>
      <c r="E36" s="46" t="s">
        <v>20</v>
      </c>
      <c r="F36" s="46" t="s">
        <v>20</v>
      </c>
      <c r="G36" s="46" t="s">
        <v>144</v>
      </c>
      <c r="H36" s="46" t="s">
        <v>145</v>
      </c>
      <c r="I36" s="46" t="s">
        <v>144</v>
      </c>
      <c r="J36" s="46" t="s">
        <v>145</v>
      </c>
      <c r="K36" s="46" t="s">
        <v>145</v>
      </c>
      <c r="L36" s="46" t="s">
        <v>145</v>
      </c>
    </row>
    <row r="37" spans="1:12" x14ac:dyDescent="0.2">
      <c r="A37" s="37" t="s">
        <v>102</v>
      </c>
      <c r="B37" s="37" t="s">
        <v>103</v>
      </c>
      <c r="C37" s="46" t="s">
        <v>76</v>
      </c>
      <c r="D37" s="46" t="s">
        <v>20</v>
      </c>
      <c r="E37" s="46" t="s">
        <v>20</v>
      </c>
      <c r="F37" s="46" t="s">
        <v>36</v>
      </c>
      <c r="G37" s="46" t="s">
        <v>147</v>
      </c>
      <c r="H37" s="46" t="s">
        <v>146</v>
      </c>
      <c r="I37" s="46" t="s">
        <v>146</v>
      </c>
      <c r="J37" s="46" t="s">
        <v>145</v>
      </c>
      <c r="K37" s="46" t="s">
        <v>145</v>
      </c>
      <c r="L37" s="46" t="s">
        <v>145</v>
      </c>
    </row>
    <row r="38" spans="1:12" x14ac:dyDescent="0.2">
      <c r="A38" s="37" t="s">
        <v>104</v>
      </c>
      <c r="B38" s="37" t="s">
        <v>105</v>
      </c>
      <c r="C38" s="46" t="s">
        <v>20</v>
      </c>
      <c r="D38" s="46" t="s">
        <v>20</v>
      </c>
      <c r="E38" s="46" t="s">
        <v>20</v>
      </c>
      <c r="F38" s="46" t="s">
        <v>20</v>
      </c>
      <c r="G38" s="46" t="s">
        <v>144</v>
      </c>
      <c r="H38" s="46" t="s">
        <v>144</v>
      </c>
      <c r="I38" s="46" t="s">
        <v>144</v>
      </c>
      <c r="J38" s="46" t="s">
        <v>145</v>
      </c>
      <c r="K38" s="46" t="s">
        <v>145</v>
      </c>
      <c r="L38" s="46" t="s">
        <v>145</v>
      </c>
    </row>
    <row r="39" spans="1:12" x14ac:dyDescent="0.2">
      <c r="A39" s="37" t="s">
        <v>106</v>
      </c>
      <c r="B39" s="37" t="s">
        <v>107</v>
      </c>
      <c r="C39" s="46" t="s">
        <v>20</v>
      </c>
      <c r="D39" s="46" t="s">
        <v>36</v>
      </c>
      <c r="E39" s="46" t="s">
        <v>36</v>
      </c>
      <c r="F39" s="46" t="s">
        <v>20</v>
      </c>
      <c r="G39" s="46" t="s">
        <v>144</v>
      </c>
      <c r="H39" s="46" t="s">
        <v>36</v>
      </c>
      <c r="I39" s="46" t="s">
        <v>36</v>
      </c>
      <c r="J39" s="46" t="s">
        <v>144</v>
      </c>
      <c r="K39" s="46" t="s">
        <v>36</v>
      </c>
      <c r="L39" s="46" t="s">
        <v>36</v>
      </c>
    </row>
    <row r="40" spans="1:12" ht="36" x14ac:dyDescent="0.2">
      <c r="A40" s="37" t="s">
        <v>96</v>
      </c>
      <c r="B40" s="37" t="s">
        <v>97</v>
      </c>
      <c r="C40" s="46" t="s">
        <v>20</v>
      </c>
      <c r="D40" s="46" t="s">
        <v>76</v>
      </c>
      <c r="E40" s="46" t="s">
        <v>76</v>
      </c>
      <c r="F40" s="46" t="s">
        <v>76</v>
      </c>
      <c r="G40" s="46" t="s">
        <v>144</v>
      </c>
      <c r="H40" s="46" t="s">
        <v>145</v>
      </c>
      <c r="I40" s="46" t="s">
        <v>145</v>
      </c>
      <c r="J40" s="46" t="s">
        <v>145</v>
      </c>
      <c r="K40" s="46" t="s">
        <v>145</v>
      </c>
      <c r="L40" s="46" t="s">
        <v>145</v>
      </c>
    </row>
    <row r="41" spans="1:12" x14ac:dyDescent="0.2">
      <c r="A41" s="42" t="s">
        <v>109</v>
      </c>
      <c r="B41" s="42" t="s">
        <v>148</v>
      </c>
      <c r="C41" s="47" t="s">
        <v>36</v>
      </c>
      <c r="D41" s="47" t="s">
        <v>36</v>
      </c>
      <c r="E41" s="47" t="s">
        <v>36</v>
      </c>
      <c r="F41" s="47" t="s">
        <v>76</v>
      </c>
      <c r="G41" s="47" t="s">
        <v>36</v>
      </c>
      <c r="H41" s="47" t="s">
        <v>36</v>
      </c>
      <c r="I41" s="47" t="s">
        <v>36</v>
      </c>
      <c r="J41" s="47" t="s">
        <v>36</v>
      </c>
      <c r="K41" s="47" t="s">
        <v>36</v>
      </c>
      <c r="L41" s="47" t="s">
        <v>36</v>
      </c>
    </row>
    <row r="42" spans="1:12" ht="50.45" customHeight="1" x14ac:dyDescent="0.2">
      <c r="A42" s="69" t="s">
        <v>128</v>
      </c>
      <c r="B42" s="69"/>
      <c r="C42" s="9">
        <f>COUNTIF(C4:C41,"NO")</f>
        <v>14</v>
      </c>
      <c r="D42" s="9">
        <f>COUNTIF(D4:D41,"NO")</f>
        <v>12</v>
      </c>
      <c r="E42" s="9">
        <f>COUNTIF(E4:E41,"NO")</f>
        <v>10</v>
      </c>
      <c r="F42" s="9">
        <f>COUNTIF(F4:F41,"NO")</f>
        <v>8</v>
      </c>
      <c r="G42" s="9">
        <f t="shared" ref="G42:L42" si="0">COUNTIF(G4:G41,"MORE")</f>
        <v>7</v>
      </c>
      <c r="H42" s="9">
        <f t="shared" si="0"/>
        <v>6</v>
      </c>
      <c r="I42" s="9">
        <f t="shared" si="0"/>
        <v>4</v>
      </c>
      <c r="J42" s="9">
        <f t="shared" si="0"/>
        <v>20</v>
      </c>
      <c r="K42" s="9">
        <f t="shared" si="0"/>
        <v>25</v>
      </c>
      <c r="L42" s="9">
        <f t="shared" si="0"/>
        <v>27</v>
      </c>
    </row>
    <row r="43" spans="1:12" ht="42" customHeight="1" x14ac:dyDescent="0.2">
      <c r="A43" s="69" t="s">
        <v>129</v>
      </c>
      <c r="B43" s="69"/>
      <c r="C43" s="27">
        <f>C42/38</f>
        <v>0.36842105263157893</v>
      </c>
      <c r="D43" s="27">
        <f t="shared" ref="D43:L43" si="1">D42/38</f>
        <v>0.31578947368421051</v>
      </c>
      <c r="E43" s="27">
        <f t="shared" si="1"/>
        <v>0.26315789473684209</v>
      </c>
      <c r="F43" s="27">
        <f t="shared" si="1"/>
        <v>0.21052631578947367</v>
      </c>
      <c r="G43" s="27">
        <f t="shared" si="1"/>
        <v>0.18421052631578946</v>
      </c>
      <c r="H43" s="27">
        <f t="shared" si="1"/>
        <v>0.15789473684210525</v>
      </c>
      <c r="I43" s="27">
        <f t="shared" si="1"/>
        <v>0.10526315789473684</v>
      </c>
      <c r="J43" s="27">
        <f t="shared" si="1"/>
        <v>0.52631578947368418</v>
      </c>
      <c r="K43" s="27">
        <f t="shared" si="1"/>
        <v>0.65789473684210531</v>
      </c>
      <c r="L43" s="27">
        <f t="shared" si="1"/>
        <v>0.71052631578947367</v>
      </c>
    </row>
    <row r="44" spans="1:12" x14ac:dyDescent="0.2">
      <c r="A44" s="48" t="s">
        <v>111</v>
      </c>
    </row>
    <row r="45" spans="1:12" x14ac:dyDescent="0.2">
      <c r="A45" s="48" t="s">
        <v>112</v>
      </c>
    </row>
    <row r="46" spans="1:12" x14ac:dyDescent="0.2">
      <c r="C46" s="64" t="s">
        <v>131</v>
      </c>
      <c r="D46" s="64"/>
      <c r="E46" s="64"/>
      <c r="F46" s="64"/>
      <c r="G46" s="65" t="s">
        <v>132</v>
      </c>
      <c r="H46" s="65"/>
      <c r="I46" s="65"/>
      <c r="J46" s="66" t="s">
        <v>133</v>
      </c>
      <c r="K46" s="66"/>
      <c r="L46" s="66"/>
    </row>
  </sheetData>
  <mergeCells count="8">
    <mergeCell ref="C2:F2"/>
    <mergeCell ref="G2:I2"/>
    <mergeCell ref="J2:L2"/>
    <mergeCell ref="A42:B42"/>
    <mergeCell ref="A43:B43"/>
    <mergeCell ref="C46:F46"/>
    <mergeCell ref="G46:I46"/>
    <mergeCell ref="J46:L46"/>
  </mergeCells>
  <conditionalFormatting sqref="C4:F42">
    <cfRule type="cellIs" dxfId="8" priority="12" operator="equal">
      <formula>"YES"</formula>
    </cfRule>
    <cfRule type="cellIs" dxfId="7" priority="13" operator="equal">
      <formula>"NO"</formula>
    </cfRule>
  </conditionalFormatting>
  <conditionalFormatting sqref="C4:L42">
    <cfRule type="cellIs" dxfId="6" priority="4" operator="equal">
      <formula>":"</formula>
    </cfRule>
  </conditionalFormatting>
  <conditionalFormatting sqref="G4:L4 G5:G6 I5:L6 G7:L7 G8:G9 I8:J9 L8:L9 K9 G10:L10 G11:G12 I11:J12 L11:L12 G13:L42">
    <cfRule type="cellIs" dxfId="5" priority="9" operator="equal">
      <formula>"ONE"</formula>
    </cfRule>
    <cfRule type="cellIs" dxfId="4" priority="10" operator="equal">
      <formula>"MORE"</formula>
    </cfRule>
  </conditionalFormatting>
  <conditionalFormatting sqref="G4:L42">
    <cfRule type="cellIs" dxfId="3" priority="3" operator="equal">
      <formula>"DON’T KNOW"</formula>
    </cfRule>
    <cfRule type="cellIs" dxfId="2" priority="5" operator="equal">
      <formula>"OTHER"</formula>
    </cfRule>
  </conditionalFormatting>
  <conditionalFormatting sqref="K11">
    <cfRule type="cellIs" dxfId="1" priority="1" operator="equal">
      <formula>"ONE"</formula>
    </cfRule>
    <cfRule type="cellIs" dxfId="0" priority="2" operator="equal">
      <formula>"MORE"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of contents </vt:lpstr>
      <vt:lpstr>10.6.3 Counting Unit</vt:lpstr>
      <vt:lpstr>10.6.4 Counting rules- offence</vt:lpstr>
      <vt:lpstr>10.6.5 Counting rules for pers.</vt:lpstr>
      <vt:lpstr>10.6.6 Count persons 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STURC Arsela (ESTAT-EXT)</dc:creator>
  <cp:lastModifiedBy>STURC Arsela (ESTAT-EXT)</cp:lastModifiedBy>
  <dcterms:created xsi:type="dcterms:W3CDTF">2026-04-27T14:19:04Z</dcterms:created>
  <dcterms:modified xsi:type="dcterms:W3CDTF">2026-04-29T11:52:06Z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2026-04-27T14:19:48Z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72fbf3b4-d5be-4245-ae63-589396b0d963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