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ucaa\Desktop\Master in Finance\Field Project UBS - Ticino for UHNW\"/>
    </mc:Choice>
  </mc:AlternateContent>
  <xr:revisionPtr revIDLastSave="0" documentId="11_DE4CF62393EC159D03FD82776BB781BFE8340627" xr6:coauthVersionLast="47" xr6:coauthVersionMax="47" xr10:uidLastSave="{00000000-0000-0000-0000-000000000000}"/>
  <bookViews>
    <workbookView xWindow="-110" yWindow="-110" windowWidth="19420" windowHeight="11500" tabRatio="500" activeTab="3" xr2:uid="{00000000-000D-0000-FFFF-FFFF00000000}"/>
  </bookViews>
  <sheets>
    <sheet name="Zugo" sheetId="1" r:id="rId1"/>
    <sheet name="Dubai" sheetId="2" r:id="rId2"/>
    <sheet name="Lisbona" sheetId="3" r:id="rId3"/>
    <sheet name="Modifiche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75" i="2" l="1"/>
  <c r="C72" i="2"/>
  <c r="C59" i="2"/>
  <c r="C58" i="2"/>
  <c r="C57" i="2"/>
  <c r="C54" i="2"/>
  <c r="C31" i="2"/>
  <c r="C12" i="2"/>
  <c r="C93" i="1"/>
  <c r="C86" i="1"/>
  <c r="C85" i="1"/>
  <c r="C82" i="1"/>
  <c r="C81" i="1"/>
  <c r="C78" i="1"/>
  <c r="C60" i="1"/>
  <c r="C46" i="1"/>
  <c r="C45" i="1"/>
  <c r="H33" i="1"/>
  <c r="H32" i="1"/>
  <c r="H31" i="1"/>
  <c r="C27" i="1"/>
  <c r="H18" i="1"/>
  <c r="H17" i="1"/>
  <c r="H16" i="1"/>
  <c r="C14" i="1"/>
  <c r="C12" i="1"/>
  <c r="C8" i="1"/>
  <c r="C7" i="1"/>
  <c r="C72" i="3"/>
  <c r="C61" i="3"/>
  <c r="C59" i="3"/>
  <c r="C56" i="3"/>
  <c r="C54" i="3"/>
  <c r="C38" i="3"/>
  <c r="C31" i="3"/>
  <c r="C30" i="3"/>
  <c r="C18" i="3"/>
  <c r="C12" i="3"/>
  <c r="C9" i="3"/>
  <c r="C7" i="3"/>
  <c r="C8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41" authorId="0" shapeId="0" xr:uid="{00000000-0006-0000-0000-000001000000}">
      <text>
        <r>
          <rPr>
            <sz val="10"/>
            <rFont val="Arial"/>
            <family val="2"/>
          </rPr>
          <t>Riga aggiunta (Claude 18.10.2026). Righe WGI per la Svizzera, come per Lisbona e Dubai</t>
        </r>
      </text>
    </comment>
    <comment ref="B42" authorId="0" shapeId="0" xr:uid="{00000000-0006-0000-0000-000002000000}">
      <text>
        <r>
          <rPr>
            <sz val="10"/>
            <rFont val="Arial"/>
            <family val="2"/>
          </rPr>
          <t>Riga aggiunta (Claude 18.10.2026). Righe WGI per la Svizzera, come per Lisbona e Dubai</t>
        </r>
      </text>
    </comment>
    <comment ref="B43" authorId="0" shapeId="0" xr:uid="{00000000-0006-0000-0000-000003000000}">
      <text>
        <r>
          <rPr>
            <sz val="10"/>
            <rFont val="Arial"/>
            <family val="2"/>
          </rPr>
          <t>Riga aggiunta (Claude 18.10.2026). Righe WGI per la Svizzera, come per Lisbona e Dubai</t>
        </r>
      </text>
    </comment>
    <comment ref="B44" authorId="0" shapeId="0" xr:uid="{00000000-0006-0000-0000-000004000000}">
      <text>
        <r>
          <rPr>
            <sz val="10"/>
            <rFont val="Arial"/>
            <family val="2"/>
          </rPr>
          <t>Riga aggiunta (Claude 18.10.2026). Righe WGI per la Svizzera, come per Lisbona e Dubai</t>
        </r>
      </text>
    </comment>
    <comment ref="H51" authorId="0" shapeId="0" xr:uid="{00000000-0006-0000-0000-00000C000000}">
      <text>
        <r>
          <rPr>
            <sz val="10"/>
            <rFont val="Arial"/>
            <family val="2"/>
          </rPr>
          <t>Modificato (Claude 18.10.2026). Prima: 'Zug Postplatz 2025: 3 giorni PM10 &gt; 50 µg/m³ (limite 3), 0 superamenti NO₂ (in-luft.ch). \nDati non armonizzati tra cantoni: esclusa dallo scoring'. Motivo: Confronto omogeneo con Lisbona</t>
        </r>
      </text>
    </comment>
    <comment ref="H78" authorId="0" shapeId="0" xr:uid="{00000000-0006-0000-0000-00000D000000}">
      <text>
        <r>
          <rPr>
            <sz val="10"/>
            <rFont val="Arial"/>
            <family val="2"/>
          </rPr>
          <t>Modificato (Claude 18.10.2026). Prima: "651 / 133'739 × 1'000; confrontabile tra cantoni". Motivo: Confronto omogeneo con Lisbona</t>
        </r>
      </text>
    </comment>
    <comment ref="C87" authorId="0" shapeId="0" xr:uid="{00000000-0006-0000-0000-000008000000}">
      <text>
        <r>
          <rPr>
            <sz val="10"/>
            <rFont val="Arial"/>
            <family val="2"/>
          </rPr>
          <t>Modificato (Claude 18.10.2026). Prima: 'n.d.'. Motivo: Dato Eurostat disponibile per la regione NUTS 2 che comprende Zugo</t>
        </r>
      </text>
    </comment>
    <comment ref="E87" authorId="0" shapeId="0" xr:uid="{00000000-0006-0000-0000-000009000000}">
      <text>
        <r>
          <rPr>
            <sz val="10"/>
            <rFont val="Arial"/>
            <family val="2"/>
          </rPr>
          <t>Modificato (Claude 18.10.2026). Prima: '-'. Motivo: Anno del dato Eurostat</t>
        </r>
      </text>
    </comment>
    <comment ref="F87" authorId="0" shapeId="0" xr:uid="{00000000-0006-0000-0000-00000A000000}">
      <text>
        <r>
          <rPr>
            <sz val="10"/>
            <rFont val="Arial"/>
            <family val="2"/>
          </rPr>
          <t>Modificato (Claude 18.10.2026). Prima: 'Cantone'. Motivo: Il dato non esiste per cantone; regione NUTS 2 che comprende Zugo</t>
        </r>
      </text>
    </comment>
    <comment ref="G87" authorId="0" shapeId="0" xr:uid="{00000000-0006-0000-0000-00000B000000}">
      <text>
        <r>
          <rPr>
            <sz val="10"/>
            <rFont val="Arial"/>
            <family val="2"/>
          </rPr>
          <t>Modificato (Claude 18.10.2026). Prima: '-'. Motivo: Fonte del nuovo valore</t>
        </r>
      </text>
    </comment>
    <comment ref="H87" authorId="0" shapeId="0" xr:uid="{00000000-0006-0000-0000-00000E000000}">
      <text>
        <r>
          <rPr>
            <sz val="10"/>
            <rFont val="Arial"/>
            <family val="2"/>
          </rPr>
          <t>Modificato (Claude 18.10.2026). Prima: 'Non disponibile per cantone con dati recenti (solo Atlante UST, periodi diversi per uomini/donne): esclusa dallo scoring'. Motivo: Nota per il nuovo valore</t>
        </r>
      </text>
    </comment>
    <comment ref="H91" authorId="0" shapeId="0" xr:uid="{00000000-0006-0000-0000-00000F000000}">
      <text>
        <r>
          <rPr>
            <sz val="10"/>
            <rFont val="Arial"/>
            <family val="2"/>
          </rPr>
          <t>Modificato (Claude 18.10.2026). Prima: 'Elaborazione: 34.9% università + 19.7% formazione professionale superiore; CH 40.8% (Atlante UST, 2020–22)'. Motivo: Confronto omogeneo con Lisbona</t>
        </r>
      </text>
    </comment>
    <comment ref="B101" authorId="0" shapeId="0" xr:uid="{00000000-0006-0000-0000-000005000000}">
      <text>
        <r>
          <rPr>
            <sz val="10"/>
            <rFont val="Arial"/>
            <family val="2"/>
          </rPr>
          <t>Riga aggiunta (Claude 18.10.2026). Righe UBS a livello Paese, come per Lisbona e Dubai</t>
        </r>
      </text>
    </comment>
    <comment ref="B102" authorId="0" shapeId="0" xr:uid="{00000000-0006-0000-0000-000006000000}">
      <text>
        <r>
          <rPr>
            <sz val="10"/>
            <rFont val="Arial"/>
            <family val="2"/>
          </rPr>
          <t>Riga aggiunta (Claude 18.10.2026). Righe UBS a livello Paese, come per Lisbona e Dubai</t>
        </r>
      </text>
    </comment>
    <comment ref="B103" authorId="0" shapeId="0" xr:uid="{00000000-0006-0000-0000-000007000000}">
      <text>
        <r>
          <rPr>
            <sz val="10"/>
            <rFont val="Arial"/>
            <family val="2"/>
          </rPr>
          <t>Riga aggiunta (Claude 18.10.2026). Righe UBS a livello Paese, come per Lisbona e Dubai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25" authorId="0" shapeId="0" xr:uid="{00000000-0006-0000-0100-000005000000}">
      <text>
        <r>
          <rPr>
            <sz val="10"/>
            <rFont val="Arial"/>
            <family val="2"/>
          </rPr>
          <t>Modificato (Claude 18.10.2026). Prima: 'IC 90%: 68.0–82.9; CH 92.6, PT 73.3. Basati su percezioni: non usare come criterio di rischio di investimento (Usage Advisory)'. Motivo: Righe CC e VA accorpate qui (4 WGI principali, come Zugo e Lisbona)</t>
        </r>
      </text>
    </comment>
    <comment ref="B40" authorId="0" shapeId="0" xr:uid="{00000000-0006-0000-0100-000001000000}">
      <text>
        <r>
          <rPr>
            <sz val="10"/>
            <rFont val="Arial"/>
            <family val="2"/>
          </rPr>
          <t>Modificato (Claude 18.10.2026). Prima: 'IVA or VAT (aliquota standard)'. Motivo: Titolo corretto ("IVA or VAT")</t>
        </r>
      </text>
    </comment>
    <comment ref="G57" authorId="0" shapeId="0" xr:uid="{00000000-0006-0000-0100-000002000000}">
      <text>
        <r>
          <rPr>
            <sz val="10"/>
            <rFont val="Arial"/>
            <family val="2"/>
          </rPr>
          <t>Modificato (Claude 18.10.2026). Prima: 'Elaborazione: Bayut H1 2026 + cambio Fed G.5 (giu. 2026)'. Motivo: Fonte completa (riga AED eliminata)</t>
        </r>
      </text>
    </comment>
    <comment ref="H57" authorId="0" shapeId="0" xr:uid="{00000000-0006-0000-0100-000006000000}">
      <text>
        <r>
          <rPr>
            <sz val="10"/>
            <rFont val="Arial"/>
            <family val="2"/>
          </rPr>
          <t>Modificato (Claude 18.10.2026). Prima: "≈ 4'099 CHF/mese". Motivo: Accorpata la riga in AED (solo CHF)</t>
        </r>
      </text>
    </comment>
    <comment ref="G58" authorId="0" shapeId="0" xr:uid="{00000000-0006-0000-0100-000003000000}">
      <text>
        <r>
          <rPr>
            <sz val="10"/>
            <rFont val="Arial"/>
            <family val="2"/>
          </rPr>
          <t>Modificato (Claude 18.10.2026). Prima: 'Elaborazione: Bayut H1 2026 + cambio Fed G.5 (giu. 2026)'. Motivo: Fonte completa (riga AED eliminata)</t>
        </r>
      </text>
    </comment>
    <comment ref="H58" authorId="0" shapeId="0" xr:uid="{00000000-0006-0000-0100-000007000000}">
      <text>
        <r>
          <rPr>
            <sz val="10"/>
            <rFont val="Arial"/>
            <family val="2"/>
          </rPr>
          <t>Modificato (Claude 18.10.2026). Prima: "≈ 5'151 CHF/mese". Motivo: Accorpata la riga in AED (solo CHF)</t>
        </r>
      </text>
    </comment>
    <comment ref="G59" authorId="0" shapeId="0" xr:uid="{00000000-0006-0000-0100-000004000000}">
      <text>
        <r>
          <rPr>
            <sz val="10"/>
            <rFont val="Arial"/>
            <family val="2"/>
          </rPr>
          <t>Modificato (Claude 18.10.2026). Prima: 'Elaborazione: Bayut H1 2026 + cambio Fed G.5 (giu. 2026)'. Motivo: Fonte completa (riga AED eliminata)</t>
        </r>
      </text>
    </comment>
    <comment ref="H59" authorId="0" shapeId="0" xr:uid="{00000000-0006-0000-0100-000008000000}">
      <text>
        <r>
          <rPr>
            <sz val="10"/>
            <rFont val="Arial"/>
            <family val="2"/>
          </rPr>
          <t>Modificato (Claude 18.10.2026). Prima: "≈ 2'140 CHF/mese". Motivo: Accorpata la riga in AED (solo CHF)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7" authorId="0" shapeId="0" xr:uid="{00000000-0006-0000-0200-000003000000}">
      <text>
        <r>
          <rPr>
            <sz val="10"/>
            <rFont val="Arial"/>
            <family val="2"/>
          </rPr>
          <t>Modificato (Claude 18.10.2026). Prima: 686. Motivo: Inclusi i 29 sportelli del Crédito Agrícola (cooperativa, come Raiffeisen per Zugo)</t>
        </r>
      </text>
    </comment>
    <comment ref="H7" authorId="0" shapeId="0" xr:uid="{00000000-0006-0000-0200-000009000000}">
      <text>
        <r>
          <rPr>
            <sz val="10"/>
            <rFont val="Arial"/>
            <family val="2"/>
          </rPr>
          <t>Modificato (Claude 18.10.2026). Prima: 'Banche e casse di risparmio; ultimo anno disponibile. Città di Lisbona: 349'. Motivo: Nota allineata al nuovo valore</t>
        </r>
      </text>
    </comment>
    <comment ref="C8" authorId="0" shapeId="0" xr:uid="{00000000-0006-0000-0200-000004000000}">
      <text>
        <r>
          <rPr>
            <sz val="10"/>
            <rFont val="Arial"/>
            <family val="2"/>
          </rPr>
          <t>Modificato (Claude 18.10.2026). Prima: '=C7/2415261*100000'. Motivo: Popolazione dello stesso anno del dato (2024: 2'419'228)</t>
        </r>
      </text>
    </comment>
    <comment ref="H8" authorId="0" shapeId="0" xr:uid="{00000000-0006-0000-0200-00000A000000}">
      <text>
        <r>
          <rPr>
            <sz val="10"/>
            <rFont val="Arial"/>
            <family val="2"/>
          </rPr>
          <t>Modificato (Claude 18.10.2026). Prima: '≈ 27.2 (popolazione 2025); Zugo 25.9'. Motivo: Nota allineata</t>
        </r>
      </text>
    </comment>
    <comment ref="H9" authorId="0" shapeId="0" xr:uid="{00000000-0006-0000-0200-00000B000000}">
      <text>
        <r>
          <rPr>
            <sz val="10"/>
            <rFont val="Arial"/>
            <family val="2"/>
          </rPr>
          <t>Modificato (Claude 18.10.2026). Prima: '≈ 0.47; Zugo 0.17'. Motivo: Nota allineata al nuovo valore</t>
        </r>
      </text>
    </comment>
    <comment ref="C10" authorId="0" shapeId="0" xr:uid="{00000000-0006-0000-0200-000005000000}">
      <text>
        <r>
          <rPr>
            <sz val="10"/>
            <rFont val="Arial"/>
            <family val="2"/>
          </rPr>
          <t>Modificato (Claude 18.10.2026). Prima: '=686/2419228*100000'. Motivo: Il valore era una formula sui dati PORDATA (per residenti) invece del dato FMI per 100'000 adulti</t>
        </r>
      </text>
    </comment>
    <comment ref="H10" authorId="0" shapeId="0" xr:uid="{00000000-0006-0000-0200-00000C000000}">
      <text>
        <r>
          <rPr>
            <sz val="10"/>
            <rFont val="Arial"/>
            <family val="2"/>
          </rPr>
          <t>Modificato (Claude 18.10.2026). Prima: 'Confronto tra paesi: CH 32.21 (2024), UAE 7.24 (2023)'. Motivo: Nota chiarita</t>
        </r>
      </text>
    </comment>
    <comment ref="C12" authorId="0" shapeId="0" xr:uid="{00000000-0006-0000-0200-000006000000}">
      <text>
        <r>
          <rPr>
            <sz val="10"/>
            <rFont val="Arial"/>
            <family val="2"/>
          </rPr>
          <t>Modificato (Claude 18.10.2026). Prima: '=376509/2415261*1000'. Motivo: Popolazione dello stesso anno del dato (2024)</t>
        </r>
      </text>
    </comment>
    <comment ref="H12" authorId="0" shapeId="0" xr:uid="{00000000-0006-0000-0200-00000D000000}">
      <text>
        <r>
          <rPr>
            <sz val="10"/>
            <rFont val="Arial"/>
            <family val="2"/>
          </rPr>
          <t>Modificato (Claude 18.10.2026). Prima: '≈ 155.9 (popolazione 2025); Zugo 320.5 (registro di commercio), definizioni diverse'. Motivo: Nota allineata</t>
        </r>
      </text>
    </comment>
    <comment ref="C18" authorId="0" shapeId="0" xr:uid="{00000000-0006-0000-0200-000007000000}">
      <text>
        <r>
          <rPr>
            <sz val="10"/>
            <rFont val="Arial"/>
            <family val="2"/>
          </rPr>
          <t>Modificato (Claude 18.10.2026). Prima: '=1532308/2415261*1000'. Motivo: Popolazione dello stesso anno del dato (2024)</t>
        </r>
      </text>
    </comment>
    <comment ref="H18" authorId="0" shapeId="0" xr:uid="{00000000-0006-0000-0200-00000E000000}">
      <text>
        <r>
          <rPr>
            <sz val="10"/>
            <rFont val="Arial"/>
            <family val="2"/>
          </rPr>
          <t>Modificato (Claude 18.10.2026). Prima: "≈ 634; Zugo 1'010 (tutti i settori)". Motivo: Nota allineata</t>
        </r>
      </text>
    </comment>
    <comment ref="H33" authorId="0" shapeId="0" xr:uid="{00000000-0006-0000-0200-00000F000000}">
      <text>
        <r>
          <rPr>
            <sz val="10"/>
            <rFont val="Arial"/>
            <family val="2"/>
          </rPr>
          <t>Modificato (Claude 18.10.2026). Prima: 'Solo contrati firmati nel trimestre: non è confrontabile 1:1 con Zugo (21.5 CHF/m², media di tutti gli affitti in corso, UST 2024). T1 2026: 14.38. Città di Lisbona 17.79 (+5.1% su un anno); PT 10.17 (+10.2%)'. Motivo: Refuso</t>
        </r>
      </text>
    </comment>
    <comment ref="B36" authorId="0" shapeId="0" xr:uid="{00000000-0006-0000-0200-000001000000}">
      <text>
        <r>
          <rPr>
            <sz val="10"/>
            <rFont val="Arial"/>
            <family val="2"/>
          </rPr>
          <t>Riga aggiunta (Claude 18.10.2026). Righe n.d. presenti per Zugo e Dubai, mancavano per Lisbona</t>
        </r>
      </text>
    </comment>
    <comment ref="B37" authorId="0" shapeId="0" xr:uid="{00000000-0006-0000-0200-000002000000}">
      <text>
        <r>
          <rPr>
            <sz val="10"/>
            <rFont val="Arial"/>
            <family val="2"/>
          </rPr>
          <t>Riga aggiunta (Claude 18.10.2026). Righe n.d. presenti per Zugo e Dubai, mancavano per Lisbona</t>
        </r>
      </text>
    </comment>
    <comment ref="C38" authorId="0" shapeId="0" xr:uid="{00000000-0006-0000-0200-000008000000}">
      <text>
        <r>
          <rPr>
            <sz val="10"/>
            <rFont val="Arial"/>
            <family val="2"/>
          </rPr>
          <t>Modificato (Claude 18.10.2026). Prima: '=(10000000.48-11387.17+0.025(250000-80000)+0.05*(1000000-250000))/1000000*100'. Motivo: Formula danneggiata nella copia (mancavano i segni di moltiplicazione)</t>
        </r>
      </text>
    </comment>
  </commentList>
</comments>
</file>

<file path=xl/sharedStrings.xml><?xml version="1.0" encoding="utf-8"?>
<sst xmlns="http://schemas.openxmlformats.org/spreadsheetml/2006/main" count="2010" uniqueCount="929">
  <si>
    <t>ZUGO</t>
  </si>
  <si>
    <t>TOPIC</t>
  </si>
  <si>
    <t>Dimensione</t>
  </si>
  <si>
    <t>Metrica</t>
  </si>
  <si>
    <t xml:space="preserve">Valore </t>
  </si>
  <si>
    <t>Unità</t>
  </si>
  <si>
    <t>Anno</t>
  </si>
  <si>
    <t xml:space="preserve">Livello </t>
  </si>
  <si>
    <t xml:space="preserve">Fonti </t>
  </si>
  <si>
    <t>Note</t>
  </si>
  <si>
    <t>Banking presence and density</t>
  </si>
  <si>
    <t xml:space="preserve">Sedi bancarie totali </t>
  </si>
  <si>
    <t xml:space="preserve">n. </t>
  </si>
  <si>
    <t>Cantone</t>
  </si>
  <si>
    <t>BNS – Banken in der Schweiz 2025, Geschäftsstellen (cubo BSTA@SNB.JAHR_U.STK.GST)
https://data.snb.ch/de/warehouse/BSTA/cube/BSTA@SNB.JAHR_U.STK.GST?fromDate=2025&amp;toDate=2025&amp;dimSel=KONSOLIDIERUNGSSTUFE(U),INLANDAUSLAND(ZG),GESCHAEFTSSTELLEN(T,SIT,FIL),BANKENGRUPPE(A30)</t>
  </si>
  <si>
    <t xml:space="preserve">Tutte le banche con licenza CH; livello Unternehmung
</t>
  </si>
  <si>
    <t xml:space="preserve">Banche con sede legale </t>
  </si>
  <si>
    <t xml:space="preserve">Filiali </t>
  </si>
  <si>
    <t>Sedi per 100'000 abitanti</t>
  </si>
  <si>
    <t>n. /100'k ab.</t>
  </si>
  <si>
    <t>Calcolo su SNB e UST</t>
  </si>
  <si>
    <t>Sedi per KM^2</t>
  </si>
  <si>
    <t>n./km^2</t>
  </si>
  <si>
    <t>Input</t>
  </si>
  <si>
    <t>Popolazione residente 
permanente</t>
  </si>
  <si>
    <t xml:space="preserve">ab. </t>
  </si>
  <si>
    <t>UST – Bilancio della popolazione residente permanente per cantone, 2025 (tab. T2, comunicato stampa 20.8.2026, risultati definitivi)
https://dam-api.bfs.admin.ch/hub/api/dam/assets/36680491/master</t>
  </si>
  <si>
    <t>Superficie</t>
  </si>
  <si>
    <t>km^2</t>
  </si>
  <si>
    <t>2013/18</t>
  </si>
  <si>
    <t>Zuger Kantonalbank – Der Kanton Zug in Zahlen 2025 (dati UST, Arealstatistik 2013/18)
https://www.zugerkb.ch/docs/default-source/die-zgkb/zug-in-zahlen-2025.pdf?sfvrsn=38566c8d_2</t>
  </si>
  <si>
    <t>Escl. Specchi d'acqua</t>
  </si>
  <si>
    <t>Business Presence</t>
  </si>
  <si>
    <t xml:space="preserve">Società iscritte al registro 
di commercio </t>
  </si>
  <si>
    <t>Cantone di Zugo, Handelsregister- und Konkursamt – Comunicato stampa 7.1.2026 “Das Zuger Handelsregister verzeichnet Rekordwerte”
https://zg.ch/de/news/2026/January/das-zuger-handelsregister-verzeichnet-rekordwerte</t>
  </si>
  <si>
    <t xml:space="preserve">Società per 1'000 ab. </t>
  </si>
  <si>
    <t xml:space="preserve">n./1000 ab. </t>
  </si>
  <si>
    <t xml:space="preserve">Cantone </t>
  </si>
  <si>
    <t xml:space="preserve">Calcolo su RC e UST </t>
  </si>
  <si>
    <t>Stabilimenti</t>
  </si>
  <si>
    <t>STATENT
https://www.zg.ch/behoerden/gesundheitsdirektion/statistikfachstelle/themen/betriebe-und-unternehmen</t>
  </si>
  <si>
    <t xml:space="preserve">Stabilimenti per 1000 ab. </t>
  </si>
  <si>
    <t>n./1000 ab.</t>
  </si>
  <si>
    <t>Calcolato con 133739 abitanti
del 2024</t>
  </si>
  <si>
    <t>Quota stabilimenti per settore:</t>
  </si>
  <si>
    <t>Stabilimenti 2024</t>
  </si>
  <si>
    <t xml:space="preserve">Terziario (servizi) </t>
  </si>
  <si>
    <t>n.</t>
  </si>
  <si>
    <t xml:space="preserve">Secondario (Industria e artigianato) </t>
  </si>
  <si>
    <t xml:space="preserve">Primario (agricoltura e foreste </t>
  </si>
  <si>
    <t xml:space="preserve">Imprese del settore finanziario </t>
  </si>
  <si>
    <t>2025 (Pubbl.)</t>
  </si>
  <si>
    <t>Canton Zugo, Promozione economica – Zug: Financial Cluster Factsheet (sett. 2025)
https://cdn.zg.ch/dam/jcr:fa5341a4-b5eb-4863-95f4-d95938a32cc0/Zug_Financial_Cluster.pdf</t>
  </si>
  <si>
    <t>Circa (valore arrotondato nel factsheet); riquadro Facts &amp; Figures, in basso a sinistra; stima non ufficiale</t>
  </si>
  <si>
    <t>Gestori patrimoniali 
Asset manager)</t>
  </si>
  <si>
    <t>Circa; proxy di private banking non bancario</t>
  </si>
  <si>
    <t xml:space="preserve">Società Private equity e 
venture capital </t>
  </si>
  <si>
    <t>Più di 100 ("&gt;100" nel factsheet)</t>
  </si>
  <si>
    <t>Società fintech e blockchain</t>
  </si>
  <si>
    <t>Più di 700 ("&gt;700" nel factsheet); “Crypto Valley”</t>
  </si>
  <si>
    <t xml:space="preserve">Addetti nel settore finanziario </t>
  </si>
  <si>
    <t>persone</t>
  </si>
  <si>
    <t>Circa; 7.1% degli occupati secondo il factsheet</t>
  </si>
  <si>
    <t xml:space="preserve">Quota settore finanziario sul PIL cantonale </t>
  </si>
  <si>
    <t>%</t>
  </si>
  <si>
    <t>10% del PIL cantonale secondo il factsheet</t>
  </si>
  <si>
    <t>Employment</t>
  </si>
  <si>
    <t xml:space="preserve">Addetti (posti di lavoro nel cantone) </t>
  </si>
  <si>
    <t xml:space="preserve">persone </t>
  </si>
  <si>
    <t xml:space="preserve"> STATENT 2024
https://www.zg.ch/behoerden/gesundheitsdirektion/statistikfachstelle/themen/betriebe-und-unternehmen</t>
  </si>
  <si>
    <t>Equivalenti tempo pieno (ETP)</t>
  </si>
  <si>
    <t>ETP</t>
  </si>
  <si>
    <t xml:space="preserve">Posti di lavoro per 1000 abitanti </t>
  </si>
  <si>
    <t xml:space="preserve">n./ 1000  ab. </t>
  </si>
  <si>
    <t xml:space="preserve">	Calcolo su STATENT e UST</t>
  </si>
  <si>
    <t>135'123 addetti / 133'739 abitanti (31.12.2024,
 UST tab. T2) × 1'000; più posti di lavoro che abitanti</t>
  </si>
  <si>
    <t>Tasso di occupazione 15-64</t>
  </si>
  <si>
    <t>UST – Erwerbs- und Erwerbslosenquote nach Kanton, 2024 (Strukturerhebung), T 40.02.03.02.03, pubbl. 29.1.2026
https://www.bfs.admin.ch/bfs/de/home/statistiken/kataloge-datenbanken.assetdetail.36347226.html</t>
  </si>
  <si>
    <t>Calcolato: (L15 − N15) / J15 = (71'333 − 3'257) / 87'682; CH 76.3%</t>
  </si>
  <si>
    <t>Tasso di disoccupazione (ILO) 15-64 anni</t>
  </si>
  <si>
    <t>Cella R15; ±0.7 pp (campione); CH 5.1%; definizione 
internazionale, comparabile con l’estero</t>
  </si>
  <si>
    <t>Tasso di disoccupazione registrata (SECO)</t>
  </si>
  <si>
    <t>lug. 2026</t>
  </si>
  <si>
    <t xml:space="preserve">	SECO / Canton Zugo – Arbeitsmarktstatistik des Kantons Zug, Juli 2026
https://cdn.zg.ch/dam/jcr:1ff76745-93dc-4a15-9870-a97f45dd1d6a/Arbeitsmarktstatistik%20des%20Kantons%20Zug%202026%20Juli.pdf</t>
  </si>
  <si>
    <t>Verificato anche su Swisslivingindex.ch</t>
  </si>
  <si>
    <t xml:space="preserve">Addetti terziario </t>
  </si>
  <si>
    <t xml:space="preserve">Addetti secondario </t>
  </si>
  <si>
    <t xml:space="preserve">Addetti primario </t>
  </si>
  <si>
    <t>Addetti finanza e assicurazioni (NOGA K)</t>
  </si>
  <si>
    <t>UST – STATENT 2024, Arbeitsstätten und Beschäftigte nach Kanton und Wirtschaftsabteilung (STAT-TAB px-x-0602010000_101)
https://www.pxweb.bfs.admin.ch/pxweb/de/px-x-0602010000_101/px-x-0602010000_101/px-x-0602010000_101.px/table/tableViewLayout2/</t>
  </si>
  <si>
    <t>Stability &amp; Institutions</t>
  </si>
  <si>
    <t>Tempo medio di iscrizione al registro di commercio</t>
  </si>
  <si>
    <t>Giorni lavorativi</t>
  </si>
  <si>
    <t xml:space="preserve">Risultato d'esercizio Cantone </t>
  </si>
  <si>
    <t>mio
CHF</t>
  </si>
  <si>
    <t>Canton Zugo – Comunicato 18.3.2026 “Rechnungsüberschuss dank Ausgabendisziplin und höheren Fiskalerträgen”
https://zg.ch/de/news/2026/March/rechnungsueberschuss-dank-ausgabendisziplin-und-hoeheren-fiskalertraegen</t>
  </si>
  <si>
    <t>+198 mio rispetto al budget; ≈ +3'180 CHF pro capite (pop. 135'018)</t>
  </si>
  <si>
    <t xml:space="preserve">Grado di autofinanziamento </t>
  </si>
  <si>
    <t>Indicatore standard dei conti pubblici svizzeri (HRM2):
 &gt;100% = investimenti finanziati senza nuovo debito</t>
  </si>
  <si>
    <t>Patrimonio netto (Beni finanziari - capitale di terzi)</t>
  </si>
  <si>
    <t>mrd CHF</t>
  </si>
  <si>
    <t>Elaborazione: 3.4 mrd beni finanziari − 1.1 mrd capitale di terzi (capitale proprio 3.0 mrd); ≈ 17'000 CHF pro capite, cioè debito netto negativo</t>
  </si>
  <si>
    <t>Rating di credito Cantone</t>
  </si>
  <si>
    <t>n.d.</t>
  </si>
  <si>
    <t>-</t>
  </si>
  <si>
    <t>Zuger Kantonalbank – Comunicato rating S&amp;P, 23.12.2024
https://www.zugerkb.ch/docs/default-source/medienmitteilung-pdf/medienmitteilung-zuger-kantonalbank-rating-2024.pdf?sfvrsn=83e79a8c_2</t>
  </si>
  <si>
    <t xml:space="preserve">Il Cantone non ha rating pubblico; la Zuger KB ha AA+ (S&amp;P),
 sostenuta dalla garanzia del Cantone. Esclusa dallo scoring. </t>
  </si>
  <si>
    <t xml:space="preserve">Variazioni del moltiplicatore di imposta </t>
  </si>
  <si>
    <t>2007-2026</t>
  </si>
  <si>
    <t>Canton Zugo, Fachstelle für Daten und Statistik – “Steuerfüsse Kanton und Gemeinden, seit 2007” (fonte: Steuerverwaltung)
https://www.zg.ch/behoerden/gesundheitsdirektion/statistikfachstelle/themen/oeffentliche-finanzen/steuerstatistik</t>
  </si>
  <si>
    <t>82% 2007–20; 80% 2021–23; 82% 2024–25; 78% dal 2026; mai sopra l’82%; Comune di Zugo solo riduzioni (63% → 52%)</t>
  </si>
  <si>
    <t>WGI – Political Stability and Absence of Violence</t>
  </si>
  <si>
    <t>score 0–100</t>
  </si>
  <si>
    <t>2025</t>
  </si>
  <si>
    <t>Paese (CH)</t>
  </si>
  <si>
    <t>World Bank – Worldwide Governance Indicators 2026 https://www.worldbank.org/en/publication/worldwide-governance-indicators</t>
  </si>
  <si>
    <t>PT 77.9, UAE 80.1</t>
  </si>
  <si>
    <t>WGI – Government Effectiveness</t>
  </si>
  <si>
    <t>Come sopra</t>
  </si>
  <si>
    <t>PT 73.3, UAE 75.4. Altri indicatori CH: Control of Corruption 88.1 (PT 63.6, UAE 71.3); Voice and Accountability 85.9 (PT 81.1, UAE 38.1)</t>
  </si>
  <si>
    <t>WGI – Regulatory Quality</t>
  </si>
  <si>
    <t>PT 65.1, UAE 75.7</t>
  </si>
  <si>
    <t>WGI – Rule of Law</t>
  </si>
  <si>
    <t>PT 75.9, UAE 67.6</t>
  </si>
  <si>
    <t xml:space="preserve">Quality of life </t>
  </si>
  <si>
    <t>Reati (codice penale) per 1000 abitanti</t>
  </si>
  <si>
    <t>Polizeilich registrierte Straftaten gemäss Strafgesetzbuch nach Straftat, Kanton, Ausführungsgrad, Aufklärungsgrad und Jahr
https://www.pxweb.bfs.admin.ch/pxweb/de/px-x-1903020100_101/px-x-1903020100_101/px-x-1903020100_101.px/table/tableViewLayout2/</t>
  </si>
  <si>
    <t>5'747 reati / 135'018 ab.; CH 60.8; 2024: 5'036 (+14%)</t>
  </si>
  <si>
    <t>Reati contro la vita e l'integrità fisica per 1000 abitanti</t>
  </si>
  <si>
    <t xml:space="preserve">	413 reati; CH 3.2 </t>
  </si>
  <si>
    <t>Furti con scasso per 1000 abitanti</t>
  </si>
  <si>
    <t xml:space="preserve">	397 casi; CH 3.8; 2024: 297 (+34%)</t>
  </si>
  <si>
    <t xml:space="preserve">Affitto medio mensile (abitazioni in affitto) </t>
  </si>
  <si>
    <t>CHF/mese</t>
  </si>
  <si>
    <t>UST – T 09.03.03.02 Affitto medio in franchi secondo l'epoca di costruzione e il Cantone (Rilevazione strutturale), foglio 2024, riga Zugo, © UST 2026</t>
  </si>
  <si>
    <t>±23 CHF; netto, senza spese accessorie e riscaldamento; il più alto dei 26 cantoni (ZH 1'768); CH 1'485, TI 1'245; 2014: 1'841 (+9.9%)</t>
  </si>
  <si>
    <t>Affitto medio al m² al mese</t>
  </si>
  <si>
    <t>CHF/m² al mese</t>
  </si>
  <si>
    <t>UST – T 09.03.03.05 Durchschnittlicher Mietpreis pro m² in Franken nach Zimmerzahl und Kanton (Strukturerhebung), foglio 2024, riga Zug, © BFS 2026</t>
  </si>
  <si>
    <t>±0.2; netto, senza spese accessorie; il più alto dei 26 cantoni (ZH 21.3, GE 21.1); CH 17.8, TI 14.6</t>
  </si>
  <si>
    <t>Premio medio mensile cassa, Adulti (26+)</t>
  </si>
  <si>
    <t xml:space="preserve">CHF/mese </t>
  </si>
  <si>
    <t xml:space="preserve">	UFSP – “Kantonale monatliche mittlere Prämien 2026/2027 der oblig. Krankenpflegeversicherung inkl. Wahlfranchisen und Modelle”, settembre 2026
https://cms.news.admin.ch/fileservice/sdweb-docs-prod-nsbcch-files/files/2026/09/29/f21880a8-516b-414a-8044-15f6e1c84c18.pdf</t>
  </si>
  <si>
    <t>Il più basso dei 26 cantoni; Svizzera 487.6; 2026: 311.2 (+4.4%)</t>
  </si>
  <si>
    <t>Qualità dell’aria</t>
  </si>
  <si>
    <t>~1/3 della popolazione 
in zone sopra i limiti</t>
  </si>
  <si>
    <t>in-luft.ch</t>
  </si>
  <si>
    <t>Zug Postplatz 2025: 3 giorni PM10 &gt; 50 µg/m³ (limite 3), 0 superamenti NO₂ (in-luft.ch). 
Dati non armonizzati tra cantoni: esclusa dallo scoring; EEA City air quality viewer (stessa fonte di Lisbona, valori approssimativi letti dal grafico): Zürich PM2.5 ≈ 7.6 / NO₂ ≈ 19.8 µg/m³, Lugano ≈ 9.3 / 17.2 (2024); Zugo non presente nel viewer</t>
  </si>
  <si>
    <t>Rumore</t>
  </si>
  <si>
    <t>Escluso dallo scoring: dato non disponibile o non armonizzato tra cantoni</t>
  </si>
  <si>
    <t xml:space="preserve">Quota di bosco sulla superficie </t>
  </si>
  <si>
    <t>2013/2018</t>
  </si>
  <si>
    <t xml:space="preserve">	Zuger Kantonalbank – Der Kanton Zug in Zahlen 2025 (dati UST, Arealstatistik 2013/18)
https://www.zugerkb.ch/docs/default-source/die-zgkb/zug-in-zahlen-2025.pdf?sfvrsn=38566c8d_2</t>
  </si>
  <si>
    <t>Superficie senza laghi; insediamento 17.1%, agricoltura 49.2%</t>
  </si>
  <si>
    <t xml:space="preserve">Accesso ai servizi </t>
  </si>
  <si>
    <t xml:space="preserve">Taxation and relocation: 
reddito e sostanza </t>
  </si>
  <si>
    <t>Aliquota effettiva imposta sul reddito
 (reddito imponibile CHF 1 mio)</t>
  </si>
  <si>
    <t>Comune
Capoluogo 
Zugo</t>
  </si>
  <si>
    <t>AFC/ESTV – Calcolatore fiscale ufficiale
https://swisstaxcalculator.estv.admin.ch/#/calculator/income-wealth-tax</t>
  </si>
  <si>
    <t>Persona sola, senza confessione; federale + cantonale + comunale; 2025: 22.0%</t>
  </si>
  <si>
    <t xml:space="preserve">Taxation and relocation:
 reddito e sostanza </t>
  </si>
  <si>
    <t>Aliquota effettiva imposta sulla sostanza 
(sostanza imponibile CHF 10 mio)</t>
  </si>
  <si>
    <t>Solo cantonale + comunale (non c’è imposta federale sulla sostanza); 2025: 0.219%</t>
  </si>
  <si>
    <t xml:space="preserve">Moltiplicatore d'imposta cantonale </t>
  </si>
  <si>
    <t>Canton Zugo, Fachstelle für Daten und Statistik – “Steuerfüsse Kanton und Gemeinden, seit 2007”
https://www.zg.ch/behoerden/gesundheitsdirektion/statistikfachstelle/themen/oeffentliche-finanzen/steuerstatistik?ebene=e01&amp;kennzahl=k01</t>
  </si>
  <si>
    <t>Taxation and relocation:
 Forfait</t>
  </si>
  <si>
    <t>Contribuenti tassati secondo il dispendio (forfait)</t>
  </si>
  <si>
    <t xml:space="preserve">Canton Zugo, Fachstelle für Daten und Statistik – “Aufwandbesteuerte seit 2005”
https://www.zg.ch/behoerden/gesundheitsdirektion/statistikfachstelle/themen/oeffentliche-finanzen/steuerstatistik?ebene=e01&amp;kennzahl=k01
</t>
  </si>
  <si>
    <t>Contribuenti al 31.12; 2015: 115; 2020: 146; in crescita</t>
  </si>
  <si>
    <t>Taxation and relocation:
Forfait</t>
  </si>
  <si>
    <t>Gettito da forfait</t>
  </si>
  <si>
    <t>Canton Zugo, Fachstelle für Daten und Statistik – “Aufwandbesteuerte seit 2005”
https://www.zg.ch/behoerden/gesundheitsdirektion/statistikfachstelle/themen/oeffentliche-finanzen/steuerstatistik?ebene=e01&amp;kennzahl=k01</t>
  </si>
  <si>
    <t>Cantonale + comunale 23.5 mio, federale 18.9 mio</t>
  </si>
  <si>
    <t>Imposta media per contribuente forfait</t>
  </si>
  <si>
    <t>CHF</t>
  </si>
  <si>
    <t xml:space="preserve">	Gettito / contribuenti; 2015: 197'391</t>
  </si>
  <si>
    <t xml:space="preserve">Base imponibile minima del forfait (reddito) </t>
  </si>
  <si>
    <t>Canton Zugo – Verordnung zum Steuergesetz (BGS 632.11), § 4 cpv. 2
https://zg.lexwork.naz.ch/de/dta/632.11.pdf</t>
  </si>
  <si>
    <t>In alternativa almeno 7 × affitto annuo (§ 14 cpv. 3 StG); sostanza minima 20 × base = CHF 10 mio (§ 14 cpv. 4 StG)</t>
  </si>
  <si>
    <t>Taxation and relocation:
Successioni e donazioni</t>
  </si>
  <si>
    <t>Imposta di successione/donazione per coniuge e discendenti</t>
  </si>
  <si>
    <t>0 (esenti)</t>
  </si>
  <si>
    <t>Canton Zugo – Steuergesetz (BGS 632.1), § 175 cpv. 1, Stand 1.1.2026
https://zg.lexwork.naz.ch/de/dta/632.1.pdf</t>
  </si>
  <si>
    <t>Esenti anche partner, figliastri, genitori e genitori acquisiti</t>
  </si>
  <si>
    <t>Aliquota massima di successione (non parenti)</t>
  </si>
  <si>
    <t>Canton Zugo – Steuergesetz (BGS 632.1), § 180, Stand 1.1.2026
https://zg.lexwork.naz.ch/de/dta/632.1.pdf</t>
  </si>
  <si>
    <t>Progressiva 10–20%; ridotta per parentela: fratelli max 8%, nipoti max 12%</t>
  </si>
  <si>
    <t>Taxation and relocation:
Requisiti residenza</t>
  </si>
  <si>
    <t>Residenza per cittadini UE/AELS senza attività lucrativa</t>
  </si>
  <si>
    <t>Permesso B con mezzi sufficienti +
 assicurazione malattie</t>
  </si>
  <si>
    <t>Svizzera (federale)</t>
  </si>
  <si>
    <t>Accordo sulla libera circolazione (ALC), Allegato I art. 24
https://www.fedlex.admin.ch/eli/cc/2002/243/it</t>
  </si>
  <si>
    <t>Uguale in tutti i cantoni</t>
  </si>
  <si>
    <t>Residenza per cittadini di Paesi terzi (via fiscale)</t>
  </si>
  <si>
    <t>Possibile per “importanti interessi fiscali cantonali”</t>
  </si>
  <si>
    <t>Svizzera (federale)
 + prassi cantonale</t>
  </si>
  <si>
    <t>LStrI (RS 142.20) art. 30 cpv. 1 lett. b; OASA (RS 142.201) art. 32 cpv. 1 lett. C
https://www.fedlex.admin.ch/eli/cc/2007/759/it</t>
  </si>
  <si>
    <t>Richiede approvazione SEM; soglia d’imposta di Zugo non pubblicata</t>
  </si>
  <si>
    <t>Permessi per interesse fiscale rilasciati da Zugo</t>
  </si>
  <si>
    <t>2011-2015</t>
  </si>
  <si>
    <t>Canton Zugo, Consiglio di Stato – Risposta all’interrogazione 2662.1, 6.9.2016
https://kr-geschaefte.zug.ch/dokumente/6042/2662-1-15262_Sonderbewilligung.pdf</t>
  </si>
  <si>
    <t xml:space="preserve">Tutti a cittadini russi; dato datato, solo informativo.
</t>
  </si>
  <si>
    <t xml:space="preserve">Real Estate </t>
  </si>
  <si>
    <t xml:space="preserve">Tasso di abitazioni sfitte </t>
  </si>
  <si>
    <t>UST – Conteggio delle abitazioni vuote al 1.6.2026, comunicato del 10.9.2026
https://www.admin.ch/de/newnsb/kgvqAd91MYZr</t>
  </si>
  <si>
    <t>Il più basso dei 26 cantoni; Svizzera 0.93% (2025: 1.00%)</t>
  </si>
  <si>
    <t xml:space="preserve">Prezzo richiesto case </t>
  </si>
  <si>
    <t>CHF/m²</t>
  </si>
  <si>
    <t>ott. 2026</t>
  </si>
  <si>
    <t>Homegate (SMG) – Real estate prices Canton of Zug
https://www.homegate.ch/en/property-prices-m2/canton-zug</t>
  </si>
  <si>
    <t>Prezzi d’offerta (annunci 12 mesi), non transazioni; +15.6% in 4 anni</t>
  </si>
  <si>
    <t>Crescita prezzi appartamenti in proprietà (+)</t>
  </si>
  <si>
    <t>2025/2026</t>
  </si>
  <si>
    <t>Bilanz/Handelszeitung, 30.9.2026 – intervista Zuger Kantonalbank
https://www.bilanz.ch/partner-insights/wie-sich-die-immobilienpreise-in-zug-entwickeln/g6ex5er</t>
  </si>
  <si>
    <t>Contenuto partner; tempo di vendita &lt; 40 giorni (il più rapido in CH)</t>
  </si>
  <si>
    <t>Prezzo di transazione mediano, appartamenti in proprietà</t>
  </si>
  <si>
    <t>da richiedere a UBS</t>
  </si>
  <si>
    <t>Valore provvisorio da annunci: Neho ~18'500 CHF/m² (set. 2026)</t>
  </si>
  <si>
    <t>Prezzo di transazione, segmento di lusso
 (case/appartamenti di pregio)</t>
  </si>
  <si>
    <t>Definire la soglia di “lusso” con UBS (es. top 10% dei prezzi o &gt; CHF 5 mio)</t>
  </si>
  <si>
    <t>Acquisto abitazione principale da parte di stranieri residenti</t>
  </si>
  <si>
    <t>Libero (senza autorizzazione)</t>
  </si>
  <si>
    <t xml:space="preserve"> -  </t>
  </si>
  <si>
    <t>Svizzera (Federale)</t>
  </si>
  <si>
    <t>LAFE (RS 211.412.41), art. 2 cpv. 2 lett. b e art. 5
https://www.fedlex.admin.ch/eli/cc/1984/1148_1148_1148/it</t>
  </si>
  <si>
    <t>UE/AELS residenti e Paesi terzi con permesso C: come gli svizzeri. Paesi terzi con permesso B:
 solo 1 abitazione principale per uso proprio</t>
  </si>
  <si>
    <t>Acquisto residenze secondarie/di vacanza da parte di non residenti</t>
  </si>
  <si>
    <t xml:space="preserve">Non previsto a Zugo </t>
  </si>
  <si>
    <t xml:space="preserve"> - </t>
  </si>
  <si>
    <t>Canton Zugo - Einführungsgesetz zum BewG (BGS 215.11)</t>
  </si>
  <si>
    <t>La legge cantonale ammette solo l’abitazione principale (§ 3); nessuna località turistica né contingente. 
Autorità: Volkswirtschaftsdirektion</t>
  </si>
  <si>
    <t>Acquisto immobili commerciali da parte di stranieri</t>
  </si>
  <si>
    <t xml:space="preserve">Libero </t>
  </si>
  <si>
    <t>LAFE, art. 2 cpv. 2 lett. a</t>
  </si>
  <si>
    <t>Uffici, negozi, sedi aziendali</t>
  </si>
  <si>
    <t>Population and migration</t>
  </si>
  <si>
    <t>Popolazione residente permanente</t>
  </si>
  <si>
    <t>Canton Zugo, Fachstelle für Daten und Statistik – Bevölkerungsstand (fonte UST)
https://www.zg.ch/behoerden/gesundheitsdirektion/statistikfachstelle/themen/01bevoelkerungszahlen/bevoelkerungsstand</t>
  </si>
  <si>
    <t>+0.96% sul 2024; +76.8% dal 1981</t>
  </si>
  <si>
    <t xml:space="preserve">Quota stranieri </t>
  </si>
  <si>
    <t>41'347 persone; +0.1 pp sul 2024</t>
  </si>
  <si>
    <t>Saldo migratorio (+)</t>
  </si>
  <si>
    <t>Persone</t>
  </si>
  <si>
    <t>Canton Zugo, Fachstelle für Daten und Statistik – Bevölkerungsstand (fonte UST) + UST tab.T2
https://www.zg.ch/behoerden/gesundheitsdirektion/statistikfachstelle/themen/01bevoelkerungszahlen/bevoelkerungsstand</t>
  </si>
  <si>
    <t>Arrivi 6'548, partenze 5'553; estero +651, intercantonale +344</t>
  </si>
  <si>
    <t>Saldo migratorio internazionale per 1'000 ab.</t>
  </si>
  <si>
    <t>‰</t>
  </si>
  <si>
    <t xml:space="preserve">	UST tab. T2
https://dam-api.bfs.admin.ch/hub/api/dam/assets/36680491/master</t>
  </si>
  <si>
    <t>651 / 133'739 × 1'000; confrontabile tra cantoni; Eurostat demo_r_gind3: saldo totale Zug 934 (2024) ≈ 7.0‰, Ticino ≈ 6.4‰, Grande Lisboa ≈ 23.6‰</t>
  </si>
  <si>
    <t>Prime nazionalità straniere</t>
  </si>
  <si>
    <t>DE 16.7%, IT 9.3%, UK 5.3%, USA 1.6%</t>
  </si>
  <si>
    <t xml:space="preserve">% stranieri </t>
  </si>
  <si>
    <t>Kanton Zug, Fachstelle für Daten und Statistik – Bevölkerungsstand (dati UST 2025)
https://www.zg.ch/behoerden/gesundheitsdirektion/statistikfachstelle/themen/01bevoelkerungszahlen/bevoelkerungsstand</t>
  </si>
  <si>
    <t>Europa 83.0%, Asia 8.9%</t>
  </si>
  <si>
    <t xml:space="preserve">Healthcare </t>
  </si>
  <si>
    <t>Medici in attività (totale)</t>
  </si>
  <si>
    <t>FMH – Berufstätige Ärzteschaft nach Kanton und Sektor 2025
https://www.fmh.ch/files/pdf33/1b.-berufstaetige-aerzteschaft-nach-kanton-und-sektor.pdf</t>
  </si>
  <si>
    <t>353 in studi, 186 in ospedali, 16 altro; stato 31.12.2025</t>
  </si>
  <si>
    <t xml:space="preserve">Densità medici </t>
  </si>
  <si>
    <t xml:space="preserve">per 1000 ab. </t>
  </si>
  <si>
    <t>FMH (come sopra) + UST popolazione 2025</t>
  </si>
  <si>
    <t>Elaborazione: 555 / 135'018 × 1'000</t>
  </si>
  <si>
    <t>Densità medici negli studi</t>
  </si>
  <si>
    <t>353 / 135'018 × 1'000; misura l’accesso alle cure di base</t>
  </si>
  <si>
    <t>Ospedali e cliniche nel cantone</t>
  </si>
  <si>
    <t>Kanton Zug – Fünf Spitäler und Kliniken im Kanton Zug
https://zg.ch/de/gesundheit/spitaeler-und-kliniken/fuenf-spitaeler-und-kliniken-im-kanton-zug</t>
  </si>
  <si>
    <t>UST 2024 (px-x-1404010100_102): Anzahl Spitäler = 5, 11 sedi (5 con ricovero). 2 per acuti, 2 psichiatriche, 1 di riabilitazione</t>
  </si>
  <si>
    <t>Letti ospedalieri (totale)</t>
  </si>
  <si>
    <t>letti</t>
  </si>
  <si>
    <t>UST – Angebot der Krankenhäuser nach Grossregion, Kanton und Betriebstyp 2024 (px-x-1404010100_102), Zug, Spitäler - Total
https://www.pxweb.bfs.admin.ch/pxweb/de/px-x-1404010100_102/px-x-1404010100_102/px-x-1404010100_102.px</t>
  </si>
  <si>
    <t xml:space="preserve">	Acuti 211, psichiatria 220, riabilitazione 137</t>
  </si>
  <si>
    <t>Letti ospedalieri per 1'000 ab.</t>
  </si>
  <si>
    <t>per 1'000 ab.</t>
  </si>
  <si>
    <t>Elaborazione: 568 / 133'739 × 1'000</t>
  </si>
  <si>
    <t>Letti per acuti per 1'000 ab.</t>
  </si>
  <si>
    <t>211 / 133'739 × 1'000</t>
  </si>
  <si>
    <t>Speranza di vita alla nascita</t>
  </si>
  <si>
    <t>anni</t>
  </si>
  <si>
    <t>2024</t>
  </si>
  <si>
    <t>Zentralschweiz (NUTS 2)</t>
  </si>
  <si>
    <t>Eurostat – Life expectancy by age, sex and NUTS 2 region [demo_r_mlifexp], agg. 1.6.2026 https://ec.europa.eu/eurostat/databrowser/view/demo_r_mlifexp/default/table?lang=en</t>
  </si>
  <si>
    <t>Totale uomini e donne. Valore della regione NUTS 2 (LU, UR, SZ, OW, NW, ZG), non del solo cantone. Stessa fonte: Ticino 85.2, CH 84.2, Grande Lisboa 82.9 (2024)</t>
  </si>
  <si>
    <t xml:space="preserve">Education </t>
  </si>
  <si>
    <t>Scuole private riconosciute (Scuola dell'obbligo)</t>
  </si>
  <si>
    <t>Kanton Zug – Anerkannte Privatschulen im Kanton Zug (Stand 23.09.2026)
https://zg.ch/de/bildung/schulen/spezielle-weitere-schulen/anerkannte-privatschulen</t>
  </si>
  <si>
    <t>ISZL contata con 2 campus; 4 solo in inglese, 10 bilingui tedesco/inglese, 4 solo in tedesco</t>
  </si>
  <si>
    <t>Scuole private in lingua inglese o bilingue</t>
  </si>
  <si>
    <t xml:space="preserve"> </t>
  </si>
  <si>
    <t xml:space="preserve">	Scuole internazionali con percorso completo fino al diploma
 (12ª classe)</t>
  </si>
  <si>
    <t>ISZL (IB, AP), Institut Montana (IB, IGCSE, maturità svizzera), ISCS (Cambridge);
 12ª classe = ultimo anno delle superiori, accesso all’università</t>
  </si>
  <si>
    <t>Education</t>
  </si>
  <si>
    <t>Popolazione con formazione terziaria</t>
  </si>
  <si>
    <t>% pop. 25+</t>
  </si>
  <si>
    <t>Kanton Zug – Zug in Zahlen 2025, pag. 10 (fonte UST, Strukturerhebung)
https://www.zg.ch/behoerden/gesundheitsdirektion/statistikfachstelle/themen/zug-in-zahlen/downloads/zug_in_zahlen_2025.pdf</t>
  </si>
  <si>
    <t>Elaborazione: 34.9% università + 19.7% formazione professionale superiore; CH 40.8% (Atlante UST, 2020–22); Eurostat edat_lfse_04 (25–64 anni, 2025): Zentralschweiz 46.4%, Ticino 42.6%, Grande Lisboa 43.3%</t>
  </si>
  <si>
    <t>Università (in senso stretto) con sede nel cantone</t>
  </si>
  <si>
    <t>2024/25</t>
  </si>
  <si>
    <t>Kanton Zug – Zug in Zahlen 2025, pag. 10 (fonte UST, SHIS)
https://www.zg.ch/behoerden/gesundheitsdirektion/statistikfachstelle/themen/zug-in-zahlen/downloads/zug_in_zahlen_2025.pdf</t>
  </si>
  <si>
    <t>Presenti solo 2 scuole universitarie professionali: HSLU Campus Rotkreuz (Informatica + IFZ) e PH Zug. Il 43.7% degli studenti residenti studia a Zurigo (UZH, ETH, ZFH). Da usare con cautela: penalizza Zugo per la vicinanza a Zurigo</t>
  </si>
  <si>
    <t>Wealth</t>
  </si>
  <si>
    <t>Sostanza netta media per contribuente</t>
  </si>
  <si>
    <t>ESTV – Vermögenssteuerstatistik der natürlichen Personen 2022, foglio 1.1 (J16/D16)
https://www.estv.admin.ch/de/gesamtschweizerische-vermoegenssteuerstatistik</t>
  </si>
  <si>
    <t>Solo residenti (unbeschränkt): 92'038'809'059 / 75'707; CH 441'249, TI 378'571, 
per contribuente (coppie sposate = 1 contribuente)</t>
  </si>
  <si>
    <t>Contribuenti con sostanza &gt; 1 mio CHF</t>
  </si>
  <si>
    <t>% contribuenti</t>
  </si>
  <si>
    <t>ESTV – Vermögenssteuerstatistik NP 2022, foglio 1.2 (U16+X16+AA16+AD16+AG16)
https://www.estv.admin.ch/de/gesamtschweizerische-vermoegenssteuerstatistik</t>
  </si>
  <si>
    <t>11'810 su 75'707 residenti; CH 7.2%, TI 6.3%</t>
  </si>
  <si>
    <t>Contribuenti con sostanza &gt; 10 mio CHF</t>
  </si>
  <si>
    <t>ESTV – Vermögenssteuerstatistik NP 2022, foglio 1.2 (AG16)
https://www.estv.admin.ch/de/gesamtschweizerische-vermoegenssteuerstatistik</t>
  </si>
  <si>
    <t>1'260 contribuenti (proxy UHNW) = 6.2% di tutti i &gt; 10 mio in CH; CH 0.39%, TI 0.42%</t>
  </si>
  <si>
    <t>Quota sulla sostanza totale svizzera</t>
  </si>
  <si>
    <t>ESTV – Vermögenssteuerstatistik NP 2022, foglio 1.1 (K16)
https://www.estv.admin.ch/de/gesamtschweizerische-vermoegenssteuerstatistik</t>
  </si>
  <si>
    <t>Solo residenti; Zugo ha l'1.46% dei contribuenti residenti svizzeri (E16) → 2.75 volte la sua quota; TI 3.61%</t>
  </si>
  <si>
    <t>Quota del patrimonio detenuta dai contribuenti con oltre 10 mio</t>
  </si>
  <si>
    <t>ESTV – Vermögenssteuerstatistik NP 2022, fogli 1.3 e 1.1 ('1.3'!AG16 / '1.1'!J16)
https://www.estv.admin.ch/de/gesamtschweizerische-vermoegenssteuerstatistik</t>
  </si>
  <si>
    <t>52.7 mrd / 92.0 mrd (residenti); detenuta dall’1.66% dei contribuenti; CH 36.6%, TI 33.5%</t>
  </si>
  <si>
    <t>Ricchezza media per adulto</t>
  </si>
  <si>
    <t>USD</t>
  </si>
  <si>
    <t>Paese</t>
  </si>
  <si>
    <t>UBS Global Wealth Report 2026 (comunicato 30.6.2026)
https://www.ubs.com/global/en/media/display-page-ndp/en-20260630-gwr-2026.html</t>
  </si>
  <si>
    <t>1° al mondo; UAE 157'612, PT 195'761; solo per il confronto internazionale</t>
  </si>
  <si>
    <t>Ricchezza mediana per adulto</t>
  </si>
  <si>
    <t>8° al mondo; PT 76'978; UAE n.d.</t>
  </si>
  <si>
    <t>Centimilionari residenti (&gt; 100 mio USD liquidi)</t>
  </si>
  <si>
    <t>Henley &amp; Partners – World’s Wealthiest Cities Report 2025, “Centi Cities”
https://www.henleyglobal.com/publications/wealthiest-cities-2025/centi-millionaire-hotspots</t>
  </si>
  <si>
    <t>Fonte privata (stime New World Wealth), solo indicativa. “Zug (canton)”, High growth; Lugano (città) 40, Lisbona 45, Dubai 237</t>
  </si>
  <si>
    <t>Milionari (in USD)</t>
  </si>
  <si>
    <t>UBS Global Wealth Report 2026 (comunicato 30.6.2026) https://www.ubs.com/global/en/media/display-page-ndp/en-20260630-gwr-2026.html</t>
  </si>
  <si>
    <t>PDF p. 22. PT 181'000, UAE 183'000</t>
  </si>
  <si>
    <t>Adulti con patrimonio tra 5 e 100 mio USD</t>
  </si>
  <si>
    <t>PDF p. 32. Proxy degli UHNW; UAE 21'000; PT non in tabella</t>
  </si>
  <si>
    <t>Indice di Gini della ricchezza</t>
  </si>
  <si>
    <t>indice 0–1</t>
  </si>
  <si>
    <t>PDF p. 28. PT 0.61, UAE 0.82</t>
  </si>
  <si>
    <t>DUBAI</t>
  </si>
  <si>
    <t>Popolazione residente</t>
  </si>
  <si>
    <t>ab.</t>
  </si>
  <si>
    <t>Emirato
Dubai</t>
  </si>
  <si>
    <t>Digital Dubai / Dubai Data and Statistics Establishment – annuncio 30.7.2026 (riportato da Gulf News)
https://gulfnews.com/uae/biggest-jump-how-dubais-population-crosses-458m-1.500625403</t>
  </si>
  <si>
    <t>Fine 2025; 2024: 4'248'000 (+7.5%); popolazione diurna 6.392 mio; censimento digitale su registri, non da indagine</t>
  </si>
  <si>
    <t>km²</t>
  </si>
  <si>
    <t>–</t>
  </si>
  <si>
    <t>Government of Dubai Media Office – Geographic location &amp; climate
https://mediaoffice.ae/general-information/geographic-location-climate</t>
  </si>
  <si>
    <t>5% della superficie UAE; non specifica se include le isole artificiali</t>
  </si>
  <si>
    <t>Sportelli bancari commerciali per 100'000 adulti</t>
  </si>
  <si>
    <t>n./100'000 adulti</t>
  </si>
  <si>
    <t>Paese (UAE)</t>
  </si>
  <si>
    <t>FMI – Financial Access Survey, via FRED (serie AREFCBODCANUM) 
https://fred.stlouisfed.org/series/AREFCBODCANUM</t>
  </si>
  <si>
    <t>Ultimo anno disponibile; 2018: 11.55 (in calo, digitalizzazione). CH 32.21, PT 28.34 (2024). Dato per emirato non accessibile: Tabella 49 del bollettino CBUAE bloccata dall’estero</t>
  </si>
  <si>
    <t>Banche e istituti dei mercati dei capitali nel DIFC</t>
  </si>
  <si>
    <t>Dubai – solo DIFC</t>
  </si>
  <si>
    <t>DIFC – Annual results 2025, comunicato 5.2.2026
 https://www.difc.com/whats-on/news/dubai-international-financial-centre-announces-landmark-annual-results-for-2025</t>
  </si>
  <si>
    <t>“Più di 290”; banche e capital markets insieme; sottoinsieme di Dubai (esclude le banche onshore), valore minimo</t>
  </si>
  <si>
    <t>Wealth &amp; asset manager nel DIFC</t>
  </si>
  <si>
    <t>“Più di 500”; di cui 102 hedge fund</t>
  </si>
  <si>
    <t>Entità legate a famiglie (family office) nel DIFC</t>
  </si>
  <si>
    <t>DIFC – Annual results 2025, comunicato 5.2.2026 
https://www.difc.com/whats-on/news/dubai-international-financial-centre-announces-landmark-annual-results-for-2025</t>
  </si>
  <si>
    <t>Più 1'115 fondazioni di famiglia; indicatore diretto di presenza UHNW</t>
  </si>
  <si>
    <t>Società finanziarie regolamentate (DFSA) nel DIFC</t>
  </si>
  <si>
    <t>Vigilate dalla DFSA, non dalla Banca centrale UAE</t>
  </si>
  <si>
    <t>Aziende attive iscritte alla Camera di commercio di Dubai</t>
  </si>
  <si>
    <t>Emirato di Dubai</t>
  </si>
  <si>
    <t>Government of Dubai Media Office – 
comunicato Dubai Chamber of Commerce, 14.1.2026 https://www.mediaoffice.ae/en/news/2026/january/14-01/dubai-chambers-of-commerce-for-the-first-time</t>
  </si>
  <si>
    <t>2024: 258'318 (+13.2%); copre soprattutto le aziende “mainland”, le zone franche solo in parte</t>
  </si>
  <si>
    <t>Aziende per 1'000 ab.</t>
  </si>
  <si>
    <t>Calcolo su Dubai Chamber e Digital Dubai</t>
  </si>
  <si>
    <t>≈ 63.9; Zugo 320.5 (registro di commercio)</t>
  </si>
  <si>
    <t>Nuove aziende iscritte nell’anno</t>
  </si>
  <si>
    <t>Indicatore di dinamismo</t>
  </si>
  <si>
    <t>Società attive nel DIFC</t>
  </si>
  <si>
    <t>2'525 nuove registrazioni nel 2025 (+39%)</t>
  </si>
  <si>
    <t>Tasso di disoccupazione</t>
  </si>
  <si>
    <t>Central Bank of the UAE, via Trading Economics https://tradingeconomics.com/united-arab-emirates/unemployment-rate/forecast</t>
  </si>
  <si>
    <t>2024: 2.16%. Indagine FCSC 2024: 1.9% (metodo diverso). Dato di Dubai non pubblicato. Basso per ragioni strutturali (permesso legato al lavoro)</t>
  </si>
  <si>
    <t>Tasso di partecipazione alle forze di lavoro (15+)</t>
  </si>
  <si>
    <t>FCSC – Labour Force Survey 2024
 (via Gulf News, 16.10.2025) https://gulfnews.com/uae/government/uae-among-worlds-lowest-in-unemployment-as-labour-force-hits-record-94-million-1.500309490</t>
  </si>
  <si>
    <t>2023: 78.5%; fascia 15+ senza limite superiore (Zugo: 15–64)</t>
  </si>
  <si>
    <t>Occupati</t>
  </si>
  <si>
    <t>FCSC – Labour Force Survey 2024 (via Gulf News, 16.10.2025)
 https://gulfnews.com/uae/government/uae-among-worlds-lowest-in-unemployment-as-labour-force-hits-record-94-million-1.500309490</t>
  </si>
  <si>
    <t>Forze di lavoro 9.4 mio</t>
  </si>
  <si>
    <t>Crescita della forza lavoro nel settore privato</t>
  </si>
  <si>
    <t>MoHRE – UAE Labour Market Observatory (aggiornato 22.7.2026)
 https://observatory.mohre.gov.ae/en</t>
  </si>
  <si>
    <t>1° sem. 2026: +2.2%; solo settore privato</t>
  </si>
  <si>
    <t>Addetti nei servizi finanziari nel DIFC</t>
  </si>
  <si>
    <t>4'122 nuovi posti nel 2025; Zugo: ~10'000 addetti finanza (NOGA K)</t>
  </si>
  <si>
    <t>Entrate previste del governo</t>
  </si>
  <si>
    <t>mrd AED</t>
  </si>
  <si>
    <t>Government of Dubai Media Office – Budget 2026–2028, 23.11.2025
 https://mediaoffice.ae/en/news/2025/november/23-11/mohammed-bin-rashid-approves-dubai-governments-general-budget-cycle-for-2026-2028</t>
  </si>
  <si>
    <t>Bilancio di previsione (Zugo: consuntivo); include 5 mrd di riserve; spese previste 99.5 mrd</t>
  </si>
  <si>
    <t>Avanzo operativo previsto</t>
  </si>
  <si>
    <t>% entrate</t>
  </si>
  <si>
    <t>idem</t>
  </si>
  <si>
    <t>Fino al 5% del PIL dell’emirato; ciclo 2026–28: entrate 329.2 mrd, spese 302.7 mrd; consuntivi non pubblicati</t>
  </si>
  <si>
    <t>Rating di credito dell’emirato</t>
  </si>
  <si>
    <t>Nessun rating pubblico del governo di Dubai trovato</t>
  </si>
  <si>
    <t>Rating di credito sovrano</t>
  </si>
  <si>
    <t>Aa2 / AA</t>
  </si>
  <si>
    <t>Ministero delle finanze UAE 
https://mof.gov.ae/en/news/uae-aa2-rating-with-stable-outlook-unchanged-following-moodys-ratings-periodic-review/</t>
  </si>
  <si>
    <t>Moody’s Aa2 stabile (30.3.2026); S&amp;P AA stabile (6.3.2026)</t>
  </si>
  <si>
    <t>Tempo medio di registrazione di un’azienda</t>
  </si>
  <si>
    <t>Nessun dato ufficiale confrontabile (“licenze istantanee” DET, senza tempo medio)</t>
  </si>
  <si>
    <t>World Bank – Worldwide Governance Indicators, 2026 Update, foglio “ge” 
https://www.worldbank.org/en/publication/worldwide-governance-indicators</t>
  </si>
  <si>
    <t>IC 90%: 68.0–82.9; CH 92.6, PT 73.3. Basati su percezioni: non usare come criterio di rischio di investimento (Usage Advisory); Altri indicatori UAE: Control of Corruption 71.3 (IC 65.8–76.7; CH 88.1, PT 63.6); Voice and Accountability 38.1 (IC 33.4–42.8; CH 85.9, PT 81.1)</t>
  </si>
  <si>
    <t>idem, foglio “rq”</t>
  </si>
  <si>
    <t>IC 90%: 70.1–81.3; CH 84.5, PT 65.1</t>
  </si>
  <si>
    <t>idem, foglio “rl”</t>
  </si>
  <si>
    <t>IC 90%: 63.4–71.8; CH 87.3, PT 75.9</t>
  </si>
  <si>
    <t>WGI – Political Stability</t>
  </si>
  <si>
    <t>idem, foglio “pv”</t>
  </si>
  <si>
    <t>IC 90%: 73.0–87.1; CH 85.2, PT 77.9</t>
  </si>
  <si>
    <t>Quality of life</t>
  </si>
  <si>
    <t>Omicidi volontari per 100'000 ab.</t>
  </si>
  <si>
    <t>n./100'000 ab.</t>
  </si>
  <si>
    <t>UNODC (2025), via Our World in Data, agg. 12.6.2026 https://ourworldindata.org/grapher/homicide-rate-unodc?tab=table</t>
  </si>
  <si>
    <t>Ultimo anno disponibile per gli UAE; unico indicatore di criminalità confrontabile tra paesi; open data Dubai Police non accessibili dall’estero</t>
  </si>
  <si>
    <t>Reati per 1'000 ab. (codice penale)</t>
  </si>
  <si>
    <t>Open data Dubai Police bloccati dall’estero; definizioni non confrontabili con la PKS svizzera</t>
  </si>
  <si>
    <t>Affitto mensile indicativo (mediana di 12 quartieri), in CHF</t>
  </si>
  <si>
    <t>H1 2026</t>
  </si>
  <si>
    <t>Elaborazione: Bayut – Dubai Rental Market Report H1 2026 https://www.bayut.com/mybayut/dubai-rental-market-report-h1-2026/ + cambio Fed G.5 (giu. 2026) https://fred.stlouisfed.org/data/EXSZUS</t>
  </si>
  <si>
    <t>≈ 2'358 CHF/mese (130'000 AED/anno). Fonte privata non ufficiale: annunci, 12 quartieri più cercati (3 per segmento), non ponderati, quindi non è una media ufficiale di Dubai. Media semplice ≈ 3'237 CHF. Zugo (UST, media ponderata cantone): 2'024 CHF/mese</t>
  </si>
  <si>
    <t>Premio medio assicurazione malattia</t>
  </si>
  <si>
    <t>Obbligatoria, ma premi fissati dalle compagnie; nessuna media ufficiale</t>
  </si>
  <si>
    <t>Aree verdi</t>
  </si>
  <si>
    <t>Quota di bosco non applicabile (territorio desertico)</t>
  </si>
  <si>
    <t>Esclusa anche per Zugo, confronto per paese</t>
  </si>
  <si>
    <t>Accesso ai servizi</t>
  </si>
  <si>
    <t>Taxation and relocation: reddito e sostanza</t>
  </si>
  <si>
    <t>Aliquota effettiva imposta sul reddito (reddito CHF 1 mio)</t>
  </si>
  <si>
    <t>PwC Worldwide Tax Summaries – UAE, Individual: Taxes on personal income (rev. 9.9.2026) https://taxsummaries.pwc.com/united-arab-emirates/individual/taxes-on-personal-income</t>
  </si>
  <si>
    <t>“There is no federal or Emirate-level personal income tax”. Zugo: 21.7%</t>
  </si>
  <si>
    <t>Imposta sul reddito d’impresa per persone fisiche</t>
  </si>
  <si>
    <t>Solo per attività d’impresa con fatturato &gt; 1 mio AED; salari, redditi da investimenti personali e immobiliari esclusi</t>
  </si>
  <si>
    <t>Aliquota effettiva imposta sulla sostanza (sostanza CHF 10 mio)</t>
  </si>
  <si>
    <t>PwC – UAE, Individual: Other taxes (rev. 9.9.2026) https://taxsummaries.pwc.com/united-arab-emirates/individual/other-taxes</t>
  </si>
  <si>
    <t>“No wealth taxes imposed on individuals”. Zugo: 0.213%</t>
  </si>
  <si>
    <t>IVA (aliquota standard)</t>
  </si>
  <si>
    <t>PwC – UAE, Overview (rev. 9.9.2026) https://taxsummaries.pwc.com/united-arab-emirates</t>
  </si>
  <si>
    <t>In vigore dal 1.1.2018 (CH: 8.1%)</t>
  </si>
  <si>
    <t>Taxation and relocation: Forfait</t>
  </si>
  <si>
    <t>Imposizione secondo il dispendio (forfait)</t>
  </si>
  <si>
    <t>Non applicabile</t>
  </si>
  <si>
    <t>PwC – UAE, Overview https://taxsummaries.pwc.com/united-arab-emirates</t>
  </si>
  <si>
    <t>Non serve: non esiste imposta sul reddito delle persone fisiche</t>
  </si>
  <si>
    <t>Taxation and relocation: Successioni e donazioni</t>
  </si>
  <si>
    <t>Imposta di successione e donazione</t>
  </si>
  <si>
    <t>PwC – UAE, Individual: Other taxes https://taxsummaries.pwc.com/united-arab-emirates/individual/other-taxes</t>
  </si>
  <si>
    <t>“No inheritance, estate, or gift taxes”; vale per tutti gli eredi (Zugo: 0% per coniuge e figli, max 20% per non parenti)</t>
  </si>
  <si>
    <t>Taxation and relocation: Imposte immobiliari</t>
  </si>
  <si>
    <t>Tassa di registrazione sul trasferimento di immobili (DLD)</t>
  </si>
  <si>
    <t>% del valore</t>
  </si>
  <si>
    <t>Sul valore di mercato, di regola a carico dell’acquirente</t>
  </si>
  <si>
    <t>“Housing fee” sugli immobili residenziali</t>
  </si>
  <si>
    <t>% del valore locativo annuo</t>
  </si>
  <si>
    <t>Pagata dall’inquilino, o dal proprietario se non affitta</t>
  </si>
  <si>
    <t>“Market fee” sugli immobili commerciali</t>
  </si>
  <si>
    <t>PwC Worldwide Tax Summaries – UAE, Individual: Other taxes (rev. 9.9.2026) https://taxsummaries.pwc.com/united-arab-emirates/individual/other-taxes</t>
  </si>
  <si>
    <t>Tassa municipale pagata dal proprietario; per il residenziale vedi “housing fee” (5%, a carico dell’inquilino)</t>
  </si>
  <si>
    <t>Taxation and relocation: Requisiti residenza</t>
  </si>
  <si>
    <t>Golden Visa per investitori</t>
  </si>
  <si>
    <t>Capitale minimo 2 mio AED</t>
  </si>
  <si>
    <t>Portale ufficiale UAE u.ae – Golden visa (agg. 28.7.2026) https://u.ae/en/information-and-services/visa-and-emirates-id/residence-visas/golden-visa</t>
  </si>
  <si>
    <t>≈ 435'000 CHF (cambio Fed giu. 2026); 10 anni per investimenti pubblici, 5 anni per investimenti immobiliari; nessun obbligo di soggiorno minimo</t>
  </si>
  <si>
    <t>Residenza fiscale (persone fisiche)</t>
  </si>
  <si>
    <t>183 giorni, oppure 90 giorni con permesso di residenza e abitazione permanente</t>
  </si>
  <si>
    <t>PwC – UAE, Individual: Residence (rev. 9.9.2026) https://taxsummaries.pwc.com/united-arab-emirates/individual/residence</t>
  </si>
  <si>
    <t>Base legale: Cabinet Decision No. 85/2022, in vigore dal 1.3.2023; in alternativa: residenza principale e centro degli interessi negli UAE</t>
  </si>
  <si>
    <t>Real Estate</t>
  </si>
  <si>
    <t>Valore delle transazioni immobiliari</t>
  </si>
  <si>
    <t>Government of Dubai Media Office – Dubai Land Department, 12.1.2026 https://mediaoffice.ae/en/news/2026/january/12-01/dubais-real-estate-market-records-new-historic-milestone</t>
  </si>
  <si>
    <t>Più di 270'000 transazioni (+20% in valore sul 2024); comprende tutte le tipologie, non solo il residenziale</t>
  </si>
  <si>
    <t>Investitori immobiliari nell’anno</t>
  </si>
  <si>
    <t>+24%; di cui 129'600 nuovi investitori (+23%); residenti 56.6%</t>
  </si>
  <si>
    <t>Crescita annua dei prezzi di vendita residenziali</t>
  </si>
  <si>
    <t>% a/a</t>
  </si>
  <si>
    <t>Q2 2026</t>
  </si>
  <si>
    <t>CBRE – UAE Real Estate Market Review Q2 2026 (via Gulf News) https://gulfnews.com/business/property/dubai-rents-ease-62-while-home-prices-stay-above-2025-levels-1.500623468</t>
  </si>
  <si>
    <t>Fonte privata professionale; Q1 2026: +9.1% a/a (appartamenti +8.5%, ville +12.5%; CBRE Q1, pag. 7)</t>
  </si>
  <si>
    <t>Prezzo tipico di vendita – appartamento</t>
  </si>
  <si>
    <t>AED</t>
  </si>
  <si>
    <t>ValuStrat – Dubai Real Estate Review Q2 2026 (21.7.2026) https://www.zawya.com/en/press-release/research-studies/valustrat-dubai-real-estate-review-q2-2026-404575</t>
  </si>
  <si>
    <t>Fonte privata professionale; −3% a/a; ≈ 390'000 CHF</t>
  </si>
  <si>
    <t>Prezzo tipico di vendita – villa</t>
  </si>
  <si>
    <t>ValuStrat – Dubai Real Estate Review Q2 2026 (21.7.2026) https://www.zawya.com/en/press-release/research-studies/valustrat-dubai-real-estate-review-q2-2026-404576</t>
  </si>
  <si>
    <t>Fonte privata professionale; +2% a/a; ≈ 2.83 mio CHF</t>
  </si>
  <si>
    <t>Segmento di lusso: vendite sopra 5 mio USD</t>
  </si>
  <si>
    <t>Q1 2026</t>
  </si>
  <si>
    <t>CBRE – UAE Real Estate Market Review Q1 2026, pag. 8 https://mediaassets.cbre.com/-/media/project/cbre/shared-site/menat/uae/articles/uaeq12026report/cbre---uae-real-estate-market-review-q1-2026.pdf</t>
  </si>
  <si>
    <t>Fonte privata professionale; “più di 800” vendite per oltre 26 mrd AED in un trimestre</t>
  </si>
  <si>
    <t>Segmento di lusso: prezzo medio al m² (vendite &gt; 5 mio USD)</t>
  </si>
  <si>
    <t>Elaborazione: CBRE Q1 2026, pag. 8 + cambio Fed G.5 (giu. 2026) https://fred.stlouisfed.org/data/EXSZUS</t>
  </si>
  <si>
    <t>≈ 9'371 CHF/m² (≈ 4'000 AED/sq ft). Zugo, prezzo richiesto case (Homegate): 17'900 CHF/m² (definizioni diverse)</t>
  </si>
  <si>
    <t>Tasso di abitazioni sfitte</t>
  </si>
  <si>
    <t>Nessun dato ufficiale pubblico</t>
  </si>
  <si>
    <t>Acquisto di immobili da parte di stranieri</t>
  </si>
  <si>
    <t>Libero nelle zone “freehold” designate</t>
  </si>
  <si>
    <t>Regulation No. (3) of 2006, Ruler of Dubai, art. 3 https://dlp.dubai.gov.ae/Legislation%20Reference/2006/Regulation%20No.%20%283%29%20of%202006.html</t>
  </si>
  <si>
    <t>Proprietà piena senza limiti di tempo in 23 aree (es. Dubai Marina, Palm Jumeirah, Emirates Hills), oppure usufrutto/leasing fino a 99 anni. Nessun obbligo di residenza (Zugo: Lex Koller, solo abitazione principale)</t>
  </si>
  <si>
    <t>Affitto medio mensile – lusso (Downtown Dubai), in CHF</t>
  </si>
  <si>
    <t>≈ 4'099 CHF/mese = 226'000 AED/anno. Fonte privata non ufficiale: prezzi richiesti negli annunci; Dubai Marina 153'000 AED/anno</t>
  </si>
  <si>
    <t>Affitto medio mensile – ultra-lusso (Palm Jumeirah), in CHF</t>
  </si>
  <si>
    <t>≈ 5'151 CHF/mese = 284'000 AED/anno. Fonte privata non ufficiale; Bluewaters 467'000, Al Barari 367'000 AED/anno</t>
  </si>
  <si>
    <t>Affitto medio mensile – medio (Business Bay), in CHF</t>
  </si>
  <si>
    <t>≈ 2'140 CHF/mese = 118'000 AED/anno. Fonte privata non ufficiale; JVC 81'000, Arjan 89'000 AED/anno</t>
  </si>
  <si>
    <t>Variazione annua degli affitti residenziali</t>
  </si>
  <si>
    <t>−2.6</t>
  </si>
  <si>
    <t>CBRE – UAE Real Estate Market Review Q2 2026 (via Gulf News)</t>
  </si>
  <si>
    <t>Fonte privata professionale; Q1 2026: +4.1% a/a; ValuStrat Q2: +1.7% a/a</t>
  </si>
  <si>
    <t>Contratti di locazione registrati</t>
  </si>
  <si>
    <t>Dubai Land Department – comunicato 23.2.2026 https://dubailand.gov.ae/en/news-media/dubai-s-rental-sector-records-strong-growth-in-2025-underscoring-market-stability-and-the-strength-of-the-emirate-s-real-estate-ecosystem/</t>
  </si>
  <si>
    <t>Valore 126.4 mrd AED (+17%); comprende contratti commerciali</t>
  </si>
  <si>
    <t>Digital Dubai / Dubai Data and Statistics Establishment – comunicato 30.7.2026, via WAM https://www.wam.ae/en/article/c1hd5qo-dubai-population-tops-4580-million-end-2025</t>
  </si>
  <si>
    <t>Fine 2025; censimento digitale su registri amministrativi; portale data.dubai non accessibile dall’estero</t>
  </si>
  <si>
    <t>Crescita della popolazione</t>
  </si>
  <si>
    <t>Digital Dubai / Dubai Data and Statistics Establishment – comunicato 30.7.2026, via WAM https://www.wam.ae/en/article/c1hd5qo-dubai-population-tops-4580-million-end-2026</t>
  </si>
  <si>
    <t>+332'000 residenti sul 2024, dovuti quasi solo all’immigrazione (Zugo: +0.96%)</t>
  </si>
  <si>
    <t>Popolazione diurna di punta</t>
  </si>
  <si>
    <t>Digital Dubai, via Gulf News https://gulfnews.com/uae/biggest-jump-how-dubais-population-crosses-458m-1.500625403</t>
  </si>
  <si>
    <t>Compresi 1.812 mio di visitatori temporanei</t>
  </si>
  <si>
    <t>Nuovi permessi di residenza rilasciati</t>
  </si>
  <si>
    <t>GDRFA Dubai, via Khaleej Times (15.7.2026) https://www.khaleejtimes.com/life-and-living/visa-and-immigration-in-uae/dubai-first-half-2026-residency-entry-permits-golden-visas</t>
  </si>
  <si>
    <t>Fonte secondaria (giornale che cita la GDRFA). Proxy degli arrivi; rinnovi 910'552; permessi d’ingresso 5'078'078</t>
  </si>
  <si>
    <t>Partenze (permessi cancellati)</t>
  </si>
  <si>
    <t>Non pubblicate</t>
  </si>
  <si>
    <t>Golden Visa rilasciati</t>
  </si>
  <si>
    <t>Fonte secondaria. Tutte le categorie; serie: 2021: 47'150; 2022: 79'617; 2023: 158'000 (GDRFA via Gulf News https://gulfnews.com/uae/158000-golden-visas-issued-in-dubai-in-2023-1.102739311)</t>
  </si>
  <si>
    <t>Saldo netto di milionari (previsione)</t>
  </si>
  <si>
    <t>2025 (prev.)</t>
  </si>
  <si>
    <t>Henley &amp; Partners – Private Wealth Migration Report 2025, via Gulf News (24.6.2025) https://gulfnews.com/business/markets/uae-to-attract-9800-millionaires-in-2025-topping-global-high-net-worth-migration-1.500174878</t>
  </si>
  <si>
    <t>Fonte privata, stima di New World Wealth, solo indicativa; 1° al mondo; metodologia contestata</t>
  </si>
  <si>
    <t>Quota di stranieri (non emiratini)</t>
  </si>
  <si>
    <t>Global Media Insight – Dubai Population Statistics 2025 (agg. 8.1.2026) https://www.globalmediainsight.com/blog/dubai-population-statistics/</t>
  </si>
  <si>
    <t>Fonte secondaria non ufficiale, valore stimato: GMI non cita la fonte (“ricalcolato dal team GMI”); emiratini 7.98%. Population Bulletin ufficiale non accessibile dall’estero. Zugo: 30.6%</t>
  </si>
  <si>
    <t>Quota di uomini sulla popolazione</t>
  </si>
  <si>
    <t>giu. 2025</t>
  </si>
  <si>
    <t>Fonte secondaria non ufficiale, valore stimato; riflette l’immigrazione per lavoro, prevalentemente maschile</t>
  </si>
  <si>
    <t>Healthcare</t>
  </si>
  <si>
    <t>Ospedali</t>
  </si>
  <si>
    <t>Government of Dubai Media Office – dati DHA, 18.2.2026 https://mediaoffice.ae/en/news/2026/february/18-02/dubais-healthcare-ecosystem-posts-record-growth-in-2025</t>
  </si>
  <si>
    <t>Totale ospedali autorizzati, pubblici e privati non distinti; Zugo: 5</t>
  </si>
  <si>
    <t>Ospedali per 100'000 ab.</t>
  </si>
  <si>
    <t>Elaborazione: DHA 2025 + Digital Dubai popolazione 2025</t>
  </si>
  <si>
    <t>≈ 1.20; Zugo ≈ 3.74. A Dubai gli ospedali sono in media molto più grandi</t>
  </si>
  <si>
    <t>Strutture sanitarie autorizzate</t>
  </si>
  <si>
    <t>Dubai Health Authority, via Economy Middle East (16.10.2026) https://economymiddleeast.com/news/dubais-health-sector-grows-as-number-of-licensed-health-facilities-rises-to-5931-in-h1-2026/</t>
  </si>
  <si>
    <t>Fonte secondaria che riporta un rapporto DHA. Serie: H1 2025: 5'541 (+7%); 2025: circa 5'800; 2024: 5'340 (Media Office 18.2.2026)</t>
  </si>
  <si>
    <t>Operatori sanitari autorizzati</t>
  </si>
  <si>
    <t>Serie: H1 2025: 66'277 (+6.5%); 22'639 uomini, 47'927 donne. Settore privato 2025: più di 69'400 (2024: 64'100)</t>
  </si>
  <si>
    <t>Operatori sanitari per 1'000 ab.</t>
  </si>
  <si>
    <t>n./1'000 ab.</t>
  </si>
  <si>
    <t>Elaborazione: DHA H1 2026 + Digital Dubai popolazione 2025</t>
  </si>
  <si>
    <t>≈ 15.4; comprende medici, infermieri e altro personale: non confrontabile con i medici di Zugo (4.11)</t>
  </si>
  <si>
    <t>Farmacie</t>
  </si>
  <si>
    <t>Fonte secondaria; H1 2025: 1'680 (+6.8%)</t>
  </si>
  <si>
    <t>Centri di cure a domicilio</t>
  </si>
  <si>
    <t>Fonte secondaria; H1 2025: 203 (+22.7%)</t>
  </si>
  <si>
    <t>Medici per 1'000 ab. (emirato)</t>
  </si>
  <si>
    <t>La DHA non pubblica i medici separati dagli altri operatori</t>
  </si>
  <si>
    <t>Posti letto ospedalieri (emirato)</t>
  </si>
  <si>
    <t>Non pubblicati nelle fonti DHA accessibili</t>
  </si>
  <si>
    <t>Medici per 1'000 ab.</t>
  </si>
  <si>
    <t>WHO Global Health Workforce Statistics / World Bank (2026), via Our World in Data, agg. 27.7.2026 https://ourworldindata.org/grapher/physicians-per-1000-people?tab=table</t>
  </si>
  <si>
    <t>2013: 2.05; 2018: 2.61; 2020: 2.83; 2022: 2.92 (+46% in 10 anni). Confronto: CH 4.48 (2022), PT 5.85 (2022). Zugo (FMH, cantone): 4.11</t>
  </si>
  <si>
    <t>Posti letto ospedalieri per 1'000 ab.</t>
  </si>
  <si>
    <t>letti/1'000 ab.</t>
  </si>
  <si>
    <t>World Bank WDI / WHO (2026), via Our World in Data https://ourworldindata.org/grapher/hospital-beds-per-1000-people?tab=table</t>
  </si>
  <si>
    <t>2022 ultimo anno disponibile. CH 4.38, PT 3.48 (2023). Zugo (UST, cantone): 4.25 (2024)</t>
  </si>
  <si>
    <t>Scuole private</t>
  </si>
  <si>
    <t>2024-25</t>
  </si>
  <si>
    <t>Government of Dubai Media Office – dati KHDA, 9.1.2025 https://mediaoffice.ae/en/news/2025/january/09-01/dubais-private-school-sector</t>
  </si>
  <si>
    <t>10 nuove scuole nel 2024-25; altre 7 aperte a inizio 2026-27 (KHDA via Gulf News). Zugo: 18 scuole private riconosciute</t>
  </si>
  <si>
    <t>Studenti nelle scuole private</t>
  </si>
  <si>
    <t>2026-27</t>
  </si>
  <si>
    <t>KHDA, via Gulf News (1.10.2026) https://gulfnews.com/uae/education/khda-dubai-schools-to-add-18000-affordable-seats-as-student-numbers-climb-to-406563-1.500694714</t>
  </si>
  <si>
    <t>Fonte secondaria che cita la KHDA; giugno 2026: 388'731 (+4.6%); 2024-25: 387'441, di 185 nazionalità</t>
  </si>
  <si>
    <t>Curricula internazionali offerti</t>
  </si>
  <si>
    <t>Quota di studenti: UK 37%, India 26%, USA 14%, IB 7%, UK/IB 4%</t>
  </si>
  <si>
    <t>Quota di studenti con curriculum IB</t>
  </si>
  <si>
    <t>Più un 4% in scuole miste UK/IB. Il numero di scuole IB non è pubblicato. Zugo: 3 scuole internazionali fino al diploma</t>
  </si>
  <si>
    <t>Istituzioni universitarie private</t>
  </si>
  <si>
    <t>KHDA, presentazione con L.E.K. Consulting, via Zawya https://www.zawya.com/en/press-release/companies-news/dubais-higher-education-sector-sees-20-enrolment-growth-international-student-numbers-surge-by-29-at-khda-licensed-institutions-nldxwh3r</t>
  </si>
  <si>
    <t>Fonte secondaria (comunicato che cita la KHDA); in gran parte campus di università estere; 4 nuove nell’anno; Zugo: 0 università in senso stretto</t>
  </si>
  <si>
    <t>Studenti universitari (istituzioni private KHDA)</t>
  </si>
  <si>
    <t>“Più di 42'000”; +20% sull’anno; 35% studenti internazionali (+29%)</t>
  </si>
  <si>
    <t>Non pubblicata da fonti accessibili. Zugo: 54.6%</t>
  </si>
  <si>
    <t>UBS Global Wealth Report 2026, pag. 14</t>
  </si>
  <si>
    <t>29° al mondo; mediana UAE n.d. (fuori dalla top 30). CH 910'382 (1°), PT 195'761</t>
  </si>
  <si>
    <t>Milionari in USD</t>
  </si>
  <si>
    <t>UBS Global Wealth Report 2026, pag. 22</t>
  </si>
  <si>
    <t>CH 944'000, PT 181'000</t>
  </si>
  <si>
    <t>UBS Global Wealth Report 2026, pag. 32</t>
  </si>
  <si>
    <t>Proxy degli UHNW; CH 114'000; PT non in tabella</t>
  </si>
  <si>
    <t>Distribuzione della ricchezza (Gini)</t>
  </si>
  <si>
    <t>UBS Global Wealth Report 2026, pag. 28</t>
  </si>
  <si>
    <t>1° su 56 paesi per disuguaglianza; CH 0.68 (20°), PT 0.61 (33°)</t>
  </si>
  <si>
    <t>Milionari residenti a Dubai</t>
  </si>
  <si>
    <t>Henley &amp; Partners – World’s Wealthiest Cities Report 2025 https://www.henleyglobal.com/newsroom/press-releases/wealthiest-cities-report-2025</t>
  </si>
  <si>
    <t>Fonte privata, stime New World Wealth, solo indicativa; 18° città al mondo; +102% tra il 2014 e il 2024; 20 miliardari</t>
  </si>
  <si>
    <t>Henley &amp; Partners – “Centi-Millionaire Hotspots” https://www.henleyglobal.com/publications/wealthiest-cities-2025/centi-millionaire-hotspots</t>
  </si>
  <si>
    <t>Fonte privata, solo indicativa; “High growth”; Zugo 45, Lugano 40, Lisbona 45</t>
  </si>
  <si>
    <t>Ricchezza privata dichiarata (statistica fiscale)</t>
  </si>
  <si>
    <t>Nessuna imposta sulla sostanza, quindi nessuna statistica fiscale (Zugo: ESTV)</t>
  </si>
  <si>
    <t>Lisbona</t>
  </si>
  <si>
    <t>Grande Lisboa (NUTS 3)</t>
  </si>
  <si>
    <t>PORDATA – Summary table Grande Lisboa, fonte INE https://www.pordata.pt/en/municipalities/summary+table/grande+lisboa+(nuts+ii)-828872</t>
  </si>
  <si>
    <t>Area metropolitana a nord del Tago, 9 comuni: Lisbona, Cascais, Oeiras, Sintra, Amadora, Loures, Odivelas, Mafra, Vila Franca de Xira. Dal 2024 NUTS 2 e NUTS 3 coincidono (scelto NUTS 3 come Zugo). Esclusa la Península de Setúbal. Città di Lisbona: 658'236</t>
  </si>
  <si>
    <t>PORDATA – Summary table Grande Lisboa https://www.pordata.pt/en/municipalities/summary+table/grande+lisboa+(nuts+ii)-828872</t>
  </si>
  <si>
    <t>Città di Lisbona: 100 km²</t>
  </si>
  <si>
    <t>Istituti di credito</t>
  </si>
  <si>
    <t>set. 2026</t>
  </si>
  <si>
    <t>Paese (PT)</t>
  </si>
  <si>
    <t>BCE – ECB Data Portal, Credit Institutions, number, Portugal, Monthly (MFI.M.PT.102.T.1), agg. 1.10.2026 https://data.ecb.europa.eu/data/datasets/MFI/MFI.M.PT.102.T.1</t>
  </si>
  <si>
    <t>Tutti gli istituti di credito: banche, succursali estere, casse di risparmio, casse di credito agricolo (73 secondo l’elenco BdP). Dato per Grande Lisboa non disponibile (nessuna fonte accessibile con le sedi)</t>
  </si>
  <si>
    <t>Sportelli bancari</t>
  </si>
  <si>
    <t>PORDATA – Summary table Grande Lisboa, fonte Banco de Portugal https://www.pordata.pt/en/municipalities/summary+table/grande+lisboa+(nuts+ii)-828872</t>
  </si>
  <si>
    <t>657 banche e casse di risparmio + 29 Crédito Agrícola (PORDATA righe 50–51); ultimo anno disponibile. Città di Lisbona: 354 (349+5)</t>
  </si>
  <si>
    <t>Sportelli per 100'000 ab.</t>
  </si>
  <si>
    <t>Calcolo su PORDATA (BdP e INE)</t>
  </si>
  <si>
    <t>≈ 28.4 (popolazione 2024: 2'419'228); Zugo 25.9</t>
  </si>
  <si>
    <t>Sportelli per km²</t>
  </si>
  <si>
    <t>n./km²</t>
  </si>
  <si>
    <t>Calcolo su PORDATA</t>
  </si>
  <si>
    <t>≈ 0.49 (686 / 1'390 km²); Zugo 0.17</t>
  </si>
  <si>
    <t>Sportelli bancari per 100'000 adulti</t>
  </si>
  <si>
    <t>FMI – Financial Access Survey, via FRED (PRTFCBODCANUM) https://fred.stlouisfed.org/series/PRTFCBODCANUM</t>
  </si>
  <si>
    <t>Dato FMI 2024, per 100'000 adulti (diverso dalla riga per residenti). Confronto tra paesi: CH 32.21 (2024), UAE 7.24 (2023)</t>
  </si>
  <si>
    <t>Imprese non finanziarie</t>
  </si>
  <si>
    <t>PORDATA – Non financial enterprises by sector of economic activity, fonte INE https://www.pordata.pt/en/municipalities/non+financial+enterprises+total+and+by+sector+of+economic+activity-346</t>
  </si>
  <si>
    <t>Società e ditte individuali (sedi d’impresa); escluso il settore finanziario. Città di Lisbona: 148'172. Zugo: 43'275 società nel registro di commercio</t>
  </si>
  <si>
    <t>Imprese per 1'000 ab.</t>
  </si>
  <si>
    <t>Calcolo su PORDATA (INE)</t>
  </si>
  <si>
    <t>≈ 155.6 (popolazione 2024); Zugo 320.5 (registro di commercio), definizioni diverse</t>
  </si>
  <si>
    <t>Imprese settore primario</t>
  </si>
  <si>
    <t>Quota =5199/376509 ≈ 1.4%; agricoltura e pesca. Zugo (stabilimenti): 2.8%</t>
  </si>
  <si>
    <t>Imprese settore secondario</t>
  </si>
  <si>
    <t>Quota ≈ 7.9%; estrazione 76, manifattura 8'180, energia 974, acqua 252, costruzioni 20'098. Zugo: 9.5%</t>
  </si>
  <si>
    <t>Imprese settore terziario</t>
  </si>
  <si>
    <t>Quota ≈ 90.8%; principali: servizi amministrativi 81'853, consulenza 51'619, commercio 40'401. Zugo: 87.7%</t>
  </si>
  <si>
    <t>Unità locali (stabilimenti)</t>
  </si>
  <si>
    <t>PORDATA conta le imprese (sedi), non le unità locali; dato INE non accessibile</t>
  </si>
  <si>
    <t>Addetti nelle imprese non finanziarie</t>
  </si>
  <si>
    <t>PORDATA – Personnel employed in non financial enterprises by sector, fonte INE (agg. 24.12.2025) https://www.pordata.pt/en/municipalities/personnel+employed+in+non+financial+enterprises+total+and+by+sector+of+economic+activity-353</t>
  </si>
  <si>
    <t>Escluse finanza/assicurazioni e PA. Città di Lisbona: 794'749</t>
  </si>
  <si>
    <t>Addetti per 1'000 ab.</t>
  </si>
  <si>
    <t>≈ 633.4 (popolazione 2024); Zugo 1'010 (tutti i settori)</t>
  </si>
  <si>
    <t>Addetti settore primario</t>
  </si>
  <si>
    <t>PORDATA – Personnel employed… by sector https://www.pordata.pt/en/municipalities/personnel+employed+in+non+financial+enterprises+total+and+by+sector+of+economic+activity-353</t>
  </si>
  <si>
    <t>Quota ≈ 1.1%; Zugo 1.3%</t>
  </si>
  <si>
    <t>Addetti settore secondario</t>
  </si>
  <si>
    <t>Quota ≈ 12.3%; Zugo 16.7%</t>
  </si>
  <si>
    <t>Addetti settore terziario</t>
  </si>
  <si>
    <t>Quota ≈ 86.6%; Zugo 82.0%</t>
  </si>
  <si>
    <t>Tasso di occupazione 15–64</t>
  </si>
  <si>
    <t>Eurostat – Employment rate (persons aged 15-64) by NUTS 2 region [tgs00007], EU-LFS, agg. 10.9.2026 https://ec.europa.eu/eurostat/databrowser/view/tgs00007/default/table?lang=en</t>
  </si>
  <si>
    <t>2019: 72.6; 2024: 75.0. Zentralschweiz 83.6, Ticino 71.5 (2025). Zugo (UST, cantone) 77.6% (2024)</t>
  </si>
  <si>
    <t>Tasso di disoccupazione ILO 15–74</t>
  </si>
  <si>
    <t>Eurostat – Unemployment rate by NUTS 2 region [tgs00010], EU-LFS, agg. 10.9.2026 https://ec.europa.eu/eurostat/databrowser/view/tgs00010/default/table?lang=en</t>
  </si>
  <si>
    <t>2019: 6.7; 2024: 6.5. Zentralschweiz 3.0, Ticino 6.6 (2025). Non va confrontato con SECO</t>
  </si>
  <si>
    <t>Disoccupati iscritti in % della pop. 15–64</t>
  </si>
  <si>
    <t>PORDATA – Resumo Grande Lisboa (fonte IEFP)</t>
  </si>
  <si>
    <t>57'460 iscritti (2024: 60'304). Valore arrotondato; PT 4%. Si confronta con il tasso SECO di Zugo (2.8%)</t>
  </si>
  <si>
    <t>Stability &amp; institutions</t>
  </si>
  <si>
    <t>CH 85.2</t>
  </si>
  <si>
    <t>CH 92.6. Altri indicatori PT: Control of Corruption 63.6 (CH 88.1); Voice and Accountability 81.1 (CH 85.9)</t>
  </si>
  <si>
    <t>CH 84.5</t>
  </si>
  <si>
    <t>CH 87.3</t>
  </si>
  <si>
    <t>EQI – Qualità del governo regionale</t>
  </si>
  <si>
    <t>z-score (media UE = 0)</t>
  </si>
  <si>
    <t>Área Metropolitana de Lisboa (NUTS 2021)</t>
  </si>
  <si>
    <t>University of Gothenburg, QoG Institute – European Quality of Government Index 2024 https://datafinder.qog.gu.se/download/eqi</t>
  </si>
  <si>
    <t>Indice composto da qualità dei servizi pubblici, imparzialità e corruzione. 63ª su 186 regioni UE. Si riferisce all’intera area metropolitana, Península de Setúbal inclusa. Altre regioni PT: Norte −0.10, Centro 0.06, Algarve −0.37. Svizzera non coperta</t>
  </si>
  <si>
    <t>Reati registrati dalla polizia per 1'000 abitanti</t>
  </si>
  <si>
    <t>PORDATA – Crimes registered by police: total and by some categories of crime (fonte DGPJ/MJ), livello Municipalities, NUTS 2024, estratto 18.10.2026 https://www.pordata.pt/en/municipalities</t>
  </si>
  <si>
    <t>≈ 31.7, valore provvisorio. 76'480 reati; 2024: 30.6/1'000; 1993: 57.7. PT 32.0; città di Lisbona 49.6. Violenza domestica 5'767 (2.4/1'000). Zugo 42.6, CH 60.8 (definizioni non identiche)</t>
  </si>
  <si>
    <t>Furti con scasso per 1'000 abitanti</t>
  </si>
  <si>
    <t>≈ 1.0, valore provvisorio. 1'373 in abitazioni + 1'098 in edifici commerciali o industriali. PT 1.1. Definizione PT (DGPJ): furto con effrazione, scavalcamento o chiavi false, simile all’Einbruchdiebstahl svizzero. Zugo 2.9, CH 3.8</t>
  </si>
  <si>
    <t>Reati contro la vita e l’integrità fisica per 1'000 abitanti</t>
  </si>
  <si>
    <t>Categoria non pubblicata a livello regionale. Come indicatore parziale c’è solo la violenza domestica (2.4/1'000)</t>
  </si>
  <si>
    <t>Affitto mediano al m² al mese (nuovi contratti)</t>
  </si>
  <si>
    <t>€/m² al mese</t>
  </si>
  <si>
    <t>T2 2026</t>
  </si>
  <si>
    <t>INE – Estatísticas de Rendas da Habitação ao nível local, 2º trim. 2026, pubbl. 29.9.2026 https://www.ine.pt/xportal/xmain?xpid=INE&amp;xpgid=ine_destaques&amp;DESTAQUESdest_boui=770299146&amp;DESTAQUESmodo=2&amp;xlang=pt</t>
  </si>
  <si>
    <t>Solo contratti firmati nel trimestre: non è confrontabile 1:1 con Zugo (21.5 CHF/m², media di tutti gli affitti in corso, UST 2024). T1 2026: 14.38. Città di Lisbona 17.79 (+5.1% su un anno); PT 10.17 (+10.2%)</t>
  </si>
  <si>
    <t>PM2.5, media annua</t>
  </si>
  <si>
    <t>µg/m³</t>
  </si>
  <si>
    <t>Lisboa (greater city, Urban Audit)</t>
  </si>
  <si>
    <t>EEA – European city air quality viewer, City trend viewer https://www.eea.europa.eu/en/topics/in-depth/air-pollution/european-city-air-quality-viewer/city-trend-viewer</t>
  </si>
  <si>
    <t>Valori approssimativi, letti dal grafico. NO₂ ≈ 18.6. Trend: PM2.5 ≈ 13 nel 2017; NO₂ ≈ 34 nel 2013. Confronto con la stessa fonte (2024): Lugano PM2.5 ≈ 9.3 / NO₂ ≈ 17.2; Zürich ≈ 7.6 / ≈ 19.8. Zugo non disponibile. Soglia OMS PM2.5: 5; limite UE dal 2030: 10</t>
  </si>
  <si>
    <t>Quota di bosco sulla superficie</t>
  </si>
  <si>
    <t>Eurostat – Land cover overview by NUTS 2 region [lan_lcv_ovw], indagine LUCAS, agg. 25.7.2025 https://ec.europa.eu/eurostat/databrowser/view/lan_lcv_ovw/default/table?lang=en</t>
  </si>
  <si>
    <t>Superficie coperta da alberi (definizione LUCAS). PT 35.3; UE 41.0; Península de Setúbal 32.1. Zugo 29.9% (Arealstatistik UST 2013/18: fonte e definizione diverse, la Svizzera non è coperta da LUCAS)</t>
  </si>
  <si>
    <t>Escluso dallo scoring come per Zugo: dato non armonizzato</t>
  </si>
  <si>
    <t>Taxation &amp; relocation</t>
  </si>
  <si>
    <t>Aliquota effettiva IRS (reddito imponibile € 1 mio)</t>
  </si>
  <si>
    <t>PwC – Worldwide Tax Summaries, Portugal: Taxes on personal income (rivisto 3.10.2026) https://taxsummaries.pwc.com/portugal/individual/taxes-on-personal-income</t>
  </si>
  <si>
    <t>≈ 51.0%. Persona sola, Portogallo continentale. Scaglione massimo 48% oltre € 86'634, più contributo di solidarietà del 2.5% (€ 80–250k) e del 5% (oltre € 250k). Nessuna imposta comunale. Zugo 21.7% su CHF 1 mio: al cambio EUR/CHF la differenza sull’aliquota è minima</t>
  </si>
  <si>
    <t>Aliquota su dividendi, interessi e plusvalenze</t>
  </si>
  <si>
    <t>PwC – Portugal Tax Guide 2026, PIT https://www.pwc.pt/en/pwcinforfisco/tax-guide/2026/pit.html</t>
  </si>
  <si>
    <t>Aliquota fissa, con facoltà di cumulo al reddito. 35% se provengono da paradisi fiscali. Esclusione parziale (10/20/30%) per titoli quotati detenuti più di 2 anni</t>
  </si>
  <si>
    <t>Imposta sul patrimonio</t>
  </si>
  <si>
    <t>PwC – Portugal Tax Guide 2026, IMI/AIMI https://www.pwc.pt/en/pwcinforfisco/tax-guide/2026/imi-aimi.html</t>
  </si>
  <si>
    <t>Nessuna imposta generale sul patrimonio. Esiste però l’AIMI sugli immobili: 0.7% oltre € 600k (€ 1.2 mio per coppie), 1% tra € 1 e 2 mio, 1.5% oltre € 2 mio. Zugo 0.213% su CHF 10 mio</t>
  </si>
  <si>
    <t>Regime per nuovi residenti IFICI (ex NHR): aliquota</t>
  </si>
  <si>
    <t>Autoridade Tributária – Folheto “Incentivos à investigação” (IFICI, art. 58.º-A EBF), marzo 2025 https://info.portaldasfinancas.gov.pt/pt/apoio_contribuinte/Folhetos_informativos/Documents/incentivos_investigacao.pdf</t>
  </si>
  <si>
    <t>Vale 10 anni, solo sui redditi da lavoro e da attività professionale portoghesi in attività qualificate (ricerca, start-up, professioni ad alta qualifica). I redditi esteri sono in genere esenti. Non è aperto a chi vive di rendita, a differenza del forfait svizzero. Il vecchio NHR è chiuso ai nuovi ingressi</t>
  </si>
  <si>
    <t>PwC – Portugal Tax Guide 2026, Stamp Tax https://www.pwc.pt/en/pwcinforfisco/tax-guide/2026/stamp-tax.html</t>
  </si>
  <si>
    <t>Esenti coniuge, partner, discendenti e ascendenti (Imposto do Selo). Zugo: esenti</t>
  </si>
  <si>
    <t>Aliquota di successione/donazione per non parenti</t>
  </si>
  <si>
    <t>Aliquota fissa del 10%. Zugo fino al 20%</t>
  </si>
  <si>
    <t>Residenza per cittadini di Paesi terzi (Golden Visa, ARI): investimento minimo</t>
  </si>
  <si>
    <t>€</t>
  </si>
  <si>
    <t>AIMA – Declaração do cumprimento dos requisitos ARI https://aima.gov.pt/media/pages/documents/3db65fea7a-1715185365/minuta-declaracao-do-cumprimento-dos-requisitos-ari.pdf</t>
  </si>
  <si>
    <t>Vie possibili: fondi d’investimento portoghesi € 500k; ricerca € 500k; società con 5 posti di lavoro € 500k; cultura € 250k; oppure creazione di 10 posti di lavoro. Dal 2023 l’acquisto di immobili non dà più diritto all’ARI</t>
  </si>
  <si>
    <t>Real estate</t>
  </si>
  <si>
    <t>Prezzo mediano di transazione, abitazioni</t>
  </si>
  <si>
    <t>€/m²</t>
  </si>
  <si>
    <t>T1 2026</t>
  </si>
  <si>
    <t>INE – Estatísticas de Preços da Habitação ao nível local, 1º trim. 2026, pubbl. 17.7.2026 https://www.ine.pt/xportal/xmain?xpid=INE&amp;xpgid=ine_destaques&amp;DESTAQUESdest_boui=770298635&amp;DESTAQUESmodo=2&amp;xlang=pt</t>
  </si>
  <si>
    <t>Media degli ultimi 12 mesi: 3'598. Città di Lisbona 5'292; PT 2'337. Valutazione bancaria mediana 2'941 (2025, PORDATA). Zugo: transazioni da richiedere a UBS (annunci Homegate 17'900 CHF/m²). Prossimo aggiornamento INE: 23.10.2026</t>
  </si>
  <si>
    <t>Crescita annua dei prezzi di transazione</t>
  </si>
  <si>
    <t>Variazione sullo stesso trimestre dell’anno prima. PT +19.8%; città di Lisbona +15.2% (12 mesi). Zugo ≈ +7% (appartamenti, contenuto partner ZKB)</t>
  </si>
  <si>
    <t>Prezzo mediano pagato da acquirenti con domicilio fiscale estero</t>
  </si>
  <si>
    <t>+34.5% rispetto agli acquirenti residenti (3'805). Città di Lisbona: 6'325 contro 5'000 (12 mesi). È un indicatore della domanda internazionale, utile per il segmento HNWI</t>
  </si>
  <si>
    <t>Prezzo di transazione, segmento di lusso</t>
  </si>
  <si>
    <t>Come per Zugo: soglia del “lusso” da definire con UBS</t>
  </si>
  <si>
    <t>Acquisto di immobili da parte di stranieri (residenti e non residenti)</t>
  </si>
  <si>
    <t>Trattato sul funzionamento dell’UE (TFUE), art. 63: libera circolazione dei capitali, anche verso Paesi terzi https://eur-lex.europa.eu/legal-content/IT/TXT/?uri=CELEX:12012E063</t>
  </si>
  <si>
    <t>Il Portogallo non ha un regime di autorizzazione come la LAFE svizzera: residenze principali, secondarie e immobili commerciali sono liberamente acquistabili da tutti. Serve solo il codice fiscale portoghese (NIF). Zugo: libero solo per i residenti, e per l’abitazione principale</t>
  </si>
  <si>
    <t>IHRU – Habitação em números: População, agregados e alojamentos (Censos 2021), marzo 2023 https://www.portaldahabitacao.pt/documents/20126/19662323/HN_População_Agregados_Alojamentos.pdf/d0b330ae-1d09-8818-8c5c-359b36438bc7</t>
  </si>
  <si>
    <t>Il dato regionale non è pubblicato. PT 12.1% di abitazioni vuote (723'215, censimento 2021): ogni 10 anni, non c’è un conteggio annuo come in Svizzera. Grande Lisboa 1'072'111 abitazioni (2022, PORDATA). Zugo 0.2% (UST 2026)</t>
  </si>
  <si>
    <t>Population &amp; migration</t>
  </si>
  <si>
    <t>PORDATA – Your municipality in numbers: Grande Lisboa (fonte INE, stime riviste il 22.6.2026), estratto 18.10.2026 https://www.pordata.pt/en/municipalities</t>
  </si>
  <si>
    <t>−0.2% sul 2024 (2'419'228); +18.6% dal 2011. Città di Lisbona 658'236. Età: &lt;15 anni 13.3%, 65+ 20.0%. Saldo naturale +417 (21'930 nascite, 21'513 decessi). Zugo 135'018</t>
  </si>
  <si>
    <t>Permessi di residenza per investimento (Golden Visa, ARI) concessi</t>
  </si>
  <si>
    <t>AIMA – Relatório de Migrações e Asilo 2024, p. 14 https://aima.gov.pt/media/pages/documents/fec4d6a712-1760603125/relatorio-migracoes-e-asilo-2024.pdf</t>
  </si>
  <si>
    <t>Più 2'909 permessi ai familiari. Stranieri residenti in PT: 1'543'697 al 31.12.2024 (≈ 13.6% della popolazione); prima nazionalità il Brasile (31.4%), seconda l’India</t>
  </si>
  <si>
    <t>BR 31.4%, IN 6.4%, AO 6.0%, UA 5.1%, UK 3.1%, IT 2.6%</t>
  </si>
  <si>
    <t>% stranieri</t>
  </si>
  <si>
    <t>AIMA – Relatório de Migrações e Asilo 2024, p. 4</t>
  </si>
  <si>
    <t>1'543'697 stranieri residenti al 31.12.2024, ≈ 13.6% della popolazione. Il dato AIMA comprende anche le pratiche di regolarizzazione in corso (286'302). Zugo: DE 16.7%, IT 9.3%, UK 5.3%</t>
  </si>
  <si>
    <t>Stranieri residenti (7 dei 9 comuni di Grande Lisboa)</t>
  </si>
  <si>
    <t>AIMA – Relatório de Migrações e Asilo 2024, p. 8</t>
  </si>
  <si>
    <t>Somma = 541'290, cioè almeno il 22.4% della popolazione (=541290/2419228). È un minimo: Mafra e Vila Franca de Xira non sono nel rapporto (ognuno sotto 27'649). Città di Lisbona 202'430 = 30.4% dei residenti. Zugo 30.6%</t>
  </si>
  <si>
    <t>Saldo migratorio</t>
  </si>
  <si>
    <t>Eurostat – Population change: demographic balance and crude rates at regional level (NUTS 3) [demo_r_gind3], agg. 21.7.2026 https://ec.europa.eu/eurostat/databrowser/view/demo_r_gind3/default/table?lang=en</t>
  </si>
  <si>
    <t>Comprende le migrazioni interne e internazionali, con aggiustamento statistico. 2023: 77'307; 2022: 216'799 (interruzione di serie dovuta alla regolarizzazione AIMA). PT 216'629. Zugo 934 e Ticino 2'300 (stessa fonte, 2024)</t>
  </si>
  <si>
    <t>Saldo migratorio per 1'000 abitanti</t>
  </si>
  <si>
    <t>Come sopra (popolazione al 1° gennaio 2024 e 2025, stesso dataset)</t>
  </si>
  <si>
    <t>≈ 23.6‰. PT ≈ 19.2‰. Stessa fonte: Zugo ≈ 7.0‰ (=934/((132556+133739)/2)*1000), Ticino ≈ 6.4‰. Il dato UST di Zugo (651 dall’estero, 2025) conta solo le migrazioni internazionali</t>
  </si>
  <si>
    <t>PORDATA – Your municipality in numbers: Grande Lisboa (fonte INE), estratto 18.10.2026 https://www.pordata.pt/en/municipalities</t>
  </si>
  <si>
    <t>Pubblici e privati. Città di Lisbona 31; PT 242. Farmacie 582 (2025). Zugo 5 (UST 2024)</t>
  </si>
  <si>
    <t>Medici (totale)</t>
  </si>
  <si>
    <t>Eurostat – Physicians by NUTS 2 region [hlth_rs_physreg], agg. 13.7.2026 https://ec.europa.eu/eurostat/databrowser/view/hlth_rs_physreg/default/table?lang=en</t>
  </si>
  <si>
    <t>Per il Portogallo Eurostat conta i medici abilitati (iscritti all’Ordine), non solo quelli in attività, quindi il dato è sovrastimato rispetto alla Svizzera. 2021: 16'539. PT 61'423</t>
  </si>
  <si>
    <t>Densità medici</t>
  </si>
  <si>
    <t>Eurostat (come sopra) + Eurostat demo_r_gind3 (popolazione al 1.1.2024)</t>
  </si>
  <si>
    <t>≈ 7.3. PT ≈ 5.5; Ticino ≈ 5.2 (=1861/357720*1000, stessa fonte). Zugo 4.1 (FMH, medici in attività). Il confronto va letto con cautela per la differenza di definizione</t>
  </si>
  <si>
    <t>Eurostat – Available beds in hospitals by NUTS 2 region [hlth_rs_bdsrg2], agg. 13.7.2026 https://ec.europa.eu/eurostat/databrowser/view/hlth_rs_bdsrg2/default/table?lang=en</t>
  </si>
  <si>
    <t>Serie: 2016: 9'509; 2020: 9'279; 2023: 8'973. Calo del 4.8% dal 2016. PT 35'397</t>
  </si>
  <si>
    <t>Eurostat (come sopra) + popolazione al 1.1.2025 (demo_r_gind3)</t>
  </si>
  <si>
    <t>≈ 3.7. PT ≈ 3.1. Stessa fonte: Ticino ≈ 4.9 (=1757/358903*1000, interruzione di serie nel 2024). Zugo 4.2 (UST 2024)</t>
  </si>
  <si>
    <t>Totale uomini e donne. 2020: 81.4; 2023: 82.5. PT 82.5. Stessa fonte: Zentralschweiz 84.6, Ticino 85.2, CH 84.2 (2024)</t>
  </si>
  <si>
    <t>Istituti di istruzione superiore con sede nell’area</t>
  </si>
  <si>
    <t>PORDATA – Your municipality in numbers: Grande Lisboa (fonte DGEEC), estratto 18.10.2026 https://www.pordata.pt/en/municipalities</t>
  </si>
  <si>
    <t>Università, politecnici, pubblici e privati, contati per sede o unità organica. Città di Lisbona 65; PT 292. Zugo: 0 università (solo 2 scuole universitarie professionali)</t>
  </si>
  <si>
    <t>Studenti dell’istruzione superiore</t>
  </si>
  <si>
    <t>≈ 63 ogni 1'000 abitanti (=152037/2415261*1000). Un terzo degli studenti universitari del Portogallo (456'032). Città di Lisbona 135'541</t>
  </si>
  <si>
    <t>% pop. 25–64</t>
  </si>
  <si>
    <t>Eurostat – Population by educational attainment level and NUTS 2 region [edat_lfse_04], EU-LFS, agg. 10.9.2026 https://ec.europa.eu/eurostat/databrowser/view/edat_lfse_04/default/table?lang=en</t>
  </si>
  <si>
    <t>Livelli ISCED 5–8. 2019: 38.4; 2024: 43.7. PT 32.7; UE 36.9. Stessa fonte: Zentralschweiz 46.4, Ticino 42.6, CH 46.2. Zugo 54.6% (UST, popolazione 25+, 2023: fascia d’età e fonte diverse)</t>
  </si>
  <si>
    <t>Scuole con programma IB (IB World Schools)</t>
  </si>
  <si>
    <t>International Baccalaureate – Find an IB World School (directory ufficiale), consultata il 18.10.2026 https://www.ibo.org/programmes/find-an-ib-school/</t>
  </si>
  <si>
    <t>5 scuole internazionali: St. Julian’s School e Saint Dominic’s International School (Cascais), Oeiras International School e International Sharing School Taguspark (Oeiras), Carlucci American International School of Lisbon (Sintra). Più il Colégio Planalto (Lisbona), privato portoghese. Esclusa una scuola a Palmela (Setúbal). Altre scuole con curriculum estero senza IB non sono contate. Zugo: 3 con percorso completo fino al diploma</t>
  </si>
  <si>
    <t>PDF p. 14. CH 910'382; UAE 157'612. Solo per il confronto internazionale</t>
  </si>
  <si>
    <t>CH 145'555</t>
  </si>
  <si>
    <t>PDF p. 22. CH 944'000</t>
  </si>
  <si>
    <t>PDF p. 28. CH 0.68: in Svizzera la ricchezza è distribuita in modo più diseguale</t>
  </si>
  <si>
    <t>Centimilionari residenti (oltre 100 mio USD liquidi)</t>
  </si>
  <si>
    <t>Città di Lisbona</t>
  </si>
  <si>
    <t>Henley &amp; Partners – World’s Wealthiest Cities Report 2025, “Centi Cities” https://www.henleyglobal.com/publications/wealthiest-cities-2025/centi-millionaire-hotspots</t>
  </si>
  <si>
    <t>Fonte privata (stime New World Wealth), solo indicativa. Zugo (cantone) 45, Lugano 40, Dubai 237</t>
  </si>
  <si>
    <t>Reddito disponibile netto delle famiglie per abitante</t>
  </si>
  <si>
    <t>PPS per abitante</t>
  </si>
  <si>
    <t>Eurostat – Disposable income of private households by NUTS 2 region [tgs00026], agg. 20.5.2026 https://ec.europa.eu/eurostat/databrowser/view/tgs00026/default/table?lang=en + popolazione demo_r_gind3</t>
  </si>
  <si>
    <t>≈ 19'600 PPS. Misura il reddito, non la ricchezza: è un indicatore sostitutivo, perché in Portogallo non esiste una statistica fiscale sul patrimonio. Il PPS corregge per il livello dei prezzi. 2019: 36'115 mio PPS. Svizzera non coperta dal dataset</t>
  </si>
  <si>
    <t>Registro modifiche – Claude, 18.10.2026</t>
  </si>
  <si>
    <t>Legenda: giallo = cella modificata (commento con il valore precedente); verde = riga nuova. Le righe eliminate di Dubai sono elencate qui sotto.</t>
  </si>
  <si>
    <t>Foglio</t>
  </si>
  <si>
    <t>Cella / riga (posizione nel file originale per le eliminazioni)</t>
  </si>
  <si>
    <t>Prima</t>
  </si>
  <si>
    <t>Dopo</t>
  </si>
  <si>
    <t>Motivo</t>
  </si>
  <si>
    <t>C7</t>
  </si>
  <si>
    <t>686</t>
  </si>
  <si>
    <t>formula: =657+29</t>
  </si>
  <si>
    <t>Inclusi i 29 sportelli del Crédito Agrícola (cooperativa, come Raiffeisen per Zugo)</t>
  </si>
  <si>
    <t>H7</t>
  </si>
  <si>
    <t>Banche e casse di risparmio; ultimo anno disponibile. Città di Lisbona: 349</t>
  </si>
  <si>
    <t>Nota allineata al nuovo valore</t>
  </si>
  <si>
    <t>C8</t>
  </si>
  <si>
    <t>formula: =C7/2415261*100000</t>
  </si>
  <si>
    <t>formula: =C7/2419228*100000</t>
  </si>
  <si>
    <t>Popolazione dello stesso anno del dato (2024: 2'419'228)</t>
  </si>
  <si>
    <t>H8</t>
  </si>
  <si>
    <t>≈ 27.2 (popolazione 2025); Zugo 25.9</t>
  </si>
  <si>
    <t>Nota allineata</t>
  </si>
  <si>
    <t>H9</t>
  </si>
  <si>
    <t>≈ 0.47; Zugo 0.17</t>
  </si>
  <si>
    <t>C10</t>
  </si>
  <si>
    <t>formula: =686/2419228*100000</t>
  </si>
  <si>
    <t>28.34</t>
  </si>
  <si>
    <t>Il valore era una formula sui dati PORDATA (per residenti) invece del dato FMI per 100'000 adulti</t>
  </si>
  <si>
    <t>H10</t>
  </si>
  <si>
    <t>Confronto tra paesi: CH 32.21 (2024), UAE 7.24 (2023)</t>
  </si>
  <si>
    <t>Nota chiarita</t>
  </si>
  <si>
    <t>C12</t>
  </si>
  <si>
    <t>formula: =376509/2415261*1000</t>
  </si>
  <si>
    <t>formula: =376509/2419228*1000</t>
  </si>
  <si>
    <t>Popolazione dello stesso anno del dato (2024)</t>
  </si>
  <si>
    <t>H12</t>
  </si>
  <si>
    <t>≈ 155.9 (popolazione 2025); Zugo 320.5 (registro di commercio), definizioni diverse</t>
  </si>
  <si>
    <t>C18</t>
  </si>
  <si>
    <t>formula: =1532308/2415261*1000</t>
  </si>
  <si>
    <t>formula: =1532308/2419228*1000</t>
  </si>
  <si>
    <t>H18</t>
  </si>
  <si>
    <t>≈ 634; Zugo 1'010 (tutti i settori)</t>
  </si>
  <si>
    <t>C36</t>
  </si>
  <si>
    <t>formula: =(10000000.48-11387.17+0.025(250000-80000)+0.05*(1000000-250000))/1000000*100</t>
  </si>
  <si>
    <t>formula: =(1000000*0.48-11387.17+0.025*(250000-80000)+0.05*(1000000-250000))/1000000*100</t>
  </si>
  <si>
    <t>Formula danneggiata nella copia (mancavano i segni di moltiplicazione)</t>
  </si>
  <si>
    <t>H33</t>
  </si>
  <si>
    <t>Solo contrati firmati nel trimestre: non è confrontabile 1:1 con Zugo (21.5 CHF/m², media di tutti gli affitti in corso, UST 2024). T1 2026: 14.38. Città di Lisbona 17.79 (+5.1% su un anno); PT 10.17 (+10.2%)</t>
  </si>
  <si>
    <t>Refuso</t>
  </si>
  <si>
    <t>riga 36</t>
  </si>
  <si>
    <t>(nuova)</t>
  </si>
  <si>
    <t>Righe n.d. presenti per Zugo e Dubai, mancavano per Lisbona</t>
  </si>
  <si>
    <t>riga 37</t>
  </si>
  <si>
    <t>Zugo</t>
  </si>
  <si>
    <t>C83</t>
  </si>
  <si>
    <t>84.6</t>
  </si>
  <si>
    <t>Dato Eurostat disponibile per la regione NUTS 2 che comprende Zugo</t>
  </si>
  <si>
    <t>E83</t>
  </si>
  <si>
    <t>Anno del dato Eurostat</t>
  </si>
  <si>
    <t>F83</t>
  </si>
  <si>
    <t>Il dato non esiste per cantone; regione NUTS 2 che comprende Zugo</t>
  </si>
  <si>
    <t>G83</t>
  </si>
  <si>
    <t>Fonte del nuovo valore</t>
  </si>
  <si>
    <t>H83</t>
  </si>
  <si>
    <t>Non disponibile per cantone con dati recenti (solo Atlante UST, periodi diversi per uomini/donne): esclusa dallo scoring</t>
  </si>
  <si>
    <t>Nota per il nuovo valore</t>
  </si>
  <si>
    <t>H87</t>
  </si>
  <si>
    <t>Elaborazione: 34.9% università + 19.7% formazione professionale superiore; CH 40.8% (Atlante UST, 2020–22)</t>
  </si>
  <si>
    <t>Confronto omogeneo con Lisbona</t>
  </si>
  <si>
    <t>H74</t>
  </si>
  <si>
    <t>651 / 133'739 × 1'000; confrontabile tra cantoni</t>
  </si>
  <si>
    <t>H47</t>
  </si>
  <si>
    <t>Zug Postplatz 2025: 3 giorni PM10 &gt; 50 µg/m³ (limite 3), 0 superamenti NO₂ (in-luft.ch). 
Dati non armonizzati tra cantoni: esclusa dallo scoring</t>
  </si>
  <si>
    <t>riga 41</t>
  </si>
  <si>
    <t>85.2</t>
  </si>
  <si>
    <t>Righe WGI per la Svizzera, come per Lisbona e Dubai</t>
  </si>
  <si>
    <t>riga 42</t>
  </si>
  <si>
    <t>92.6</t>
  </si>
  <si>
    <t>riga 43</t>
  </si>
  <si>
    <t>84.5</t>
  </si>
  <si>
    <t>riga 44</t>
  </si>
  <si>
    <t>87.3</t>
  </si>
  <si>
    <t>riga 101</t>
  </si>
  <si>
    <t>944000</t>
  </si>
  <si>
    <t>Righe UBS a livello Paese, come per Lisbona e Dubai</t>
  </si>
  <si>
    <t>riga 102</t>
  </si>
  <si>
    <t>114000</t>
  </si>
  <si>
    <t>riga 103</t>
  </si>
  <si>
    <t>0.68</t>
  </si>
  <si>
    <t>Dubai</t>
  </si>
  <si>
    <t>H26</t>
  </si>
  <si>
    <t>IC 90%: 68.0–82.9; CH 92.6, PT 73.3. Basati su percezioni: non usare come criterio di rischio di investimento (Usage Advisory)</t>
  </si>
  <si>
    <t>Righe CC e VA accorpate qui (4 WGI principali, come Zugo e Lisbona)</t>
  </si>
  <si>
    <t>G69</t>
  </si>
  <si>
    <t>Elaborazione: Bayut H1 2026 + cambio Fed G.5 (giu. 2026)</t>
  </si>
  <si>
    <t>Fonte completa (riga AED eliminata)</t>
  </si>
  <si>
    <t>H69</t>
  </si>
  <si>
    <t>≈ 4'099 CHF/mese</t>
  </si>
  <si>
    <t>Accorpata la riga in AED (solo CHF)</t>
  </si>
  <si>
    <t>G71</t>
  </si>
  <si>
    <t>H71</t>
  </si>
  <si>
    <t>≈ 5'151 CHF/mese</t>
  </si>
  <si>
    <t>G73</t>
  </si>
  <si>
    <t>H73</t>
  </si>
  <si>
    <t>≈ 2'140 CHF/mese</t>
  </si>
  <si>
    <t>B51</t>
  </si>
  <si>
    <t>IVA or VAT (aliquota standard)</t>
  </si>
  <si>
    <t>Titolo corretto ("IVA or VAT")</t>
  </si>
  <si>
    <t>riga 72 (eliminata)</t>
  </si>
  <si>
    <t>Affitto medio annuo appartamento – medio (Business Bay)</t>
  </si>
  <si>
    <t>118000</t>
  </si>
  <si>
    <t>(eliminata)</t>
  </si>
  <si>
    <t>Riga in AED accorpata nella riga in CHF</t>
  </si>
  <si>
    <t>riga 70 (eliminata)</t>
  </si>
  <si>
    <t>Affitto medio annuo appartamento – ultra-lusso (Palm Jumeirah)</t>
  </si>
  <si>
    <t>284000</t>
  </si>
  <si>
    <t>riga 68 (eliminata)</t>
  </si>
  <si>
    <t>Affitto medio annuo appartamento – lusso (Downtown Dubai)</t>
  </si>
  <si>
    <t>226000</t>
  </si>
  <si>
    <t>riga 41 (eliminata)</t>
  </si>
  <si>
    <t>1380000</t>
  </si>
  <si>
    <t>Duplicato della riga Real Estate "Contratti di locazione registrati"</t>
  </si>
  <si>
    <t>riga 40 (eliminata)</t>
  </si>
  <si>
    <t>Duplicato della riga Real Estate "Variazione annua degli affitti residenziali"</t>
  </si>
  <si>
    <t>riga 39 (eliminata)</t>
  </si>
  <si>
    <t>formula: =118000/12*0.7993/3.6725</t>
  </si>
  <si>
    <t>Affitti di segmento: spostati in Real Estate (già presenti)</t>
  </si>
  <si>
    <t>riga 38 (eliminata)</t>
  </si>
  <si>
    <t>riga 37 (eliminata)</t>
  </si>
  <si>
    <t>formula: =284000/12*0.7993/3.6725</t>
  </si>
  <si>
    <t>riga 36 (eliminata)</t>
  </si>
  <si>
    <t>riga 35 (eliminata)</t>
  </si>
  <si>
    <t>formula: =226000/12*0.7993/3.6725</t>
  </si>
  <si>
    <t>riga 34 (eliminata)</t>
  </si>
  <si>
    <t>riga 31 (eliminata)</t>
  </si>
  <si>
    <t>WGI – Voice and Accountability</t>
  </si>
  <si>
    <t>38.1</t>
  </si>
  <si>
    <t>WGI Voice and Accountability accorpato nella nota di Government Effectiveness</t>
  </si>
  <si>
    <t>riga 30 (eliminata)</t>
  </si>
  <si>
    <t>WGI – Control of Corruption</t>
  </si>
  <si>
    <t>71.3</t>
  </si>
  <si>
    <t>WGI Control of Corruption accorpato nella nota di Government Effectiveness</t>
  </si>
  <si>
    <t>riga 11 (eliminata)</t>
  </si>
  <si>
    <t>50200</t>
  </si>
  <si>
    <t>Duplicato della riga Employment "Addetti nei servizi finanziari nel DIFC"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</si>
</sst>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0.0"/>
  </numFmts>
  <fonts count="11">
    <font>
      <sz val="11"/>
      <color theme="1"/>
      <name val="Aptos Narrow"/>
      <family val="2"/>
      <charset val="1"/>
    </font>
    <font>
      <sz val="10"/>
      <name val="Arial"/>
      <family val="2"/>
    </font>
    <font>
      <sz val="14"/>
      <color theme="1"/>
      <name val="Aptos Narrow"/>
      <family val="2"/>
      <charset val="1"/>
    </font>
    <font>
      <u/>
      <sz val="11"/>
      <color theme="10"/>
      <name val="Aptos Narrow"/>
      <family val="2"/>
      <charset val="1"/>
    </font>
    <font>
      <sz val="11"/>
      <color rgb="FFFF0000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0"/>
      <color theme="1"/>
      <name val="Arial Unicode MS"/>
      <charset val="1"/>
    </font>
    <font>
      <b/>
      <sz val="13"/>
      <name val="Aptos Narrow"/>
      <family val="2"/>
    </font>
    <font>
      <b/>
      <sz val="11"/>
      <name val="Aptos Narrow"/>
      <family val="2"/>
    </font>
    <font>
      <sz val="11"/>
      <name val="Aptos Narrow"/>
      <family val="2"/>
    </font>
    <font>
      <sz val="11"/>
      <color theme="1"/>
      <name val="Aptos Narrow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4" tint="0.59978026673177287"/>
        <bgColor rgb="FFAEAEAE"/>
      </patternFill>
    </fill>
    <fill>
      <patternFill patternType="solid">
        <fgColor theme="4" tint="0.79979857783745845"/>
        <bgColor rgb="FFD1D1D1"/>
      </patternFill>
    </fill>
    <fill>
      <patternFill patternType="solid">
        <fgColor theme="2"/>
        <bgColor rgb="FFE2EFDA"/>
      </patternFill>
    </fill>
    <fill>
      <patternFill patternType="solid">
        <fgColor theme="0"/>
        <bgColor rgb="FFFFF2CC"/>
      </patternFill>
    </fill>
    <fill>
      <patternFill patternType="solid">
        <fgColor theme="2" tint="-0.249977111117893"/>
        <bgColor rgb="FF969696"/>
      </patternFill>
    </fill>
    <fill>
      <patternFill patternType="solid">
        <fgColor theme="2" tint="-9.9978637043366805E-2"/>
        <bgColor rgb="FFC1E5F5"/>
      </patternFill>
    </fill>
    <fill>
      <patternFill patternType="solid">
        <fgColor rgb="FFE2EFDA"/>
        <bgColor rgb="FFE8E8E8"/>
      </patternFill>
    </fill>
    <fill>
      <patternFill patternType="solid">
        <fgColor rgb="FFFFF2CC"/>
        <bgColor rgb="FFE2EFDA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3">
    <xf numFmtId="0" fontId="0" fillId="0" borderId="0"/>
    <xf numFmtId="9" fontId="10" fillId="0" borderId="0"/>
    <xf numFmtId="0" fontId="3" fillId="0" borderId="0"/>
  </cellStyleXfs>
  <cellXfs count="123">
    <xf numFmtId="0" fontId="0" fillId="0" borderId="0" xfId="0"/>
    <xf numFmtId="0" fontId="2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4" borderId="2" xfId="0" applyFill="1" applyBorder="1"/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4" borderId="5" xfId="0" applyFill="1" applyBorder="1"/>
    <xf numFmtId="0" fontId="0" fillId="0" borderId="6" xfId="0" applyBorder="1"/>
    <xf numFmtId="0" fontId="0" fillId="0" borderId="6" xfId="0" applyBorder="1" applyAlignment="1">
      <alignment wrapText="1"/>
    </xf>
    <xf numFmtId="0" fontId="0" fillId="0" borderId="7" xfId="0" applyBorder="1"/>
    <xf numFmtId="164" fontId="0" fillId="0" borderId="6" xfId="0" applyNumberFormat="1" applyBorder="1"/>
    <xf numFmtId="0" fontId="0" fillId="5" borderId="6" xfId="2" applyFont="1" applyFill="1" applyBorder="1" applyAlignment="1">
      <alignment vertical="center" wrapText="1"/>
    </xf>
    <xf numFmtId="0" fontId="0" fillId="4" borderId="8" xfId="0" applyFill="1" applyBorder="1"/>
    <xf numFmtId="0" fontId="0" fillId="0" borderId="9" xfId="0" applyBorder="1"/>
    <xf numFmtId="164" fontId="0" fillId="0" borderId="9" xfId="0" applyNumberFormat="1" applyBorder="1"/>
    <xf numFmtId="0" fontId="0" fillId="5" borderId="9" xfId="2" applyFont="1" applyFill="1" applyBorder="1" applyAlignment="1">
      <alignment vertical="center" wrapText="1"/>
    </xf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6" borderId="2" xfId="0" applyFill="1" applyBorder="1"/>
    <xf numFmtId="0" fontId="0" fillId="0" borderId="4" xfId="0" applyBorder="1"/>
    <xf numFmtId="0" fontId="0" fillId="6" borderId="5" xfId="0" applyFill="1" applyBorder="1"/>
    <xf numFmtId="2" fontId="0" fillId="0" borderId="6" xfId="0" applyNumberFormat="1" applyBorder="1"/>
    <xf numFmtId="0" fontId="0" fillId="0" borderId="7" xfId="0" applyBorder="1" applyAlignment="1">
      <alignment wrapText="1"/>
    </xf>
    <xf numFmtId="0" fontId="0" fillId="4" borderId="6" xfId="0" applyFill="1" applyBorder="1" applyAlignment="1">
      <alignment wrapText="1"/>
    </xf>
    <xf numFmtId="0" fontId="0" fillId="4" borderId="6" xfId="0" applyFill="1" applyBorder="1"/>
    <xf numFmtId="0" fontId="0" fillId="7" borderId="6" xfId="0" applyFill="1" applyBorder="1"/>
    <xf numFmtId="0" fontId="0" fillId="7" borderId="6" xfId="0" applyFill="1" applyBorder="1" applyAlignment="1">
      <alignment wrapText="1"/>
    </xf>
    <xf numFmtId="0" fontId="0" fillId="7" borderId="7" xfId="0" applyFill="1" applyBorder="1"/>
    <xf numFmtId="165" fontId="10" fillId="0" borderId="6" xfId="1" applyNumberFormat="1" applyBorder="1"/>
    <xf numFmtId="0" fontId="0" fillId="6" borderId="12" xfId="0" applyFill="1" applyBorder="1"/>
    <xf numFmtId="165" fontId="10" fillId="0" borderId="1" xfId="1" applyNumberFormat="1" applyBorder="1"/>
    <xf numFmtId="0" fontId="0" fillId="6" borderId="8" xfId="0" applyFill="1" applyBorder="1"/>
    <xf numFmtId="0" fontId="0" fillId="0" borderId="9" xfId="0" applyBorder="1" applyAlignment="1">
      <alignment wrapText="1"/>
    </xf>
    <xf numFmtId="9" fontId="0" fillId="0" borderId="9" xfId="0" applyNumberFormat="1" applyBorder="1"/>
    <xf numFmtId="0" fontId="0" fillId="4" borderId="11" xfId="0" applyFill="1" applyBorder="1"/>
    <xf numFmtId="1" fontId="0" fillId="0" borderId="6" xfId="0" applyNumberFormat="1" applyBorder="1"/>
    <xf numFmtId="0" fontId="0" fillId="4" borderId="1" xfId="0" applyFill="1" applyBorder="1"/>
    <xf numFmtId="0" fontId="0" fillId="0" borderId="10" xfId="0" applyBorder="1" applyAlignment="1">
      <alignment wrapText="1"/>
    </xf>
    <xf numFmtId="0" fontId="0" fillId="8" borderId="8" xfId="0" applyFill="1" applyBorder="1"/>
    <xf numFmtId="0" fontId="0" fillId="8" borderId="9" xfId="0" applyFill="1" applyBorder="1"/>
    <xf numFmtId="0" fontId="0" fillId="8" borderId="9" xfId="0" applyFill="1" applyBorder="1" applyAlignment="1">
      <alignment wrapText="1"/>
    </xf>
    <xf numFmtId="0" fontId="0" fillId="8" borderId="10" xfId="0" applyFill="1" applyBorder="1" applyAlignment="1">
      <alignment wrapText="1"/>
    </xf>
    <xf numFmtId="0" fontId="0" fillId="7" borderId="11" xfId="0" applyFill="1" applyBorder="1"/>
    <xf numFmtId="166" fontId="0" fillId="0" borderId="11" xfId="0" applyNumberFormat="1" applyBorder="1"/>
    <xf numFmtId="166" fontId="0" fillId="0" borderId="6" xfId="0" applyNumberFormat="1" applyBorder="1"/>
    <xf numFmtId="0" fontId="0" fillId="0" borderId="13" xfId="0" applyBorder="1" applyAlignment="1">
      <alignment wrapText="1"/>
    </xf>
    <xf numFmtId="0" fontId="0" fillId="9" borderId="6" xfId="0" applyFill="1" applyBorder="1" applyAlignment="1">
      <alignment wrapText="1"/>
    </xf>
    <xf numFmtId="0" fontId="0" fillId="7" borderId="1" xfId="0" applyFill="1" applyBorder="1"/>
    <xf numFmtId="0" fontId="0" fillId="4" borderId="2" xfId="0" applyFill="1" applyBorder="1" applyAlignment="1">
      <alignment wrapText="1"/>
    </xf>
    <xf numFmtId="0" fontId="0" fillId="4" borderId="5" xfId="0" applyFill="1" applyBorder="1" applyAlignment="1">
      <alignment wrapText="1"/>
    </xf>
    <xf numFmtId="0" fontId="0" fillId="0" borderId="0" xfId="0" applyAlignment="1">
      <alignment wrapText="1"/>
    </xf>
    <xf numFmtId="0" fontId="0" fillId="4" borderId="8" xfId="0" applyFill="1" applyBorder="1" applyAlignment="1">
      <alignment wrapText="1"/>
    </xf>
    <xf numFmtId="0" fontId="0" fillId="6" borderId="11" xfId="0" applyFill="1" applyBorder="1"/>
    <xf numFmtId="0" fontId="0" fillId="6" borderId="6" xfId="0" applyFill="1" applyBorder="1"/>
    <xf numFmtId="0" fontId="0" fillId="0" borderId="6" xfId="0" applyBorder="1" applyAlignment="1">
      <alignment vertical="center" wrapText="1"/>
    </xf>
    <xf numFmtId="0" fontId="0" fillId="6" borderId="1" xfId="0" applyFill="1" applyBorder="1"/>
    <xf numFmtId="0" fontId="0" fillId="0" borderId="14" xfId="0" applyBorder="1"/>
    <xf numFmtId="0" fontId="0" fillId="9" borderId="7" xfId="0" applyFill="1" applyBorder="1"/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9" borderId="1" xfId="0" applyFill="1" applyBorder="1"/>
    <xf numFmtId="0" fontId="0" fillId="0" borderId="2" xfId="0" applyBorder="1"/>
    <xf numFmtId="0" fontId="0" fillId="0" borderId="17" xfId="0" applyBorder="1"/>
    <xf numFmtId="0" fontId="0" fillId="0" borderId="18" xfId="0" applyBorder="1" applyAlignment="1">
      <alignment wrapText="1"/>
    </xf>
    <xf numFmtId="0" fontId="0" fillId="0" borderId="5" xfId="0" applyBorder="1" applyAlignment="1">
      <alignment vertical="center" wrapText="1"/>
    </xf>
    <xf numFmtId="0" fontId="0" fillId="9" borderId="7" xfId="0" applyFill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6" borderId="11" xfId="0" applyFill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3" fontId="0" fillId="0" borderId="11" xfId="0" applyNumberFormat="1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6" borderId="6" xfId="0" applyFill="1" applyBorder="1" applyAlignment="1">
      <alignment vertical="center" wrapText="1"/>
    </xf>
    <xf numFmtId="0" fontId="0" fillId="0" borderId="18" xfId="0" applyBorder="1" applyAlignment="1">
      <alignment vertical="center" wrapText="1"/>
    </xf>
    <xf numFmtId="3" fontId="0" fillId="0" borderId="6" xfId="0" applyNumberForma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0" fillId="8" borderId="6" xfId="0" applyFill="1" applyBorder="1" applyAlignment="1">
      <alignment vertical="center" wrapText="1"/>
    </xf>
    <xf numFmtId="0" fontId="5" fillId="3" borderId="20" xfId="0" applyFont="1" applyFill="1" applyBorder="1"/>
    <xf numFmtId="0" fontId="5" fillId="3" borderId="21" xfId="0" applyFont="1" applyFill="1" applyBorder="1"/>
    <xf numFmtId="0" fontId="5" fillId="3" borderId="22" xfId="0" applyFont="1" applyFill="1" applyBorder="1"/>
    <xf numFmtId="0" fontId="0" fillId="0" borderId="23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7" borderId="23" xfId="0" applyFill="1" applyBorder="1" applyAlignment="1">
      <alignment vertical="center" wrapText="1"/>
    </xf>
    <xf numFmtId="0" fontId="0" fillId="7" borderId="5" xfId="0" applyFill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166" fontId="0" fillId="0" borderId="6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7" borderId="2" xfId="0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7" borderId="12" xfId="0" applyFill="1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4" xfId="0" applyBorder="1" applyAlignment="1">
      <alignment wrapText="1"/>
    </xf>
    <xf numFmtId="0" fontId="0" fillId="7" borderId="6" xfId="0" applyFill="1" applyBorder="1" applyAlignment="1">
      <alignment vertical="center" wrapText="1"/>
    </xf>
    <xf numFmtId="2" fontId="6" fillId="0" borderId="6" xfId="0" applyNumberFormat="1" applyFont="1" applyBorder="1" applyAlignment="1">
      <alignment vertical="center" wrapText="1"/>
    </xf>
    <xf numFmtId="0" fontId="0" fillId="9" borderId="6" xfId="0" applyFill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166" fontId="6" fillId="0" borderId="6" xfId="0" applyNumberFormat="1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6" fillId="9" borderId="6" xfId="0" applyFont="1" applyFill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9" borderId="25" xfId="0" applyFill="1" applyBorder="1" applyAlignment="1">
      <alignment vertical="center" wrapText="1"/>
    </xf>
    <xf numFmtId="166" fontId="0" fillId="0" borderId="3" xfId="0" applyNumberFormat="1" applyBorder="1" applyAlignment="1">
      <alignment vertical="center" wrapText="1"/>
    </xf>
    <xf numFmtId="0" fontId="0" fillId="8" borderId="12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8" borderId="25" xfId="0" applyFill="1" applyBorder="1" applyAlignment="1">
      <alignment vertical="center" wrapText="1"/>
    </xf>
    <xf numFmtId="0" fontId="0" fillId="9" borderId="3" xfId="0" applyFill="1" applyBorder="1" applyAlignment="1">
      <alignment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vertical="top" wrapText="1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2CC"/>
      <rgbColor rgb="FFC1E5F5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E2EFDA"/>
      <rgbColor rgb="FFFFFF99"/>
      <rgbColor rgb="FF83CBEB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232920</xdr:colOff>
      <xdr:row>25</xdr:row>
      <xdr:rowOff>286920</xdr:rowOff>
    </xdr:from>
    <xdr:to>
      <xdr:col>20</xdr:col>
      <xdr:colOff>73800</xdr:colOff>
      <xdr:row>40</xdr:row>
      <xdr:rowOff>99720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4111880" y="8390160"/>
          <a:ext cx="9084240" cy="5356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305640</xdr:colOff>
      <xdr:row>63</xdr:row>
      <xdr:rowOff>145800</xdr:rowOff>
    </xdr:from>
    <xdr:to>
      <xdr:col>18</xdr:col>
      <xdr:colOff>515160</xdr:colOff>
      <xdr:row>67</xdr:row>
      <xdr:rowOff>196560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4184600" y="22363920"/>
          <a:ext cx="7912080" cy="1515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"/>
  <sheetViews>
    <sheetView topLeftCell="A84" zoomScale="51" zoomScaleNormal="20" workbookViewId="0">
      <selection activeCell="B16" sqref="B16"/>
    </sheetView>
  </sheetViews>
  <sheetFormatPr defaultColWidth="8.54296875" defaultRowHeight="14.5"/>
  <cols>
    <col min="1" max="1" width="33.08984375" customWidth="1"/>
    <col min="2" max="2" width="56.81640625" customWidth="1"/>
    <col min="3" max="3" width="48.36328125" customWidth="1"/>
    <col min="4" max="4" width="18.453125" customWidth="1"/>
    <col min="5" max="5" width="17.7265625" customWidth="1"/>
    <col min="6" max="6" width="18.54296875" customWidth="1"/>
    <col min="7" max="7" width="192.08984375" customWidth="1"/>
    <col min="8" max="8" width="101.54296875" customWidth="1"/>
  </cols>
  <sheetData>
    <row r="1" spans="1:8" ht="18" customHeight="1">
      <c r="A1" s="1" t="s">
        <v>0</v>
      </c>
    </row>
    <row r="2" spans="1:8">
      <c r="A2" s="2" t="s">
        <v>1</v>
      </c>
    </row>
    <row r="3" spans="1:8" ht="28.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ht="28.5" customHeight="1">
      <c r="A4" s="4" t="s">
        <v>10</v>
      </c>
      <c r="B4" s="5" t="s">
        <v>11</v>
      </c>
      <c r="C4" s="5">
        <v>35</v>
      </c>
      <c r="D4" s="5" t="s">
        <v>12</v>
      </c>
      <c r="E4" s="5">
        <v>2025</v>
      </c>
      <c r="F4" s="5" t="s">
        <v>13</v>
      </c>
      <c r="G4" s="6" t="s">
        <v>14</v>
      </c>
      <c r="H4" s="7" t="s">
        <v>15</v>
      </c>
    </row>
    <row r="5" spans="1:8" ht="28.5" customHeight="1">
      <c r="A5" s="8" t="s">
        <v>10</v>
      </c>
      <c r="B5" s="9" t="s">
        <v>16</v>
      </c>
      <c r="C5" s="9">
        <v>3</v>
      </c>
      <c r="D5" s="9" t="s">
        <v>12</v>
      </c>
      <c r="E5" s="9">
        <v>2025</v>
      </c>
      <c r="F5" s="9" t="s">
        <v>13</v>
      </c>
      <c r="G5" s="10" t="s">
        <v>14</v>
      </c>
      <c r="H5" s="11"/>
    </row>
    <row r="6" spans="1:8" ht="28.5" customHeight="1">
      <c r="A6" s="8" t="s">
        <v>10</v>
      </c>
      <c r="B6" s="9" t="s">
        <v>17</v>
      </c>
      <c r="C6" s="9">
        <v>32</v>
      </c>
      <c r="D6" s="9" t="s">
        <v>12</v>
      </c>
      <c r="E6" s="9">
        <v>2025</v>
      </c>
      <c r="F6" s="9" t="s">
        <v>13</v>
      </c>
      <c r="G6" s="10" t="s">
        <v>14</v>
      </c>
      <c r="H6" s="11"/>
    </row>
    <row r="7" spans="1:8">
      <c r="A7" s="8" t="s">
        <v>10</v>
      </c>
      <c r="B7" s="9" t="s">
        <v>18</v>
      </c>
      <c r="C7" s="12">
        <f>C4/C9*100000</f>
        <v>25.922469596646373</v>
      </c>
      <c r="D7" s="9" t="s">
        <v>19</v>
      </c>
      <c r="E7" s="9">
        <v>2025</v>
      </c>
      <c r="F7" s="9" t="s">
        <v>13</v>
      </c>
      <c r="G7" s="13" t="s">
        <v>20</v>
      </c>
      <c r="H7" s="11"/>
    </row>
    <row r="8" spans="1:8" ht="15" customHeight="1">
      <c r="A8" s="14" t="s">
        <v>10</v>
      </c>
      <c r="B8" s="15" t="s">
        <v>21</v>
      </c>
      <c r="C8" s="16">
        <f>C4/C10</f>
        <v>0.16908212560386474</v>
      </c>
      <c r="D8" s="15" t="s">
        <v>22</v>
      </c>
      <c r="E8" s="15">
        <v>2025</v>
      </c>
      <c r="F8" s="15" t="s">
        <v>13</v>
      </c>
      <c r="G8" s="17" t="s">
        <v>20</v>
      </c>
      <c r="H8" s="18"/>
    </row>
    <row r="9" spans="1:8" ht="28.5" customHeight="1">
      <c r="A9" s="19" t="s">
        <v>23</v>
      </c>
      <c r="B9" s="20" t="s">
        <v>24</v>
      </c>
      <c r="C9" s="19">
        <v>135018</v>
      </c>
      <c r="D9" s="19" t="s">
        <v>25</v>
      </c>
      <c r="E9" s="19">
        <v>2025</v>
      </c>
      <c r="F9" s="19" t="s">
        <v>13</v>
      </c>
      <c r="G9" s="20" t="s">
        <v>26</v>
      </c>
      <c r="H9" s="19"/>
    </row>
    <row r="10" spans="1:8" ht="31.5" customHeight="1">
      <c r="A10" s="21" t="s">
        <v>23</v>
      </c>
      <c r="B10" s="21" t="s">
        <v>27</v>
      </c>
      <c r="C10" s="21">
        <v>207</v>
      </c>
      <c r="D10" s="21" t="s">
        <v>28</v>
      </c>
      <c r="E10" s="21" t="s">
        <v>29</v>
      </c>
      <c r="F10" s="21" t="s">
        <v>13</v>
      </c>
      <c r="G10" s="22" t="s">
        <v>30</v>
      </c>
      <c r="H10" s="22" t="s">
        <v>31</v>
      </c>
    </row>
    <row r="11" spans="1:8" ht="28.5" customHeight="1">
      <c r="A11" s="23" t="s">
        <v>32</v>
      </c>
      <c r="B11" s="6" t="s">
        <v>33</v>
      </c>
      <c r="C11" s="5">
        <v>43275</v>
      </c>
      <c r="D11" s="5" t="s">
        <v>12</v>
      </c>
      <c r="E11" s="5">
        <v>2025</v>
      </c>
      <c r="F11" s="5" t="s">
        <v>13</v>
      </c>
      <c r="G11" s="6" t="s">
        <v>34</v>
      </c>
      <c r="H11" s="24"/>
    </row>
    <row r="12" spans="1:8">
      <c r="A12" s="25" t="s">
        <v>32</v>
      </c>
      <c r="B12" s="9" t="s">
        <v>35</v>
      </c>
      <c r="C12" s="26">
        <f>C11/C9*1000</f>
        <v>320.51282051282055</v>
      </c>
      <c r="D12" s="9" t="s">
        <v>36</v>
      </c>
      <c r="E12" s="9">
        <v>2025</v>
      </c>
      <c r="F12" s="9" t="s">
        <v>37</v>
      </c>
      <c r="G12" s="9" t="s">
        <v>38</v>
      </c>
      <c r="H12" s="11"/>
    </row>
    <row r="13" spans="1:8" ht="28.5" customHeight="1">
      <c r="A13" s="25" t="s">
        <v>32</v>
      </c>
      <c r="B13" s="10" t="s">
        <v>39</v>
      </c>
      <c r="C13" s="9">
        <v>20801</v>
      </c>
      <c r="D13" s="9" t="s">
        <v>12</v>
      </c>
      <c r="E13" s="9">
        <v>2024</v>
      </c>
      <c r="F13" s="9" t="s">
        <v>37</v>
      </c>
      <c r="G13" s="10" t="s">
        <v>40</v>
      </c>
      <c r="H13" s="11"/>
    </row>
    <row r="14" spans="1:8" ht="28.5" customHeight="1">
      <c r="A14" s="25" t="s">
        <v>32</v>
      </c>
      <c r="B14" s="9" t="s">
        <v>41</v>
      </c>
      <c r="C14" s="26">
        <f>C13/133739*1000</f>
        <v>155.53428693200937</v>
      </c>
      <c r="D14" s="9" t="s">
        <v>42</v>
      </c>
      <c r="E14" s="9">
        <v>2024</v>
      </c>
      <c r="F14" s="9" t="s">
        <v>37</v>
      </c>
      <c r="G14" s="10" t="s">
        <v>40</v>
      </c>
      <c r="H14" s="27" t="s">
        <v>43</v>
      </c>
    </row>
    <row r="15" spans="1:8">
      <c r="A15" s="25" t="s">
        <v>32</v>
      </c>
      <c r="B15" s="28" t="s">
        <v>44</v>
      </c>
      <c r="C15" s="29" t="s">
        <v>45</v>
      </c>
      <c r="D15" s="29"/>
      <c r="E15" s="30"/>
      <c r="F15" s="30"/>
      <c r="G15" s="31"/>
      <c r="H15" s="32"/>
    </row>
    <row r="16" spans="1:8" ht="28.5" customHeight="1">
      <c r="A16" s="25" t="s">
        <v>32</v>
      </c>
      <c r="B16" s="9" t="s">
        <v>46</v>
      </c>
      <c r="C16" s="9">
        <v>18241</v>
      </c>
      <c r="D16" s="33" t="s">
        <v>47</v>
      </c>
      <c r="E16" s="9">
        <v>2024</v>
      </c>
      <c r="F16" s="9" t="s">
        <v>37</v>
      </c>
      <c r="G16" s="10" t="s">
        <v>40</v>
      </c>
      <c r="H16" s="11" t="str">
        <f>"Quota: "&amp;TEXT(C16/$C$13,"0.0%")&amp;" degli stabilimenti"</f>
        <v>Quota: 87.7% degli stabilimenti</v>
      </c>
    </row>
    <row r="17" spans="1:8" ht="28.5" customHeight="1">
      <c r="A17" s="25" t="s">
        <v>32</v>
      </c>
      <c r="B17" s="10" t="s">
        <v>48</v>
      </c>
      <c r="C17" s="9">
        <v>1981</v>
      </c>
      <c r="D17" s="33" t="s">
        <v>47</v>
      </c>
      <c r="E17" s="9">
        <v>2024</v>
      </c>
      <c r="F17" s="9" t="s">
        <v>37</v>
      </c>
      <c r="G17" s="10" t="s">
        <v>40</v>
      </c>
      <c r="H17" s="11" t="str">
        <f>"Quota: "&amp;TEXT(C17/$C$13,"0.0%")&amp;" degli stabilimenti"</f>
        <v>Quota: 9.5% degli stabilimenti</v>
      </c>
    </row>
    <row r="18" spans="1:8" ht="28.5" customHeight="1">
      <c r="A18" s="34" t="s">
        <v>32</v>
      </c>
      <c r="B18" s="21" t="s">
        <v>49</v>
      </c>
      <c r="C18" s="21">
        <v>579</v>
      </c>
      <c r="D18" s="35" t="s">
        <v>47</v>
      </c>
      <c r="E18" s="9">
        <v>2024</v>
      </c>
      <c r="F18" s="21" t="s">
        <v>37</v>
      </c>
      <c r="G18" s="22" t="s">
        <v>40</v>
      </c>
      <c r="H18" s="11" t="str">
        <f>"Quota: "&amp;TEXT(C18/$C$13,"0.0%")&amp;" degli stabilimenti"</f>
        <v>Quota: 2.8% degli stabilimenti</v>
      </c>
    </row>
    <row r="19" spans="1:8" ht="28.5" customHeight="1">
      <c r="A19" s="34" t="s">
        <v>32</v>
      </c>
      <c r="B19" s="9" t="s">
        <v>50</v>
      </c>
      <c r="C19" s="9">
        <v>2100</v>
      </c>
      <c r="D19" s="9" t="s">
        <v>12</v>
      </c>
      <c r="E19" s="9" t="s">
        <v>51</v>
      </c>
      <c r="F19" s="9" t="s">
        <v>37</v>
      </c>
      <c r="G19" s="10" t="s">
        <v>52</v>
      </c>
      <c r="H19" s="27" t="s">
        <v>53</v>
      </c>
    </row>
    <row r="20" spans="1:8" ht="28.5" customHeight="1">
      <c r="A20" s="34" t="s">
        <v>32</v>
      </c>
      <c r="B20" s="10" t="s">
        <v>54</v>
      </c>
      <c r="C20" s="9">
        <v>200</v>
      </c>
      <c r="D20" s="9" t="s">
        <v>12</v>
      </c>
      <c r="E20" s="9" t="s">
        <v>51</v>
      </c>
      <c r="F20" s="9" t="s">
        <v>37</v>
      </c>
      <c r="G20" s="10" t="s">
        <v>52</v>
      </c>
      <c r="H20" s="11" t="s">
        <v>55</v>
      </c>
    </row>
    <row r="21" spans="1:8" ht="28.5" customHeight="1">
      <c r="A21" s="34" t="s">
        <v>32</v>
      </c>
      <c r="B21" s="10" t="s">
        <v>56</v>
      </c>
      <c r="C21" s="9">
        <v>100</v>
      </c>
      <c r="D21" s="9" t="s">
        <v>12</v>
      </c>
      <c r="E21" s="9" t="s">
        <v>51</v>
      </c>
      <c r="F21" s="9" t="s">
        <v>37</v>
      </c>
      <c r="G21" s="10" t="s">
        <v>52</v>
      </c>
      <c r="H21" s="11" t="s">
        <v>57</v>
      </c>
    </row>
    <row r="22" spans="1:8" ht="28.5" customHeight="1">
      <c r="A22" s="34" t="s">
        <v>32</v>
      </c>
      <c r="B22" s="10" t="s">
        <v>58</v>
      </c>
      <c r="C22" s="9">
        <v>700</v>
      </c>
      <c r="D22" s="9" t="s">
        <v>12</v>
      </c>
      <c r="E22" s="9" t="s">
        <v>51</v>
      </c>
      <c r="F22" s="9" t="s">
        <v>37</v>
      </c>
      <c r="G22" s="10" t="s">
        <v>52</v>
      </c>
      <c r="H22" s="11" t="s">
        <v>59</v>
      </c>
    </row>
    <row r="23" spans="1:8" ht="28.5" customHeight="1">
      <c r="A23" s="34" t="s">
        <v>32</v>
      </c>
      <c r="B23" s="10" t="s">
        <v>60</v>
      </c>
      <c r="C23" s="10">
        <v>9200</v>
      </c>
      <c r="D23" s="9" t="s">
        <v>61</v>
      </c>
      <c r="E23" s="9" t="s">
        <v>51</v>
      </c>
      <c r="F23" s="9" t="s">
        <v>37</v>
      </c>
      <c r="G23" s="10" t="s">
        <v>52</v>
      </c>
      <c r="H23" s="27" t="s">
        <v>62</v>
      </c>
    </row>
    <row r="24" spans="1:8" ht="29.25" customHeight="1">
      <c r="A24" s="36" t="s">
        <v>32</v>
      </c>
      <c r="B24" s="37" t="s">
        <v>63</v>
      </c>
      <c r="C24" s="15">
        <v>10</v>
      </c>
      <c r="D24" s="38" t="s">
        <v>64</v>
      </c>
      <c r="E24" s="15" t="s">
        <v>51</v>
      </c>
      <c r="F24" s="15" t="s">
        <v>37</v>
      </c>
      <c r="G24" s="37" t="s">
        <v>52</v>
      </c>
      <c r="H24" s="18" t="s">
        <v>65</v>
      </c>
    </row>
    <row r="25" spans="1:8" ht="28.5" customHeight="1">
      <c r="A25" s="39" t="s">
        <v>66</v>
      </c>
      <c r="B25" s="19" t="s">
        <v>67</v>
      </c>
      <c r="C25" s="19">
        <v>135123</v>
      </c>
      <c r="D25" s="19" t="s">
        <v>68</v>
      </c>
      <c r="E25" s="19">
        <v>2024</v>
      </c>
      <c r="F25" s="19" t="s">
        <v>13</v>
      </c>
      <c r="G25" s="20" t="s">
        <v>69</v>
      </c>
      <c r="H25" s="19"/>
    </row>
    <row r="26" spans="1:8" ht="28.5" customHeight="1">
      <c r="A26" s="29" t="s">
        <v>66</v>
      </c>
      <c r="B26" s="9" t="s">
        <v>70</v>
      </c>
      <c r="C26" s="9">
        <v>108105</v>
      </c>
      <c r="D26" s="9" t="s">
        <v>71</v>
      </c>
      <c r="E26" s="9">
        <v>2024</v>
      </c>
      <c r="F26" s="9" t="s">
        <v>13</v>
      </c>
      <c r="G26" s="10" t="s">
        <v>69</v>
      </c>
      <c r="H26" s="9"/>
    </row>
    <row r="27" spans="1:8" ht="34.5" customHeight="1">
      <c r="A27" s="29" t="s">
        <v>66</v>
      </c>
      <c r="B27" s="9" t="s">
        <v>72</v>
      </c>
      <c r="C27" s="40">
        <f>C25/133739*1000</f>
        <v>1010.348514644195</v>
      </c>
      <c r="D27" s="9" t="s">
        <v>73</v>
      </c>
      <c r="E27" s="9">
        <v>2024</v>
      </c>
      <c r="F27" s="9" t="s">
        <v>37</v>
      </c>
      <c r="G27" s="9" t="s">
        <v>74</v>
      </c>
      <c r="H27" s="10" t="s">
        <v>75</v>
      </c>
    </row>
    <row r="28" spans="1:8" ht="28.5" customHeight="1">
      <c r="A28" s="29" t="s">
        <v>66</v>
      </c>
      <c r="B28" s="9" t="s">
        <v>76</v>
      </c>
      <c r="C28" s="9">
        <v>77.599999999999994</v>
      </c>
      <c r="D28" s="9" t="s">
        <v>64</v>
      </c>
      <c r="E28" s="9">
        <v>2024</v>
      </c>
      <c r="F28" s="9" t="s">
        <v>13</v>
      </c>
      <c r="G28" s="10" t="s">
        <v>77</v>
      </c>
      <c r="H28" s="9" t="s">
        <v>78</v>
      </c>
    </row>
    <row r="29" spans="1:8" ht="28.5" customHeight="1">
      <c r="A29" s="29" t="s">
        <v>66</v>
      </c>
      <c r="B29" s="9" t="s">
        <v>79</v>
      </c>
      <c r="C29" s="9">
        <v>4.5999999999999996</v>
      </c>
      <c r="D29" s="9" t="s">
        <v>64</v>
      </c>
      <c r="E29" s="9">
        <v>2024</v>
      </c>
      <c r="F29" s="9" t="s">
        <v>13</v>
      </c>
      <c r="G29" s="10" t="s">
        <v>77</v>
      </c>
      <c r="H29" s="10" t="s">
        <v>80</v>
      </c>
    </row>
    <row r="30" spans="1:8" ht="28.5" customHeight="1">
      <c r="A30" s="29" t="s">
        <v>66</v>
      </c>
      <c r="B30" s="9" t="s">
        <v>81</v>
      </c>
      <c r="C30" s="9">
        <v>2.8</v>
      </c>
      <c r="D30" s="9" t="s">
        <v>64</v>
      </c>
      <c r="E30" s="9" t="s">
        <v>82</v>
      </c>
      <c r="F30" s="9" t="s">
        <v>37</v>
      </c>
      <c r="G30" s="10" t="s">
        <v>83</v>
      </c>
      <c r="H30" s="9" t="s">
        <v>84</v>
      </c>
    </row>
    <row r="31" spans="1:8" ht="28.5" customHeight="1">
      <c r="A31" s="29" t="s">
        <v>66</v>
      </c>
      <c r="B31" s="9" t="s">
        <v>85</v>
      </c>
      <c r="C31" s="9">
        <v>110748</v>
      </c>
      <c r="D31" s="9" t="s">
        <v>68</v>
      </c>
      <c r="E31" s="9">
        <v>2024</v>
      </c>
      <c r="F31" s="9" t="s">
        <v>37</v>
      </c>
      <c r="G31" s="22" t="s">
        <v>40</v>
      </c>
      <c r="H31" s="9" t="str">
        <f>"Quota: "&amp;TEXT(C31/$C$25,"0.0%")&amp;" degli addetti"</f>
        <v>Quota: 82.0% degli addetti</v>
      </c>
    </row>
    <row r="32" spans="1:8" ht="28.5" customHeight="1">
      <c r="A32" s="29" t="s">
        <v>66</v>
      </c>
      <c r="B32" s="9" t="s">
        <v>86</v>
      </c>
      <c r="C32" s="9">
        <v>22583</v>
      </c>
      <c r="D32" s="9" t="s">
        <v>68</v>
      </c>
      <c r="E32" s="9">
        <v>2024</v>
      </c>
      <c r="F32" s="9" t="s">
        <v>37</v>
      </c>
      <c r="G32" s="22" t="s">
        <v>40</v>
      </c>
      <c r="H32" s="9" t="str">
        <f>"Quota: "&amp;TEXT(C32/$C$25,"0.0%")&amp;" degli addetti"</f>
        <v>Quota: 16.7% degli addetti</v>
      </c>
    </row>
    <row r="33" spans="1:8" ht="28.5" customHeight="1">
      <c r="A33" s="29" t="s">
        <v>66</v>
      </c>
      <c r="B33" s="9" t="s">
        <v>87</v>
      </c>
      <c r="C33" s="9">
        <v>1792</v>
      </c>
      <c r="D33" s="9" t="s">
        <v>68</v>
      </c>
      <c r="E33" s="9">
        <v>2024</v>
      </c>
      <c r="F33" s="9" t="s">
        <v>37</v>
      </c>
      <c r="G33" s="22" t="s">
        <v>40</v>
      </c>
      <c r="H33" s="9" t="str">
        <f>"Quota: "&amp;TEXT(C33/$C$25,"0.0%")&amp;" degli addetti"</f>
        <v>Quota: 1.3% degli addetti</v>
      </c>
    </row>
    <row r="34" spans="1:8" ht="29.25" customHeight="1">
      <c r="A34" s="41" t="s">
        <v>66</v>
      </c>
      <c r="B34" s="21" t="s">
        <v>88</v>
      </c>
      <c r="C34" s="21">
        <v>10023</v>
      </c>
      <c r="D34" s="21" t="s">
        <v>68</v>
      </c>
      <c r="E34" s="21">
        <v>2024</v>
      </c>
      <c r="F34" s="21" t="s">
        <v>13</v>
      </c>
      <c r="G34" s="22" t="s">
        <v>89</v>
      </c>
      <c r="H34" s="21"/>
    </row>
    <row r="35" spans="1:8" ht="28.5" customHeight="1">
      <c r="A35" s="23" t="s">
        <v>90</v>
      </c>
      <c r="B35" s="5" t="s">
        <v>91</v>
      </c>
      <c r="C35" s="5">
        <v>4.0999999999999996</v>
      </c>
      <c r="D35" s="5" t="s">
        <v>92</v>
      </c>
      <c r="E35" s="5">
        <v>2025</v>
      </c>
      <c r="F35" s="5" t="s">
        <v>13</v>
      </c>
      <c r="G35" s="6" t="s">
        <v>34</v>
      </c>
      <c r="H35" s="24"/>
    </row>
    <row r="36" spans="1:8" ht="28.5" customHeight="1">
      <c r="A36" s="25" t="s">
        <v>90</v>
      </c>
      <c r="B36" s="9" t="s">
        <v>93</v>
      </c>
      <c r="C36" s="9">
        <v>429.4</v>
      </c>
      <c r="D36" s="10" t="s">
        <v>94</v>
      </c>
      <c r="E36" s="9">
        <v>2025</v>
      </c>
      <c r="F36" s="9" t="s">
        <v>37</v>
      </c>
      <c r="G36" s="10" t="s">
        <v>95</v>
      </c>
      <c r="H36" s="11" t="s">
        <v>96</v>
      </c>
    </row>
    <row r="37" spans="1:8" ht="28.5" customHeight="1">
      <c r="A37" s="25" t="s">
        <v>90</v>
      </c>
      <c r="B37" s="9" t="s">
        <v>97</v>
      </c>
      <c r="C37" s="9">
        <v>249.9</v>
      </c>
      <c r="D37" s="9" t="s">
        <v>64</v>
      </c>
      <c r="E37" s="9">
        <v>2025</v>
      </c>
      <c r="F37" s="9" t="s">
        <v>37</v>
      </c>
      <c r="G37" s="10" t="s">
        <v>95</v>
      </c>
      <c r="H37" s="27" t="s">
        <v>98</v>
      </c>
    </row>
    <row r="38" spans="1:8" ht="28.5" customHeight="1">
      <c r="A38" s="25" t="s">
        <v>90</v>
      </c>
      <c r="B38" s="9" t="s">
        <v>99</v>
      </c>
      <c r="C38" s="9">
        <v>2.2999999999999998</v>
      </c>
      <c r="D38" s="10" t="s">
        <v>100</v>
      </c>
      <c r="E38" s="9">
        <v>2025</v>
      </c>
      <c r="F38" s="9" t="s">
        <v>37</v>
      </c>
      <c r="G38" s="10" t="s">
        <v>95</v>
      </c>
      <c r="H38" s="27" t="s">
        <v>101</v>
      </c>
    </row>
    <row r="39" spans="1:8" ht="28.5" customHeight="1">
      <c r="A39" s="25" t="s">
        <v>90</v>
      </c>
      <c r="B39" s="9" t="s">
        <v>102</v>
      </c>
      <c r="C39" s="9" t="s">
        <v>103</v>
      </c>
      <c r="D39" s="9" t="s">
        <v>104</v>
      </c>
      <c r="E39" s="9">
        <v>2025</v>
      </c>
      <c r="F39" s="9" t="s">
        <v>37</v>
      </c>
      <c r="G39" s="10" t="s">
        <v>105</v>
      </c>
      <c r="H39" s="27" t="s">
        <v>106</v>
      </c>
    </row>
    <row r="40" spans="1:8" ht="30.75" customHeight="1">
      <c r="A40" s="36" t="s">
        <v>90</v>
      </c>
      <c r="B40" s="15" t="s">
        <v>107</v>
      </c>
      <c r="C40" s="15">
        <v>3</v>
      </c>
      <c r="D40" s="15" t="s">
        <v>12</v>
      </c>
      <c r="E40" s="15" t="s">
        <v>108</v>
      </c>
      <c r="F40" s="15" t="s">
        <v>37</v>
      </c>
      <c r="G40" s="37" t="s">
        <v>109</v>
      </c>
      <c r="H40" s="42" t="s">
        <v>110</v>
      </c>
    </row>
    <row r="41" spans="1:8" ht="28.5" customHeight="1">
      <c r="A41" s="43" t="s">
        <v>90</v>
      </c>
      <c r="B41" s="44" t="s">
        <v>111</v>
      </c>
      <c r="C41" s="44">
        <v>85.2</v>
      </c>
      <c r="D41" s="44" t="s">
        <v>112</v>
      </c>
      <c r="E41" s="44" t="s">
        <v>113</v>
      </c>
      <c r="F41" s="44" t="s">
        <v>114</v>
      </c>
      <c r="G41" s="45" t="s">
        <v>115</v>
      </c>
      <c r="H41" s="46" t="s">
        <v>116</v>
      </c>
    </row>
    <row r="42" spans="1:8" ht="28.5" customHeight="1">
      <c r="A42" s="43" t="s">
        <v>90</v>
      </c>
      <c r="B42" s="44" t="s">
        <v>117</v>
      </c>
      <c r="C42" s="44">
        <v>92.6</v>
      </c>
      <c r="D42" s="44" t="s">
        <v>112</v>
      </c>
      <c r="E42" s="44" t="s">
        <v>113</v>
      </c>
      <c r="F42" s="44" t="s">
        <v>114</v>
      </c>
      <c r="G42" s="45" t="s">
        <v>118</v>
      </c>
      <c r="H42" s="46" t="s">
        <v>119</v>
      </c>
    </row>
    <row r="43" spans="1:8" ht="28.5" customHeight="1">
      <c r="A43" s="43" t="s">
        <v>90</v>
      </c>
      <c r="B43" s="44" t="s">
        <v>120</v>
      </c>
      <c r="C43" s="44">
        <v>84.5</v>
      </c>
      <c r="D43" s="44" t="s">
        <v>112</v>
      </c>
      <c r="E43" s="44" t="s">
        <v>113</v>
      </c>
      <c r="F43" s="44" t="s">
        <v>114</v>
      </c>
      <c r="G43" s="45" t="s">
        <v>118</v>
      </c>
      <c r="H43" s="46" t="s">
        <v>121</v>
      </c>
    </row>
    <row r="44" spans="1:8" ht="28.5" customHeight="1">
      <c r="A44" s="43" t="s">
        <v>90</v>
      </c>
      <c r="B44" s="44" t="s">
        <v>122</v>
      </c>
      <c r="C44" s="44">
        <v>87.3</v>
      </c>
      <c r="D44" s="44" t="s">
        <v>112</v>
      </c>
      <c r="E44" s="44" t="s">
        <v>113</v>
      </c>
      <c r="F44" s="44" t="s">
        <v>114</v>
      </c>
      <c r="G44" s="45" t="s">
        <v>118</v>
      </c>
      <c r="H44" s="46" t="s">
        <v>123</v>
      </c>
    </row>
    <row r="45" spans="1:8" ht="28.5" customHeight="1">
      <c r="A45" s="47" t="s">
        <v>124</v>
      </c>
      <c r="B45" s="19" t="s">
        <v>125</v>
      </c>
      <c r="C45" s="48">
        <f>5747/C9*1000</f>
        <v>42.564695077693344</v>
      </c>
      <c r="D45" s="19" t="s">
        <v>73</v>
      </c>
      <c r="E45" s="19">
        <v>2025</v>
      </c>
      <c r="F45" s="19" t="s">
        <v>13</v>
      </c>
      <c r="G45" s="20" t="s">
        <v>126</v>
      </c>
      <c r="H45" s="19" t="s">
        <v>127</v>
      </c>
    </row>
    <row r="46" spans="1:8" ht="28.5" customHeight="1">
      <c r="A46" s="30" t="s">
        <v>124</v>
      </c>
      <c r="B46" s="9" t="s">
        <v>128</v>
      </c>
      <c r="C46" s="49">
        <f>413/C9*1000</f>
        <v>3.0588514124042723</v>
      </c>
      <c r="D46" s="9" t="s">
        <v>36</v>
      </c>
      <c r="E46" s="9">
        <v>2025</v>
      </c>
      <c r="F46" s="9" t="s">
        <v>13</v>
      </c>
      <c r="G46" s="10" t="s">
        <v>126</v>
      </c>
      <c r="H46" s="9" t="s">
        <v>129</v>
      </c>
    </row>
    <row r="47" spans="1:8" ht="28.5" customHeight="1">
      <c r="A47" s="30" t="s">
        <v>124</v>
      </c>
      <c r="B47" s="9" t="s">
        <v>130</v>
      </c>
      <c r="C47" s="9">
        <v>2.9</v>
      </c>
      <c r="D47" s="9" t="s">
        <v>36</v>
      </c>
      <c r="E47" s="9">
        <v>2025</v>
      </c>
      <c r="F47" s="9" t="s">
        <v>13</v>
      </c>
      <c r="G47" s="10" t="s">
        <v>126</v>
      </c>
      <c r="H47" s="9" t="s">
        <v>131</v>
      </c>
    </row>
    <row r="48" spans="1:8">
      <c r="A48" s="30" t="s">
        <v>124</v>
      </c>
      <c r="B48" s="9" t="s">
        <v>132</v>
      </c>
      <c r="C48" s="9">
        <v>2024</v>
      </c>
      <c r="D48" s="9" t="s">
        <v>133</v>
      </c>
      <c r="E48" s="9">
        <v>2024</v>
      </c>
      <c r="F48" s="9" t="s">
        <v>37</v>
      </c>
      <c r="G48" s="10" t="s">
        <v>134</v>
      </c>
      <c r="H48" s="9" t="s">
        <v>135</v>
      </c>
    </row>
    <row r="49" spans="1:8" ht="28.5" customHeight="1">
      <c r="A49" s="30" t="s">
        <v>124</v>
      </c>
      <c r="B49" s="9" t="s">
        <v>136</v>
      </c>
      <c r="C49" s="9">
        <v>21.5</v>
      </c>
      <c r="D49" s="9" t="s">
        <v>137</v>
      </c>
      <c r="E49" s="9">
        <v>2024</v>
      </c>
      <c r="F49" s="9" t="s">
        <v>37</v>
      </c>
      <c r="G49" s="10" t="s">
        <v>138</v>
      </c>
      <c r="H49" s="9" t="s">
        <v>139</v>
      </c>
    </row>
    <row r="50" spans="1:8" ht="15" customHeight="1">
      <c r="A50" s="30" t="s">
        <v>124</v>
      </c>
      <c r="B50" s="9" t="s">
        <v>140</v>
      </c>
      <c r="C50" s="9">
        <v>324.89999999999998</v>
      </c>
      <c r="D50" s="9" t="s">
        <v>141</v>
      </c>
      <c r="E50" s="9">
        <v>2027</v>
      </c>
      <c r="F50" s="9" t="s">
        <v>13</v>
      </c>
      <c r="G50" s="10" t="s">
        <v>142</v>
      </c>
      <c r="H50" s="9" t="s">
        <v>143</v>
      </c>
    </row>
    <row r="51" spans="1:8" ht="43.5" customHeight="1">
      <c r="A51" s="30" t="s">
        <v>124</v>
      </c>
      <c r="B51" t="s">
        <v>144</v>
      </c>
      <c r="C51" s="10" t="s">
        <v>145</v>
      </c>
      <c r="D51" s="9" t="s">
        <v>104</v>
      </c>
      <c r="E51" s="9" t="s">
        <v>113</v>
      </c>
      <c r="F51" s="9" t="s">
        <v>13</v>
      </c>
      <c r="G51" s="50" t="s">
        <v>146</v>
      </c>
      <c r="H51" s="51" t="s">
        <v>147</v>
      </c>
    </row>
    <row r="52" spans="1:8" ht="43.5" customHeight="1">
      <c r="A52" s="30" t="s">
        <v>124</v>
      </c>
      <c r="B52" s="9" t="s">
        <v>148</v>
      </c>
      <c r="C52" s="9" t="s">
        <v>103</v>
      </c>
      <c r="D52" s="9" t="s">
        <v>104</v>
      </c>
      <c r="E52" s="9" t="s">
        <v>104</v>
      </c>
      <c r="F52" s="9" t="s">
        <v>13</v>
      </c>
      <c r="G52" s="9" t="s">
        <v>104</v>
      </c>
      <c r="H52" s="9" t="s">
        <v>149</v>
      </c>
    </row>
    <row r="53" spans="1:8" ht="28.5" customHeight="1">
      <c r="A53" s="30" t="s">
        <v>124</v>
      </c>
      <c r="B53" s="9" t="s">
        <v>150</v>
      </c>
      <c r="C53" s="9">
        <v>29.9</v>
      </c>
      <c r="D53" s="9" t="s">
        <v>64</v>
      </c>
      <c r="E53" s="9" t="s">
        <v>151</v>
      </c>
      <c r="F53" s="9" t="s">
        <v>13</v>
      </c>
      <c r="G53" s="10" t="s">
        <v>152</v>
      </c>
      <c r="H53" s="9" t="s">
        <v>153</v>
      </c>
    </row>
    <row r="54" spans="1:8" ht="43.5" customHeight="1">
      <c r="A54" s="52" t="s">
        <v>124</v>
      </c>
      <c r="B54" s="21" t="s">
        <v>154</v>
      </c>
      <c r="C54" s="21" t="s">
        <v>103</v>
      </c>
      <c r="D54" s="21" t="s">
        <v>104</v>
      </c>
      <c r="E54" s="21" t="s">
        <v>104</v>
      </c>
      <c r="F54" s="21" t="s">
        <v>13</v>
      </c>
      <c r="G54" s="21" t="s">
        <v>104</v>
      </c>
      <c r="H54" s="21" t="s">
        <v>149</v>
      </c>
    </row>
    <row r="55" spans="1:8" ht="28.5" customHeight="1">
      <c r="A55" s="53" t="s">
        <v>155</v>
      </c>
      <c r="B55" s="6" t="s">
        <v>156</v>
      </c>
      <c r="C55" s="5">
        <v>21.7</v>
      </c>
      <c r="D55" s="5" t="s">
        <v>64</v>
      </c>
      <c r="E55" s="5">
        <v>2026</v>
      </c>
      <c r="F55" s="6" t="s">
        <v>157</v>
      </c>
      <c r="G55" s="6" t="s">
        <v>158</v>
      </c>
      <c r="H55" s="24" t="s">
        <v>159</v>
      </c>
    </row>
    <row r="56" spans="1:8" ht="28.5" customHeight="1">
      <c r="A56" s="54" t="s">
        <v>160</v>
      </c>
      <c r="B56" s="10" t="s">
        <v>161</v>
      </c>
      <c r="C56" s="9">
        <v>0.21299999999999999</v>
      </c>
      <c r="D56" s="9" t="s">
        <v>64</v>
      </c>
      <c r="E56" s="9">
        <v>2026</v>
      </c>
      <c r="F56" s="10" t="s">
        <v>157</v>
      </c>
      <c r="G56" s="10" t="s">
        <v>158</v>
      </c>
      <c r="H56" s="11" t="s">
        <v>162</v>
      </c>
    </row>
    <row r="57" spans="1:8" ht="28.5" customHeight="1">
      <c r="A57" s="54" t="s">
        <v>160</v>
      </c>
      <c r="B57" s="10" t="s">
        <v>163</v>
      </c>
      <c r="C57" s="9">
        <v>78</v>
      </c>
      <c r="D57" s="9" t="s">
        <v>64</v>
      </c>
      <c r="E57" s="9">
        <v>2026</v>
      </c>
      <c r="F57" s="10" t="s">
        <v>13</v>
      </c>
      <c r="G57" s="55" t="s">
        <v>164</v>
      </c>
      <c r="H57" s="11"/>
    </row>
    <row r="58" spans="1:8" ht="28.5" customHeight="1">
      <c r="A58" s="54" t="s">
        <v>165</v>
      </c>
      <c r="B58" s="9" t="s">
        <v>166</v>
      </c>
      <c r="C58" s="9">
        <v>157</v>
      </c>
      <c r="D58" s="9" t="s">
        <v>12</v>
      </c>
      <c r="E58" s="9">
        <v>2025</v>
      </c>
      <c r="F58" s="9" t="s">
        <v>13</v>
      </c>
      <c r="G58" s="10" t="s">
        <v>167</v>
      </c>
      <c r="H58" s="11" t="s">
        <v>168</v>
      </c>
    </row>
    <row r="59" spans="1:8" ht="28.5" customHeight="1">
      <c r="A59" s="54" t="s">
        <v>169</v>
      </c>
      <c r="B59" s="9" t="s">
        <v>170</v>
      </c>
      <c r="C59" s="9">
        <v>42.4</v>
      </c>
      <c r="D59" s="10" t="s">
        <v>94</v>
      </c>
      <c r="E59" s="9">
        <v>2025</v>
      </c>
      <c r="F59" s="9" t="s">
        <v>13</v>
      </c>
      <c r="G59" s="10" t="s">
        <v>171</v>
      </c>
      <c r="H59" s="11" t="s">
        <v>172</v>
      </c>
    </row>
    <row r="60" spans="1:8" ht="28.5" customHeight="1">
      <c r="A60" s="54" t="s">
        <v>169</v>
      </c>
      <c r="B60" s="9" t="s">
        <v>173</v>
      </c>
      <c r="C60" s="40">
        <f>42400000/157</f>
        <v>270063.69426751591</v>
      </c>
      <c r="D60" s="9" t="s">
        <v>174</v>
      </c>
      <c r="E60" s="9">
        <v>2025</v>
      </c>
      <c r="F60" s="9" t="s">
        <v>13</v>
      </c>
      <c r="G60" s="10" t="s">
        <v>171</v>
      </c>
      <c r="H60" s="11" t="s">
        <v>175</v>
      </c>
    </row>
    <row r="61" spans="1:8" ht="28.5" customHeight="1">
      <c r="A61" s="54" t="s">
        <v>169</v>
      </c>
      <c r="B61" s="9" t="s">
        <v>176</v>
      </c>
      <c r="C61" s="9">
        <v>500000</v>
      </c>
      <c r="D61" s="9" t="s">
        <v>174</v>
      </c>
      <c r="E61" s="9">
        <v>2026</v>
      </c>
      <c r="F61" s="9" t="s">
        <v>13</v>
      </c>
      <c r="G61" s="10" t="s">
        <v>177</v>
      </c>
      <c r="H61" s="11" t="s">
        <v>178</v>
      </c>
    </row>
    <row r="62" spans="1:8" ht="29.25" customHeight="1">
      <c r="A62" s="54" t="s">
        <v>179</v>
      </c>
      <c r="B62" t="s">
        <v>180</v>
      </c>
      <c r="C62" s="9" t="s">
        <v>181</v>
      </c>
      <c r="D62" s="9" t="s">
        <v>64</v>
      </c>
      <c r="E62" s="9">
        <v>2026</v>
      </c>
      <c r="F62" s="9" t="s">
        <v>13</v>
      </c>
      <c r="G62" s="10" t="s">
        <v>182</v>
      </c>
      <c r="H62" s="11" t="s">
        <v>183</v>
      </c>
    </row>
    <row r="63" spans="1:8" ht="28.5" customHeight="1">
      <c r="A63" s="54" t="s">
        <v>179</v>
      </c>
      <c r="B63" s="9" t="s">
        <v>184</v>
      </c>
      <c r="C63" s="9">
        <v>20</v>
      </c>
      <c r="D63" s="9" t="s">
        <v>64</v>
      </c>
      <c r="E63" s="9">
        <v>2026</v>
      </c>
      <c r="F63" s="9" t="s">
        <v>13</v>
      </c>
      <c r="G63" s="10" t="s">
        <v>185</v>
      </c>
      <c r="H63" s="11" t="s">
        <v>186</v>
      </c>
    </row>
    <row r="64" spans="1:8" ht="28.5" customHeight="1">
      <c r="A64" s="54" t="s">
        <v>187</v>
      </c>
      <c r="B64" s="9" t="s">
        <v>188</v>
      </c>
      <c r="C64" s="10" t="s">
        <v>189</v>
      </c>
      <c r="D64" s="9" t="s">
        <v>104</v>
      </c>
      <c r="E64" s="9">
        <v>2026</v>
      </c>
      <c r="F64" s="9" t="s">
        <v>190</v>
      </c>
      <c r="G64" s="10" t="s">
        <v>191</v>
      </c>
      <c r="H64" s="11" t="s">
        <v>192</v>
      </c>
    </row>
    <row r="65" spans="1:8" ht="28.5" customHeight="1">
      <c r="A65" s="54" t="s">
        <v>187</v>
      </c>
      <c r="B65" s="9" t="s">
        <v>193</v>
      </c>
      <c r="C65" s="9" t="s">
        <v>194</v>
      </c>
      <c r="D65" s="9" t="s">
        <v>104</v>
      </c>
      <c r="E65" s="9">
        <v>2026</v>
      </c>
      <c r="F65" s="10" t="s">
        <v>195</v>
      </c>
      <c r="G65" s="10" t="s">
        <v>196</v>
      </c>
      <c r="H65" s="11" t="s">
        <v>197</v>
      </c>
    </row>
    <row r="66" spans="1:8" ht="29">
      <c r="A66" s="56" t="s">
        <v>187</v>
      </c>
      <c r="B66" s="15" t="s">
        <v>198</v>
      </c>
      <c r="C66" s="15">
        <v>19</v>
      </c>
      <c r="D66" s="15" t="s">
        <v>12</v>
      </c>
      <c r="E66" s="15" t="s">
        <v>199</v>
      </c>
      <c r="F66" s="15" t="s">
        <v>13</v>
      </c>
      <c r="G66" s="37" t="s">
        <v>200</v>
      </c>
      <c r="H66" s="42" t="s">
        <v>201</v>
      </c>
    </row>
    <row r="67" spans="1:8" ht="28.5" customHeight="1">
      <c r="A67" s="57" t="s">
        <v>202</v>
      </c>
      <c r="B67" s="19" t="s">
        <v>203</v>
      </c>
      <c r="C67" s="19">
        <v>0.2</v>
      </c>
      <c r="D67" s="19" t="s">
        <v>64</v>
      </c>
      <c r="E67" s="19">
        <v>2026</v>
      </c>
      <c r="F67" s="19" t="s">
        <v>37</v>
      </c>
      <c r="G67" s="20" t="s">
        <v>204</v>
      </c>
      <c r="H67" s="19" t="s">
        <v>205</v>
      </c>
    </row>
    <row r="68" spans="1:8" ht="28.5" customHeight="1">
      <c r="A68" s="58" t="s">
        <v>202</v>
      </c>
      <c r="B68" s="9" t="s">
        <v>206</v>
      </c>
      <c r="C68" s="9">
        <v>17900</v>
      </c>
      <c r="D68" s="9" t="s">
        <v>207</v>
      </c>
      <c r="E68" s="9" t="s">
        <v>208</v>
      </c>
      <c r="F68" s="9" t="s">
        <v>13</v>
      </c>
      <c r="G68" s="10" t="s">
        <v>209</v>
      </c>
      <c r="H68" s="9" t="s">
        <v>210</v>
      </c>
    </row>
    <row r="69" spans="1:8" ht="28.5" customHeight="1">
      <c r="A69" s="58" t="s">
        <v>202</v>
      </c>
      <c r="B69" s="59" t="s">
        <v>211</v>
      </c>
      <c r="C69" s="9">
        <v>7</v>
      </c>
      <c r="D69" s="9" t="s">
        <v>64</v>
      </c>
      <c r="E69" s="9" t="s">
        <v>212</v>
      </c>
      <c r="F69" s="9" t="s">
        <v>13</v>
      </c>
      <c r="G69" s="10" t="s">
        <v>213</v>
      </c>
      <c r="H69" s="9" t="s">
        <v>214</v>
      </c>
    </row>
    <row r="70" spans="1:8" ht="15" customHeight="1">
      <c r="A70" s="58" t="s">
        <v>202</v>
      </c>
      <c r="B70" s="9" t="s">
        <v>215</v>
      </c>
      <c r="C70" s="9" t="s">
        <v>216</v>
      </c>
      <c r="D70" s="9" t="s">
        <v>207</v>
      </c>
      <c r="E70" s="9">
        <v>2025</v>
      </c>
      <c r="F70" s="9" t="s">
        <v>13</v>
      </c>
      <c r="G70" s="9"/>
      <c r="H70" s="9" t="s">
        <v>217</v>
      </c>
    </row>
    <row r="71" spans="1:8" ht="28.5" customHeight="1">
      <c r="A71" s="58" t="s">
        <v>202</v>
      </c>
      <c r="B71" s="10" t="s">
        <v>218</v>
      </c>
      <c r="C71" s="9" t="s">
        <v>216</v>
      </c>
      <c r="D71" s="9" t="s">
        <v>207</v>
      </c>
      <c r="E71" s="9">
        <v>2025</v>
      </c>
      <c r="F71" s="9" t="s">
        <v>37</v>
      </c>
      <c r="G71" s="9"/>
      <c r="H71" s="9" t="s">
        <v>219</v>
      </c>
    </row>
    <row r="72" spans="1:8" ht="28.5" customHeight="1">
      <c r="A72" s="58" t="s">
        <v>202</v>
      </c>
      <c r="B72" s="9" t="s">
        <v>220</v>
      </c>
      <c r="C72" s="9" t="s">
        <v>221</v>
      </c>
      <c r="D72" s="9" t="s">
        <v>222</v>
      </c>
      <c r="E72" s="9">
        <v>2026</v>
      </c>
      <c r="F72" s="9" t="s">
        <v>223</v>
      </c>
      <c r="G72" s="10" t="s">
        <v>224</v>
      </c>
      <c r="H72" s="10" t="s">
        <v>225</v>
      </c>
    </row>
    <row r="73" spans="1:8" ht="28.5" customHeight="1">
      <c r="A73" s="58" t="s">
        <v>202</v>
      </c>
      <c r="B73" s="9" t="s">
        <v>226</v>
      </c>
      <c r="C73" s="9" t="s">
        <v>227</v>
      </c>
      <c r="D73" s="9" t="s">
        <v>228</v>
      </c>
      <c r="E73" s="9">
        <v>2026</v>
      </c>
      <c r="F73" s="9" t="s">
        <v>37</v>
      </c>
      <c r="G73" s="9" t="s">
        <v>229</v>
      </c>
      <c r="H73" s="10" t="s">
        <v>230</v>
      </c>
    </row>
    <row r="74" spans="1:8" ht="28.5" customHeight="1">
      <c r="A74" s="60" t="s">
        <v>202</v>
      </c>
      <c r="B74" s="21" t="s">
        <v>231</v>
      </c>
      <c r="C74" s="21" t="s">
        <v>232</v>
      </c>
      <c r="D74" s="21" t="s">
        <v>104</v>
      </c>
      <c r="E74" s="21">
        <v>2026</v>
      </c>
      <c r="F74" s="21" t="s">
        <v>223</v>
      </c>
      <c r="G74" s="21" t="s">
        <v>233</v>
      </c>
      <c r="H74" s="21" t="s">
        <v>234</v>
      </c>
    </row>
    <row r="75" spans="1:8" ht="29.25" customHeight="1">
      <c r="A75" s="4" t="s">
        <v>235</v>
      </c>
      <c r="B75" s="61" t="s">
        <v>236</v>
      </c>
      <c r="C75" s="5">
        <v>135018</v>
      </c>
      <c r="D75" s="5" t="s">
        <v>25</v>
      </c>
      <c r="E75" s="5">
        <v>2025</v>
      </c>
      <c r="F75" s="5" t="s">
        <v>13</v>
      </c>
      <c r="G75" s="6" t="s">
        <v>237</v>
      </c>
      <c r="H75" s="24" t="s">
        <v>238</v>
      </c>
    </row>
    <row r="76" spans="1:8" ht="28.5" customHeight="1">
      <c r="A76" s="8" t="s">
        <v>235</v>
      </c>
      <c r="B76" s="9" t="s">
        <v>239</v>
      </c>
      <c r="C76" s="9">
        <v>30.6</v>
      </c>
      <c r="D76" s="9" t="s">
        <v>64</v>
      </c>
      <c r="E76" s="9">
        <v>2025</v>
      </c>
      <c r="F76" s="9" t="s">
        <v>37</v>
      </c>
      <c r="G76" s="10" t="s">
        <v>237</v>
      </c>
      <c r="H76" s="11" t="s">
        <v>240</v>
      </c>
    </row>
    <row r="77" spans="1:8" ht="29">
      <c r="A77" s="8" t="s">
        <v>235</v>
      </c>
      <c r="B77" s="9" t="s">
        <v>241</v>
      </c>
      <c r="C77" s="9">
        <v>995</v>
      </c>
      <c r="D77" s="9" t="s">
        <v>242</v>
      </c>
      <c r="E77" s="9">
        <v>2025</v>
      </c>
      <c r="F77" s="9" t="s">
        <v>37</v>
      </c>
      <c r="G77" s="10" t="s">
        <v>243</v>
      </c>
      <c r="H77" s="11" t="s">
        <v>244</v>
      </c>
    </row>
    <row r="78" spans="1:8" ht="29">
      <c r="A78" s="8" t="s">
        <v>235</v>
      </c>
      <c r="B78" s="9" t="s">
        <v>245</v>
      </c>
      <c r="C78" s="26">
        <f>651/133739*1000</f>
        <v>4.8676900530137051</v>
      </c>
      <c r="D78" s="9" t="s">
        <v>246</v>
      </c>
      <c r="E78" s="9">
        <v>2025</v>
      </c>
      <c r="F78" s="9" t="s">
        <v>37</v>
      </c>
      <c r="G78" s="55" t="s">
        <v>247</v>
      </c>
      <c r="H78" s="62" t="s">
        <v>248</v>
      </c>
    </row>
    <row r="79" spans="1:8" ht="28.5" customHeight="1">
      <c r="A79" s="14" t="s">
        <v>235</v>
      </c>
      <c r="B79" s="15" t="s">
        <v>249</v>
      </c>
      <c r="C79" s="15" t="s">
        <v>250</v>
      </c>
      <c r="D79" s="15" t="s">
        <v>251</v>
      </c>
      <c r="E79" s="15">
        <v>2025</v>
      </c>
      <c r="F79" s="15" t="s">
        <v>13</v>
      </c>
      <c r="G79" s="63" t="s">
        <v>252</v>
      </c>
      <c r="H79" s="18" t="s">
        <v>253</v>
      </c>
    </row>
    <row r="80" spans="1:8" ht="28.5" customHeight="1">
      <c r="A80" s="57" t="s">
        <v>254</v>
      </c>
      <c r="B80" s="19" t="s">
        <v>255</v>
      </c>
      <c r="C80" s="19">
        <v>555</v>
      </c>
      <c r="D80" s="19" t="s">
        <v>12</v>
      </c>
      <c r="E80" s="19">
        <v>2025</v>
      </c>
      <c r="F80" s="19" t="s">
        <v>13</v>
      </c>
      <c r="G80" s="64" t="s">
        <v>256</v>
      </c>
      <c r="H80" s="19" t="s">
        <v>257</v>
      </c>
    </row>
    <row r="81" spans="1:8" ht="28.5" customHeight="1">
      <c r="A81" s="58" t="s">
        <v>254</v>
      </c>
      <c r="B81" s="9" t="s">
        <v>258</v>
      </c>
      <c r="C81" s="26">
        <f>555/135018*1000</f>
        <v>4.1105630360396397</v>
      </c>
      <c r="D81" s="9" t="s">
        <v>259</v>
      </c>
      <c r="E81" s="9">
        <v>2025</v>
      </c>
      <c r="F81" s="9" t="s">
        <v>37</v>
      </c>
      <c r="G81" s="9" t="s">
        <v>260</v>
      </c>
      <c r="H81" s="9" t="s">
        <v>261</v>
      </c>
    </row>
    <row r="82" spans="1:8" ht="28.5" customHeight="1">
      <c r="A82" s="58" t="s">
        <v>254</v>
      </c>
      <c r="B82" s="9" t="s">
        <v>262</v>
      </c>
      <c r="C82" s="49">
        <f>353/135018*1000</f>
        <v>2.6144662193189059</v>
      </c>
      <c r="D82" s="9" t="s">
        <v>259</v>
      </c>
      <c r="E82" s="9">
        <v>2025</v>
      </c>
      <c r="F82" s="9" t="s">
        <v>37</v>
      </c>
      <c r="G82" s="9" t="s">
        <v>260</v>
      </c>
      <c r="H82" s="9" t="s">
        <v>263</v>
      </c>
    </row>
    <row r="83" spans="1:8" ht="15" customHeight="1">
      <c r="A83" s="58" t="s">
        <v>254</v>
      </c>
      <c r="B83" s="9" t="s">
        <v>264</v>
      </c>
      <c r="C83" s="9">
        <v>5</v>
      </c>
      <c r="D83" s="9" t="s">
        <v>12</v>
      </c>
      <c r="E83" s="9">
        <v>2026</v>
      </c>
      <c r="F83" s="9" t="s">
        <v>37</v>
      </c>
      <c r="G83" s="10" t="s">
        <v>265</v>
      </c>
      <c r="H83" s="10" t="s">
        <v>266</v>
      </c>
    </row>
    <row r="84" spans="1:8" ht="28.5" customHeight="1">
      <c r="A84" s="58" t="s">
        <v>254</v>
      </c>
      <c r="B84" s="9" t="s">
        <v>267</v>
      </c>
      <c r="C84" s="9">
        <v>568</v>
      </c>
      <c r="D84" s="9" t="s">
        <v>268</v>
      </c>
      <c r="E84" s="9">
        <v>2024</v>
      </c>
      <c r="F84" s="9" t="s">
        <v>13</v>
      </c>
      <c r="G84" s="55" t="s">
        <v>269</v>
      </c>
      <c r="H84" s="9" t="s">
        <v>270</v>
      </c>
    </row>
    <row r="85" spans="1:8" ht="28.5" customHeight="1">
      <c r="A85" s="58" t="s">
        <v>254</v>
      </c>
      <c r="B85" s="9" t="s">
        <v>271</v>
      </c>
      <c r="C85" s="26">
        <f>C84/133739*1000</f>
        <v>4.2470782643806224</v>
      </c>
      <c r="D85" s="9" t="s">
        <v>272</v>
      </c>
      <c r="E85" s="9">
        <v>2024</v>
      </c>
      <c r="F85" s="9" t="s">
        <v>13</v>
      </c>
      <c r="G85" s="10" t="s">
        <v>269</v>
      </c>
      <c r="H85" s="9" t="s">
        <v>273</v>
      </c>
    </row>
    <row r="86" spans="1:8" ht="28.5" customHeight="1">
      <c r="A86" s="58" t="s">
        <v>254</v>
      </c>
      <c r="B86" s="9" t="s">
        <v>274</v>
      </c>
      <c r="C86" s="26">
        <f>211/133739*1000</f>
        <v>1.5776998482118156</v>
      </c>
      <c r="D86" t="s">
        <v>272</v>
      </c>
      <c r="E86" s="9">
        <v>2024</v>
      </c>
      <c r="F86" s="9" t="s">
        <v>13</v>
      </c>
      <c r="G86" s="55" t="s">
        <v>269</v>
      </c>
      <c r="H86" s="9" t="s">
        <v>275</v>
      </c>
    </row>
    <row r="87" spans="1:8" ht="28.5" customHeight="1">
      <c r="A87" s="60" t="s">
        <v>254</v>
      </c>
      <c r="B87" s="21" t="s">
        <v>276</v>
      </c>
      <c r="C87" s="65">
        <v>84.6</v>
      </c>
      <c r="D87" s="21" t="s">
        <v>277</v>
      </c>
      <c r="E87" s="65" t="s">
        <v>278</v>
      </c>
      <c r="F87" s="65" t="s">
        <v>279</v>
      </c>
      <c r="G87" s="65" t="s">
        <v>280</v>
      </c>
      <c r="H87" s="65" t="s">
        <v>281</v>
      </c>
    </row>
    <row r="88" spans="1:8" ht="29.25" customHeight="1">
      <c r="A88" s="66" t="s">
        <v>282</v>
      </c>
      <c r="B88" s="5" t="s">
        <v>283</v>
      </c>
      <c r="C88" s="5">
        <v>18</v>
      </c>
      <c r="D88" s="5" t="s">
        <v>12</v>
      </c>
      <c r="E88" s="5">
        <v>2026</v>
      </c>
      <c r="F88" s="5" t="s">
        <v>37</v>
      </c>
      <c r="G88" s="6" t="s">
        <v>284</v>
      </c>
      <c r="H88" s="24" t="s">
        <v>285</v>
      </c>
    </row>
    <row r="89" spans="1:8" ht="28.5" customHeight="1">
      <c r="A89" s="67" t="s">
        <v>282</v>
      </c>
      <c r="B89" s="9" t="s">
        <v>286</v>
      </c>
      <c r="C89" s="9">
        <v>14</v>
      </c>
      <c r="D89" s="9" t="s">
        <v>12</v>
      </c>
      <c r="E89" s="9">
        <v>2026</v>
      </c>
      <c r="F89" s="9" t="s">
        <v>37</v>
      </c>
      <c r="G89" s="10" t="s">
        <v>284</v>
      </c>
      <c r="H89" s="11" t="s">
        <v>287</v>
      </c>
    </row>
    <row r="90" spans="1:8" ht="28.5" customHeight="1">
      <c r="A90" s="67" t="s">
        <v>282</v>
      </c>
      <c r="B90" s="10" t="s">
        <v>288</v>
      </c>
      <c r="C90" s="9">
        <v>3</v>
      </c>
      <c r="D90" s="9" t="s">
        <v>47</v>
      </c>
      <c r="E90" s="9">
        <v>2026</v>
      </c>
      <c r="F90" s="9" t="s">
        <v>13</v>
      </c>
      <c r="G90" s="68" t="s">
        <v>284</v>
      </c>
      <c r="H90" s="27" t="s">
        <v>289</v>
      </c>
    </row>
    <row r="91" spans="1:8" ht="28.5" customHeight="1">
      <c r="A91" s="69" t="s">
        <v>290</v>
      </c>
      <c r="B91" s="59" t="s">
        <v>291</v>
      </c>
      <c r="C91" s="59">
        <v>54.6</v>
      </c>
      <c r="D91" s="59" t="s">
        <v>292</v>
      </c>
      <c r="E91" s="59">
        <v>2023</v>
      </c>
      <c r="F91" s="59" t="s">
        <v>13</v>
      </c>
      <c r="G91" s="59" t="s">
        <v>293</v>
      </c>
      <c r="H91" s="70" t="s">
        <v>294</v>
      </c>
    </row>
    <row r="92" spans="1:8" ht="28.5" customHeight="1">
      <c r="A92" s="71" t="s">
        <v>290</v>
      </c>
      <c r="B92" s="15" t="s">
        <v>295</v>
      </c>
      <c r="C92" s="15">
        <v>0</v>
      </c>
      <c r="D92" s="72" t="s">
        <v>47</v>
      </c>
      <c r="E92" s="72" t="s">
        <v>296</v>
      </c>
      <c r="F92" s="72" t="s">
        <v>13</v>
      </c>
      <c r="G92" s="73" t="s">
        <v>297</v>
      </c>
      <c r="H92" s="74" t="s">
        <v>298</v>
      </c>
    </row>
    <row r="93" spans="1:8" ht="28.5" customHeight="1">
      <c r="A93" s="75" t="s">
        <v>299</v>
      </c>
      <c r="B93" s="76" t="s">
        <v>300</v>
      </c>
      <c r="C93" s="77">
        <f>92038809059/75707</f>
        <v>1215723.8968523387</v>
      </c>
      <c r="D93" s="76" t="s">
        <v>174</v>
      </c>
      <c r="E93" s="76">
        <v>2022</v>
      </c>
      <c r="F93" s="78" t="s">
        <v>13</v>
      </c>
      <c r="G93" s="76" t="s">
        <v>301</v>
      </c>
      <c r="H93" s="76" t="s">
        <v>302</v>
      </c>
    </row>
    <row r="94" spans="1:8" ht="28.5" customHeight="1">
      <c r="A94" s="79" t="s">
        <v>299</v>
      </c>
      <c r="B94" s="59" t="s">
        <v>303</v>
      </c>
      <c r="C94" s="59">
        <v>15.6</v>
      </c>
      <c r="D94" s="59" t="s">
        <v>304</v>
      </c>
      <c r="E94" s="59">
        <v>2022</v>
      </c>
      <c r="F94" s="80" t="s">
        <v>13</v>
      </c>
      <c r="G94" s="59" t="s">
        <v>305</v>
      </c>
      <c r="H94" s="59" t="s">
        <v>306</v>
      </c>
    </row>
    <row r="95" spans="1:8" ht="28.5" customHeight="1">
      <c r="A95" s="79" t="s">
        <v>299</v>
      </c>
      <c r="B95" s="59" t="s">
        <v>307</v>
      </c>
      <c r="C95" s="59">
        <v>1.66</v>
      </c>
      <c r="D95" s="59" t="s">
        <v>304</v>
      </c>
      <c r="E95" s="59">
        <v>2022</v>
      </c>
      <c r="F95" s="80" t="s">
        <v>13</v>
      </c>
      <c r="G95" s="59" t="s">
        <v>308</v>
      </c>
      <c r="H95" s="59" t="s">
        <v>309</v>
      </c>
    </row>
    <row r="96" spans="1:8" ht="28.5" customHeight="1">
      <c r="A96" s="79" t="s">
        <v>299</v>
      </c>
      <c r="B96" s="59" t="s">
        <v>310</v>
      </c>
      <c r="C96" s="59">
        <v>4.0199999999999996</v>
      </c>
      <c r="D96" s="59" t="s">
        <v>64</v>
      </c>
      <c r="E96" s="59">
        <v>2022</v>
      </c>
      <c r="F96" s="59" t="s">
        <v>13</v>
      </c>
      <c r="G96" s="59" t="s">
        <v>311</v>
      </c>
      <c r="H96" s="59" t="s">
        <v>312</v>
      </c>
    </row>
    <row r="97" spans="1:8" ht="29">
      <c r="A97" s="79" t="s">
        <v>299</v>
      </c>
      <c r="B97" s="59" t="s">
        <v>313</v>
      </c>
      <c r="C97" s="59">
        <v>57.3</v>
      </c>
      <c r="D97" s="59" t="s">
        <v>64</v>
      </c>
      <c r="E97" s="59">
        <v>2022</v>
      </c>
      <c r="F97" s="59" t="s">
        <v>13</v>
      </c>
      <c r="G97" s="59" t="s">
        <v>314</v>
      </c>
      <c r="H97" s="9" t="s">
        <v>315</v>
      </c>
    </row>
    <row r="98" spans="1:8" ht="29">
      <c r="A98" s="79" t="s">
        <v>299</v>
      </c>
      <c r="B98" s="59" t="s">
        <v>316</v>
      </c>
      <c r="C98" s="81">
        <v>910382</v>
      </c>
      <c r="D98" s="59" t="s">
        <v>317</v>
      </c>
      <c r="E98" s="59">
        <v>2025</v>
      </c>
      <c r="F98" s="82" t="s">
        <v>318</v>
      </c>
      <c r="G98" s="59" t="s">
        <v>319</v>
      </c>
      <c r="H98" s="59" t="s">
        <v>320</v>
      </c>
    </row>
    <row r="99" spans="1:8" ht="29">
      <c r="A99" s="79" t="s">
        <v>299</v>
      </c>
      <c r="B99" s="59" t="s">
        <v>321</v>
      </c>
      <c r="C99" s="81">
        <v>145555</v>
      </c>
      <c r="D99" s="59" t="s">
        <v>317</v>
      </c>
      <c r="E99" s="59">
        <v>2025</v>
      </c>
      <c r="F99" s="82" t="s">
        <v>318</v>
      </c>
      <c r="G99" s="59" t="s">
        <v>319</v>
      </c>
      <c r="H99" s="59" t="s">
        <v>322</v>
      </c>
    </row>
    <row r="100" spans="1:8" ht="29">
      <c r="A100" s="79" t="s">
        <v>299</v>
      </c>
      <c r="B100" s="59" t="s">
        <v>323</v>
      </c>
      <c r="C100" s="59">
        <v>45</v>
      </c>
      <c r="D100" s="59" t="s">
        <v>47</v>
      </c>
      <c r="E100" s="59">
        <v>2024</v>
      </c>
      <c r="F100" s="59" t="s">
        <v>13</v>
      </c>
      <c r="G100" s="59" t="s">
        <v>324</v>
      </c>
      <c r="H100" s="59" t="s">
        <v>325</v>
      </c>
    </row>
    <row r="101" spans="1:8">
      <c r="A101" s="83" t="s">
        <v>299</v>
      </c>
      <c r="B101" s="83" t="s">
        <v>326</v>
      </c>
      <c r="C101" s="83">
        <v>944000</v>
      </c>
      <c r="D101" s="83" t="s">
        <v>47</v>
      </c>
      <c r="E101" s="83" t="s">
        <v>113</v>
      </c>
      <c r="F101" s="83" t="s">
        <v>318</v>
      </c>
      <c r="G101" s="83" t="s">
        <v>327</v>
      </c>
      <c r="H101" s="83" t="s">
        <v>328</v>
      </c>
    </row>
    <row r="102" spans="1:8">
      <c r="A102" s="83" t="s">
        <v>299</v>
      </c>
      <c r="B102" s="83" t="s">
        <v>329</v>
      </c>
      <c r="C102" s="83">
        <v>114000</v>
      </c>
      <c r="D102" s="83" t="s">
        <v>47</v>
      </c>
      <c r="E102" s="83" t="s">
        <v>113</v>
      </c>
      <c r="F102" s="83" t="s">
        <v>318</v>
      </c>
      <c r="G102" s="83" t="s">
        <v>327</v>
      </c>
      <c r="H102" s="83" t="s">
        <v>330</v>
      </c>
    </row>
    <row r="103" spans="1:8">
      <c r="A103" s="83" t="s">
        <v>299</v>
      </c>
      <c r="B103" s="83" t="s">
        <v>331</v>
      </c>
      <c r="C103" s="83">
        <v>0.68</v>
      </c>
      <c r="D103" s="83" t="s">
        <v>332</v>
      </c>
      <c r="E103" s="83" t="s">
        <v>113</v>
      </c>
      <c r="F103" s="83" t="s">
        <v>318</v>
      </c>
      <c r="G103" s="83" t="s">
        <v>327</v>
      </c>
      <c r="H103" s="83" t="s">
        <v>333</v>
      </c>
    </row>
  </sheetData>
  <pageMargins left="0.7" right="0.7" top="0.75" bottom="0.75" header="0.511811023622047" footer="0.511811023622047"/>
  <pageSetup paperSize="9" orientation="portrait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9"/>
  <sheetViews>
    <sheetView topLeftCell="A49" zoomScale="41" zoomScaleNormal="65" workbookViewId="0">
      <selection activeCell="C7" sqref="C7"/>
    </sheetView>
  </sheetViews>
  <sheetFormatPr defaultColWidth="8.54296875" defaultRowHeight="14.5"/>
  <cols>
    <col min="1" max="1" width="17.08984375" customWidth="1"/>
    <col min="2" max="2" width="18" customWidth="1"/>
    <col min="3" max="3" width="17.7265625" customWidth="1"/>
    <col min="4" max="4" width="12.36328125" customWidth="1"/>
    <col min="7" max="7" width="46.36328125" customWidth="1"/>
    <col min="8" max="8" width="40.08984375" customWidth="1"/>
  </cols>
  <sheetData>
    <row r="1" spans="1:8" ht="18" customHeight="1">
      <c r="A1" s="1" t="s">
        <v>334</v>
      </c>
    </row>
    <row r="2" spans="1:8" ht="15" customHeight="1">
      <c r="A2" s="2" t="s">
        <v>1</v>
      </c>
    </row>
    <row r="3" spans="1:8" ht="15" customHeight="1">
      <c r="A3" s="84" t="s">
        <v>2</v>
      </c>
      <c r="B3" s="85" t="s">
        <v>3</v>
      </c>
      <c r="C3" s="85" t="s">
        <v>4</v>
      </c>
      <c r="D3" s="85" t="s">
        <v>5</v>
      </c>
      <c r="E3" s="85" t="s">
        <v>6</v>
      </c>
      <c r="F3" s="85" t="s">
        <v>7</v>
      </c>
      <c r="G3" s="85" t="s">
        <v>8</v>
      </c>
      <c r="H3" s="86" t="s">
        <v>9</v>
      </c>
    </row>
    <row r="4" spans="1:8" ht="70.5" customHeight="1">
      <c r="A4" s="87" t="s">
        <v>23</v>
      </c>
      <c r="B4" s="76" t="s">
        <v>335</v>
      </c>
      <c r="C4" s="76">
        <v>4580000</v>
      </c>
      <c r="D4" s="76" t="s">
        <v>336</v>
      </c>
      <c r="E4" s="76">
        <v>2025</v>
      </c>
      <c r="F4" s="76" t="s">
        <v>337</v>
      </c>
      <c r="G4" s="76" t="s">
        <v>338</v>
      </c>
      <c r="H4" s="88" t="s">
        <v>339</v>
      </c>
    </row>
    <row r="5" spans="1:8" ht="58.5" customHeight="1">
      <c r="A5" s="71" t="s">
        <v>23</v>
      </c>
      <c r="B5" s="73" t="s">
        <v>27</v>
      </c>
      <c r="C5" s="73">
        <v>4114</v>
      </c>
      <c r="D5" s="73" t="s">
        <v>340</v>
      </c>
      <c r="E5" s="73" t="s">
        <v>341</v>
      </c>
      <c r="F5" s="73" t="s">
        <v>337</v>
      </c>
      <c r="G5" s="73" t="s">
        <v>342</v>
      </c>
      <c r="H5" s="74" t="s">
        <v>343</v>
      </c>
    </row>
    <row r="6" spans="1:8" ht="57.75" customHeight="1">
      <c r="A6" s="89" t="s">
        <v>10</v>
      </c>
      <c r="B6" s="76" t="s">
        <v>344</v>
      </c>
      <c r="C6" s="76">
        <v>7.24</v>
      </c>
      <c r="D6" s="76" t="s">
        <v>345</v>
      </c>
      <c r="E6" s="76">
        <v>2023</v>
      </c>
      <c r="F6" s="76" t="s">
        <v>346</v>
      </c>
      <c r="G6" s="20" t="s">
        <v>347</v>
      </c>
      <c r="H6" s="88" t="s">
        <v>348</v>
      </c>
    </row>
    <row r="7" spans="1:8" ht="57.75" customHeight="1">
      <c r="A7" s="90" t="s">
        <v>10</v>
      </c>
      <c r="B7" s="59" t="s">
        <v>349</v>
      </c>
      <c r="C7" s="59">
        <v>290</v>
      </c>
      <c r="D7" s="59" t="s">
        <v>47</v>
      </c>
      <c r="E7" s="59">
        <v>2025</v>
      </c>
      <c r="F7" s="59" t="s">
        <v>350</v>
      </c>
      <c r="G7" s="10" t="s">
        <v>351</v>
      </c>
      <c r="H7" s="91" t="s">
        <v>352</v>
      </c>
    </row>
    <row r="8" spans="1:8" ht="57.75" customHeight="1">
      <c r="A8" s="90" t="s">
        <v>10</v>
      </c>
      <c r="B8" s="59" t="s">
        <v>353</v>
      </c>
      <c r="C8" s="59">
        <v>500</v>
      </c>
      <c r="D8" s="59" t="s">
        <v>47</v>
      </c>
      <c r="E8" s="59">
        <v>2025</v>
      </c>
      <c r="F8" s="59" t="s">
        <v>350</v>
      </c>
      <c r="G8" s="10" t="s">
        <v>351</v>
      </c>
      <c r="H8" s="91" t="s">
        <v>354</v>
      </c>
    </row>
    <row r="9" spans="1:8" ht="57.75" customHeight="1">
      <c r="A9" s="90" t="s">
        <v>10</v>
      </c>
      <c r="B9" s="59" t="s">
        <v>355</v>
      </c>
      <c r="C9" s="59">
        <v>1289</v>
      </c>
      <c r="D9" s="59" t="s">
        <v>47</v>
      </c>
      <c r="E9" s="59">
        <v>2025</v>
      </c>
      <c r="F9" s="59" t="s">
        <v>350</v>
      </c>
      <c r="G9" s="10" t="s">
        <v>356</v>
      </c>
      <c r="H9" s="91" t="s">
        <v>357</v>
      </c>
    </row>
    <row r="10" spans="1:8" ht="57.75" customHeight="1">
      <c r="A10" s="90" t="s">
        <v>10</v>
      </c>
      <c r="B10" s="59" t="s">
        <v>358</v>
      </c>
      <c r="C10" s="59">
        <v>1052</v>
      </c>
      <c r="D10" s="59" t="s">
        <v>47</v>
      </c>
      <c r="E10" s="59">
        <v>2025</v>
      </c>
      <c r="F10" s="59" t="s">
        <v>350</v>
      </c>
      <c r="G10" s="10" t="s">
        <v>356</v>
      </c>
      <c r="H10" s="91" t="s">
        <v>359</v>
      </c>
    </row>
    <row r="11" spans="1:8" ht="58.5" customHeight="1">
      <c r="A11" s="76" t="s">
        <v>32</v>
      </c>
      <c r="B11" s="76" t="s">
        <v>360</v>
      </c>
      <c r="C11" s="76">
        <v>292486</v>
      </c>
      <c r="D11" s="76" t="s">
        <v>47</v>
      </c>
      <c r="E11" s="76">
        <v>2025</v>
      </c>
      <c r="F11" s="76" t="s">
        <v>361</v>
      </c>
      <c r="G11" s="20" t="s">
        <v>362</v>
      </c>
      <c r="H11" s="76" t="s">
        <v>363</v>
      </c>
    </row>
    <row r="12" spans="1:8" ht="57.75" customHeight="1">
      <c r="A12" s="59" t="s">
        <v>32</v>
      </c>
      <c r="B12" s="59" t="s">
        <v>364</v>
      </c>
      <c r="C12" s="92">
        <f>292486/4580000*1000</f>
        <v>63.861572052401741</v>
      </c>
      <c r="D12" s="59" t="s">
        <v>42</v>
      </c>
      <c r="E12" s="59">
        <v>2025</v>
      </c>
      <c r="F12" s="59" t="s">
        <v>361</v>
      </c>
      <c r="G12" s="59" t="s">
        <v>365</v>
      </c>
      <c r="H12" s="59" t="s">
        <v>366</v>
      </c>
    </row>
    <row r="13" spans="1:8" ht="28.5" customHeight="1">
      <c r="A13" s="59" t="s">
        <v>32</v>
      </c>
      <c r="B13" s="59" t="s">
        <v>367</v>
      </c>
      <c r="C13" s="59">
        <v>71830</v>
      </c>
      <c r="D13" s="59" t="s">
        <v>47</v>
      </c>
      <c r="E13" s="59">
        <v>2025</v>
      </c>
      <c r="F13" s="59" t="s">
        <v>361</v>
      </c>
      <c r="G13" s="59" t="s">
        <v>365</v>
      </c>
      <c r="H13" s="59" t="s">
        <v>368</v>
      </c>
    </row>
    <row r="14" spans="1:8" ht="28.5" customHeight="1">
      <c r="A14" s="93" t="s">
        <v>32</v>
      </c>
      <c r="B14" s="93" t="s">
        <v>369</v>
      </c>
      <c r="C14" s="93">
        <v>8844</v>
      </c>
      <c r="D14" s="93" t="s">
        <v>47</v>
      </c>
      <c r="E14" s="93">
        <v>2025</v>
      </c>
      <c r="F14" s="93" t="s">
        <v>350</v>
      </c>
      <c r="G14" s="22" t="s">
        <v>351</v>
      </c>
      <c r="H14" s="93" t="s">
        <v>370</v>
      </c>
    </row>
    <row r="15" spans="1:8" ht="58.5" customHeight="1">
      <c r="A15" s="94" t="s">
        <v>66</v>
      </c>
      <c r="B15" s="95" t="s">
        <v>371</v>
      </c>
      <c r="C15" s="95">
        <v>2.17</v>
      </c>
      <c r="D15" s="95" t="s">
        <v>64</v>
      </c>
      <c r="E15" s="95">
        <v>2025</v>
      </c>
      <c r="F15" s="95" t="s">
        <v>346</v>
      </c>
      <c r="G15" s="6" t="s">
        <v>372</v>
      </c>
      <c r="H15" s="96" t="s">
        <v>373</v>
      </c>
    </row>
    <row r="16" spans="1:8" ht="57.75" customHeight="1">
      <c r="A16" s="90" t="s">
        <v>66</v>
      </c>
      <c r="B16" s="59" t="s">
        <v>374</v>
      </c>
      <c r="C16" s="59">
        <v>81.400000000000006</v>
      </c>
      <c r="D16" s="59" t="s">
        <v>64</v>
      </c>
      <c r="E16" s="59">
        <v>2024</v>
      </c>
      <c r="F16" s="59" t="s">
        <v>346</v>
      </c>
      <c r="G16" s="10" t="s">
        <v>375</v>
      </c>
      <c r="H16" s="91" t="s">
        <v>376</v>
      </c>
    </row>
    <row r="17" spans="1:8" ht="72" customHeight="1">
      <c r="A17" s="90" t="s">
        <v>66</v>
      </c>
      <c r="B17" s="59" t="s">
        <v>377</v>
      </c>
      <c r="C17" s="59">
        <v>9200000</v>
      </c>
      <c r="D17" s="59" t="s">
        <v>61</v>
      </c>
      <c r="E17" s="59">
        <v>2024</v>
      </c>
      <c r="F17" s="59" t="s">
        <v>346</v>
      </c>
      <c r="G17" s="10" t="s">
        <v>378</v>
      </c>
      <c r="H17" s="91" t="s">
        <v>379</v>
      </c>
    </row>
    <row r="18" spans="1:8" ht="72" customHeight="1">
      <c r="A18" s="90" t="s">
        <v>66</v>
      </c>
      <c r="B18" s="59" t="s">
        <v>380</v>
      </c>
      <c r="C18" s="59">
        <v>12.4</v>
      </c>
      <c r="D18" s="59" t="s">
        <v>64</v>
      </c>
      <c r="E18" s="59">
        <v>2025</v>
      </c>
      <c r="F18" s="59" t="s">
        <v>346</v>
      </c>
      <c r="G18" s="10" t="s">
        <v>381</v>
      </c>
      <c r="H18" s="91" t="s">
        <v>382</v>
      </c>
    </row>
    <row r="19" spans="1:8" ht="43.5" customHeight="1">
      <c r="A19" s="97" t="s">
        <v>66</v>
      </c>
      <c r="B19" s="93" t="s">
        <v>383</v>
      </c>
      <c r="C19" s="93">
        <v>50200</v>
      </c>
      <c r="D19" s="93" t="s">
        <v>61</v>
      </c>
      <c r="E19" s="93">
        <v>2025</v>
      </c>
      <c r="F19" s="93" t="s">
        <v>350</v>
      </c>
      <c r="G19" s="22" t="s">
        <v>351</v>
      </c>
      <c r="H19" s="98" t="s">
        <v>384</v>
      </c>
    </row>
    <row r="20" spans="1:8" ht="58.5" customHeight="1">
      <c r="A20" s="99" t="s">
        <v>90</v>
      </c>
      <c r="B20" s="95" t="s">
        <v>385</v>
      </c>
      <c r="C20" s="95">
        <v>107.7</v>
      </c>
      <c r="D20" s="95" t="s">
        <v>386</v>
      </c>
      <c r="E20" s="95">
        <v>2026</v>
      </c>
      <c r="F20" s="95" t="s">
        <v>361</v>
      </c>
      <c r="G20" s="100" t="s">
        <v>387</v>
      </c>
      <c r="H20" s="96" t="s">
        <v>388</v>
      </c>
    </row>
    <row r="21" spans="1:8" ht="72" customHeight="1">
      <c r="A21" s="69" t="s">
        <v>90</v>
      </c>
      <c r="B21" s="59" t="s">
        <v>389</v>
      </c>
      <c r="C21" s="59">
        <v>22</v>
      </c>
      <c r="D21" s="59" t="s">
        <v>390</v>
      </c>
      <c r="E21" s="59">
        <v>2026</v>
      </c>
      <c r="F21" s="59" t="s">
        <v>361</v>
      </c>
      <c r="G21" s="59" t="s">
        <v>391</v>
      </c>
      <c r="H21" s="91" t="s">
        <v>392</v>
      </c>
    </row>
    <row r="22" spans="1:8" ht="43.5" customHeight="1">
      <c r="A22" s="69" t="s">
        <v>90</v>
      </c>
      <c r="B22" s="59" t="s">
        <v>393</v>
      </c>
      <c r="C22" s="59" t="s">
        <v>103</v>
      </c>
      <c r="D22" s="59" t="s">
        <v>341</v>
      </c>
      <c r="E22" s="59">
        <v>2026</v>
      </c>
      <c r="F22" s="59" t="s">
        <v>361</v>
      </c>
      <c r="G22" s="59" t="s">
        <v>341</v>
      </c>
      <c r="H22" s="91" t="s">
        <v>394</v>
      </c>
    </row>
    <row r="23" spans="1:8" ht="28.5" customHeight="1">
      <c r="A23" s="69" t="s">
        <v>90</v>
      </c>
      <c r="B23" s="59" t="s">
        <v>395</v>
      </c>
      <c r="C23" s="59" t="s">
        <v>396</v>
      </c>
      <c r="D23" s="59" t="s">
        <v>341</v>
      </c>
      <c r="E23" s="59">
        <v>2026</v>
      </c>
      <c r="F23" s="59" t="s">
        <v>346</v>
      </c>
      <c r="G23" s="55" t="s">
        <v>397</v>
      </c>
      <c r="H23" s="91" t="s">
        <v>398</v>
      </c>
    </row>
    <row r="24" spans="1:8" ht="57.75" customHeight="1">
      <c r="A24" s="69" t="s">
        <v>90</v>
      </c>
      <c r="B24" s="59" t="s">
        <v>399</v>
      </c>
      <c r="C24" s="59" t="s">
        <v>103</v>
      </c>
      <c r="D24" s="59" t="s">
        <v>341</v>
      </c>
      <c r="E24" s="59" t="s">
        <v>341</v>
      </c>
      <c r="F24" s="59" t="s">
        <v>361</v>
      </c>
      <c r="G24" s="59" t="s">
        <v>341</v>
      </c>
      <c r="H24" s="91" t="s">
        <v>400</v>
      </c>
    </row>
    <row r="25" spans="1:8" ht="43.5" customHeight="1">
      <c r="A25" s="69" t="s">
        <v>90</v>
      </c>
      <c r="B25" s="59" t="s">
        <v>117</v>
      </c>
      <c r="C25" s="59">
        <v>75.400000000000006</v>
      </c>
      <c r="D25" s="59" t="s">
        <v>112</v>
      </c>
      <c r="E25" s="59">
        <v>2025</v>
      </c>
      <c r="F25" s="59" t="s">
        <v>346</v>
      </c>
      <c r="G25" s="55" t="s">
        <v>401</v>
      </c>
      <c r="H25" s="70" t="s">
        <v>402</v>
      </c>
    </row>
    <row r="26" spans="1:8" ht="57.75" customHeight="1">
      <c r="A26" s="69" t="s">
        <v>90</v>
      </c>
      <c r="B26" s="59" t="s">
        <v>120</v>
      </c>
      <c r="C26" s="59">
        <v>75.7</v>
      </c>
      <c r="D26" s="59" t="s">
        <v>112</v>
      </c>
      <c r="E26" s="59">
        <v>2025</v>
      </c>
      <c r="F26" s="59" t="s">
        <v>346</v>
      </c>
      <c r="G26" s="59" t="s">
        <v>403</v>
      </c>
      <c r="H26" s="91" t="s">
        <v>404</v>
      </c>
    </row>
    <row r="27" spans="1:8" ht="28.5" customHeight="1">
      <c r="A27" s="69" t="s">
        <v>90</v>
      </c>
      <c r="B27" s="59" t="s">
        <v>122</v>
      </c>
      <c r="C27" s="59">
        <v>67.599999999999994</v>
      </c>
      <c r="D27" s="59" t="s">
        <v>112</v>
      </c>
      <c r="E27" s="59">
        <v>2025</v>
      </c>
      <c r="F27" s="59" t="s">
        <v>346</v>
      </c>
      <c r="G27" s="59" t="s">
        <v>405</v>
      </c>
      <c r="H27" s="91" t="s">
        <v>406</v>
      </c>
    </row>
    <row r="28" spans="1:8" ht="28.5" customHeight="1">
      <c r="A28" s="69" t="s">
        <v>90</v>
      </c>
      <c r="B28" s="59" t="s">
        <v>407</v>
      </c>
      <c r="C28" s="59">
        <v>80.099999999999994</v>
      </c>
      <c r="D28" s="59" t="s">
        <v>112</v>
      </c>
      <c r="E28" s="59">
        <v>2025</v>
      </c>
      <c r="F28" s="59" t="s">
        <v>346</v>
      </c>
      <c r="G28" s="59" t="s">
        <v>408</v>
      </c>
      <c r="H28" s="91" t="s">
        <v>409</v>
      </c>
    </row>
    <row r="29" spans="1:8" ht="28.5" customHeight="1">
      <c r="A29" s="94" t="s">
        <v>410</v>
      </c>
      <c r="B29" s="95" t="s">
        <v>411</v>
      </c>
      <c r="C29" s="95">
        <v>0.7</v>
      </c>
      <c r="D29" s="95" t="s">
        <v>412</v>
      </c>
      <c r="E29" s="95">
        <v>2022</v>
      </c>
      <c r="F29" s="95" t="s">
        <v>346</v>
      </c>
      <c r="G29" s="95" t="s">
        <v>413</v>
      </c>
      <c r="H29" s="96" t="s">
        <v>414</v>
      </c>
    </row>
    <row r="30" spans="1:8" ht="28.5" customHeight="1">
      <c r="A30" s="90" t="s">
        <v>410</v>
      </c>
      <c r="B30" s="59" t="s">
        <v>415</v>
      </c>
      <c r="C30" s="59" t="s">
        <v>103</v>
      </c>
      <c r="D30" s="59" t="s">
        <v>341</v>
      </c>
      <c r="E30" s="59" t="s">
        <v>341</v>
      </c>
      <c r="F30" s="59" t="s">
        <v>361</v>
      </c>
      <c r="G30" s="59" t="s">
        <v>341</v>
      </c>
      <c r="H30" s="91" t="s">
        <v>416</v>
      </c>
    </row>
    <row r="31" spans="1:8" ht="29.25" customHeight="1">
      <c r="A31" s="101" t="s">
        <v>410</v>
      </c>
      <c r="B31" s="59" t="s">
        <v>417</v>
      </c>
      <c r="C31" s="102">
        <f>MEDIAN(467000, 367000,284000,226000,153000,142000,118000,89000,81000,91000,64000,60000)/12*0.7993/3.6725</f>
        <v>2357.8171091445429</v>
      </c>
      <c r="D31" s="59" t="s">
        <v>133</v>
      </c>
      <c r="E31" s="59" t="s">
        <v>418</v>
      </c>
      <c r="F31" s="59" t="s">
        <v>361</v>
      </c>
      <c r="G31" s="59" t="s">
        <v>419</v>
      </c>
      <c r="H31" s="59" t="s">
        <v>420</v>
      </c>
    </row>
    <row r="32" spans="1:8" ht="57.75" customHeight="1">
      <c r="A32" s="90" t="s">
        <v>410</v>
      </c>
      <c r="B32" s="59" t="s">
        <v>421</v>
      </c>
      <c r="C32" s="59" t="s">
        <v>103</v>
      </c>
      <c r="D32" s="59" t="s">
        <v>341</v>
      </c>
      <c r="E32" s="59" t="s">
        <v>341</v>
      </c>
      <c r="F32" s="59" t="s">
        <v>361</v>
      </c>
      <c r="G32" s="59" t="s">
        <v>341</v>
      </c>
      <c r="H32" s="91" t="s">
        <v>422</v>
      </c>
    </row>
    <row r="33" spans="1:8" ht="28.5" customHeight="1">
      <c r="A33" s="90" t="s">
        <v>410</v>
      </c>
      <c r="B33" s="59" t="s">
        <v>423</v>
      </c>
      <c r="C33" s="59" t="s">
        <v>103</v>
      </c>
      <c r="D33" s="59" t="s">
        <v>341</v>
      </c>
      <c r="E33" s="59" t="s">
        <v>341</v>
      </c>
      <c r="F33" s="59" t="s">
        <v>361</v>
      </c>
      <c r="G33" s="59" t="s">
        <v>341</v>
      </c>
      <c r="H33" s="91" t="s">
        <v>424</v>
      </c>
    </row>
    <row r="34" spans="1:8" ht="57.75" customHeight="1">
      <c r="A34" s="90" t="s">
        <v>410</v>
      </c>
      <c r="B34" s="59" t="s">
        <v>144</v>
      </c>
      <c r="C34" s="59" t="s">
        <v>103</v>
      </c>
      <c r="D34" s="59" t="s">
        <v>341</v>
      </c>
      <c r="E34" s="59" t="s">
        <v>341</v>
      </c>
      <c r="F34" s="59" t="s">
        <v>361</v>
      </c>
      <c r="G34" s="59" t="s">
        <v>341</v>
      </c>
      <c r="H34" s="91" t="s">
        <v>425</v>
      </c>
    </row>
    <row r="35" spans="1:8" ht="43.5" customHeight="1">
      <c r="A35" s="90" t="s">
        <v>410</v>
      </c>
      <c r="B35" s="59" t="s">
        <v>148</v>
      </c>
      <c r="C35" s="59" t="s">
        <v>103</v>
      </c>
      <c r="D35" s="59" t="s">
        <v>341</v>
      </c>
      <c r="E35" s="59" t="s">
        <v>341</v>
      </c>
      <c r="F35" s="59" t="s">
        <v>361</v>
      </c>
      <c r="G35" s="59" t="s">
        <v>341</v>
      </c>
      <c r="H35" s="91" t="s">
        <v>425</v>
      </c>
    </row>
    <row r="36" spans="1:8" ht="57.75" customHeight="1">
      <c r="A36" s="97" t="s">
        <v>410</v>
      </c>
      <c r="B36" s="93" t="s">
        <v>426</v>
      </c>
      <c r="C36" s="93" t="s">
        <v>103</v>
      </c>
      <c r="D36" s="93" t="s">
        <v>341</v>
      </c>
      <c r="E36" s="93" t="s">
        <v>341</v>
      </c>
      <c r="F36" s="93" t="s">
        <v>361</v>
      </c>
      <c r="G36" s="93" t="s">
        <v>341</v>
      </c>
      <c r="H36" s="98" t="s">
        <v>425</v>
      </c>
    </row>
    <row r="37" spans="1:8" ht="62.25" customHeight="1">
      <c r="A37" s="99" t="s">
        <v>427</v>
      </c>
      <c r="B37" s="95" t="s">
        <v>428</v>
      </c>
      <c r="C37" s="95">
        <v>0</v>
      </c>
      <c r="D37" s="95" t="s">
        <v>64</v>
      </c>
      <c r="E37" s="95">
        <v>2026</v>
      </c>
      <c r="F37" s="95" t="s">
        <v>346</v>
      </c>
      <c r="G37" s="95" t="s">
        <v>429</v>
      </c>
      <c r="H37" s="96" t="s">
        <v>430</v>
      </c>
    </row>
    <row r="38" spans="1:8" ht="57.75" customHeight="1">
      <c r="A38" s="69" t="s">
        <v>427</v>
      </c>
      <c r="B38" s="59" t="s">
        <v>431</v>
      </c>
      <c r="C38" s="59">
        <v>9</v>
      </c>
      <c r="D38" s="59" t="s">
        <v>64</v>
      </c>
      <c r="E38" s="59">
        <v>2026</v>
      </c>
      <c r="F38" s="59" t="s">
        <v>346</v>
      </c>
      <c r="G38" s="95" t="s">
        <v>429</v>
      </c>
      <c r="H38" s="91" t="s">
        <v>432</v>
      </c>
    </row>
    <row r="39" spans="1:8" ht="63" customHeight="1">
      <c r="A39" s="69" t="s">
        <v>427</v>
      </c>
      <c r="B39" s="59" t="s">
        <v>433</v>
      </c>
      <c r="C39" s="59">
        <v>0</v>
      </c>
      <c r="D39" s="59" t="s">
        <v>64</v>
      </c>
      <c r="E39" s="59">
        <v>2026</v>
      </c>
      <c r="F39" s="59" t="s">
        <v>346</v>
      </c>
      <c r="G39" s="59" t="s">
        <v>434</v>
      </c>
      <c r="H39" s="91" t="s">
        <v>435</v>
      </c>
    </row>
    <row r="40" spans="1:8" ht="66" customHeight="1">
      <c r="A40" s="69" t="s">
        <v>427</v>
      </c>
      <c r="B40" s="103" t="s">
        <v>436</v>
      </c>
      <c r="C40" s="59">
        <v>5</v>
      </c>
      <c r="D40" s="59" t="s">
        <v>64</v>
      </c>
      <c r="E40" s="59">
        <v>2026</v>
      </c>
      <c r="F40" s="59" t="s">
        <v>346</v>
      </c>
      <c r="G40" s="59" t="s">
        <v>437</v>
      </c>
      <c r="H40" s="91" t="s">
        <v>438</v>
      </c>
    </row>
    <row r="41" spans="1:8" ht="64.5" customHeight="1">
      <c r="A41" s="69" t="s">
        <v>439</v>
      </c>
      <c r="B41" s="59" t="s">
        <v>440</v>
      </c>
      <c r="C41" s="59" t="s">
        <v>441</v>
      </c>
      <c r="D41" s="59" t="s">
        <v>341</v>
      </c>
      <c r="E41" s="59">
        <v>2026</v>
      </c>
      <c r="F41" s="59" t="s">
        <v>346</v>
      </c>
      <c r="G41" s="59" t="s">
        <v>442</v>
      </c>
      <c r="H41" s="91" t="s">
        <v>443</v>
      </c>
    </row>
    <row r="42" spans="1:8" ht="87" customHeight="1">
      <c r="A42" s="69" t="s">
        <v>444</v>
      </c>
      <c r="B42" s="59" t="s">
        <v>445</v>
      </c>
      <c r="C42" s="59">
        <v>0</v>
      </c>
      <c r="D42" s="59" t="s">
        <v>64</v>
      </c>
      <c r="E42" s="59">
        <v>2026</v>
      </c>
      <c r="F42" s="59" t="s">
        <v>346</v>
      </c>
      <c r="G42" s="59" t="s">
        <v>446</v>
      </c>
      <c r="H42" s="91" t="s">
        <v>447</v>
      </c>
    </row>
    <row r="43" spans="1:8" ht="43.5" customHeight="1">
      <c r="A43" s="69" t="s">
        <v>448</v>
      </c>
      <c r="B43" s="59" t="s">
        <v>449</v>
      </c>
      <c r="C43" s="59">
        <v>4</v>
      </c>
      <c r="D43" s="59" t="s">
        <v>450</v>
      </c>
      <c r="E43" s="59">
        <v>2026</v>
      </c>
      <c r="F43" s="59" t="s">
        <v>361</v>
      </c>
      <c r="G43" s="59" t="s">
        <v>446</v>
      </c>
      <c r="H43" s="91" t="s">
        <v>451</v>
      </c>
    </row>
    <row r="44" spans="1:8" ht="28.5" customHeight="1">
      <c r="A44" s="69" t="s">
        <v>448</v>
      </c>
      <c r="B44" s="59" t="s">
        <v>452</v>
      </c>
      <c r="C44" s="59">
        <v>5</v>
      </c>
      <c r="D44" s="59" t="s">
        <v>453</v>
      </c>
      <c r="E44" s="59">
        <v>2026</v>
      </c>
      <c r="F44" s="59" t="s">
        <v>361</v>
      </c>
      <c r="G44" s="59" t="s">
        <v>446</v>
      </c>
      <c r="H44" s="91" t="s">
        <v>454</v>
      </c>
    </row>
    <row r="45" spans="1:8" ht="28.5" customHeight="1">
      <c r="A45" s="69" t="s">
        <v>448</v>
      </c>
      <c r="B45" s="59" t="s">
        <v>455</v>
      </c>
      <c r="C45" s="59">
        <v>5</v>
      </c>
      <c r="D45" s="59" t="s">
        <v>453</v>
      </c>
      <c r="E45" s="59">
        <v>2026</v>
      </c>
      <c r="F45" s="59" t="s">
        <v>361</v>
      </c>
      <c r="G45" s="59" t="s">
        <v>456</v>
      </c>
      <c r="H45" s="91" t="s">
        <v>457</v>
      </c>
    </row>
    <row r="46" spans="1:8" ht="28.5" customHeight="1">
      <c r="A46" s="69" t="s">
        <v>458</v>
      </c>
      <c r="B46" s="59" t="s">
        <v>459</v>
      </c>
      <c r="C46" s="59" t="s">
        <v>460</v>
      </c>
      <c r="D46" s="59" t="s">
        <v>341</v>
      </c>
      <c r="E46" s="59">
        <v>2026</v>
      </c>
      <c r="F46" s="59" t="s">
        <v>346</v>
      </c>
      <c r="G46" s="59" t="s">
        <v>461</v>
      </c>
      <c r="H46" s="91" t="s">
        <v>462</v>
      </c>
    </row>
    <row r="47" spans="1:8" ht="29.25" customHeight="1">
      <c r="A47" s="104" t="s">
        <v>458</v>
      </c>
      <c r="B47" s="93" t="s">
        <v>463</v>
      </c>
      <c r="C47" s="93" t="s">
        <v>464</v>
      </c>
      <c r="D47" s="93" t="s">
        <v>341</v>
      </c>
      <c r="E47" s="93">
        <v>2026</v>
      </c>
      <c r="F47" s="93" t="s">
        <v>346</v>
      </c>
      <c r="G47" s="93" t="s">
        <v>465</v>
      </c>
      <c r="H47" s="98" t="s">
        <v>466</v>
      </c>
    </row>
    <row r="48" spans="1:8" ht="54" customHeight="1">
      <c r="A48" s="101" t="s">
        <v>467</v>
      </c>
      <c r="B48" s="59" t="s">
        <v>468</v>
      </c>
      <c r="C48" s="59">
        <v>917</v>
      </c>
      <c r="D48" s="59" t="s">
        <v>386</v>
      </c>
      <c r="E48" s="59">
        <v>2025</v>
      </c>
      <c r="F48" s="59" t="s">
        <v>361</v>
      </c>
      <c r="G48" s="59" t="s">
        <v>469</v>
      </c>
      <c r="H48" s="59" t="s">
        <v>470</v>
      </c>
    </row>
    <row r="49" spans="1:8" ht="54" customHeight="1">
      <c r="A49" s="101" t="s">
        <v>467</v>
      </c>
      <c r="B49" s="59" t="s">
        <v>471</v>
      </c>
      <c r="C49" s="59">
        <v>193100</v>
      </c>
      <c r="D49" s="59" t="s">
        <v>47</v>
      </c>
      <c r="E49" s="59">
        <v>2025</v>
      </c>
      <c r="F49" s="59" t="s">
        <v>361</v>
      </c>
      <c r="G49" s="59" t="s">
        <v>469</v>
      </c>
      <c r="H49" s="59" t="s">
        <v>472</v>
      </c>
    </row>
    <row r="50" spans="1:8" ht="57.75" customHeight="1">
      <c r="A50" s="101" t="s">
        <v>467</v>
      </c>
      <c r="B50" s="59" t="s">
        <v>473</v>
      </c>
      <c r="C50" s="59">
        <v>1.9</v>
      </c>
      <c r="D50" s="59" t="s">
        <v>474</v>
      </c>
      <c r="E50" s="59" t="s">
        <v>475</v>
      </c>
      <c r="F50" s="59" t="s">
        <v>361</v>
      </c>
      <c r="G50" s="59" t="s">
        <v>476</v>
      </c>
      <c r="H50" s="105" t="s">
        <v>477</v>
      </c>
    </row>
    <row r="51" spans="1:8" ht="43.5" customHeight="1">
      <c r="A51" s="101" t="s">
        <v>467</v>
      </c>
      <c r="B51" s="59" t="s">
        <v>478</v>
      </c>
      <c r="C51" s="59">
        <v>1790000</v>
      </c>
      <c r="D51" s="59" t="s">
        <v>479</v>
      </c>
      <c r="E51" s="59" t="s">
        <v>475</v>
      </c>
      <c r="F51" s="59" t="s">
        <v>361</v>
      </c>
      <c r="G51" s="59" t="s">
        <v>480</v>
      </c>
      <c r="H51" s="105" t="s">
        <v>481</v>
      </c>
    </row>
    <row r="52" spans="1:8" ht="39" customHeight="1">
      <c r="A52" s="101" t="s">
        <v>467</v>
      </c>
      <c r="B52" s="59" t="s">
        <v>482</v>
      </c>
      <c r="C52" s="59">
        <v>13000000</v>
      </c>
      <c r="D52" s="59" t="s">
        <v>479</v>
      </c>
      <c r="E52" s="59" t="s">
        <v>475</v>
      </c>
      <c r="F52" s="59" t="s">
        <v>361</v>
      </c>
      <c r="G52" s="59" t="s">
        <v>483</v>
      </c>
      <c r="H52" s="105" t="s">
        <v>484</v>
      </c>
    </row>
    <row r="53" spans="1:8" ht="57.75" customHeight="1">
      <c r="A53" s="101" t="s">
        <v>467</v>
      </c>
      <c r="B53" s="59" t="s">
        <v>485</v>
      </c>
      <c r="C53" s="59">
        <v>800</v>
      </c>
      <c r="D53" s="59" t="s">
        <v>47</v>
      </c>
      <c r="E53" s="59" t="s">
        <v>486</v>
      </c>
      <c r="F53" s="59" t="s">
        <v>361</v>
      </c>
      <c r="G53" s="59" t="s">
        <v>487</v>
      </c>
      <c r="H53" s="105" t="s">
        <v>488</v>
      </c>
    </row>
    <row r="54" spans="1:8" ht="57.75" customHeight="1">
      <c r="A54" s="101" t="s">
        <v>467</v>
      </c>
      <c r="B54" s="59" t="s">
        <v>489</v>
      </c>
      <c r="C54" s="102">
        <f>4000*10.7639*0.7993/3.6725</f>
        <v>9370.8212607215792</v>
      </c>
      <c r="D54" s="59" t="s">
        <v>207</v>
      </c>
      <c r="E54" s="59" t="s">
        <v>486</v>
      </c>
      <c r="F54" s="59" t="s">
        <v>361</v>
      </c>
      <c r="G54" s="59" t="s">
        <v>490</v>
      </c>
      <c r="H54" s="59" t="s">
        <v>491</v>
      </c>
    </row>
    <row r="55" spans="1:8" ht="43.5" customHeight="1">
      <c r="A55" s="101" t="s">
        <v>467</v>
      </c>
      <c r="B55" s="59" t="s">
        <v>492</v>
      </c>
      <c r="C55" s="59" t="s">
        <v>103</v>
      </c>
      <c r="D55" s="59" t="s">
        <v>341</v>
      </c>
      <c r="E55" s="59" t="s">
        <v>341</v>
      </c>
      <c r="F55" s="59" t="s">
        <v>361</v>
      </c>
      <c r="G55" s="59" t="s">
        <v>341</v>
      </c>
      <c r="H55" s="59" t="s">
        <v>493</v>
      </c>
    </row>
    <row r="56" spans="1:8" ht="54" customHeight="1">
      <c r="A56" s="101" t="s">
        <v>467</v>
      </c>
      <c r="B56" s="59" t="s">
        <v>494</v>
      </c>
      <c r="C56" s="59" t="s">
        <v>495</v>
      </c>
      <c r="D56" s="59" t="s">
        <v>341</v>
      </c>
      <c r="E56" s="59">
        <v>2006</v>
      </c>
      <c r="F56" s="59" t="s">
        <v>361</v>
      </c>
      <c r="G56" s="59" t="s">
        <v>496</v>
      </c>
      <c r="H56" s="59" t="s">
        <v>497</v>
      </c>
    </row>
    <row r="57" spans="1:8" ht="57.75" customHeight="1">
      <c r="A57" s="101" t="s">
        <v>467</v>
      </c>
      <c r="B57" s="59" t="s">
        <v>498</v>
      </c>
      <c r="C57" s="102">
        <f>226000/12*0.7993/3.6725</f>
        <v>4098.9743589743584</v>
      </c>
      <c r="D57" s="59" t="s">
        <v>133</v>
      </c>
      <c r="E57" s="59" t="s">
        <v>418</v>
      </c>
      <c r="F57" s="59" t="s">
        <v>361</v>
      </c>
      <c r="G57" s="103" t="s">
        <v>419</v>
      </c>
      <c r="H57" s="103" t="s">
        <v>499</v>
      </c>
    </row>
    <row r="58" spans="1:8" ht="87" customHeight="1">
      <c r="A58" s="101" t="s">
        <v>467</v>
      </c>
      <c r="B58" s="59" t="s">
        <v>500</v>
      </c>
      <c r="C58" s="102">
        <f>284000/12*0.7993/3.6725</f>
        <v>5150.9235307465397</v>
      </c>
      <c r="D58" s="59" t="s">
        <v>133</v>
      </c>
      <c r="E58" s="59" t="s">
        <v>418</v>
      </c>
      <c r="F58" s="59" t="s">
        <v>361</v>
      </c>
      <c r="G58" s="103" t="s">
        <v>419</v>
      </c>
      <c r="H58" s="103" t="s">
        <v>501</v>
      </c>
    </row>
    <row r="59" spans="1:8" ht="66" customHeight="1">
      <c r="A59" s="101" t="s">
        <v>467</v>
      </c>
      <c r="B59" s="59" t="s">
        <v>502</v>
      </c>
      <c r="C59" s="102">
        <f>118000/12*0.7993/3.6725</f>
        <v>2140.1724529158159</v>
      </c>
      <c r="D59" s="59" t="s">
        <v>133</v>
      </c>
      <c r="E59" s="59" t="s">
        <v>418</v>
      </c>
      <c r="F59" s="59" t="s">
        <v>361</v>
      </c>
      <c r="G59" s="103" t="s">
        <v>419</v>
      </c>
      <c r="H59" s="103" t="s">
        <v>503</v>
      </c>
    </row>
    <row r="60" spans="1:8" ht="54" customHeight="1">
      <c r="A60" s="101" t="s">
        <v>467</v>
      </c>
      <c r="B60" s="59" t="s">
        <v>504</v>
      </c>
      <c r="C60" s="59" t="s">
        <v>505</v>
      </c>
      <c r="D60" s="59" t="s">
        <v>474</v>
      </c>
      <c r="E60" s="59" t="s">
        <v>475</v>
      </c>
      <c r="F60" s="59" t="s">
        <v>361</v>
      </c>
      <c r="G60" s="59" t="s">
        <v>506</v>
      </c>
      <c r="H60" s="105" t="s">
        <v>507</v>
      </c>
    </row>
    <row r="61" spans="1:8" ht="66" customHeight="1">
      <c r="A61" s="106" t="s">
        <v>467</v>
      </c>
      <c r="B61" s="93" t="s">
        <v>508</v>
      </c>
      <c r="C61" s="93">
        <v>1380000</v>
      </c>
      <c r="D61" s="93" t="s">
        <v>47</v>
      </c>
      <c r="E61" s="93">
        <v>2025</v>
      </c>
      <c r="F61" s="93" t="s">
        <v>361</v>
      </c>
      <c r="G61" s="93" t="s">
        <v>509</v>
      </c>
      <c r="H61" s="93" t="s">
        <v>510</v>
      </c>
    </row>
    <row r="62" spans="1:8" ht="54" customHeight="1">
      <c r="A62" s="99" t="s">
        <v>235</v>
      </c>
      <c r="B62" s="95" t="s">
        <v>335</v>
      </c>
      <c r="C62" s="95">
        <v>4580000</v>
      </c>
      <c r="D62" s="95" t="s">
        <v>336</v>
      </c>
      <c r="E62" s="95">
        <v>2025</v>
      </c>
      <c r="F62" s="95" t="s">
        <v>361</v>
      </c>
      <c r="G62" s="95" t="s">
        <v>511</v>
      </c>
      <c r="H62" s="96" t="s">
        <v>512</v>
      </c>
    </row>
    <row r="63" spans="1:8" ht="54" customHeight="1">
      <c r="A63" s="69" t="s">
        <v>235</v>
      </c>
      <c r="B63" s="59" t="s">
        <v>513</v>
      </c>
      <c r="C63" s="59">
        <v>7.5</v>
      </c>
      <c r="D63" s="59" t="s">
        <v>64</v>
      </c>
      <c r="E63" s="59">
        <v>2025</v>
      </c>
      <c r="F63" s="59" t="s">
        <v>361</v>
      </c>
      <c r="G63" s="95" t="s">
        <v>514</v>
      </c>
      <c r="H63" s="91" t="s">
        <v>515</v>
      </c>
    </row>
    <row r="64" spans="1:8" ht="64.5" customHeight="1">
      <c r="A64" s="69" t="s">
        <v>235</v>
      </c>
      <c r="B64" s="59" t="s">
        <v>516</v>
      </c>
      <c r="C64" s="59">
        <v>6392000</v>
      </c>
      <c r="D64" s="59" t="s">
        <v>61</v>
      </c>
      <c r="E64" s="59">
        <v>2025</v>
      </c>
      <c r="F64" s="59" t="s">
        <v>361</v>
      </c>
      <c r="G64" s="59" t="s">
        <v>517</v>
      </c>
      <c r="H64" s="91" t="s">
        <v>518</v>
      </c>
    </row>
    <row r="65" spans="1:8" ht="57.75" customHeight="1">
      <c r="A65" s="69" t="s">
        <v>235</v>
      </c>
      <c r="B65" s="59" t="s">
        <v>519</v>
      </c>
      <c r="C65" s="59">
        <v>1051978</v>
      </c>
      <c r="D65" s="59" t="s">
        <v>47</v>
      </c>
      <c r="E65" s="59" t="s">
        <v>418</v>
      </c>
      <c r="F65" s="59" t="s">
        <v>361</v>
      </c>
      <c r="G65" s="59" t="s">
        <v>520</v>
      </c>
      <c r="H65" s="107" t="s">
        <v>521</v>
      </c>
    </row>
    <row r="66" spans="1:8" ht="28.5" customHeight="1">
      <c r="A66" s="69" t="s">
        <v>235</v>
      </c>
      <c r="B66" s="59" t="s">
        <v>522</v>
      </c>
      <c r="C66" s="59" t="s">
        <v>103</v>
      </c>
      <c r="D66" s="59" t="s">
        <v>341</v>
      </c>
      <c r="E66" s="59" t="s">
        <v>341</v>
      </c>
      <c r="F66" s="59" t="s">
        <v>361</v>
      </c>
      <c r="G66" s="59" t="s">
        <v>341</v>
      </c>
      <c r="H66" s="91" t="s">
        <v>523</v>
      </c>
    </row>
    <row r="67" spans="1:8" ht="72" customHeight="1">
      <c r="A67" s="69" t="s">
        <v>235</v>
      </c>
      <c r="B67" s="59" t="s">
        <v>524</v>
      </c>
      <c r="C67" s="59">
        <v>66000</v>
      </c>
      <c r="D67" s="59" t="s">
        <v>47</v>
      </c>
      <c r="E67" s="59" t="s">
        <v>418</v>
      </c>
      <c r="F67" s="59" t="s">
        <v>361</v>
      </c>
      <c r="G67" s="59" t="s">
        <v>520</v>
      </c>
      <c r="H67" s="107" t="s">
        <v>525</v>
      </c>
    </row>
    <row r="68" spans="1:8" ht="57.75" customHeight="1">
      <c r="A68" s="69" t="s">
        <v>235</v>
      </c>
      <c r="B68" s="59" t="s">
        <v>526</v>
      </c>
      <c r="C68" s="59">
        <v>9800</v>
      </c>
      <c r="D68" s="59" t="s">
        <v>47</v>
      </c>
      <c r="E68" s="59" t="s">
        <v>527</v>
      </c>
      <c r="F68" s="59" t="s">
        <v>346</v>
      </c>
      <c r="G68" s="59" t="s">
        <v>528</v>
      </c>
      <c r="H68" s="107" t="s">
        <v>529</v>
      </c>
    </row>
    <row r="69" spans="1:8" ht="57" customHeight="1">
      <c r="A69" s="69" t="s">
        <v>235</v>
      </c>
      <c r="B69" s="59" t="s">
        <v>530</v>
      </c>
      <c r="C69" s="59">
        <v>92</v>
      </c>
      <c r="D69" s="59" t="s">
        <v>64</v>
      </c>
      <c r="E69" s="59">
        <v>2025</v>
      </c>
      <c r="F69" s="59" t="s">
        <v>361</v>
      </c>
      <c r="G69" s="59" t="s">
        <v>531</v>
      </c>
      <c r="H69" s="107" t="s">
        <v>532</v>
      </c>
    </row>
    <row r="70" spans="1:8" ht="57.75" customHeight="1">
      <c r="A70" s="104" t="s">
        <v>235</v>
      </c>
      <c r="B70" s="93" t="s">
        <v>533</v>
      </c>
      <c r="C70" s="93">
        <v>68.599999999999994</v>
      </c>
      <c r="D70" s="93" t="s">
        <v>64</v>
      </c>
      <c r="E70" s="93" t="s">
        <v>534</v>
      </c>
      <c r="F70" s="93" t="s">
        <v>361</v>
      </c>
      <c r="G70" s="93" t="s">
        <v>531</v>
      </c>
      <c r="H70" s="108" t="s">
        <v>535</v>
      </c>
    </row>
    <row r="71" spans="1:8" ht="60" customHeight="1">
      <c r="A71" s="101" t="s">
        <v>536</v>
      </c>
      <c r="B71" s="59" t="s">
        <v>537</v>
      </c>
      <c r="C71" s="59">
        <v>55</v>
      </c>
      <c r="D71" s="59" t="s">
        <v>47</v>
      </c>
      <c r="E71" s="59">
        <v>2025</v>
      </c>
      <c r="F71" s="59" t="s">
        <v>361</v>
      </c>
      <c r="G71" s="59" t="s">
        <v>538</v>
      </c>
      <c r="H71" s="59" t="s">
        <v>539</v>
      </c>
    </row>
    <row r="72" spans="1:8" ht="57.75" customHeight="1">
      <c r="A72" s="101" t="s">
        <v>536</v>
      </c>
      <c r="B72" s="59" t="s">
        <v>540</v>
      </c>
      <c r="C72" s="109">
        <f>55/4580000*100000</f>
        <v>1.2008733624454149</v>
      </c>
      <c r="D72" s="59" t="s">
        <v>412</v>
      </c>
      <c r="E72" s="59">
        <v>2025</v>
      </c>
      <c r="F72" s="59" t="s">
        <v>361</v>
      </c>
      <c r="G72" s="59" t="s">
        <v>541</v>
      </c>
      <c r="H72" s="59" t="s">
        <v>542</v>
      </c>
    </row>
    <row r="73" spans="1:8" ht="55.5" customHeight="1">
      <c r="A73" s="101" t="s">
        <v>536</v>
      </c>
      <c r="B73" s="59" t="s">
        <v>543</v>
      </c>
      <c r="C73" s="59">
        <v>5931</v>
      </c>
      <c r="D73" s="59" t="s">
        <v>47</v>
      </c>
      <c r="E73" s="59" t="s">
        <v>418</v>
      </c>
      <c r="F73" s="59" t="s">
        <v>361</v>
      </c>
      <c r="G73" s="59" t="s">
        <v>544</v>
      </c>
      <c r="H73" s="105" t="s">
        <v>545</v>
      </c>
    </row>
    <row r="74" spans="1:8" ht="43.5" customHeight="1">
      <c r="A74" s="101" t="s">
        <v>536</v>
      </c>
      <c r="B74" s="59" t="s">
        <v>546</v>
      </c>
      <c r="C74" s="59">
        <v>70566</v>
      </c>
      <c r="D74" s="59" t="s">
        <v>61</v>
      </c>
      <c r="E74" s="59" t="s">
        <v>418</v>
      </c>
      <c r="F74" s="59" t="s">
        <v>361</v>
      </c>
      <c r="G74" s="59" t="s">
        <v>544</v>
      </c>
      <c r="H74" s="105" t="s">
        <v>547</v>
      </c>
    </row>
    <row r="75" spans="1:8" ht="64.5" customHeight="1">
      <c r="A75" s="101" t="s">
        <v>536</v>
      </c>
      <c r="B75" s="59" t="s">
        <v>548</v>
      </c>
      <c r="C75" s="102">
        <f>70566/4580000*1000</f>
        <v>15.407423580786027</v>
      </c>
      <c r="D75" s="59" t="s">
        <v>549</v>
      </c>
      <c r="E75" s="59" t="s">
        <v>418</v>
      </c>
      <c r="F75" s="59" t="s">
        <v>361</v>
      </c>
      <c r="G75" s="59" t="s">
        <v>550</v>
      </c>
      <c r="H75" s="59" t="s">
        <v>551</v>
      </c>
    </row>
    <row r="76" spans="1:8" ht="54" customHeight="1">
      <c r="A76" s="101" t="s">
        <v>536</v>
      </c>
      <c r="B76" s="59" t="s">
        <v>552</v>
      </c>
      <c r="C76" s="59">
        <v>1794</v>
      </c>
      <c r="D76" s="59" t="s">
        <v>47</v>
      </c>
      <c r="E76" s="59" t="s">
        <v>418</v>
      </c>
      <c r="F76" s="59" t="s">
        <v>361</v>
      </c>
      <c r="G76" s="59" t="s">
        <v>544</v>
      </c>
      <c r="H76" s="105" t="s">
        <v>553</v>
      </c>
    </row>
    <row r="77" spans="1:8" ht="54" customHeight="1">
      <c r="A77" s="101" t="s">
        <v>536</v>
      </c>
      <c r="B77" s="59" t="s">
        <v>554</v>
      </c>
      <c r="C77" s="59">
        <v>249</v>
      </c>
      <c r="D77" s="59" t="s">
        <v>47</v>
      </c>
      <c r="E77" s="59" t="s">
        <v>418</v>
      </c>
      <c r="F77" s="59" t="s">
        <v>361</v>
      </c>
      <c r="G77" s="59" t="s">
        <v>544</v>
      </c>
      <c r="H77" s="105" t="s">
        <v>555</v>
      </c>
    </row>
    <row r="78" spans="1:8" ht="39" customHeight="1">
      <c r="A78" s="101" t="s">
        <v>536</v>
      </c>
      <c r="B78" s="59" t="s">
        <v>556</v>
      </c>
      <c r="C78" s="59" t="s">
        <v>103</v>
      </c>
      <c r="D78" s="59" t="s">
        <v>341</v>
      </c>
      <c r="E78" s="59" t="s">
        <v>341</v>
      </c>
      <c r="F78" s="59" t="s">
        <v>361</v>
      </c>
      <c r="G78" s="59" t="s">
        <v>341</v>
      </c>
      <c r="H78" s="59" t="s">
        <v>557</v>
      </c>
    </row>
    <row r="79" spans="1:8" ht="51.75" customHeight="1">
      <c r="A79" s="101" t="s">
        <v>536</v>
      </c>
      <c r="B79" s="59" t="s">
        <v>558</v>
      </c>
      <c r="C79" s="59" t="s">
        <v>103</v>
      </c>
      <c r="D79" s="59" t="s">
        <v>341</v>
      </c>
      <c r="E79" s="59" t="s">
        <v>341</v>
      </c>
      <c r="F79" s="59" t="s">
        <v>361</v>
      </c>
      <c r="G79" s="59" t="s">
        <v>341</v>
      </c>
      <c r="H79" s="59" t="s">
        <v>559</v>
      </c>
    </row>
    <row r="80" spans="1:8" ht="28.5" customHeight="1">
      <c r="A80" s="101" t="s">
        <v>536</v>
      </c>
      <c r="B80" s="59" t="s">
        <v>560</v>
      </c>
      <c r="C80" s="59">
        <v>2.99</v>
      </c>
      <c r="D80" s="59" t="s">
        <v>549</v>
      </c>
      <c r="E80" s="59">
        <v>2023</v>
      </c>
      <c r="F80" s="59" t="s">
        <v>346</v>
      </c>
      <c r="G80" s="59" t="s">
        <v>561</v>
      </c>
      <c r="H80" s="59" t="s">
        <v>562</v>
      </c>
    </row>
    <row r="81" spans="1:8" ht="70.5" customHeight="1">
      <c r="A81" s="106" t="s">
        <v>536</v>
      </c>
      <c r="B81" s="93" t="s">
        <v>563</v>
      </c>
      <c r="C81" s="93">
        <v>1.87</v>
      </c>
      <c r="D81" s="93" t="s">
        <v>564</v>
      </c>
      <c r="E81" s="93">
        <v>2022</v>
      </c>
      <c r="F81" s="93" t="s">
        <v>346</v>
      </c>
      <c r="G81" s="93" t="s">
        <v>565</v>
      </c>
      <c r="H81" s="93" t="s">
        <v>566</v>
      </c>
    </row>
    <row r="82" spans="1:8" ht="66" customHeight="1">
      <c r="A82" s="99" t="s">
        <v>290</v>
      </c>
      <c r="B82" s="95" t="s">
        <v>567</v>
      </c>
      <c r="C82" s="95">
        <v>227</v>
      </c>
      <c r="D82" s="95" t="s">
        <v>47</v>
      </c>
      <c r="E82" s="95" t="s">
        <v>568</v>
      </c>
      <c r="F82" s="95" t="s">
        <v>361</v>
      </c>
      <c r="G82" s="95" t="s">
        <v>569</v>
      </c>
      <c r="H82" s="96" t="s">
        <v>570</v>
      </c>
    </row>
    <row r="83" spans="1:8" ht="72" customHeight="1">
      <c r="A83" s="69" t="s">
        <v>290</v>
      </c>
      <c r="B83" s="59" t="s">
        <v>571</v>
      </c>
      <c r="C83" s="59">
        <v>406563</v>
      </c>
      <c r="D83" s="59" t="s">
        <v>47</v>
      </c>
      <c r="E83" s="59" t="s">
        <v>572</v>
      </c>
      <c r="F83" s="59" t="s">
        <v>361</v>
      </c>
      <c r="G83" s="59" t="s">
        <v>573</v>
      </c>
      <c r="H83" s="107" t="s">
        <v>574</v>
      </c>
    </row>
    <row r="84" spans="1:8" ht="54" customHeight="1">
      <c r="A84" s="69" t="s">
        <v>290</v>
      </c>
      <c r="B84" s="59" t="s">
        <v>575</v>
      </c>
      <c r="C84" s="59">
        <v>17</v>
      </c>
      <c r="D84" s="59" t="s">
        <v>47</v>
      </c>
      <c r="E84" s="59" t="s">
        <v>568</v>
      </c>
      <c r="F84" s="59" t="s">
        <v>361</v>
      </c>
      <c r="G84" s="59" t="s">
        <v>569</v>
      </c>
      <c r="H84" s="91" t="s">
        <v>576</v>
      </c>
    </row>
    <row r="85" spans="1:8" ht="66" customHeight="1">
      <c r="A85" s="69" t="s">
        <v>290</v>
      </c>
      <c r="B85" s="59" t="s">
        <v>577</v>
      </c>
      <c r="C85" s="59">
        <v>7</v>
      </c>
      <c r="D85" s="59" t="s">
        <v>64</v>
      </c>
      <c r="E85" s="59" t="s">
        <v>568</v>
      </c>
      <c r="F85" s="59" t="s">
        <v>361</v>
      </c>
      <c r="G85" s="59" t="s">
        <v>569</v>
      </c>
      <c r="H85" s="91" t="s">
        <v>578</v>
      </c>
    </row>
    <row r="86" spans="1:8" ht="28.5" customHeight="1">
      <c r="A86" s="69" t="s">
        <v>290</v>
      </c>
      <c r="B86" s="59" t="s">
        <v>579</v>
      </c>
      <c r="C86" s="59">
        <v>41</v>
      </c>
      <c r="D86" s="59" t="s">
        <v>47</v>
      </c>
      <c r="E86" s="59" t="s">
        <v>568</v>
      </c>
      <c r="F86" s="59" t="s">
        <v>361</v>
      </c>
      <c r="G86" s="59" t="s">
        <v>580</v>
      </c>
      <c r="H86" s="107" t="s">
        <v>581</v>
      </c>
    </row>
    <row r="87" spans="1:8" ht="66" customHeight="1">
      <c r="A87" s="69" t="s">
        <v>290</v>
      </c>
      <c r="B87" s="59" t="s">
        <v>582</v>
      </c>
      <c r="C87" s="59">
        <v>42000</v>
      </c>
      <c r="D87" s="59" t="s">
        <v>47</v>
      </c>
      <c r="E87" s="59" t="s">
        <v>568</v>
      </c>
      <c r="F87" s="59" t="s">
        <v>361</v>
      </c>
      <c r="G87" s="59" t="s">
        <v>580</v>
      </c>
      <c r="H87" s="91" t="s">
        <v>583</v>
      </c>
    </row>
    <row r="88" spans="1:8" ht="66" customHeight="1">
      <c r="A88" s="104" t="s">
        <v>290</v>
      </c>
      <c r="B88" s="93" t="s">
        <v>291</v>
      </c>
      <c r="C88" s="93" t="s">
        <v>103</v>
      </c>
      <c r="D88" s="93" t="s">
        <v>341</v>
      </c>
      <c r="E88" s="93" t="s">
        <v>341</v>
      </c>
      <c r="F88" s="93" t="s">
        <v>361</v>
      </c>
      <c r="G88" s="93" t="s">
        <v>341</v>
      </c>
      <c r="H88" s="98" t="s">
        <v>584</v>
      </c>
    </row>
    <row r="89" spans="1:8" ht="43.5" customHeight="1">
      <c r="A89" s="101" t="s">
        <v>299</v>
      </c>
      <c r="B89" s="59" t="s">
        <v>316</v>
      </c>
      <c r="C89" s="59">
        <v>157612</v>
      </c>
      <c r="D89" s="59" t="s">
        <v>317</v>
      </c>
      <c r="E89" s="59">
        <v>2025</v>
      </c>
      <c r="F89" s="59" t="s">
        <v>346</v>
      </c>
      <c r="G89" s="59" t="s">
        <v>585</v>
      </c>
      <c r="H89" s="59" t="s">
        <v>586</v>
      </c>
    </row>
    <row r="90" spans="1:8" ht="66" customHeight="1">
      <c r="A90" s="101" t="s">
        <v>299</v>
      </c>
      <c r="B90" s="59" t="s">
        <v>587</v>
      </c>
      <c r="C90" s="59">
        <v>183000</v>
      </c>
      <c r="D90" s="59" t="s">
        <v>47</v>
      </c>
      <c r="E90" s="59">
        <v>2025</v>
      </c>
      <c r="F90" s="59" t="s">
        <v>346</v>
      </c>
      <c r="G90" s="59" t="s">
        <v>588</v>
      </c>
      <c r="H90" s="59" t="s">
        <v>589</v>
      </c>
    </row>
    <row r="91" spans="1:8" ht="66" customHeight="1">
      <c r="A91" s="101" t="s">
        <v>299</v>
      </c>
      <c r="B91" s="59" t="s">
        <v>329</v>
      </c>
      <c r="C91" s="59">
        <v>21000</v>
      </c>
      <c r="D91" s="59" t="s">
        <v>47</v>
      </c>
      <c r="E91" s="59">
        <v>2025</v>
      </c>
      <c r="F91" s="59" t="s">
        <v>346</v>
      </c>
      <c r="G91" s="59" t="s">
        <v>590</v>
      </c>
      <c r="H91" s="59" t="s">
        <v>591</v>
      </c>
    </row>
    <row r="92" spans="1:8" ht="28.5" customHeight="1">
      <c r="A92" s="101" t="s">
        <v>299</v>
      </c>
      <c r="B92" s="59" t="s">
        <v>592</v>
      </c>
      <c r="C92" s="59">
        <v>0.82</v>
      </c>
      <c r="D92" s="59" t="s">
        <v>332</v>
      </c>
      <c r="E92" s="59">
        <v>2025</v>
      </c>
      <c r="F92" s="59" t="s">
        <v>346</v>
      </c>
      <c r="G92" s="59" t="s">
        <v>593</v>
      </c>
      <c r="H92" s="59" t="s">
        <v>594</v>
      </c>
    </row>
    <row r="93" spans="1:8" ht="40.5" customHeight="1">
      <c r="A93" s="101" t="s">
        <v>299</v>
      </c>
      <c r="B93" s="59" t="s">
        <v>595</v>
      </c>
      <c r="C93" s="59">
        <v>81200</v>
      </c>
      <c r="D93" s="59" t="s">
        <v>47</v>
      </c>
      <c r="E93" s="59">
        <v>2024</v>
      </c>
      <c r="F93" s="59" t="s">
        <v>361</v>
      </c>
      <c r="G93" s="59" t="s">
        <v>596</v>
      </c>
      <c r="H93" s="105" t="s">
        <v>597</v>
      </c>
    </row>
    <row r="94" spans="1:8" ht="54" customHeight="1">
      <c r="A94" s="101" t="s">
        <v>299</v>
      </c>
      <c r="B94" s="59" t="s">
        <v>323</v>
      </c>
      <c r="C94" s="59">
        <v>237</v>
      </c>
      <c r="D94" s="59" t="s">
        <v>47</v>
      </c>
      <c r="E94" s="59">
        <v>2024</v>
      </c>
      <c r="F94" s="59" t="s">
        <v>361</v>
      </c>
      <c r="G94" s="59" t="s">
        <v>598</v>
      </c>
      <c r="H94" s="105" t="s">
        <v>599</v>
      </c>
    </row>
    <row r="95" spans="1:8" ht="43.5" customHeight="1">
      <c r="A95" s="101" t="s">
        <v>299</v>
      </c>
      <c r="B95" s="59" t="s">
        <v>600</v>
      </c>
      <c r="C95" s="59" t="s">
        <v>103</v>
      </c>
      <c r="D95" s="59" t="s">
        <v>341</v>
      </c>
      <c r="E95" s="59" t="s">
        <v>341</v>
      </c>
      <c r="F95" s="59" t="s">
        <v>361</v>
      </c>
      <c r="G95" s="59" t="s">
        <v>341</v>
      </c>
      <c r="H95" s="59" t="s">
        <v>601</v>
      </c>
    </row>
    <row r="96" spans="1:8" ht="54" customHeight="1"/>
    <row r="97" ht="51.75" customHeight="1"/>
    <row r="98" ht="54" customHeight="1"/>
    <row r="99" ht="54" customHeight="1"/>
    <row r="100" ht="64.5" customHeight="1"/>
    <row r="101" ht="64.5" customHeight="1"/>
    <row r="102" ht="28.5" customHeight="1"/>
    <row r="103" ht="28.5" customHeight="1"/>
    <row r="104" ht="28.5" customHeight="1"/>
    <row r="105" ht="43.5" customHeight="1"/>
    <row r="106" ht="28.5" customHeight="1"/>
    <row r="107" ht="43.5" customHeight="1"/>
    <row r="108" ht="43.5" customHeight="1"/>
    <row r="109" ht="43.5" customHeight="1"/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2"/>
  <sheetViews>
    <sheetView topLeftCell="A48" zoomScale="76" zoomScaleNormal="81" workbookViewId="0">
      <selection activeCell="C9" sqref="C9"/>
    </sheetView>
  </sheetViews>
  <sheetFormatPr defaultColWidth="8.54296875" defaultRowHeight="14.5"/>
  <cols>
    <col min="1" max="1" width="21.81640625" customWidth="1"/>
    <col min="2" max="2" width="20.1796875" customWidth="1"/>
    <col min="3" max="3" width="14.08984375" customWidth="1"/>
    <col min="4" max="4" width="10.1796875" customWidth="1"/>
    <col min="7" max="7" width="24.54296875" customWidth="1"/>
    <col min="8" max="8" width="38.54296875" customWidth="1"/>
  </cols>
  <sheetData>
    <row r="1" spans="1:8" ht="18" customHeight="1">
      <c r="A1" s="1" t="s">
        <v>602</v>
      </c>
    </row>
    <row r="2" spans="1:8" ht="15" customHeight="1">
      <c r="A2" s="2" t="s">
        <v>1</v>
      </c>
    </row>
    <row r="3" spans="1:8" ht="15" customHeight="1">
      <c r="A3" s="84" t="s">
        <v>2</v>
      </c>
      <c r="B3" s="85" t="s">
        <v>3</v>
      </c>
      <c r="C3" s="85" t="s">
        <v>4</v>
      </c>
      <c r="D3" s="85" t="s">
        <v>5</v>
      </c>
      <c r="E3" s="85" t="s">
        <v>6</v>
      </c>
      <c r="F3" s="85" t="s">
        <v>7</v>
      </c>
      <c r="G3" s="85" t="s">
        <v>8</v>
      </c>
      <c r="H3" s="86" t="s">
        <v>9</v>
      </c>
    </row>
    <row r="4" spans="1:8" ht="87" customHeight="1">
      <c r="A4" s="110" t="s">
        <v>23</v>
      </c>
      <c r="B4" s="110" t="s">
        <v>335</v>
      </c>
      <c r="C4" s="110">
        <v>2415261</v>
      </c>
      <c r="D4" s="110" t="s">
        <v>336</v>
      </c>
      <c r="E4" s="110">
        <v>2025</v>
      </c>
      <c r="F4" s="110" t="s">
        <v>603</v>
      </c>
      <c r="G4" s="110" t="s">
        <v>604</v>
      </c>
      <c r="H4" s="110" t="s">
        <v>605</v>
      </c>
    </row>
    <row r="5" spans="1:8" ht="79.5" customHeight="1">
      <c r="A5" s="110" t="s">
        <v>23</v>
      </c>
      <c r="B5" s="110" t="s">
        <v>27</v>
      </c>
      <c r="C5" s="110">
        <v>1390</v>
      </c>
      <c r="D5" s="110" t="s">
        <v>340</v>
      </c>
      <c r="E5" s="110">
        <v>2025</v>
      </c>
      <c r="F5" s="110" t="s">
        <v>603</v>
      </c>
      <c r="G5" s="110" t="s">
        <v>606</v>
      </c>
      <c r="H5" s="110" t="s">
        <v>607</v>
      </c>
    </row>
    <row r="6" spans="1:8" ht="109.5" customHeight="1">
      <c r="A6" s="99" t="s">
        <v>10</v>
      </c>
      <c r="B6" s="95" t="s">
        <v>608</v>
      </c>
      <c r="C6" s="95">
        <v>136</v>
      </c>
      <c r="D6" s="95" t="s">
        <v>47</v>
      </c>
      <c r="E6" s="95" t="s">
        <v>609</v>
      </c>
      <c r="F6" s="95" t="s">
        <v>610</v>
      </c>
      <c r="G6" s="95" t="s">
        <v>611</v>
      </c>
      <c r="H6" s="96" t="s">
        <v>612</v>
      </c>
    </row>
    <row r="7" spans="1:8" ht="93" customHeight="1">
      <c r="A7" s="69" t="s">
        <v>10</v>
      </c>
      <c r="B7" s="59" t="s">
        <v>613</v>
      </c>
      <c r="C7" s="103">
        <f>657+29</f>
        <v>686</v>
      </c>
      <c r="D7" s="59" t="s">
        <v>47</v>
      </c>
      <c r="E7" s="59">
        <v>2024</v>
      </c>
      <c r="F7" s="59" t="s">
        <v>603</v>
      </c>
      <c r="G7" s="59" t="s">
        <v>614</v>
      </c>
      <c r="H7" s="70" t="s">
        <v>615</v>
      </c>
    </row>
    <row r="8" spans="1:8" ht="43.5" customHeight="1">
      <c r="A8" s="69" t="s">
        <v>10</v>
      </c>
      <c r="B8" s="59" t="s">
        <v>616</v>
      </c>
      <c r="C8" s="111">
        <f>C7/2419228*100000</f>
        <v>28.356153285262902</v>
      </c>
      <c r="D8" s="59" t="s">
        <v>412</v>
      </c>
      <c r="E8" s="59">
        <v>2024</v>
      </c>
      <c r="F8" s="59" t="s">
        <v>603</v>
      </c>
      <c r="G8" s="59" t="s">
        <v>617</v>
      </c>
      <c r="H8" s="70" t="s">
        <v>618</v>
      </c>
    </row>
    <row r="9" spans="1:8" ht="43.5" customHeight="1">
      <c r="A9" s="69" t="s">
        <v>10</v>
      </c>
      <c r="B9" s="59" t="s">
        <v>619</v>
      </c>
      <c r="C9" s="112">
        <f>C7/1390</f>
        <v>0.4935251798561151</v>
      </c>
      <c r="D9" s="59" t="s">
        <v>620</v>
      </c>
      <c r="E9" s="59">
        <v>2024</v>
      </c>
      <c r="F9" s="59" t="s">
        <v>603</v>
      </c>
      <c r="G9" s="59" t="s">
        <v>621</v>
      </c>
      <c r="H9" s="70" t="s">
        <v>622</v>
      </c>
    </row>
    <row r="10" spans="1:8" ht="69" customHeight="1">
      <c r="A10" s="104" t="s">
        <v>10</v>
      </c>
      <c r="B10" s="93" t="s">
        <v>623</v>
      </c>
      <c r="C10" s="113">
        <v>28.34</v>
      </c>
      <c r="D10" s="93" t="s">
        <v>345</v>
      </c>
      <c r="E10" s="93">
        <v>2024</v>
      </c>
      <c r="F10" s="93" t="s">
        <v>610</v>
      </c>
      <c r="G10" s="93" t="s">
        <v>624</v>
      </c>
      <c r="H10" s="114" t="s">
        <v>625</v>
      </c>
    </row>
    <row r="11" spans="1:8" ht="93" customHeight="1">
      <c r="A11" s="99" t="s">
        <v>32</v>
      </c>
      <c r="B11" s="95" t="s">
        <v>626</v>
      </c>
      <c r="C11" s="95">
        <v>376509</v>
      </c>
      <c r="D11" s="95" t="s">
        <v>47</v>
      </c>
      <c r="E11" s="95">
        <v>2024</v>
      </c>
      <c r="F11" s="95" t="s">
        <v>603</v>
      </c>
      <c r="G11" s="95" t="s">
        <v>627</v>
      </c>
      <c r="H11" s="96" t="s">
        <v>628</v>
      </c>
    </row>
    <row r="12" spans="1:8" ht="43.5" customHeight="1">
      <c r="A12" s="69" t="s">
        <v>32</v>
      </c>
      <c r="B12" s="59" t="s">
        <v>629</v>
      </c>
      <c r="C12" s="111">
        <f>376509/2419228*1000</f>
        <v>155.63187926065672</v>
      </c>
      <c r="D12" s="59" t="s">
        <v>42</v>
      </c>
      <c r="E12" s="59">
        <v>2024</v>
      </c>
      <c r="F12" s="59" t="s">
        <v>603</v>
      </c>
      <c r="G12" s="59" t="s">
        <v>630</v>
      </c>
      <c r="H12" s="70" t="s">
        <v>631</v>
      </c>
    </row>
    <row r="13" spans="1:8" ht="93" customHeight="1">
      <c r="A13" s="69" t="s">
        <v>32</v>
      </c>
      <c r="B13" s="59" t="s">
        <v>632</v>
      </c>
      <c r="C13" s="59">
        <v>5199</v>
      </c>
      <c r="D13" s="59" t="s">
        <v>47</v>
      </c>
      <c r="E13" s="59">
        <v>2024</v>
      </c>
      <c r="F13" s="59" t="s">
        <v>603</v>
      </c>
      <c r="G13" s="59" t="s">
        <v>627</v>
      </c>
      <c r="H13" s="91" t="s">
        <v>633</v>
      </c>
    </row>
    <row r="14" spans="1:8" ht="43.5" customHeight="1">
      <c r="A14" s="69" t="s">
        <v>32</v>
      </c>
      <c r="B14" s="59" t="s">
        <v>634</v>
      </c>
      <c r="C14" s="59">
        <v>29580</v>
      </c>
      <c r="D14" s="59" t="s">
        <v>47</v>
      </c>
      <c r="E14" s="59">
        <v>2024</v>
      </c>
      <c r="F14" s="59" t="s">
        <v>603</v>
      </c>
      <c r="G14" s="59" t="s">
        <v>391</v>
      </c>
      <c r="H14" s="91" t="s">
        <v>635</v>
      </c>
    </row>
    <row r="15" spans="1:8" ht="43.5" customHeight="1">
      <c r="A15" s="69" t="s">
        <v>32</v>
      </c>
      <c r="B15" s="59" t="s">
        <v>636</v>
      </c>
      <c r="C15" s="59">
        <v>341730</v>
      </c>
      <c r="D15" s="59" t="s">
        <v>47</v>
      </c>
      <c r="E15" s="59">
        <v>2024</v>
      </c>
      <c r="F15" s="59" t="s">
        <v>603</v>
      </c>
      <c r="G15" s="59" t="s">
        <v>391</v>
      </c>
      <c r="H15" s="91" t="s">
        <v>637</v>
      </c>
    </row>
    <row r="16" spans="1:8" ht="43.5" customHeight="1">
      <c r="A16" s="104" t="s">
        <v>32</v>
      </c>
      <c r="B16" s="93" t="s">
        <v>638</v>
      </c>
      <c r="C16" s="93" t="s">
        <v>103</v>
      </c>
      <c r="D16" s="93" t="s">
        <v>341</v>
      </c>
      <c r="E16" s="93" t="s">
        <v>341</v>
      </c>
      <c r="F16" s="93" t="s">
        <v>603</v>
      </c>
      <c r="G16" s="93" t="s">
        <v>341</v>
      </c>
      <c r="H16" s="98" t="s">
        <v>639</v>
      </c>
    </row>
    <row r="17" spans="1:8" ht="120" customHeight="1">
      <c r="A17" s="99" t="s">
        <v>66</v>
      </c>
      <c r="B17" s="95" t="s">
        <v>640</v>
      </c>
      <c r="C17" s="95">
        <v>1532308</v>
      </c>
      <c r="D17" s="95" t="s">
        <v>61</v>
      </c>
      <c r="E17" s="95">
        <v>2024</v>
      </c>
      <c r="F17" s="95" t="s">
        <v>603</v>
      </c>
      <c r="G17" s="95" t="s">
        <v>641</v>
      </c>
      <c r="H17" s="96" t="s">
        <v>642</v>
      </c>
    </row>
    <row r="18" spans="1:8" ht="43.5" customHeight="1">
      <c r="A18" s="69" t="s">
        <v>66</v>
      </c>
      <c r="B18" s="59" t="s">
        <v>643</v>
      </c>
      <c r="C18" s="111">
        <f>1532308/2419228*1000</f>
        <v>633.38717971187509</v>
      </c>
      <c r="D18" s="59" t="s">
        <v>549</v>
      </c>
      <c r="E18" s="59">
        <v>2024</v>
      </c>
      <c r="F18" s="59" t="s">
        <v>603</v>
      </c>
      <c r="G18" s="59" t="s">
        <v>630</v>
      </c>
      <c r="H18" s="70" t="s">
        <v>644</v>
      </c>
    </row>
    <row r="19" spans="1:8" ht="100.5" customHeight="1">
      <c r="A19" s="69" t="s">
        <v>66</v>
      </c>
      <c r="B19" s="59" t="s">
        <v>645</v>
      </c>
      <c r="C19" s="59">
        <v>16666</v>
      </c>
      <c r="D19" s="59" t="s">
        <v>61</v>
      </c>
      <c r="E19" s="59">
        <v>2024</v>
      </c>
      <c r="F19" s="59" t="s">
        <v>603</v>
      </c>
      <c r="G19" s="59" t="s">
        <v>646</v>
      </c>
      <c r="H19" s="91" t="s">
        <v>647</v>
      </c>
    </row>
    <row r="20" spans="1:8" ht="43.5" customHeight="1">
      <c r="A20" s="69" t="s">
        <v>66</v>
      </c>
      <c r="B20" s="59" t="s">
        <v>648</v>
      </c>
      <c r="C20" s="59">
        <v>188792</v>
      </c>
      <c r="D20" s="59" t="s">
        <v>61</v>
      </c>
      <c r="E20" s="59">
        <v>2024</v>
      </c>
      <c r="F20" s="59" t="s">
        <v>603</v>
      </c>
      <c r="G20" s="59" t="s">
        <v>391</v>
      </c>
      <c r="H20" s="91" t="s">
        <v>649</v>
      </c>
    </row>
    <row r="21" spans="1:8" ht="43.5" customHeight="1">
      <c r="A21" s="69" t="s">
        <v>66</v>
      </c>
      <c r="B21" s="59" t="s">
        <v>650</v>
      </c>
      <c r="C21" s="59">
        <v>1326850</v>
      </c>
      <c r="D21" s="59" t="s">
        <v>61</v>
      </c>
      <c r="E21" s="59">
        <v>2024</v>
      </c>
      <c r="F21" s="59" t="s">
        <v>603</v>
      </c>
      <c r="G21" s="59" t="s">
        <v>391</v>
      </c>
      <c r="H21" s="91" t="s">
        <v>651</v>
      </c>
    </row>
    <row r="22" spans="1:8" ht="95.25" customHeight="1">
      <c r="A22" s="69" t="s">
        <v>66</v>
      </c>
      <c r="B22" s="59" t="s">
        <v>652</v>
      </c>
      <c r="C22" s="59">
        <v>75.8</v>
      </c>
      <c r="D22" s="59" t="s">
        <v>64</v>
      </c>
      <c r="E22" s="59">
        <v>2025</v>
      </c>
      <c r="F22" s="59" t="s">
        <v>603</v>
      </c>
      <c r="G22" s="59" t="s">
        <v>653</v>
      </c>
      <c r="H22" s="91" t="s">
        <v>654</v>
      </c>
    </row>
    <row r="23" spans="1:8" ht="95.25" customHeight="1">
      <c r="A23" s="69" t="s">
        <v>66</v>
      </c>
      <c r="B23" s="59" t="s">
        <v>655</v>
      </c>
      <c r="C23" s="59">
        <v>6.4</v>
      </c>
      <c r="D23" s="59" t="s">
        <v>64</v>
      </c>
      <c r="E23" s="59">
        <v>2025</v>
      </c>
      <c r="F23" s="59" t="s">
        <v>603</v>
      </c>
      <c r="G23" s="59" t="s">
        <v>656</v>
      </c>
      <c r="H23" s="91" t="s">
        <v>657</v>
      </c>
    </row>
    <row r="24" spans="1:8" ht="43.5" customHeight="1">
      <c r="A24" s="104" t="s">
        <v>66</v>
      </c>
      <c r="B24" s="93" t="s">
        <v>658</v>
      </c>
      <c r="C24" s="93">
        <v>4</v>
      </c>
      <c r="D24" s="93" t="s">
        <v>64</v>
      </c>
      <c r="E24" s="93">
        <v>2025</v>
      </c>
      <c r="F24" s="93" t="s">
        <v>603</v>
      </c>
      <c r="G24" s="93" t="s">
        <v>659</v>
      </c>
      <c r="H24" s="98" t="s">
        <v>660</v>
      </c>
    </row>
    <row r="25" spans="1:8" ht="66" customHeight="1">
      <c r="A25" s="99" t="s">
        <v>661</v>
      </c>
      <c r="B25" s="95" t="s">
        <v>111</v>
      </c>
      <c r="C25" s="95">
        <v>77.900000000000006</v>
      </c>
      <c r="D25" s="95" t="s">
        <v>112</v>
      </c>
      <c r="E25" s="95">
        <v>2025</v>
      </c>
      <c r="F25" s="95" t="s">
        <v>610</v>
      </c>
      <c r="G25" s="95" t="s">
        <v>115</v>
      </c>
      <c r="H25" s="96" t="s">
        <v>662</v>
      </c>
    </row>
    <row r="26" spans="1:8" ht="43.5" customHeight="1">
      <c r="A26" s="69" t="s">
        <v>661</v>
      </c>
      <c r="B26" s="59" t="s">
        <v>117</v>
      </c>
      <c r="C26" s="59">
        <v>73.3</v>
      </c>
      <c r="D26" s="59" t="s">
        <v>112</v>
      </c>
      <c r="E26" s="59">
        <v>2025</v>
      </c>
      <c r="F26" s="59" t="s">
        <v>610</v>
      </c>
      <c r="G26" s="59" t="s">
        <v>118</v>
      </c>
      <c r="H26" s="91" t="s">
        <v>663</v>
      </c>
    </row>
    <row r="27" spans="1:8" ht="28.5" customHeight="1">
      <c r="A27" s="69" t="s">
        <v>661</v>
      </c>
      <c r="B27" s="59" t="s">
        <v>120</v>
      </c>
      <c r="C27" s="59">
        <v>65.099999999999994</v>
      </c>
      <c r="D27" s="59" t="s">
        <v>112</v>
      </c>
      <c r="E27" s="59">
        <v>2025</v>
      </c>
      <c r="F27" s="59" t="s">
        <v>610</v>
      </c>
      <c r="G27" s="59" t="s">
        <v>118</v>
      </c>
      <c r="H27" s="91" t="s">
        <v>664</v>
      </c>
    </row>
    <row r="28" spans="1:8" ht="28.5" customHeight="1">
      <c r="A28" s="69" t="s">
        <v>661</v>
      </c>
      <c r="B28" s="59" t="s">
        <v>122</v>
      </c>
      <c r="C28" s="59">
        <v>75.900000000000006</v>
      </c>
      <c r="D28" s="59" t="s">
        <v>112</v>
      </c>
      <c r="E28" s="59">
        <v>2025</v>
      </c>
      <c r="F28" s="59" t="s">
        <v>610</v>
      </c>
      <c r="G28" s="59" t="s">
        <v>118</v>
      </c>
      <c r="H28" s="91" t="s">
        <v>665</v>
      </c>
    </row>
    <row r="29" spans="1:8" ht="87" customHeight="1">
      <c r="A29" s="104" t="s">
        <v>661</v>
      </c>
      <c r="B29" s="93" t="s">
        <v>666</v>
      </c>
      <c r="C29" s="93">
        <v>0.35899999999999999</v>
      </c>
      <c r="D29" s="93" t="s">
        <v>667</v>
      </c>
      <c r="E29" s="93">
        <v>2024</v>
      </c>
      <c r="F29" s="93" t="s">
        <v>668</v>
      </c>
      <c r="G29" s="93" t="s">
        <v>669</v>
      </c>
      <c r="H29" s="98" t="s">
        <v>670</v>
      </c>
    </row>
    <row r="30" spans="1:8" ht="111.75" customHeight="1">
      <c r="A30" s="99" t="s">
        <v>410</v>
      </c>
      <c r="B30" s="95" t="s">
        <v>671</v>
      </c>
      <c r="C30" s="115">
        <f>76480/2415261*1000</f>
        <v>31.665314845890364</v>
      </c>
      <c r="D30" s="95" t="s">
        <v>549</v>
      </c>
      <c r="E30" s="95">
        <v>2025</v>
      </c>
      <c r="F30" s="95" t="s">
        <v>603</v>
      </c>
      <c r="G30" s="95" t="s">
        <v>672</v>
      </c>
      <c r="H30" s="96" t="s">
        <v>673</v>
      </c>
    </row>
    <row r="31" spans="1:8" ht="87" customHeight="1">
      <c r="A31" s="69" t="s">
        <v>410</v>
      </c>
      <c r="B31" s="59" t="s">
        <v>674</v>
      </c>
      <c r="C31" s="92">
        <f>(1373+1098)/2415261*1000</f>
        <v>1.023077837136442</v>
      </c>
      <c r="D31" s="59" t="s">
        <v>549</v>
      </c>
      <c r="E31" s="59">
        <v>2025</v>
      </c>
      <c r="F31" s="59" t="s">
        <v>603</v>
      </c>
      <c r="G31" s="59" t="s">
        <v>118</v>
      </c>
      <c r="H31" s="91" t="s">
        <v>675</v>
      </c>
    </row>
    <row r="32" spans="1:8" ht="43.5" customHeight="1">
      <c r="A32" s="69" t="s">
        <v>410</v>
      </c>
      <c r="B32" s="59" t="s">
        <v>676</v>
      </c>
      <c r="C32" s="59" t="s">
        <v>103</v>
      </c>
      <c r="D32" s="59" t="s">
        <v>104</v>
      </c>
      <c r="E32" s="59" t="s">
        <v>104</v>
      </c>
      <c r="F32" s="59" t="s">
        <v>603</v>
      </c>
      <c r="G32" s="59" t="s">
        <v>104</v>
      </c>
      <c r="H32" s="91" t="s">
        <v>677</v>
      </c>
    </row>
    <row r="33" spans="1:8" ht="120" customHeight="1">
      <c r="A33" s="69" t="s">
        <v>410</v>
      </c>
      <c r="B33" s="59" t="s">
        <v>678</v>
      </c>
      <c r="C33" s="59">
        <v>15.24</v>
      </c>
      <c r="D33" s="59" t="s">
        <v>679</v>
      </c>
      <c r="E33" s="59" t="s">
        <v>680</v>
      </c>
      <c r="F33" s="59" t="s">
        <v>603</v>
      </c>
      <c r="G33" s="59" t="s">
        <v>681</v>
      </c>
      <c r="H33" s="70" t="s">
        <v>682</v>
      </c>
    </row>
    <row r="34" spans="1:8" ht="105.75" customHeight="1">
      <c r="A34" s="69" t="s">
        <v>410</v>
      </c>
      <c r="B34" s="59" t="s">
        <v>683</v>
      </c>
      <c r="C34" s="59">
        <v>7.2</v>
      </c>
      <c r="D34" s="59" t="s">
        <v>684</v>
      </c>
      <c r="E34" s="59">
        <v>2024</v>
      </c>
      <c r="F34" s="59" t="s">
        <v>685</v>
      </c>
      <c r="G34" s="59" t="s">
        <v>686</v>
      </c>
      <c r="H34" s="91" t="s">
        <v>687</v>
      </c>
    </row>
    <row r="35" spans="1:8" ht="96" customHeight="1">
      <c r="A35" s="104" t="s">
        <v>410</v>
      </c>
      <c r="B35" s="93" t="s">
        <v>688</v>
      </c>
      <c r="C35" s="93">
        <v>16.8</v>
      </c>
      <c r="D35" s="93" t="s">
        <v>64</v>
      </c>
      <c r="E35" s="93">
        <v>2022</v>
      </c>
      <c r="F35" s="93" t="s">
        <v>603</v>
      </c>
      <c r="G35" s="93" t="s">
        <v>689</v>
      </c>
      <c r="H35" s="98" t="s">
        <v>690</v>
      </c>
    </row>
    <row r="36" spans="1:8" ht="101.25" customHeight="1">
      <c r="A36" s="116" t="s">
        <v>410</v>
      </c>
      <c r="B36" s="117" t="s">
        <v>148</v>
      </c>
      <c r="C36" s="117" t="s">
        <v>103</v>
      </c>
      <c r="D36" s="117" t="s">
        <v>104</v>
      </c>
      <c r="E36" s="117" t="s">
        <v>104</v>
      </c>
      <c r="F36" s="117" t="s">
        <v>603</v>
      </c>
      <c r="G36" s="117" t="s">
        <v>104</v>
      </c>
      <c r="H36" s="118" t="s">
        <v>691</v>
      </c>
    </row>
    <row r="37" spans="1:8" ht="66" customHeight="1">
      <c r="A37" s="116" t="s">
        <v>410</v>
      </c>
      <c r="B37" s="117" t="s">
        <v>426</v>
      </c>
      <c r="C37" s="117" t="s">
        <v>103</v>
      </c>
      <c r="D37" s="117" t="s">
        <v>104</v>
      </c>
      <c r="E37" s="117" t="s">
        <v>104</v>
      </c>
      <c r="F37" s="117" t="s">
        <v>603</v>
      </c>
      <c r="G37" s="117" t="s">
        <v>104</v>
      </c>
      <c r="H37" s="118" t="s">
        <v>691</v>
      </c>
    </row>
    <row r="38" spans="1:8" ht="72" customHeight="1">
      <c r="A38" s="99" t="s">
        <v>692</v>
      </c>
      <c r="B38" s="95" t="s">
        <v>693</v>
      </c>
      <c r="C38" s="119">
        <f>(1000000*0.48-11387.17+0.025*(250000-80000)+0.05*(1000000-250000))/1000000*100</f>
        <v>51.036283000000005</v>
      </c>
      <c r="D38" s="95" t="s">
        <v>64</v>
      </c>
      <c r="E38" s="95">
        <v>2026</v>
      </c>
      <c r="F38" s="95" t="s">
        <v>610</v>
      </c>
      <c r="G38" s="95" t="s">
        <v>694</v>
      </c>
      <c r="H38" s="96" t="s">
        <v>695</v>
      </c>
    </row>
    <row r="39" spans="1:8" ht="120" customHeight="1">
      <c r="A39" s="69" t="s">
        <v>692</v>
      </c>
      <c r="B39" s="59" t="s">
        <v>696</v>
      </c>
      <c r="C39" s="59">
        <v>28</v>
      </c>
      <c r="D39" s="59" t="s">
        <v>64</v>
      </c>
      <c r="E39" s="59">
        <v>2026</v>
      </c>
      <c r="F39" s="59" t="s">
        <v>610</v>
      </c>
      <c r="G39" s="59" t="s">
        <v>697</v>
      </c>
      <c r="H39" s="91" t="s">
        <v>698</v>
      </c>
    </row>
    <row r="40" spans="1:8" ht="66" customHeight="1">
      <c r="A40" s="69" t="s">
        <v>692</v>
      </c>
      <c r="B40" s="59" t="s">
        <v>699</v>
      </c>
      <c r="C40" s="59">
        <v>0</v>
      </c>
      <c r="D40" s="59" t="s">
        <v>64</v>
      </c>
      <c r="E40" s="59">
        <v>2026</v>
      </c>
      <c r="F40" s="59" t="s">
        <v>610</v>
      </c>
      <c r="G40" s="59" t="s">
        <v>700</v>
      </c>
      <c r="H40" s="91" t="s">
        <v>701</v>
      </c>
    </row>
    <row r="41" spans="1:8" ht="43.5" customHeight="1">
      <c r="A41" s="69" t="s">
        <v>692</v>
      </c>
      <c r="B41" s="59" t="s">
        <v>702</v>
      </c>
      <c r="C41" s="59">
        <v>20</v>
      </c>
      <c r="D41" s="59" t="s">
        <v>64</v>
      </c>
      <c r="E41" s="59">
        <v>2026</v>
      </c>
      <c r="F41" s="59" t="s">
        <v>610</v>
      </c>
      <c r="G41" s="59" t="s">
        <v>703</v>
      </c>
      <c r="H41" s="91" t="s">
        <v>704</v>
      </c>
    </row>
    <row r="42" spans="1:8" ht="106.5" customHeight="1">
      <c r="A42" s="69" t="s">
        <v>692</v>
      </c>
      <c r="B42" s="59" t="s">
        <v>180</v>
      </c>
      <c r="C42" s="59">
        <v>0</v>
      </c>
      <c r="D42" s="59" t="s">
        <v>64</v>
      </c>
      <c r="E42" s="59">
        <v>2026</v>
      </c>
      <c r="F42" s="59" t="s">
        <v>610</v>
      </c>
      <c r="G42" s="59" t="s">
        <v>705</v>
      </c>
      <c r="H42" s="91" t="s">
        <v>706</v>
      </c>
    </row>
    <row r="43" spans="1:8" ht="120" customHeight="1">
      <c r="A43" s="69" t="s">
        <v>692</v>
      </c>
      <c r="B43" s="59" t="s">
        <v>707</v>
      </c>
      <c r="C43" s="59">
        <v>10</v>
      </c>
      <c r="D43" s="59" t="s">
        <v>64</v>
      </c>
      <c r="E43" s="59">
        <v>2026</v>
      </c>
      <c r="F43" s="59" t="s">
        <v>610</v>
      </c>
      <c r="G43" s="59" t="s">
        <v>118</v>
      </c>
      <c r="H43" s="91" t="s">
        <v>708</v>
      </c>
    </row>
    <row r="44" spans="1:8" ht="57.75" customHeight="1">
      <c r="A44" s="71" t="s">
        <v>692</v>
      </c>
      <c r="B44" s="73" t="s">
        <v>709</v>
      </c>
      <c r="C44" s="73">
        <v>500000</v>
      </c>
      <c r="D44" s="73" t="s">
        <v>710</v>
      </c>
      <c r="E44" s="73">
        <v>2026</v>
      </c>
      <c r="F44" s="73" t="s">
        <v>610</v>
      </c>
      <c r="G44" s="73" t="s">
        <v>711</v>
      </c>
      <c r="H44" s="74" t="s">
        <v>712</v>
      </c>
    </row>
    <row r="45" spans="1:8" ht="57.75" customHeight="1">
      <c r="A45" s="99" t="s">
        <v>713</v>
      </c>
      <c r="B45" s="95" t="s">
        <v>714</v>
      </c>
      <c r="C45" s="95">
        <v>3836</v>
      </c>
      <c r="D45" s="95" t="s">
        <v>715</v>
      </c>
      <c r="E45" s="95" t="s">
        <v>716</v>
      </c>
      <c r="F45" s="95" t="s">
        <v>603</v>
      </c>
      <c r="G45" s="95" t="s">
        <v>717</v>
      </c>
      <c r="H45" s="96" t="s">
        <v>718</v>
      </c>
    </row>
    <row r="46" spans="1:8" ht="43.5" customHeight="1">
      <c r="A46" s="69" t="s">
        <v>713</v>
      </c>
      <c r="B46" s="59" t="s">
        <v>719</v>
      </c>
      <c r="C46" s="59">
        <v>20.5</v>
      </c>
      <c r="D46" s="59" t="s">
        <v>64</v>
      </c>
      <c r="E46" s="59" t="s">
        <v>716</v>
      </c>
      <c r="F46" s="59" t="s">
        <v>603</v>
      </c>
      <c r="G46" s="59" t="s">
        <v>118</v>
      </c>
      <c r="H46" s="91" t="s">
        <v>720</v>
      </c>
    </row>
    <row r="47" spans="1:8" ht="108" customHeight="1">
      <c r="A47" s="69" t="s">
        <v>713</v>
      </c>
      <c r="B47" s="59" t="s">
        <v>721</v>
      </c>
      <c r="C47" s="59">
        <v>5118</v>
      </c>
      <c r="D47" s="59" t="s">
        <v>715</v>
      </c>
      <c r="E47" s="59" t="s">
        <v>716</v>
      </c>
      <c r="F47" s="59" t="s">
        <v>603</v>
      </c>
      <c r="G47" s="59" t="s">
        <v>118</v>
      </c>
      <c r="H47" s="91" t="s">
        <v>722</v>
      </c>
    </row>
    <row r="48" spans="1:8" ht="133.5" customHeight="1">
      <c r="A48" s="69" t="s">
        <v>713</v>
      </c>
      <c r="B48" s="59" t="s">
        <v>723</v>
      </c>
      <c r="C48" s="59" t="s">
        <v>216</v>
      </c>
      <c r="D48" s="59" t="s">
        <v>715</v>
      </c>
      <c r="E48" s="59" t="s">
        <v>104</v>
      </c>
      <c r="F48" s="59" t="s">
        <v>603</v>
      </c>
      <c r="G48" s="59" t="s">
        <v>104</v>
      </c>
      <c r="H48" s="91" t="s">
        <v>724</v>
      </c>
    </row>
    <row r="49" spans="1:8" ht="97.5" customHeight="1">
      <c r="A49" s="69" t="s">
        <v>713</v>
      </c>
      <c r="B49" s="59" t="s">
        <v>725</v>
      </c>
      <c r="C49" s="59" t="s">
        <v>221</v>
      </c>
      <c r="D49" s="59" t="s">
        <v>104</v>
      </c>
      <c r="E49" s="59">
        <v>2026</v>
      </c>
      <c r="F49" s="59" t="s">
        <v>610</v>
      </c>
      <c r="G49" s="59" t="s">
        <v>726</v>
      </c>
      <c r="H49" s="91" t="s">
        <v>727</v>
      </c>
    </row>
    <row r="50" spans="1:8" ht="102.75" customHeight="1">
      <c r="A50" s="71" t="s">
        <v>713</v>
      </c>
      <c r="B50" s="73" t="s">
        <v>492</v>
      </c>
      <c r="C50" s="73" t="s">
        <v>103</v>
      </c>
      <c r="D50" s="73" t="s">
        <v>64</v>
      </c>
      <c r="E50" s="73" t="s">
        <v>104</v>
      </c>
      <c r="F50" s="73" t="s">
        <v>603</v>
      </c>
      <c r="G50" s="73" t="s">
        <v>728</v>
      </c>
      <c r="H50" s="74" t="s">
        <v>729</v>
      </c>
    </row>
    <row r="51" spans="1:8" ht="72" customHeight="1">
      <c r="A51" s="99" t="s">
        <v>730</v>
      </c>
      <c r="B51" s="95" t="s">
        <v>335</v>
      </c>
      <c r="C51" s="95">
        <v>2415261</v>
      </c>
      <c r="D51" s="95" t="s">
        <v>336</v>
      </c>
      <c r="E51" s="95">
        <v>2025</v>
      </c>
      <c r="F51" s="95" t="s">
        <v>603</v>
      </c>
      <c r="G51" s="95" t="s">
        <v>731</v>
      </c>
      <c r="H51" s="96" t="s">
        <v>732</v>
      </c>
    </row>
    <row r="52" spans="1:8" ht="87" customHeight="1">
      <c r="A52" s="69" t="s">
        <v>730</v>
      </c>
      <c r="B52" s="59" t="s">
        <v>733</v>
      </c>
      <c r="C52" s="59">
        <v>2081</v>
      </c>
      <c r="D52" s="59" t="s">
        <v>47</v>
      </c>
      <c r="E52" s="59">
        <v>2024</v>
      </c>
      <c r="F52" s="59" t="s">
        <v>610</v>
      </c>
      <c r="G52" s="59" t="s">
        <v>734</v>
      </c>
      <c r="H52" s="91" t="s">
        <v>735</v>
      </c>
    </row>
    <row r="53" spans="1:8" ht="124.5" customHeight="1">
      <c r="A53" s="69" t="s">
        <v>730</v>
      </c>
      <c r="B53" s="59" t="s">
        <v>249</v>
      </c>
      <c r="C53" s="59" t="s">
        <v>736</v>
      </c>
      <c r="D53" s="59" t="s">
        <v>737</v>
      </c>
      <c r="E53" s="59">
        <v>2024</v>
      </c>
      <c r="F53" s="59" t="s">
        <v>610</v>
      </c>
      <c r="G53" s="59" t="s">
        <v>738</v>
      </c>
      <c r="H53" s="91" t="s">
        <v>739</v>
      </c>
    </row>
    <row r="54" spans="1:8" ht="72.75" customHeight="1">
      <c r="A54" s="69" t="s">
        <v>730</v>
      </c>
      <c r="B54" s="59" t="s">
        <v>740</v>
      </c>
      <c r="C54" s="59">
        <f>202430+96587+56185+55573+51834+51032+27649</f>
        <v>541290</v>
      </c>
      <c r="D54" s="59" t="s">
        <v>61</v>
      </c>
      <c r="E54" s="59">
        <v>2024</v>
      </c>
      <c r="F54" s="59" t="s">
        <v>603</v>
      </c>
      <c r="G54" s="59" t="s">
        <v>741</v>
      </c>
      <c r="H54" s="91" t="s">
        <v>742</v>
      </c>
    </row>
    <row r="55" spans="1:8" ht="82.5" customHeight="1">
      <c r="A55" s="69" t="s">
        <v>730</v>
      </c>
      <c r="B55" s="59" t="s">
        <v>743</v>
      </c>
      <c r="C55" s="59">
        <v>56492</v>
      </c>
      <c r="D55" s="59" t="s">
        <v>61</v>
      </c>
      <c r="E55" s="59">
        <v>2024</v>
      </c>
      <c r="F55" s="59" t="s">
        <v>603</v>
      </c>
      <c r="G55" s="59" t="s">
        <v>744</v>
      </c>
      <c r="H55" s="91" t="s">
        <v>745</v>
      </c>
    </row>
    <row r="56" spans="1:8" ht="95.25" customHeight="1">
      <c r="A56" s="104" t="s">
        <v>730</v>
      </c>
      <c r="B56" s="93" t="s">
        <v>746</v>
      </c>
      <c r="C56" s="93">
        <f>56492/((2361807+2419228)/2)*1000</f>
        <v>23.631703177240912</v>
      </c>
      <c r="D56" s="93" t="s">
        <v>246</v>
      </c>
      <c r="E56" s="93">
        <v>2024</v>
      </c>
      <c r="F56" s="93" t="s">
        <v>603</v>
      </c>
      <c r="G56" s="93" t="s">
        <v>747</v>
      </c>
      <c r="H56" s="98" t="s">
        <v>748</v>
      </c>
    </row>
    <row r="57" spans="1:8" ht="57.75" customHeight="1">
      <c r="A57" s="99" t="s">
        <v>536</v>
      </c>
      <c r="B57" s="95" t="s">
        <v>537</v>
      </c>
      <c r="C57" s="95">
        <v>52</v>
      </c>
      <c r="D57" s="95" t="s">
        <v>47</v>
      </c>
      <c r="E57" s="95">
        <v>2024</v>
      </c>
      <c r="F57" s="95" t="s">
        <v>603</v>
      </c>
      <c r="G57" s="95" t="s">
        <v>749</v>
      </c>
      <c r="H57" s="96" t="s">
        <v>750</v>
      </c>
    </row>
    <row r="58" spans="1:8" ht="95.25" customHeight="1">
      <c r="A58" s="69" t="s">
        <v>536</v>
      </c>
      <c r="B58" s="59" t="s">
        <v>751</v>
      </c>
      <c r="C58" s="59">
        <v>17168</v>
      </c>
      <c r="D58" s="59" t="s">
        <v>47</v>
      </c>
      <c r="E58" s="59">
        <v>2023</v>
      </c>
      <c r="F58" s="59" t="s">
        <v>603</v>
      </c>
      <c r="G58" s="59" t="s">
        <v>752</v>
      </c>
      <c r="H58" s="91" t="s">
        <v>753</v>
      </c>
    </row>
    <row r="59" spans="1:8" ht="43.5" customHeight="1">
      <c r="A59" s="69" t="s">
        <v>536</v>
      </c>
      <c r="B59" s="59" t="s">
        <v>754</v>
      </c>
      <c r="C59" s="59">
        <f>17168/2361807*1000</f>
        <v>7.2690105499729656</v>
      </c>
      <c r="D59" s="59" t="s">
        <v>272</v>
      </c>
      <c r="E59" s="59">
        <v>2023</v>
      </c>
      <c r="F59" s="59" t="s">
        <v>603</v>
      </c>
      <c r="G59" s="59" t="s">
        <v>755</v>
      </c>
      <c r="H59" s="91" t="s">
        <v>756</v>
      </c>
    </row>
    <row r="60" spans="1:8" ht="96" customHeight="1">
      <c r="A60" s="69" t="s">
        <v>536</v>
      </c>
      <c r="B60" s="59" t="s">
        <v>267</v>
      </c>
      <c r="C60" s="59">
        <v>9056</v>
      </c>
      <c r="D60" s="59" t="s">
        <v>268</v>
      </c>
      <c r="E60" s="59">
        <v>2024</v>
      </c>
      <c r="F60" s="59" t="s">
        <v>603</v>
      </c>
      <c r="G60" s="59" t="s">
        <v>757</v>
      </c>
      <c r="H60" s="91" t="s">
        <v>758</v>
      </c>
    </row>
    <row r="61" spans="1:8" ht="82.5" customHeight="1">
      <c r="A61" s="69" t="s">
        <v>536</v>
      </c>
      <c r="B61" s="59" t="s">
        <v>271</v>
      </c>
      <c r="C61" s="59">
        <f>9056/2419228*1000</f>
        <v>3.7433429176580297</v>
      </c>
      <c r="D61" s="59" t="s">
        <v>272</v>
      </c>
      <c r="E61" s="59">
        <v>2024</v>
      </c>
      <c r="F61" s="59" t="s">
        <v>603</v>
      </c>
      <c r="G61" s="59" t="s">
        <v>759</v>
      </c>
      <c r="H61" s="91" t="s">
        <v>760</v>
      </c>
    </row>
    <row r="62" spans="1:8" ht="57.75" customHeight="1">
      <c r="A62" s="104" t="s">
        <v>536</v>
      </c>
      <c r="B62" s="93" t="s">
        <v>276</v>
      </c>
      <c r="C62" s="93">
        <v>82.9</v>
      </c>
      <c r="D62" s="93" t="s">
        <v>277</v>
      </c>
      <c r="E62" s="93">
        <v>2024</v>
      </c>
      <c r="F62" s="93" t="s">
        <v>603</v>
      </c>
      <c r="G62" s="93" t="s">
        <v>280</v>
      </c>
      <c r="H62" s="98" t="s">
        <v>761</v>
      </c>
    </row>
    <row r="63" spans="1:8" ht="109.5" customHeight="1">
      <c r="A63" s="99" t="s">
        <v>290</v>
      </c>
      <c r="B63" s="95" t="s">
        <v>762</v>
      </c>
      <c r="C63" s="95">
        <v>79</v>
      </c>
      <c r="D63" s="95" t="s">
        <v>47</v>
      </c>
      <c r="E63" s="95" t="s">
        <v>296</v>
      </c>
      <c r="F63" s="95" t="s">
        <v>603</v>
      </c>
      <c r="G63" s="95" t="s">
        <v>763</v>
      </c>
      <c r="H63" s="96" t="s">
        <v>764</v>
      </c>
    </row>
    <row r="64" spans="1:8" ht="159.75" customHeight="1">
      <c r="A64" s="69" t="s">
        <v>290</v>
      </c>
      <c r="B64" s="59" t="s">
        <v>765</v>
      </c>
      <c r="C64" s="59">
        <v>152037</v>
      </c>
      <c r="D64" s="59" t="s">
        <v>47</v>
      </c>
      <c r="E64" s="59" t="s">
        <v>296</v>
      </c>
      <c r="F64" s="59" t="s">
        <v>603</v>
      </c>
      <c r="G64" s="59" t="s">
        <v>118</v>
      </c>
      <c r="H64" s="91" t="s">
        <v>766</v>
      </c>
    </row>
    <row r="65" spans="1:8" ht="93" customHeight="1">
      <c r="A65" s="69" t="s">
        <v>290</v>
      </c>
      <c r="B65" s="59" t="s">
        <v>291</v>
      </c>
      <c r="C65" s="59">
        <v>43.3</v>
      </c>
      <c r="D65" s="59" t="s">
        <v>767</v>
      </c>
      <c r="E65" s="59">
        <v>2025</v>
      </c>
      <c r="F65" s="59" t="s">
        <v>603</v>
      </c>
      <c r="G65" s="59" t="s">
        <v>768</v>
      </c>
      <c r="H65" s="91" t="s">
        <v>769</v>
      </c>
    </row>
    <row r="66" spans="1:8" ht="28.5" customHeight="1">
      <c r="A66" s="104" t="s">
        <v>290</v>
      </c>
      <c r="B66" s="93" t="s">
        <v>770</v>
      </c>
      <c r="C66" s="93">
        <v>6</v>
      </c>
      <c r="D66" s="93" t="s">
        <v>47</v>
      </c>
      <c r="E66" s="93">
        <v>2026</v>
      </c>
      <c r="F66" s="93" t="s">
        <v>603</v>
      </c>
      <c r="G66" s="93" t="s">
        <v>771</v>
      </c>
      <c r="H66" s="98" t="s">
        <v>772</v>
      </c>
    </row>
    <row r="67" spans="1:8" ht="28.5" customHeight="1">
      <c r="A67" s="99" t="s">
        <v>299</v>
      </c>
      <c r="B67" s="95" t="s">
        <v>316</v>
      </c>
      <c r="C67" s="95">
        <v>195761</v>
      </c>
      <c r="D67" s="95" t="s">
        <v>317</v>
      </c>
      <c r="E67" s="95">
        <v>2025</v>
      </c>
      <c r="F67" s="95" t="s">
        <v>610</v>
      </c>
      <c r="G67" s="95" t="s">
        <v>327</v>
      </c>
      <c r="H67" s="96" t="s">
        <v>773</v>
      </c>
    </row>
    <row r="68" spans="1:8" ht="28.5" customHeight="1">
      <c r="A68" s="69" t="s">
        <v>299</v>
      </c>
      <c r="B68" s="59" t="s">
        <v>321</v>
      </c>
      <c r="C68" s="59">
        <v>76978</v>
      </c>
      <c r="D68" s="59" t="s">
        <v>317</v>
      </c>
      <c r="E68" s="59">
        <v>2025</v>
      </c>
      <c r="F68" s="59" t="s">
        <v>610</v>
      </c>
      <c r="G68" s="59" t="s">
        <v>118</v>
      </c>
      <c r="H68" s="91" t="s">
        <v>774</v>
      </c>
    </row>
    <row r="69" spans="1:8" ht="93" customHeight="1">
      <c r="A69" s="69" t="s">
        <v>299</v>
      </c>
      <c r="B69" s="59" t="s">
        <v>326</v>
      </c>
      <c r="C69" s="59">
        <v>181000</v>
      </c>
      <c r="D69" s="59" t="s">
        <v>47</v>
      </c>
      <c r="E69" s="59">
        <v>2025</v>
      </c>
      <c r="F69" s="59" t="s">
        <v>610</v>
      </c>
      <c r="G69" s="59" t="s">
        <v>118</v>
      </c>
      <c r="H69" s="91" t="s">
        <v>775</v>
      </c>
    </row>
    <row r="70" spans="1:8" ht="112.5" customHeight="1">
      <c r="A70" s="69" t="s">
        <v>299</v>
      </c>
      <c r="B70" s="59" t="s">
        <v>331</v>
      </c>
      <c r="C70" s="59">
        <v>0.61</v>
      </c>
      <c r="D70" s="59" t="s">
        <v>332</v>
      </c>
      <c r="E70" s="59">
        <v>2025</v>
      </c>
      <c r="F70" s="59" t="s">
        <v>610</v>
      </c>
      <c r="G70" s="59" t="s">
        <v>118</v>
      </c>
      <c r="H70" s="91" t="s">
        <v>776</v>
      </c>
    </row>
    <row r="71" spans="1:8" ht="101.5">
      <c r="A71" s="69" t="s">
        <v>299</v>
      </c>
      <c r="B71" s="59" t="s">
        <v>777</v>
      </c>
      <c r="C71" s="59">
        <v>45</v>
      </c>
      <c r="D71" s="59" t="s">
        <v>47</v>
      </c>
      <c r="E71" s="59">
        <v>2024</v>
      </c>
      <c r="F71" s="59" t="s">
        <v>778</v>
      </c>
      <c r="G71" s="59" t="s">
        <v>779</v>
      </c>
      <c r="H71" s="91" t="s">
        <v>780</v>
      </c>
    </row>
    <row r="72" spans="1:8" ht="116">
      <c r="A72" s="71" t="s">
        <v>299</v>
      </c>
      <c r="B72" s="73" t="s">
        <v>781</v>
      </c>
      <c r="C72" s="73">
        <f>45528.56*1000000/((2284043+2361807)/2)</f>
        <v>19599.668521368534</v>
      </c>
      <c r="D72" s="73" t="s">
        <v>782</v>
      </c>
      <c r="E72" s="73">
        <v>2023</v>
      </c>
      <c r="F72" s="73" t="s">
        <v>603</v>
      </c>
      <c r="G72" s="73" t="s">
        <v>783</v>
      </c>
      <c r="H72" s="74" t="s">
        <v>784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6"/>
  <sheetViews>
    <sheetView tabSelected="1" zoomScale="64" zoomScaleNormal="100" workbookViewId="0"/>
  </sheetViews>
  <sheetFormatPr defaultColWidth="8.54296875" defaultRowHeight="14.5"/>
  <cols>
    <col min="1" max="1" width="10" customWidth="1"/>
    <col min="2" max="2" width="22" customWidth="1"/>
    <col min="3" max="3" width="45" customWidth="1"/>
    <col min="4" max="4" width="40" customWidth="1"/>
    <col min="5" max="5" width="45" customWidth="1"/>
    <col min="6" max="6" width="60" customWidth="1"/>
  </cols>
  <sheetData>
    <row r="1" spans="1:6" ht="17">
      <c r="A1" s="120" t="s">
        <v>785</v>
      </c>
    </row>
    <row r="2" spans="1:6">
      <c r="A2" t="s">
        <v>786</v>
      </c>
    </row>
    <row r="4" spans="1:6">
      <c r="A4" s="121" t="s">
        <v>787</v>
      </c>
      <c r="B4" s="121" t="s">
        <v>788</v>
      </c>
      <c r="C4" s="121" t="s">
        <v>3</v>
      </c>
      <c r="D4" s="121" t="s">
        <v>789</v>
      </c>
      <c r="E4" s="121" t="s">
        <v>790</v>
      </c>
      <c r="F4" s="121" t="s">
        <v>791</v>
      </c>
    </row>
    <row r="5" spans="1:6" ht="29">
      <c r="A5" s="122" t="s">
        <v>602</v>
      </c>
      <c r="B5" s="122" t="s">
        <v>792</v>
      </c>
      <c r="C5" s="122" t="s">
        <v>613</v>
      </c>
      <c r="D5" s="122" t="s">
        <v>793</v>
      </c>
      <c r="E5" s="122" t="s">
        <v>794</v>
      </c>
      <c r="F5" s="122" t="s">
        <v>795</v>
      </c>
    </row>
    <row r="6" spans="1:6" ht="43.5">
      <c r="A6" s="122" t="s">
        <v>602</v>
      </c>
      <c r="B6" s="122" t="s">
        <v>796</v>
      </c>
      <c r="C6" s="122" t="s">
        <v>613</v>
      </c>
      <c r="D6" s="122" t="s">
        <v>797</v>
      </c>
      <c r="E6" s="122" t="s">
        <v>615</v>
      </c>
      <c r="F6" s="122" t="s">
        <v>798</v>
      </c>
    </row>
    <row r="7" spans="1:6">
      <c r="A7" s="122" t="s">
        <v>602</v>
      </c>
      <c r="B7" s="122" t="s">
        <v>799</v>
      </c>
      <c r="C7" s="122" t="s">
        <v>616</v>
      </c>
      <c r="D7" s="122" t="s">
        <v>800</v>
      </c>
      <c r="E7" s="122" t="s">
        <v>801</v>
      </c>
      <c r="F7" s="122" t="s">
        <v>802</v>
      </c>
    </row>
    <row r="8" spans="1:6">
      <c r="A8" s="122" t="s">
        <v>602</v>
      </c>
      <c r="B8" s="122" t="s">
        <v>803</v>
      </c>
      <c r="C8" s="122" t="s">
        <v>616</v>
      </c>
      <c r="D8" s="122" t="s">
        <v>804</v>
      </c>
      <c r="E8" s="122" t="s">
        <v>618</v>
      </c>
      <c r="F8" s="122" t="s">
        <v>805</v>
      </c>
    </row>
    <row r="9" spans="1:6">
      <c r="A9" s="122" t="s">
        <v>602</v>
      </c>
      <c r="B9" s="122" t="s">
        <v>806</v>
      </c>
      <c r="C9" s="122" t="s">
        <v>619</v>
      </c>
      <c r="D9" s="122" t="s">
        <v>807</v>
      </c>
      <c r="E9" s="122" t="s">
        <v>622</v>
      </c>
      <c r="F9" s="122" t="s">
        <v>798</v>
      </c>
    </row>
    <row r="10" spans="1:6" ht="29">
      <c r="A10" s="122" t="s">
        <v>602</v>
      </c>
      <c r="B10" s="122" t="s">
        <v>808</v>
      </c>
      <c r="C10" s="122" t="s">
        <v>623</v>
      </c>
      <c r="D10" s="122" t="s">
        <v>809</v>
      </c>
      <c r="E10" s="122" t="s">
        <v>810</v>
      </c>
      <c r="F10" s="122" t="s">
        <v>811</v>
      </c>
    </row>
    <row r="11" spans="1:6" ht="43.5">
      <c r="A11" s="122" t="s">
        <v>602</v>
      </c>
      <c r="B11" s="122" t="s">
        <v>812</v>
      </c>
      <c r="C11" s="122" t="s">
        <v>623</v>
      </c>
      <c r="D11" s="122" t="s">
        <v>813</v>
      </c>
      <c r="E11" s="122" t="s">
        <v>625</v>
      </c>
      <c r="F11" s="122" t="s">
        <v>814</v>
      </c>
    </row>
    <row r="12" spans="1:6">
      <c r="A12" s="122" t="s">
        <v>602</v>
      </c>
      <c r="B12" s="122" t="s">
        <v>815</v>
      </c>
      <c r="C12" s="122" t="s">
        <v>629</v>
      </c>
      <c r="D12" s="122" t="s">
        <v>816</v>
      </c>
      <c r="E12" s="122" t="s">
        <v>817</v>
      </c>
      <c r="F12" s="122" t="s">
        <v>818</v>
      </c>
    </row>
    <row r="13" spans="1:6" ht="29">
      <c r="A13" s="122" t="s">
        <v>602</v>
      </c>
      <c r="B13" s="122" t="s">
        <v>819</v>
      </c>
      <c r="C13" s="122" t="s">
        <v>629</v>
      </c>
      <c r="D13" s="122" t="s">
        <v>820</v>
      </c>
      <c r="E13" s="122" t="s">
        <v>631</v>
      </c>
      <c r="F13" s="122" t="s">
        <v>805</v>
      </c>
    </row>
    <row r="14" spans="1:6">
      <c r="A14" s="122" t="s">
        <v>602</v>
      </c>
      <c r="B14" s="122" t="s">
        <v>821</v>
      </c>
      <c r="C14" s="122" t="s">
        <v>643</v>
      </c>
      <c r="D14" s="122" t="s">
        <v>822</v>
      </c>
      <c r="E14" s="122" t="s">
        <v>823</v>
      </c>
      <c r="F14" s="122" t="s">
        <v>818</v>
      </c>
    </row>
    <row r="15" spans="1:6">
      <c r="A15" s="122" t="s">
        <v>602</v>
      </c>
      <c r="B15" s="122" t="s">
        <v>824</v>
      </c>
      <c r="C15" s="122" t="s">
        <v>643</v>
      </c>
      <c r="D15" s="122" t="s">
        <v>825</v>
      </c>
      <c r="E15" s="122" t="s">
        <v>644</v>
      </c>
      <c r="F15" s="122" t="s">
        <v>805</v>
      </c>
    </row>
    <row r="16" spans="1:6" ht="43.5">
      <c r="A16" s="122" t="s">
        <v>602</v>
      </c>
      <c r="B16" s="122" t="s">
        <v>826</v>
      </c>
      <c r="C16" s="122" t="s">
        <v>693</v>
      </c>
      <c r="D16" s="122" t="s">
        <v>827</v>
      </c>
      <c r="E16" s="122" t="s">
        <v>828</v>
      </c>
      <c r="F16" s="122" t="s">
        <v>829</v>
      </c>
    </row>
    <row r="17" spans="1:6" ht="72.5">
      <c r="A17" s="122" t="s">
        <v>602</v>
      </c>
      <c r="B17" s="122" t="s">
        <v>830</v>
      </c>
      <c r="C17" s="122" t="s">
        <v>678</v>
      </c>
      <c r="D17" s="122" t="s">
        <v>831</v>
      </c>
      <c r="E17" s="122" t="s">
        <v>682</v>
      </c>
      <c r="F17" s="122" t="s">
        <v>832</v>
      </c>
    </row>
    <row r="18" spans="1:6">
      <c r="A18" s="122" t="s">
        <v>602</v>
      </c>
      <c r="B18" s="122" t="s">
        <v>833</v>
      </c>
      <c r="C18" s="122" t="s">
        <v>148</v>
      </c>
      <c r="D18" s="122" t="s">
        <v>834</v>
      </c>
      <c r="E18" s="122" t="s">
        <v>103</v>
      </c>
      <c r="F18" s="122" t="s">
        <v>835</v>
      </c>
    </row>
    <row r="19" spans="1:6">
      <c r="A19" s="122" t="s">
        <v>602</v>
      </c>
      <c r="B19" s="122" t="s">
        <v>836</v>
      </c>
      <c r="C19" s="122" t="s">
        <v>426</v>
      </c>
      <c r="D19" s="122" t="s">
        <v>834</v>
      </c>
      <c r="E19" s="122" t="s">
        <v>103</v>
      </c>
      <c r="F19" s="122" t="s">
        <v>835</v>
      </c>
    </row>
    <row r="20" spans="1:6">
      <c r="A20" s="122" t="s">
        <v>837</v>
      </c>
      <c r="B20" s="122" t="s">
        <v>838</v>
      </c>
      <c r="C20" s="122" t="s">
        <v>276</v>
      </c>
      <c r="D20" s="122" t="s">
        <v>103</v>
      </c>
      <c r="E20" s="122" t="s">
        <v>839</v>
      </c>
      <c r="F20" s="122" t="s">
        <v>840</v>
      </c>
    </row>
    <row r="21" spans="1:6">
      <c r="A21" s="122" t="s">
        <v>837</v>
      </c>
      <c r="B21" s="122" t="s">
        <v>841</v>
      </c>
      <c r="C21" s="122" t="s">
        <v>276</v>
      </c>
      <c r="D21" s="122" t="s">
        <v>104</v>
      </c>
      <c r="E21" s="122" t="s">
        <v>278</v>
      </c>
      <c r="F21" s="122" t="s">
        <v>842</v>
      </c>
    </row>
    <row r="22" spans="1:6">
      <c r="A22" s="122" t="s">
        <v>837</v>
      </c>
      <c r="B22" s="122" t="s">
        <v>843</v>
      </c>
      <c r="C22" s="122" t="s">
        <v>276</v>
      </c>
      <c r="D22" s="122" t="s">
        <v>13</v>
      </c>
      <c r="E22" s="122" t="s">
        <v>279</v>
      </c>
      <c r="F22" s="122" t="s">
        <v>844</v>
      </c>
    </row>
    <row r="23" spans="1:6" ht="58">
      <c r="A23" s="122" t="s">
        <v>837</v>
      </c>
      <c r="B23" s="122" t="s">
        <v>845</v>
      </c>
      <c r="C23" s="122" t="s">
        <v>276</v>
      </c>
      <c r="D23" s="122" t="s">
        <v>104</v>
      </c>
      <c r="E23" s="122" t="s">
        <v>280</v>
      </c>
      <c r="F23" s="122" t="s">
        <v>846</v>
      </c>
    </row>
    <row r="24" spans="1:6" ht="58">
      <c r="A24" s="122" t="s">
        <v>837</v>
      </c>
      <c r="B24" s="122" t="s">
        <v>847</v>
      </c>
      <c r="C24" s="122" t="s">
        <v>276</v>
      </c>
      <c r="D24" s="122" t="s">
        <v>848</v>
      </c>
      <c r="E24" s="122" t="s">
        <v>281</v>
      </c>
      <c r="F24" s="122" t="s">
        <v>849</v>
      </c>
    </row>
    <row r="25" spans="1:6" ht="72.5">
      <c r="A25" s="122" t="s">
        <v>837</v>
      </c>
      <c r="B25" s="122" t="s">
        <v>850</v>
      </c>
      <c r="C25" s="122" t="s">
        <v>291</v>
      </c>
      <c r="D25" s="122" t="s">
        <v>851</v>
      </c>
      <c r="E25" s="122" t="s">
        <v>294</v>
      </c>
      <c r="F25" s="122" t="s">
        <v>852</v>
      </c>
    </row>
    <row r="26" spans="1:6" ht="43.5">
      <c r="A26" s="122" t="s">
        <v>837</v>
      </c>
      <c r="B26" s="122" t="s">
        <v>853</v>
      </c>
      <c r="C26" s="122" t="s">
        <v>245</v>
      </c>
      <c r="D26" s="122" t="s">
        <v>854</v>
      </c>
      <c r="E26" s="122" t="s">
        <v>248</v>
      </c>
      <c r="F26" s="122" t="s">
        <v>852</v>
      </c>
    </row>
    <row r="27" spans="1:6" ht="101.5">
      <c r="A27" s="122" t="s">
        <v>837</v>
      </c>
      <c r="B27" s="122" t="s">
        <v>855</v>
      </c>
      <c r="C27" s="122" t="s">
        <v>144</v>
      </c>
      <c r="D27" s="122" t="s">
        <v>856</v>
      </c>
      <c r="E27" s="122" t="s">
        <v>147</v>
      </c>
      <c r="F27" s="122" t="s">
        <v>852</v>
      </c>
    </row>
    <row r="28" spans="1:6">
      <c r="A28" s="122" t="s">
        <v>837</v>
      </c>
      <c r="B28" s="122" t="s">
        <v>857</v>
      </c>
      <c r="C28" s="122" t="s">
        <v>111</v>
      </c>
      <c r="D28" s="122" t="s">
        <v>834</v>
      </c>
      <c r="E28" s="122" t="s">
        <v>858</v>
      </c>
      <c r="F28" s="122" t="s">
        <v>859</v>
      </c>
    </row>
    <row r="29" spans="1:6">
      <c r="A29" s="122" t="s">
        <v>837</v>
      </c>
      <c r="B29" s="122" t="s">
        <v>860</v>
      </c>
      <c r="C29" s="122" t="s">
        <v>117</v>
      </c>
      <c r="D29" s="122" t="s">
        <v>834</v>
      </c>
      <c r="E29" s="122" t="s">
        <v>861</v>
      </c>
      <c r="F29" s="122" t="s">
        <v>859</v>
      </c>
    </row>
    <row r="30" spans="1:6">
      <c r="A30" s="122" t="s">
        <v>837</v>
      </c>
      <c r="B30" s="122" t="s">
        <v>862</v>
      </c>
      <c r="C30" s="122" t="s">
        <v>120</v>
      </c>
      <c r="D30" s="122" t="s">
        <v>834</v>
      </c>
      <c r="E30" s="122" t="s">
        <v>863</v>
      </c>
      <c r="F30" s="122" t="s">
        <v>859</v>
      </c>
    </row>
    <row r="31" spans="1:6">
      <c r="A31" s="122" t="s">
        <v>837</v>
      </c>
      <c r="B31" s="122" t="s">
        <v>864</v>
      </c>
      <c r="C31" s="122" t="s">
        <v>122</v>
      </c>
      <c r="D31" s="122" t="s">
        <v>834</v>
      </c>
      <c r="E31" s="122" t="s">
        <v>865</v>
      </c>
      <c r="F31" s="122" t="s">
        <v>859</v>
      </c>
    </row>
    <row r="32" spans="1:6">
      <c r="A32" s="122" t="s">
        <v>837</v>
      </c>
      <c r="B32" s="122" t="s">
        <v>866</v>
      </c>
      <c r="C32" s="122" t="s">
        <v>326</v>
      </c>
      <c r="D32" s="122" t="s">
        <v>834</v>
      </c>
      <c r="E32" s="122" t="s">
        <v>867</v>
      </c>
      <c r="F32" s="122" t="s">
        <v>868</v>
      </c>
    </row>
    <row r="33" spans="1:6">
      <c r="A33" s="122" t="s">
        <v>837</v>
      </c>
      <c r="B33" s="122" t="s">
        <v>869</v>
      </c>
      <c r="C33" s="122" t="s">
        <v>329</v>
      </c>
      <c r="D33" s="122" t="s">
        <v>834</v>
      </c>
      <c r="E33" s="122" t="s">
        <v>870</v>
      </c>
      <c r="F33" s="122" t="s">
        <v>868</v>
      </c>
    </row>
    <row r="34" spans="1:6">
      <c r="A34" s="122" t="s">
        <v>837</v>
      </c>
      <c r="B34" s="122" t="s">
        <v>871</v>
      </c>
      <c r="C34" s="122" t="s">
        <v>331</v>
      </c>
      <c r="D34" s="122" t="s">
        <v>834</v>
      </c>
      <c r="E34" s="122" t="s">
        <v>872</v>
      </c>
      <c r="F34" s="122" t="s">
        <v>868</v>
      </c>
    </row>
    <row r="35" spans="1:6" ht="87">
      <c r="A35" s="122" t="s">
        <v>873</v>
      </c>
      <c r="B35" s="122" t="s">
        <v>874</v>
      </c>
      <c r="C35" s="122" t="s">
        <v>117</v>
      </c>
      <c r="D35" s="122" t="s">
        <v>875</v>
      </c>
      <c r="E35" s="122" t="s">
        <v>402</v>
      </c>
      <c r="F35" s="122" t="s">
        <v>876</v>
      </c>
    </row>
    <row r="36" spans="1:6" ht="58">
      <c r="A36" s="122" t="s">
        <v>873</v>
      </c>
      <c r="B36" s="122" t="s">
        <v>877</v>
      </c>
      <c r="C36" s="122" t="s">
        <v>498</v>
      </c>
      <c r="D36" s="122" t="s">
        <v>878</v>
      </c>
      <c r="E36" s="122" t="s">
        <v>419</v>
      </c>
      <c r="F36" s="122" t="s">
        <v>879</v>
      </c>
    </row>
    <row r="37" spans="1:6" ht="43.5">
      <c r="A37" s="122" t="s">
        <v>873</v>
      </c>
      <c r="B37" s="122" t="s">
        <v>880</v>
      </c>
      <c r="C37" s="122" t="s">
        <v>498</v>
      </c>
      <c r="D37" s="122" t="s">
        <v>881</v>
      </c>
      <c r="E37" s="122" t="s">
        <v>499</v>
      </c>
      <c r="F37" s="122" t="s">
        <v>882</v>
      </c>
    </row>
    <row r="38" spans="1:6" ht="58">
      <c r="A38" s="122" t="s">
        <v>873</v>
      </c>
      <c r="B38" s="122" t="s">
        <v>883</v>
      </c>
      <c r="C38" s="122" t="s">
        <v>500</v>
      </c>
      <c r="D38" s="122" t="s">
        <v>878</v>
      </c>
      <c r="E38" s="122" t="s">
        <v>419</v>
      </c>
      <c r="F38" s="122" t="s">
        <v>879</v>
      </c>
    </row>
    <row r="39" spans="1:6" ht="43.5">
      <c r="A39" s="122" t="s">
        <v>873</v>
      </c>
      <c r="B39" s="122" t="s">
        <v>884</v>
      </c>
      <c r="C39" s="122" t="s">
        <v>500</v>
      </c>
      <c r="D39" s="122" t="s">
        <v>885</v>
      </c>
      <c r="E39" s="122" t="s">
        <v>501</v>
      </c>
      <c r="F39" s="122" t="s">
        <v>882</v>
      </c>
    </row>
    <row r="40" spans="1:6" ht="58">
      <c r="A40" s="122" t="s">
        <v>873</v>
      </c>
      <c r="B40" s="122" t="s">
        <v>886</v>
      </c>
      <c r="C40" s="122" t="s">
        <v>502</v>
      </c>
      <c r="D40" s="122" t="s">
        <v>878</v>
      </c>
      <c r="E40" s="122" t="s">
        <v>419</v>
      </c>
      <c r="F40" s="122" t="s">
        <v>879</v>
      </c>
    </row>
    <row r="41" spans="1:6" ht="29">
      <c r="A41" s="122" t="s">
        <v>873</v>
      </c>
      <c r="B41" s="122" t="s">
        <v>887</v>
      </c>
      <c r="C41" s="122" t="s">
        <v>502</v>
      </c>
      <c r="D41" s="122" t="s">
        <v>888</v>
      </c>
      <c r="E41" s="122" t="s">
        <v>503</v>
      </c>
      <c r="F41" s="122" t="s">
        <v>882</v>
      </c>
    </row>
    <row r="42" spans="1:6">
      <c r="A42" s="122" t="s">
        <v>873</v>
      </c>
      <c r="B42" s="122" t="s">
        <v>889</v>
      </c>
      <c r="C42" s="122" t="s">
        <v>436</v>
      </c>
      <c r="D42" s="122" t="s">
        <v>890</v>
      </c>
      <c r="E42" s="122" t="s">
        <v>436</v>
      </c>
      <c r="F42" s="122" t="s">
        <v>891</v>
      </c>
    </row>
    <row r="43" spans="1:6" ht="29">
      <c r="A43" s="122" t="s">
        <v>873</v>
      </c>
      <c r="B43" s="122" t="s">
        <v>892</v>
      </c>
      <c r="C43" s="122" t="s">
        <v>893</v>
      </c>
      <c r="D43" s="122" t="s">
        <v>894</v>
      </c>
      <c r="E43" s="122" t="s">
        <v>895</v>
      </c>
      <c r="F43" s="122" t="s">
        <v>896</v>
      </c>
    </row>
    <row r="44" spans="1:6" ht="29">
      <c r="A44" s="122" t="s">
        <v>873</v>
      </c>
      <c r="B44" s="122" t="s">
        <v>897</v>
      </c>
      <c r="C44" s="122" t="s">
        <v>898</v>
      </c>
      <c r="D44" s="122" t="s">
        <v>899</v>
      </c>
      <c r="E44" s="122" t="s">
        <v>895</v>
      </c>
      <c r="F44" s="122" t="s">
        <v>896</v>
      </c>
    </row>
    <row r="45" spans="1:6" ht="29">
      <c r="A45" s="122" t="s">
        <v>873</v>
      </c>
      <c r="B45" s="122" t="s">
        <v>900</v>
      </c>
      <c r="C45" s="122" t="s">
        <v>901</v>
      </c>
      <c r="D45" s="122" t="s">
        <v>902</v>
      </c>
      <c r="E45" s="122" t="s">
        <v>895</v>
      </c>
      <c r="F45" s="122" t="s">
        <v>896</v>
      </c>
    </row>
    <row r="46" spans="1:6">
      <c r="A46" s="122" t="s">
        <v>873</v>
      </c>
      <c r="B46" s="122" t="s">
        <v>903</v>
      </c>
      <c r="C46" s="122" t="s">
        <v>508</v>
      </c>
      <c r="D46" s="122" t="s">
        <v>904</v>
      </c>
      <c r="E46" s="122" t="s">
        <v>895</v>
      </c>
      <c r="F46" s="122" t="s">
        <v>905</v>
      </c>
    </row>
    <row r="47" spans="1:6" ht="29">
      <c r="A47" s="122" t="s">
        <v>873</v>
      </c>
      <c r="B47" s="122" t="s">
        <v>906</v>
      </c>
      <c r="C47" s="122" t="s">
        <v>504</v>
      </c>
      <c r="D47" s="122" t="s">
        <v>505</v>
      </c>
      <c r="E47" s="122" t="s">
        <v>895</v>
      </c>
      <c r="F47" s="122" t="s">
        <v>907</v>
      </c>
    </row>
    <row r="48" spans="1:6">
      <c r="A48" s="122" t="s">
        <v>873</v>
      </c>
      <c r="B48" s="122" t="s">
        <v>908</v>
      </c>
      <c r="C48" s="122" t="s">
        <v>502</v>
      </c>
      <c r="D48" s="122" t="s">
        <v>909</v>
      </c>
      <c r="E48" s="122" t="s">
        <v>895</v>
      </c>
      <c r="F48" s="122" t="s">
        <v>910</v>
      </c>
    </row>
    <row r="49" spans="1:6" ht="29">
      <c r="A49" s="122" t="s">
        <v>873</v>
      </c>
      <c r="B49" s="122" t="s">
        <v>911</v>
      </c>
      <c r="C49" s="122" t="s">
        <v>893</v>
      </c>
      <c r="D49" s="122" t="s">
        <v>894</v>
      </c>
      <c r="E49" s="122" t="s">
        <v>895</v>
      </c>
      <c r="F49" s="122" t="s">
        <v>910</v>
      </c>
    </row>
    <row r="50" spans="1:6" ht="29">
      <c r="A50" s="122" t="s">
        <v>873</v>
      </c>
      <c r="B50" s="122" t="s">
        <v>912</v>
      </c>
      <c r="C50" s="122" t="s">
        <v>500</v>
      </c>
      <c r="D50" s="122" t="s">
        <v>913</v>
      </c>
      <c r="E50" s="122" t="s">
        <v>895</v>
      </c>
      <c r="F50" s="122" t="s">
        <v>910</v>
      </c>
    </row>
    <row r="51" spans="1:6" ht="29">
      <c r="A51" s="122" t="s">
        <v>873</v>
      </c>
      <c r="B51" s="122" t="s">
        <v>914</v>
      </c>
      <c r="C51" s="122" t="s">
        <v>898</v>
      </c>
      <c r="D51" s="122" t="s">
        <v>899</v>
      </c>
      <c r="E51" s="122" t="s">
        <v>895</v>
      </c>
      <c r="F51" s="122" t="s">
        <v>910</v>
      </c>
    </row>
    <row r="52" spans="1:6" ht="29">
      <c r="A52" s="122" t="s">
        <v>873</v>
      </c>
      <c r="B52" s="122" t="s">
        <v>915</v>
      </c>
      <c r="C52" s="122" t="s">
        <v>498</v>
      </c>
      <c r="D52" s="122" t="s">
        <v>916</v>
      </c>
      <c r="E52" s="122" t="s">
        <v>895</v>
      </c>
      <c r="F52" s="122" t="s">
        <v>910</v>
      </c>
    </row>
    <row r="53" spans="1:6" ht="29">
      <c r="A53" s="122" t="s">
        <v>873</v>
      </c>
      <c r="B53" s="122" t="s">
        <v>917</v>
      </c>
      <c r="C53" s="122" t="s">
        <v>901</v>
      </c>
      <c r="D53" s="122" t="s">
        <v>902</v>
      </c>
      <c r="E53" s="122" t="s">
        <v>895</v>
      </c>
      <c r="F53" s="122" t="s">
        <v>910</v>
      </c>
    </row>
    <row r="54" spans="1:6" ht="29">
      <c r="A54" s="122" t="s">
        <v>873</v>
      </c>
      <c r="B54" s="122" t="s">
        <v>918</v>
      </c>
      <c r="C54" s="122" t="s">
        <v>919</v>
      </c>
      <c r="D54" s="122" t="s">
        <v>920</v>
      </c>
      <c r="E54" s="122" t="s">
        <v>895</v>
      </c>
      <c r="F54" s="122" t="s">
        <v>921</v>
      </c>
    </row>
    <row r="55" spans="1:6" ht="29">
      <c r="A55" s="122" t="s">
        <v>873</v>
      </c>
      <c r="B55" s="122" t="s">
        <v>922</v>
      </c>
      <c r="C55" s="122" t="s">
        <v>923</v>
      </c>
      <c r="D55" s="122" t="s">
        <v>924</v>
      </c>
      <c r="E55" s="122" t="s">
        <v>895</v>
      </c>
      <c r="F55" s="122" t="s">
        <v>925</v>
      </c>
    </row>
    <row r="56" spans="1:6">
      <c r="A56" s="122" t="s">
        <v>873</v>
      </c>
      <c r="B56" s="122" t="s">
        <v>926</v>
      </c>
      <c r="C56" s="122" t="s">
        <v>383</v>
      </c>
      <c r="D56" s="122" t="s">
        <v>927</v>
      </c>
      <c r="E56" s="122" t="s">
        <v>895</v>
      </c>
      <c r="F56" s="122" t="s">
        <v>928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Zugo</vt:lpstr>
      <vt:lpstr>Dubai</vt:lpstr>
      <vt:lpstr>Lisbona</vt:lpstr>
      <vt:lpstr>Modifiche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 anselmi</dc:creator>
  <dc:description/>
  <cp:lastModifiedBy>luca anselmi</cp:lastModifiedBy>
  <cp:revision>0</cp:revision>
  <dcterms:created xsi:type="dcterms:W3CDTF">2026-10-15T08:33:21Z</dcterms:created>
  <dcterms:modified xsi:type="dcterms:W3CDTF">2026-10-19T14:23:11Z</dcterms:modified>
  <dc:language>en-US</dc:language>
</cp:coreProperties>
</file>