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5865F891-5147-4ABC-A3C1-072984DFE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25" r:id="rId1"/>
    <sheet name="2024" sheetId="24" r:id="rId2"/>
    <sheet name="2023" sheetId="23" r:id="rId3"/>
    <sheet name="2022" sheetId="22" r:id="rId4"/>
    <sheet name="2021" sheetId="21" r:id="rId5"/>
    <sheet name="2020" sheetId="20" r:id="rId6"/>
    <sheet name="2019" sheetId="19" r:id="rId7"/>
    <sheet name="2018" sheetId="18" r:id="rId8"/>
    <sheet name="2017" sheetId="17" r:id="rId9"/>
    <sheet name="2016" sheetId="16" r:id="rId10"/>
    <sheet name="2015" sheetId="15" r:id="rId11"/>
    <sheet name="2014" sheetId="14" r:id="rId12"/>
    <sheet name="2013" sheetId="13" r:id="rId13"/>
    <sheet name="2012" sheetId="12" r:id="rId14"/>
    <sheet name="2011" sheetId="11" r:id="rId15"/>
    <sheet name="2010" sheetId="10" r:id="rId16"/>
    <sheet name="2009" sheetId="1" r:id="rId17"/>
    <sheet name="2008" sheetId="4" r:id="rId18"/>
    <sheet name="2007" sheetId="5" r:id="rId19"/>
    <sheet name="2006" sheetId="6" r:id="rId20"/>
    <sheet name="2005" sheetId="7" r:id="rId21"/>
    <sheet name="2004" sheetId="8" r:id="rId22"/>
    <sheet name="2002-2003" sheetId="9" r:id="rId23"/>
  </sheets>
  <definedNames>
    <definedName name="_xlnm.Print_Area" localSheetId="4">'2021'!$A$1:$C$56</definedName>
    <definedName name="_xlnm.Print_Area" localSheetId="3">'2022'!$A$1:$C$57</definedName>
    <definedName name="_xlnm.Print_Area" localSheetId="2">'2023'!$A$1:$C$56</definedName>
    <definedName name="_xlnm.Print_Area" localSheetId="1">'2024'!$A$1:$C$56</definedName>
    <definedName name="_xlnm.Print_Titles" localSheetId="22">'2002-2003'!$1:$9</definedName>
    <definedName name="_xlnm.Print_Titles" localSheetId="21">'2004'!$1:$9</definedName>
    <definedName name="_xlnm.Print_Titles" localSheetId="20">'2005'!$1:$9</definedName>
    <definedName name="_xlnm.Print_Titles" localSheetId="19">'2006'!$1:$9</definedName>
    <definedName name="_xlnm.Print_Titles" localSheetId="18">'2007'!$1:$9</definedName>
    <definedName name="_xlnm.Print_Titles" localSheetId="17">'2008'!$1:$9</definedName>
    <definedName name="_xlnm.Print_Titles" localSheetId="16">'2009'!$1:$9</definedName>
    <definedName name="_xlnm.Print_Titles" localSheetId="15">'2010'!$1:$9</definedName>
    <definedName name="_xlnm.Print_Titles" localSheetId="14">'2011'!$1:$9</definedName>
    <definedName name="_xlnm.Print_Titles" localSheetId="13">'2012'!$1:$9</definedName>
    <definedName name="_xlnm.Print_Titles" localSheetId="12">'2013'!$1:$9</definedName>
    <definedName name="_xlnm.Print_Titles" localSheetId="11">'2014'!$1:$9</definedName>
    <definedName name="_xlnm.Print_Titles" localSheetId="10">'2015'!$1:$9</definedName>
    <definedName name="_xlnm.Print_Titles" localSheetId="9">'2016'!#REF!</definedName>
    <definedName name="_xlnm.Print_Titles" localSheetId="8">'2017'!#REF!</definedName>
    <definedName name="_xlnm.Print_Titles" localSheetId="7">'2018'!#REF!</definedName>
    <definedName name="_xlnm.Print_Titles" localSheetId="6">'2019'!#REF!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9" i="17" l="1"/>
  <c r="E199" i="17"/>
  <c r="F199" i="17"/>
  <c r="G199" i="17"/>
  <c r="H199" i="17"/>
  <c r="I199" i="17"/>
  <c r="J199" i="17"/>
  <c r="K199" i="17"/>
  <c r="D200" i="17"/>
  <c r="E200" i="17"/>
  <c r="F200" i="17"/>
  <c r="G200" i="17"/>
  <c r="H200" i="17"/>
  <c r="I200" i="17"/>
  <c r="J200" i="17"/>
  <c r="K200" i="17"/>
  <c r="D201" i="17"/>
  <c r="E201" i="17"/>
  <c r="F201" i="17"/>
  <c r="G201" i="17"/>
  <c r="H201" i="17"/>
  <c r="I201" i="17"/>
  <c r="J201" i="17"/>
  <c r="K201" i="17"/>
  <c r="D202" i="17"/>
  <c r="E202" i="17"/>
  <c r="F202" i="17"/>
  <c r="G202" i="17"/>
  <c r="H202" i="17"/>
  <c r="I202" i="17"/>
  <c r="J202" i="17"/>
  <c r="K202" i="17"/>
  <c r="D203" i="17"/>
  <c r="E203" i="17"/>
  <c r="F203" i="17"/>
  <c r="G203" i="17"/>
  <c r="H203" i="17"/>
  <c r="I203" i="17"/>
  <c r="J203" i="17"/>
  <c r="K203" i="17"/>
  <c r="C203" i="17"/>
  <c r="C202" i="17"/>
  <c r="C201" i="17"/>
  <c r="C200" i="17"/>
  <c r="C199" i="17"/>
  <c r="K203" i="18"/>
  <c r="J203" i="18"/>
  <c r="I203" i="18"/>
  <c r="H203" i="18"/>
  <c r="G203" i="18"/>
  <c r="F203" i="18"/>
  <c r="E203" i="18"/>
  <c r="D203" i="18"/>
  <c r="K202" i="18"/>
  <c r="J202" i="18"/>
  <c r="I202" i="18"/>
  <c r="H202" i="18"/>
  <c r="G202" i="18"/>
  <c r="F202" i="18"/>
  <c r="E202" i="18"/>
  <c r="D202" i="18"/>
  <c r="K201" i="18"/>
  <c r="J201" i="18"/>
  <c r="I201" i="18"/>
  <c r="H201" i="18"/>
  <c r="G201" i="18"/>
  <c r="G198" i="18"/>
  <c r="G205" i="18"/>
  <c r="F201" i="18"/>
  <c r="E201" i="18"/>
  <c r="D201" i="18"/>
  <c r="K200" i="18"/>
  <c r="J200" i="18"/>
  <c r="I200" i="18"/>
  <c r="H200" i="18"/>
  <c r="G200" i="18"/>
  <c r="F200" i="18"/>
  <c r="E200" i="18"/>
  <c r="D200" i="18"/>
  <c r="K199" i="18"/>
  <c r="J199" i="18"/>
  <c r="I199" i="18"/>
  <c r="I198" i="18"/>
  <c r="I205" i="18"/>
  <c r="H199" i="18"/>
  <c r="H198" i="18"/>
  <c r="H205" i="18"/>
  <c r="G199" i="18"/>
  <c r="F199" i="18"/>
  <c r="E199" i="18"/>
  <c r="D199" i="18"/>
  <c r="C203" i="18"/>
  <c r="C202" i="18"/>
  <c r="C201" i="18"/>
  <c r="C200" i="18"/>
  <c r="C199" i="18"/>
  <c r="C198" i="18"/>
  <c r="C205" i="18"/>
  <c r="C204" i="16"/>
  <c r="D204" i="16"/>
  <c r="E204" i="16"/>
  <c r="F204" i="16"/>
  <c r="G204" i="16"/>
  <c r="H204" i="16"/>
  <c r="I204" i="16"/>
  <c r="J204" i="16"/>
  <c r="J203" i="16"/>
  <c r="C205" i="16"/>
  <c r="D205" i="16"/>
  <c r="E205" i="16"/>
  <c r="F205" i="16"/>
  <c r="G205" i="16"/>
  <c r="H205" i="16"/>
  <c r="I205" i="16"/>
  <c r="J205" i="16"/>
  <c r="C206" i="16"/>
  <c r="D206" i="16"/>
  <c r="E206" i="16"/>
  <c r="F206" i="16"/>
  <c r="G206" i="16"/>
  <c r="H206" i="16"/>
  <c r="I206" i="16"/>
  <c r="J206" i="16"/>
  <c r="C207" i="16"/>
  <c r="D207" i="16"/>
  <c r="E207" i="16"/>
  <c r="F207" i="16"/>
  <c r="F203" i="16"/>
  <c r="G207" i="16"/>
  <c r="H207" i="16"/>
  <c r="I207" i="16"/>
  <c r="J207" i="16"/>
  <c r="C208" i="16"/>
  <c r="D208" i="16"/>
  <c r="E208" i="16"/>
  <c r="F208" i="16"/>
  <c r="G208" i="16"/>
  <c r="H208" i="16"/>
  <c r="I208" i="16"/>
  <c r="J208" i="16"/>
  <c r="C209" i="16"/>
  <c r="D209" i="16"/>
  <c r="E209" i="16"/>
  <c r="F209" i="16"/>
  <c r="G209" i="16"/>
  <c r="H209" i="16"/>
  <c r="I209" i="16"/>
  <c r="J209" i="16"/>
  <c r="C210" i="16"/>
  <c r="D210" i="16"/>
  <c r="E210" i="16"/>
  <c r="F210" i="16"/>
  <c r="G210" i="16"/>
  <c r="H210" i="16"/>
  <c r="I210" i="16"/>
  <c r="J210" i="16"/>
  <c r="C211" i="16"/>
  <c r="D211" i="16"/>
  <c r="E211" i="16"/>
  <c r="F211" i="16"/>
  <c r="G211" i="16"/>
  <c r="H211" i="16"/>
  <c r="I211" i="16"/>
  <c r="J211" i="16"/>
  <c r="C214" i="16"/>
  <c r="D214" i="16"/>
  <c r="D213" i="16"/>
  <c r="E214" i="16"/>
  <c r="F214" i="16"/>
  <c r="G214" i="16"/>
  <c r="H214" i="16"/>
  <c r="I214" i="16"/>
  <c r="J214" i="16"/>
  <c r="C215" i="16"/>
  <c r="D215" i="16"/>
  <c r="E215" i="16"/>
  <c r="F215" i="16"/>
  <c r="G215" i="16"/>
  <c r="H215" i="16"/>
  <c r="I215" i="16"/>
  <c r="J215" i="16"/>
  <c r="C216" i="16"/>
  <c r="D216" i="16"/>
  <c r="E216" i="16"/>
  <c r="F216" i="16"/>
  <c r="G216" i="16"/>
  <c r="H216" i="16"/>
  <c r="I216" i="16"/>
  <c r="J216" i="16"/>
  <c r="C217" i="16"/>
  <c r="D217" i="16"/>
  <c r="E217" i="16"/>
  <c r="E213" i="16"/>
  <c r="F217" i="16"/>
  <c r="G217" i="16"/>
  <c r="H217" i="16"/>
  <c r="I217" i="16"/>
  <c r="J217" i="16"/>
  <c r="C218" i="16"/>
  <c r="D218" i="16"/>
  <c r="E218" i="16"/>
  <c r="F218" i="16"/>
  <c r="G218" i="16"/>
  <c r="H218" i="16"/>
  <c r="I218" i="16"/>
  <c r="J218" i="16"/>
  <c r="J191" i="16"/>
  <c r="I191" i="16"/>
  <c r="H191" i="16"/>
  <c r="G191" i="16"/>
  <c r="F191" i="16"/>
  <c r="E191" i="16"/>
  <c r="D191" i="16"/>
  <c r="C191" i="16"/>
  <c r="J186" i="16"/>
  <c r="I186" i="16"/>
  <c r="H186" i="16"/>
  <c r="G186" i="16"/>
  <c r="F186" i="16"/>
  <c r="E186" i="16"/>
  <c r="D186" i="16"/>
  <c r="C186" i="16"/>
  <c r="J178" i="16"/>
  <c r="I178" i="16"/>
  <c r="H178" i="16"/>
  <c r="G178" i="16"/>
  <c r="F178" i="16"/>
  <c r="E178" i="16"/>
  <c r="D178" i="16"/>
  <c r="C178" i="16"/>
  <c r="J159" i="16"/>
  <c r="I159" i="16"/>
  <c r="H159" i="16"/>
  <c r="G159" i="16"/>
  <c r="F159" i="16"/>
  <c r="E159" i="16"/>
  <c r="D159" i="16"/>
  <c r="C159" i="16"/>
  <c r="J149" i="16"/>
  <c r="I149" i="16"/>
  <c r="H149" i="16"/>
  <c r="G149" i="16"/>
  <c r="F149" i="16"/>
  <c r="E149" i="16"/>
  <c r="D149" i="16"/>
  <c r="C149" i="16"/>
  <c r="J124" i="16"/>
  <c r="I124" i="16"/>
  <c r="H124" i="16"/>
  <c r="G124" i="16"/>
  <c r="F124" i="16"/>
  <c r="E124" i="16"/>
  <c r="D124" i="16"/>
  <c r="C124" i="16"/>
  <c r="J70" i="16"/>
  <c r="I70" i="16"/>
  <c r="H70" i="16"/>
  <c r="G70" i="16"/>
  <c r="F70" i="16"/>
  <c r="E70" i="16"/>
  <c r="D70" i="16"/>
  <c r="C70" i="16"/>
  <c r="J57" i="16"/>
  <c r="I57" i="16"/>
  <c r="H57" i="16"/>
  <c r="G57" i="16"/>
  <c r="F57" i="16"/>
  <c r="E57" i="16"/>
  <c r="D57" i="16"/>
  <c r="C57" i="16"/>
  <c r="J55" i="16"/>
  <c r="I55" i="16"/>
  <c r="H55" i="16"/>
  <c r="G55" i="16"/>
  <c r="F55" i="16"/>
  <c r="E55" i="16"/>
  <c r="D55" i="16"/>
  <c r="C55" i="16"/>
  <c r="J54" i="16"/>
  <c r="I54" i="16"/>
  <c r="I52" i="16"/>
  <c r="H54" i="16"/>
  <c r="G54" i="16"/>
  <c r="F54" i="16"/>
  <c r="E54" i="16"/>
  <c r="D54" i="16"/>
  <c r="C54" i="16"/>
  <c r="J53" i="16"/>
  <c r="J52" i="16"/>
  <c r="I53" i="16"/>
  <c r="H53" i="16"/>
  <c r="H52" i="16"/>
  <c r="G53" i="16"/>
  <c r="G52" i="16"/>
  <c r="F53" i="16"/>
  <c r="F52" i="16"/>
  <c r="E53" i="16"/>
  <c r="D53" i="16"/>
  <c r="C53" i="16"/>
  <c r="J50" i="16"/>
  <c r="J47" i="16"/>
  <c r="I50" i="16"/>
  <c r="H50" i="16"/>
  <c r="G50" i="16"/>
  <c r="F50" i="16"/>
  <c r="E50" i="16"/>
  <c r="D50" i="16"/>
  <c r="C50" i="16"/>
  <c r="J49" i="16"/>
  <c r="I49" i="16"/>
  <c r="I47" i="16"/>
  <c r="H49" i="16"/>
  <c r="G49" i="16"/>
  <c r="F49" i="16"/>
  <c r="E49" i="16"/>
  <c r="D49" i="16"/>
  <c r="D47" i="16"/>
  <c r="C49" i="16"/>
  <c r="J48" i="16"/>
  <c r="I48" i="16"/>
  <c r="H48" i="16"/>
  <c r="H47" i="16"/>
  <c r="G48" i="16"/>
  <c r="F48" i="16"/>
  <c r="E48" i="16"/>
  <c r="D48" i="16"/>
  <c r="C48" i="16"/>
  <c r="J46" i="16"/>
  <c r="I46" i="16"/>
  <c r="H46" i="16"/>
  <c r="G46" i="16"/>
  <c r="F46" i="16"/>
  <c r="F44" i="16"/>
  <c r="E46" i="16"/>
  <c r="E44" i="16"/>
  <c r="D46" i="16"/>
  <c r="C46" i="16"/>
  <c r="J45" i="16"/>
  <c r="I45" i="16"/>
  <c r="I44" i="16"/>
  <c r="H45" i="16"/>
  <c r="H44" i="16"/>
  <c r="H42" i="16"/>
  <c r="G45" i="16"/>
  <c r="G44" i="16"/>
  <c r="F45" i="16"/>
  <c r="E45" i="16"/>
  <c r="D45" i="16"/>
  <c r="C45" i="16"/>
  <c r="J43" i="16"/>
  <c r="I43" i="16"/>
  <c r="H43" i="16"/>
  <c r="G43" i="16"/>
  <c r="F43" i="16"/>
  <c r="E43" i="16"/>
  <c r="D43" i="16"/>
  <c r="C43" i="16"/>
  <c r="J40" i="16"/>
  <c r="I40" i="16"/>
  <c r="H40" i="16"/>
  <c r="G40" i="16"/>
  <c r="F40" i="16"/>
  <c r="E40" i="16"/>
  <c r="D40" i="16"/>
  <c r="D38" i="16"/>
  <c r="C40" i="16"/>
  <c r="J39" i="16"/>
  <c r="J38" i="16"/>
  <c r="I39" i="16"/>
  <c r="H39" i="16"/>
  <c r="G39" i="16"/>
  <c r="F39" i="16"/>
  <c r="F38" i="16"/>
  <c r="E39" i="16"/>
  <c r="E38" i="16"/>
  <c r="D39" i="16"/>
  <c r="C39" i="16"/>
  <c r="C38" i="16"/>
  <c r="J36" i="16"/>
  <c r="I36" i="16"/>
  <c r="H36" i="16"/>
  <c r="G36" i="16"/>
  <c r="F36" i="16"/>
  <c r="E36" i="16"/>
  <c r="D36" i="16"/>
  <c r="C36" i="16"/>
  <c r="J35" i="16"/>
  <c r="I35" i="16"/>
  <c r="H35" i="16"/>
  <c r="G35" i="16"/>
  <c r="F35" i="16"/>
  <c r="E35" i="16"/>
  <c r="D35" i="16"/>
  <c r="C35" i="16"/>
  <c r="J34" i="16"/>
  <c r="I34" i="16"/>
  <c r="I33" i="16"/>
  <c r="H34" i="16"/>
  <c r="G34" i="16"/>
  <c r="F34" i="16"/>
  <c r="E34" i="16"/>
  <c r="D34" i="16"/>
  <c r="C34" i="16"/>
  <c r="C33" i="16"/>
  <c r="J32" i="16"/>
  <c r="I32" i="16"/>
  <c r="H32" i="16"/>
  <c r="G32" i="16"/>
  <c r="F32" i="16"/>
  <c r="E32" i="16"/>
  <c r="D32" i="16"/>
  <c r="C32" i="16"/>
  <c r="J31" i="16"/>
  <c r="J29" i="16"/>
  <c r="I31" i="16"/>
  <c r="H31" i="16"/>
  <c r="G31" i="16"/>
  <c r="G29" i="16"/>
  <c r="F31" i="16"/>
  <c r="E31" i="16"/>
  <c r="D31" i="16"/>
  <c r="C31" i="16"/>
  <c r="J30" i="16"/>
  <c r="I30" i="16"/>
  <c r="I29" i="16"/>
  <c r="H30" i="16"/>
  <c r="G30" i="16"/>
  <c r="F30" i="16"/>
  <c r="E30" i="16"/>
  <c r="E29" i="16"/>
  <c r="D30" i="16"/>
  <c r="C30" i="16"/>
  <c r="J28" i="16"/>
  <c r="I28" i="16"/>
  <c r="H28" i="16"/>
  <c r="G28" i="16"/>
  <c r="F28" i="16"/>
  <c r="E28" i="16"/>
  <c r="D28" i="16"/>
  <c r="C28" i="16"/>
  <c r="J27" i="16"/>
  <c r="J26" i="16"/>
  <c r="I27" i="16"/>
  <c r="H27" i="16"/>
  <c r="H26" i="16"/>
  <c r="G27" i="16"/>
  <c r="F27" i="16"/>
  <c r="E27" i="16"/>
  <c r="E26" i="16"/>
  <c r="D27" i="16"/>
  <c r="C27" i="16"/>
  <c r="C26" i="16"/>
  <c r="J25" i="16"/>
  <c r="I25" i="16"/>
  <c r="H25" i="16"/>
  <c r="G25" i="16"/>
  <c r="F25" i="16"/>
  <c r="E25" i="16"/>
  <c r="D25" i="16"/>
  <c r="C25" i="16"/>
  <c r="J24" i="16"/>
  <c r="I24" i="16"/>
  <c r="H24" i="16"/>
  <c r="G24" i="16"/>
  <c r="F24" i="16"/>
  <c r="E24" i="16"/>
  <c r="D24" i="16"/>
  <c r="C24" i="16"/>
  <c r="J21" i="16"/>
  <c r="I21" i="16"/>
  <c r="H21" i="16"/>
  <c r="G21" i="16"/>
  <c r="F21" i="16"/>
  <c r="E21" i="16"/>
  <c r="D21" i="16"/>
  <c r="C21" i="16"/>
  <c r="J20" i="16"/>
  <c r="I20" i="16"/>
  <c r="H20" i="16"/>
  <c r="G20" i="16"/>
  <c r="F20" i="16"/>
  <c r="E20" i="16"/>
  <c r="D20" i="16"/>
  <c r="C20" i="16"/>
  <c r="J19" i="16"/>
  <c r="I19" i="16"/>
  <c r="H19" i="16"/>
  <c r="H17" i="16"/>
  <c r="G19" i="16"/>
  <c r="F19" i="16"/>
  <c r="E19" i="16"/>
  <c r="D19" i="16"/>
  <c r="C19" i="16"/>
  <c r="J18" i="16"/>
  <c r="J17" i="16"/>
  <c r="I18" i="16"/>
  <c r="H18" i="16"/>
  <c r="G18" i="16"/>
  <c r="G17" i="16"/>
  <c r="F18" i="16"/>
  <c r="E18" i="16"/>
  <c r="D18" i="16"/>
  <c r="D17" i="16"/>
  <c r="C18" i="16"/>
  <c r="J16" i="16"/>
  <c r="I16" i="16"/>
  <c r="H16" i="16"/>
  <c r="G16" i="16"/>
  <c r="F16" i="16"/>
  <c r="E16" i="16"/>
  <c r="D16" i="16"/>
  <c r="C16" i="16"/>
  <c r="J15" i="16"/>
  <c r="I15" i="16"/>
  <c r="I13" i="16"/>
  <c r="H15" i="16"/>
  <c r="G15" i="16"/>
  <c r="F15" i="16"/>
  <c r="E15" i="16"/>
  <c r="D15" i="16"/>
  <c r="C15" i="16"/>
  <c r="J14" i="16"/>
  <c r="I14" i="16"/>
  <c r="H14" i="16"/>
  <c r="G14" i="16"/>
  <c r="F14" i="16"/>
  <c r="F13" i="16"/>
  <c r="E14" i="16"/>
  <c r="E13" i="16"/>
  <c r="D14" i="16"/>
  <c r="C14" i="16"/>
  <c r="C13" i="16"/>
  <c r="G38" i="16"/>
  <c r="H13" i="16"/>
  <c r="G26" i="16"/>
  <c r="E47" i="16"/>
  <c r="C44" i="16"/>
  <c r="C14" i="15"/>
  <c r="C13" i="15"/>
  <c r="D14" i="15"/>
  <c r="E14" i="15"/>
  <c r="E13" i="15"/>
  <c r="F14" i="15"/>
  <c r="G14" i="15"/>
  <c r="H14" i="15"/>
  <c r="I14" i="15"/>
  <c r="I13" i="15"/>
  <c r="I12" i="15"/>
  <c r="J14" i="15"/>
  <c r="J13" i="15"/>
  <c r="C15" i="15"/>
  <c r="D15" i="15"/>
  <c r="E15" i="15"/>
  <c r="F15" i="15"/>
  <c r="G15" i="15"/>
  <c r="H15" i="15"/>
  <c r="I15" i="15"/>
  <c r="J15" i="15"/>
  <c r="C16" i="15"/>
  <c r="D16" i="15"/>
  <c r="D13" i="15"/>
  <c r="E16" i="15"/>
  <c r="F16" i="15"/>
  <c r="G16" i="15"/>
  <c r="H16" i="15"/>
  <c r="H13" i="15"/>
  <c r="I16" i="15"/>
  <c r="J16" i="15"/>
  <c r="C18" i="15"/>
  <c r="D18" i="15"/>
  <c r="E18" i="15"/>
  <c r="F18" i="15"/>
  <c r="G18" i="15"/>
  <c r="H18" i="15"/>
  <c r="I18" i="15"/>
  <c r="J18" i="15"/>
  <c r="C19" i="15"/>
  <c r="D19" i="15"/>
  <c r="D17" i="15"/>
  <c r="E19" i="15"/>
  <c r="F19" i="15"/>
  <c r="G19" i="15"/>
  <c r="H19" i="15"/>
  <c r="I19" i="15"/>
  <c r="I17" i="15"/>
  <c r="J19" i="15"/>
  <c r="C20" i="15"/>
  <c r="D20" i="15"/>
  <c r="E20" i="15"/>
  <c r="F20" i="15"/>
  <c r="G20" i="15"/>
  <c r="G17" i="15"/>
  <c r="H20" i="15"/>
  <c r="I20" i="15"/>
  <c r="J20" i="15"/>
  <c r="C21" i="15"/>
  <c r="D21" i="15"/>
  <c r="E21" i="15"/>
  <c r="F21" i="15"/>
  <c r="G21" i="15"/>
  <c r="H21" i="15"/>
  <c r="I21" i="15"/>
  <c r="J21" i="15"/>
  <c r="J219" i="15"/>
  <c r="J220" i="15"/>
  <c r="J221" i="15"/>
  <c r="J222" i="15"/>
  <c r="J223" i="15"/>
  <c r="I223" i="15"/>
  <c r="H223" i="15"/>
  <c r="G223" i="15"/>
  <c r="F223" i="15"/>
  <c r="E223" i="15"/>
  <c r="D223" i="15"/>
  <c r="C223" i="15"/>
  <c r="I222" i="15"/>
  <c r="H222" i="15"/>
  <c r="G222" i="15"/>
  <c r="F222" i="15"/>
  <c r="E222" i="15"/>
  <c r="D222" i="15"/>
  <c r="C222" i="15"/>
  <c r="I221" i="15"/>
  <c r="H221" i="15"/>
  <c r="G221" i="15"/>
  <c r="F221" i="15"/>
  <c r="E221" i="15"/>
  <c r="D221" i="15"/>
  <c r="C221" i="15"/>
  <c r="I220" i="15"/>
  <c r="H220" i="15"/>
  <c r="G220" i="15"/>
  <c r="F220" i="15"/>
  <c r="E220" i="15"/>
  <c r="D220" i="15"/>
  <c r="C220" i="15"/>
  <c r="I219" i="15"/>
  <c r="H219" i="15"/>
  <c r="G219" i="15"/>
  <c r="F219" i="15"/>
  <c r="F218" i="15"/>
  <c r="E219" i="15"/>
  <c r="D219" i="15"/>
  <c r="C219" i="15"/>
  <c r="J55" i="15"/>
  <c r="I55" i="15"/>
  <c r="H55" i="15"/>
  <c r="G55" i="15"/>
  <c r="F55" i="15"/>
  <c r="E55" i="15"/>
  <c r="D55" i="15"/>
  <c r="C55" i="15"/>
  <c r="J54" i="15"/>
  <c r="I54" i="15"/>
  <c r="I52" i="15"/>
  <c r="H54" i="15"/>
  <c r="G54" i="15"/>
  <c r="F54" i="15"/>
  <c r="E54" i="15"/>
  <c r="E52" i="15"/>
  <c r="D54" i="15"/>
  <c r="C54" i="15"/>
  <c r="J53" i="15"/>
  <c r="I53" i="15"/>
  <c r="H53" i="15"/>
  <c r="G53" i="15"/>
  <c r="F53" i="15"/>
  <c r="F52" i="15"/>
  <c r="E53" i="15"/>
  <c r="D53" i="15"/>
  <c r="C53" i="15"/>
  <c r="C52" i="15"/>
  <c r="J50" i="15"/>
  <c r="I50" i="15"/>
  <c r="H50" i="15"/>
  <c r="G50" i="15"/>
  <c r="F50" i="15"/>
  <c r="E50" i="15"/>
  <c r="D50" i="15"/>
  <c r="C50" i="15"/>
  <c r="J49" i="15"/>
  <c r="I49" i="15"/>
  <c r="H49" i="15"/>
  <c r="G49" i="15"/>
  <c r="F49" i="15"/>
  <c r="F47" i="15"/>
  <c r="E49" i="15"/>
  <c r="D49" i="15"/>
  <c r="C49" i="15"/>
  <c r="J48" i="15"/>
  <c r="I48" i="15"/>
  <c r="I47" i="15"/>
  <c r="H48" i="15"/>
  <c r="G48" i="15"/>
  <c r="F48" i="15"/>
  <c r="E48" i="15"/>
  <c r="D48" i="15"/>
  <c r="C48" i="15"/>
  <c r="C47" i="15"/>
  <c r="J46" i="15"/>
  <c r="J44" i="15"/>
  <c r="I46" i="15"/>
  <c r="H46" i="15"/>
  <c r="G46" i="15"/>
  <c r="F46" i="15"/>
  <c r="E46" i="15"/>
  <c r="D46" i="15"/>
  <c r="D44" i="15"/>
  <c r="C46" i="15"/>
  <c r="J45" i="15"/>
  <c r="I45" i="15"/>
  <c r="H45" i="15"/>
  <c r="H44" i="15"/>
  <c r="G45" i="15"/>
  <c r="F45" i="15"/>
  <c r="E45" i="15"/>
  <c r="D45" i="15"/>
  <c r="C45" i="15"/>
  <c r="C44" i="15"/>
  <c r="I44" i="15"/>
  <c r="J43" i="15"/>
  <c r="I43" i="15"/>
  <c r="H43" i="15"/>
  <c r="G43" i="15"/>
  <c r="F43" i="15"/>
  <c r="E43" i="15"/>
  <c r="D43" i="15"/>
  <c r="C43" i="15"/>
  <c r="J40" i="15"/>
  <c r="I40" i="15"/>
  <c r="I38" i="15"/>
  <c r="H40" i="15"/>
  <c r="G40" i="15"/>
  <c r="F40" i="15"/>
  <c r="E40" i="15"/>
  <c r="D40" i="15"/>
  <c r="C40" i="15"/>
  <c r="J39" i="15"/>
  <c r="J38" i="15"/>
  <c r="I39" i="15"/>
  <c r="H39" i="15"/>
  <c r="G39" i="15"/>
  <c r="F39" i="15"/>
  <c r="F38" i="15"/>
  <c r="E39" i="15"/>
  <c r="E38" i="15"/>
  <c r="D39" i="15"/>
  <c r="D38" i="15"/>
  <c r="C39" i="15"/>
  <c r="H38" i="15"/>
  <c r="G38" i="15"/>
  <c r="J36" i="15"/>
  <c r="I36" i="15"/>
  <c r="H36" i="15"/>
  <c r="G36" i="15"/>
  <c r="F36" i="15"/>
  <c r="E36" i="15"/>
  <c r="D36" i="15"/>
  <c r="C36" i="15"/>
  <c r="J35" i="15"/>
  <c r="I35" i="15"/>
  <c r="H35" i="15"/>
  <c r="G35" i="15"/>
  <c r="F35" i="15"/>
  <c r="E35" i="15"/>
  <c r="D35" i="15"/>
  <c r="C35" i="15"/>
  <c r="J34" i="15"/>
  <c r="J33" i="15"/>
  <c r="I34" i="15"/>
  <c r="I33" i="15"/>
  <c r="H34" i="15"/>
  <c r="G34" i="15"/>
  <c r="F34" i="15"/>
  <c r="E34" i="15"/>
  <c r="D34" i="15"/>
  <c r="D33" i="15"/>
  <c r="D23" i="15"/>
  <c r="C34" i="15"/>
  <c r="J32" i="15"/>
  <c r="I32" i="15"/>
  <c r="H32" i="15"/>
  <c r="G32" i="15"/>
  <c r="F32" i="15"/>
  <c r="E32" i="15"/>
  <c r="D32" i="15"/>
  <c r="C32" i="15"/>
  <c r="J31" i="15"/>
  <c r="I31" i="15"/>
  <c r="H31" i="15"/>
  <c r="H29" i="15"/>
  <c r="G31" i="15"/>
  <c r="F31" i="15"/>
  <c r="E31" i="15"/>
  <c r="D31" i="15"/>
  <c r="D29" i="15"/>
  <c r="C31" i="15"/>
  <c r="C29" i="15"/>
  <c r="J30" i="15"/>
  <c r="I30" i="15"/>
  <c r="H30" i="15"/>
  <c r="G30" i="15"/>
  <c r="G29" i="15"/>
  <c r="F30" i="15"/>
  <c r="F29" i="15"/>
  <c r="E30" i="15"/>
  <c r="D30" i="15"/>
  <c r="C30" i="15"/>
  <c r="J28" i="15"/>
  <c r="I28" i="15"/>
  <c r="H28" i="15"/>
  <c r="H26" i="15"/>
  <c r="G28" i="15"/>
  <c r="F28" i="15"/>
  <c r="E28" i="15"/>
  <c r="D28" i="15"/>
  <c r="C28" i="15"/>
  <c r="J27" i="15"/>
  <c r="I27" i="15"/>
  <c r="H27" i="15"/>
  <c r="G27" i="15"/>
  <c r="G26" i="15"/>
  <c r="F27" i="15"/>
  <c r="E27" i="15"/>
  <c r="D27" i="15"/>
  <c r="D26" i="15"/>
  <c r="C27" i="15"/>
  <c r="C26" i="15"/>
  <c r="F26" i="15"/>
  <c r="J25" i="15"/>
  <c r="I25" i="15"/>
  <c r="H25" i="15"/>
  <c r="G25" i="15"/>
  <c r="F25" i="15"/>
  <c r="E25" i="15"/>
  <c r="D25" i="15"/>
  <c r="C25" i="15"/>
  <c r="J24" i="15"/>
  <c r="I24" i="15"/>
  <c r="H24" i="15"/>
  <c r="G24" i="15"/>
  <c r="F24" i="15"/>
  <c r="E24" i="15"/>
  <c r="D24" i="15"/>
  <c r="C24" i="15"/>
  <c r="E222" i="14"/>
  <c r="E221" i="14"/>
  <c r="E220" i="14"/>
  <c r="E219" i="14"/>
  <c r="E218" i="14"/>
  <c r="E216" i="14"/>
  <c r="E215" i="14"/>
  <c r="E214" i="14"/>
  <c r="E213" i="14"/>
  <c r="E212" i="14"/>
  <c r="E211" i="14"/>
  <c r="E210" i="14"/>
  <c r="E209" i="14"/>
  <c r="E208" i="14"/>
  <c r="E206" i="14"/>
  <c r="E205" i="14"/>
  <c r="E204" i="14"/>
  <c r="E203" i="14"/>
  <c r="E202" i="14"/>
  <c r="E201" i="14"/>
  <c r="E200" i="14"/>
  <c r="E15" i="14"/>
  <c r="E199" i="14"/>
  <c r="E198" i="14"/>
  <c r="E197" i="14"/>
  <c r="E196" i="14"/>
  <c r="E14" i="14"/>
  <c r="E195" i="14"/>
  <c r="E193" i="14"/>
  <c r="E20" i="14"/>
  <c r="E192" i="14"/>
  <c r="E191" i="14"/>
  <c r="E19" i="14"/>
  <c r="E190" i="14"/>
  <c r="E188" i="14"/>
  <c r="E187" i="14"/>
  <c r="E186" i="14"/>
  <c r="E185" i="14"/>
  <c r="E184" i="14"/>
  <c r="E183" i="14"/>
  <c r="E182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39" i="14"/>
  <c r="E163" i="14"/>
  <c r="E161" i="14"/>
  <c r="E160" i="14"/>
  <c r="E159" i="14"/>
  <c r="E158" i="14"/>
  <c r="E157" i="14"/>
  <c r="E156" i="14"/>
  <c r="E155" i="14"/>
  <c r="E154" i="14"/>
  <c r="E153" i="14"/>
  <c r="E151" i="14"/>
  <c r="E150" i="14"/>
  <c r="E149" i="14"/>
  <c r="E31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27" i="14"/>
  <c r="E131" i="14"/>
  <c r="E28" i="14"/>
  <c r="E130" i="14"/>
  <c r="E129" i="14"/>
  <c r="E30" i="14"/>
  <c r="E128" i="14"/>
  <c r="E127" i="14"/>
  <c r="E126" i="14"/>
  <c r="E125" i="14"/>
  <c r="E124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43" i="14"/>
  <c r="E85" i="14"/>
  <c r="E50" i="14"/>
  <c r="E84" i="14"/>
  <c r="E83" i="14"/>
  <c r="E82" i="14"/>
  <c r="E81" i="14"/>
  <c r="E80" i="14"/>
  <c r="E79" i="14"/>
  <c r="E54" i="14"/>
  <c r="E78" i="14"/>
  <c r="E77" i="14"/>
  <c r="E76" i="14"/>
  <c r="E75" i="14"/>
  <c r="E74" i="14"/>
  <c r="E73" i="14"/>
  <c r="E72" i="14"/>
  <c r="E71" i="14"/>
  <c r="E70" i="14"/>
  <c r="E68" i="14"/>
  <c r="E67" i="14"/>
  <c r="E66" i="14"/>
  <c r="E65" i="14"/>
  <c r="E64" i="14"/>
  <c r="E63" i="14"/>
  <c r="E62" i="14"/>
  <c r="E61" i="14"/>
  <c r="E60" i="14"/>
  <c r="E55" i="14"/>
  <c r="E59" i="14"/>
  <c r="E58" i="14"/>
  <c r="E57" i="14"/>
  <c r="J55" i="14"/>
  <c r="I55" i="14"/>
  <c r="H55" i="14"/>
  <c r="G55" i="14"/>
  <c r="F55" i="14"/>
  <c r="D55" i="14"/>
  <c r="C55" i="14"/>
  <c r="J54" i="14"/>
  <c r="I54" i="14"/>
  <c r="H54" i="14"/>
  <c r="G54" i="14"/>
  <c r="F54" i="14"/>
  <c r="D54" i="14"/>
  <c r="C54" i="14"/>
  <c r="J53" i="14"/>
  <c r="J52" i="14"/>
  <c r="I53" i="14"/>
  <c r="H53" i="14"/>
  <c r="G53" i="14"/>
  <c r="F53" i="14"/>
  <c r="D53" i="14"/>
  <c r="D52" i="14"/>
  <c r="C53" i="14"/>
  <c r="J50" i="14"/>
  <c r="I50" i="14"/>
  <c r="H50" i="14"/>
  <c r="G50" i="14"/>
  <c r="F50" i="14"/>
  <c r="D50" i="14"/>
  <c r="C50" i="14"/>
  <c r="J49" i="14"/>
  <c r="I49" i="14"/>
  <c r="H49" i="14"/>
  <c r="G49" i="14"/>
  <c r="F49" i="14"/>
  <c r="D49" i="14"/>
  <c r="C49" i="14"/>
  <c r="J48" i="14"/>
  <c r="I48" i="14"/>
  <c r="H48" i="14"/>
  <c r="G48" i="14"/>
  <c r="F48" i="14"/>
  <c r="F47" i="14"/>
  <c r="D48" i="14"/>
  <c r="C48" i="14"/>
  <c r="H47" i="14"/>
  <c r="J46" i="14"/>
  <c r="J44" i="14"/>
  <c r="I46" i="14"/>
  <c r="H46" i="14"/>
  <c r="G46" i="14"/>
  <c r="F46" i="14"/>
  <c r="F44" i="14"/>
  <c r="D46" i="14"/>
  <c r="C46" i="14"/>
  <c r="J45" i="14"/>
  <c r="I45" i="14"/>
  <c r="I44" i="14"/>
  <c r="H45" i="14"/>
  <c r="H44" i="14"/>
  <c r="G45" i="14"/>
  <c r="G44" i="14"/>
  <c r="F45" i="14"/>
  <c r="D45" i="14"/>
  <c r="C45" i="14"/>
  <c r="C44" i="14"/>
  <c r="J43" i="14"/>
  <c r="I43" i="14"/>
  <c r="H43" i="14"/>
  <c r="G43" i="14"/>
  <c r="F43" i="14"/>
  <c r="D43" i="14"/>
  <c r="C43" i="14"/>
  <c r="J40" i="14"/>
  <c r="I40" i="14"/>
  <c r="I38" i="14"/>
  <c r="H40" i="14"/>
  <c r="G40" i="14"/>
  <c r="F40" i="14"/>
  <c r="D40" i="14"/>
  <c r="C40" i="14"/>
  <c r="J39" i="14"/>
  <c r="I39" i="14"/>
  <c r="H39" i="14"/>
  <c r="H38" i="14"/>
  <c r="G39" i="14"/>
  <c r="F39" i="14"/>
  <c r="D39" i="14"/>
  <c r="D38" i="14"/>
  <c r="C39" i="14"/>
  <c r="J38" i="14"/>
  <c r="J36" i="14"/>
  <c r="I36" i="14"/>
  <c r="H36" i="14"/>
  <c r="G36" i="14"/>
  <c r="F36" i="14"/>
  <c r="D36" i="14"/>
  <c r="C36" i="14"/>
  <c r="J35" i="14"/>
  <c r="I35" i="14"/>
  <c r="H35" i="14"/>
  <c r="G35" i="14"/>
  <c r="F35" i="14"/>
  <c r="F33" i="14"/>
  <c r="D35" i="14"/>
  <c r="C35" i="14"/>
  <c r="J34" i="14"/>
  <c r="I34" i="14"/>
  <c r="H34" i="14"/>
  <c r="H33" i="14"/>
  <c r="G34" i="14"/>
  <c r="G33" i="14"/>
  <c r="F34" i="14"/>
  <c r="E34" i="14"/>
  <c r="D34" i="14"/>
  <c r="C34" i="14"/>
  <c r="J32" i="14"/>
  <c r="I32" i="14"/>
  <c r="H32" i="14"/>
  <c r="G32" i="14"/>
  <c r="F32" i="14"/>
  <c r="D32" i="14"/>
  <c r="C32" i="14"/>
  <c r="J31" i="14"/>
  <c r="J29" i="14"/>
  <c r="I31" i="14"/>
  <c r="H31" i="14"/>
  <c r="G31" i="14"/>
  <c r="F31" i="14"/>
  <c r="D31" i="14"/>
  <c r="C31" i="14"/>
  <c r="J30" i="14"/>
  <c r="I30" i="14"/>
  <c r="H30" i="14"/>
  <c r="H29" i="14"/>
  <c r="G30" i="14"/>
  <c r="G29" i="14"/>
  <c r="F30" i="14"/>
  <c r="D30" i="14"/>
  <c r="C30" i="14"/>
  <c r="D29" i="14"/>
  <c r="J28" i="14"/>
  <c r="J26" i="14"/>
  <c r="I28" i="14"/>
  <c r="H28" i="14"/>
  <c r="G28" i="14"/>
  <c r="F28" i="14"/>
  <c r="D28" i="14"/>
  <c r="C28" i="14"/>
  <c r="J27" i="14"/>
  <c r="I27" i="14"/>
  <c r="I26" i="14"/>
  <c r="H27" i="14"/>
  <c r="H26" i="14"/>
  <c r="H23" i="14"/>
  <c r="G27" i="14"/>
  <c r="F27" i="14"/>
  <c r="D27" i="14"/>
  <c r="C27" i="14"/>
  <c r="F26" i="14"/>
  <c r="J25" i="14"/>
  <c r="I25" i="14"/>
  <c r="H25" i="14"/>
  <c r="G25" i="14"/>
  <c r="F25" i="14"/>
  <c r="E25" i="14"/>
  <c r="D25" i="14"/>
  <c r="C25" i="14"/>
  <c r="J24" i="14"/>
  <c r="I24" i="14"/>
  <c r="H24" i="14"/>
  <c r="G24" i="14"/>
  <c r="F24" i="14"/>
  <c r="F23" i="14"/>
  <c r="D24" i="14"/>
  <c r="C24" i="14"/>
  <c r="J21" i="14"/>
  <c r="I21" i="14"/>
  <c r="H21" i="14"/>
  <c r="G21" i="14"/>
  <c r="F21" i="14"/>
  <c r="D21" i="14"/>
  <c r="C21" i="14"/>
  <c r="J20" i="14"/>
  <c r="I20" i="14"/>
  <c r="H20" i="14"/>
  <c r="H17" i="14"/>
  <c r="G20" i="14"/>
  <c r="F20" i="14"/>
  <c r="D20" i="14"/>
  <c r="C20" i="14"/>
  <c r="J19" i="14"/>
  <c r="I19" i="14"/>
  <c r="I17" i="14"/>
  <c r="H19" i="14"/>
  <c r="G19" i="14"/>
  <c r="F19" i="14"/>
  <c r="D19" i="14"/>
  <c r="C19" i="14"/>
  <c r="J18" i="14"/>
  <c r="J17" i="14"/>
  <c r="I18" i="14"/>
  <c r="H18" i="14"/>
  <c r="G18" i="14"/>
  <c r="F18" i="14"/>
  <c r="F17" i="14"/>
  <c r="E18" i="14"/>
  <c r="E17" i="14"/>
  <c r="D18" i="14"/>
  <c r="D17" i="14"/>
  <c r="C18" i="14"/>
  <c r="J16" i="14"/>
  <c r="I16" i="14"/>
  <c r="H16" i="14"/>
  <c r="G16" i="14"/>
  <c r="G13" i="14"/>
  <c r="F16" i="14"/>
  <c r="D16" i="14"/>
  <c r="C16" i="14"/>
  <c r="J15" i="14"/>
  <c r="I15" i="14"/>
  <c r="H15" i="14"/>
  <c r="G15" i="14"/>
  <c r="F15" i="14"/>
  <c r="D15" i="14"/>
  <c r="C15" i="14"/>
  <c r="J14" i="14"/>
  <c r="I14" i="14"/>
  <c r="H14" i="14"/>
  <c r="G14" i="14"/>
  <c r="F14" i="14"/>
  <c r="F13" i="14"/>
  <c r="F12" i="14"/>
  <c r="D14" i="14"/>
  <c r="C14" i="14"/>
  <c r="J55" i="13"/>
  <c r="I55" i="13"/>
  <c r="H55" i="13"/>
  <c r="G55" i="13"/>
  <c r="F55" i="13"/>
  <c r="E55" i="13"/>
  <c r="E52" i="13"/>
  <c r="D55" i="13"/>
  <c r="C55" i="13"/>
  <c r="J54" i="13"/>
  <c r="I54" i="13"/>
  <c r="H54" i="13"/>
  <c r="G54" i="13"/>
  <c r="F54" i="13"/>
  <c r="E54" i="13"/>
  <c r="D54" i="13"/>
  <c r="C54" i="13"/>
  <c r="J53" i="13"/>
  <c r="J52" i="13"/>
  <c r="I53" i="13"/>
  <c r="I52" i="13"/>
  <c r="H53" i="13"/>
  <c r="G53" i="13"/>
  <c r="F53" i="13"/>
  <c r="F52" i="13"/>
  <c r="E53" i="13"/>
  <c r="D53" i="13"/>
  <c r="D52" i="13"/>
  <c r="C53" i="13"/>
  <c r="C52" i="13"/>
  <c r="J50" i="13"/>
  <c r="I50" i="13"/>
  <c r="H50" i="13"/>
  <c r="G50" i="13"/>
  <c r="F50" i="13"/>
  <c r="E50" i="13"/>
  <c r="D50" i="13"/>
  <c r="C50" i="13"/>
  <c r="J49" i="13"/>
  <c r="I49" i="13"/>
  <c r="H49" i="13"/>
  <c r="G49" i="13"/>
  <c r="F49" i="13"/>
  <c r="E49" i="13"/>
  <c r="D49" i="13"/>
  <c r="C49" i="13"/>
  <c r="J48" i="13"/>
  <c r="I48" i="13"/>
  <c r="I47" i="13"/>
  <c r="H48" i="13"/>
  <c r="G48" i="13"/>
  <c r="F48" i="13"/>
  <c r="E48" i="13"/>
  <c r="E47" i="13"/>
  <c r="D48" i="13"/>
  <c r="C48" i="13"/>
  <c r="C47" i="13"/>
  <c r="J46" i="13"/>
  <c r="J44" i="13"/>
  <c r="I46" i="13"/>
  <c r="H46" i="13"/>
  <c r="G46" i="13"/>
  <c r="F46" i="13"/>
  <c r="E46" i="13"/>
  <c r="D46" i="13"/>
  <c r="D44" i="13"/>
  <c r="C46" i="13"/>
  <c r="J45" i="13"/>
  <c r="I45" i="13"/>
  <c r="I44" i="13"/>
  <c r="H45" i="13"/>
  <c r="H44" i="13"/>
  <c r="G45" i="13"/>
  <c r="F45" i="13"/>
  <c r="E45" i="13"/>
  <c r="D45" i="13"/>
  <c r="C45" i="13"/>
  <c r="C44" i="13"/>
  <c r="C42" i="13"/>
  <c r="J43" i="13"/>
  <c r="I43" i="13"/>
  <c r="H43" i="13"/>
  <c r="G43" i="13"/>
  <c r="F43" i="13"/>
  <c r="E43" i="13"/>
  <c r="D43" i="13"/>
  <c r="C43" i="13"/>
  <c r="J40" i="13"/>
  <c r="I40" i="13"/>
  <c r="H40" i="13"/>
  <c r="G40" i="13"/>
  <c r="F40" i="13"/>
  <c r="E40" i="13"/>
  <c r="D40" i="13"/>
  <c r="C40" i="13"/>
  <c r="J39" i="13"/>
  <c r="I39" i="13"/>
  <c r="H39" i="13"/>
  <c r="H38" i="13"/>
  <c r="G39" i="13"/>
  <c r="F39" i="13"/>
  <c r="F38" i="13"/>
  <c r="E39" i="13"/>
  <c r="E38" i="13"/>
  <c r="D39" i="13"/>
  <c r="C39" i="13"/>
  <c r="J36" i="13"/>
  <c r="I36" i="13"/>
  <c r="H36" i="13"/>
  <c r="G36" i="13"/>
  <c r="F36" i="13"/>
  <c r="E36" i="13"/>
  <c r="D36" i="13"/>
  <c r="C36" i="13"/>
  <c r="C33" i="13"/>
  <c r="J35" i="13"/>
  <c r="I35" i="13"/>
  <c r="H35" i="13"/>
  <c r="G35" i="13"/>
  <c r="F35" i="13"/>
  <c r="E35" i="13"/>
  <c r="D35" i="13"/>
  <c r="C35" i="13"/>
  <c r="J34" i="13"/>
  <c r="I34" i="13"/>
  <c r="H34" i="13"/>
  <c r="G34" i="13"/>
  <c r="F34" i="13"/>
  <c r="E34" i="13"/>
  <c r="D34" i="13"/>
  <c r="C34" i="13"/>
  <c r="I33" i="13"/>
  <c r="J32" i="13"/>
  <c r="I32" i="13"/>
  <c r="H32" i="13"/>
  <c r="G32" i="13"/>
  <c r="F32" i="13"/>
  <c r="E32" i="13"/>
  <c r="D32" i="13"/>
  <c r="C32" i="13"/>
  <c r="J31" i="13"/>
  <c r="I31" i="13"/>
  <c r="H31" i="13"/>
  <c r="G31" i="13"/>
  <c r="G29" i="13"/>
  <c r="F31" i="13"/>
  <c r="E31" i="13"/>
  <c r="D31" i="13"/>
  <c r="C31" i="13"/>
  <c r="J30" i="13"/>
  <c r="J29" i="13"/>
  <c r="I30" i="13"/>
  <c r="H30" i="13"/>
  <c r="G30" i="13"/>
  <c r="F30" i="13"/>
  <c r="E30" i="13"/>
  <c r="E29" i="13"/>
  <c r="D30" i="13"/>
  <c r="D29" i="13"/>
  <c r="C30" i="13"/>
  <c r="J28" i="13"/>
  <c r="I28" i="13"/>
  <c r="H28" i="13"/>
  <c r="G28" i="13"/>
  <c r="G26" i="13"/>
  <c r="F28" i="13"/>
  <c r="F26" i="13"/>
  <c r="E28" i="13"/>
  <c r="D28" i="13"/>
  <c r="C28" i="13"/>
  <c r="J27" i="13"/>
  <c r="J26" i="13"/>
  <c r="I27" i="13"/>
  <c r="H27" i="13"/>
  <c r="G27" i="13"/>
  <c r="F27" i="13"/>
  <c r="E27" i="13"/>
  <c r="D27" i="13"/>
  <c r="D26" i="13"/>
  <c r="C27" i="13"/>
  <c r="J25" i="13"/>
  <c r="I25" i="13"/>
  <c r="H25" i="13"/>
  <c r="G25" i="13"/>
  <c r="F25" i="13"/>
  <c r="E25" i="13"/>
  <c r="D25" i="13"/>
  <c r="C25" i="13"/>
  <c r="J24" i="13"/>
  <c r="I24" i="13"/>
  <c r="H24" i="13"/>
  <c r="G24" i="13"/>
  <c r="F24" i="13"/>
  <c r="E24" i="13"/>
  <c r="D24" i="13"/>
  <c r="C24" i="13"/>
  <c r="J21" i="13"/>
  <c r="I21" i="13"/>
  <c r="H21" i="13"/>
  <c r="G21" i="13"/>
  <c r="F21" i="13"/>
  <c r="E21" i="13"/>
  <c r="D21" i="13"/>
  <c r="C21" i="13"/>
  <c r="J20" i="13"/>
  <c r="I20" i="13"/>
  <c r="H20" i="13"/>
  <c r="G20" i="13"/>
  <c r="F20" i="13"/>
  <c r="E20" i="13"/>
  <c r="D20" i="13"/>
  <c r="C20" i="13"/>
  <c r="J19" i="13"/>
  <c r="I19" i="13"/>
  <c r="H19" i="13"/>
  <c r="G19" i="13"/>
  <c r="F19" i="13"/>
  <c r="F17" i="13"/>
  <c r="E19" i="13"/>
  <c r="D19" i="13"/>
  <c r="C19" i="13"/>
  <c r="J18" i="13"/>
  <c r="I18" i="13"/>
  <c r="H18" i="13"/>
  <c r="G18" i="13"/>
  <c r="F18" i="13"/>
  <c r="E18" i="13"/>
  <c r="D18" i="13"/>
  <c r="C18" i="13"/>
  <c r="I17" i="13"/>
  <c r="J16" i="13"/>
  <c r="I16" i="13"/>
  <c r="H16" i="13"/>
  <c r="G16" i="13"/>
  <c r="F16" i="13"/>
  <c r="E16" i="13"/>
  <c r="D16" i="13"/>
  <c r="C16" i="13"/>
  <c r="J15" i="13"/>
  <c r="I15" i="13"/>
  <c r="H15" i="13"/>
  <c r="G15" i="13"/>
  <c r="F15" i="13"/>
  <c r="E15" i="13"/>
  <c r="D15" i="13"/>
  <c r="C15" i="13"/>
  <c r="J14" i="13"/>
  <c r="I14" i="13"/>
  <c r="H14" i="13"/>
  <c r="H13" i="13"/>
  <c r="G14" i="13"/>
  <c r="F14" i="13"/>
  <c r="E14" i="13"/>
  <c r="D14" i="13"/>
  <c r="C14" i="13"/>
  <c r="J235" i="12"/>
  <c r="I235" i="12"/>
  <c r="H235" i="12"/>
  <c r="G235" i="12"/>
  <c r="F235" i="12"/>
  <c r="E235" i="12"/>
  <c r="D235" i="12"/>
  <c r="C235" i="12"/>
  <c r="J234" i="12"/>
  <c r="I234" i="12"/>
  <c r="H234" i="12"/>
  <c r="G234" i="12"/>
  <c r="F234" i="12"/>
  <c r="E234" i="12"/>
  <c r="D234" i="12"/>
  <c r="C234" i="12"/>
  <c r="J233" i="12"/>
  <c r="I233" i="12"/>
  <c r="H233" i="12"/>
  <c r="G233" i="12"/>
  <c r="F233" i="12"/>
  <c r="E233" i="12"/>
  <c r="D233" i="12"/>
  <c r="C233" i="12"/>
  <c r="J232" i="12"/>
  <c r="J231" i="12"/>
  <c r="I232" i="12"/>
  <c r="H232" i="12"/>
  <c r="G232" i="12"/>
  <c r="F232" i="12"/>
  <c r="E232" i="12"/>
  <c r="D232" i="12"/>
  <c r="D231" i="12"/>
  <c r="C232" i="12"/>
  <c r="J229" i="12"/>
  <c r="I229" i="12"/>
  <c r="H229" i="12"/>
  <c r="G229" i="12"/>
  <c r="F229" i="12"/>
  <c r="E229" i="12"/>
  <c r="D229" i="12"/>
  <c r="C229" i="12"/>
  <c r="J228" i="12"/>
  <c r="I228" i="12"/>
  <c r="H228" i="12"/>
  <c r="G228" i="12"/>
  <c r="F228" i="12"/>
  <c r="E228" i="12"/>
  <c r="D228" i="12"/>
  <c r="C228" i="12"/>
  <c r="J227" i="12"/>
  <c r="I227" i="12"/>
  <c r="H227" i="12"/>
  <c r="G227" i="12"/>
  <c r="F227" i="12"/>
  <c r="E227" i="12"/>
  <c r="D227" i="12"/>
  <c r="C227" i="12"/>
  <c r="J226" i="12"/>
  <c r="I226" i="12"/>
  <c r="H226" i="12"/>
  <c r="G226" i="12"/>
  <c r="F226" i="12"/>
  <c r="E226" i="12"/>
  <c r="D226" i="12"/>
  <c r="C226" i="12"/>
  <c r="J225" i="12"/>
  <c r="I225" i="12"/>
  <c r="H225" i="12"/>
  <c r="G225" i="12"/>
  <c r="F225" i="12"/>
  <c r="E225" i="12"/>
  <c r="D225" i="12"/>
  <c r="C225" i="12"/>
  <c r="J224" i="12"/>
  <c r="I224" i="12"/>
  <c r="H224" i="12"/>
  <c r="G224" i="12"/>
  <c r="F224" i="12"/>
  <c r="E224" i="12"/>
  <c r="D224" i="12"/>
  <c r="C224" i="12"/>
  <c r="J223" i="12"/>
  <c r="I223" i="12"/>
  <c r="H223" i="12"/>
  <c r="G223" i="12"/>
  <c r="F223" i="12"/>
  <c r="F221" i="12"/>
  <c r="E223" i="12"/>
  <c r="D223" i="12"/>
  <c r="C223" i="12"/>
  <c r="J222" i="12"/>
  <c r="I222" i="12"/>
  <c r="I221" i="12"/>
  <c r="H222" i="12"/>
  <c r="G222" i="12"/>
  <c r="G221" i="12"/>
  <c r="F222" i="12"/>
  <c r="E222" i="12"/>
  <c r="D222" i="12"/>
  <c r="C222" i="12"/>
  <c r="C221" i="12"/>
  <c r="J208" i="12"/>
  <c r="I208" i="12"/>
  <c r="H208" i="12"/>
  <c r="G208" i="12"/>
  <c r="F208" i="12"/>
  <c r="E208" i="12"/>
  <c r="D208" i="12"/>
  <c r="C208" i="12"/>
  <c r="J203" i="12"/>
  <c r="I203" i="12"/>
  <c r="H203" i="12"/>
  <c r="G203" i="12"/>
  <c r="F203" i="12"/>
  <c r="E203" i="12"/>
  <c r="D203" i="12"/>
  <c r="C203" i="12"/>
  <c r="J195" i="12"/>
  <c r="I195" i="12"/>
  <c r="H195" i="12"/>
  <c r="G195" i="12"/>
  <c r="F195" i="12"/>
  <c r="E195" i="12"/>
  <c r="D195" i="12"/>
  <c r="C195" i="12"/>
  <c r="J176" i="12"/>
  <c r="I176" i="12"/>
  <c r="H176" i="12"/>
  <c r="G176" i="12"/>
  <c r="F176" i="12"/>
  <c r="E176" i="12"/>
  <c r="D176" i="12"/>
  <c r="C176" i="12"/>
  <c r="J166" i="12"/>
  <c r="I166" i="12"/>
  <c r="H166" i="12"/>
  <c r="G166" i="12"/>
  <c r="F166" i="12"/>
  <c r="E166" i="12"/>
  <c r="D166" i="12"/>
  <c r="C166" i="12"/>
  <c r="J135" i="12"/>
  <c r="I135" i="12"/>
  <c r="H135" i="12"/>
  <c r="G135" i="12"/>
  <c r="F135" i="12"/>
  <c r="E135" i="12"/>
  <c r="D135" i="12"/>
  <c r="C135" i="12"/>
  <c r="J74" i="12"/>
  <c r="I74" i="12"/>
  <c r="H74" i="12"/>
  <c r="G74" i="12"/>
  <c r="F74" i="12"/>
  <c r="E74" i="12"/>
  <c r="D74" i="12"/>
  <c r="C74" i="12"/>
  <c r="J58" i="12"/>
  <c r="I58" i="12"/>
  <c r="H58" i="12"/>
  <c r="G58" i="12"/>
  <c r="F58" i="12"/>
  <c r="E58" i="12"/>
  <c r="D58" i="12"/>
  <c r="C58" i="12"/>
  <c r="J56" i="12"/>
  <c r="I56" i="12"/>
  <c r="H56" i="12"/>
  <c r="G56" i="12"/>
  <c r="F56" i="12"/>
  <c r="E56" i="12"/>
  <c r="E53" i="12"/>
  <c r="D56" i="12"/>
  <c r="C56" i="12"/>
  <c r="J55" i="12"/>
  <c r="I55" i="12"/>
  <c r="H55" i="12"/>
  <c r="G55" i="12"/>
  <c r="F55" i="12"/>
  <c r="F53" i="12"/>
  <c r="E55" i="12"/>
  <c r="D55" i="12"/>
  <c r="C55" i="12"/>
  <c r="J54" i="12"/>
  <c r="J53" i="12"/>
  <c r="I54" i="12"/>
  <c r="H54" i="12"/>
  <c r="G54" i="12"/>
  <c r="F54" i="12"/>
  <c r="E54" i="12"/>
  <c r="D54" i="12"/>
  <c r="D53" i="12"/>
  <c r="C54" i="12"/>
  <c r="J51" i="12"/>
  <c r="I51" i="12"/>
  <c r="H51" i="12"/>
  <c r="G51" i="12"/>
  <c r="F51" i="12"/>
  <c r="E51" i="12"/>
  <c r="D51" i="12"/>
  <c r="C51" i="12"/>
  <c r="C48" i="12"/>
  <c r="J50" i="12"/>
  <c r="J48" i="12"/>
  <c r="I50" i="12"/>
  <c r="H50" i="12"/>
  <c r="G50" i="12"/>
  <c r="F50" i="12"/>
  <c r="E50" i="12"/>
  <c r="D50" i="12"/>
  <c r="C50" i="12"/>
  <c r="J49" i="12"/>
  <c r="I49" i="12"/>
  <c r="H49" i="12"/>
  <c r="G49" i="12"/>
  <c r="G48" i="12"/>
  <c r="F49" i="12"/>
  <c r="F48" i="12"/>
  <c r="F42" i="12"/>
  <c r="E49" i="12"/>
  <c r="D49" i="12"/>
  <c r="C49" i="12"/>
  <c r="J47" i="12"/>
  <c r="I47" i="12"/>
  <c r="H47" i="12"/>
  <c r="H44" i="12"/>
  <c r="G47" i="12"/>
  <c r="F47" i="12"/>
  <c r="E47" i="12"/>
  <c r="D47" i="12"/>
  <c r="C47" i="12"/>
  <c r="J46" i="12"/>
  <c r="I46" i="12"/>
  <c r="H46" i="12"/>
  <c r="G46" i="12"/>
  <c r="F46" i="12"/>
  <c r="E46" i="12"/>
  <c r="D46" i="12"/>
  <c r="D44" i="12"/>
  <c r="C46" i="12"/>
  <c r="J45" i="12"/>
  <c r="I45" i="12"/>
  <c r="H45" i="12"/>
  <c r="G45" i="12"/>
  <c r="F45" i="12"/>
  <c r="E45" i="12"/>
  <c r="D45" i="12"/>
  <c r="C45" i="12"/>
  <c r="J43" i="12"/>
  <c r="I43" i="12"/>
  <c r="H43" i="12"/>
  <c r="G43" i="12"/>
  <c r="F43" i="12"/>
  <c r="E43" i="12"/>
  <c r="D43" i="12"/>
  <c r="C43" i="12"/>
  <c r="J40" i="12"/>
  <c r="I40" i="12"/>
  <c r="H40" i="12"/>
  <c r="G40" i="12"/>
  <c r="F40" i="12"/>
  <c r="E40" i="12"/>
  <c r="D40" i="12"/>
  <c r="C40" i="12"/>
  <c r="J39" i="12"/>
  <c r="I39" i="12"/>
  <c r="H39" i="12"/>
  <c r="G39" i="12"/>
  <c r="G38" i="12"/>
  <c r="F39" i="12"/>
  <c r="E39" i="12"/>
  <c r="D39" i="12"/>
  <c r="C39" i="12"/>
  <c r="J36" i="12"/>
  <c r="J33" i="12"/>
  <c r="I36" i="12"/>
  <c r="H36" i="12"/>
  <c r="G36" i="12"/>
  <c r="F36" i="12"/>
  <c r="E36" i="12"/>
  <c r="D36" i="12"/>
  <c r="C36" i="12"/>
  <c r="J35" i="12"/>
  <c r="I35" i="12"/>
  <c r="H35" i="12"/>
  <c r="G35" i="12"/>
  <c r="F35" i="12"/>
  <c r="F33" i="12"/>
  <c r="E35" i="12"/>
  <c r="D35" i="12"/>
  <c r="C35" i="12"/>
  <c r="J34" i="12"/>
  <c r="I34" i="12"/>
  <c r="H34" i="12"/>
  <c r="H33" i="12"/>
  <c r="G34" i="12"/>
  <c r="G33" i="12"/>
  <c r="F34" i="12"/>
  <c r="E34" i="12"/>
  <c r="E33" i="12"/>
  <c r="D34" i="12"/>
  <c r="C34" i="12"/>
  <c r="J32" i="12"/>
  <c r="I32" i="12"/>
  <c r="H32" i="12"/>
  <c r="G32" i="12"/>
  <c r="F32" i="12"/>
  <c r="E32" i="12"/>
  <c r="D32" i="12"/>
  <c r="C32" i="12"/>
  <c r="J31" i="12"/>
  <c r="I31" i="12"/>
  <c r="H31" i="12"/>
  <c r="G31" i="12"/>
  <c r="F31" i="12"/>
  <c r="E31" i="12"/>
  <c r="D31" i="12"/>
  <c r="C31" i="12"/>
  <c r="J30" i="12"/>
  <c r="I30" i="12"/>
  <c r="H30" i="12"/>
  <c r="H29" i="12"/>
  <c r="G30" i="12"/>
  <c r="G29" i="12"/>
  <c r="F30" i="12"/>
  <c r="F29" i="12"/>
  <c r="E30" i="12"/>
  <c r="D30" i="12"/>
  <c r="D29" i="12"/>
  <c r="C30" i="12"/>
  <c r="C29" i="12"/>
  <c r="J28" i="12"/>
  <c r="I28" i="12"/>
  <c r="H28" i="12"/>
  <c r="G28" i="12"/>
  <c r="F28" i="12"/>
  <c r="E28" i="12"/>
  <c r="D28" i="12"/>
  <c r="C28" i="12"/>
  <c r="J27" i="12"/>
  <c r="J26" i="12"/>
  <c r="I27" i="12"/>
  <c r="I26" i="12"/>
  <c r="H27" i="12"/>
  <c r="H26" i="12"/>
  <c r="G27" i="12"/>
  <c r="G26" i="12"/>
  <c r="G23" i="12"/>
  <c r="F27" i="12"/>
  <c r="F26" i="12"/>
  <c r="E27" i="12"/>
  <c r="E26" i="12"/>
  <c r="D27" i="12"/>
  <c r="D26" i="12"/>
  <c r="C27" i="12"/>
  <c r="C26" i="12"/>
  <c r="J25" i="12"/>
  <c r="I25" i="12"/>
  <c r="H25" i="12"/>
  <c r="G25" i="12"/>
  <c r="F25" i="12"/>
  <c r="E25" i="12"/>
  <c r="D25" i="12"/>
  <c r="C25" i="12"/>
  <c r="J24" i="12"/>
  <c r="I24" i="12"/>
  <c r="H24" i="12"/>
  <c r="G24" i="12"/>
  <c r="F24" i="12"/>
  <c r="E24" i="12"/>
  <c r="D24" i="12"/>
  <c r="C24" i="12"/>
  <c r="J21" i="12"/>
  <c r="I21" i="12"/>
  <c r="H21" i="12"/>
  <c r="G21" i="12"/>
  <c r="F21" i="12"/>
  <c r="E21" i="12"/>
  <c r="D21" i="12"/>
  <c r="C21" i="12"/>
  <c r="J20" i="12"/>
  <c r="I20" i="12"/>
  <c r="H20" i="12"/>
  <c r="G20" i="12"/>
  <c r="F20" i="12"/>
  <c r="E20" i="12"/>
  <c r="D20" i="12"/>
  <c r="C20" i="12"/>
  <c r="J19" i="12"/>
  <c r="I19" i="12"/>
  <c r="H19" i="12"/>
  <c r="G19" i="12"/>
  <c r="F19" i="12"/>
  <c r="E19" i="12"/>
  <c r="D19" i="12"/>
  <c r="C19" i="12"/>
  <c r="J18" i="12"/>
  <c r="J17" i="12"/>
  <c r="I18" i="12"/>
  <c r="H18" i="12"/>
  <c r="H17" i="12"/>
  <c r="G18" i="12"/>
  <c r="F18" i="12"/>
  <c r="E18" i="12"/>
  <c r="D18" i="12"/>
  <c r="D17" i="12"/>
  <c r="C18" i="12"/>
  <c r="J16" i="12"/>
  <c r="I16" i="12"/>
  <c r="I13" i="12"/>
  <c r="H16" i="12"/>
  <c r="G16" i="12"/>
  <c r="F16" i="12"/>
  <c r="E16" i="12"/>
  <c r="D16" i="12"/>
  <c r="C16" i="12"/>
  <c r="C13" i="12"/>
  <c r="J15" i="12"/>
  <c r="I15" i="12"/>
  <c r="H15" i="12"/>
  <c r="G15" i="12"/>
  <c r="F15" i="12"/>
  <c r="E15" i="12"/>
  <c r="E13" i="12"/>
  <c r="D15" i="12"/>
  <c r="C15" i="12"/>
  <c r="J14" i="12"/>
  <c r="I14" i="12"/>
  <c r="H14" i="12"/>
  <c r="H13" i="12"/>
  <c r="H12" i="12"/>
  <c r="G14" i="12"/>
  <c r="G13" i="12"/>
  <c r="F14" i="12"/>
  <c r="F13" i="12"/>
  <c r="E14" i="12"/>
  <c r="D14" i="12"/>
  <c r="C14" i="12"/>
  <c r="C54" i="11"/>
  <c r="C55" i="11"/>
  <c r="C56" i="11"/>
  <c r="C43" i="11"/>
  <c r="C42" i="11"/>
  <c r="C45" i="11"/>
  <c r="C44" i="11"/>
  <c r="C46" i="11"/>
  <c r="C47" i="11"/>
  <c r="C49" i="11"/>
  <c r="C50" i="11"/>
  <c r="C48" i="11"/>
  <c r="C51" i="11"/>
  <c r="C24" i="11"/>
  <c r="C25" i="11"/>
  <c r="C27" i="11"/>
  <c r="C28" i="11"/>
  <c r="C26" i="11"/>
  <c r="C30" i="11"/>
  <c r="C29" i="11"/>
  <c r="C31" i="11"/>
  <c r="C32" i="11"/>
  <c r="C34" i="11"/>
  <c r="C35" i="11"/>
  <c r="C36" i="11"/>
  <c r="C21" i="11"/>
  <c r="C18" i="11"/>
  <c r="C17" i="11"/>
  <c r="C19" i="11"/>
  <c r="C20" i="11"/>
  <c r="C14" i="11"/>
  <c r="C15" i="11"/>
  <c r="C16" i="11"/>
  <c r="C39" i="11"/>
  <c r="C40" i="11"/>
  <c r="D54" i="11"/>
  <c r="D55" i="11"/>
  <c r="D56" i="11"/>
  <c r="D43" i="11"/>
  <c r="D45" i="11"/>
  <c r="D46" i="11"/>
  <c r="D47" i="11"/>
  <c r="D49" i="11"/>
  <c r="D48" i="11"/>
  <c r="D50" i="11"/>
  <c r="D51" i="11"/>
  <c r="D24" i="11"/>
  <c r="D25" i="11"/>
  <c r="D27" i="11"/>
  <c r="D28" i="11"/>
  <c r="D30" i="11"/>
  <c r="D29" i="11"/>
  <c r="D31" i="11"/>
  <c r="D32" i="11"/>
  <c r="D34" i="11"/>
  <c r="D35" i="11"/>
  <c r="D33" i="11"/>
  <c r="D36" i="11"/>
  <c r="D21" i="11"/>
  <c r="D18" i="11"/>
  <c r="D19" i="11"/>
  <c r="D20" i="11"/>
  <c r="D14" i="11"/>
  <c r="D13" i="11"/>
  <c r="D15" i="11"/>
  <c r="D16" i="11"/>
  <c r="D39" i="11"/>
  <c r="D38" i="11"/>
  <c r="D40" i="11"/>
  <c r="E54" i="11"/>
  <c r="E55" i="11"/>
  <c r="E56" i="11"/>
  <c r="E43" i="11"/>
  <c r="E45" i="11"/>
  <c r="E46" i="11"/>
  <c r="E47" i="11"/>
  <c r="E49" i="11"/>
  <c r="E48" i="11"/>
  <c r="E50" i="11"/>
  <c r="E51" i="11"/>
  <c r="E24" i="11"/>
  <c r="E25" i="11"/>
  <c r="E27" i="11"/>
  <c r="E28" i="11"/>
  <c r="E30" i="11"/>
  <c r="E29" i="11"/>
  <c r="E31" i="11"/>
  <c r="E32" i="11"/>
  <c r="E34" i="11"/>
  <c r="E33" i="11"/>
  <c r="E35" i="11"/>
  <c r="E36" i="11"/>
  <c r="E21" i="11"/>
  <c r="E18" i="11"/>
  <c r="E19" i="11"/>
  <c r="E20" i="11"/>
  <c r="E14" i="11"/>
  <c r="E15" i="11"/>
  <c r="E16" i="11"/>
  <c r="E39" i="11"/>
  <c r="E40" i="11"/>
  <c r="F54" i="11"/>
  <c r="F53" i="11"/>
  <c r="F55" i="11"/>
  <c r="F56" i="11"/>
  <c r="F43" i="11"/>
  <c r="F45" i="11"/>
  <c r="F46" i="11"/>
  <c r="F47" i="11"/>
  <c r="F49" i="11"/>
  <c r="F50" i="11"/>
  <c r="F51" i="11"/>
  <c r="F24" i="11"/>
  <c r="F25" i="11"/>
  <c r="F27" i="11"/>
  <c r="F26" i="11"/>
  <c r="F28" i="11"/>
  <c r="F30" i="11"/>
  <c r="F29" i="11"/>
  <c r="F31" i="11"/>
  <c r="F32" i="11"/>
  <c r="F34" i="11"/>
  <c r="F35" i="11"/>
  <c r="F33" i="11"/>
  <c r="F36" i="11"/>
  <c r="F21" i="11"/>
  <c r="F18" i="11"/>
  <c r="F19" i="11"/>
  <c r="F20" i="11"/>
  <c r="F14" i="11"/>
  <c r="F13" i="11"/>
  <c r="F15" i="11"/>
  <c r="F16" i="11"/>
  <c r="F39" i="11"/>
  <c r="F38" i="11"/>
  <c r="F40" i="11"/>
  <c r="G54" i="11"/>
  <c r="G55" i="11"/>
  <c r="G56" i="11"/>
  <c r="G43" i="11"/>
  <c r="G45" i="11"/>
  <c r="G46" i="11"/>
  <c r="G47" i="11"/>
  <c r="G49" i="11"/>
  <c r="G48" i="11"/>
  <c r="G42" i="11"/>
  <c r="G50" i="11"/>
  <c r="G51" i="11"/>
  <c r="G24" i="11"/>
  <c r="G25" i="11"/>
  <c r="G27" i="11"/>
  <c r="G28" i="11"/>
  <c r="G30" i="11"/>
  <c r="G29" i="11"/>
  <c r="G31" i="11"/>
  <c r="G32" i="11"/>
  <c r="G34" i="11"/>
  <c r="G35" i="11"/>
  <c r="G33" i="11"/>
  <c r="G36" i="11"/>
  <c r="G21" i="11"/>
  <c r="G18" i="11"/>
  <c r="G19" i="11"/>
  <c r="G20" i="11"/>
  <c r="G14" i="11"/>
  <c r="G13" i="11"/>
  <c r="G15" i="11"/>
  <c r="G16" i="11"/>
  <c r="G39" i="11"/>
  <c r="G38" i="11"/>
  <c r="G40" i="11"/>
  <c r="H54" i="11"/>
  <c r="H53" i="11"/>
  <c r="H55" i="11"/>
  <c r="H56" i="11"/>
  <c r="H43" i="11"/>
  <c r="H45" i="11"/>
  <c r="H46" i="11"/>
  <c r="H47" i="11"/>
  <c r="H49" i="11"/>
  <c r="H48" i="11"/>
  <c r="H50" i="11"/>
  <c r="H51" i="11"/>
  <c r="H24" i="11"/>
  <c r="H25" i="11"/>
  <c r="H27" i="11"/>
  <c r="H26" i="11"/>
  <c r="H28" i="11"/>
  <c r="H30" i="11"/>
  <c r="H31" i="11"/>
  <c r="H29" i="11"/>
  <c r="H32" i="11"/>
  <c r="H34" i="11"/>
  <c r="H35" i="11"/>
  <c r="H36" i="11"/>
  <c r="H21" i="11"/>
  <c r="H18" i="11"/>
  <c r="H17" i="11"/>
  <c r="H19" i="11"/>
  <c r="H20" i="11"/>
  <c r="H14" i="11"/>
  <c r="H15" i="11"/>
  <c r="H16" i="11"/>
  <c r="H39" i="11"/>
  <c r="H38" i="11"/>
  <c r="H40" i="11"/>
  <c r="I54" i="11"/>
  <c r="I55" i="11"/>
  <c r="I56" i="11"/>
  <c r="I43" i="11"/>
  <c r="I45" i="11"/>
  <c r="I46" i="11"/>
  <c r="I47" i="11"/>
  <c r="I49" i="11"/>
  <c r="I50" i="11"/>
  <c r="I51" i="11"/>
  <c r="I48" i="11"/>
  <c r="I24" i="11"/>
  <c r="I25" i="11"/>
  <c r="I27" i="11"/>
  <c r="I26" i="11"/>
  <c r="I28" i="11"/>
  <c r="I30" i="11"/>
  <c r="I31" i="11"/>
  <c r="I32" i="11"/>
  <c r="I34" i="11"/>
  <c r="I35" i="11"/>
  <c r="I36" i="11"/>
  <c r="I33" i="11"/>
  <c r="I21" i="11"/>
  <c r="I18" i="11"/>
  <c r="I19" i="11"/>
  <c r="I20" i="11"/>
  <c r="I14" i="11"/>
  <c r="I15" i="11"/>
  <c r="I16" i="11"/>
  <c r="I39" i="11"/>
  <c r="I40" i="11"/>
  <c r="J54" i="11"/>
  <c r="J55" i="11"/>
  <c r="J56" i="11"/>
  <c r="J43" i="11"/>
  <c r="J45" i="11"/>
  <c r="J44" i="11"/>
  <c r="J46" i="11"/>
  <c r="J47" i="11"/>
  <c r="J49" i="11"/>
  <c r="J50" i="11"/>
  <c r="J48" i="11"/>
  <c r="J51" i="11"/>
  <c r="J24" i="11"/>
  <c r="J25" i="11"/>
  <c r="J27" i="11"/>
  <c r="J28" i="11"/>
  <c r="J30" i="11"/>
  <c r="J29" i="11"/>
  <c r="J31" i="11"/>
  <c r="J32" i="11"/>
  <c r="J34" i="11"/>
  <c r="J35" i="11"/>
  <c r="J36" i="11"/>
  <c r="J21" i="11"/>
  <c r="J18" i="11"/>
  <c r="J17" i="11"/>
  <c r="J19" i="11"/>
  <c r="J20" i="11"/>
  <c r="J14" i="11"/>
  <c r="J15" i="11"/>
  <c r="J16" i="11"/>
  <c r="J39" i="11"/>
  <c r="J38" i="11"/>
  <c r="J40" i="11"/>
  <c r="C58" i="11"/>
  <c r="D58" i="11"/>
  <c r="E58" i="11"/>
  <c r="F58" i="11"/>
  <c r="G58" i="11"/>
  <c r="H58" i="11"/>
  <c r="I58" i="11"/>
  <c r="J58" i="11"/>
  <c r="C74" i="11"/>
  <c r="D74" i="11"/>
  <c r="E74" i="11"/>
  <c r="F74" i="11"/>
  <c r="G74" i="11"/>
  <c r="H74" i="11"/>
  <c r="I74" i="11"/>
  <c r="J74" i="11"/>
  <c r="C136" i="11"/>
  <c r="D136" i="11"/>
  <c r="E136" i="11"/>
  <c r="F136" i="11"/>
  <c r="G136" i="11"/>
  <c r="H136" i="11"/>
  <c r="I136" i="11"/>
  <c r="J136" i="11"/>
  <c r="C167" i="11"/>
  <c r="D167" i="11"/>
  <c r="E167" i="11"/>
  <c r="F167" i="11"/>
  <c r="G167" i="11"/>
  <c r="H167" i="11"/>
  <c r="I167" i="11"/>
  <c r="J167" i="11"/>
  <c r="C177" i="11"/>
  <c r="D177" i="11"/>
  <c r="E177" i="11"/>
  <c r="F177" i="11"/>
  <c r="G177" i="11"/>
  <c r="H177" i="11"/>
  <c r="I177" i="11"/>
  <c r="J177" i="11"/>
  <c r="C196" i="11"/>
  <c r="D196" i="11"/>
  <c r="E196" i="11"/>
  <c r="F196" i="11"/>
  <c r="G196" i="11"/>
  <c r="H196" i="11"/>
  <c r="I196" i="11"/>
  <c r="J196" i="11"/>
  <c r="C204" i="11"/>
  <c r="D204" i="11"/>
  <c r="E204" i="11"/>
  <c r="F204" i="11"/>
  <c r="G204" i="11"/>
  <c r="H204" i="11"/>
  <c r="I204" i="11"/>
  <c r="J204" i="11"/>
  <c r="C211" i="11"/>
  <c r="D211" i="11"/>
  <c r="E211" i="11"/>
  <c r="F211" i="11"/>
  <c r="G211" i="11"/>
  <c r="H211" i="11"/>
  <c r="I211" i="11"/>
  <c r="J211" i="11"/>
  <c r="C232" i="11"/>
  <c r="C233" i="11"/>
  <c r="C234" i="11"/>
  <c r="C235" i="11"/>
  <c r="C236" i="11"/>
  <c r="C231" i="11"/>
  <c r="C237" i="11"/>
  <c r="C238" i="11"/>
  <c r="C239" i="11"/>
  <c r="D232" i="11"/>
  <c r="D233" i="11"/>
  <c r="D234" i="11"/>
  <c r="D231" i="11"/>
  <c r="D235" i="11"/>
  <c r="D236" i="11"/>
  <c r="D237" i="11"/>
  <c r="D238" i="11"/>
  <c r="D239" i="11"/>
  <c r="E232" i="11"/>
  <c r="E233" i="11"/>
  <c r="E234" i="11"/>
  <c r="E235" i="11"/>
  <c r="E236" i="11"/>
  <c r="E237" i="11"/>
  <c r="E238" i="11"/>
  <c r="E239" i="11"/>
  <c r="F232" i="11"/>
  <c r="F233" i="11"/>
  <c r="F234" i="11"/>
  <c r="F235" i="11"/>
  <c r="F236" i="11"/>
  <c r="F231" i="11"/>
  <c r="F237" i="11"/>
  <c r="F238" i="11"/>
  <c r="F239" i="11"/>
  <c r="G232" i="11"/>
  <c r="G233" i="11"/>
  <c r="G234" i="11"/>
  <c r="G235" i="11"/>
  <c r="G236" i="11"/>
  <c r="G237" i="11"/>
  <c r="G238" i="11"/>
  <c r="G239" i="11"/>
  <c r="H232" i="11"/>
  <c r="H233" i="11"/>
  <c r="H234" i="11"/>
  <c r="H235" i="11"/>
  <c r="H236" i="11"/>
  <c r="H237" i="11"/>
  <c r="H238" i="11"/>
  <c r="H239" i="11"/>
  <c r="I232" i="11"/>
  <c r="I233" i="11"/>
  <c r="I234" i="11"/>
  <c r="I235" i="11"/>
  <c r="I236" i="11"/>
  <c r="I231" i="11"/>
  <c r="I237" i="11"/>
  <c r="I238" i="11"/>
  <c r="I239" i="11"/>
  <c r="J232" i="11"/>
  <c r="J233" i="11"/>
  <c r="J234" i="11"/>
  <c r="J235" i="11"/>
  <c r="J236" i="11"/>
  <c r="J237" i="11"/>
  <c r="J238" i="11"/>
  <c r="J239" i="11"/>
  <c r="C243" i="11"/>
  <c r="C241" i="11"/>
  <c r="C245" i="11"/>
  <c r="C244" i="11"/>
  <c r="C242" i="11"/>
  <c r="D243" i="11"/>
  <c r="D245" i="11"/>
  <c r="D244" i="11"/>
  <c r="D242" i="11"/>
  <c r="E243" i="11"/>
  <c r="E245" i="11"/>
  <c r="E244" i="11"/>
  <c r="E242" i="11"/>
  <c r="E241" i="11"/>
  <c r="F243" i="11"/>
  <c r="F245" i="11"/>
  <c r="F244" i="11"/>
  <c r="F242" i="11"/>
  <c r="F241" i="11"/>
  <c r="G243" i="11"/>
  <c r="G245" i="11"/>
  <c r="G244" i="11"/>
  <c r="G242" i="11"/>
  <c r="H243" i="11"/>
  <c r="H245" i="11"/>
  <c r="H244" i="11"/>
  <c r="H242" i="11"/>
  <c r="I243" i="11"/>
  <c r="I245" i="11"/>
  <c r="I244" i="11"/>
  <c r="I242" i="11"/>
  <c r="J243" i="11"/>
  <c r="J245" i="11"/>
  <c r="J244" i="11"/>
  <c r="J242" i="11"/>
  <c r="J245" i="10"/>
  <c r="I245" i="10"/>
  <c r="H245" i="10"/>
  <c r="G245" i="10"/>
  <c r="F245" i="10"/>
  <c r="E245" i="10"/>
  <c r="D245" i="10"/>
  <c r="C75" i="10"/>
  <c r="C76" i="10"/>
  <c r="C49" i="10"/>
  <c r="C77" i="10"/>
  <c r="C80" i="10"/>
  <c r="C81" i="10"/>
  <c r="C83" i="10"/>
  <c r="C82" i="10"/>
  <c r="C87" i="10"/>
  <c r="C86" i="10"/>
  <c r="C90" i="10"/>
  <c r="C88" i="10"/>
  <c r="C91" i="10"/>
  <c r="C89" i="10"/>
  <c r="C92" i="10"/>
  <c r="C93" i="10"/>
  <c r="C98" i="10"/>
  <c r="C97" i="10"/>
  <c r="C96" i="10"/>
  <c r="C99" i="10"/>
  <c r="C100" i="10"/>
  <c r="C101" i="10"/>
  <c r="C102" i="10"/>
  <c r="C103" i="10"/>
  <c r="C105" i="10"/>
  <c r="C104" i="10"/>
  <c r="C106" i="10"/>
  <c r="C107" i="10"/>
  <c r="C109" i="10"/>
  <c r="C108" i="10"/>
  <c r="C111" i="10"/>
  <c r="C110" i="10"/>
  <c r="C115" i="10"/>
  <c r="C117" i="10"/>
  <c r="C116" i="10"/>
  <c r="C119" i="10"/>
  <c r="C118" i="10"/>
  <c r="C120" i="10"/>
  <c r="C121" i="10"/>
  <c r="C122" i="10"/>
  <c r="C123" i="10"/>
  <c r="C124" i="10"/>
  <c r="C125" i="10"/>
  <c r="C126" i="10"/>
  <c r="C128" i="10"/>
  <c r="C129" i="10"/>
  <c r="C130" i="10"/>
  <c r="C132" i="10"/>
  <c r="C133" i="10"/>
  <c r="C134" i="10"/>
  <c r="J244" i="10"/>
  <c r="I244" i="10"/>
  <c r="H244" i="10"/>
  <c r="G244" i="10"/>
  <c r="F244" i="10"/>
  <c r="E244" i="10"/>
  <c r="D244" i="10"/>
  <c r="C137" i="10"/>
  <c r="C139" i="10"/>
  <c r="C141" i="10"/>
  <c r="C144" i="10"/>
  <c r="C147" i="10"/>
  <c r="C151" i="10"/>
  <c r="C152" i="10"/>
  <c r="C154" i="10"/>
  <c r="C156" i="10"/>
  <c r="C158" i="10"/>
  <c r="C159" i="10"/>
  <c r="C161" i="10"/>
  <c r="C31" i="10"/>
  <c r="C162" i="10"/>
  <c r="C164" i="10"/>
  <c r="C168" i="10"/>
  <c r="C175" i="10"/>
  <c r="C36" i="10"/>
  <c r="C150" i="10"/>
  <c r="C146" i="10"/>
  <c r="C25" i="10"/>
  <c r="J243" i="10"/>
  <c r="I243" i="10"/>
  <c r="H243" i="10"/>
  <c r="G243" i="10"/>
  <c r="F243" i="10"/>
  <c r="E243" i="10"/>
  <c r="D243" i="10"/>
  <c r="C59" i="10"/>
  <c r="C60" i="10"/>
  <c r="C62" i="10"/>
  <c r="C63" i="10"/>
  <c r="C64" i="10"/>
  <c r="C65" i="10"/>
  <c r="C66" i="10"/>
  <c r="C68" i="10"/>
  <c r="C69" i="10"/>
  <c r="C70" i="10"/>
  <c r="C71" i="10"/>
  <c r="C72" i="10"/>
  <c r="C85" i="10"/>
  <c r="C61" i="10"/>
  <c r="C56" i="10"/>
  <c r="J242" i="10"/>
  <c r="I242" i="10"/>
  <c r="I241" i="10"/>
  <c r="H242" i="10"/>
  <c r="G242" i="10"/>
  <c r="F242" i="10"/>
  <c r="E242" i="10"/>
  <c r="E241" i="10"/>
  <c r="D242" i="10"/>
  <c r="D241" i="10"/>
  <c r="C178" i="10"/>
  <c r="C179" i="10"/>
  <c r="C180" i="10"/>
  <c r="C181" i="10"/>
  <c r="C182" i="10"/>
  <c r="C183" i="10"/>
  <c r="C184" i="10"/>
  <c r="C185" i="10"/>
  <c r="C187" i="10"/>
  <c r="C189" i="10"/>
  <c r="C190" i="10"/>
  <c r="C192" i="10"/>
  <c r="C40" i="10"/>
  <c r="C194" i="10"/>
  <c r="C198" i="10"/>
  <c r="C191" i="10"/>
  <c r="J239" i="10"/>
  <c r="I239" i="10"/>
  <c r="H239" i="10"/>
  <c r="G239" i="10"/>
  <c r="F239" i="10"/>
  <c r="E239" i="10"/>
  <c r="D239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J238" i="10"/>
  <c r="I238" i="10"/>
  <c r="H238" i="10"/>
  <c r="G238" i="10"/>
  <c r="F238" i="10"/>
  <c r="E238" i="10"/>
  <c r="D238" i="10"/>
  <c r="C205" i="10"/>
  <c r="C19" i="10"/>
  <c r="C17" i="10"/>
  <c r="C206" i="10"/>
  <c r="C207" i="10"/>
  <c r="C208" i="10"/>
  <c r="C209" i="10"/>
  <c r="J237" i="10"/>
  <c r="I237" i="10"/>
  <c r="H237" i="10"/>
  <c r="G237" i="10"/>
  <c r="F237" i="10"/>
  <c r="E237" i="10"/>
  <c r="D237" i="10"/>
  <c r="C197" i="10"/>
  <c r="C237" i="10"/>
  <c r="C199" i="10"/>
  <c r="C200" i="10"/>
  <c r="C201" i="10"/>
  <c r="C202" i="10"/>
  <c r="J236" i="10"/>
  <c r="I236" i="10"/>
  <c r="H236" i="10"/>
  <c r="G236" i="10"/>
  <c r="F236" i="10"/>
  <c r="E236" i="10"/>
  <c r="D236" i="10"/>
  <c r="C186" i="10"/>
  <c r="C45" i="10"/>
  <c r="C188" i="10"/>
  <c r="C193" i="10"/>
  <c r="J235" i="10"/>
  <c r="I235" i="10"/>
  <c r="H235" i="10"/>
  <c r="G235" i="10"/>
  <c r="G231" i="10"/>
  <c r="F235" i="10"/>
  <c r="E235" i="10"/>
  <c r="D235" i="10"/>
  <c r="C169" i="10"/>
  <c r="C170" i="10"/>
  <c r="C171" i="10"/>
  <c r="C35" i="10"/>
  <c r="C33" i="10"/>
  <c r="C172" i="10"/>
  <c r="C173" i="10"/>
  <c r="C174" i="10"/>
  <c r="J234" i="10"/>
  <c r="I234" i="10"/>
  <c r="H234" i="10"/>
  <c r="G234" i="10"/>
  <c r="F234" i="10"/>
  <c r="E234" i="10"/>
  <c r="D234" i="10"/>
  <c r="C138" i="10"/>
  <c r="C140" i="10"/>
  <c r="C142" i="10"/>
  <c r="C30" i="10"/>
  <c r="C143" i="10"/>
  <c r="C145" i="10"/>
  <c r="C148" i="10"/>
  <c r="C149" i="10"/>
  <c r="C32" i="10"/>
  <c r="C153" i="10"/>
  <c r="C155" i="10"/>
  <c r="C157" i="10"/>
  <c r="C160" i="10"/>
  <c r="C163" i="10"/>
  <c r="C165" i="10"/>
  <c r="J233" i="10"/>
  <c r="I233" i="10"/>
  <c r="H233" i="10"/>
  <c r="G233" i="10"/>
  <c r="F233" i="10"/>
  <c r="E233" i="10"/>
  <c r="D233" i="10"/>
  <c r="C78" i="10"/>
  <c r="C79" i="10"/>
  <c r="C84" i="10"/>
  <c r="C94" i="10"/>
  <c r="C95" i="10"/>
  <c r="C233" i="10"/>
  <c r="C112" i="10"/>
  <c r="C113" i="10"/>
  <c r="C114" i="10"/>
  <c r="C127" i="10"/>
  <c r="C131" i="10"/>
  <c r="J232" i="10"/>
  <c r="I232" i="10"/>
  <c r="H232" i="10"/>
  <c r="G232" i="10"/>
  <c r="F232" i="10"/>
  <c r="E232" i="10"/>
  <c r="D232" i="10"/>
  <c r="D231" i="10"/>
  <c r="C67" i="10"/>
  <c r="J211" i="10"/>
  <c r="I211" i="10"/>
  <c r="H211" i="10"/>
  <c r="G211" i="10"/>
  <c r="F211" i="10"/>
  <c r="E211" i="10"/>
  <c r="D211" i="10"/>
  <c r="J204" i="10"/>
  <c r="I204" i="10"/>
  <c r="H204" i="10"/>
  <c r="G204" i="10"/>
  <c r="F204" i="10"/>
  <c r="E204" i="10"/>
  <c r="D204" i="10"/>
  <c r="J196" i="10"/>
  <c r="I196" i="10"/>
  <c r="H196" i="10"/>
  <c r="G196" i="10"/>
  <c r="F196" i="10"/>
  <c r="E196" i="10"/>
  <c r="D196" i="10"/>
  <c r="J177" i="10"/>
  <c r="I177" i="10"/>
  <c r="H177" i="10"/>
  <c r="G177" i="10"/>
  <c r="F177" i="10"/>
  <c r="E177" i="10"/>
  <c r="D177" i="10"/>
  <c r="J167" i="10"/>
  <c r="I167" i="10"/>
  <c r="H167" i="10"/>
  <c r="G167" i="10"/>
  <c r="F167" i="10"/>
  <c r="E167" i="10"/>
  <c r="D167" i="10"/>
  <c r="J136" i="10"/>
  <c r="I136" i="10"/>
  <c r="H136" i="10"/>
  <c r="G136" i="10"/>
  <c r="F136" i="10"/>
  <c r="E136" i="10"/>
  <c r="D136" i="10"/>
  <c r="J74" i="10"/>
  <c r="I74" i="10"/>
  <c r="H74" i="10"/>
  <c r="G74" i="10"/>
  <c r="F74" i="10"/>
  <c r="E74" i="10"/>
  <c r="D74" i="10"/>
  <c r="J58" i="10"/>
  <c r="I58" i="10"/>
  <c r="H58" i="10"/>
  <c r="G58" i="10"/>
  <c r="F58" i="10"/>
  <c r="E58" i="10"/>
  <c r="D58" i="10"/>
  <c r="J56" i="10"/>
  <c r="I56" i="10"/>
  <c r="H56" i="10"/>
  <c r="G56" i="10"/>
  <c r="F56" i="10"/>
  <c r="E56" i="10"/>
  <c r="D56" i="10"/>
  <c r="J55" i="10"/>
  <c r="I55" i="10"/>
  <c r="H55" i="10"/>
  <c r="G55" i="10"/>
  <c r="F55" i="10"/>
  <c r="E55" i="10"/>
  <c r="D55" i="10"/>
  <c r="J54" i="10"/>
  <c r="I54" i="10"/>
  <c r="H54" i="10"/>
  <c r="G54" i="10"/>
  <c r="F54" i="10"/>
  <c r="E54" i="10"/>
  <c r="E53" i="10"/>
  <c r="D54" i="10"/>
  <c r="J51" i="10"/>
  <c r="I51" i="10"/>
  <c r="H51" i="10"/>
  <c r="G51" i="10"/>
  <c r="F51" i="10"/>
  <c r="E51" i="10"/>
  <c r="D51" i="10"/>
  <c r="J50" i="10"/>
  <c r="I50" i="10"/>
  <c r="H50" i="10"/>
  <c r="G50" i="10"/>
  <c r="F50" i="10"/>
  <c r="E50" i="10"/>
  <c r="D50" i="10"/>
  <c r="J49" i="10"/>
  <c r="I49" i="10"/>
  <c r="H49" i="10"/>
  <c r="G49" i="10"/>
  <c r="G48" i="10"/>
  <c r="G42" i="10"/>
  <c r="F49" i="10"/>
  <c r="E49" i="10"/>
  <c r="D49" i="10"/>
  <c r="D48" i="10"/>
  <c r="H48" i="10"/>
  <c r="J47" i="10"/>
  <c r="I47" i="10"/>
  <c r="H47" i="10"/>
  <c r="G47" i="10"/>
  <c r="F47" i="10"/>
  <c r="E47" i="10"/>
  <c r="D47" i="10"/>
  <c r="D44" i="10"/>
  <c r="J46" i="10"/>
  <c r="I46" i="10"/>
  <c r="H46" i="10"/>
  <c r="G46" i="10"/>
  <c r="G44" i="10"/>
  <c r="F46" i="10"/>
  <c r="E46" i="10"/>
  <c r="D46" i="10"/>
  <c r="J45" i="10"/>
  <c r="J44" i="10"/>
  <c r="I45" i="10"/>
  <c r="H45" i="10"/>
  <c r="H44" i="10"/>
  <c r="H42" i="10"/>
  <c r="G45" i="10"/>
  <c r="F45" i="10"/>
  <c r="F44" i="10"/>
  <c r="E45" i="10"/>
  <c r="D45" i="10"/>
  <c r="J43" i="10"/>
  <c r="I43" i="10"/>
  <c r="H43" i="10"/>
  <c r="G43" i="10"/>
  <c r="F43" i="10"/>
  <c r="E43" i="10"/>
  <c r="D43" i="10"/>
  <c r="J40" i="10"/>
  <c r="I40" i="10"/>
  <c r="H40" i="10"/>
  <c r="G40" i="10"/>
  <c r="F40" i="10"/>
  <c r="E40" i="10"/>
  <c r="D40" i="10"/>
  <c r="J39" i="10"/>
  <c r="J38" i="10"/>
  <c r="I39" i="10"/>
  <c r="H39" i="10"/>
  <c r="H38" i="10"/>
  <c r="G39" i="10"/>
  <c r="G38" i="10"/>
  <c r="F39" i="10"/>
  <c r="F38" i="10"/>
  <c r="E39" i="10"/>
  <c r="E38" i="10"/>
  <c r="D39" i="10"/>
  <c r="J36" i="10"/>
  <c r="I36" i="10"/>
  <c r="H36" i="10"/>
  <c r="G36" i="10"/>
  <c r="F36" i="10"/>
  <c r="E36" i="10"/>
  <c r="D36" i="10"/>
  <c r="J35" i="10"/>
  <c r="I35" i="10"/>
  <c r="H35" i="10"/>
  <c r="G35" i="10"/>
  <c r="F35" i="10"/>
  <c r="E35" i="10"/>
  <c r="D35" i="10"/>
  <c r="J34" i="10"/>
  <c r="I34" i="10"/>
  <c r="H34" i="10"/>
  <c r="H33" i="10"/>
  <c r="G34" i="10"/>
  <c r="G33" i="10"/>
  <c r="F34" i="10"/>
  <c r="E34" i="10"/>
  <c r="E33" i="10"/>
  <c r="D34" i="10"/>
  <c r="C34" i="10"/>
  <c r="J32" i="10"/>
  <c r="I32" i="10"/>
  <c r="H32" i="10"/>
  <c r="G32" i="10"/>
  <c r="F32" i="10"/>
  <c r="E32" i="10"/>
  <c r="D32" i="10"/>
  <c r="J31" i="10"/>
  <c r="I31" i="10"/>
  <c r="H31" i="10"/>
  <c r="G31" i="10"/>
  <c r="F31" i="10"/>
  <c r="E31" i="10"/>
  <c r="D31" i="10"/>
  <c r="J30" i="10"/>
  <c r="I30" i="10"/>
  <c r="H30" i="10"/>
  <c r="G30" i="10"/>
  <c r="G29" i="10"/>
  <c r="F30" i="10"/>
  <c r="E30" i="10"/>
  <c r="D30" i="10"/>
  <c r="I29" i="10"/>
  <c r="H29" i="10"/>
  <c r="J28" i="10"/>
  <c r="I28" i="10"/>
  <c r="H28" i="10"/>
  <c r="G28" i="10"/>
  <c r="F28" i="10"/>
  <c r="E28" i="10"/>
  <c r="D28" i="10"/>
  <c r="J27" i="10"/>
  <c r="I27" i="10"/>
  <c r="H27" i="10"/>
  <c r="G27" i="10"/>
  <c r="F27" i="10"/>
  <c r="F26" i="10"/>
  <c r="E27" i="10"/>
  <c r="E26" i="10"/>
  <c r="D27" i="10"/>
  <c r="J25" i="10"/>
  <c r="I25" i="10"/>
  <c r="H25" i="10"/>
  <c r="G25" i="10"/>
  <c r="F25" i="10"/>
  <c r="E25" i="10"/>
  <c r="D25" i="10"/>
  <c r="J24" i="10"/>
  <c r="I24" i="10"/>
  <c r="H24" i="10"/>
  <c r="G24" i="10"/>
  <c r="F24" i="10"/>
  <c r="E24" i="10"/>
  <c r="D24" i="10"/>
  <c r="J21" i="10"/>
  <c r="I21" i="10"/>
  <c r="H21" i="10"/>
  <c r="G21" i="10"/>
  <c r="F21" i="10"/>
  <c r="F12" i="10"/>
  <c r="E21" i="10"/>
  <c r="D21" i="10"/>
  <c r="J20" i="10"/>
  <c r="I20" i="10"/>
  <c r="H20" i="10"/>
  <c r="G20" i="10"/>
  <c r="F20" i="10"/>
  <c r="E20" i="10"/>
  <c r="D20" i="10"/>
  <c r="J19" i="10"/>
  <c r="I19" i="10"/>
  <c r="I17" i="10"/>
  <c r="H19" i="10"/>
  <c r="G19" i="10"/>
  <c r="F19" i="10"/>
  <c r="E19" i="10"/>
  <c r="D19" i="10"/>
  <c r="J18" i="10"/>
  <c r="I18" i="10"/>
  <c r="H18" i="10"/>
  <c r="G18" i="10"/>
  <c r="G17" i="10"/>
  <c r="F18" i="10"/>
  <c r="F17" i="10"/>
  <c r="E18" i="10"/>
  <c r="D18" i="10"/>
  <c r="C18" i="10"/>
  <c r="J16" i="10"/>
  <c r="I16" i="10"/>
  <c r="H16" i="10"/>
  <c r="G16" i="10"/>
  <c r="F16" i="10"/>
  <c r="E16" i="10"/>
  <c r="D16" i="10"/>
  <c r="J15" i="10"/>
  <c r="I15" i="10"/>
  <c r="H15" i="10"/>
  <c r="G15" i="10"/>
  <c r="F15" i="10"/>
  <c r="E15" i="10"/>
  <c r="D15" i="10"/>
  <c r="J14" i="10"/>
  <c r="I14" i="10"/>
  <c r="H14" i="10"/>
  <c r="H13" i="10"/>
  <c r="G14" i="10"/>
  <c r="F14" i="10"/>
  <c r="E14" i="10"/>
  <c r="D14" i="10"/>
  <c r="J323" i="9"/>
  <c r="J324" i="9"/>
  <c r="J325" i="9"/>
  <c r="J326" i="9"/>
  <c r="I323" i="9"/>
  <c r="I324" i="9"/>
  <c r="I325" i="9"/>
  <c r="I326" i="9"/>
  <c r="H323" i="9"/>
  <c r="H324" i="9"/>
  <c r="H325" i="9"/>
  <c r="H326" i="9"/>
  <c r="G323" i="9"/>
  <c r="G324" i="9"/>
  <c r="G325" i="9"/>
  <c r="G326" i="9"/>
  <c r="F323" i="9"/>
  <c r="F324" i="9"/>
  <c r="F325" i="9"/>
  <c r="F326" i="9"/>
  <c r="E323" i="9"/>
  <c r="E324" i="9"/>
  <c r="E325" i="9"/>
  <c r="E326" i="9"/>
  <c r="D323" i="9"/>
  <c r="D324" i="9"/>
  <c r="D325" i="9"/>
  <c r="D326" i="9"/>
  <c r="J312" i="9"/>
  <c r="J313" i="9"/>
  <c r="J314" i="9"/>
  <c r="J315" i="9"/>
  <c r="J316" i="9"/>
  <c r="J317" i="9"/>
  <c r="J318" i="9"/>
  <c r="J319" i="9"/>
  <c r="I312" i="9"/>
  <c r="I313" i="9"/>
  <c r="I314" i="9"/>
  <c r="I315" i="9"/>
  <c r="I316" i="9"/>
  <c r="I317" i="9"/>
  <c r="I318" i="9"/>
  <c r="I319" i="9"/>
  <c r="H312" i="9"/>
  <c r="H313" i="9"/>
  <c r="H314" i="9"/>
  <c r="H315" i="9"/>
  <c r="H316" i="9"/>
  <c r="H317" i="9"/>
  <c r="H318" i="9"/>
  <c r="H319" i="9"/>
  <c r="G312" i="9"/>
  <c r="G313" i="9"/>
  <c r="G314" i="9"/>
  <c r="G315" i="9"/>
  <c r="G316" i="9"/>
  <c r="G317" i="9"/>
  <c r="G318" i="9"/>
  <c r="G319" i="9"/>
  <c r="F312" i="9"/>
  <c r="F313" i="9"/>
  <c r="F314" i="9"/>
  <c r="F315" i="9"/>
  <c r="F316" i="9"/>
  <c r="F317" i="9"/>
  <c r="F318" i="9"/>
  <c r="F319" i="9"/>
  <c r="E312" i="9"/>
  <c r="E313" i="9"/>
  <c r="E314" i="9"/>
  <c r="E315" i="9"/>
  <c r="E316" i="9"/>
  <c r="E317" i="9"/>
  <c r="E318" i="9"/>
  <c r="E319" i="9"/>
  <c r="D312" i="9"/>
  <c r="D313" i="9"/>
  <c r="D314" i="9"/>
  <c r="D315" i="9"/>
  <c r="D316" i="9"/>
  <c r="D317" i="9"/>
  <c r="D318" i="9"/>
  <c r="D319" i="9"/>
  <c r="J288" i="9"/>
  <c r="I288" i="9"/>
  <c r="H288" i="9"/>
  <c r="G288" i="9"/>
  <c r="F288" i="9"/>
  <c r="E288" i="9"/>
  <c r="D288" i="9"/>
  <c r="J269" i="9"/>
  <c r="I269" i="9"/>
  <c r="H269" i="9"/>
  <c r="G269" i="9"/>
  <c r="F269" i="9"/>
  <c r="E269" i="9"/>
  <c r="D269" i="9"/>
  <c r="J261" i="9"/>
  <c r="I261" i="9"/>
  <c r="H261" i="9"/>
  <c r="G261" i="9"/>
  <c r="F261" i="9"/>
  <c r="E261" i="9"/>
  <c r="D261" i="9"/>
  <c r="J240" i="9"/>
  <c r="I240" i="9"/>
  <c r="H240" i="9"/>
  <c r="G240" i="9"/>
  <c r="F240" i="9"/>
  <c r="E240" i="9"/>
  <c r="D240" i="9"/>
  <c r="J216" i="9"/>
  <c r="I216" i="9"/>
  <c r="H216" i="9"/>
  <c r="G216" i="9"/>
  <c r="F216" i="9"/>
  <c r="E216" i="9"/>
  <c r="D216" i="9"/>
  <c r="J174" i="9"/>
  <c r="I174" i="9"/>
  <c r="H174" i="9"/>
  <c r="G174" i="9"/>
  <c r="F174" i="9"/>
  <c r="E174" i="9"/>
  <c r="D174" i="9"/>
  <c r="J86" i="9"/>
  <c r="I86" i="9"/>
  <c r="H86" i="9"/>
  <c r="G86" i="9"/>
  <c r="F86" i="9"/>
  <c r="E86" i="9"/>
  <c r="D86" i="9"/>
  <c r="J57" i="9"/>
  <c r="I57" i="9"/>
  <c r="H57" i="9"/>
  <c r="G57" i="9"/>
  <c r="F57" i="9"/>
  <c r="E57" i="9"/>
  <c r="D57" i="9"/>
  <c r="J12" i="9"/>
  <c r="J13" i="9"/>
  <c r="J14" i="9"/>
  <c r="J16" i="9"/>
  <c r="J17" i="9"/>
  <c r="J18" i="9"/>
  <c r="J19" i="9"/>
  <c r="J22" i="9"/>
  <c r="J23" i="9"/>
  <c r="J25" i="9"/>
  <c r="J26" i="9"/>
  <c r="J24" i="9"/>
  <c r="J28" i="9"/>
  <c r="J29" i="9"/>
  <c r="J30" i="9"/>
  <c r="J32" i="9"/>
  <c r="J33" i="9"/>
  <c r="J34" i="9"/>
  <c r="J37" i="9"/>
  <c r="J38" i="9"/>
  <c r="J41" i="9"/>
  <c r="J43" i="9"/>
  <c r="J44" i="9"/>
  <c r="J45" i="9"/>
  <c r="J47" i="9"/>
  <c r="J46" i="9"/>
  <c r="J48" i="9"/>
  <c r="J49" i="9"/>
  <c r="J52" i="9"/>
  <c r="J53" i="9"/>
  <c r="J54" i="9"/>
  <c r="I12" i="9"/>
  <c r="I13" i="9"/>
  <c r="I14" i="9"/>
  <c r="I16" i="9"/>
  <c r="I17" i="9"/>
  <c r="I18" i="9"/>
  <c r="I19" i="9"/>
  <c r="I22" i="9"/>
  <c r="I23" i="9"/>
  <c r="I25" i="9"/>
  <c r="I26" i="9"/>
  <c r="I28" i="9"/>
  <c r="I27" i="9"/>
  <c r="I29" i="9"/>
  <c r="I30" i="9"/>
  <c r="I32" i="9"/>
  <c r="I33" i="9"/>
  <c r="I34" i="9"/>
  <c r="I31" i="9"/>
  <c r="I37" i="9"/>
  <c r="I36" i="9"/>
  <c r="I38" i="9"/>
  <c r="I41" i="9"/>
  <c r="I43" i="9"/>
  <c r="I44" i="9"/>
  <c r="I45" i="9"/>
  <c r="I47" i="9"/>
  <c r="I48" i="9"/>
  <c r="I49" i="9"/>
  <c r="I52" i="9"/>
  <c r="I53" i="9"/>
  <c r="I54" i="9"/>
  <c r="H12" i="9"/>
  <c r="H13" i="9"/>
  <c r="H14" i="9"/>
  <c r="H16" i="9"/>
  <c r="H17" i="9"/>
  <c r="H18" i="9"/>
  <c r="H19" i="9"/>
  <c r="H22" i="9"/>
  <c r="H23" i="9"/>
  <c r="H25" i="9"/>
  <c r="H26" i="9"/>
  <c r="H24" i="9"/>
  <c r="H28" i="9"/>
  <c r="H27" i="9"/>
  <c r="H29" i="9"/>
  <c r="H30" i="9"/>
  <c r="H32" i="9"/>
  <c r="H33" i="9"/>
  <c r="H31" i="9"/>
  <c r="H34" i="9"/>
  <c r="H37" i="9"/>
  <c r="H36" i="9"/>
  <c r="H38" i="9"/>
  <c r="H41" i="9"/>
  <c r="H43" i="9"/>
  <c r="H44" i="9"/>
  <c r="H45" i="9"/>
  <c r="H47" i="9"/>
  <c r="H48" i="9"/>
  <c r="H49" i="9"/>
  <c r="H52" i="9"/>
  <c r="H53" i="9"/>
  <c r="H54" i="9"/>
  <c r="G12" i="9"/>
  <c r="G13" i="9"/>
  <c r="G11" i="9"/>
  <c r="G10" i="9"/>
  <c r="G14" i="9"/>
  <c r="G16" i="9"/>
  <c r="G15" i="9"/>
  <c r="G17" i="9"/>
  <c r="G18" i="9"/>
  <c r="G19" i="9"/>
  <c r="G22" i="9"/>
  <c r="G23" i="9"/>
  <c r="G25" i="9"/>
  <c r="G26" i="9"/>
  <c r="G24" i="9"/>
  <c r="G28" i="9"/>
  <c r="G27" i="9"/>
  <c r="G29" i="9"/>
  <c r="G30" i="9"/>
  <c r="G32" i="9"/>
  <c r="G33" i="9"/>
  <c r="G34" i="9"/>
  <c r="G31" i="9"/>
  <c r="G37" i="9"/>
  <c r="G36" i="9"/>
  <c r="G38" i="9"/>
  <c r="G41" i="9"/>
  <c r="G43" i="9"/>
  <c r="G44" i="9"/>
  <c r="G42" i="9"/>
  <c r="G45" i="9"/>
  <c r="G47" i="9"/>
  <c r="G48" i="9"/>
  <c r="G49" i="9"/>
  <c r="G52" i="9"/>
  <c r="G53" i="9"/>
  <c r="G54" i="9"/>
  <c r="F12" i="9"/>
  <c r="F13" i="9"/>
  <c r="F14" i="9"/>
  <c r="F16" i="9"/>
  <c r="F17" i="9"/>
  <c r="F18" i="9"/>
  <c r="F19" i="9"/>
  <c r="F22" i="9"/>
  <c r="F23" i="9"/>
  <c r="F25" i="9"/>
  <c r="F26" i="9"/>
  <c r="F28" i="9"/>
  <c r="F29" i="9"/>
  <c r="F30" i="9"/>
  <c r="F32" i="9"/>
  <c r="F33" i="9"/>
  <c r="F34" i="9"/>
  <c r="F37" i="9"/>
  <c r="F38" i="9"/>
  <c r="F36" i="9"/>
  <c r="F41" i="9"/>
  <c r="F43" i="9"/>
  <c r="F44" i="9"/>
  <c r="F45" i="9"/>
  <c r="F47" i="9"/>
  <c r="F48" i="9"/>
  <c r="F49" i="9"/>
  <c r="F46" i="9"/>
  <c r="F52" i="9"/>
  <c r="F53" i="9"/>
  <c r="F54" i="9"/>
  <c r="E12" i="9"/>
  <c r="E13" i="9"/>
  <c r="E14" i="9"/>
  <c r="E11" i="9"/>
  <c r="E16" i="9"/>
  <c r="E17" i="9"/>
  <c r="E18" i="9"/>
  <c r="E19" i="9"/>
  <c r="E22" i="9"/>
  <c r="E23" i="9"/>
  <c r="E25" i="9"/>
  <c r="E26" i="9"/>
  <c r="E28" i="9"/>
  <c r="E29" i="9"/>
  <c r="E30" i="9"/>
  <c r="E32" i="9"/>
  <c r="E33" i="9"/>
  <c r="E31" i="9"/>
  <c r="E34" i="9"/>
  <c r="E37" i="9"/>
  <c r="E38" i="9"/>
  <c r="E41" i="9"/>
  <c r="E43" i="9"/>
  <c r="E44" i="9"/>
  <c r="E45" i="9"/>
  <c r="E47" i="9"/>
  <c r="E48" i="9"/>
  <c r="E49" i="9"/>
  <c r="E52" i="9"/>
  <c r="E53" i="9"/>
  <c r="E51" i="9"/>
  <c r="E54" i="9"/>
  <c r="D12" i="9"/>
  <c r="D13" i="9"/>
  <c r="D14" i="9"/>
  <c r="D16" i="9"/>
  <c r="D17" i="9"/>
  <c r="D18" i="9"/>
  <c r="D19" i="9"/>
  <c r="D22" i="9"/>
  <c r="D23" i="9"/>
  <c r="D25" i="9"/>
  <c r="D26" i="9"/>
  <c r="D28" i="9"/>
  <c r="D29" i="9"/>
  <c r="D27" i="9"/>
  <c r="D30" i="9"/>
  <c r="D32" i="9"/>
  <c r="D33" i="9"/>
  <c r="D34" i="9"/>
  <c r="D37" i="9"/>
  <c r="D36" i="9"/>
  <c r="D38" i="9"/>
  <c r="D41" i="9"/>
  <c r="D43" i="9"/>
  <c r="D44" i="9"/>
  <c r="D45" i="9"/>
  <c r="D47" i="9"/>
  <c r="D48" i="9"/>
  <c r="D49" i="9"/>
  <c r="D52" i="9"/>
  <c r="D51" i="9"/>
  <c r="D53" i="9"/>
  <c r="D54" i="9"/>
  <c r="I290" i="8"/>
  <c r="I291" i="8"/>
  <c r="I292" i="8"/>
  <c r="I293" i="8"/>
  <c r="I294" i="8"/>
  <c r="H290" i="8"/>
  <c r="H291" i="8"/>
  <c r="H292" i="8"/>
  <c r="H293" i="8"/>
  <c r="G290" i="8"/>
  <c r="G291" i="8"/>
  <c r="G292" i="8"/>
  <c r="G293" i="8"/>
  <c r="F290" i="8"/>
  <c r="F291" i="8"/>
  <c r="F292" i="8"/>
  <c r="F293" i="8"/>
  <c r="F294" i="8"/>
  <c r="E290" i="8"/>
  <c r="E291" i="8"/>
  <c r="E292" i="8"/>
  <c r="E293" i="8"/>
  <c r="D290" i="8"/>
  <c r="D291" i="8"/>
  <c r="D294" i="8"/>
  <c r="D292" i="8"/>
  <c r="D293" i="8"/>
  <c r="I279" i="8"/>
  <c r="I280" i="8"/>
  <c r="I281" i="8"/>
  <c r="I282" i="8"/>
  <c r="I283" i="8"/>
  <c r="I284" i="8"/>
  <c r="I285" i="8"/>
  <c r="I286" i="8"/>
  <c r="H279" i="8"/>
  <c r="H280" i="8"/>
  <c r="H281" i="8"/>
  <c r="H282" i="8"/>
  <c r="H283" i="8"/>
  <c r="H284" i="8"/>
  <c r="H285" i="8"/>
  <c r="H286" i="8"/>
  <c r="G279" i="8"/>
  <c r="G280" i="8"/>
  <c r="G281" i="8"/>
  <c r="G282" i="8"/>
  <c r="G283" i="8"/>
  <c r="G284" i="8"/>
  <c r="G285" i="8"/>
  <c r="G286" i="8"/>
  <c r="F279" i="8"/>
  <c r="F280" i="8"/>
  <c r="F281" i="8"/>
  <c r="F282" i="8"/>
  <c r="F283" i="8"/>
  <c r="F284" i="8"/>
  <c r="F285" i="8"/>
  <c r="F286" i="8"/>
  <c r="E279" i="8"/>
  <c r="E280" i="8"/>
  <c r="E281" i="8"/>
  <c r="E282" i="8"/>
  <c r="E283" i="8"/>
  <c r="E284" i="8"/>
  <c r="E285" i="8"/>
  <c r="E286" i="8"/>
  <c r="E287" i="8"/>
  <c r="D279" i="8"/>
  <c r="D280" i="8"/>
  <c r="D281" i="8"/>
  <c r="D282" i="8"/>
  <c r="D283" i="8"/>
  <c r="D284" i="8"/>
  <c r="D285" i="8"/>
  <c r="D286" i="8"/>
  <c r="I254" i="8"/>
  <c r="H254" i="8"/>
  <c r="G254" i="8"/>
  <c r="F254" i="8"/>
  <c r="E254" i="8"/>
  <c r="D254" i="8"/>
  <c r="I243" i="8"/>
  <c r="H243" i="8"/>
  <c r="G243" i="8"/>
  <c r="F243" i="8"/>
  <c r="E243" i="8"/>
  <c r="D243" i="8"/>
  <c r="I235" i="8"/>
  <c r="H235" i="8"/>
  <c r="G235" i="8"/>
  <c r="F235" i="8"/>
  <c r="E235" i="8"/>
  <c r="D235" i="8"/>
  <c r="I214" i="8"/>
  <c r="H214" i="8"/>
  <c r="G214" i="8"/>
  <c r="F214" i="8"/>
  <c r="E214" i="8"/>
  <c r="D214" i="8"/>
  <c r="I201" i="8"/>
  <c r="H201" i="8"/>
  <c r="G201" i="8"/>
  <c r="F201" i="8"/>
  <c r="E201" i="8"/>
  <c r="D201" i="8"/>
  <c r="I159" i="8"/>
  <c r="H159" i="8"/>
  <c r="G159" i="8"/>
  <c r="F159" i="8"/>
  <c r="E159" i="8"/>
  <c r="D159" i="8"/>
  <c r="I83" i="8"/>
  <c r="H83" i="8"/>
  <c r="G83" i="8"/>
  <c r="F83" i="8"/>
  <c r="E83" i="8"/>
  <c r="D83" i="8"/>
  <c r="I57" i="8"/>
  <c r="H57" i="8"/>
  <c r="G57" i="8"/>
  <c r="F57" i="8"/>
  <c r="E57" i="8"/>
  <c r="D57" i="8"/>
  <c r="I12" i="8"/>
  <c r="I13" i="8"/>
  <c r="I14" i="8"/>
  <c r="I11" i="8"/>
  <c r="I10" i="8"/>
  <c r="I16" i="8"/>
  <c r="I17" i="8"/>
  <c r="I18" i="8"/>
  <c r="I15" i="8"/>
  <c r="I19" i="8"/>
  <c r="I22" i="8"/>
  <c r="I23" i="8"/>
  <c r="I25" i="8"/>
  <c r="I26" i="8"/>
  <c r="I24" i="8"/>
  <c r="I28" i="8"/>
  <c r="I29" i="8"/>
  <c r="I30" i="8"/>
  <c r="I32" i="8"/>
  <c r="I33" i="8"/>
  <c r="I34" i="8"/>
  <c r="I37" i="8"/>
  <c r="I36" i="8"/>
  <c r="I38" i="8"/>
  <c r="I41" i="8"/>
  <c r="I43" i="8"/>
  <c r="I44" i="8"/>
  <c r="I45" i="8"/>
  <c r="I47" i="8"/>
  <c r="I48" i="8"/>
  <c r="I49" i="8"/>
  <c r="I52" i="8"/>
  <c r="I53" i="8"/>
  <c r="I54" i="8"/>
  <c r="H12" i="8"/>
  <c r="H11" i="8"/>
  <c r="H13" i="8"/>
  <c r="H14" i="8"/>
  <c r="H16" i="8"/>
  <c r="H17" i="8"/>
  <c r="H18" i="8"/>
  <c r="H19" i="8"/>
  <c r="H22" i="8"/>
  <c r="H23" i="8"/>
  <c r="H25" i="8"/>
  <c r="H26" i="8"/>
  <c r="H28" i="8"/>
  <c r="H29" i="8"/>
  <c r="H30" i="8"/>
  <c r="H32" i="8"/>
  <c r="H33" i="8"/>
  <c r="H34" i="8"/>
  <c r="H37" i="8"/>
  <c r="H38" i="8"/>
  <c r="H41" i="8"/>
  <c r="H43" i="8"/>
  <c r="H44" i="8"/>
  <c r="H45" i="8"/>
  <c r="H47" i="8"/>
  <c r="H48" i="8"/>
  <c r="H49" i="8"/>
  <c r="H52" i="8"/>
  <c r="H53" i="8"/>
  <c r="H54" i="8"/>
  <c r="G12" i="8"/>
  <c r="G13" i="8"/>
  <c r="G14" i="8"/>
  <c r="G16" i="8"/>
  <c r="G17" i="8"/>
  <c r="G18" i="8"/>
  <c r="G19" i="8"/>
  <c r="G22" i="8"/>
  <c r="G23" i="8"/>
  <c r="G25" i="8"/>
  <c r="G26" i="8"/>
  <c r="G24" i="8"/>
  <c r="G28" i="8"/>
  <c r="G29" i="8"/>
  <c r="G30" i="8"/>
  <c r="G32" i="8"/>
  <c r="G33" i="8"/>
  <c r="G34" i="8"/>
  <c r="G37" i="8"/>
  <c r="G38" i="8"/>
  <c r="G41" i="8"/>
  <c r="G43" i="8"/>
  <c r="G44" i="8"/>
  <c r="G45" i="8"/>
  <c r="G47" i="8"/>
  <c r="G48" i="8"/>
  <c r="G49" i="8"/>
  <c r="G52" i="8"/>
  <c r="G53" i="8"/>
  <c r="G54" i="8"/>
  <c r="F12" i="8"/>
  <c r="F13" i="8"/>
  <c r="F11" i="8"/>
  <c r="F10" i="8"/>
  <c r="F14" i="8"/>
  <c r="F16" i="8"/>
  <c r="F17" i="8"/>
  <c r="F15" i="8"/>
  <c r="F18" i="8"/>
  <c r="F19" i="8"/>
  <c r="F22" i="8"/>
  <c r="F23" i="8"/>
  <c r="F25" i="8"/>
  <c r="F24" i="8"/>
  <c r="F26" i="8"/>
  <c r="F28" i="8"/>
  <c r="F29" i="8"/>
  <c r="F27" i="8"/>
  <c r="F30" i="8"/>
  <c r="F32" i="8"/>
  <c r="F31" i="8"/>
  <c r="F33" i="8"/>
  <c r="F34" i="8"/>
  <c r="F37" i="8"/>
  <c r="F38" i="8"/>
  <c r="F41" i="8"/>
  <c r="F43" i="8"/>
  <c r="F42" i="8"/>
  <c r="F44" i="8"/>
  <c r="F45" i="8"/>
  <c r="F47" i="8"/>
  <c r="F48" i="8"/>
  <c r="F49" i="8"/>
  <c r="F52" i="8"/>
  <c r="F53" i="8"/>
  <c r="F54" i="8"/>
  <c r="E12" i="8"/>
  <c r="E13" i="8"/>
  <c r="E14" i="8"/>
  <c r="E16" i="8"/>
  <c r="E17" i="8"/>
  <c r="E18" i="8"/>
  <c r="E19" i="8"/>
  <c r="E22" i="8"/>
  <c r="E23" i="8"/>
  <c r="E25" i="8"/>
  <c r="E26" i="8"/>
  <c r="E28" i="8"/>
  <c r="E29" i="8"/>
  <c r="E27" i="8"/>
  <c r="E30" i="8"/>
  <c r="E32" i="8"/>
  <c r="E33" i="8"/>
  <c r="E34" i="8"/>
  <c r="E37" i="8"/>
  <c r="E38" i="8"/>
  <c r="E36" i="8"/>
  <c r="E41" i="8"/>
  <c r="E43" i="8"/>
  <c r="E42" i="8"/>
  <c r="E44" i="8"/>
  <c r="E45" i="8"/>
  <c r="E47" i="8"/>
  <c r="E46" i="8"/>
  <c r="E40" i="8"/>
  <c r="E48" i="8"/>
  <c r="E49" i="8"/>
  <c r="E52" i="8"/>
  <c r="E53" i="8"/>
  <c r="E54" i="8"/>
  <c r="D12" i="8"/>
  <c r="D13" i="8"/>
  <c r="D14" i="8"/>
  <c r="D16" i="8"/>
  <c r="D17" i="8"/>
  <c r="D18" i="8"/>
  <c r="D19" i="8"/>
  <c r="D22" i="8"/>
  <c r="D23" i="8"/>
  <c r="D25" i="8"/>
  <c r="D26" i="8"/>
  <c r="D28" i="8"/>
  <c r="D29" i="8"/>
  <c r="D30" i="8"/>
  <c r="D32" i="8"/>
  <c r="D33" i="8"/>
  <c r="D34" i="8"/>
  <c r="D37" i="8"/>
  <c r="D36" i="8"/>
  <c r="D38" i="8"/>
  <c r="D41" i="8"/>
  <c r="D43" i="8"/>
  <c r="D44" i="8"/>
  <c r="D45" i="8"/>
  <c r="D47" i="8"/>
  <c r="D48" i="8"/>
  <c r="D49" i="8"/>
  <c r="D52" i="8"/>
  <c r="D53" i="8"/>
  <c r="D51" i="8"/>
  <c r="D54" i="8"/>
  <c r="I285" i="7"/>
  <c r="I286" i="7"/>
  <c r="I287" i="7"/>
  <c r="I288" i="7"/>
  <c r="I289" i="7"/>
  <c r="H285" i="7"/>
  <c r="H286" i="7"/>
  <c r="H287" i="7"/>
  <c r="H288" i="7"/>
  <c r="G285" i="7"/>
  <c r="G286" i="7"/>
  <c r="G287" i="7"/>
  <c r="G288" i="7"/>
  <c r="F285" i="7"/>
  <c r="F286" i="7"/>
  <c r="F287" i="7"/>
  <c r="F288" i="7"/>
  <c r="E285" i="7"/>
  <c r="E286" i="7"/>
  <c r="E287" i="7"/>
  <c r="E288" i="7"/>
  <c r="D285" i="7"/>
  <c r="D286" i="7"/>
  <c r="D289" i="7"/>
  <c r="D287" i="7"/>
  <c r="D288" i="7"/>
  <c r="I274" i="7"/>
  <c r="I275" i="7"/>
  <c r="I276" i="7"/>
  <c r="I277" i="7"/>
  <c r="I282" i="7"/>
  <c r="I278" i="7"/>
  <c r="I279" i="7"/>
  <c r="I280" i="7"/>
  <c r="I281" i="7"/>
  <c r="H274" i="7"/>
  <c r="H275" i="7"/>
  <c r="H276" i="7"/>
  <c r="H277" i="7"/>
  <c r="H278" i="7"/>
  <c r="H279" i="7"/>
  <c r="H280" i="7"/>
  <c r="H281" i="7"/>
  <c r="G274" i="7"/>
  <c r="G275" i="7"/>
  <c r="G276" i="7"/>
  <c r="G277" i="7"/>
  <c r="G278" i="7"/>
  <c r="G279" i="7"/>
  <c r="G282" i="7"/>
  <c r="G280" i="7"/>
  <c r="G281" i="7"/>
  <c r="F274" i="7"/>
  <c r="F275" i="7"/>
  <c r="F276" i="7"/>
  <c r="F277" i="7"/>
  <c r="F282" i="7"/>
  <c r="F278" i="7"/>
  <c r="F279" i="7"/>
  <c r="F280" i="7"/>
  <c r="F281" i="7"/>
  <c r="E274" i="7"/>
  <c r="E275" i="7"/>
  <c r="E282" i="7"/>
  <c r="E276" i="7"/>
  <c r="E277" i="7"/>
  <c r="E278" i="7"/>
  <c r="E279" i="7"/>
  <c r="E280" i="7"/>
  <c r="E281" i="7"/>
  <c r="D274" i="7"/>
  <c r="D275" i="7"/>
  <c r="D276" i="7"/>
  <c r="D277" i="7"/>
  <c r="D278" i="7"/>
  <c r="D279" i="7"/>
  <c r="D282" i="7"/>
  <c r="D280" i="7"/>
  <c r="D281" i="7"/>
  <c r="I249" i="7"/>
  <c r="H249" i="7"/>
  <c r="G249" i="7"/>
  <c r="F249" i="7"/>
  <c r="E249" i="7"/>
  <c r="D249" i="7"/>
  <c r="I238" i="7"/>
  <c r="H238" i="7"/>
  <c r="G238" i="7"/>
  <c r="F238" i="7"/>
  <c r="E238" i="7"/>
  <c r="D238" i="7"/>
  <c r="I230" i="7"/>
  <c r="H230" i="7"/>
  <c r="G230" i="7"/>
  <c r="F230" i="7"/>
  <c r="E230" i="7"/>
  <c r="D230" i="7"/>
  <c r="I210" i="7"/>
  <c r="H210" i="7"/>
  <c r="G210" i="7"/>
  <c r="F210" i="7"/>
  <c r="E210" i="7"/>
  <c r="D210" i="7"/>
  <c r="I197" i="7"/>
  <c r="H197" i="7"/>
  <c r="G197" i="7"/>
  <c r="F197" i="7"/>
  <c r="E197" i="7"/>
  <c r="D197" i="7"/>
  <c r="I155" i="7"/>
  <c r="H155" i="7"/>
  <c r="G155" i="7"/>
  <c r="F155" i="7"/>
  <c r="E155" i="7"/>
  <c r="D155" i="7"/>
  <c r="I83" i="7"/>
  <c r="H83" i="7"/>
  <c r="G83" i="7"/>
  <c r="F83" i="7"/>
  <c r="E83" i="7"/>
  <c r="D83" i="7"/>
  <c r="I57" i="7"/>
  <c r="H57" i="7"/>
  <c r="G57" i="7"/>
  <c r="F57" i="7"/>
  <c r="E57" i="7"/>
  <c r="D57" i="7"/>
  <c r="I10" i="7"/>
  <c r="I21" i="7"/>
  <c r="I36" i="7"/>
  <c r="I40" i="7"/>
  <c r="I56" i="7"/>
  <c r="I51" i="7"/>
  <c r="H10" i="7"/>
  <c r="H21" i="7"/>
  <c r="H36" i="7"/>
  <c r="H40" i="7"/>
  <c r="H51" i="7"/>
  <c r="H56" i="7"/>
  <c r="G10" i="7"/>
  <c r="G21" i="7"/>
  <c r="G56" i="7"/>
  <c r="G36" i="7"/>
  <c r="G40" i="7"/>
  <c r="G51" i="7"/>
  <c r="F10" i="7"/>
  <c r="F56" i="7"/>
  <c r="F21" i="7"/>
  <c r="F36" i="7"/>
  <c r="F40" i="7"/>
  <c r="F51" i="7"/>
  <c r="E10" i="7"/>
  <c r="E21" i="7"/>
  <c r="E56" i="7"/>
  <c r="E36" i="7"/>
  <c r="E40" i="7"/>
  <c r="E51" i="7"/>
  <c r="D10" i="7"/>
  <c r="D21" i="7"/>
  <c r="D36" i="7"/>
  <c r="D40" i="7"/>
  <c r="D51" i="7"/>
  <c r="E278" i="6"/>
  <c r="E277" i="6"/>
  <c r="E276" i="6"/>
  <c r="E275" i="6"/>
  <c r="E274" i="6"/>
  <c r="E272" i="6"/>
  <c r="E271" i="6"/>
  <c r="E270" i="6"/>
  <c r="E269" i="6"/>
  <c r="E268" i="6"/>
  <c r="E267" i="6"/>
  <c r="E266" i="6"/>
  <c r="E265" i="6"/>
  <c r="E264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2" i="6"/>
  <c r="E241" i="6"/>
  <c r="E240" i="6"/>
  <c r="E239" i="6"/>
  <c r="E238" i="6"/>
  <c r="E237" i="6"/>
  <c r="E235" i="6"/>
  <c r="E234" i="6"/>
  <c r="E233" i="6"/>
  <c r="E232" i="6"/>
  <c r="E231" i="6"/>
  <c r="E230" i="6"/>
  <c r="E229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7" i="6"/>
  <c r="E206" i="6"/>
  <c r="E205" i="6"/>
  <c r="E204" i="6"/>
  <c r="E203" i="6"/>
  <c r="E202" i="6"/>
  <c r="E201" i="6"/>
  <c r="E200" i="6"/>
  <c r="E199" i="6"/>
  <c r="E198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6" i="6"/>
  <c r="E55" i="6"/>
  <c r="E54" i="6"/>
  <c r="E53" i="6"/>
  <c r="E51" i="6"/>
  <c r="E50" i="6"/>
  <c r="E49" i="6"/>
  <c r="E48" i="6"/>
  <c r="E47" i="6"/>
  <c r="E46" i="6"/>
  <c r="E45" i="6"/>
  <c r="E44" i="6"/>
  <c r="E43" i="6"/>
  <c r="E42" i="6"/>
  <c r="E40" i="6"/>
  <c r="E39" i="6"/>
  <c r="E38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1" i="6"/>
  <c r="E20" i="6"/>
  <c r="E19" i="6"/>
  <c r="E18" i="6"/>
  <c r="E17" i="6"/>
  <c r="E16" i="6"/>
  <c r="E15" i="6"/>
  <c r="E14" i="6"/>
  <c r="E13" i="6"/>
  <c r="E12" i="6"/>
  <c r="E10" i="6"/>
  <c r="I278" i="5"/>
  <c r="H278" i="5"/>
  <c r="G278" i="5"/>
  <c r="F278" i="5"/>
  <c r="E278" i="5"/>
  <c r="D278" i="5"/>
  <c r="C278" i="5"/>
  <c r="I277" i="5"/>
  <c r="I274" i="5"/>
  <c r="H277" i="5"/>
  <c r="G277" i="5"/>
  <c r="F277" i="5"/>
  <c r="E277" i="5"/>
  <c r="D277" i="5"/>
  <c r="C277" i="5"/>
  <c r="I276" i="5"/>
  <c r="H276" i="5"/>
  <c r="G276" i="5"/>
  <c r="F276" i="5"/>
  <c r="E276" i="5"/>
  <c r="D276" i="5"/>
  <c r="D274" i="5"/>
  <c r="C276" i="5"/>
  <c r="I275" i="5"/>
  <c r="H275" i="5"/>
  <c r="G275" i="5"/>
  <c r="F275" i="5"/>
  <c r="F274" i="5"/>
  <c r="E275" i="5"/>
  <c r="D275" i="5"/>
  <c r="C275" i="5"/>
  <c r="I272" i="5"/>
  <c r="H272" i="5"/>
  <c r="G272" i="5"/>
  <c r="F272" i="5"/>
  <c r="E272" i="5"/>
  <c r="D272" i="5"/>
  <c r="C272" i="5"/>
  <c r="I271" i="5"/>
  <c r="H271" i="5"/>
  <c r="G271" i="5"/>
  <c r="F271" i="5"/>
  <c r="E271" i="5"/>
  <c r="D271" i="5"/>
  <c r="C271" i="5"/>
  <c r="I270" i="5"/>
  <c r="I264" i="5"/>
  <c r="H270" i="5"/>
  <c r="G270" i="5"/>
  <c r="F270" i="5"/>
  <c r="E270" i="5"/>
  <c r="D270" i="5"/>
  <c r="C270" i="5"/>
  <c r="I269" i="5"/>
  <c r="H269" i="5"/>
  <c r="G269" i="5"/>
  <c r="F269" i="5"/>
  <c r="E269" i="5"/>
  <c r="D269" i="5"/>
  <c r="C269" i="5"/>
  <c r="I268" i="5"/>
  <c r="H268" i="5"/>
  <c r="G268" i="5"/>
  <c r="F268" i="5"/>
  <c r="E268" i="5"/>
  <c r="D268" i="5"/>
  <c r="C268" i="5"/>
  <c r="I267" i="5"/>
  <c r="H267" i="5"/>
  <c r="G267" i="5"/>
  <c r="F267" i="5"/>
  <c r="E267" i="5"/>
  <c r="D267" i="5"/>
  <c r="C267" i="5"/>
  <c r="I266" i="5"/>
  <c r="H266" i="5"/>
  <c r="G266" i="5"/>
  <c r="F266" i="5"/>
  <c r="E266" i="5"/>
  <c r="D266" i="5"/>
  <c r="C266" i="5"/>
  <c r="I265" i="5"/>
  <c r="H265" i="5"/>
  <c r="H264" i="5"/>
  <c r="G265" i="5"/>
  <c r="F265" i="5"/>
  <c r="E265" i="5"/>
  <c r="D265" i="5"/>
  <c r="C265" i="5"/>
  <c r="I244" i="5"/>
  <c r="H244" i="5"/>
  <c r="G244" i="5"/>
  <c r="F244" i="5"/>
  <c r="E244" i="5"/>
  <c r="D244" i="5"/>
  <c r="C244" i="5"/>
  <c r="I237" i="5"/>
  <c r="H237" i="5"/>
  <c r="G237" i="5"/>
  <c r="F237" i="5"/>
  <c r="E237" i="5"/>
  <c r="D237" i="5"/>
  <c r="C237" i="5"/>
  <c r="I229" i="5"/>
  <c r="H229" i="5"/>
  <c r="G229" i="5"/>
  <c r="F229" i="5"/>
  <c r="E229" i="5"/>
  <c r="D229" i="5"/>
  <c r="C229" i="5"/>
  <c r="I209" i="5"/>
  <c r="H209" i="5"/>
  <c r="G209" i="5"/>
  <c r="F209" i="5"/>
  <c r="E209" i="5"/>
  <c r="D209" i="5"/>
  <c r="C209" i="5"/>
  <c r="I198" i="5"/>
  <c r="H198" i="5"/>
  <c r="G198" i="5"/>
  <c r="F198" i="5"/>
  <c r="E198" i="5"/>
  <c r="D198" i="5"/>
  <c r="C198" i="5"/>
  <c r="I156" i="5"/>
  <c r="H156" i="5"/>
  <c r="G156" i="5"/>
  <c r="F156" i="5"/>
  <c r="E156" i="5"/>
  <c r="D156" i="5"/>
  <c r="C156" i="5"/>
  <c r="I84" i="5"/>
  <c r="H84" i="5"/>
  <c r="G84" i="5"/>
  <c r="F84" i="5"/>
  <c r="E84" i="5"/>
  <c r="D84" i="5"/>
  <c r="C84" i="5"/>
  <c r="I58" i="5"/>
  <c r="H58" i="5"/>
  <c r="G58" i="5"/>
  <c r="F58" i="5"/>
  <c r="E58" i="5"/>
  <c r="D58" i="5"/>
  <c r="C58" i="5"/>
  <c r="I56" i="5"/>
  <c r="H56" i="5"/>
  <c r="G56" i="5"/>
  <c r="F56" i="5"/>
  <c r="E56" i="5"/>
  <c r="E53" i="5"/>
  <c r="D56" i="5"/>
  <c r="C56" i="5"/>
  <c r="I55" i="5"/>
  <c r="H55" i="5"/>
  <c r="G55" i="5"/>
  <c r="G53" i="5"/>
  <c r="F55" i="5"/>
  <c r="E55" i="5"/>
  <c r="D55" i="5"/>
  <c r="C55" i="5"/>
  <c r="I54" i="5"/>
  <c r="H54" i="5"/>
  <c r="H53" i="5"/>
  <c r="G54" i="5"/>
  <c r="F54" i="5"/>
  <c r="E54" i="5"/>
  <c r="D54" i="5"/>
  <c r="C54" i="5"/>
  <c r="C53" i="5"/>
  <c r="I51" i="5"/>
  <c r="H51" i="5"/>
  <c r="G51" i="5"/>
  <c r="F51" i="5"/>
  <c r="E51" i="5"/>
  <c r="D51" i="5"/>
  <c r="C51" i="5"/>
  <c r="I50" i="5"/>
  <c r="H50" i="5"/>
  <c r="G50" i="5"/>
  <c r="F50" i="5"/>
  <c r="E50" i="5"/>
  <c r="D50" i="5"/>
  <c r="C50" i="5"/>
  <c r="I49" i="5"/>
  <c r="H49" i="5"/>
  <c r="G49" i="5"/>
  <c r="F49" i="5"/>
  <c r="F48" i="5"/>
  <c r="E49" i="5"/>
  <c r="E48" i="5"/>
  <c r="D49" i="5"/>
  <c r="C49" i="5"/>
  <c r="I47" i="5"/>
  <c r="H47" i="5"/>
  <c r="G47" i="5"/>
  <c r="F47" i="5"/>
  <c r="E47" i="5"/>
  <c r="D47" i="5"/>
  <c r="C47" i="5"/>
  <c r="I46" i="5"/>
  <c r="H46" i="5"/>
  <c r="H44" i="5"/>
  <c r="G46" i="5"/>
  <c r="F46" i="5"/>
  <c r="E46" i="5"/>
  <c r="D46" i="5"/>
  <c r="C46" i="5"/>
  <c r="I45" i="5"/>
  <c r="I44" i="5"/>
  <c r="H45" i="5"/>
  <c r="G45" i="5"/>
  <c r="F45" i="5"/>
  <c r="E45" i="5"/>
  <c r="E44" i="5"/>
  <c r="D45" i="5"/>
  <c r="C45" i="5"/>
  <c r="C44" i="5"/>
  <c r="I43" i="5"/>
  <c r="H43" i="5"/>
  <c r="G43" i="5"/>
  <c r="F43" i="5"/>
  <c r="E43" i="5"/>
  <c r="E42" i="5"/>
  <c r="D43" i="5"/>
  <c r="C43" i="5"/>
  <c r="I40" i="5"/>
  <c r="H40" i="5"/>
  <c r="G40" i="5"/>
  <c r="F40" i="5"/>
  <c r="E40" i="5"/>
  <c r="D40" i="5"/>
  <c r="C40" i="5"/>
  <c r="I39" i="5"/>
  <c r="I38" i="5"/>
  <c r="H39" i="5"/>
  <c r="H38" i="5"/>
  <c r="G39" i="5"/>
  <c r="G38" i="5"/>
  <c r="F39" i="5"/>
  <c r="E39" i="5"/>
  <c r="D39" i="5"/>
  <c r="D38" i="5"/>
  <c r="C39" i="5"/>
  <c r="C38" i="5"/>
  <c r="I36" i="5"/>
  <c r="H36" i="5"/>
  <c r="G36" i="5"/>
  <c r="F36" i="5"/>
  <c r="E36" i="5"/>
  <c r="D36" i="5"/>
  <c r="D33" i="5"/>
  <c r="C36" i="5"/>
  <c r="I35" i="5"/>
  <c r="H35" i="5"/>
  <c r="G35" i="5"/>
  <c r="F35" i="5"/>
  <c r="E35" i="5"/>
  <c r="D35" i="5"/>
  <c r="C35" i="5"/>
  <c r="I34" i="5"/>
  <c r="H34" i="5"/>
  <c r="G34" i="5"/>
  <c r="F34" i="5"/>
  <c r="F33" i="5"/>
  <c r="E34" i="5"/>
  <c r="D34" i="5"/>
  <c r="C34" i="5"/>
  <c r="I32" i="5"/>
  <c r="H32" i="5"/>
  <c r="G32" i="5"/>
  <c r="F32" i="5"/>
  <c r="E32" i="5"/>
  <c r="D32" i="5"/>
  <c r="C32" i="5"/>
  <c r="I31" i="5"/>
  <c r="H31" i="5"/>
  <c r="G31" i="5"/>
  <c r="F31" i="5"/>
  <c r="E31" i="5"/>
  <c r="D31" i="5"/>
  <c r="C31" i="5"/>
  <c r="I30" i="5"/>
  <c r="H30" i="5"/>
  <c r="H29" i="5"/>
  <c r="G30" i="5"/>
  <c r="G29" i="5"/>
  <c r="F30" i="5"/>
  <c r="E30" i="5"/>
  <c r="D30" i="5"/>
  <c r="C30" i="5"/>
  <c r="C29" i="5"/>
  <c r="I28" i="5"/>
  <c r="H28" i="5"/>
  <c r="G28" i="5"/>
  <c r="G26" i="5"/>
  <c r="F28" i="5"/>
  <c r="E28" i="5"/>
  <c r="D28" i="5"/>
  <c r="C28" i="5"/>
  <c r="I27" i="5"/>
  <c r="H27" i="5"/>
  <c r="G27" i="5"/>
  <c r="F27" i="5"/>
  <c r="E27" i="5"/>
  <c r="D27" i="5"/>
  <c r="D26" i="5"/>
  <c r="C27" i="5"/>
  <c r="C26" i="5"/>
  <c r="E26" i="5"/>
  <c r="I25" i="5"/>
  <c r="H25" i="5"/>
  <c r="G25" i="5"/>
  <c r="F25" i="5"/>
  <c r="E25" i="5"/>
  <c r="D25" i="5"/>
  <c r="C25" i="5"/>
  <c r="I24" i="5"/>
  <c r="H24" i="5"/>
  <c r="G24" i="5"/>
  <c r="F24" i="5"/>
  <c r="E24" i="5"/>
  <c r="D24" i="5"/>
  <c r="C24" i="5"/>
  <c r="I21" i="5"/>
  <c r="H21" i="5"/>
  <c r="G21" i="5"/>
  <c r="F21" i="5"/>
  <c r="E21" i="5"/>
  <c r="D21" i="5"/>
  <c r="C21" i="5"/>
  <c r="I20" i="5"/>
  <c r="H20" i="5"/>
  <c r="G20" i="5"/>
  <c r="G17" i="5"/>
  <c r="F20" i="5"/>
  <c r="E20" i="5"/>
  <c r="D20" i="5"/>
  <c r="C20" i="5"/>
  <c r="I19" i="5"/>
  <c r="H19" i="5"/>
  <c r="G19" i="5"/>
  <c r="F19" i="5"/>
  <c r="E19" i="5"/>
  <c r="D19" i="5"/>
  <c r="C19" i="5"/>
  <c r="I18" i="5"/>
  <c r="I17" i="5"/>
  <c r="H18" i="5"/>
  <c r="G18" i="5"/>
  <c r="F18" i="5"/>
  <c r="E18" i="5"/>
  <c r="E17" i="5"/>
  <c r="D18" i="5"/>
  <c r="C18" i="5"/>
  <c r="C17" i="5"/>
  <c r="I16" i="5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H14" i="5"/>
  <c r="G14" i="5"/>
  <c r="G13" i="5"/>
  <c r="F14" i="5"/>
  <c r="E14" i="5"/>
  <c r="D14" i="5"/>
  <c r="D13" i="5"/>
  <c r="C14" i="5"/>
  <c r="I269" i="4"/>
  <c r="H269" i="4"/>
  <c r="G269" i="4"/>
  <c r="F269" i="4"/>
  <c r="E269" i="4"/>
  <c r="D269" i="4"/>
  <c r="C269" i="4"/>
  <c r="I268" i="4"/>
  <c r="H268" i="4"/>
  <c r="G268" i="4"/>
  <c r="F268" i="4"/>
  <c r="E268" i="4"/>
  <c r="D268" i="4"/>
  <c r="C268" i="4"/>
  <c r="I267" i="4"/>
  <c r="H267" i="4"/>
  <c r="G267" i="4"/>
  <c r="F267" i="4"/>
  <c r="E267" i="4"/>
  <c r="D267" i="4"/>
  <c r="C267" i="4"/>
  <c r="I266" i="4"/>
  <c r="H266" i="4"/>
  <c r="G266" i="4"/>
  <c r="F266" i="4"/>
  <c r="F265" i="4"/>
  <c r="E266" i="4"/>
  <c r="D266" i="4"/>
  <c r="C266" i="4"/>
  <c r="I263" i="4"/>
  <c r="H263" i="4"/>
  <c r="G263" i="4"/>
  <c r="F263" i="4"/>
  <c r="E263" i="4"/>
  <c r="D263" i="4"/>
  <c r="C263" i="4"/>
  <c r="I262" i="4"/>
  <c r="H262" i="4"/>
  <c r="G262" i="4"/>
  <c r="F262" i="4"/>
  <c r="E262" i="4"/>
  <c r="D262" i="4"/>
  <c r="C262" i="4"/>
  <c r="I261" i="4"/>
  <c r="H261" i="4"/>
  <c r="G261" i="4"/>
  <c r="F261" i="4"/>
  <c r="E261" i="4"/>
  <c r="D261" i="4"/>
  <c r="C261" i="4"/>
  <c r="I260" i="4"/>
  <c r="H260" i="4"/>
  <c r="G260" i="4"/>
  <c r="F260" i="4"/>
  <c r="E260" i="4"/>
  <c r="D260" i="4"/>
  <c r="C260" i="4"/>
  <c r="I259" i="4"/>
  <c r="H259" i="4"/>
  <c r="G259" i="4"/>
  <c r="F259" i="4"/>
  <c r="F255" i="4"/>
  <c r="E259" i="4"/>
  <c r="D259" i="4"/>
  <c r="C259" i="4"/>
  <c r="I258" i="4"/>
  <c r="H258" i="4"/>
  <c r="G258" i="4"/>
  <c r="F258" i="4"/>
  <c r="E258" i="4"/>
  <c r="D258" i="4"/>
  <c r="C258" i="4"/>
  <c r="I257" i="4"/>
  <c r="H257" i="4"/>
  <c r="G257" i="4"/>
  <c r="F257" i="4"/>
  <c r="E257" i="4"/>
  <c r="D257" i="4"/>
  <c r="C257" i="4"/>
  <c r="I256" i="4"/>
  <c r="I255" i="4"/>
  <c r="H256" i="4"/>
  <c r="G256" i="4"/>
  <c r="F256" i="4"/>
  <c r="E256" i="4"/>
  <c r="D256" i="4"/>
  <c r="C256" i="4"/>
  <c r="I235" i="4"/>
  <c r="H235" i="4"/>
  <c r="G235" i="4"/>
  <c r="F235" i="4"/>
  <c r="E235" i="4"/>
  <c r="D235" i="4"/>
  <c r="C235" i="4"/>
  <c r="I228" i="4"/>
  <c r="H228" i="4"/>
  <c r="G228" i="4"/>
  <c r="F228" i="4"/>
  <c r="E228" i="4"/>
  <c r="D228" i="4"/>
  <c r="C228" i="4"/>
  <c r="I220" i="4"/>
  <c r="H220" i="4"/>
  <c r="G220" i="4"/>
  <c r="F220" i="4"/>
  <c r="E220" i="4"/>
  <c r="D220" i="4"/>
  <c r="C220" i="4"/>
  <c r="I200" i="4"/>
  <c r="H200" i="4"/>
  <c r="G200" i="4"/>
  <c r="F200" i="4"/>
  <c r="E200" i="4"/>
  <c r="D200" i="4"/>
  <c r="C200" i="4"/>
  <c r="I190" i="4"/>
  <c r="H190" i="4"/>
  <c r="G190" i="4"/>
  <c r="F190" i="4"/>
  <c r="E190" i="4"/>
  <c r="D190" i="4"/>
  <c r="C190" i="4"/>
  <c r="I149" i="4"/>
  <c r="H149" i="4"/>
  <c r="G149" i="4"/>
  <c r="F149" i="4"/>
  <c r="E149" i="4"/>
  <c r="D149" i="4"/>
  <c r="C149" i="4"/>
  <c r="I84" i="4"/>
  <c r="H84" i="4"/>
  <c r="G84" i="4"/>
  <c r="F84" i="4"/>
  <c r="E84" i="4"/>
  <c r="D84" i="4"/>
  <c r="C84" i="4"/>
  <c r="I58" i="4"/>
  <c r="H58" i="4"/>
  <c r="G58" i="4"/>
  <c r="F58" i="4"/>
  <c r="E58" i="4"/>
  <c r="D58" i="4"/>
  <c r="C58" i="4"/>
  <c r="I56" i="4"/>
  <c r="H56" i="4"/>
  <c r="G56" i="4"/>
  <c r="F56" i="4"/>
  <c r="E56" i="4"/>
  <c r="D56" i="4"/>
  <c r="C56" i="4"/>
  <c r="I55" i="4"/>
  <c r="H55" i="4"/>
  <c r="G55" i="4"/>
  <c r="G53" i="4"/>
  <c r="F55" i="4"/>
  <c r="E55" i="4"/>
  <c r="D55" i="4"/>
  <c r="C55" i="4"/>
  <c r="I54" i="4"/>
  <c r="H54" i="4"/>
  <c r="H53" i="4"/>
  <c r="G54" i="4"/>
  <c r="F54" i="4"/>
  <c r="E54" i="4"/>
  <c r="D54" i="4"/>
  <c r="C54" i="4"/>
  <c r="C53" i="4"/>
  <c r="I51" i="4"/>
  <c r="H51" i="4"/>
  <c r="G51" i="4"/>
  <c r="F51" i="4"/>
  <c r="E51" i="4"/>
  <c r="D51" i="4"/>
  <c r="D48" i="4"/>
  <c r="C51" i="4"/>
  <c r="I50" i="4"/>
  <c r="H50" i="4"/>
  <c r="G50" i="4"/>
  <c r="F50" i="4"/>
  <c r="F48" i="4"/>
  <c r="F42" i="4"/>
  <c r="E50" i="4"/>
  <c r="D50" i="4"/>
  <c r="C50" i="4"/>
  <c r="I49" i="4"/>
  <c r="H49" i="4"/>
  <c r="H48" i="4"/>
  <c r="G49" i="4"/>
  <c r="G48" i="4"/>
  <c r="F49" i="4"/>
  <c r="E49" i="4"/>
  <c r="E48" i="4"/>
  <c r="D49" i="4"/>
  <c r="C49" i="4"/>
  <c r="I47" i="4"/>
  <c r="H47" i="4"/>
  <c r="G47" i="4"/>
  <c r="F47" i="4"/>
  <c r="E47" i="4"/>
  <c r="D47" i="4"/>
  <c r="C47" i="4"/>
  <c r="I46" i="4"/>
  <c r="H46" i="4"/>
  <c r="G46" i="4"/>
  <c r="F46" i="4"/>
  <c r="E46" i="4"/>
  <c r="D46" i="4"/>
  <c r="C46" i="4"/>
  <c r="C44" i="4"/>
  <c r="I45" i="4"/>
  <c r="H45" i="4"/>
  <c r="G45" i="4"/>
  <c r="F45" i="4"/>
  <c r="F44" i="4"/>
  <c r="E45" i="4"/>
  <c r="D45" i="4"/>
  <c r="D44" i="4"/>
  <c r="C45" i="4"/>
  <c r="I43" i="4"/>
  <c r="H43" i="4"/>
  <c r="G43" i="4"/>
  <c r="F43" i="4"/>
  <c r="E43" i="4"/>
  <c r="D43" i="4"/>
  <c r="C43" i="4"/>
  <c r="I40" i="4"/>
  <c r="H40" i="4"/>
  <c r="G40" i="4"/>
  <c r="F40" i="4"/>
  <c r="E40" i="4"/>
  <c r="D40" i="4"/>
  <c r="C40" i="4"/>
  <c r="I39" i="4"/>
  <c r="I38" i="4"/>
  <c r="H39" i="4"/>
  <c r="G39" i="4"/>
  <c r="G38" i="4"/>
  <c r="F39" i="4"/>
  <c r="E39" i="4"/>
  <c r="E38" i="4"/>
  <c r="D39" i="4"/>
  <c r="D38" i="4"/>
  <c r="C39" i="4"/>
  <c r="C38" i="4"/>
  <c r="I36" i="4"/>
  <c r="H36" i="4"/>
  <c r="G36" i="4"/>
  <c r="F36" i="4"/>
  <c r="E36" i="4"/>
  <c r="D36" i="4"/>
  <c r="D33" i="4"/>
  <c r="C36" i="4"/>
  <c r="I35" i="4"/>
  <c r="H35" i="4"/>
  <c r="G35" i="4"/>
  <c r="F35" i="4"/>
  <c r="E35" i="4"/>
  <c r="E33" i="4"/>
  <c r="D35" i="4"/>
  <c r="C35" i="4"/>
  <c r="C33" i="4"/>
  <c r="I34" i="4"/>
  <c r="H34" i="4"/>
  <c r="H33" i="4"/>
  <c r="G34" i="4"/>
  <c r="F34" i="4"/>
  <c r="F33" i="4"/>
  <c r="E34" i="4"/>
  <c r="D34" i="4"/>
  <c r="C34" i="4"/>
  <c r="I32" i="4"/>
  <c r="H32" i="4"/>
  <c r="G32" i="4"/>
  <c r="F32" i="4"/>
  <c r="E32" i="4"/>
  <c r="D32" i="4"/>
  <c r="C32" i="4"/>
  <c r="I31" i="4"/>
  <c r="H31" i="4"/>
  <c r="H29" i="4"/>
  <c r="G31" i="4"/>
  <c r="F31" i="4"/>
  <c r="E31" i="4"/>
  <c r="E29" i="4"/>
  <c r="D31" i="4"/>
  <c r="C31" i="4"/>
  <c r="I30" i="4"/>
  <c r="I29" i="4"/>
  <c r="H30" i="4"/>
  <c r="G30" i="4"/>
  <c r="G29" i="4"/>
  <c r="F30" i="4"/>
  <c r="F29" i="4"/>
  <c r="E30" i="4"/>
  <c r="D30" i="4"/>
  <c r="D29" i="4"/>
  <c r="C30" i="4"/>
  <c r="C29" i="4"/>
  <c r="I28" i="4"/>
  <c r="I26" i="4"/>
  <c r="H28" i="4"/>
  <c r="G28" i="4"/>
  <c r="F28" i="4"/>
  <c r="E28" i="4"/>
  <c r="D28" i="4"/>
  <c r="C28" i="4"/>
  <c r="I27" i="4"/>
  <c r="H27" i="4"/>
  <c r="H26" i="4"/>
  <c r="G27" i="4"/>
  <c r="G26" i="4"/>
  <c r="F27" i="4"/>
  <c r="F26" i="4"/>
  <c r="E27" i="4"/>
  <c r="E26" i="4"/>
  <c r="D27" i="4"/>
  <c r="D26" i="4"/>
  <c r="C27" i="4"/>
  <c r="I25" i="4"/>
  <c r="H25" i="4"/>
  <c r="G25" i="4"/>
  <c r="F25" i="4"/>
  <c r="E25" i="4"/>
  <c r="D25" i="4"/>
  <c r="C25" i="4"/>
  <c r="I24" i="4"/>
  <c r="H24" i="4"/>
  <c r="G24" i="4"/>
  <c r="F24" i="4"/>
  <c r="E24" i="4"/>
  <c r="D24" i="4"/>
  <c r="C24" i="4"/>
  <c r="I21" i="4"/>
  <c r="H21" i="4"/>
  <c r="G21" i="4"/>
  <c r="F21" i="4"/>
  <c r="E21" i="4"/>
  <c r="D21" i="4"/>
  <c r="C21" i="4"/>
  <c r="I20" i="4"/>
  <c r="H20" i="4"/>
  <c r="H17" i="4"/>
  <c r="G20" i="4"/>
  <c r="F20" i="4"/>
  <c r="E20" i="4"/>
  <c r="D20" i="4"/>
  <c r="C20" i="4"/>
  <c r="I19" i="4"/>
  <c r="I17" i="4"/>
  <c r="I12" i="4"/>
  <c r="H19" i="4"/>
  <c r="G19" i="4"/>
  <c r="F19" i="4"/>
  <c r="E19" i="4"/>
  <c r="D19" i="4"/>
  <c r="D17" i="4"/>
  <c r="C19" i="4"/>
  <c r="C17" i="4"/>
  <c r="I18" i="4"/>
  <c r="H18" i="4"/>
  <c r="G18" i="4"/>
  <c r="F18" i="4"/>
  <c r="E18" i="4"/>
  <c r="E17" i="4"/>
  <c r="D18" i="4"/>
  <c r="C18" i="4"/>
  <c r="I16" i="4"/>
  <c r="I13" i="4"/>
  <c r="H16" i="4"/>
  <c r="G16" i="4"/>
  <c r="F16" i="4"/>
  <c r="E16" i="4"/>
  <c r="D16" i="4"/>
  <c r="C16" i="4"/>
  <c r="I15" i="4"/>
  <c r="H15" i="4"/>
  <c r="H13" i="4"/>
  <c r="G15" i="4"/>
  <c r="F15" i="4"/>
  <c r="E15" i="4"/>
  <c r="D15" i="4"/>
  <c r="C15" i="4"/>
  <c r="I14" i="4"/>
  <c r="H14" i="4"/>
  <c r="G14" i="4"/>
  <c r="F14" i="4"/>
  <c r="F13" i="4"/>
  <c r="E14" i="4"/>
  <c r="D14" i="4"/>
  <c r="C14" i="4"/>
  <c r="I257" i="1"/>
  <c r="H257" i="1"/>
  <c r="G257" i="1"/>
  <c r="F257" i="1"/>
  <c r="E257" i="1"/>
  <c r="D257" i="1"/>
  <c r="C257" i="1"/>
  <c r="I256" i="1"/>
  <c r="H256" i="1"/>
  <c r="G256" i="1"/>
  <c r="F256" i="1"/>
  <c r="E256" i="1"/>
  <c r="D256" i="1"/>
  <c r="C256" i="1"/>
  <c r="I255" i="1"/>
  <c r="H255" i="1"/>
  <c r="G255" i="1"/>
  <c r="F255" i="1"/>
  <c r="E255" i="1"/>
  <c r="D255" i="1"/>
  <c r="C255" i="1"/>
  <c r="I254" i="1"/>
  <c r="H254" i="1"/>
  <c r="G254" i="1"/>
  <c r="F254" i="1"/>
  <c r="E254" i="1"/>
  <c r="D254" i="1"/>
  <c r="C254" i="1"/>
  <c r="I251" i="1"/>
  <c r="H251" i="1"/>
  <c r="G251" i="1"/>
  <c r="F251" i="1"/>
  <c r="E251" i="1"/>
  <c r="D251" i="1"/>
  <c r="C251" i="1"/>
  <c r="I250" i="1"/>
  <c r="H250" i="1"/>
  <c r="G250" i="1"/>
  <c r="F250" i="1"/>
  <c r="E250" i="1"/>
  <c r="D250" i="1"/>
  <c r="C250" i="1"/>
  <c r="I249" i="1"/>
  <c r="H249" i="1"/>
  <c r="G249" i="1"/>
  <c r="F249" i="1"/>
  <c r="E249" i="1"/>
  <c r="D249" i="1"/>
  <c r="C249" i="1"/>
  <c r="I248" i="1"/>
  <c r="H248" i="1"/>
  <c r="G248" i="1"/>
  <c r="F248" i="1"/>
  <c r="E248" i="1"/>
  <c r="D248" i="1"/>
  <c r="C248" i="1"/>
  <c r="I247" i="1"/>
  <c r="H247" i="1"/>
  <c r="G247" i="1"/>
  <c r="F247" i="1"/>
  <c r="E247" i="1"/>
  <c r="D247" i="1"/>
  <c r="C247" i="1"/>
  <c r="I246" i="1"/>
  <c r="H246" i="1"/>
  <c r="G246" i="1"/>
  <c r="F246" i="1"/>
  <c r="E246" i="1"/>
  <c r="D246" i="1"/>
  <c r="C246" i="1"/>
  <c r="I245" i="1"/>
  <c r="H245" i="1"/>
  <c r="G245" i="1"/>
  <c r="F245" i="1"/>
  <c r="E245" i="1"/>
  <c r="D245" i="1"/>
  <c r="C245" i="1"/>
  <c r="I244" i="1"/>
  <c r="H244" i="1"/>
  <c r="G244" i="1"/>
  <c r="F244" i="1"/>
  <c r="E244" i="1"/>
  <c r="D244" i="1"/>
  <c r="C244" i="1"/>
  <c r="I223" i="1"/>
  <c r="H223" i="1"/>
  <c r="G223" i="1"/>
  <c r="F223" i="1"/>
  <c r="E223" i="1"/>
  <c r="D223" i="1"/>
  <c r="C223" i="1"/>
  <c r="I216" i="1"/>
  <c r="H216" i="1"/>
  <c r="G216" i="1"/>
  <c r="F216" i="1"/>
  <c r="E216" i="1"/>
  <c r="D216" i="1"/>
  <c r="C216" i="1"/>
  <c r="I208" i="1"/>
  <c r="H208" i="1"/>
  <c r="G208" i="1"/>
  <c r="F208" i="1"/>
  <c r="E208" i="1"/>
  <c r="D208" i="1"/>
  <c r="C208" i="1"/>
  <c r="I188" i="1"/>
  <c r="H188" i="1"/>
  <c r="G188" i="1"/>
  <c r="F188" i="1"/>
  <c r="E188" i="1"/>
  <c r="D188" i="1"/>
  <c r="C188" i="1"/>
  <c r="I178" i="1"/>
  <c r="H178" i="1"/>
  <c r="G178" i="1"/>
  <c r="F178" i="1"/>
  <c r="E178" i="1"/>
  <c r="D178" i="1"/>
  <c r="C178" i="1"/>
  <c r="I139" i="1"/>
  <c r="H139" i="1"/>
  <c r="G139" i="1"/>
  <c r="F139" i="1"/>
  <c r="E139" i="1"/>
  <c r="D139" i="1"/>
  <c r="C139" i="1"/>
  <c r="I74" i="1"/>
  <c r="H74" i="1"/>
  <c r="G74" i="1"/>
  <c r="F74" i="1"/>
  <c r="E74" i="1"/>
  <c r="D74" i="1"/>
  <c r="C74" i="1"/>
  <c r="I58" i="1"/>
  <c r="H58" i="1"/>
  <c r="G58" i="1"/>
  <c r="F58" i="1"/>
  <c r="E58" i="1"/>
  <c r="D58" i="1"/>
  <c r="C58" i="1"/>
  <c r="I56" i="1"/>
  <c r="H56" i="1"/>
  <c r="G56" i="1"/>
  <c r="F56" i="1"/>
  <c r="E56" i="1"/>
  <c r="D56" i="1"/>
  <c r="C56" i="1"/>
  <c r="I55" i="1"/>
  <c r="I53" i="1"/>
  <c r="H55" i="1"/>
  <c r="G55" i="1"/>
  <c r="F55" i="1"/>
  <c r="E55" i="1"/>
  <c r="D55" i="1"/>
  <c r="C55" i="1"/>
  <c r="I54" i="1"/>
  <c r="H54" i="1"/>
  <c r="G54" i="1"/>
  <c r="F54" i="1"/>
  <c r="E54" i="1"/>
  <c r="D54" i="1"/>
  <c r="C54" i="1"/>
  <c r="I51" i="1"/>
  <c r="H51" i="1"/>
  <c r="G51" i="1"/>
  <c r="F51" i="1"/>
  <c r="E51" i="1"/>
  <c r="D51" i="1"/>
  <c r="C51" i="1"/>
  <c r="I50" i="1"/>
  <c r="H50" i="1"/>
  <c r="G50" i="1"/>
  <c r="F50" i="1"/>
  <c r="E50" i="1"/>
  <c r="D50" i="1"/>
  <c r="C50" i="1"/>
  <c r="I49" i="1"/>
  <c r="H49" i="1"/>
  <c r="G49" i="1"/>
  <c r="F49" i="1"/>
  <c r="E49" i="1"/>
  <c r="D49" i="1"/>
  <c r="C49" i="1"/>
  <c r="I47" i="1"/>
  <c r="H47" i="1"/>
  <c r="G47" i="1"/>
  <c r="F47" i="1"/>
  <c r="E47" i="1"/>
  <c r="D47" i="1"/>
  <c r="C47" i="1"/>
  <c r="I46" i="1"/>
  <c r="H46" i="1"/>
  <c r="G46" i="1"/>
  <c r="F46" i="1"/>
  <c r="E46" i="1"/>
  <c r="D46" i="1"/>
  <c r="C46" i="1"/>
  <c r="I45" i="1"/>
  <c r="H45" i="1"/>
  <c r="G45" i="1"/>
  <c r="G44" i="1"/>
  <c r="F45" i="1"/>
  <c r="E45" i="1"/>
  <c r="D45" i="1"/>
  <c r="C45" i="1"/>
  <c r="I43" i="1"/>
  <c r="H43" i="1"/>
  <c r="G43" i="1"/>
  <c r="F43" i="1"/>
  <c r="E43" i="1"/>
  <c r="D43" i="1"/>
  <c r="C43" i="1"/>
  <c r="I40" i="1"/>
  <c r="H40" i="1"/>
  <c r="G40" i="1"/>
  <c r="F40" i="1"/>
  <c r="E40" i="1"/>
  <c r="D40" i="1"/>
  <c r="C40" i="1"/>
  <c r="I39" i="1"/>
  <c r="H39" i="1"/>
  <c r="G39" i="1"/>
  <c r="F39" i="1"/>
  <c r="F38" i="1"/>
  <c r="E39" i="1"/>
  <c r="D39" i="1"/>
  <c r="C39" i="1"/>
  <c r="I36" i="1"/>
  <c r="H36" i="1"/>
  <c r="G36" i="1"/>
  <c r="F36" i="1"/>
  <c r="E36" i="1"/>
  <c r="D36" i="1"/>
  <c r="C36" i="1"/>
  <c r="I35" i="1"/>
  <c r="H35" i="1"/>
  <c r="G35" i="1"/>
  <c r="F35" i="1"/>
  <c r="E35" i="1"/>
  <c r="D35" i="1"/>
  <c r="C35" i="1"/>
  <c r="I34" i="1"/>
  <c r="H34" i="1"/>
  <c r="G34" i="1"/>
  <c r="G33" i="1"/>
  <c r="F34" i="1"/>
  <c r="E34" i="1"/>
  <c r="D34" i="1"/>
  <c r="C34" i="1"/>
  <c r="I32" i="1"/>
  <c r="H32" i="1"/>
  <c r="G32" i="1"/>
  <c r="F32" i="1"/>
  <c r="E32" i="1"/>
  <c r="D32" i="1"/>
  <c r="C32" i="1"/>
  <c r="I31" i="1"/>
  <c r="H31" i="1"/>
  <c r="G31" i="1"/>
  <c r="F31" i="1"/>
  <c r="E31" i="1"/>
  <c r="D31" i="1"/>
  <c r="C31" i="1"/>
  <c r="I30" i="1"/>
  <c r="H30" i="1"/>
  <c r="G30" i="1"/>
  <c r="F30" i="1"/>
  <c r="E30" i="1"/>
  <c r="D30" i="1"/>
  <c r="C30" i="1"/>
  <c r="I28" i="1"/>
  <c r="H28" i="1"/>
  <c r="G28" i="1"/>
  <c r="F28" i="1"/>
  <c r="E28" i="1"/>
  <c r="D28" i="1"/>
  <c r="C28" i="1"/>
  <c r="I27" i="1"/>
  <c r="H27" i="1"/>
  <c r="H26" i="1"/>
  <c r="G27" i="1"/>
  <c r="F27" i="1"/>
  <c r="E27" i="1"/>
  <c r="D27" i="1"/>
  <c r="C27" i="1"/>
  <c r="I25" i="1"/>
  <c r="H25" i="1"/>
  <c r="G25" i="1"/>
  <c r="F25" i="1"/>
  <c r="E25" i="1"/>
  <c r="D25" i="1"/>
  <c r="C25" i="1"/>
  <c r="I24" i="1"/>
  <c r="H24" i="1"/>
  <c r="G24" i="1"/>
  <c r="F24" i="1"/>
  <c r="E24" i="1"/>
  <c r="D24" i="1"/>
  <c r="C24" i="1"/>
  <c r="I21" i="1"/>
  <c r="H21" i="1"/>
  <c r="G21" i="1"/>
  <c r="F21" i="1"/>
  <c r="E21" i="1"/>
  <c r="D21" i="1"/>
  <c r="C21" i="1"/>
  <c r="I20" i="1"/>
  <c r="H20" i="1"/>
  <c r="G20" i="1"/>
  <c r="F20" i="1"/>
  <c r="E20" i="1"/>
  <c r="D20" i="1"/>
  <c r="C20" i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I16" i="1"/>
  <c r="H16" i="1"/>
  <c r="G16" i="1"/>
  <c r="F16" i="1"/>
  <c r="E16" i="1"/>
  <c r="D16" i="1"/>
  <c r="C16" i="1"/>
  <c r="I15" i="1"/>
  <c r="H15" i="1"/>
  <c r="G15" i="1"/>
  <c r="F15" i="1"/>
  <c r="E15" i="1"/>
  <c r="D15" i="1"/>
  <c r="C15" i="1"/>
  <c r="I14" i="1"/>
  <c r="H14" i="1"/>
  <c r="G14" i="1"/>
  <c r="F14" i="1"/>
  <c r="E14" i="1"/>
  <c r="D14" i="1"/>
  <c r="C14" i="1"/>
  <c r="I29" i="12"/>
  <c r="C33" i="12"/>
  <c r="C17" i="12"/>
  <c r="J29" i="12"/>
  <c r="J23" i="12"/>
  <c r="J13" i="12"/>
  <c r="C38" i="12"/>
  <c r="F44" i="12"/>
  <c r="J44" i="12"/>
  <c r="J42" i="12"/>
  <c r="D38" i="12"/>
  <c r="H38" i="12"/>
  <c r="C136" i="10"/>
  <c r="C27" i="10"/>
  <c r="C13" i="5"/>
  <c r="C12" i="5"/>
  <c r="C14" i="10"/>
  <c r="C39" i="10"/>
  <c r="C236" i="10"/>
  <c r="G231" i="11"/>
  <c r="I320" i="9"/>
  <c r="E289" i="7"/>
  <c r="E51" i="8"/>
  <c r="F36" i="8"/>
  <c r="H24" i="8"/>
  <c r="H21" i="8"/>
  <c r="I51" i="8"/>
  <c r="F31" i="9"/>
  <c r="I51" i="9"/>
  <c r="E320" i="9"/>
  <c r="F320" i="9"/>
  <c r="C33" i="5"/>
  <c r="F44" i="5"/>
  <c r="F42" i="5"/>
  <c r="F51" i="8"/>
  <c r="F51" i="9"/>
  <c r="I24" i="9"/>
  <c r="C196" i="10"/>
  <c r="I241" i="11"/>
  <c r="H33" i="11"/>
  <c r="H23" i="11"/>
  <c r="H320" i="9"/>
  <c r="C204" i="10"/>
  <c r="C20" i="10"/>
  <c r="C238" i="10"/>
  <c r="C43" i="10"/>
  <c r="C50" i="10"/>
  <c r="C245" i="10"/>
  <c r="C74" i="10"/>
  <c r="C51" i="10"/>
  <c r="E13" i="11"/>
  <c r="C13" i="11"/>
  <c r="J320" i="9"/>
  <c r="C235" i="10"/>
  <c r="C167" i="10"/>
  <c r="F231" i="10"/>
  <c r="C55" i="10"/>
  <c r="I38" i="11"/>
  <c r="I44" i="11"/>
  <c r="G44" i="11"/>
  <c r="E38" i="11"/>
  <c r="E44" i="11"/>
  <c r="C38" i="11"/>
  <c r="C38" i="10"/>
  <c r="E221" i="12"/>
  <c r="F231" i="12"/>
  <c r="F52" i="14"/>
  <c r="H52" i="14"/>
  <c r="D46" i="8"/>
  <c r="D27" i="8"/>
  <c r="E31" i="8"/>
  <c r="G51" i="8"/>
  <c r="G27" i="8"/>
  <c r="H27" i="8"/>
  <c r="H15" i="8"/>
  <c r="I42" i="8"/>
  <c r="H31" i="8"/>
  <c r="I46" i="8"/>
  <c r="I40" i="8"/>
  <c r="G42" i="8"/>
  <c r="G11" i="8"/>
  <c r="H294" i="8"/>
  <c r="F289" i="7"/>
  <c r="G289" i="7"/>
  <c r="D56" i="7"/>
  <c r="J218" i="15"/>
  <c r="E42" i="16"/>
  <c r="H29" i="1"/>
  <c r="G265" i="4"/>
  <c r="H17" i="5"/>
  <c r="E53" i="4"/>
  <c r="G287" i="8"/>
  <c r="H12" i="4"/>
  <c r="E44" i="4"/>
  <c r="H26" i="5"/>
  <c r="D287" i="8"/>
  <c r="E15" i="9"/>
  <c r="E10" i="9"/>
  <c r="H13" i="5"/>
  <c r="H12" i="5"/>
  <c r="D44" i="5"/>
  <c r="D15" i="9"/>
  <c r="F15" i="9"/>
  <c r="H46" i="9"/>
  <c r="G294" i="8"/>
  <c r="E327" i="9"/>
  <c r="H327" i="9"/>
  <c r="F17" i="5"/>
  <c r="D29" i="5"/>
  <c r="E38" i="5"/>
  <c r="G48" i="5"/>
  <c r="D11" i="8"/>
  <c r="C234" i="10"/>
  <c r="F13" i="10"/>
  <c r="D26" i="10"/>
  <c r="J26" i="10"/>
  <c r="F29" i="10"/>
  <c r="F23" i="10"/>
  <c r="C29" i="10"/>
  <c r="G13" i="13"/>
  <c r="F327" i="9"/>
  <c r="I327" i="9"/>
  <c r="G53" i="10"/>
  <c r="H241" i="11"/>
  <c r="I29" i="11"/>
  <c r="I23" i="11"/>
  <c r="C42" i="15"/>
  <c r="F29" i="16"/>
  <c r="F33" i="16"/>
  <c r="J33" i="16"/>
  <c r="D203" i="16"/>
  <c r="J42" i="9"/>
  <c r="J40" i="9"/>
  <c r="J15" i="9"/>
  <c r="H53" i="10"/>
  <c r="C24" i="10"/>
  <c r="G241" i="11"/>
  <c r="J53" i="11"/>
  <c r="H13" i="11"/>
  <c r="H12" i="11"/>
  <c r="I42" i="13"/>
  <c r="J47" i="14"/>
  <c r="J42" i="14"/>
  <c r="D327" i="9"/>
  <c r="I26" i="10"/>
  <c r="E29" i="10"/>
  <c r="E23" i="10"/>
  <c r="F33" i="10"/>
  <c r="D42" i="10"/>
  <c r="G213" i="16"/>
  <c r="I17" i="12"/>
  <c r="I48" i="12"/>
  <c r="G47" i="13"/>
  <c r="H42" i="14"/>
  <c r="E48" i="14"/>
  <c r="G33" i="15"/>
  <c r="F44" i="15"/>
  <c r="E218" i="15"/>
  <c r="F213" i="16"/>
  <c r="E35" i="14"/>
  <c r="I213" i="16"/>
  <c r="E203" i="16"/>
  <c r="E220" i="16"/>
  <c r="C53" i="11"/>
  <c r="G17" i="12"/>
  <c r="G12" i="12"/>
  <c r="G53" i="12"/>
  <c r="H26" i="13"/>
  <c r="D38" i="13"/>
  <c r="J38" i="13"/>
  <c r="G44" i="13"/>
  <c r="C13" i="14"/>
  <c r="I29" i="15"/>
  <c r="H218" i="15"/>
  <c r="H213" i="16"/>
  <c r="I203" i="16"/>
  <c r="I220" i="16"/>
  <c r="D17" i="11"/>
  <c r="I33" i="12"/>
  <c r="C26" i="13"/>
  <c r="C23" i="13"/>
  <c r="I26" i="13"/>
  <c r="H29" i="13"/>
  <c r="I13" i="14"/>
  <c r="I12" i="14"/>
  <c r="C17" i="14"/>
  <c r="C33" i="14"/>
  <c r="I33" i="14"/>
  <c r="G47" i="15"/>
  <c r="C218" i="15"/>
  <c r="I218" i="15"/>
  <c r="F17" i="15"/>
  <c r="G13" i="16"/>
  <c r="G12" i="16"/>
  <c r="C213" i="16"/>
  <c r="H203" i="16"/>
  <c r="H220" i="16"/>
  <c r="I38" i="12"/>
  <c r="C13" i="13"/>
  <c r="I13" i="13"/>
  <c r="I12" i="13"/>
  <c r="C29" i="13"/>
  <c r="I29" i="13"/>
  <c r="I23" i="13"/>
  <c r="F47" i="13"/>
  <c r="F29" i="14"/>
  <c r="D33" i="14"/>
  <c r="J33" i="14"/>
  <c r="J23" i="14"/>
  <c r="G38" i="14"/>
  <c r="C52" i="14"/>
  <c r="F33" i="15"/>
  <c r="F23" i="15"/>
  <c r="D52" i="15"/>
  <c r="J52" i="15"/>
  <c r="D218" i="15"/>
  <c r="D13" i="16"/>
  <c r="D12" i="16"/>
  <c r="J13" i="16"/>
  <c r="D26" i="16"/>
  <c r="D33" i="16"/>
  <c r="F47" i="16"/>
  <c r="F42" i="16"/>
  <c r="C203" i="16"/>
  <c r="D42" i="12"/>
  <c r="J23" i="13"/>
  <c r="I23" i="15"/>
  <c r="E26" i="14"/>
  <c r="G23" i="15"/>
  <c r="H23" i="13"/>
  <c r="I23" i="10"/>
  <c r="J23" i="10"/>
  <c r="C220" i="16"/>
  <c r="H253" i="1"/>
  <c r="G253" i="1"/>
  <c r="C13" i="4"/>
  <c r="C12" i="4"/>
  <c r="H10" i="11"/>
  <c r="C12" i="12"/>
  <c r="G12" i="13"/>
  <c r="C211" i="10"/>
  <c r="C242" i="10"/>
  <c r="C177" i="10"/>
  <c r="C54" i="10"/>
  <c r="C53" i="10"/>
  <c r="C232" i="10"/>
  <c r="C58" i="10"/>
  <c r="C28" i="10"/>
  <c r="C26" i="10"/>
  <c r="C244" i="10"/>
  <c r="I42" i="11"/>
  <c r="D12" i="11"/>
  <c r="I23" i="12"/>
  <c r="J10" i="14"/>
  <c r="H221" i="12"/>
  <c r="C23" i="10"/>
  <c r="E42" i="11"/>
  <c r="C21" i="10"/>
  <c r="C23" i="12"/>
  <c r="F42" i="13"/>
  <c r="F23" i="11"/>
  <c r="E26" i="11"/>
  <c r="E23" i="11"/>
  <c r="G10" i="12"/>
  <c r="H42" i="5"/>
  <c r="F21" i="8"/>
  <c r="D221" i="12"/>
  <c r="C12" i="13"/>
  <c r="C10" i="13"/>
  <c r="G42" i="15"/>
  <c r="G42" i="13"/>
  <c r="C23" i="5"/>
  <c r="E44" i="1"/>
  <c r="H48" i="1"/>
  <c r="E13" i="4"/>
  <c r="E12" i="4"/>
  <c r="H265" i="4"/>
  <c r="G21" i="9"/>
  <c r="H231" i="11"/>
  <c r="E231" i="11"/>
  <c r="H23" i="12"/>
  <c r="H10" i="12"/>
  <c r="F23" i="12"/>
  <c r="C12" i="14"/>
  <c r="D220" i="16"/>
  <c r="E26" i="1"/>
  <c r="F33" i="1"/>
  <c r="F44" i="1"/>
  <c r="G13" i="4"/>
  <c r="G12" i="4"/>
  <c r="I42" i="15"/>
  <c r="F220" i="16"/>
  <c r="E42" i="4"/>
  <c r="C12" i="11"/>
  <c r="C33" i="1"/>
  <c r="C53" i="1"/>
  <c r="C243" i="1"/>
  <c r="I265" i="4"/>
  <c r="H51" i="9"/>
  <c r="D33" i="12"/>
  <c r="I12" i="12"/>
  <c r="D23" i="5"/>
  <c r="J12" i="12"/>
  <c r="J10" i="12"/>
  <c r="I26" i="1"/>
  <c r="G29" i="1"/>
  <c r="G12" i="5"/>
  <c r="C48" i="5"/>
  <c r="C42" i="5"/>
  <c r="C10" i="5"/>
  <c r="F17" i="12"/>
  <c r="F12" i="12"/>
  <c r="F10" i="12"/>
  <c r="E38" i="12"/>
  <c r="I53" i="4"/>
  <c r="H255" i="4"/>
  <c r="E255" i="4"/>
  <c r="E29" i="5"/>
  <c r="E274" i="5"/>
  <c r="H15" i="9"/>
  <c r="I42" i="9"/>
  <c r="I15" i="9"/>
  <c r="I33" i="10"/>
  <c r="F42" i="10"/>
  <c r="F10" i="10"/>
  <c r="E44" i="10"/>
  <c r="E42" i="10"/>
  <c r="I44" i="10"/>
  <c r="I42" i="10"/>
  <c r="I48" i="10"/>
  <c r="F53" i="10"/>
  <c r="C47" i="10"/>
  <c r="I13" i="11"/>
  <c r="I12" i="11"/>
  <c r="I10" i="11"/>
  <c r="I53" i="11"/>
  <c r="H44" i="11"/>
  <c r="H42" i="11"/>
  <c r="F44" i="11"/>
  <c r="C33" i="11"/>
  <c r="C23" i="11"/>
  <c r="H48" i="12"/>
  <c r="H42" i="12"/>
  <c r="I53" i="12"/>
  <c r="J221" i="12"/>
  <c r="D13" i="13"/>
  <c r="D12" i="13"/>
  <c r="D17" i="13"/>
  <c r="F29" i="13"/>
  <c r="G33" i="13"/>
  <c r="D33" i="13"/>
  <c r="D23" i="13"/>
  <c r="H42" i="13"/>
  <c r="F44" i="13"/>
  <c r="H47" i="13"/>
  <c r="G17" i="14"/>
  <c r="G12" i="14"/>
  <c r="C38" i="14"/>
  <c r="F42" i="14"/>
  <c r="F10" i="14"/>
  <c r="D44" i="14"/>
  <c r="D42" i="14"/>
  <c r="C47" i="14"/>
  <c r="I47" i="14"/>
  <c r="E49" i="14"/>
  <c r="E47" i="14"/>
  <c r="E29" i="14"/>
  <c r="E21" i="14"/>
  <c r="E29" i="15"/>
  <c r="J47" i="15"/>
  <c r="J42" i="15"/>
  <c r="G218" i="15"/>
  <c r="H17" i="15"/>
  <c r="H12" i="15"/>
  <c r="E17" i="15"/>
  <c r="E12" i="15"/>
  <c r="D44" i="16"/>
  <c r="D42" i="16"/>
  <c r="C47" i="16"/>
  <c r="C42" i="16"/>
  <c r="E52" i="16"/>
  <c r="J213" i="16"/>
  <c r="I33" i="4"/>
  <c r="I23" i="4"/>
  <c r="C48" i="4"/>
  <c r="C42" i="4"/>
  <c r="D53" i="4"/>
  <c r="C255" i="4"/>
  <c r="D12" i="5"/>
  <c r="I13" i="5"/>
  <c r="I12" i="5"/>
  <c r="D17" i="5"/>
  <c r="G33" i="5"/>
  <c r="I48" i="5"/>
  <c r="I42" i="5"/>
  <c r="C274" i="5"/>
  <c r="G31" i="8"/>
  <c r="G21" i="8"/>
  <c r="G15" i="8"/>
  <c r="G10" i="8"/>
  <c r="H51" i="8"/>
  <c r="H42" i="8"/>
  <c r="H40" i="8"/>
  <c r="I31" i="8"/>
  <c r="D46" i="9"/>
  <c r="D11" i="9"/>
  <c r="D10" i="9"/>
  <c r="F11" i="9"/>
  <c r="J51" i="9"/>
  <c r="J31" i="9"/>
  <c r="J327" i="9"/>
  <c r="D17" i="10"/>
  <c r="D12" i="10"/>
  <c r="H17" i="10"/>
  <c r="H12" i="10"/>
  <c r="H10" i="10"/>
  <c r="E17" i="10"/>
  <c r="D33" i="10"/>
  <c r="J33" i="10"/>
  <c r="J48" i="10"/>
  <c r="J42" i="10"/>
  <c r="G241" i="10"/>
  <c r="J241" i="10"/>
  <c r="J33" i="11"/>
  <c r="I17" i="11"/>
  <c r="G17" i="11"/>
  <c r="G12" i="11"/>
  <c r="D44" i="11"/>
  <c r="D42" i="11"/>
  <c r="D10" i="11"/>
  <c r="E17" i="12"/>
  <c r="E12" i="12"/>
  <c r="E10" i="12"/>
  <c r="J38" i="12"/>
  <c r="J17" i="13"/>
  <c r="G17" i="13"/>
  <c r="J33" i="13"/>
  <c r="G38" i="13"/>
  <c r="E44" i="13"/>
  <c r="E42" i="13"/>
  <c r="D13" i="14"/>
  <c r="D12" i="14"/>
  <c r="J13" i="14"/>
  <c r="J12" i="14"/>
  <c r="C26" i="14"/>
  <c r="I29" i="14"/>
  <c r="I23" i="14"/>
  <c r="I10" i="14"/>
  <c r="D47" i="14"/>
  <c r="G52" i="14"/>
  <c r="E16" i="14"/>
  <c r="E13" i="14"/>
  <c r="I26" i="15"/>
  <c r="H33" i="15"/>
  <c r="H23" i="15"/>
  <c r="E44" i="15"/>
  <c r="J17" i="15"/>
  <c r="J12" i="15"/>
  <c r="G13" i="15"/>
  <c r="G33" i="16"/>
  <c r="I38" i="16"/>
  <c r="C52" i="16"/>
  <c r="H198" i="17"/>
  <c r="H205" i="17"/>
  <c r="F53" i="4"/>
  <c r="E13" i="5"/>
  <c r="E12" i="5"/>
  <c r="D48" i="5"/>
  <c r="D42" i="5"/>
  <c r="H48" i="5"/>
  <c r="F264" i="5"/>
  <c r="E264" i="5"/>
  <c r="D264" i="5"/>
  <c r="H282" i="7"/>
  <c r="F46" i="8"/>
  <c r="F40" i="8"/>
  <c r="F56" i="8"/>
  <c r="E294" i="8"/>
  <c r="D42" i="9"/>
  <c r="D40" i="9"/>
  <c r="E46" i="9"/>
  <c r="G46" i="9"/>
  <c r="G40" i="9"/>
  <c r="I46" i="9"/>
  <c r="D13" i="10"/>
  <c r="E48" i="10"/>
  <c r="C16" i="10"/>
  <c r="H241" i="10"/>
  <c r="C46" i="10"/>
  <c r="C44" i="10"/>
  <c r="J241" i="11"/>
  <c r="E44" i="12"/>
  <c r="D48" i="12"/>
  <c r="H231" i="12"/>
  <c r="F13" i="13"/>
  <c r="F12" i="13"/>
  <c r="E17" i="13"/>
  <c r="C17" i="13"/>
  <c r="E33" i="13"/>
  <c r="C38" i="13"/>
  <c r="G52" i="13"/>
  <c r="D26" i="14"/>
  <c r="D23" i="14"/>
  <c r="E36" i="14"/>
  <c r="E33" i="14"/>
  <c r="J26" i="15"/>
  <c r="C33" i="15"/>
  <c r="C23" i="15"/>
  <c r="C17" i="15"/>
  <c r="C12" i="15"/>
  <c r="F13" i="15"/>
  <c r="F12" i="15"/>
  <c r="F10" i="15"/>
  <c r="F225" i="15"/>
  <c r="C17" i="16"/>
  <c r="C12" i="16"/>
  <c r="I17" i="16"/>
  <c r="I12" i="16"/>
  <c r="H29" i="16"/>
  <c r="J23" i="16"/>
  <c r="H33" i="16"/>
  <c r="H38" i="16"/>
  <c r="D52" i="16"/>
  <c r="I198" i="17"/>
  <c r="I205" i="17"/>
  <c r="G198" i="17"/>
  <c r="G205" i="17"/>
  <c r="G17" i="4"/>
  <c r="C26" i="4"/>
  <c r="C23" i="4"/>
  <c r="C10" i="4"/>
  <c r="I44" i="4"/>
  <c r="H44" i="4"/>
  <c r="I48" i="4"/>
  <c r="F13" i="5"/>
  <c r="F12" i="5"/>
  <c r="F26" i="5"/>
  <c r="I29" i="5"/>
  <c r="E33" i="5"/>
  <c r="G264" i="5"/>
  <c r="H274" i="5"/>
  <c r="G274" i="5"/>
  <c r="E11" i="8"/>
  <c r="H46" i="8"/>
  <c r="H36" i="8"/>
  <c r="E42" i="9"/>
  <c r="E40" i="9"/>
  <c r="F27" i="9"/>
  <c r="D320" i="9"/>
  <c r="E13" i="10"/>
  <c r="E12" i="10"/>
  <c r="E10" i="10"/>
  <c r="J13" i="10"/>
  <c r="I13" i="10"/>
  <c r="I12" i="10"/>
  <c r="J17" i="10"/>
  <c r="H26" i="10"/>
  <c r="H23" i="10"/>
  <c r="G26" i="10"/>
  <c r="G23" i="10"/>
  <c r="D29" i="10"/>
  <c r="D23" i="10"/>
  <c r="J29" i="10"/>
  <c r="F48" i="10"/>
  <c r="J13" i="11"/>
  <c r="J12" i="11"/>
  <c r="D13" i="12"/>
  <c r="D12" i="12"/>
  <c r="F38" i="12"/>
  <c r="C44" i="12"/>
  <c r="C42" i="12"/>
  <c r="I44" i="12"/>
  <c r="I42" i="12"/>
  <c r="G44" i="12"/>
  <c r="G42" i="12"/>
  <c r="E48" i="12"/>
  <c r="E42" i="12"/>
  <c r="H53" i="12"/>
  <c r="I231" i="12"/>
  <c r="G231" i="12"/>
  <c r="E231" i="12"/>
  <c r="C231" i="12"/>
  <c r="E13" i="13"/>
  <c r="G23" i="13"/>
  <c r="F33" i="13"/>
  <c r="I38" i="13"/>
  <c r="F38" i="14"/>
  <c r="I52" i="14"/>
  <c r="E46" i="14"/>
  <c r="E26" i="15"/>
  <c r="G44" i="15"/>
  <c r="G52" i="15"/>
  <c r="D12" i="15"/>
  <c r="H12" i="16"/>
  <c r="H10" i="16"/>
  <c r="J12" i="16"/>
  <c r="C23" i="16"/>
  <c r="C10" i="16"/>
  <c r="G23" i="16"/>
  <c r="I42" i="16"/>
  <c r="C198" i="17"/>
  <c r="C205" i="17"/>
  <c r="F198" i="17"/>
  <c r="F205" i="17"/>
  <c r="E17" i="16"/>
  <c r="E12" i="16"/>
  <c r="E10" i="16"/>
  <c r="I26" i="16"/>
  <c r="I23" i="16"/>
  <c r="I10" i="16"/>
  <c r="D29" i="16"/>
  <c r="D23" i="16"/>
  <c r="D10" i="16"/>
  <c r="D198" i="18"/>
  <c r="D205" i="18"/>
  <c r="K198" i="17"/>
  <c r="K205" i="17"/>
  <c r="E198" i="17"/>
  <c r="E205" i="17"/>
  <c r="F17" i="4"/>
  <c r="F12" i="4"/>
  <c r="F10" i="4"/>
  <c r="H38" i="4"/>
  <c r="D255" i="4"/>
  <c r="E265" i="4"/>
  <c r="D265" i="4"/>
  <c r="C265" i="4"/>
  <c r="I26" i="5"/>
  <c r="C264" i="5"/>
  <c r="D42" i="8"/>
  <c r="D40" i="8"/>
  <c r="D31" i="8"/>
  <c r="I27" i="8"/>
  <c r="D31" i="9"/>
  <c r="E24" i="9"/>
  <c r="H42" i="9"/>
  <c r="H40" i="9"/>
  <c r="J27" i="9"/>
  <c r="J11" i="9"/>
  <c r="J10" i="9"/>
  <c r="G327" i="9"/>
  <c r="D53" i="10"/>
  <c r="J53" i="10"/>
  <c r="E231" i="10"/>
  <c r="J231" i="10"/>
  <c r="D241" i="11"/>
  <c r="G53" i="11"/>
  <c r="E53" i="11"/>
  <c r="D26" i="11"/>
  <c r="D23" i="11"/>
  <c r="D53" i="11"/>
  <c r="H17" i="13"/>
  <c r="H33" i="13"/>
  <c r="H13" i="14"/>
  <c r="H12" i="14"/>
  <c r="H10" i="14"/>
  <c r="E33" i="15"/>
  <c r="D47" i="15"/>
  <c r="D42" i="15"/>
  <c r="H52" i="15"/>
  <c r="C29" i="16"/>
  <c r="E33" i="16"/>
  <c r="E23" i="16"/>
  <c r="E198" i="18"/>
  <c r="E205" i="18"/>
  <c r="K198" i="18"/>
  <c r="K205" i="18"/>
  <c r="H38" i="1"/>
  <c r="I44" i="1"/>
  <c r="I38" i="1"/>
  <c r="I48" i="1"/>
  <c r="G13" i="1"/>
  <c r="D17" i="1"/>
  <c r="F243" i="1"/>
  <c r="F26" i="1"/>
  <c r="H53" i="1"/>
  <c r="D243" i="1"/>
  <c r="G17" i="1"/>
  <c r="D44" i="1"/>
  <c r="D42" i="1"/>
  <c r="F13" i="1"/>
  <c r="H44" i="1"/>
  <c r="C26" i="1"/>
  <c r="E38" i="1"/>
  <c r="C48" i="1"/>
  <c r="C42" i="1"/>
  <c r="I33" i="1"/>
  <c r="E33" i="1"/>
  <c r="H13" i="1"/>
  <c r="D53" i="1"/>
  <c r="C253" i="1"/>
  <c r="F253" i="1"/>
  <c r="I13" i="1"/>
  <c r="E29" i="1"/>
  <c r="E23" i="1"/>
  <c r="G53" i="1"/>
  <c r="C44" i="1"/>
  <c r="C29" i="1"/>
  <c r="I29" i="1"/>
  <c r="G38" i="1"/>
  <c r="E48" i="1"/>
  <c r="E42" i="1"/>
  <c r="D48" i="1"/>
  <c r="C17" i="1"/>
  <c r="H17" i="1"/>
  <c r="G26" i="1"/>
  <c r="G23" i="1"/>
  <c r="H33" i="1"/>
  <c r="H23" i="1"/>
  <c r="D38" i="1"/>
  <c r="F48" i="1"/>
  <c r="F17" i="1"/>
  <c r="D26" i="1"/>
  <c r="F29" i="1"/>
  <c r="C38" i="1"/>
  <c r="I243" i="1"/>
  <c r="H243" i="1"/>
  <c r="D253" i="1"/>
  <c r="I253" i="1"/>
  <c r="E13" i="1"/>
  <c r="D33" i="1"/>
  <c r="E53" i="1"/>
  <c r="I10" i="13"/>
  <c r="H23" i="16"/>
  <c r="D42" i="4"/>
  <c r="G243" i="1"/>
  <c r="E253" i="1"/>
  <c r="F23" i="4"/>
  <c r="E36" i="9"/>
  <c r="C48" i="10"/>
  <c r="C243" i="10"/>
  <c r="C241" i="10"/>
  <c r="G26" i="11"/>
  <c r="G23" i="11"/>
  <c r="F42" i="15"/>
  <c r="C15" i="10"/>
  <c r="C13" i="10"/>
  <c r="C12" i="10"/>
  <c r="C239" i="10"/>
  <c r="C231" i="10"/>
  <c r="H42" i="4"/>
  <c r="H10" i="8"/>
  <c r="J42" i="11"/>
  <c r="D13" i="4"/>
  <c r="D12" i="4"/>
  <c r="D10" i="4"/>
  <c r="G255" i="4"/>
  <c r="I53" i="5"/>
  <c r="F10" i="9"/>
  <c r="D13" i="1"/>
  <c r="E17" i="1"/>
  <c r="G48" i="1"/>
  <c r="G42" i="1"/>
  <c r="F53" i="1"/>
  <c r="E243" i="1"/>
  <c r="H23" i="4"/>
  <c r="F38" i="4"/>
  <c r="G23" i="5"/>
  <c r="G10" i="5"/>
  <c r="F29" i="5"/>
  <c r="F23" i="5"/>
  <c r="F10" i="5"/>
  <c r="G44" i="5"/>
  <c r="G42" i="5"/>
  <c r="F53" i="5"/>
  <c r="E24" i="8"/>
  <c r="E21" i="8"/>
  <c r="E15" i="8"/>
  <c r="E10" i="8"/>
  <c r="E56" i="8"/>
  <c r="F287" i="8"/>
  <c r="F24" i="9"/>
  <c r="F21" i="9"/>
  <c r="G51" i="9"/>
  <c r="H11" i="9"/>
  <c r="H10" i="9"/>
  <c r="I21" i="9"/>
  <c r="I11" i="9"/>
  <c r="I10" i="9"/>
  <c r="D47" i="13"/>
  <c r="D42" i="13"/>
  <c r="E23" i="4"/>
  <c r="E10" i="4"/>
  <c r="D23" i="4"/>
  <c r="G33" i="4"/>
  <c r="G23" i="4"/>
  <c r="I33" i="5"/>
  <c r="H33" i="5"/>
  <c r="H23" i="5"/>
  <c r="H10" i="5"/>
  <c r="D24" i="8"/>
  <c r="D21" i="8"/>
  <c r="D15" i="8"/>
  <c r="D10" i="8"/>
  <c r="D56" i="8"/>
  <c r="H287" i="8"/>
  <c r="E27" i="9"/>
  <c r="C42" i="14"/>
  <c r="F38" i="5"/>
  <c r="D53" i="5"/>
  <c r="C13" i="1"/>
  <c r="I17" i="1"/>
  <c r="D29" i="1"/>
  <c r="G44" i="4"/>
  <c r="G42" i="4"/>
  <c r="H289" i="7"/>
  <c r="G46" i="8"/>
  <c r="G40" i="8"/>
  <c r="G36" i="8"/>
  <c r="I287" i="8"/>
  <c r="D24" i="9"/>
  <c r="F42" i="9"/>
  <c r="F40" i="9"/>
  <c r="H21" i="9"/>
  <c r="J36" i="9"/>
  <c r="G13" i="10"/>
  <c r="G12" i="10"/>
  <c r="G10" i="10"/>
  <c r="I53" i="10"/>
  <c r="I231" i="10"/>
  <c r="F48" i="11"/>
  <c r="F42" i="11"/>
  <c r="C53" i="12"/>
  <c r="F23" i="13"/>
  <c r="E26" i="13"/>
  <c r="E23" i="13"/>
  <c r="C29" i="14"/>
  <c r="C23" i="14"/>
  <c r="G47" i="14"/>
  <c r="G42" i="14"/>
  <c r="J29" i="15"/>
  <c r="J23" i="15"/>
  <c r="H47" i="15"/>
  <c r="H42" i="15"/>
  <c r="J44" i="16"/>
  <c r="J42" i="16"/>
  <c r="D38" i="10"/>
  <c r="I38" i="10"/>
  <c r="I10" i="10"/>
  <c r="F241" i="10"/>
  <c r="J231" i="11"/>
  <c r="J26" i="11"/>
  <c r="J23" i="11"/>
  <c r="E17" i="11"/>
  <c r="E12" i="11"/>
  <c r="D23" i="12"/>
  <c r="E29" i="12"/>
  <c r="E23" i="12"/>
  <c r="H12" i="13"/>
  <c r="J47" i="13"/>
  <c r="J42" i="13"/>
  <c r="H52" i="13"/>
  <c r="E45" i="14"/>
  <c r="E40" i="14"/>
  <c r="E38" i="14"/>
  <c r="C38" i="15"/>
  <c r="E47" i="15"/>
  <c r="F17" i="16"/>
  <c r="F12" i="16"/>
  <c r="G47" i="16"/>
  <c r="G42" i="16"/>
  <c r="G10" i="16"/>
  <c r="J220" i="16"/>
  <c r="G203" i="16"/>
  <c r="G220" i="16"/>
  <c r="J198" i="18"/>
  <c r="J205" i="18"/>
  <c r="G320" i="9"/>
  <c r="F17" i="11"/>
  <c r="F12" i="11"/>
  <c r="E53" i="14"/>
  <c r="E52" i="14"/>
  <c r="E24" i="14"/>
  <c r="H231" i="10"/>
  <c r="J13" i="13"/>
  <c r="J12" i="13"/>
  <c r="G26" i="14"/>
  <c r="G23" i="14"/>
  <c r="I42" i="14"/>
  <c r="E32" i="14"/>
  <c r="G12" i="15"/>
  <c r="G10" i="15"/>
  <c r="G225" i="15"/>
  <c r="F26" i="16"/>
  <c r="F23" i="16"/>
  <c r="F198" i="18"/>
  <c r="F205" i="18"/>
  <c r="J198" i="17"/>
  <c r="J205" i="17"/>
  <c r="D198" i="17"/>
  <c r="D205" i="17"/>
  <c r="D10" i="10"/>
  <c r="D10" i="14"/>
  <c r="J10" i="10"/>
  <c r="C10" i="15"/>
  <c r="C225" i="15"/>
  <c r="G10" i="11"/>
  <c r="D10" i="5"/>
  <c r="C10" i="14"/>
  <c r="E44" i="14"/>
  <c r="E42" i="14"/>
  <c r="D21" i="9"/>
  <c r="D56" i="9"/>
  <c r="C42" i="10"/>
  <c r="G12" i="1"/>
  <c r="G10" i="1"/>
  <c r="E23" i="14"/>
  <c r="I23" i="5"/>
  <c r="I10" i="5"/>
  <c r="F56" i="9"/>
  <c r="F12" i="1"/>
  <c r="I42" i="1"/>
  <c r="D10" i="15"/>
  <c r="D225" i="15"/>
  <c r="J12" i="10"/>
  <c r="C10" i="11"/>
  <c r="I10" i="15"/>
  <c r="I225" i="15"/>
  <c r="D10" i="12"/>
  <c r="D10" i="13"/>
  <c r="E23" i="15"/>
  <c r="E12" i="13"/>
  <c r="E10" i="13"/>
  <c r="I23" i="1"/>
  <c r="G10" i="14"/>
  <c r="J10" i="16"/>
  <c r="F10" i="13"/>
  <c r="H10" i="4"/>
  <c r="F10" i="11"/>
  <c r="J10" i="11"/>
  <c r="H10" i="15"/>
  <c r="H225" i="15"/>
  <c r="C10" i="12"/>
  <c r="J56" i="9"/>
  <c r="G56" i="8"/>
  <c r="I12" i="1"/>
  <c r="E21" i="9"/>
  <c r="E56" i="9"/>
  <c r="G10" i="4"/>
  <c r="H56" i="9"/>
  <c r="F42" i="1"/>
  <c r="J21" i="9"/>
  <c r="I40" i="9"/>
  <c r="I56" i="9"/>
  <c r="E10" i="5"/>
  <c r="E10" i="11"/>
  <c r="D12" i="1"/>
  <c r="I21" i="8"/>
  <c r="I56" i="8"/>
  <c r="I42" i="4"/>
  <c r="I10" i="4"/>
  <c r="E23" i="5"/>
  <c r="I10" i="12"/>
  <c r="E42" i="15"/>
  <c r="H10" i="13"/>
  <c r="J10" i="15"/>
  <c r="J225" i="15"/>
  <c r="G56" i="9"/>
  <c r="H56" i="8"/>
  <c r="H42" i="1"/>
  <c r="E12" i="14"/>
  <c r="G10" i="13"/>
  <c r="F23" i="1"/>
  <c r="F10" i="1"/>
  <c r="D23" i="1"/>
  <c r="C23" i="1"/>
  <c r="E12" i="1"/>
  <c r="E10" i="1"/>
  <c r="H12" i="1"/>
  <c r="I10" i="1"/>
  <c r="C12" i="1"/>
  <c r="J10" i="13"/>
  <c r="F10" i="16"/>
  <c r="C10" i="10"/>
  <c r="H10" i="1"/>
  <c r="E10" i="15"/>
  <c r="E225" i="15"/>
  <c r="D10" i="1"/>
  <c r="E10" i="14"/>
  <c r="C10" i="1"/>
</calcChain>
</file>

<file path=xl/sharedStrings.xml><?xml version="1.0" encoding="utf-8"?>
<sst xmlns="http://schemas.openxmlformats.org/spreadsheetml/2006/main" count="5246" uniqueCount="409">
  <si>
    <t>Popolazione residente permanente al 31 dicembre, secondo la nazionalità e lo statuto, 2009</t>
  </si>
  <si>
    <t>Totale</t>
  </si>
  <si>
    <t>Svizzeri</t>
  </si>
  <si>
    <t>Stranieri</t>
  </si>
  <si>
    <t>Diplomatici</t>
  </si>
  <si>
    <t>Statuto</t>
  </si>
  <si>
    <t>Domiciliati</t>
  </si>
  <si>
    <t>Dimoranti</t>
  </si>
  <si>
    <t>e funz. intern.</t>
  </si>
  <si>
    <t>sconosciuto</t>
  </si>
  <si>
    <t>Ticino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</si>
  <si>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</si>
  <si>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</si>
  <si>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</si>
  <si>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</si>
  <si>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</si>
  <si>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</si>
  <si>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</si>
  <si>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</si>
  <si>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</si>
  <si>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</si>
  <si>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 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</si>
  <si>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</si>
  <si>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</si>
  <si>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</si>
  <si>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</si>
  <si>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</si>
  <si>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</si>
  <si>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</si>
  <si>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</si>
  <si>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</si>
  <si>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V. Maggia</t>
  </si>
  <si>
    <t>Compr. Lavizzara</t>
  </si>
  <si>
    <t>Compr. Rovana</t>
  </si>
  <si>
    <t>Compr. Fondo V. 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</si>
  <si>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</si>
  <si>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</si>
  <si>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</si>
  <si>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</si>
  <si>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</si>
  <si>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</si>
  <si>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</si>
  <si>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</si>
  <si>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</si>
  <si>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</si>
  <si>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</si>
  <si>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</si>
  <si>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</si>
  <si>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</si>
  <si>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</si>
  <si>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</si>
  <si>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</si>
  <si>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</si>
  <si>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</si>
  <si>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5243 Besazio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</si>
  <si>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</si>
  <si>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</si>
  <si>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</si>
  <si>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</si>
  <si>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</si>
  <si>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</si>
  <si>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</si>
  <si>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</si>
  <si>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</si>
  <si>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</si>
  <si>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</si>
  <si>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</si>
  <si>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</si>
  <si>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</si>
  <si>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</si>
  <si>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</si>
  <si>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</si>
  <si>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</si>
  <si>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</si>
  <si>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</si>
  <si>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</si>
  <si>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5153 Bironico</t>
  </si>
  <si>
    <t>5154 Bissone</t>
  </si>
  <si>
    <t>5155 Bogno</t>
  </si>
  <si>
    <t>5160 Brusino Arsizio</t>
  </si>
  <si>
    <t>5161 Cademario</t>
  </si>
  <si>
    <t>5162 Cadempino</t>
  </si>
  <si>
    <t>5163 Cadro</t>
  </si>
  <si>
    <t>5165 Camignolo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</si>
  <si>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</si>
  <si>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</si>
  <si>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</si>
  <si>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</si>
  <si>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</si>
  <si>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</si>
  <si>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</si>
  <si>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</si>
  <si>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</si>
  <si>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</si>
  <si>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</si>
  <si>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</si>
  <si>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</si>
  <si>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</si>
  <si>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</si>
  <si>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</si>
  <si>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</si>
  <si>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</si>
  <si>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</si>
  <si>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</si>
  <si>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</si>
  <si>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</si>
  <si>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</si>
  <si>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</si>
  <si>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</si>
  <si>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</si>
  <si>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</si>
  <si>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</si>
  <si>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</si>
  <si>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</si>
  <si>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</si>
  <si>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</si>
  <si>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</si>
  <si>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</si>
  <si>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</si>
  <si>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5217 Rivera</t>
  </si>
  <si>
    <t>5219 Rovio</t>
  </si>
  <si>
    <t>5221 Savosa</t>
  </si>
  <si>
    <t>5222 Sessa</t>
  </si>
  <si>
    <t>5223 Sigirino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</si>
  <si>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</si>
  <si>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</si>
  <si>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</si>
  <si>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</si>
  <si>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</si>
  <si>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</si>
  <si>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</si>
  <si>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</si>
  <si>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</si>
  <si>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</si>
  <si>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</si>
  <si>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</si>
  <si>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5098 Caviano</t>
  </si>
  <si>
    <t>5099 Cavigliano</t>
  </si>
  <si>
    <t>5397 Centovalli</t>
  </si>
  <si>
    <t>5101 Contone</t>
  </si>
  <si>
    <t>5102 Corippo</t>
  </si>
  <si>
    <t>5138 Cugnasco-Gerra</t>
  </si>
  <si>
    <t>5105 Frasco</t>
  </si>
  <si>
    <t>5106 Gerra (Gambarogno)</t>
  </si>
  <si>
    <t>5108 Gordola</t>
  </si>
  <si>
    <t>5109 Gresso</t>
  </si>
  <si>
    <t>5110 Indemini</t>
  </si>
  <si>
    <t>5137 Isorno</t>
  </si>
  <si>
    <t>5112 Lavertezzo</t>
  </si>
  <si>
    <t>5113 Locarno</t>
  </si>
  <si>
    <t>5115 Losone</t>
  </si>
  <si>
    <t>5116 Magadino</t>
  </si>
  <si>
    <t>5117 Mergoscia</t>
  </si>
  <si>
    <t>5118 Minusio</t>
  </si>
  <si>
    <t>5119 Mosogno</t>
  </si>
  <si>
    <t>5120 Muralto</t>
  </si>
  <si>
    <t>5136 Onsernone</t>
  </si>
  <si>
    <t>5121 Orselina</t>
  </si>
  <si>
    <t>5123 Piazzogna</t>
  </si>
  <si>
    <t>5125 Ronco sopra Ascona</t>
  </si>
  <si>
    <t>5127 San Nazzaro</t>
  </si>
  <si>
    <t>5128 Sant'Abbondio</t>
  </si>
  <si>
    <t>5129 Sonogno</t>
  </si>
  <si>
    <t>5130 Tegna</t>
  </si>
  <si>
    <t>5131 Tenero-Contra</t>
  </si>
  <si>
    <t>5132 Vergeletto</t>
  </si>
  <si>
    <t>5133 Verscio</t>
  </si>
  <si>
    <t>5134 Vira (Gambarogno)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</si>
  <si>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</si>
  <si>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</si>
  <si>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</si>
  <si>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</si>
  <si>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</si>
  <si>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</si>
  <si>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</si>
  <si>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</si>
  <si>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</si>
  <si>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</si>
  <si>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</si>
  <si>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</si>
  <si>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</si>
  <si>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</si>
  <si>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</si>
  <si>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</si>
  <si>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</si>
  <si>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</si>
  <si>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</si>
  <si>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</si>
  <si>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</si>
  <si>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5011 Medeglia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</si>
  <si>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</si>
  <si>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</si>
  <si>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</si>
  <si>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</si>
  <si>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</si>
  <si>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</si>
  <si>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</si>
  <si>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</si>
  <si>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</si>
  <si>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</si>
  <si>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</si>
  <si>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</si>
  <si>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</si>
  <si>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</si>
  <si>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</si>
  <si>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</si>
  <si>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</si>
  <si>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</si>
  <si>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</si>
  <si>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</si>
  <si>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</si>
  <si>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</si>
  <si>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</si>
  <si>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</si>
  <si>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</si>
  <si>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</si>
  <si>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</si>
  <si>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</si>
  <si>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</si>
  <si>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</si>
  <si>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</si>
  <si>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</si>
  <si>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</si>
  <si>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</si>
  <si>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</si>
  <si>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</si>
  <si>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</si>
  <si>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</si>
  <si>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</si>
  <si>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</si>
  <si>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</si>
  <si>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</si>
  <si>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</si>
  <si>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</si>
  <si>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</si>
  <si>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</si>
  <si>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</si>
  <si>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</si>
  <si>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</si>
  <si>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169 (25.10.2009 - 24.04.2010).</t>
  </si>
  <si>
    <t>Fonte: Statistica dello stato annuale della popolazione (ESPOP), Ufficio federale di statistica, Neuchâtel</t>
  </si>
  <si>
    <t>Popolazione residente permanente al 31 dicembre, secondo la nazionalità e lo statuto, 2008</t>
  </si>
  <si>
    <t>5241 Arzo</t>
  </si>
  <si>
    <t>5244 Bruzella</t>
  </si>
  <si>
    <t>5245 Cabbio</t>
  </si>
  <si>
    <t>5246 Caneggio</t>
  </si>
  <si>
    <t>5247 Capolago</t>
  </si>
  <si>
    <t>5252 Genestrerio</t>
  </si>
  <si>
    <t>5258 Morbio Superiore</t>
  </si>
  <si>
    <t>5259 Muggio</t>
  </si>
  <si>
    <t>5262 Rancate</t>
  </si>
  <si>
    <t>5264 Sagno</t>
  </si>
  <si>
    <t>5267 Tremona</t>
  </si>
  <si>
    <t>5094 Borgnone</t>
  </si>
  <si>
    <t>5111 Intragna</t>
  </si>
  <si>
    <t>5122 Palagnedra</t>
  </si>
  <si>
    <t>Avvertenza: stato dei comuni politici: 181 (20.04.2008 - 04.04.2009).</t>
  </si>
  <si>
    <t>Popolazione residente permanente al 31 dicembre, secondo la nazionalità e lo statuto, 2007</t>
  </si>
  <si>
    <t>5147 Barbengo</t>
  </si>
  <si>
    <t>5150 Bidogno</t>
  </si>
  <si>
    <t>5168 Carabbia</t>
  </si>
  <si>
    <t>5177 Corticiasca</t>
  </si>
  <si>
    <t>5188 Iseo</t>
  </si>
  <si>
    <t>5191 Lugaggia</t>
  </si>
  <si>
    <t>5235 Villa Luganese</t>
  </si>
  <si>
    <t>5104 Cugnasco</t>
  </si>
  <si>
    <t>5107 Gerra (Verzasca)</t>
  </si>
  <si>
    <t>5302 Avegno</t>
  </si>
  <si>
    <t>5314 Gordevio</t>
  </si>
  <si>
    <t>Avvertenza: stato dei comuni politici: 190 (22.10.2006 - 19.04.2008).</t>
  </si>
  <si>
    <t>Popolazione residente permanente al 31 dicembre, secondo la nazionalità e lo statuto, 2006</t>
  </si>
  <si>
    <t>Cantone</t>
  </si>
  <si>
    <t>5303 Bignasco</t>
  </si>
  <si>
    <t>5308 Cavergno</t>
  </si>
  <si>
    <t>5031 Aquila</t>
  </si>
  <si>
    <t>5032 Campo (Blenio)</t>
  </si>
  <si>
    <t>5036 Ghirone</t>
  </si>
  <si>
    <t>5043 Olivone</t>
  </si>
  <si>
    <t>5047 Torre</t>
  </si>
  <si>
    <t>5065 Calonico</t>
  </si>
  <si>
    <t>5069 Chiggiogna</t>
  </si>
  <si>
    <t>5080 Rossura</t>
  </si>
  <si>
    <t>Riepilogo per distretti</t>
  </si>
  <si>
    <t>Totale agglomerati</t>
  </si>
  <si>
    <t>Fonte: Domiciliati, dimoranti: Ufficio federale della migrazione, Registro centrale degli stranieri, Berna; diplomatici e funzionari internazionali: Dipartimento federale degli affari esteri, Berna e Ustat, Bellinzona; statuto sconosciuto: Ufficio federale di statistica, Neuchâtel.</t>
  </si>
  <si>
    <t>5145 Arosio</t>
  </si>
  <si>
    <t>5159 Breno</t>
  </si>
  <si>
    <t>5183 Fescoggia</t>
  </si>
  <si>
    <t>5204 Mugena</t>
  </si>
  <si>
    <t>5232 Vezio</t>
  </si>
  <si>
    <t>5016 Robasacco</t>
  </si>
  <si>
    <t>5248 Casima</t>
  </si>
  <si>
    <t>5256 Monte</t>
  </si>
  <si>
    <t>5265 Salorino</t>
  </si>
  <si>
    <t>5142 Agra</t>
  </si>
  <si>
    <t>5156 Bosco Luganese</t>
  </si>
  <si>
    <t>5158 Breganzona</t>
  </si>
  <si>
    <t>5175 Cimo</t>
  </si>
  <si>
    <t>5179 Cureggia</t>
  </si>
  <si>
    <t>5182 Davesco-Soragno</t>
  </si>
  <si>
    <t>5184 Gandria</t>
  </si>
  <si>
    <t>5185 Gentilino</t>
  </si>
  <si>
    <t>5201 Montagnola</t>
  </si>
  <si>
    <t>5209 Pambio-Noranco</t>
  </si>
  <si>
    <t>5211 Pazzallo</t>
  </si>
  <si>
    <t>5215 Pregassona</t>
  </si>
  <si>
    <t>5234 Viganello</t>
  </si>
  <si>
    <t>5301 Aurigeno</t>
  </si>
  <si>
    <t>5305 Broglio</t>
  </si>
  <si>
    <t>5306 Brontallo</t>
  </si>
  <si>
    <t>5311 Coglio</t>
  </si>
  <si>
    <t>5312 Fusio</t>
  </si>
  <si>
    <t>5313 Giumaglio</t>
  </si>
  <si>
    <t>5316 Lodano</t>
  </si>
  <si>
    <t>5318 Menzonio</t>
  </si>
  <si>
    <t>5319 Moghegno</t>
  </si>
  <si>
    <t>5320 Peccia</t>
  </si>
  <si>
    <t>5321 Prato-Sornico</t>
  </si>
  <si>
    <t>5322 Someo</t>
  </si>
  <si>
    <t>5033 Castro</t>
  </si>
  <si>
    <t>5034 Corzoneso</t>
  </si>
  <si>
    <t>5035 Dongio</t>
  </si>
  <si>
    <t>5037 Largario</t>
  </si>
  <si>
    <t>5038 Leontica</t>
  </si>
  <si>
    <t>5039 Lottigna</t>
  </si>
  <si>
    <t>5042 Marolta</t>
  </si>
  <si>
    <t>5044 Ponto Valentino</t>
  </si>
  <si>
    <t>5045 Prugiasco</t>
  </si>
  <si>
    <t>Avvertenza: fa stato la situazione dei comuni nel 2003 (238 comuni).</t>
  </si>
  <si>
    <t>Popolazione residente permanente al 31 dicembre, secondo la nazionalità e lo statuto, 2005</t>
  </si>
  <si>
    <t>Popolazione residente permanente al 31 dicembre, secondo la nazionalità e lo statuto, 2004</t>
  </si>
  <si>
    <t>Popolazione residente permanente al 31 dicembre, secondo la nazionalità e lo statuto, 2003, e complessivamente, 2002</t>
  </si>
  <si>
    <t>Popolazione residente permanente al 31 dicembre, secondo la nazionalità e lo statuto, 2010</t>
  </si>
  <si>
    <t>Richiedente</t>
  </si>
  <si>
    <t>Provvisori</t>
  </si>
  <si>
    <t>l'asilo</t>
  </si>
  <si>
    <t>5238 Monteceneri</t>
  </si>
  <si>
    <t>5398 Gambarogno</t>
  </si>
  <si>
    <t>Avvertenza: stato dei comuni politici: 157 (dal 21.11.2010).</t>
  </si>
  <si>
    <t>Fonte: Statistica della popolazione e delle economie domestiche (STATPOP), Ufficio federale di statistica, Neuchatel</t>
  </si>
  <si>
    <t>Popolazione residente permanente al 31 dicembre, secondo la nazionalità e lo statuto, 2011</t>
  </si>
  <si>
    <t>Popolazione residente permanente al 31 dicembre, secondo la nazionalità e lo statuto, 2012</t>
  </si>
  <si>
    <t>Regione Locarnese e Vallemaggia</t>
  </si>
  <si>
    <t>Sub-Regione Vallemaggia</t>
  </si>
  <si>
    <t>Compr. Fondo Vallemaggia</t>
  </si>
  <si>
    <t>5050 Serravalle</t>
  </si>
  <si>
    <t>Avvertenza: stato dei comuni politici: 147 (dal 01.04.2012).</t>
  </si>
  <si>
    <t>Popolazione residente permanente al 31 dicembre, secondo la nazionalità e lo statuto, 2013</t>
  </si>
  <si>
    <t>5396 Terre di Pedemonte</t>
  </si>
  <si>
    <t>Avvertenza: stato dei comuni politici: 135 (dal 14.04.2013).</t>
  </si>
  <si>
    <t>Popolazione residente permanente al 31 dicembre, secondo la nazionalità e lo statuto, 2014</t>
  </si>
  <si>
    <t>Ustat, ultima modifica: 21.06.2016</t>
  </si>
  <si>
    <t>T_010602_010</t>
  </si>
  <si>
    <t>Popolazione residente permanente al 31 dicembre, secondo la nazionalità e lo statuto, 2015</t>
  </si>
  <si>
    <t>Ustat, ultima modifica: 26.08.2016</t>
  </si>
  <si>
    <r>
      <t>Spazi a carattere urbano</t>
    </r>
    <r>
      <rPr>
        <b/>
        <vertAlign val="superscript"/>
        <sz val="8"/>
        <rFont val="Arial"/>
        <family val="2"/>
      </rPr>
      <t>1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</si>
  <si>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</si>
  <si>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</si>
  <si>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</si>
  <si>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</si>
  <si>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</si>
  <si>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</si>
  <si>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</si>
  <si>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</si>
  <si>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</si>
  <si>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</si>
  <si>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Popolazione residente permanente al 31 dicembre, secondo la nazionalità e lo statuto, 2016</t>
  </si>
  <si>
    <t>Ustat, ultima modifica: 30.08.2017</t>
  </si>
  <si>
    <t>Popolazione residente permanente al 31 dicembre, secondo la nazionalità e lo statuto, 2017</t>
  </si>
  <si>
    <t xml:space="preserve">Dimoranti </t>
  </si>
  <si>
    <t>temporanei</t>
  </si>
  <si>
    <t>5287 Riviera</t>
  </si>
  <si>
    <t>Avvertenza: stato dei comuni politici: 115 (dal 02.04.2017).</t>
  </si>
  <si>
    <t>Ustat, ultima modifica: 31.08.2018</t>
  </si>
  <si>
    <t>Popolazione residente permanente al 31 dicembre, secondo la nazionalità e lo statuto, 2018</t>
  </si>
  <si>
    <t>Ustat, ultima modifica: 27.08.2019</t>
  </si>
  <si>
    <t>Popolazione residente permanente al 31 dicembre, secondo la nazionalità e lo statuto, 2019</t>
  </si>
  <si>
    <t>Ustat, ultima modifica: 27.08.2020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</si>
  <si>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</si>
  <si>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</si>
  <si>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Escluso il territorio "Gerra Valle", a seguito dell'aggregazione di Verzasca.</t>
    </r>
  </si>
  <si>
    <t>Avvertenza: stato dei comuni politici: 111 (dal 18.10.2020).</t>
  </si>
  <si>
    <r>
      <t>Comuni senza carattere urbano</t>
    </r>
    <r>
      <rPr>
        <b/>
        <vertAlign val="superscript"/>
        <sz val="8"/>
        <rFont val="Arial"/>
        <family val="2"/>
      </rPr>
      <t>3</t>
    </r>
  </si>
  <si>
    <r>
      <t>Spazi a carattere urbano</t>
    </r>
    <r>
      <rPr>
        <b/>
        <vertAlign val="superscript"/>
        <sz val="8"/>
        <rFont val="Arial"/>
        <family val="2"/>
      </rPr>
      <t>3</t>
    </r>
  </si>
  <si>
    <t>5399 Verzasca</t>
  </si>
  <si>
    <r>
      <t>5112 Lavertezzo</t>
    </r>
    <r>
      <rPr>
        <vertAlign val="superscript"/>
        <sz val="8"/>
        <rFont val="Arial"/>
        <family val="2"/>
      </rPr>
      <t>2</t>
    </r>
  </si>
  <si>
    <r>
      <t>5138 Cugnasco-Gerra</t>
    </r>
    <r>
      <rPr>
        <vertAlign val="superscript"/>
        <sz val="8"/>
        <rFont val="Arial"/>
        <family val="2"/>
      </rPr>
      <t>1</t>
    </r>
  </si>
  <si>
    <t>Popolazione residente permanente al 31 dicembre, secondo la nazionalità e lo statuto, 2020</t>
  </si>
  <si>
    <t>Ustat, ultima modifica: 01.09.2021</t>
  </si>
  <si>
    <t>5239 Tresa</t>
  </si>
  <si>
    <t>Avvertenza: stato dei comuni politici: 108 (dal 18.04.2021).</t>
  </si>
  <si>
    <t>Popolazione residente permanente al 31 dicembre, secondo la nazionalità e lo statuto, 2021</t>
  </si>
  <si>
    <t>Ustat, ultima modifica: 25.08.2022</t>
  </si>
  <si>
    <t>5240 Val Mara</t>
  </si>
  <si>
    <t>Avvertenza: stato dei comuni politici: 106 (dal 10.04.2022).</t>
  </si>
  <si>
    <t>Ustat, ultima modifica: 24.08.2023</t>
  </si>
  <si>
    <t>Popolazione residente permanente al 31 dicembre, secondo la nazionalità e lo statuto, 2022</t>
  </si>
  <si>
    <t>Persona</t>
  </si>
  <si>
    <t xml:space="preserve"> bisognosa</t>
  </si>
  <si>
    <t>di protezione</t>
  </si>
  <si>
    <t>Popolazione residente permanente al 31 dicembre, secondo la nazionalità e lo statuto, 2023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</si>
  <si>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</si>
  <si>
    <t>Ustat, ultima modifica: 22.08.2024</t>
  </si>
  <si>
    <t>Popolazione residente permanente al 31 dicembre, secondo la nazionalità e lo statuto, 2024</t>
  </si>
  <si>
    <t>Ustat, ultima modifica: 27.08.2025</t>
  </si>
  <si>
    <t>5395 Lema</t>
  </si>
  <si>
    <t>Avvertenza: stato dei comuni politici: 100 (dal 06.04.2025).</t>
  </si>
  <si>
    <t>Popolazione residente permanente al 31 dicembre, secondo la nazionalità e lo statuto, 2025</t>
  </si>
  <si>
    <t>Ustat, ultima modifica: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</si>
</sst>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2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8.5"/>
      <name val="Arial"/>
      <family val="2"/>
    </font>
    <font>
      <b/>
      <sz val="11"/>
      <name val="Arial"/>
      <family val="2"/>
    </font>
    <font>
      <sz val="8"/>
      <color indexed="8"/>
      <name val="Arial"/>
      <family val="2"/>
    </font>
    <font>
      <sz val="1"/>
      <name val="Arial"/>
      <family val="2"/>
    </font>
    <font>
      <sz val="6"/>
      <name val="Arial"/>
      <family val="2"/>
    </font>
    <font>
      <sz val="1"/>
      <name val="Arial"/>
      <family val="2"/>
    </font>
    <font>
      <sz val="8.5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"/>
      <color indexed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</cellStyleXfs>
  <cellXfs count="372">
    <xf numFmtId="0" fontId="0" fillId="0" borderId="0" xfId="0"/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 vertical="top"/>
    </xf>
    <xf numFmtId="0" fontId="9" fillId="0" borderId="1" xfId="5" applyFont="1" applyBorder="1" applyAlignment="1">
      <alignment vertical="top"/>
    </xf>
    <xf numFmtId="0" fontId="9" fillId="0" borderId="2" xfId="5" applyFont="1" applyBorder="1" applyAlignment="1">
      <alignment vertical="top"/>
    </xf>
    <xf numFmtId="0" fontId="3" fillId="0" borderId="3" xfId="5" applyFont="1" applyBorder="1" applyAlignment="1">
      <alignment horizontal="left" vertical="top"/>
    </xf>
    <xf numFmtId="0" fontId="3" fillId="0" borderId="4" xfId="5" applyFont="1" applyBorder="1" applyAlignment="1">
      <alignment horizontal="left" vertical="top"/>
    </xf>
    <xf numFmtId="0" fontId="3" fillId="0" borderId="0" xfId="5" applyFont="1" applyAlignment="1">
      <alignment horizontal="left" vertical="top"/>
    </xf>
    <xf numFmtId="0" fontId="3" fillId="0" borderId="0" xfId="5" applyFont="1" applyAlignment="1">
      <alignment horizontal="right" vertical="top"/>
    </xf>
    <xf numFmtId="164" fontId="3" fillId="0" borderId="5" xfId="5" applyNumberFormat="1" applyFont="1" applyBorder="1" applyAlignment="1">
      <alignment horizontal="left" vertical="top"/>
    </xf>
    <xf numFmtId="0" fontId="3" fillId="0" borderId="5" xfId="5" applyFont="1" applyBorder="1" applyAlignment="1">
      <alignment horizontal="left" vertical="top" wrapText="1"/>
    </xf>
    <xf numFmtId="0" fontId="3" fillId="0" borderId="5" xfId="5" applyFont="1" applyBorder="1" applyAlignment="1">
      <alignment horizontal="right" vertical="top" wrapText="1"/>
    </xf>
    <xf numFmtId="0" fontId="10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164" fontId="11" fillId="0" borderId="5" xfId="0" applyNumberFormat="1" applyFont="1" applyBorder="1"/>
    <xf numFmtId="3" fontId="11" fillId="0" borderId="5" xfId="0" applyNumberFormat="1" applyFont="1" applyBorder="1" applyAlignment="1">
      <alignment horizontal="right"/>
    </xf>
    <xf numFmtId="0" fontId="11" fillId="0" borderId="0" xfId="0" applyFont="1"/>
    <xf numFmtId="3" fontId="11" fillId="0" borderId="6" xfId="0" applyNumberFormat="1" applyFont="1" applyBorder="1" applyAlignment="1">
      <alignment horizontal="right"/>
    </xf>
    <xf numFmtId="0" fontId="10" fillId="0" borderId="0" xfId="0" applyFont="1"/>
    <xf numFmtId="3" fontId="10" fillId="0" borderId="6" xfId="0" applyNumberFormat="1" applyFont="1" applyBorder="1" applyAlignment="1">
      <alignment horizontal="right"/>
    </xf>
    <xf numFmtId="3" fontId="11" fillId="0" borderId="0" xfId="0" applyNumberFormat="1" applyFont="1"/>
    <xf numFmtId="3" fontId="10" fillId="0" borderId="6" xfId="0" applyNumberFormat="1" applyFont="1" applyBorder="1"/>
    <xf numFmtId="3" fontId="10" fillId="0" borderId="5" xfId="0" applyNumberFormat="1" applyFont="1" applyBorder="1"/>
    <xf numFmtId="3" fontId="11" fillId="0" borderId="5" xfId="0" applyNumberFormat="1" applyFont="1" applyBorder="1"/>
    <xf numFmtId="3" fontId="10" fillId="0" borderId="0" xfId="0" applyNumberFormat="1" applyFont="1" applyAlignment="1">
      <alignment horizontal="left"/>
    </xf>
    <xf numFmtId="3" fontId="10" fillId="0" borderId="7" xfId="0" applyNumberFormat="1" applyFont="1" applyBorder="1" applyAlignment="1">
      <alignment horizontal="right"/>
    </xf>
    <xf numFmtId="3" fontId="11" fillId="0" borderId="7" xfId="0" applyNumberFormat="1" applyFont="1" applyBorder="1"/>
    <xf numFmtId="3" fontId="10" fillId="0" borderId="0" xfId="0" applyNumberFormat="1" applyFont="1"/>
    <xf numFmtId="3" fontId="10" fillId="0" borderId="5" xfId="0" applyNumberFormat="1" applyFont="1" applyBorder="1" applyAlignment="1">
      <alignment horizontal="left"/>
    </xf>
    <xf numFmtId="3" fontId="10" fillId="0" borderId="5" xfId="0" applyNumberFormat="1" applyFont="1" applyBorder="1" applyAlignment="1">
      <alignment horizontal="right"/>
    </xf>
    <xf numFmtId="0" fontId="12" fillId="0" borderId="0" xfId="0" applyFont="1"/>
    <xf numFmtId="0" fontId="13" fillId="0" borderId="0" xfId="0" applyFont="1"/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3" fillId="0" borderId="3" xfId="9" applyFont="1" applyBorder="1" applyAlignment="1">
      <alignment horizontal="left" vertical="top"/>
    </xf>
    <xf numFmtId="0" fontId="3" fillId="0" borderId="0" xfId="9" applyFont="1" applyAlignment="1">
      <alignment horizontal="left" vertical="top"/>
    </xf>
    <xf numFmtId="0" fontId="3" fillId="0" borderId="0" xfId="9" applyFont="1" applyAlignment="1">
      <alignment horizontal="right" vertical="top"/>
    </xf>
    <xf numFmtId="164" fontId="3" fillId="0" borderId="5" xfId="9" applyNumberFormat="1" applyFont="1" applyBorder="1" applyAlignment="1">
      <alignment horizontal="left" vertical="top"/>
    </xf>
    <xf numFmtId="0" fontId="3" fillId="0" borderId="5" xfId="9" applyFont="1" applyBorder="1" applyAlignment="1">
      <alignment horizontal="left" vertical="top" wrapText="1"/>
    </xf>
    <xf numFmtId="0" fontId="3" fillId="0" borderId="5" xfId="9" applyFont="1" applyBorder="1" applyAlignment="1">
      <alignment horizontal="right" vertical="top" wrapText="1"/>
    </xf>
    <xf numFmtId="3" fontId="11" fillId="0" borderId="7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3" xfId="8" applyFont="1" applyBorder="1"/>
    <xf numFmtId="0" fontId="3" fillId="0" borderId="0" xfId="8" applyFont="1"/>
    <xf numFmtId="0" fontId="3" fillId="0" borderId="0" xfId="8" applyFont="1" applyAlignment="1">
      <alignment horizontal="left"/>
    </xf>
    <xf numFmtId="0" fontId="9" fillId="0" borderId="0" xfId="8" applyFont="1" applyAlignment="1">
      <alignment horizontal="right"/>
    </xf>
    <xf numFmtId="0" fontId="3" fillId="0" borderId="0" xfId="8" applyFont="1" applyAlignment="1">
      <alignment horizontal="right"/>
    </xf>
    <xf numFmtId="164" fontId="9" fillId="0" borderId="5" xfId="8" applyNumberFormat="1" applyFont="1" applyBorder="1" applyAlignment="1">
      <alignment horizontal="right"/>
    </xf>
    <xf numFmtId="0" fontId="9" fillId="0" borderId="5" xfId="8" applyFont="1" applyBorder="1" applyAlignment="1">
      <alignment horizontal="right" wrapText="1"/>
    </xf>
    <xf numFmtId="0" fontId="3" fillId="0" borderId="5" xfId="8" applyFont="1" applyBorder="1" applyAlignment="1">
      <alignment horizontal="right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6" fillId="0" borderId="0" xfId="7" applyFont="1" applyAlignment="1">
      <alignment horizontal="left"/>
    </xf>
    <xf numFmtId="0" fontId="15" fillId="0" borderId="0" xfId="7" applyFont="1" applyAlignment="1">
      <alignment horizontal="left"/>
    </xf>
    <xf numFmtId="0" fontId="9" fillId="0" borderId="0" xfId="7" applyFont="1" applyAlignment="1">
      <alignment horizontal="left"/>
    </xf>
    <xf numFmtId="0" fontId="3" fillId="0" borderId="3" xfId="7" applyFont="1" applyBorder="1"/>
    <xf numFmtId="0" fontId="3" fillId="0" borderId="0" xfId="7" applyFont="1"/>
    <xf numFmtId="0" fontId="3" fillId="0" borderId="0" xfId="7" applyFont="1" applyAlignment="1">
      <alignment horizontal="left"/>
    </xf>
    <xf numFmtId="0" fontId="9" fillId="0" borderId="0" xfId="7" applyFont="1" applyAlignment="1">
      <alignment horizontal="right"/>
    </xf>
    <xf numFmtId="0" fontId="3" fillId="0" borderId="0" xfId="7" applyFont="1" applyAlignment="1">
      <alignment horizontal="right"/>
    </xf>
    <xf numFmtId="164" fontId="9" fillId="0" borderId="5" xfId="7" applyNumberFormat="1" applyFont="1" applyBorder="1" applyAlignment="1">
      <alignment horizontal="right"/>
    </xf>
    <xf numFmtId="0" fontId="9" fillId="0" borderId="5" xfId="7" applyFont="1" applyBorder="1" applyAlignment="1">
      <alignment horizontal="right" wrapText="1"/>
    </xf>
    <xf numFmtId="0" fontId="3" fillId="0" borderId="5" xfId="7" applyFont="1" applyBorder="1" applyAlignment="1">
      <alignment horizontal="right" wrapText="1"/>
    </xf>
    <xf numFmtId="0" fontId="11" fillId="0" borderId="0" xfId="7" applyFont="1" applyAlignment="1">
      <alignment horizontal="right"/>
    </xf>
    <xf numFmtId="0" fontId="11" fillId="0" borderId="0" xfId="7" applyFont="1"/>
    <xf numFmtId="0" fontId="10" fillId="0" borderId="0" xfId="7" applyFont="1"/>
    <xf numFmtId="0" fontId="10" fillId="0" borderId="5" xfId="3" applyFont="1" applyBorder="1"/>
    <xf numFmtId="0" fontId="11" fillId="0" borderId="5" xfId="3" applyFont="1" applyBorder="1"/>
    <xf numFmtId="164" fontId="10" fillId="0" borderId="5" xfId="3" applyNumberFormat="1" applyFont="1" applyBorder="1"/>
    <xf numFmtId="0" fontId="17" fillId="0" borderId="0" xfId="4" applyFont="1"/>
    <xf numFmtId="0" fontId="13" fillId="0" borderId="0" xfId="4" applyFont="1"/>
    <xf numFmtId="0" fontId="19" fillId="0" borderId="0" xfId="4" applyFont="1"/>
    <xf numFmtId="0" fontId="20" fillId="0" borderId="0" xfId="4" applyFont="1"/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7" xfId="0" applyFont="1" applyBorder="1"/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9" fillId="0" borderId="5" xfId="0" applyNumberFormat="1" applyFont="1" applyBorder="1" applyAlignment="1">
      <alignment horizontal="right"/>
    </xf>
    <xf numFmtId="0" fontId="9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5" xfId="0" applyFont="1" applyBorder="1" applyAlignment="1">
      <alignment horizontal="right"/>
    </xf>
    <xf numFmtId="164" fontId="10" fillId="0" borderId="6" xfId="0" applyNumberFormat="1" applyFont="1" applyBorder="1" applyAlignment="1">
      <alignment horizontal="left"/>
    </xf>
    <xf numFmtId="164" fontId="10" fillId="0" borderId="7" xfId="0" applyNumberFormat="1" applyFont="1" applyBorder="1"/>
    <xf numFmtId="164" fontId="10" fillId="0" borderId="6" xfId="0" applyNumberFormat="1" applyFont="1" applyBorder="1"/>
    <xf numFmtId="164" fontId="10" fillId="0" borderId="0" xfId="0" applyNumberFormat="1" applyFont="1"/>
    <xf numFmtId="164" fontId="10" fillId="0" borderId="5" xfId="0" applyNumberFormat="1" applyFont="1" applyBorder="1"/>
    <xf numFmtId="164" fontId="10" fillId="0" borderId="7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164" fontId="16" fillId="0" borderId="0" xfId="0" applyNumberFormat="1" applyFont="1" applyAlignment="1">
      <alignment horizontal="left"/>
    </xf>
    <xf numFmtId="164" fontId="16" fillId="0" borderId="6" xfId="0" applyNumberFormat="1" applyFont="1" applyBorder="1" applyAlignment="1">
      <alignment horizontal="left"/>
    </xf>
    <xf numFmtId="164" fontId="11" fillId="0" borderId="0" xfId="0" applyNumberFormat="1" applyFont="1" applyAlignment="1">
      <alignment horizontal="left"/>
    </xf>
    <xf numFmtId="0" fontId="22" fillId="0" borderId="0" xfId="0" applyFont="1"/>
    <xf numFmtId="164" fontId="3" fillId="0" borderId="5" xfId="0" applyNumberFormat="1" applyFont="1" applyBorder="1" applyAlignment="1">
      <alignment horizontal="right"/>
    </xf>
    <xf numFmtId="0" fontId="6" fillId="0" borderId="0" xfId="0" applyFont="1"/>
    <xf numFmtId="3" fontId="16" fillId="0" borderId="6" xfId="0" applyNumberFormat="1" applyFont="1" applyBorder="1" applyAlignment="1">
      <alignment horizontal="right"/>
    </xf>
    <xf numFmtId="0" fontId="16" fillId="0" borderId="0" xfId="0" applyFont="1"/>
    <xf numFmtId="0" fontId="3" fillId="0" borderId="0" xfId="6" applyFont="1" applyAlignment="1">
      <alignment horizontal="left" vertical="top"/>
    </xf>
    <xf numFmtId="164" fontId="3" fillId="0" borderId="5" xfId="6" applyNumberFormat="1" applyFont="1" applyBorder="1" applyAlignment="1">
      <alignment horizontal="left" vertical="top"/>
    </xf>
    <xf numFmtId="0" fontId="9" fillId="0" borderId="1" xfId="6" applyFont="1" applyBorder="1" applyAlignment="1">
      <alignment vertical="top"/>
    </xf>
    <xf numFmtId="0" fontId="9" fillId="0" borderId="2" xfId="6" applyFont="1" applyBorder="1" applyAlignment="1">
      <alignment vertical="top"/>
    </xf>
    <xf numFmtId="0" fontId="3" fillId="0" borderId="3" xfId="6" applyFont="1" applyBorder="1" applyAlignment="1">
      <alignment horizontal="left" vertical="top"/>
    </xf>
    <xf numFmtId="0" fontId="3" fillId="0" borderId="4" xfId="6" applyFont="1" applyBorder="1" applyAlignment="1">
      <alignment horizontal="left" vertical="top"/>
    </xf>
    <xf numFmtId="0" fontId="3" fillId="0" borderId="0" xfId="6" applyFont="1" applyAlignment="1">
      <alignment horizontal="right" vertical="top"/>
    </xf>
    <xf numFmtId="0" fontId="3" fillId="0" borderId="5" xfId="6" applyFont="1" applyBorder="1" applyAlignment="1">
      <alignment horizontal="left" vertical="top" wrapText="1"/>
    </xf>
    <xf numFmtId="0" fontId="3" fillId="0" borderId="5" xfId="6" applyFont="1" applyBorder="1" applyAlignment="1">
      <alignment horizontal="right" vertical="top" wrapText="1"/>
    </xf>
    <xf numFmtId="0" fontId="2" fillId="0" borderId="0" xfId="0" applyFont="1"/>
    <xf numFmtId="3" fontId="11" fillId="0" borderId="0" xfId="0" applyNumberFormat="1" applyFont="1" applyAlignment="1">
      <alignment horizontal="left"/>
    </xf>
    <xf numFmtId="3" fontId="11" fillId="0" borderId="0" xfId="1" applyNumberFormat="1" applyFont="1" applyAlignment="1">
      <alignment horizontal="right"/>
    </xf>
    <xf numFmtId="0" fontId="10" fillId="0" borderId="0" xfId="1" applyFont="1" applyAlignment="1">
      <alignment horizontal="right"/>
    </xf>
    <xf numFmtId="164" fontId="11" fillId="0" borderId="5" xfId="1" applyNumberFormat="1" applyFont="1" applyBorder="1"/>
    <xf numFmtId="3" fontId="11" fillId="0" borderId="5" xfId="1" applyNumberFormat="1" applyFont="1" applyBorder="1" applyAlignment="1">
      <alignment horizontal="right"/>
    </xf>
    <xf numFmtId="3" fontId="11" fillId="0" borderId="6" xfId="1" applyNumberFormat="1" applyFont="1" applyBorder="1" applyAlignment="1">
      <alignment horizontal="right"/>
    </xf>
    <xf numFmtId="0" fontId="11" fillId="0" borderId="0" xfId="1" applyFont="1"/>
    <xf numFmtId="3" fontId="10" fillId="0" borderId="6" xfId="1" applyNumberFormat="1" applyFont="1" applyBorder="1" applyAlignment="1">
      <alignment horizontal="right"/>
    </xf>
    <xf numFmtId="0" fontId="10" fillId="0" borderId="0" xfId="1" applyFont="1"/>
    <xf numFmtId="3" fontId="11" fillId="0" borderId="0" xfId="1" applyNumberFormat="1" applyFont="1"/>
    <xf numFmtId="3" fontId="10" fillId="0" borderId="6" xfId="1" applyNumberFormat="1" applyFont="1" applyBorder="1"/>
    <xf numFmtId="3" fontId="10" fillId="0" borderId="5" xfId="1" applyNumberFormat="1" applyFont="1" applyBorder="1"/>
    <xf numFmtId="3" fontId="11" fillId="0" borderId="5" xfId="1" applyNumberFormat="1" applyFont="1" applyBorder="1"/>
    <xf numFmtId="3" fontId="10" fillId="0" borderId="0" xfId="1" applyNumberFormat="1" applyFont="1" applyAlignment="1">
      <alignment horizontal="left"/>
    </xf>
    <xf numFmtId="3" fontId="10" fillId="0" borderId="7" xfId="1" applyNumberFormat="1" applyFont="1" applyBorder="1" applyAlignment="1">
      <alignment horizontal="right"/>
    </xf>
    <xf numFmtId="3" fontId="11" fillId="0" borderId="7" xfId="1" applyNumberFormat="1" applyFont="1" applyBorder="1"/>
    <xf numFmtId="3" fontId="10" fillId="0" borderId="0" xfId="1" applyNumberFormat="1" applyFont="1"/>
    <xf numFmtId="3" fontId="10" fillId="0" borderId="5" xfId="1" applyNumberFormat="1" applyFont="1" applyBorder="1" applyAlignment="1">
      <alignment horizontal="left"/>
    </xf>
    <xf numFmtId="3" fontId="10" fillId="0" borderId="5" xfId="1" applyNumberFormat="1" applyFont="1" applyBorder="1" applyAlignment="1">
      <alignment horizontal="right"/>
    </xf>
    <xf numFmtId="3" fontId="16" fillId="0" borderId="6" xfId="1" applyNumberFormat="1" applyFont="1" applyBorder="1" applyAlignment="1">
      <alignment horizontal="right"/>
    </xf>
    <xf numFmtId="0" fontId="16" fillId="0" borderId="0" xfId="1" applyFont="1"/>
    <xf numFmtId="3" fontId="10" fillId="0" borderId="0" xfId="1" applyNumberFormat="1" applyFont="1" applyAlignment="1">
      <alignment horizontal="right"/>
    </xf>
    <xf numFmtId="3" fontId="11" fillId="0" borderId="0" xfId="1" applyNumberFormat="1" applyFont="1" applyAlignment="1">
      <alignment horizontal="left"/>
    </xf>
    <xf numFmtId="0" fontId="12" fillId="0" borderId="0" xfId="1" applyFont="1"/>
    <xf numFmtId="0" fontId="13" fillId="0" borderId="0" xfId="1" applyFont="1"/>
    <xf numFmtId="0" fontId="17" fillId="0" borderId="0" xfId="1" applyFont="1"/>
    <xf numFmtId="0" fontId="14" fillId="0" borderId="0" xfId="1" applyFont="1"/>
    <xf numFmtId="0" fontId="3" fillId="0" borderId="0" xfId="1" applyFont="1"/>
    <xf numFmtId="49" fontId="3" fillId="0" borderId="0" xfId="1" applyNumberFormat="1" applyFont="1"/>
    <xf numFmtId="0" fontId="2" fillId="0" borderId="0" xfId="2"/>
    <xf numFmtId="0" fontId="7" fillId="0" borderId="0" xfId="2" applyFont="1"/>
    <xf numFmtId="0" fontId="3" fillId="0" borderId="0" xfId="2" applyFont="1" applyAlignment="1">
      <alignment horizontal="left" vertical="top"/>
    </xf>
    <xf numFmtId="3" fontId="11" fillId="0" borderId="0" xfId="2" applyNumberFormat="1" applyFont="1" applyAlignment="1">
      <alignment horizontal="right"/>
    </xf>
    <xf numFmtId="0" fontId="10" fillId="0" borderId="0" xfId="2" applyFont="1" applyAlignment="1">
      <alignment horizontal="right"/>
    </xf>
    <xf numFmtId="164" fontId="11" fillId="0" borderId="5" xfId="2" applyNumberFormat="1" applyFont="1" applyBorder="1"/>
    <xf numFmtId="3" fontId="11" fillId="0" borderId="5" xfId="2" applyNumberFormat="1" applyFont="1" applyBorder="1" applyAlignment="1">
      <alignment horizontal="right"/>
    </xf>
    <xf numFmtId="3" fontId="11" fillId="0" borderId="6" xfId="2" applyNumberFormat="1" applyFont="1" applyBorder="1" applyAlignment="1">
      <alignment horizontal="right"/>
    </xf>
    <xf numFmtId="0" fontId="11" fillId="0" borderId="0" xfId="2" applyFont="1"/>
    <xf numFmtId="3" fontId="10" fillId="0" borderId="6" xfId="2" applyNumberFormat="1" applyFont="1" applyBorder="1" applyAlignment="1">
      <alignment horizontal="right"/>
    </xf>
    <xf numFmtId="0" fontId="10" fillId="0" borderId="0" xfId="2" applyFont="1"/>
    <xf numFmtId="3" fontId="11" fillId="0" borderId="0" xfId="2" applyNumberFormat="1" applyFont="1"/>
    <xf numFmtId="3" fontId="10" fillId="0" borderId="6" xfId="2" applyNumberFormat="1" applyFont="1" applyBorder="1"/>
    <xf numFmtId="3" fontId="10" fillId="0" borderId="5" xfId="2" applyNumberFormat="1" applyFont="1" applyBorder="1"/>
    <xf numFmtId="3" fontId="11" fillId="0" borderId="5" xfId="2" applyNumberFormat="1" applyFont="1" applyBorder="1"/>
    <xf numFmtId="3" fontId="10" fillId="0" borderId="0" xfId="2" applyNumberFormat="1" applyFont="1" applyAlignment="1">
      <alignment horizontal="left"/>
    </xf>
    <xf numFmtId="3" fontId="10" fillId="0" borderId="7" xfId="2" applyNumberFormat="1" applyFont="1" applyBorder="1" applyAlignment="1">
      <alignment horizontal="right"/>
    </xf>
    <xf numFmtId="3" fontId="11" fillId="0" borderId="7" xfId="2" applyNumberFormat="1" applyFont="1" applyBorder="1"/>
    <xf numFmtId="3" fontId="10" fillId="0" borderId="0" xfId="2" applyNumberFormat="1" applyFont="1"/>
    <xf numFmtId="3" fontId="10" fillId="0" borderId="5" xfId="2" applyNumberFormat="1" applyFont="1" applyBorder="1" applyAlignment="1">
      <alignment horizontal="left"/>
    </xf>
    <xf numFmtId="3" fontId="10" fillId="0" borderId="5" xfId="2" applyNumberFormat="1" applyFont="1" applyBorder="1" applyAlignment="1">
      <alignment horizontal="right"/>
    </xf>
    <xf numFmtId="3" fontId="10" fillId="0" borderId="7" xfId="2" applyNumberFormat="1" applyFont="1" applyBorder="1" applyAlignment="1">
      <alignment horizontal="left"/>
    </xf>
    <xf numFmtId="3" fontId="10" fillId="0" borderId="0" xfId="2" applyNumberFormat="1" applyFont="1" applyAlignment="1">
      <alignment horizontal="right"/>
    </xf>
    <xf numFmtId="3" fontId="11" fillId="0" borderId="0" xfId="2" applyNumberFormat="1" applyFont="1" applyAlignment="1">
      <alignment horizontal="left"/>
    </xf>
    <xf numFmtId="3" fontId="11" fillId="0" borderId="7" xfId="2" applyNumberFormat="1" applyFont="1" applyBorder="1" applyAlignment="1">
      <alignment horizontal="right"/>
    </xf>
    <xf numFmtId="0" fontId="13" fillId="0" borderId="0" xfId="2" applyFont="1"/>
    <xf numFmtId="0" fontId="14" fillId="0" borderId="0" xfId="2" applyFont="1"/>
    <xf numFmtId="0" fontId="3" fillId="0" borderId="0" xfId="2" applyFont="1"/>
    <xf numFmtId="49" fontId="3" fillId="0" borderId="0" xfId="2" applyNumberFormat="1" applyFont="1"/>
    <xf numFmtId="0" fontId="1" fillId="0" borderId="0" xfId="10"/>
    <xf numFmtId="0" fontId="7" fillId="0" borderId="0" xfId="10" applyFont="1"/>
    <xf numFmtId="0" fontId="3" fillId="0" borderId="0" xfId="10" applyFont="1" applyAlignment="1">
      <alignment horizontal="left" vertical="top"/>
    </xf>
    <xf numFmtId="3" fontId="11" fillId="0" borderId="7" xfId="10" applyNumberFormat="1" applyFont="1" applyBorder="1" applyAlignment="1">
      <alignment horizontal="right"/>
    </xf>
    <xf numFmtId="0" fontId="10" fillId="0" borderId="0" xfId="10" applyFont="1" applyAlignment="1">
      <alignment horizontal="right"/>
    </xf>
    <xf numFmtId="164" fontId="11" fillId="0" borderId="5" xfId="10" applyNumberFormat="1" applyFont="1" applyBorder="1"/>
    <xf numFmtId="3" fontId="11" fillId="0" borderId="5" xfId="10" applyNumberFormat="1" applyFont="1" applyBorder="1" applyAlignment="1">
      <alignment horizontal="right"/>
    </xf>
    <xf numFmtId="3" fontId="11" fillId="0" borderId="6" xfId="10" applyNumberFormat="1" applyFont="1" applyBorder="1" applyAlignment="1">
      <alignment horizontal="right"/>
    </xf>
    <xf numFmtId="0" fontId="11" fillId="0" borderId="0" xfId="10" applyFont="1"/>
    <xf numFmtId="3" fontId="10" fillId="0" borderId="6" xfId="10" applyNumberFormat="1" applyFont="1" applyBorder="1" applyAlignment="1">
      <alignment horizontal="right"/>
    </xf>
    <xf numFmtId="0" fontId="10" fillId="0" borderId="0" xfId="10" applyFont="1"/>
    <xf numFmtId="3" fontId="11" fillId="0" borderId="0" xfId="10" applyNumberFormat="1" applyFont="1"/>
    <xf numFmtId="3" fontId="10" fillId="0" borderId="6" xfId="10" applyNumberFormat="1" applyFont="1" applyBorder="1"/>
    <xf numFmtId="3" fontId="10" fillId="0" borderId="5" xfId="10" applyNumberFormat="1" applyFont="1" applyBorder="1"/>
    <xf numFmtId="3" fontId="11" fillId="0" borderId="5" xfId="10" applyNumberFormat="1" applyFont="1" applyBorder="1"/>
    <xf numFmtId="3" fontId="10" fillId="0" borderId="7" xfId="10" applyNumberFormat="1" applyFont="1" applyBorder="1" applyAlignment="1">
      <alignment horizontal="right"/>
    </xf>
    <xf numFmtId="3" fontId="11" fillId="0" borderId="7" xfId="10" applyNumberFormat="1" applyFont="1" applyBorder="1"/>
    <xf numFmtId="3" fontId="10" fillId="0" borderId="0" xfId="10" applyNumberFormat="1" applyFont="1"/>
    <xf numFmtId="3" fontId="10" fillId="0" borderId="5" xfId="10" applyNumberFormat="1" applyFont="1" applyBorder="1" applyAlignment="1">
      <alignment horizontal="left"/>
    </xf>
    <xf numFmtId="3" fontId="10" fillId="0" borderId="5" xfId="10" applyNumberFormat="1" applyFont="1" applyBorder="1" applyAlignment="1">
      <alignment horizontal="right"/>
    </xf>
    <xf numFmtId="3" fontId="10" fillId="0" borderId="10" xfId="10" applyNumberFormat="1" applyFont="1" applyBorder="1" applyAlignment="1">
      <alignment horizontal="right"/>
    </xf>
    <xf numFmtId="3" fontId="10" fillId="0" borderId="0" xfId="10" applyNumberFormat="1" applyFont="1" applyAlignment="1">
      <alignment horizontal="right"/>
    </xf>
    <xf numFmtId="3" fontId="10" fillId="0" borderId="0" xfId="10" applyNumberFormat="1" applyFont="1" applyAlignment="1">
      <alignment horizontal="left"/>
    </xf>
    <xf numFmtId="3" fontId="10" fillId="0" borderId="10" xfId="10" applyNumberFormat="1" applyFont="1" applyBorder="1" applyAlignment="1">
      <alignment horizontal="left"/>
    </xf>
    <xf numFmtId="3" fontId="11" fillId="0" borderId="0" xfId="10" applyNumberFormat="1" applyFont="1" applyAlignment="1">
      <alignment horizontal="left"/>
    </xf>
    <xf numFmtId="3" fontId="11" fillId="0" borderId="10" xfId="10" applyNumberFormat="1" applyFont="1" applyBorder="1" applyAlignment="1">
      <alignment horizontal="right"/>
    </xf>
    <xf numFmtId="0" fontId="13" fillId="0" borderId="0" xfId="10" applyFont="1"/>
    <xf numFmtId="0" fontId="14" fillId="0" borderId="0" xfId="10" applyFont="1"/>
    <xf numFmtId="0" fontId="17" fillId="0" borderId="0" xfId="10" applyFont="1"/>
    <xf numFmtId="0" fontId="3" fillId="0" borderId="0" xfId="10" applyFont="1"/>
    <xf numFmtId="49" fontId="3" fillId="0" borderId="0" xfId="10" applyNumberFormat="1" applyFont="1"/>
    <xf numFmtId="164" fontId="11" fillId="0" borderId="5" xfId="1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right"/>
    </xf>
    <xf numFmtId="3" fontId="10" fillId="0" borderId="10" xfId="0" applyNumberFormat="1" applyFont="1" applyBorder="1" applyAlignment="1">
      <alignment horizontal="right"/>
    </xf>
    <xf numFmtId="3" fontId="10" fillId="0" borderId="10" xfId="0" applyNumberFormat="1" applyFont="1" applyBorder="1" applyAlignment="1">
      <alignment horizontal="left"/>
    </xf>
    <xf numFmtId="3" fontId="11" fillId="0" borderId="10" xfId="0" applyNumberFormat="1" applyFont="1" applyBorder="1"/>
    <xf numFmtId="0" fontId="6" fillId="0" borderId="0" xfId="11" applyFont="1" applyAlignment="1">
      <alignment horizontal="left"/>
    </xf>
    <xf numFmtId="3" fontId="11" fillId="0" borderId="0" xfId="10" applyNumberFormat="1" applyFont="1" applyAlignment="1">
      <alignment horizontal="right"/>
    </xf>
    <xf numFmtId="3" fontId="11" fillId="0" borderId="10" xfId="10" applyNumberFormat="1" applyFont="1" applyBorder="1"/>
    <xf numFmtId="3" fontId="11" fillId="0" borderId="0" xfId="12" applyNumberFormat="1" applyFont="1" applyAlignment="1">
      <alignment horizontal="right"/>
    </xf>
    <xf numFmtId="0" fontId="10" fillId="0" borderId="0" xfId="12" applyFont="1" applyAlignment="1">
      <alignment horizontal="right"/>
    </xf>
    <xf numFmtId="164" fontId="11" fillId="0" borderId="5" xfId="12" applyNumberFormat="1" applyFont="1" applyBorder="1"/>
    <xf numFmtId="3" fontId="11" fillId="0" borderId="5" xfId="12" applyNumberFormat="1" applyFont="1" applyBorder="1" applyAlignment="1">
      <alignment horizontal="right"/>
    </xf>
    <xf numFmtId="3" fontId="11" fillId="0" borderId="6" xfId="12" applyNumberFormat="1" applyFont="1" applyBorder="1" applyAlignment="1">
      <alignment horizontal="right"/>
    </xf>
    <xf numFmtId="0" fontId="11" fillId="0" borderId="0" xfId="12" applyFont="1"/>
    <xf numFmtId="3" fontId="10" fillId="0" borderId="6" xfId="12" applyNumberFormat="1" applyFont="1" applyBorder="1" applyAlignment="1">
      <alignment horizontal="right"/>
    </xf>
    <xf numFmtId="0" fontId="10" fillId="0" borderId="0" xfId="12" applyFont="1"/>
    <xf numFmtId="3" fontId="11" fillId="0" borderId="0" xfId="12" applyNumberFormat="1" applyFont="1"/>
    <xf numFmtId="3" fontId="10" fillId="0" borderId="6" xfId="12" applyNumberFormat="1" applyFont="1" applyBorder="1"/>
    <xf numFmtId="3" fontId="10" fillId="0" borderId="5" xfId="12" applyNumberFormat="1" applyFont="1" applyBorder="1"/>
    <xf numFmtId="3" fontId="11" fillId="0" borderId="5" xfId="12" applyNumberFormat="1" applyFont="1" applyBorder="1"/>
    <xf numFmtId="3" fontId="10" fillId="0" borderId="0" xfId="12" applyNumberFormat="1" applyFont="1" applyAlignment="1">
      <alignment horizontal="left"/>
    </xf>
    <xf numFmtId="3" fontId="10" fillId="0" borderId="10" xfId="12" applyNumberFormat="1" applyFont="1" applyBorder="1" applyAlignment="1">
      <alignment horizontal="right"/>
    </xf>
    <xf numFmtId="3" fontId="11" fillId="0" borderId="10" xfId="12" applyNumberFormat="1" applyFont="1" applyBorder="1"/>
    <xf numFmtId="3" fontId="10" fillId="0" borderId="0" xfId="12" applyNumberFormat="1" applyFont="1"/>
    <xf numFmtId="3" fontId="10" fillId="0" borderId="5" xfId="12" applyNumberFormat="1" applyFont="1" applyBorder="1" applyAlignment="1">
      <alignment horizontal="left"/>
    </xf>
    <xf numFmtId="3" fontId="10" fillId="0" borderId="5" xfId="12" applyNumberFormat="1" applyFont="1" applyBorder="1" applyAlignment="1">
      <alignment horizontal="right"/>
    </xf>
    <xf numFmtId="3" fontId="10" fillId="0" borderId="10" xfId="12" applyNumberFormat="1" applyFont="1" applyBorder="1" applyAlignment="1">
      <alignment horizontal="left"/>
    </xf>
    <xf numFmtId="3" fontId="10" fillId="0" borderId="0" xfId="12" applyNumberFormat="1" applyFont="1" applyAlignment="1">
      <alignment horizontal="right"/>
    </xf>
    <xf numFmtId="3" fontId="11" fillId="0" borderId="0" xfId="12" applyNumberFormat="1" applyFont="1" applyAlignment="1">
      <alignment horizontal="left"/>
    </xf>
    <xf numFmtId="3" fontId="11" fillId="0" borderId="10" xfId="12" applyNumberFormat="1" applyFont="1" applyBorder="1" applyAlignment="1">
      <alignment horizontal="right"/>
    </xf>
    <xf numFmtId="0" fontId="13" fillId="0" borderId="0" xfId="12" applyFont="1"/>
    <xf numFmtId="0" fontId="14" fillId="0" borderId="0" xfId="12" applyFont="1"/>
    <xf numFmtId="0" fontId="3" fillId="0" borderId="0" xfId="12" applyFont="1"/>
    <xf numFmtId="49" fontId="3" fillId="0" borderId="0" xfId="12" applyNumberFormat="1" applyFont="1"/>
    <xf numFmtId="0" fontId="10" fillId="0" borderId="0" xfId="10" applyFont="1" applyAlignment="1">
      <alignment horizontal="left"/>
    </xf>
    <xf numFmtId="0" fontId="23" fillId="0" borderId="0" xfId="10" applyFont="1" applyAlignment="1">
      <alignment horizontal="left"/>
    </xf>
    <xf numFmtId="0" fontId="11" fillId="0" borderId="0" xfId="10" applyFont="1" applyAlignment="1">
      <alignment horizontal="left"/>
    </xf>
    <xf numFmtId="0" fontId="16" fillId="0" borderId="0" xfId="10" applyFont="1" applyAlignment="1">
      <alignment horizontal="left"/>
    </xf>
    <xf numFmtId="3" fontId="10" fillId="0" borderId="6" xfId="12" applyNumberFormat="1" applyFont="1" applyBorder="1" applyAlignment="1">
      <alignment horizontal="left"/>
    </xf>
    <xf numFmtId="0" fontId="27" fillId="0" borderId="0" xfId="12" applyFont="1" applyAlignment="1">
      <alignment horizontal="left"/>
    </xf>
    <xf numFmtId="0" fontId="4" fillId="0" borderId="0" xfId="10" applyFont="1" applyAlignment="1">
      <alignment horizontal="left"/>
    </xf>
    <xf numFmtId="0" fontId="4" fillId="0" borderId="0" xfId="11" applyFont="1" applyAlignment="1">
      <alignment horizontal="left"/>
    </xf>
    <xf numFmtId="0" fontId="8" fillId="0" borderId="0" xfId="10" applyFont="1" applyAlignment="1">
      <alignment horizontal="left"/>
    </xf>
    <xf numFmtId="0" fontId="8" fillId="0" borderId="5" xfId="10" applyFont="1" applyBorder="1" applyAlignment="1">
      <alignment horizontal="left"/>
    </xf>
    <xf numFmtId="0" fontId="3" fillId="0" borderId="10" xfId="6" applyFont="1" applyBorder="1" applyAlignment="1">
      <alignment horizontal="left" vertical="top"/>
    </xf>
    <xf numFmtId="0" fontId="9" fillId="0" borderId="1" xfId="6" applyFont="1" applyBorder="1" applyAlignment="1">
      <alignment horizontal="left" vertical="top"/>
    </xf>
    <xf numFmtId="0" fontId="9" fillId="0" borderId="10" xfId="6" applyFont="1" applyBorder="1" applyAlignment="1">
      <alignment horizontal="left" vertical="top"/>
    </xf>
    <xf numFmtId="0" fontId="3" fillId="0" borderId="0" xfId="6" applyFont="1" applyAlignment="1">
      <alignment horizontal="left" vertical="top"/>
    </xf>
    <xf numFmtId="3" fontId="10" fillId="0" borderId="0" xfId="12" applyNumberFormat="1" applyFont="1" applyAlignment="1">
      <alignment horizontal="left"/>
    </xf>
    <xf numFmtId="3" fontId="11" fillId="0" borderId="6" xfId="12" applyNumberFormat="1" applyFont="1" applyBorder="1" applyAlignment="1">
      <alignment horizontal="left"/>
    </xf>
    <xf numFmtId="3" fontId="10" fillId="0" borderId="10" xfId="12" applyNumberFormat="1" applyFont="1" applyBorder="1" applyAlignment="1">
      <alignment horizontal="left"/>
    </xf>
    <xf numFmtId="0" fontId="28" fillId="0" borderId="6" xfId="12" applyBorder="1" applyAlignment="1">
      <alignment horizontal="left"/>
    </xf>
    <xf numFmtId="3" fontId="11" fillId="0" borderId="5" xfId="12" applyNumberFormat="1" applyFont="1" applyBorder="1" applyAlignment="1">
      <alignment horizontal="left"/>
    </xf>
    <xf numFmtId="3" fontId="10" fillId="0" borderId="5" xfId="12" applyNumberFormat="1" applyFont="1" applyBorder="1" applyAlignment="1">
      <alignment horizontal="left"/>
    </xf>
    <xf numFmtId="164" fontId="11" fillId="0" borderId="0" xfId="12" applyNumberFormat="1" applyFont="1" applyAlignment="1">
      <alignment horizontal="left"/>
    </xf>
    <xf numFmtId="164" fontId="3" fillId="0" borderId="5" xfId="6" applyNumberFormat="1" applyFont="1" applyBorder="1" applyAlignment="1">
      <alignment horizontal="left" vertical="top"/>
    </xf>
    <xf numFmtId="3" fontId="11" fillId="0" borderId="6" xfId="0" applyNumberFormat="1" applyFont="1" applyBorder="1" applyAlignment="1">
      <alignment horizontal="left"/>
    </xf>
    <xf numFmtId="3" fontId="10" fillId="0" borderId="6" xfId="0" applyNumberFormat="1" applyFont="1" applyBorder="1" applyAlignment="1">
      <alignment horizontal="left"/>
    </xf>
    <xf numFmtId="0" fontId="27" fillId="0" borderId="0" xfId="10" applyFont="1" applyAlignment="1">
      <alignment horizontal="left"/>
    </xf>
    <xf numFmtId="3" fontId="10" fillId="0" borderId="10" xfId="0" applyNumberFormat="1" applyFont="1" applyBorder="1" applyAlignment="1">
      <alignment horizontal="left"/>
    </xf>
    <xf numFmtId="3" fontId="10" fillId="0" borderId="0" xfId="0" applyNumberFormat="1" applyFont="1" applyAlignment="1">
      <alignment horizontal="left"/>
    </xf>
    <xf numFmtId="0" fontId="0" fillId="0" borderId="6" xfId="0" applyBorder="1" applyAlignment="1">
      <alignment horizontal="left"/>
    </xf>
    <xf numFmtId="3" fontId="11" fillId="0" borderId="5" xfId="0" applyNumberFormat="1" applyFont="1" applyBorder="1" applyAlignment="1">
      <alignment horizontal="left"/>
    </xf>
    <xf numFmtId="3" fontId="10" fillId="0" borderId="5" xfId="0" applyNumberFormat="1" applyFont="1" applyBorder="1" applyAlignment="1">
      <alignment horizontal="left"/>
    </xf>
    <xf numFmtId="164" fontId="11" fillId="0" borderId="10" xfId="0" applyNumberFormat="1" applyFont="1" applyBorder="1" applyAlignment="1">
      <alignment horizontal="left"/>
    </xf>
    <xf numFmtId="164" fontId="11" fillId="0" borderId="0" xfId="0" applyNumberFormat="1" applyFont="1" applyAlignment="1">
      <alignment horizontal="left"/>
    </xf>
    <xf numFmtId="0" fontId="3" fillId="0" borderId="7" xfId="6" applyFont="1" applyBorder="1" applyAlignment="1">
      <alignment horizontal="left" vertical="top"/>
    </xf>
    <xf numFmtId="0" fontId="9" fillId="0" borderId="7" xfId="6" applyFont="1" applyBorder="1" applyAlignment="1">
      <alignment horizontal="left" vertical="top"/>
    </xf>
    <xf numFmtId="3" fontId="10" fillId="0" borderId="6" xfId="10" applyNumberFormat="1" applyFont="1" applyBorder="1" applyAlignment="1">
      <alignment horizontal="left"/>
    </xf>
    <xf numFmtId="3" fontId="11" fillId="0" borderId="6" xfId="10" applyNumberFormat="1" applyFont="1" applyBorder="1" applyAlignment="1">
      <alignment horizontal="left"/>
    </xf>
    <xf numFmtId="164" fontId="11" fillId="0" borderId="0" xfId="10" applyNumberFormat="1" applyFont="1" applyAlignment="1">
      <alignment horizontal="left"/>
    </xf>
    <xf numFmtId="3" fontId="10" fillId="0" borderId="0" xfId="10" applyNumberFormat="1" applyFont="1" applyAlignment="1">
      <alignment horizontal="left"/>
    </xf>
    <xf numFmtId="3" fontId="10" fillId="0" borderId="5" xfId="10" applyNumberFormat="1" applyFont="1" applyBorder="1" applyAlignment="1">
      <alignment horizontal="left"/>
    </xf>
    <xf numFmtId="3" fontId="11" fillId="0" borderId="5" xfId="10" applyNumberFormat="1" applyFont="1" applyBorder="1" applyAlignment="1">
      <alignment horizontal="left"/>
    </xf>
    <xf numFmtId="0" fontId="1" fillId="0" borderId="6" xfId="10" applyBorder="1" applyAlignment="1">
      <alignment horizontal="left"/>
    </xf>
    <xf numFmtId="3" fontId="10" fillId="0" borderId="10" xfId="1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11" fillId="0" borderId="7" xfId="10" applyNumberFormat="1" applyFont="1" applyBorder="1" applyAlignment="1">
      <alignment horizontal="left"/>
    </xf>
    <xf numFmtId="0" fontId="26" fillId="0" borderId="0" xfId="10" applyFont="1" applyAlignment="1">
      <alignment horizontal="left"/>
    </xf>
    <xf numFmtId="0" fontId="6" fillId="0" borderId="0" xfId="6" applyFont="1" applyAlignment="1">
      <alignment horizontal="left"/>
    </xf>
    <xf numFmtId="0" fontId="10" fillId="0" borderId="0" xfId="2" applyFont="1" applyAlignment="1">
      <alignment horizontal="left"/>
    </xf>
    <xf numFmtId="3" fontId="10" fillId="0" borderId="6" xfId="2" applyNumberFormat="1" applyFont="1" applyBorder="1" applyAlignment="1">
      <alignment horizontal="left"/>
    </xf>
    <xf numFmtId="0" fontId="23" fillId="0" borderId="0" xfId="2" applyFont="1" applyAlignment="1">
      <alignment horizontal="left"/>
    </xf>
    <xf numFmtId="3" fontId="10" fillId="0" borderId="0" xfId="2" applyNumberFormat="1" applyFont="1" applyAlignment="1">
      <alignment horizontal="left"/>
    </xf>
    <xf numFmtId="3" fontId="11" fillId="0" borderId="6" xfId="2" applyNumberFormat="1" applyFont="1" applyBorder="1" applyAlignment="1">
      <alignment horizontal="left"/>
    </xf>
    <xf numFmtId="0" fontId="11" fillId="0" borderId="0" xfId="2" applyFont="1" applyAlignment="1">
      <alignment horizontal="left"/>
    </xf>
    <xf numFmtId="3" fontId="10" fillId="0" borderId="7" xfId="2" applyNumberFormat="1" applyFont="1" applyBorder="1" applyAlignment="1">
      <alignment horizontal="left"/>
    </xf>
    <xf numFmtId="3" fontId="10" fillId="0" borderId="5" xfId="2" applyNumberFormat="1" applyFont="1" applyBorder="1" applyAlignment="1">
      <alignment horizontal="left"/>
    </xf>
    <xf numFmtId="3" fontId="11" fillId="0" borderId="5" xfId="2" applyNumberFormat="1" applyFont="1" applyBorder="1" applyAlignment="1">
      <alignment horizontal="left"/>
    </xf>
    <xf numFmtId="164" fontId="11" fillId="0" borderId="0" xfId="2" applyNumberFormat="1" applyFont="1" applyAlignment="1">
      <alignment horizontal="left"/>
    </xf>
    <xf numFmtId="0" fontId="26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3" fontId="10" fillId="0" borderId="6" xfId="1" applyNumberFormat="1" applyFont="1" applyBorder="1" applyAlignment="1">
      <alignment horizontal="left"/>
    </xf>
    <xf numFmtId="3" fontId="11" fillId="0" borderId="6" xfId="1" applyNumberFormat="1" applyFont="1" applyBorder="1" applyAlignment="1">
      <alignment horizontal="left"/>
    </xf>
    <xf numFmtId="3" fontId="10" fillId="0" borderId="0" xfId="1" applyNumberFormat="1" applyFont="1" applyAlignment="1">
      <alignment horizontal="left"/>
    </xf>
    <xf numFmtId="164" fontId="11" fillId="0" borderId="0" xfId="1" applyNumberFormat="1" applyFont="1" applyAlignment="1">
      <alignment horizontal="left"/>
    </xf>
    <xf numFmtId="3" fontId="11" fillId="0" borderId="5" xfId="1" applyNumberFormat="1" applyFont="1" applyBorder="1" applyAlignment="1">
      <alignment horizontal="left"/>
    </xf>
    <xf numFmtId="3" fontId="10" fillId="0" borderId="5" xfId="1" applyNumberFormat="1" applyFont="1" applyBorder="1" applyAlignment="1">
      <alignment horizontal="left"/>
    </xf>
    <xf numFmtId="3" fontId="10" fillId="0" borderId="7" xfId="1" applyNumberFormat="1" applyFont="1" applyBorder="1" applyAlignment="1">
      <alignment horizontal="left"/>
    </xf>
    <xf numFmtId="3" fontId="16" fillId="0" borderId="6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1" applyFont="1" applyAlignment="1">
      <alignment horizontal="left"/>
    </xf>
    <xf numFmtId="0" fontId="2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3" fontId="10" fillId="0" borderId="7" xfId="0" applyNumberFormat="1" applyFont="1" applyBorder="1" applyAlignment="1">
      <alignment horizontal="left"/>
    </xf>
    <xf numFmtId="3" fontId="16" fillId="0" borderId="6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5" applyFont="1" applyAlignment="1">
      <alignment horizontal="left" vertical="top"/>
    </xf>
    <xf numFmtId="164" fontId="3" fillId="0" borderId="5" xfId="5" applyNumberFormat="1" applyFont="1" applyBorder="1" applyAlignment="1">
      <alignment horizontal="left" vertical="top"/>
    </xf>
    <xf numFmtId="0" fontId="6" fillId="0" borderId="0" xfId="5" applyFont="1" applyAlignment="1">
      <alignment horizontal="left"/>
    </xf>
    <xf numFmtId="0" fontId="3" fillId="0" borderId="7" xfId="5" applyFont="1" applyBorder="1" applyAlignment="1">
      <alignment horizontal="left" vertical="top"/>
    </xf>
    <xf numFmtId="0" fontId="9" fillId="0" borderId="1" xfId="5" applyFont="1" applyBorder="1" applyAlignment="1">
      <alignment horizontal="left" vertical="top"/>
    </xf>
    <xf numFmtId="0" fontId="9" fillId="0" borderId="7" xfId="5" applyFont="1" applyBorder="1" applyAlignment="1">
      <alignment horizontal="left" vertical="top"/>
    </xf>
    <xf numFmtId="49" fontId="10" fillId="0" borderId="0" xfId="0" applyNumberFormat="1" applyFont="1" applyAlignment="1">
      <alignment horizontal="left"/>
    </xf>
    <xf numFmtId="0" fontId="3" fillId="0" borderId="0" xfId="9" applyFont="1" applyAlignment="1">
      <alignment horizontal="left" vertical="top"/>
    </xf>
    <xf numFmtId="0" fontId="3" fillId="0" borderId="7" xfId="9" applyFont="1" applyBorder="1" applyAlignment="1">
      <alignment horizontal="left" vertical="top"/>
    </xf>
    <xf numFmtId="0" fontId="9" fillId="0" borderId="1" xfId="9" applyFont="1" applyBorder="1" applyAlignment="1">
      <alignment horizontal="left" vertical="top"/>
    </xf>
    <xf numFmtId="0" fontId="9" fillId="0" borderId="7" xfId="9" applyFont="1" applyBorder="1" applyAlignment="1">
      <alignment horizontal="left" vertical="top"/>
    </xf>
    <xf numFmtId="0" fontId="7" fillId="0" borderId="0" xfId="0" applyFont="1" applyAlignment="1">
      <alignment horizontal="left"/>
    </xf>
    <xf numFmtId="0" fontId="6" fillId="0" borderId="0" xfId="9" applyFont="1" applyAlignment="1">
      <alignment horizontal="left"/>
    </xf>
    <xf numFmtId="0" fontId="15" fillId="0" borderId="0" xfId="9" applyFont="1" applyAlignment="1">
      <alignment horizontal="left"/>
    </xf>
    <xf numFmtId="164" fontId="3" fillId="0" borderId="5" xfId="9" applyNumberFormat="1" applyFont="1" applyBorder="1" applyAlignment="1">
      <alignment horizontal="left" vertical="top"/>
    </xf>
    <xf numFmtId="164" fontId="11" fillId="0" borderId="7" xfId="0" applyNumberFormat="1" applyFont="1" applyBorder="1" applyAlignment="1">
      <alignment horizontal="left"/>
    </xf>
    <xf numFmtId="0" fontId="9" fillId="0" borderId="1" xfId="8" applyFont="1" applyBorder="1" applyAlignment="1">
      <alignment horizontal="left"/>
    </xf>
    <xf numFmtId="0" fontId="9" fillId="0" borderId="7" xfId="8" applyFont="1" applyBorder="1" applyAlignment="1">
      <alignment horizontal="left"/>
    </xf>
    <xf numFmtId="0" fontId="3" fillId="0" borderId="0" xfId="8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8" applyFont="1" applyAlignment="1">
      <alignment horizontal="left"/>
    </xf>
    <xf numFmtId="0" fontId="9" fillId="0" borderId="0" xfId="8" applyFont="1" applyAlignment="1">
      <alignment horizontal="left"/>
    </xf>
    <xf numFmtId="164" fontId="9" fillId="0" borderId="5" xfId="8" applyNumberFormat="1" applyFont="1" applyBorder="1" applyAlignment="1">
      <alignment horizontal="left"/>
    </xf>
    <xf numFmtId="0" fontId="10" fillId="0" borderId="0" xfId="4" applyFont="1" applyAlignment="1">
      <alignment horizontal="left"/>
    </xf>
    <xf numFmtId="0" fontId="4" fillId="0" borderId="0" xfId="7" applyFont="1" applyAlignment="1">
      <alignment horizontal="left"/>
    </xf>
    <xf numFmtId="0" fontId="6" fillId="0" borderId="0" xfId="7" applyFont="1" applyAlignment="1">
      <alignment horizontal="left"/>
    </xf>
    <xf numFmtId="0" fontId="15" fillId="0" borderId="0" xfId="7" applyFont="1" applyAlignment="1">
      <alignment horizontal="left"/>
    </xf>
    <xf numFmtId="0" fontId="9" fillId="0" borderId="0" xfId="7" applyFont="1" applyAlignment="1">
      <alignment horizontal="left"/>
    </xf>
    <xf numFmtId="164" fontId="9" fillId="0" borderId="5" xfId="7" applyNumberFormat="1" applyFont="1" applyBorder="1" applyAlignment="1">
      <alignment horizontal="left"/>
    </xf>
    <xf numFmtId="0" fontId="9" fillId="0" borderId="7" xfId="7" applyFont="1" applyBorder="1" applyAlignment="1">
      <alignment horizontal="left"/>
    </xf>
    <xf numFmtId="0" fontId="9" fillId="0" borderId="1" xfId="7" applyFont="1" applyBorder="1" applyAlignment="1">
      <alignment horizontal="left"/>
    </xf>
    <xf numFmtId="0" fontId="3" fillId="0" borderId="0" xfId="7" applyFont="1" applyAlignment="1">
      <alignment horizontal="left"/>
    </xf>
    <xf numFmtId="0" fontId="19" fillId="0" borderId="0" xfId="4" applyFont="1" applyAlignment="1">
      <alignment horizontal="left"/>
    </xf>
    <xf numFmtId="0" fontId="17" fillId="0" borderId="0" xfId="4" applyFont="1" applyAlignment="1">
      <alignment horizontal="left"/>
    </xf>
    <xf numFmtId="164" fontId="10" fillId="0" borderId="7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164" fontId="11" fillId="0" borderId="5" xfId="0" applyNumberFormat="1" applyFont="1" applyBorder="1" applyAlignment="1">
      <alignment horizontal="left"/>
    </xf>
    <xf numFmtId="164" fontId="10" fillId="0" borderId="6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0" fillId="0" borderId="5" xfId="0" applyFont="1" applyBorder="1" applyAlignment="1">
      <alignment horizontal="left"/>
    </xf>
    <xf numFmtId="164" fontId="11" fillId="0" borderId="6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 vertical="top" wrapText="1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9" fillId="0" borderId="0" xfId="0" applyFont="1" applyAlignment="1">
      <alignment horizontal="left"/>
    </xf>
  </cellXfs>
  <cellStyles count="13">
    <cellStyle name="Normale" xfId="0" builtinId="0"/>
    <cellStyle name="Normale 2" xfId="1" xr:uid="{00000000-0005-0000-0000-000001000000}"/>
    <cellStyle name="Normale 2 3" xfId="2" xr:uid="{00000000-0005-0000-0000-000002000000}"/>
    <cellStyle name="Normale 2 3 2" xfId="10" xr:uid="{00000000-0005-0000-0000-000003000000}"/>
    <cellStyle name="Normale 3" xfId="12" xr:uid="{90F3971A-19A0-49D3-A2DC-70D355920FAB}"/>
    <cellStyle name="Normale_T_010203_010" xfId="3" xr:uid="{00000000-0005-0000-0000-000004000000}"/>
    <cellStyle name="Normale_T_010203_020_T_010202_020" xfId="11" xr:uid="{00000000-0005-0000-0000-000005000000}"/>
    <cellStyle name="Normale_T_010203_030" xfId="4" xr:uid="{00000000-0005-0000-0000-000006000000}"/>
    <cellStyle name="Normale_T_010205_010" xfId="5" xr:uid="{00000000-0005-0000-0000-000007000000}"/>
    <cellStyle name="Normale_T_010205_010_T_010204_010" xfId="6" xr:uid="{00000000-0005-0000-0000-000008000000}"/>
    <cellStyle name="Normale_T_010205_010_T_010205_010_200600" xfId="7" xr:uid="{00000000-0005-0000-0000-000009000000}"/>
    <cellStyle name="Normale_T_010205_010_T_010205_010_200700" xfId="8" xr:uid="{00000000-0005-0000-0000-00000A000000}"/>
    <cellStyle name="Normale_T_010205_010_T_010205_010_200800" xfId="9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C45C-8120-4301-BCD3-353A40692673}">
  <dimension ref="A1:L198"/>
  <sheetViews>
    <sheetView tabSelected="1" workbookViewId="0">
      <pane ySplit="10" topLeftCell="A11" activePane="bottomLeft" state="frozen"/>
      <selection pane="bottomLeft" activeCell="A11" sqref="A11"/>
    </sheetView>
  </sheetViews>
  <sheetFormatPr defaultColWidth="9.140625" defaultRowHeight="12" x14ac:dyDescent="0.2"/>
  <cols>
    <col min="1" max="1" width="1.7109375" style="239" customWidth="1"/>
    <col min="2" max="2" width="28.140625" style="239" customWidth="1"/>
    <col min="3" max="3" width="11.7109375" style="240" customWidth="1"/>
    <col min="4" max="12" width="11.7109375" style="239" customWidth="1"/>
    <col min="13" max="16384" width="9.140625" style="239"/>
  </cols>
  <sheetData>
    <row r="1" spans="1:12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s="212" customFormat="1" ht="12" customHeight="1" x14ac:dyDescent="0.2">
      <c r="A2" s="248" t="s">
        <v>407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</row>
    <row r="3" spans="1:12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</row>
    <row r="4" spans="1:12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2" s="178" customFormat="1" ht="12" customHeight="1" x14ac:dyDescent="0.2">
      <c r="A5" s="251"/>
      <c r="B5" s="251"/>
      <c r="C5" s="110" t="s">
        <v>1</v>
      </c>
      <c r="D5" s="111" t="s">
        <v>2</v>
      </c>
      <c r="E5" s="252" t="s">
        <v>3</v>
      </c>
      <c r="F5" s="253"/>
      <c r="G5" s="253"/>
      <c r="H5" s="253"/>
      <c r="I5" s="253"/>
      <c r="J5" s="253"/>
      <c r="K5" s="253"/>
      <c r="L5" s="253"/>
    </row>
    <row r="6" spans="1:12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  <c r="L6" s="254"/>
    </row>
    <row r="7" spans="1:12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14" t="s">
        <v>397</v>
      </c>
      <c r="L7" s="108"/>
    </row>
    <row r="8" spans="1:12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398</v>
      </c>
      <c r="L8" s="114" t="s">
        <v>4</v>
      </c>
    </row>
    <row r="9" spans="1:12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399</v>
      </c>
      <c r="L9" s="116" t="s">
        <v>8</v>
      </c>
    </row>
    <row r="10" spans="1:12" s="216" customFormat="1" ht="12" customHeight="1" x14ac:dyDescent="0.2">
      <c r="A10" s="261" t="s">
        <v>10</v>
      </c>
      <c r="B10" s="261"/>
      <c r="C10" s="215">
        <v>359783</v>
      </c>
      <c r="D10" s="215">
        <v>252583</v>
      </c>
      <c r="E10" s="215">
        <v>107200</v>
      </c>
      <c r="F10" s="215">
        <v>67599</v>
      </c>
      <c r="G10" s="215">
        <v>34376</v>
      </c>
      <c r="H10" s="215">
        <v>552</v>
      </c>
      <c r="I10" s="215">
        <v>1691</v>
      </c>
      <c r="J10" s="215">
        <v>415</v>
      </c>
      <c r="K10" s="215">
        <v>2535</v>
      </c>
      <c r="L10" s="215">
        <v>32</v>
      </c>
    </row>
    <row r="11" spans="1:12" s="216" customFormat="1" ht="12" customHeight="1" x14ac:dyDescent="0.2">
      <c r="A11" s="217"/>
      <c r="B11" s="217"/>
      <c r="C11" s="218"/>
      <c r="D11" s="218"/>
      <c r="E11" s="218"/>
      <c r="F11" s="218"/>
      <c r="G11" s="218"/>
      <c r="H11" s="218"/>
      <c r="I11" s="218"/>
      <c r="J11" s="218"/>
      <c r="K11" s="218"/>
      <c r="L11" s="218"/>
    </row>
    <row r="12" spans="1:12" s="220" customFormat="1" ht="12" customHeight="1" x14ac:dyDescent="0.2">
      <c r="A12" s="256" t="s">
        <v>11</v>
      </c>
      <c r="B12" s="256"/>
      <c r="C12" s="219">
        <v>24802</v>
      </c>
      <c r="D12" s="219">
        <v>18421</v>
      </c>
      <c r="E12" s="219">
        <v>6381</v>
      </c>
      <c r="F12" s="219">
        <v>4291</v>
      </c>
      <c r="G12" s="219">
        <v>1733</v>
      </c>
      <c r="H12" s="219">
        <v>40</v>
      </c>
      <c r="I12" s="219">
        <v>106</v>
      </c>
      <c r="J12" s="219">
        <v>52</v>
      </c>
      <c r="K12" s="219">
        <v>159</v>
      </c>
      <c r="L12" s="219">
        <v>0</v>
      </c>
    </row>
    <row r="13" spans="1:12" s="222" customFormat="1" ht="12" customHeight="1" x14ac:dyDescent="0.2">
      <c r="A13" s="245" t="s">
        <v>12</v>
      </c>
      <c r="B13" s="245"/>
      <c r="C13" s="221">
        <v>8742</v>
      </c>
      <c r="D13" s="221">
        <v>6406</v>
      </c>
      <c r="E13" s="221">
        <v>2336</v>
      </c>
      <c r="F13" s="221">
        <v>1505</v>
      </c>
      <c r="G13" s="221">
        <v>701</v>
      </c>
      <c r="H13" s="221">
        <v>29</v>
      </c>
      <c r="I13" s="221">
        <v>23</v>
      </c>
      <c r="J13" s="221">
        <v>15</v>
      </c>
      <c r="K13" s="221">
        <v>63</v>
      </c>
      <c r="L13" s="221">
        <v>0</v>
      </c>
    </row>
    <row r="14" spans="1:12" s="222" customFormat="1" ht="12" customHeight="1" x14ac:dyDescent="0.2">
      <c r="A14" s="223"/>
      <c r="B14" s="224" t="s">
        <v>13</v>
      </c>
      <c r="C14" s="221">
        <v>3036</v>
      </c>
      <c r="D14" s="221">
        <v>2333</v>
      </c>
      <c r="E14" s="221">
        <v>703</v>
      </c>
      <c r="F14" s="221">
        <v>431</v>
      </c>
      <c r="G14" s="221">
        <v>227</v>
      </c>
      <c r="H14" s="221">
        <v>19</v>
      </c>
      <c r="I14" s="221">
        <v>3</v>
      </c>
      <c r="J14" s="221">
        <v>0</v>
      </c>
      <c r="K14" s="221">
        <v>23</v>
      </c>
      <c r="L14" s="221">
        <v>0</v>
      </c>
    </row>
    <row r="15" spans="1:12" s="222" customFormat="1" ht="12" customHeight="1" x14ac:dyDescent="0.2">
      <c r="A15" s="223"/>
      <c r="B15" s="224" t="s">
        <v>14</v>
      </c>
      <c r="C15" s="221">
        <v>2706</v>
      </c>
      <c r="D15" s="221">
        <v>2137</v>
      </c>
      <c r="E15" s="221">
        <v>569</v>
      </c>
      <c r="F15" s="221">
        <v>413</v>
      </c>
      <c r="G15" s="221">
        <v>128</v>
      </c>
      <c r="H15" s="221">
        <v>5</v>
      </c>
      <c r="I15" s="221">
        <v>8</v>
      </c>
      <c r="J15" s="221">
        <v>4</v>
      </c>
      <c r="K15" s="221">
        <v>11</v>
      </c>
      <c r="L15" s="221">
        <v>0</v>
      </c>
    </row>
    <row r="16" spans="1:12" s="222" customFormat="1" ht="12" customHeight="1" x14ac:dyDescent="0.2">
      <c r="A16" s="223"/>
      <c r="B16" s="225" t="s">
        <v>15</v>
      </c>
      <c r="C16" s="221">
        <v>3000</v>
      </c>
      <c r="D16" s="221">
        <v>1936</v>
      </c>
      <c r="E16" s="221">
        <v>1064</v>
      </c>
      <c r="F16" s="221">
        <v>661</v>
      </c>
      <c r="G16" s="221">
        <v>346</v>
      </c>
      <c r="H16" s="221">
        <v>5</v>
      </c>
      <c r="I16" s="221">
        <v>12</v>
      </c>
      <c r="J16" s="221">
        <v>11</v>
      </c>
      <c r="K16" s="221">
        <v>29</v>
      </c>
      <c r="L16" s="221">
        <v>0</v>
      </c>
    </row>
    <row r="17" spans="1:12" s="222" customFormat="1" ht="12" customHeight="1" x14ac:dyDescent="0.2">
      <c r="A17" s="245" t="s">
        <v>16</v>
      </c>
      <c r="B17" s="245"/>
      <c r="C17" s="221">
        <v>5585</v>
      </c>
      <c r="D17" s="221">
        <v>5058</v>
      </c>
      <c r="E17" s="221">
        <v>527</v>
      </c>
      <c r="F17" s="221">
        <v>369</v>
      </c>
      <c r="G17" s="221">
        <v>143</v>
      </c>
      <c r="H17" s="221">
        <v>4</v>
      </c>
      <c r="I17" s="221">
        <v>0</v>
      </c>
      <c r="J17" s="221">
        <v>0</v>
      </c>
      <c r="K17" s="221">
        <v>11</v>
      </c>
      <c r="L17" s="221">
        <v>0</v>
      </c>
    </row>
    <row r="18" spans="1:12" s="222" customFormat="1" ht="12" customHeight="1" x14ac:dyDescent="0.2">
      <c r="A18" s="223"/>
      <c r="B18" s="224" t="s">
        <v>17</v>
      </c>
      <c r="C18" s="221">
        <v>1752</v>
      </c>
      <c r="D18" s="221">
        <v>1634</v>
      </c>
      <c r="E18" s="221">
        <v>118</v>
      </c>
      <c r="F18" s="221">
        <v>72</v>
      </c>
      <c r="G18" s="221">
        <v>44</v>
      </c>
      <c r="H18" s="221">
        <v>2</v>
      </c>
      <c r="I18" s="221">
        <v>0</v>
      </c>
      <c r="J18" s="221">
        <v>0</v>
      </c>
      <c r="K18" s="221">
        <v>0</v>
      </c>
      <c r="L18" s="221">
        <v>0</v>
      </c>
    </row>
    <row r="19" spans="1:12" s="222" customFormat="1" ht="12" customHeight="1" x14ac:dyDescent="0.2">
      <c r="A19" s="223"/>
      <c r="B19" s="224" t="s">
        <v>18</v>
      </c>
      <c r="C19" s="221">
        <v>1781</v>
      </c>
      <c r="D19" s="221">
        <v>1569</v>
      </c>
      <c r="E19" s="221">
        <v>212</v>
      </c>
      <c r="F19" s="221">
        <v>162</v>
      </c>
      <c r="G19" s="221">
        <v>42</v>
      </c>
      <c r="H19" s="221">
        <v>2</v>
      </c>
      <c r="I19" s="221">
        <v>0</v>
      </c>
      <c r="J19" s="221">
        <v>0</v>
      </c>
      <c r="K19" s="221">
        <v>6</v>
      </c>
      <c r="L19" s="221">
        <v>0</v>
      </c>
    </row>
    <row r="20" spans="1:12" s="222" customFormat="1" ht="12" customHeight="1" x14ac:dyDescent="0.2">
      <c r="A20" s="226"/>
      <c r="B20" s="224" t="s">
        <v>19</v>
      </c>
      <c r="C20" s="221">
        <v>2052</v>
      </c>
      <c r="D20" s="221">
        <v>1855</v>
      </c>
      <c r="E20" s="221">
        <v>197</v>
      </c>
      <c r="F20" s="221">
        <v>135</v>
      </c>
      <c r="G20" s="221">
        <v>57</v>
      </c>
      <c r="H20" s="221">
        <v>0</v>
      </c>
      <c r="I20" s="221">
        <v>0</v>
      </c>
      <c r="J20" s="221">
        <v>0</v>
      </c>
      <c r="K20" s="221">
        <v>5</v>
      </c>
      <c r="L20" s="221">
        <v>0</v>
      </c>
    </row>
    <row r="21" spans="1:12" s="222" customFormat="1" ht="12" customHeight="1" x14ac:dyDescent="0.2">
      <c r="A21" s="255" t="s">
        <v>20</v>
      </c>
      <c r="B21" s="255"/>
      <c r="C21" s="228">
        <v>10475</v>
      </c>
      <c r="D21" s="228">
        <v>6957</v>
      </c>
      <c r="E21" s="228">
        <v>3518</v>
      </c>
      <c r="F21" s="228">
        <v>2417</v>
      </c>
      <c r="G21" s="228">
        <v>889</v>
      </c>
      <c r="H21" s="228">
        <v>7</v>
      </c>
      <c r="I21" s="228">
        <v>83</v>
      </c>
      <c r="J21" s="228">
        <v>37</v>
      </c>
      <c r="K21" s="228">
        <v>85</v>
      </c>
      <c r="L21" s="228">
        <v>0</v>
      </c>
    </row>
    <row r="22" spans="1:12" s="222" customFormat="1" ht="12" customHeight="1" x14ac:dyDescent="0.2">
      <c r="A22" s="226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</row>
    <row r="23" spans="1:12" s="220" customFormat="1" ht="12" customHeight="1" x14ac:dyDescent="0.2">
      <c r="A23" s="256" t="s">
        <v>342</v>
      </c>
      <c r="B23" s="256"/>
      <c r="C23" s="219">
        <v>70120</v>
      </c>
      <c r="D23" s="219">
        <v>52601</v>
      </c>
      <c r="E23" s="219">
        <v>17519</v>
      </c>
      <c r="F23" s="219">
        <v>11591</v>
      </c>
      <c r="G23" s="219">
        <v>5226</v>
      </c>
      <c r="H23" s="219">
        <v>92</v>
      </c>
      <c r="I23" s="219">
        <v>259</v>
      </c>
      <c r="J23" s="219">
        <v>105</v>
      </c>
      <c r="K23" s="219">
        <v>246</v>
      </c>
      <c r="L23" s="219">
        <v>0</v>
      </c>
    </row>
    <row r="24" spans="1:12" s="222" customFormat="1" ht="12" customHeight="1" x14ac:dyDescent="0.2">
      <c r="A24" s="245" t="s">
        <v>22</v>
      </c>
      <c r="B24" s="245"/>
      <c r="C24" s="221">
        <v>41526</v>
      </c>
      <c r="D24" s="221">
        <v>29029</v>
      </c>
      <c r="E24" s="221">
        <v>12497</v>
      </c>
      <c r="F24" s="221">
        <v>8181</v>
      </c>
      <c r="G24" s="221">
        <v>3826</v>
      </c>
      <c r="H24" s="221">
        <v>72</v>
      </c>
      <c r="I24" s="221">
        <v>179</v>
      </c>
      <c r="J24" s="221">
        <v>81</v>
      </c>
      <c r="K24" s="221">
        <v>158</v>
      </c>
      <c r="L24" s="221">
        <v>0</v>
      </c>
    </row>
    <row r="25" spans="1:12" s="222" customFormat="1" ht="12" customHeight="1" x14ac:dyDescent="0.2">
      <c r="A25" s="245" t="s">
        <v>23</v>
      </c>
      <c r="B25" s="245"/>
      <c r="C25" s="221">
        <v>4977</v>
      </c>
      <c r="D25" s="221">
        <v>3824</v>
      </c>
      <c r="E25" s="221">
        <v>1153</v>
      </c>
      <c r="F25" s="221">
        <v>751</v>
      </c>
      <c r="G25" s="221">
        <v>368</v>
      </c>
      <c r="H25" s="221">
        <v>10</v>
      </c>
      <c r="I25" s="221">
        <v>6</v>
      </c>
      <c r="J25" s="221">
        <v>6</v>
      </c>
      <c r="K25" s="221">
        <v>12</v>
      </c>
      <c r="L25" s="221">
        <v>0</v>
      </c>
    </row>
    <row r="26" spans="1:12" s="222" customFormat="1" ht="12" customHeight="1" x14ac:dyDescent="0.2">
      <c r="A26" s="245" t="s">
        <v>24</v>
      </c>
      <c r="B26" s="245"/>
      <c r="C26" s="221">
        <v>13310</v>
      </c>
      <c r="D26" s="221">
        <v>10580</v>
      </c>
      <c r="E26" s="221">
        <v>2730</v>
      </c>
      <c r="F26" s="221">
        <v>1840</v>
      </c>
      <c r="G26" s="221">
        <v>738</v>
      </c>
      <c r="H26" s="221">
        <v>7</v>
      </c>
      <c r="I26" s="221">
        <v>74</v>
      </c>
      <c r="J26" s="221">
        <v>12</v>
      </c>
      <c r="K26" s="221">
        <v>59</v>
      </c>
      <c r="L26" s="221">
        <v>0</v>
      </c>
    </row>
    <row r="27" spans="1:12" s="222" customFormat="1" ht="12" customHeight="1" x14ac:dyDescent="0.2">
      <c r="A27" s="229"/>
      <c r="B27" s="224" t="s">
        <v>25</v>
      </c>
      <c r="C27" s="221">
        <v>943</v>
      </c>
      <c r="D27" s="221">
        <v>881</v>
      </c>
      <c r="E27" s="221">
        <v>62</v>
      </c>
      <c r="F27" s="221">
        <v>37</v>
      </c>
      <c r="G27" s="221">
        <v>18</v>
      </c>
      <c r="H27" s="221">
        <v>0</v>
      </c>
      <c r="I27" s="221">
        <v>3</v>
      </c>
      <c r="J27" s="221">
        <v>3</v>
      </c>
      <c r="K27" s="221">
        <v>1</v>
      </c>
      <c r="L27" s="221">
        <v>0</v>
      </c>
    </row>
    <row r="28" spans="1:12" s="222" customFormat="1" ht="12" customHeight="1" x14ac:dyDescent="0.2">
      <c r="A28" s="226"/>
      <c r="B28" s="224" t="s">
        <v>26</v>
      </c>
      <c r="C28" s="221">
        <v>12367</v>
      </c>
      <c r="D28" s="221">
        <v>9699</v>
      </c>
      <c r="E28" s="221">
        <v>2668</v>
      </c>
      <c r="F28" s="221">
        <v>1803</v>
      </c>
      <c r="G28" s="221">
        <v>720</v>
      </c>
      <c r="H28" s="221">
        <v>7</v>
      </c>
      <c r="I28" s="221">
        <v>71</v>
      </c>
      <c r="J28" s="221">
        <v>9</v>
      </c>
      <c r="K28" s="221">
        <v>58</v>
      </c>
      <c r="L28" s="221">
        <v>0</v>
      </c>
    </row>
    <row r="29" spans="1:12" s="222" customFormat="1" ht="12" customHeight="1" x14ac:dyDescent="0.2">
      <c r="A29" s="245" t="s">
        <v>27</v>
      </c>
      <c r="B29" s="245"/>
      <c r="C29" s="221">
        <v>3695</v>
      </c>
      <c r="D29" s="221">
        <v>3258</v>
      </c>
      <c r="E29" s="221">
        <v>437</v>
      </c>
      <c r="F29" s="221">
        <v>308</v>
      </c>
      <c r="G29" s="221">
        <v>119</v>
      </c>
      <c r="H29" s="221">
        <v>1</v>
      </c>
      <c r="I29" s="221">
        <v>0</v>
      </c>
      <c r="J29" s="221">
        <v>0</v>
      </c>
      <c r="K29" s="221">
        <v>9</v>
      </c>
      <c r="L29" s="221">
        <v>0</v>
      </c>
    </row>
    <row r="30" spans="1:12" s="222" customFormat="1" ht="12" customHeight="1" x14ac:dyDescent="0.2">
      <c r="A30" s="229"/>
      <c r="B30" s="224" t="s">
        <v>28</v>
      </c>
      <c r="C30" s="221">
        <v>1049</v>
      </c>
      <c r="D30" s="221">
        <v>936</v>
      </c>
      <c r="E30" s="221">
        <v>113</v>
      </c>
      <c r="F30" s="221">
        <v>73</v>
      </c>
      <c r="G30" s="221">
        <v>32</v>
      </c>
      <c r="H30" s="221">
        <v>0</v>
      </c>
      <c r="I30" s="221">
        <v>0</v>
      </c>
      <c r="J30" s="221">
        <v>0</v>
      </c>
      <c r="K30" s="221">
        <v>8</v>
      </c>
      <c r="L30" s="221">
        <v>0</v>
      </c>
    </row>
    <row r="31" spans="1:12" s="222" customFormat="1" ht="12" customHeight="1" x14ac:dyDescent="0.2">
      <c r="A31" s="226"/>
      <c r="B31" s="224" t="s">
        <v>29</v>
      </c>
      <c r="C31" s="221">
        <v>2646</v>
      </c>
      <c r="D31" s="221">
        <v>2322</v>
      </c>
      <c r="E31" s="221">
        <v>324</v>
      </c>
      <c r="F31" s="221">
        <v>235</v>
      </c>
      <c r="G31" s="221">
        <v>87</v>
      </c>
      <c r="H31" s="221">
        <v>1</v>
      </c>
      <c r="I31" s="221">
        <v>0</v>
      </c>
      <c r="J31" s="221">
        <v>0</v>
      </c>
      <c r="K31" s="221">
        <v>1</v>
      </c>
      <c r="L31" s="221">
        <v>0</v>
      </c>
    </row>
    <row r="32" spans="1:12" s="222" customFormat="1" ht="12" customHeight="1" x14ac:dyDescent="0.2">
      <c r="A32" s="245" t="s">
        <v>30</v>
      </c>
      <c r="B32" s="245"/>
      <c r="C32" s="221">
        <v>643</v>
      </c>
      <c r="D32" s="221">
        <v>581</v>
      </c>
      <c r="E32" s="221">
        <v>62</v>
      </c>
      <c r="F32" s="221">
        <v>35</v>
      </c>
      <c r="G32" s="221">
        <v>27</v>
      </c>
      <c r="H32" s="221">
        <v>0</v>
      </c>
      <c r="I32" s="221">
        <v>0</v>
      </c>
      <c r="J32" s="221">
        <v>0</v>
      </c>
      <c r="K32" s="221">
        <v>0</v>
      </c>
      <c r="L32" s="221">
        <v>0</v>
      </c>
    </row>
    <row r="33" spans="1:12" s="222" customFormat="1" ht="12" customHeight="1" x14ac:dyDescent="0.2">
      <c r="A33" s="245" t="s">
        <v>343</v>
      </c>
      <c r="B33" s="245"/>
      <c r="C33" s="221">
        <v>5969</v>
      </c>
      <c r="D33" s="221">
        <v>5329</v>
      </c>
      <c r="E33" s="221">
        <v>640</v>
      </c>
      <c r="F33" s="221">
        <v>476</v>
      </c>
      <c r="G33" s="221">
        <v>148</v>
      </c>
      <c r="H33" s="221">
        <v>2</v>
      </c>
      <c r="I33" s="221">
        <v>0</v>
      </c>
      <c r="J33" s="221">
        <v>6</v>
      </c>
      <c r="K33" s="221">
        <v>8</v>
      </c>
      <c r="L33" s="221">
        <v>0</v>
      </c>
    </row>
    <row r="34" spans="1:12" s="222" customFormat="1" ht="12" customHeight="1" x14ac:dyDescent="0.2">
      <c r="A34" s="229"/>
      <c r="B34" s="224" t="s">
        <v>32</v>
      </c>
      <c r="C34" s="221">
        <v>504</v>
      </c>
      <c r="D34" s="221">
        <v>469</v>
      </c>
      <c r="E34" s="221">
        <v>35</v>
      </c>
      <c r="F34" s="221">
        <v>22</v>
      </c>
      <c r="G34" s="221">
        <v>13</v>
      </c>
      <c r="H34" s="221">
        <v>0</v>
      </c>
      <c r="I34" s="221">
        <v>0</v>
      </c>
      <c r="J34" s="221">
        <v>0</v>
      </c>
      <c r="K34" s="221">
        <v>0</v>
      </c>
      <c r="L34" s="221">
        <v>0</v>
      </c>
    </row>
    <row r="35" spans="1:12" s="222" customFormat="1" ht="12" customHeight="1" x14ac:dyDescent="0.2">
      <c r="A35" s="223"/>
      <c r="B35" s="224" t="s">
        <v>33</v>
      </c>
      <c r="C35" s="221">
        <v>171</v>
      </c>
      <c r="D35" s="221">
        <v>155</v>
      </c>
      <c r="E35" s="221">
        <v>16</v>
      </c>
      <c r="F35" s="221">
        <v>14</v>
      </c>
      <c r="G35" s="221">
        <v>2</v>
      </c>
      <c r="H35" s="221">
        <v>0</v>
      </c>
      <c r="I35" s="221">
        <v>0</v>
      </c>
      <c r="J35" s="221">
        <v>0</v>
      </c>
      <c r="K35" s="221">
        <v>0</v>
      </c>
      <c r="L35" s="221">
        <v>0</v>
      </c>
    </row>
    <row r="36" spans="1:12" s="222" customFormat="1" ht="12" customHeight="1" x14ac:dyDescent="0.2">
      <c r="A36" s="223"/>
      <c r="B36" s="230" t="s">
        <v>344</v>
      </c>
      <c r="C36" s="228">
        <v>5294</v>
      </c>
      <c r="D36" s="228">
        <v>4705</v>
      </c>
      <c r="E36" s="228">
        <v>589</v>
      </c>
      <c r="F36" s="228">
        <v>440</v>
      </c>
      <c r="G36" s="228">
        <v>133</v>
      </c>
      <c r="H36" s="228">
        <v>2</v>
      </c>
      <c r="I36" s="228">
        <v>0</v>
      </c>
      <c r="J36" s="228">
        <v>6</v>
      </c>
      <c r="K36" s="228">
        <v>8</v>
      </c>
      <c r="L36" s="228">
        <v>0</v>
      </c>
    </row>
    <row r="37" spans="1:12" s="222" customFormat="1" ht="12" customHeight="1" x14ac:dyDescent="0.2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6"/>
    </row>
    <row r="38" spans="1:12" s="220" customFormat="1" ht="12" customHeight="1" x14ac:dyDescent="0.2">
      <c r="A38" s="256" t="s">
        <v>35</v>
      </c>
      <c r="B38" s="256"/>
      <c r="C38" s="219">
        <v>58545</v>
      </c>
      <c r="D38" s="219">
        <v>41802</v>
      </c>
      <c r="E38" s="219">
        <v>16743</v>
      </c>
      <c r="F38" s="219">
        <v>10797</v>
      </c>
      <c r="G38" s="219">
        <v>4935</v>
      </c>
      <c r="H38" s="219">
        <v>91</v>
      </c>
      <c r="I38" s="219">
        <v>474</v>
      </c>
      <c r="J38" s="219">
        <v>122</v>
      </c>
      <c r="K38" s="219">
        <v>324</v>
      </c>
      <c r="L38" s="219">
        <v>0</v>
      </c>
    </row>
    <row r="39" spans="1:12" s="222" customFormat="1" ht="12" customHeight="1" x14ac:dyDescent="0.2">
      <c r="A39" s="245" t="s">
        <v>36</v>
      </c>
      <c r="B39" s="245"/>
      <c r="C39" s="221">
        <v>52751</v>
      </c>
      <c r="D39" s="221">
        <v>38083</v>
      </c>
      <c r="E39" s="221">
        <v>14668</v>
      </c>
      <c r="F39" s="221">
        <v>9417</v>
      </c>
      <c r="G39" s="221">
        <v>4317</v>
      </c>
      <c r="H39" s="221">
        <v>71</v>
      </c>
      <c r="I39" s="221">
        <v>445</v>
      </c>
      <c r="J39" s="221">
        <v>120</v>
      </c>
      <c r="K39" s="221">
        <v>298</v>
      </c>
      <c r="L39" s="221">
        <v>0</v>
      </c>
    </row>
    <row r="40" spans="1:12" s="222" customFormat="1" ht="12" customHeight="1" x14ac:dyDescent="0.2">
      <c r="A40" s="255" t="s">
        <v>37</v>
      </c>
      <c r="B40" s="255"/>
      <c r="C40" s="228">
        <v>5794</v>
      </c>
      <c r="D40" s="228">
        <v>3719</v>
      </c>
      <c r="E40" s="228">
        <v>2075</v>
      </c>
      <c r="F40" s="228">
        <v>1380</v>
      </c>
      <c r="G40" s="228">
        <v>618</v>
      </c>
      <c r="H40" s="228">
        <v>20</v>
      </c>
      <c r="I40" s="228">
        <v>29</v>
      </c>
      <c r="J40" s="228">
        <v>2</v>
      </c>
      <c r="K40" s="228">
        <v>26</v>
      </c>
      <c r="L40" s="228">
        <v>0</v>
      </c>
    </row>
    <row r="41" spans="1:12" s="222" customFormat="1" ht="12" customHeight="1" x14ac:dyDescent="0.2">
      <c r="A41" s="226"/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226"/>
    </row>
    <row r="42" spans="1:12" s="220" customFormat="1" ht="12" customHeight="1" x14ac:dyDescent="0.2">
      <c r="A42" s="256" t="s">
        <v>38</v>
      </c>
      <c r="B42" s="256"/>
      <c r="C42" s="219">
        <v>150291</v>
      </c>
      <c r="D42" s="219">
        <v>99691</v>
      </c>
      <c r="E42" s="219">
        <v>50600</v>
      </c>
      <c r="F42" s="219">
        <v>31532</v>
      </c>
      <c r="G42" s="219">
        <v>17054</v>
      </c>
      <c r="H42" s="219">
        <v>258</v>
      </c>
      <c r="I42" s="219">
        <v>585</v>
      </c>
      <c r="J42" s="219">
        <v>82</v>
      </c>
      <c r="K42" s="219">
        <v>1061</v>
      </c>
      <c r="L42" s="219">
        <v>28</v>
      </c>
    </row>
    <row r="43" spans="1:12" s="222" customFormat="1" ht="12" customHeight="1" x14ac:dyDescent="0.2">
      <c r="A43" s="245" t="s">
        <v>39</v>
      </c>
      <c r="B43" s="245"/>
      <c r="C43" s="221">
        <v>102079</v>
      </c>
      <c r="D43" s="221">
        <v>61703</v>
      </c>
      <c r="E43" s="221">
        <v>40376</v>
      </c>
      <c r="F43" s="221">
        <v>24343</v>
      </c>
      <c r="G43" s="221">
        <v>14335</v>
      </c>
      <c r="H43" s="221">
        <v>219</v>
      </c>
      <c r="I43" s="221">
        <v>511</v>
      </c>
      <c r="J43" s="221">
        <v>71</v>
      </c>
      <c r="K43" s="221">
        <v>869</v>
      </c>
      <c r="L43" s="221">
        <v>28</v>
      </c>
    </row>
    <row r="44" spans="1:12" s="222" customFormat="1" ht="12" customHeight="1" x14ac:dyDescent="0.2">
      <c r="A44" s="260" t="s">
        <v>40</v>
      </c>
      <c r="B44" s="260"/>
      <c r="C44" s="221">
        <v>24198</v>
      </c>
      <c r="D44" s="221">
        <v>19890</v>
      </c>
      <c r="E44" s="221">
        <v>4308</v>
      </c>
      <c r="F44" s="221">
        <v>3158</v>
      </c>
      <c r="G44" s="221">
        <v>1063</v>
      </c>
      <c r="H44" s="221">
        <v>19</v>
      </c>
      <c r="I44" s="221">
        <v>22</v>
      </c>
      <c r="J44" s="221">
        <v>1</v>
      </c>
      <c r="K44" s="221">
        <v>45</v>
      </c>
      <c r="L44" s="221">
        <v>0</v>
      </c>
    </row>
    <row r="45" spans="1:12" s="222" customFormat="1" ht="12" customHeight="1" x14ac:dyDescent="0.2">
      <c r="A45" s="230"/>
      <c r="B45" s="224" t="s">
        <v>41</v>
      </c>
      <c r="C45" s="221">
        <v>13997</v>
      </c>
      <c r="D45" s="221">
        <v>11056</v>
      </c>
      <c r="E45" s="221">
        <v>2941</v>
      </c>
      <c r="F45" s="221">
        <v>2199</v>
      </c>
      <c r="G45" s="221">
        <v>686</v>
      </c>
      <c r="H45" s="221">
        <v>11</v>
      </c>
      <c r="I45" s="221">
        <v>19</v>
      </c>
      <c r="J45" s="221">
        <v>1</v>
      </c>
      <c r="K45" s="221">
        <v>25</v>
      </c>
      <c r="L45" s="221">
        <v>0</v>
      </c>
    </row>
    <row r="46" spans="1:12" s="222" customFormat="1" ht="12" customHeight="1" x14ac:dyDescent="0.2">
      <c r="A46" s="230"/>
      <c r="B46" s="224" t="s">
        <v>42</v>
      </c>
      <c r="C46" s="221">
        <v>10201</v>
      </c>
      <c r="D46" s="221">
        <v>8834</v>
      </c>
      <c r="E46" s="221">
        <v>1367</v>
      </c>
      <c r="F46" s="221">
        <v>959</v>
      </c>
      <c r="G46" s="221">
        <v>377</v>
      </c>
      <c r="H46" s="221">
        <v>8</v>
      </c>
      <c r="I46" s="221">
        <v>3</v>
      </c>
      <c r="J46" s="221">
        <v>0</v>
      </c>
      <c r="K46" s="221">
        <v>20</v>
      </c>
      <c r="L46" s="221">
        <v>0</v>
      </c>
    </row>
    <row r="47" spans="1:12" s="222" customFormat="1" ht="12" customHeight="1" x14ac:dyDescent="0.2">
      <c r="A47" s="245" t="s">
        <v>44</v>
      </c>
      <c r="B47" s="245"/>
      <c r="C47" s="221">
        <v>24014</v>
      </c>
      <c r="D47" s="221">
        <v>18098</v>
      </c>
      <c r="E47" s="221">
        <v>5916</v>
      </c>
      <c r="F47" s="221">
        <v>4031</v>
      </c>
      <c r="G47" s="221">
        <v>1656</v>
      </c>
      <c r="H47" s="221">
        <v>20</v>
      </c>
      <c r="I47" s="221">
        <v>52</v>
      </c>
      <c r="J47" s="221">
        <v>10</v>
      </c>
      <c r="K47" s="221">
        <v>147</v>
      </c>
      <c r="L47" s="221">
        <v>0</v>
      </c>
    </row>
    <row r="48" spans="1:12" s="222" customFormat="1" ht="12" customHeight="1" x14ac:dyDescent="0.2">
      <c r="A48" s="230"/>
      <c r="B48" s="224" t="s">
        <v>45</v>
      </c>
      <c r="C48" s="221">
        <v>2506</v>
      </c>
      <c r="D48" s="221">
        <v>2152</v>
      </c>
      <c r="E48" s="221">
        <v>354</v>
      </c>
      <c r="F48" s="221">
        <v>242</v>
      </c>
      <c r="G48" s="221">
        <v>83</v>
      </c>
      <c r="H48" s="221">
        <v>3</v>
      </c>
      <c r="I48" s="221">
        <v>0</v>
      </c>
      <c r="J48" s="221">
        <v>0</v>
      </c>
      <c r="K48" s="221">
        <v>26</v>
      </c>
      <c r="L48" s="221">
        <v>0</v>
      </c>
    </row>
    <row r="49" spans="1:12" s="222" customFormat="1" ht="12" customHeight="1" x14ac:dyDescent="0.2">
      <c r="A49" s="230"/>
      <c r="B49" s="224" t="s">
        <v>46</v>
      </c>
      <c r="C49" s="221">
        <v>7182</v>
      </c>
      <c r="D49" s="221">
        <v>5669</v>
      </c>
      <c r="E49" s="221">
        <v>1513</v>
      </c>
      <c r="F49" s="221">
        <v>962</v>
      </c>
      <c r="G49" s="221">
        <v>492</v>
      </c>
      <c r="H49" s="221">
        <v>6</v>
      </c>
      <c r="I49" s="221">
        <v>18</v>
      </c>
      <c r="J49" s="221">
        <v>5</v>
      </c>
      <c r="K49" s="221">
        <v>30</v>
      </c>
      <c r="L49" s="221">
        <v>0</v>
      </c>
    </row>
    <row r="50" spans="1:12" s="222" customFormat="1" ht="12" customHeight="1" x14ac:dyDescent="0.2">
      <c r="A50" s="230"/>
      <c r="B50" s="230" t="s">
        <v>47</v>
      </c>
      <c r="C50" s="228">
        <v>14326</v>
      </c>
      <c r="D50" s="228">
        <v>10277</v>
      </c>
      <c r="E50" s="228">
        <v>4049</v>
      </c>
      <c r="F50" s="228">
        <v>2827</v>
      </c>
      <c r="G50" s="228">
        <v>1081</v>
      </c>
      <c r="H50" s="228">
        <v>11</v>
      </c>
      <c r="I50" s="228">
        <v>34</v>
      </c>
      <c r="J50" s="228">
        <v>5</v>
      </c>
      <c r="K50" s="228">
        <v>91</v>
      </c>
      <c r="L50" s="228">
        <v>0</v>
      </c>
    </row>
    <row r="51" spans="1:12" s="222" customFormat="1" ht="12" customHeight="1" x14ac:dyDescent="0.2">
      <c r="A51" s="225"/>
      <c r="B51" s="225"/>
      <c r="C51" s="225"/>
      <c r="D51" s="225"/>
      <c r="E51" s="225"/>
      <c r="F51" s="225"/>
      <c r="G51" s="225"/>
      <c r="H51" s="225"/>
      <c r="I51" s="225"/>
      <c r="J51" s="225"/>
      <c r="K51" s="225"/>
      <c r="L51" s="225"/>
    </row>
    <row r="52" spans="1:12" s="220" customFormat="1" ht="12" customHeight="1" x14ac:dyDescent="0.2">
      <c r="A52" s="256" t="s">
        <v>48</v>
      </c>
      <c r="B52" s="256"/>
      <c r="C52" s="219">
        <v>56025</v>
      </c>
      <c r="D52" s="219">
        <v>40068</v>
      </c>
      <c r="E52" s="219">
        <v>15957</v>
      </c>
      <c r="F52" s="219">
        <v>9388</v>
      </c>
      <c r="G52" s="219">
        <v>5428</v>
      </c>
      <c r="H52" s="219">
        <v>71</v>
      </c>
      <c r="I52" s="219">
        <v>267</v>
      </c>
      <c r="J52" s="219">
        <v>54</v>
      </c>
      <c r="K52" s="219">
        <v>745</v>
      </c>
      <c r="L52" s="219">
        <v>4</v>
      </c>
    </row>
    <row r="53" spans="1:12" s="222" customFormat="1" ht="12" customHeight="1" x14ac:dyDescent="0.2">
      <c r="A53" s="245" t="s">
        <v>49</v>
      </c>
      <c r="B53" s="245"/>
      <c r="C53" s="221">
        <v>19040</v>
      </c>
      <c r="D53" s="221">
        <v>12008</v>
      </c>
      <c r="E53" s="221">
        <v>7032</v>
      </c>
      <c r="F53" s="221">
        <v>3958</v>
      </c>
      <c r="G53" s="221">
        <v>2322</v>
      </c>
      <c r="H53" s="221">
        <v>26</v>
      </c>
      <c r="I53" s="221">
        <v>194</v>
      </c>
      <c r="J53" s="221">
        <v>28</v>
      </c>
      <c r="K53" s="221">
        <v>504</v>
      </c>
      <c r="L53" s="221">
        <v>0</v>
      </c>
    </row>
    <row r="54" spans="1:12" s="222" customFormat="1" ht="12" customHeight="1" x14ac:dyDescent="0.2">
      <c r="A54" s="245" t="s">
        <v>50</v>
      </c>
      <c r="B54" s="245"/>
      <c r="C54" s="221">
        <v>32902</v>
      </c>
      <c r="D54" s="221">
        <v>24500</v>
      </c>
      <c r="E54" s="221">
        <v>8402</v>
      </c>
      <c r="F54" s="221">
        <v>5077</v>
      </c>
      <c r="G54" s="221">
        <v>2949</v>
      </c>
      <c r="H54" s="221">
        <v>44</v>
      </c>
      <c r="I54" s="221">
        <v>72</v>
      </c>
      <c r="J54" s="221">
        <v>26</v>
      </c>
      <c r="K54" s="221">
        <v>230</v>
      </c>
      <c r="L54" s="221">
        <v>4</v>
      </c>
    </row>
    <row r="55" spans="1:12" s="222" customFormat="1" ht="12" customHeight="1" x14ac:dyDescent="0.2">
      <c r="A55" s="255" t="s">
        <v>51</v>
      </c>
      <c r="B55" s="255"/>
      <c r="C55" s="228">
        <v>4083</v>
      </c>
      <c r="D55" s="228">
        <v>3560</v>
      </c>
      <c r="E55" s="228">
        <v>523</v>
      </c>
      <c r="F55" s="228">
        <v>353</v>
      </c>
      <c r="G55" s="228">
        <v>157</v>
      </c>
      <c r="H55" s="228">
        <v>1</v>
      </c>
      <c r="I55" s="228">
        <v>1</v>
      </c>
      <c r="J55" s="228">
        <v>0</v>
      </c>
      <c r="K55" s="228">
        <v>11</v>
      </c>
      <c r="L55" s="228">
        <v>0</v>
      </c>
    </row>
    <row r="56" spans="1:12" s="222" customFormat="1" ht="12" customHeight="1" x14ac:dyDescent="0.2">
      <c r="A56" s="225"/>
      <c r="B56" s="231"/>
      <c r="C56" s="232"/>
      <c r="D56" s="232"/>
      <c r="E56" s="232"/>
      <c r="F56" s="232"/>
      <c r="G56" s="232"/>
      <c r="H56" s="232"/>
      <c r="I56" s="232"/>
      <c r="J56" s="232"/>
      <c r="K56" s="232"/>
      <c r="L56" s="232"/>
    </row>
    <row r="57" spans="1:12" s="222" customFormat="1" ht="12" customHeight="1" x14ac:dyDescent="0.2">
      <c r="A57" s="259" t="s">
        <v>52</v>
      </c>
      <c r="B57" s="259"/>
      <c r="C57" s="218">
        <v>50634</v>
      </c>
      <c r="D57" s="218">
        <v>36301</v>
      </c>
      <c r="E57" s="218">
        <v>14333</v>
      </c>
      <c r="F57" s="218">
        <v>8349</v>
      </c>
      <c r="G57" s="218">
        <v>4925</v>
      </c>
      <c r="H57" s="218">
        <v>63</v>
      </c>
      <c r="I57" s="218">
        <v>259</v>
      </c>
      <c r="J57" s="218">
        <v>47</v>
      </c>
      <c r="K57" s="218">
        <v>686</v>
      </c>
      <c r="L57" s="218">
        <v>4</v>
      </c>
    </row>
    <row r="58" spans="1:12" s="222" customFormat="1" ht="12" customHeight="1" x14ac:dyDescent="0.2">
      <c r="A58" s="245" t="s">
        <v>53</v>
      </c>
      <c r="B58" s="245"/>
      <c r="C58" s="221">
        <v>3415</v>
      </c>
      <c r="D58" s="221">
        <v>2393</v>
      </c>
      <c r="E58" s="221">
        <v>1022</v>
      </c>
      <c r="F58" s="221">
        <v>624</v>
      </c>
      <c r="G58" s="221">
        <v>327</v>
      </c>
      <c r="H58" s="221">
        <v>7</v>
      </c>
      <c r="I58" s="221">
        <v>6</v>
      </c>
      <c r="J58" s="221">
        <v>3</v>
      </c>
      <c r="K58" s="221">
        <v>55</v>
      </c>
      <c r="L58" s="221">
        <v>0</v>
      </c>
    </row>
    <row r="59" spans="1:12" s="222" customFormat="1" ht="12" customHeight="1" x14ac:dyDescent="0.2">
      <c r="A59" s="245" t="s">
        <v>55</v>
      </c>
      <c r="B59" s="245"/>
      <c r="C59" s="221">
        <v>1842</v>
      </c>
      <c r="D59" s="221">
        <v>1620</v>
      </c>
      <c r="E59" s="221">
        <v>222</v>
      </c>
      <c r="F59" s="221">
        <v>148</v>
      </c>
      <c r="G59" s="221">
        <v>70</v>
      </c>
      <c r="H59" s="221">
        <v>0</v>
      </c>
      <c r="I59" s="221">
        <v>0</v>
      </c>
      <c r="J59" s="221">
        <v>0</v>
      </c>
      <c r="K59" s="221">
        <v>4</v>
      </c>
      <c r="L59" s="221">
        <v>0</v>
      </c>
    </row>
    <row r="60" spans="1:12" s="222" customFormat="1" ht="12" customHeight="1" x14ac:dyDescent="0.2">
      <c r="A60" s="245" t="s">
        <v>56</v>
      </c>
      <c r="B60" s="245"/>
      <c r="C60" s="221">
        <v>2241</v>
      </c>
      <c r="D60" s="221">
        <v>1940</v>
      </c>
      <c r="E60" s="221">
        <v>301</v>
      </c>
      <c r="F60" s="221">
        <v>205</v>
      </c>
      <c r="G60" s="221">
        <v>87</v>
      </c>
      <c r="H60" s="221">
        <v>1</v>
      </c>
      <c r="I60" s="221">
        <v>1</v>
      </c>
      <c r="J60" s="221">
        <v>0</v>
      </c>
      <c r="K60" s="221">
        <v>7</v>
      </c>
      <c r="L60" s="221">
        <v>0</v>
      </c>
    </row>
    <row r="61" spans="1:12" s="222" customFormat="1" ht="12" customHeight="1" x14ac:dyDescent="0.2">
      <c r="A61" s="245" t="s">
        <v>57</v>
      </c>
      <c r="B61" s="245"/>
      <c r="C61" s="221">
        <v>7677</v>
      </c>
      <c r="D61" s="221">
        <v>4124</v>
      </c>
      <c r="E61" s="221">
        <v>3553</v>
      </c>
      <c r="F61" s="221">
        <v>1775</v>
      </c>
      <c r="G61" s="221">
        <v>1299</v>
      </c>
      <c r="H61" s="221">
        <v>13</v>
      </c>
      <c r="I61" s="221">
        <v>166</v>
      </c>
      <c r="J61" s="221">
        <v>19</v>
      </c>
      <c r="K61" s="221">
        <v>281</v>
      </c>
      <c r="L61" s="221">
        <v>0</v>
      </c>
    </row>
    <row r="62" spans="1:12" s="222" customFormat="1" ht="12" customHeight="1" x14ac:dyDescent="0.2">
      <c r="A62" s="245" t="s">
        <v>58</v>
      </c>
      <c r="B62" s="245"/>
      <c r="C62" s="221">
        <v>2838</v>
      </c>
      <c r="D62" s="221">
        <v>2276</v>
      </c>
      <c r="E62" s="221">
        <v>562</v>
      </c>
      <c r="F62" s="221">
        <v>386</v>
      </c>
      <c r="G62" s="221">
        <v>151</v>
      </c>
      <c r="H62" s="221">
        <v>1</v>
      </c>
      <c r="I62" s="221">
        <v>9</v>
      </c>
      <c r="J62" s="221">
        <v>3</v>
      </c>
      <c r="K62" s="221">
        <v>12</v>
      </c>
      <c r="L62" s="221">
        <v>0</v>
      </c>
    </row>
    <row r="63" spans="1:12" s="222" customFormat="1" ht="12" customHeight="1" x14ac:dyDescent="0.2">
      <c r="A63" s="245" t="s">
        <v>60</v>
      </c>
      <c r="B63" s="245"/>
      <c r="C63" s="221">
        <v>15076</v>
      </c>
      <c r="D63" s="221">
        <v>11136</v>
      </c>
      <c r="E63" s="221">
        <v>3940</v>
      </c>
      <c r="F63" s="221">
        <v>2166</v>
      </c>
      <c r="G63" s="221">
        <v>1603</v>
      </c>
      <c r="H63" s="221">
        <v>33</v>
      </c>
      <c r="I63" s="221">
        <v>37</v>
      </c>
      <c r="J63" s="221">
        <v>13</v>
      </c>
      <c r="K63" s="221">
        <v>84</v>
      </c>
      <c r="L63" s="221">
        <v>4</v>
      </c>
    </row>
    <row r="64" spans="1:12" s="222" customFormat="1" ht="12" customHeight="1" x14ac:dyDescent="0.2">
      <c r="A64" s="245" t="s">
        <v>62</v>
      </c>
      <c r="B64" s="245"/>
      <c r="C64" s="221">
        <v>4437</v>
      </c>
      <c r="D64" s="221">
        <v>3158</v>
      </c>
      <c r="E64" s="221">
        <v>1279</v>
      </c>
      <c r="F64" s="221">
        <v>822</v>
      </c>
      <c r="G64" s="221">
        <v>370</v>
      </c>
      <c r="H64" s="221">
        <v>1</v>
      </c>
      <c r="I64" s="221">
        <v>18</v>
      </c>
      <c r="J64" s="221">
        <v>1</v>
      </c>
      <c r="K64" s="221">
        <v>67</v>
      </c>
      <c r="L64" s="221">
        <v>0</v>
      </c>
    </row>
    <row r="65" spans="1:12" s="222" customFormat="1" ht="12" customHeight="1" x14ac:dyDescent="0.2">
      <c r="A65" s="245" t="s">
        <v>63</v>
      </c>
      <c r="B65" s="245"/>
      <c r="C65" s="221">
        <v>2339</v>
      </c>
      <c r="D65" s="221">
        <v>1843</v>
      </c>
      <c r="E65" s="221">
        <v>496</v>
      </c>
      <c r="F65" s="221">
        <v>319</v>
      </c>
      <c r="G65" s="221">
        <v>148</v>
      </c>
      <c r="H65" s="221">
        <v>1</v>
      </c>
      <c r="I65" s="221">
        <v>11</v>
      </c>
      <c r="J65" s="221">
        <v>0</v>
      </c>
      <c r="K65" s="221">
        <v>17</v>
      </c>
      <c r="L65" s="221">
        <v>0</v>
      </c>
    </row>
    <row r="66" spans="1:12" s="222" customFormat="1" ht="12" customHeight="1" x14ac:dyDescent="0.2">
      <c r="A66" s="245" t="s">
        <v>64</v>
      </c>
      <c r="B66" s="245"/>
      <c r="C66" s="221">
        <v>2740</v>
      </c>
      <c r="D66" s="221">
        <v>2135</v>
      </c>
      <c r="E66" s="221">
        <v>605</v>
      </c>
      <c r="F66" s="221">
        <v>403</v>
      </c>
      <c r="G66" s="221">
        <v>189</v>
      </c>
      <c r="H66" s="221">
        <v>0</v>
      </c>
      <c r="I66" s="221">
        <v>0</v>
      </c>
      <c r="J66" s="221">
        <v>0</v>
      </c>
      <c r="K66" s="221">
        <v>13</v>
      </c>
      <c r="L66" s="221">
        <v>0</v>
      </c>
    </row>
    <row r="67" spans="1:12" s="222" customFormat="1" ht="12" customHeight="1" x14ac:dyDescent="0.2">
      <c r="A67" s="245" t="s">
        <v>65</v>
      </c>
      <c r="B67" s="245"/>
      <c r="C67" s="221">
        <v>4518</v>
      </c>
      <c r="D67" s="221">
        <v>3343</v>
      </c>
      <c r="E67" s="221">
        <v>1175</v>
      </c>
      <c r="F67" s="221">
        <v>764</v>
      </c>
      <c r="G67" s="221">
        <v>355</v>
      </c>
      <c r="H67" s="221">
        <v>1</v>
      </c>
      <c r="I67" s="221">
        <v>7</v>
      </c>
      <c r="J67" s="221">
        <v>3</v>
      </c>
      <c r="K67" s="221">
        <v>45</v>
      </c>
      <c r="L67" s="221">
        <v>0</v>
      </c>
    </row>
    <row r="68" spans="1:12" s="222" customFormat="1" ht="12" customHeight="1" x14ac:dyDescent="0.2">
      <c r="A68" s="255" t="s">
        <v>66</v>
      </c>
      <c r="B68" s="255"/>
      <c r="C68" s="228">
        <v>3511</v>
      </c>
      <c r="D68" s="228">
        <v>2333</v>
      </c>
      <c r="E68" s="228">
        <v>1178</v>
      </c>
      <c r="F68" s="228">
        <v>737</v>
      </c>
      <c r="G68" s="228">
        <v>326</v>
      </c>
      <c r="H68" s="228">
        <v>5</v>
      </c>
      <c r="I68" s="228">
        <v>4</v>
      </c>
      <c r="J68" s="228">
        <v>5</v>
      </c>
      <c r="K68" s="228">
        <v>101</v>
      </c>
      <c r="L68" s="228">
        <v>0</v>
      </c>
    </row>
    <row r="69" spans="1:12" s="222" customFormat="1" ht="12" customHeight="1" x14ac:dyDescent="0.2">
      <c r="A69" s="225"/>
      <c r="B69" s="225"/>
      <c r="C69" s="225"/>
      <c r="D69" s="225"/>
      <c r="E69" s="225"/>
      <c r="F69" s="225"/>
      <c r="G69" s="225"/>
      <c r="H69" s="225"/>
      <c r="I69" s="225"/>
      <c r="J69" s="225"/>
      <c r="K69" s="225"/>
      <c r="L69" s="225"/>
    </row>
    <row r="70" spans="1:12" s="222" customFormat="1" ht="12" customHeight="1" x14ac:dyDescent="0.2">
      <c r="A70" s="256" t="s">
        <v>67</v>
      </c>
      <c r="B70" s="256"/>
      <c r="C70" s="219">
        <v>155275</v>
      </c>
      <c r="D70" s="219">
        <v>103095</v>
      </c>
      <c r="E70" s="219">
        <v>52180</v>
      </c>
      <c r="F70" s="219">
        <v>32540</v>
      </c>
      <c r="G70" s="219">
        <v>17544</v>
      </c>
      <c r="H70" s="219">
        <v>266</v>
      </c>
      <c r="I70" s="219">
        <v>593</v>
      </c>
      <c r="J70" s="219">
        <v>89</v>
      </c>
      <c r="K70" s="219">
        <v>1120</v>
      </c>
      <c r="L70" s="219">
        <v>28</v>
      </c>
    </row>
    <row r="71" spans="1:12" s="222" customFormat="1" ht="12" customHeight="1" x14ac:dyDescent="0.2">
      <c r="A71" s="245" t="s">
        <v>68</v>
      </c>
      <c r="B71" s="245"/>
      <c r="C71" s="221">
        <v>4582</v>
      </c>
      <c r="D71" s="221">
        <v>3044</v>
      </c>
      <c r="E71" s="221">
        <v>1538</v>
      </c>
      <c r="F71" s="221">
        <v>1090</v>
      </c>
      <c r="G71" s="221">
        <v>384</v>
      </c>
      <c r="H71" s="221">
        <v>6</v>
      </c>
      <c r="I71" s="221">
        <v>14</v>
      </c>
      <c r="J71" s="221">
        <v>5</v>
      </c>
      <c r="K71" s="221">
        <v>39</v>
      </c>
      <c r="L71" s="221">
        <v>0</v>
      </c>
    </row>
    <row r="72" spans="1:12" s="222" customFormat="1" ht="12" customHeight="1" x14ac:dyDescent="0.2">
      <c r="A72" s="245" t="s">
        <v>69</v>
      </c>
      <c r="B72" s="245"/>
      <c r="C72" s="221">
        <v>1374</v>
      </c>
      <c r="D72" s="221">
        <v>1228</v>
      </c>
      <c r="E72" s="221">
        <v>146</v>
      </c>
      <c r="F72" s="221">
        <v>98</v>
      </c>
      <c r="G72" s="221">
        <v>37</v>
      </c>
      <c r="H72" s="221">
        <v>0</v>
      </c>
      <c r="I72" s="221">
        <v>0</v>
      </c>
      <c r="J72" s="221">
        <v>0</v>
      </c>
      <c r="K72" s="221">
        <v>11</v>
      </c>
      <c r="L72" s="221">
        <v>0</v>
      </c>
    </row>
    <row r="73" spans="1:12" s="222" customFormat="1" ht="12" customHeight="1" x14ac:dyDescent="0.2">
      <c r="A73" s="245" t="s">
        <v>70</v>
      </c>
      <c r="B73" s="245"/>
      <c r="C73" s="221">
        <v>348</v>
      </c>
      <c r="D73" s="221">
        <v>290</v>
      </c>
      <c r="E73" s="221">
        <v>58</v>
      </c>
      <c r="F73" s="221">
        <v>38</v>
      </c>
      <c r="G73" s="221">
        <v>20</v>
      </c>
      <c r="H73" s="221">
        <v>0</v>
      </c>
      <c r="I73" s="221">
        <v>0</v>
      </c>
      <c r="J73" s="221">
        <v>0</v>
      </c>
      <c r="K73" s="221">
        <v>0</v>
      </c>
      <c r="L73" s="221">
        <v>0</v>
      </c>
    </row>
    <row r="74" spans="1:12" s="222" customFormat="1" ht="12" customHeight="1" x14ac:dyDescent="0.2">
      <c r="A74" s="245" t="s">
        <v>71</v>
      </c>
      <c r="B74" s="245"/>
      <c r="C74" s="221">
        <v>931</v>
      </c>
      <c r="D74" s="221">
        <v>814</v>
      </c>
      <c r="E74" s="221">
        <v>117</v>
      </c>
      <c r="F74" s="221">
        <v>70</v>
      </c>
      <c r="G74" s="221">
        <v>46</v>
      </c>
      <c r="H74" s="221">
        <v>0</v>
      </c>
      <c r="I74" s="221">
        <v>1</v>
      </c>
      <c r="J74" s="221">
        <v>0</v>
      </c>
      <c r="K74" s="221">
        <v>0</v>
      </c>
      <c r="L74" s="221">
        <v>0</v>
      </c>
    </row>
    <row r="75" spans="1:12" s="222" customFormat="1" ht="12" customHeight="1" x14ac:dyDescent="0.2">
      <c r="A75" s="245" t="s">
        <v>73</v>
      </c>
      <c r="B75" s="245"/>
      <c r="C75" s="221">
        <v>1501</v>
      </c>
      <c r="D75" s="221">
        <v>1255</v>
      </c>
      <c r="E75" s="221">
        <v>246</v>
      </c>
      <c r="F75" s="221">
        <v>198</v>
      </c>
      <c r="G75" s="221">
        <v>45</v>
      </c>
      <c r="H75" s="221">
        <v>1</v>
      </c>
      <c r="I75" s="221">
        <v>0</v>
      </c>
      <c r="J75" s="221">
        <v>0</v>
      </c>
      <c r="K75" s="221">
        <v>2</v>
      </c>
      <c r="L75" s="221">
        <v>0</v>
      </c>
    </row>
    <row r="76" spans="1:12" s="222" customFormat="1" ht="12" customHeight="1" x14ac:dyDescent="0.2">
      <c r="A76" s="245" t="s">
        <v>75</v>
      </c>
      <c r="B76" s="245"/>
      <c r="C76" s="221">
        <v>2802</v>
      </c>
      <c r="D76" s="221">
        <v>2179</v>
      </c>
      <c r="E76" s="221">
        <v>623</v>
      </c>
      <c r="F76" s="221">
        <v>408</v>
      </c>
      <c r="G76" s="221">
        <v>207</v>
      </c>
      <c r="H76" s="221">
        <v>1</v>
      </c>
      <c r="I76" s="221">
        <v>4</v>
      </c>
      <c r="J76" s="221">
        <v>0</v>
      </c>
      <c r="K76" s="221">
        <v>3</v>
      </c>
      <c r="L76" s="221">
        <v>0</v>
      </c>
    </row>
    <row r="77" spans="1:12" s="222" customFormat="1" ht="12" customHeight="1" x14ac:dyDescent="0.2">
      <c r="A77" s="245" t="s">
        <v>77</v>
      </c>
      <c r="B77" s="245"/>
      <c r="C77" s="221">
        <v>945</v>
      </c>
      <c r="D77" s="221">
        <v>500</v>
      </c>
      <c r="E77" s="221">
        <v>445</v>
      </c>
      <c r="F77" s="221">
        <v>267</v>
      </c>
      <c r="G77" s="221">
        <v>161</v>
      </c>
      <c r="H77" s="221">
        <v>3</v>
      </c>
      <c r="I77" s="221">
        <v>0</v>
      </c>
      <c r="J77" s="221">
        <v>1</v>
      </c>
      <c r="K77" s="221">
        <v>13</v>
      </c>
      <c r="L77" s="221">
        <v>0</v>
      </c>
    </row>
    <row r="78" spans="1:12" s="222" customFormat="1" ht="12" customHeight="1" x14ac:dyDescent="0.2">
      <c r="A78" s="245" t="s">
        <v>79</v>
      </c>
      <c r="B78" s="245"/>
      <c r="C78" s="221">
        <v>467</v>
      </c>
      <c r="D78" s="221">
        <v>354</v>
      </c>
      <c r="E78" s="221">
        <v>113</v>
      </c>
      <c r="F78" s="221">
        <v>79</v>
      </c>
      <c r="G78" s="221">
        <v>34</v>
      </c>
      <c r="H78" s="221">
        <v>0</v>
      </c>
      <c r="I78" s="221">
        <v>0</v>
      </c>
      <c r="J78" s="221">
        <v>0</v>
      </c>
      <c r="K78" s="221">
        <v>0</v>
      </c>
      <c r="L78" s="221">
        <v>0</v>
      </c>
    </row>
    <row r="79" spans="1:12" s="222" customFormat="1" ht="12" customHeight="1" x14ac:dyDescent="0.2">
      <c r="A79" s="245" t="s">
        <v>80</v>
      </c>
      <c r="B79" s="245"/>
      <c r="C79" s="221">
        <v>784</v>
      </c>
      <c r="D79" s="221">
        <v>634</v>
      </c>
      <c r="E79" s="221">
        <v>150</v>
      </c>
      <c r="F79" s="221">
        <v>106</v>
      </c>
      <c r="G79" s="221">
        <v>26</v>
      </c>
      <c r="H79" s="221">
        <v>3</v>
      </c>
      <c r="I79" s="221">
        <v>0</v>
      </c>
      <c r="J79" s="221">
        <v>0</v>
      </c>
      <c r="K79" s="221">
        <v>15</v>
      </c>
      <c r="L79" s="221">
        <v>0</v>
      </c>
    </row>
    <row r="80" spans="1:12" s="222" customFormat="1" ht="12" customHeight="1" x14ac:dyDescent="0.2">
      <c r="A80" s="245" t="s">
        <v>81</v>
      </c>
      <c r="B80" s="245"/>
      <c r="C80" s="221">
        <v>1601</v>
      </c>
      <c r="D80" s="221">
        <v>1129</v>
      </c>
      <c r="E80" s="221">
        <v>472</v>
      </c>
      <c r="F80" s="221">
        <v>340</v>
      </c>
      <c r="G80" s="221">
        <v>106</v>
      </c>
      <c r="H80" s="221">
        <v>3</v>
      </c>
      <c r="I80" s="221">
        <v>8</v>
      </c>
      <c r="J80" s="221">
        <v>1</v>
      </c>
      <c r="K80" s="221">
        <v>14</v>
      </c>
      <c r="L80" s="221">
        <v>0</v>
      </c>
    </row>
    <row r="81" spans="1:12" s="222" customFormat="1" ht="12" customHeight="1" x14ac:dyDescent="0.2">
      <c r="A81" s="245" t="s">
        <v>84</v>
      </c>
      <c r="B81" s="245"/>
      <c r="C81" s="221">
        <v>2403</v>
      </c>
      <c r="D81" s="221">
        <v>1705</v>
      </c>
      <c r="E81" s="221">
        <v>698</v>
      </c>
      <c r="F81" s="221">
        <v>456</v>
      </c>
      <c r="G81" s="221">
        <v>205</v>
      </c>
      <c r="H81" s="221">
        <v>2</v>
      </c>
      <c r="I81" s="221">
        <v>4</v>
      </c>
      <c r="J81" s="221">
        <v>2</v>
      </c>
      <c r="K81" s="221">
        <v>29</v>
      </c>
      <c r="L81" s="221">
        <v>0</v>
      </c>
    </row>
    <row r="82" spans="1:12" s="222" customFormat="1" ht="12" customHeight="1" x14ac:dyDescent="0.2">
      <c r="A82" s="245" t="s">
        <v>85</v>
      </c>
      <c r="B82" s="245"/>
      <c r="C82" s="221">
        <v>6702</v>
      </c>
      <c r="D82" s="221">
        <v>5928</v>
      </c>
      <c r="E82" s="221">
        <v>774</v>
      </c>
      <c r="F82" s="221">
        <v>542</v>
      </c>
      <c r="G82" s="221">
        <v>210</v>
      </c>
      <c r="H82" s="221">
        <v>7</v>
      </c>
      <c r="I82" s="221">
        <v>3</v>
      </c>
      <c r="J82" s="221">
        <v>0</v>
      </c>
      <c r="K82" s="221">
        <v>12</v>
      </c>
      <c r="L82" s="221">
        <v>0</v>
      </c>
    </row>
    <row r="83" spans="1:12" s="222" customFormat="1" ht="12" customHeight="1" x14ac:dyDescent="0.2">
      <c r="A83" s="245" t="s">
        <v>88</v>
      </c>
      <c r="B83" s="245"/>
      <c r="C83" s="221">
        <v>4393</v>
      </c>
      <c r="D83" s="221">
        <v>3068</v>
      </c>
      <c r="E83" s="221">
        <v>1325</v>
      </c>
      <c r="F83" s="221">
        <v>952</v>
      </c>
      <c r="G83" s="221">
        <v>328</v>
      </c>
      <c r="H83" s="221">
        <v>2</v>
      </c>
      <c r="I83" s="221">
        <v>15</v>
      </c>
      <c r="J83" s="221">
        <v>0</v>
      </c>
      <c r="K83" s="221">
        <v>28</v>
      </c>
      <c r="L83" s="221">
        <v>0</v>
      </c>
    </row>
    <row r="84" spans="1:12" s="222" customFormat="1" ht="12" customHeight="1" x14ac:dyDescent="0.2">
      <c r="A84" s="245" t="s">
        <v>91</v>
      </c>
      <c r="B84" s="245"/>
      <c r="C84" s="221">
        <v>4932</v>
      </c>
      <c r="D84" s="221">
        <v>3119</v>
      </c>
      <c r="E84" s="221">
        <v>1813</v>
      </c>
      <c r="F84" s="221">
        <v>1044</v>
      </c>
      <c r="G84" s="221">
        <v>715</v>
      </c>
      <c r="H84" s="221">
        <v>15</v>
      </c>
      <c r="I84" s="221">
        <v>3</v>
      </c>
      <c r="J84" s="221">
        <v>1</v>
      </c>
      <c r="K84" s="221">
        <v>35</v>
      </c>
      <c r="L84" s="221">
        <v>0</v>
      </c>
    </row>
    <row r="85" spans="1:12" s="222" customFormat="1" ht="12" customHeight="1" x14ac:dyDescent="0.2">
      <c r="A85" s="245" t="s">
        <v>92</v>
      </c>
      <c r="B85" s="245"/>
      <c r="C85" s="221">
        <v>2194</v>
      </c>
      <c r="D85" s="221">
        <v>1896</v>
      </c>
      <c r="E85" s="221">
        <v>298</v>
      </c>
      <c r="F85" s="221">
        <v>219</v>
      </c>
      <c r="G85" s="221">
        <v>75</v>
      </c>
      <c r="H85" s="221">
        <v>0</v>
      </c>
      <c r="I85" s="221">
        <v>0</v>
      </c>
      <c r="J85" s="221">
        <v>0</v>
      </c>
      <c r="K85" s="221">
        <v>4</v>
      </c>
      <c r="L85" s="221">
        <v>0</v>
      </c>
    </row>
    <row r="86" spans="1:12" s="222" customFormat="1" ht="12" customHeight="1" x14ac:dyDescent="0.2">
      <c r="A86" s="245" t="s">
        <v>94</v>
      </c>
      <c r="B86" s="245"/>
      <c r="C86" s="221">
        <v>1484</v>
      </c>
      <c r="D86" s="221">
        <v>1215</v>
      </c>
      <c r="E86" s="221">
        <v>269</v>
      </c>
      <c r="F86" s="221">
        <v>180</v>
      </c>
      <c r="G86" s="221">
        <v>78</v>
      </c>
      <c r="H86" s="221">
        <v>0</v>
      </c>
      <c r="I86" s="221">
        <v>0</v>
      </c>
      <c r="J86" s="221">
        <v>0</v>
      </c>
      <c r="K86" s="221">
        <v>11</v>
      </c>
      <c r="L86" s="221">
        <v>0</v>
      </c>
    </row>
    <row r="87" spans="1:12" s="222" customFormat="1" ht="12" customHeight="1" x14ac:dyDescent="0.2">
      <c r="A87" s="245" t="s">
        <v>96</v>
      </c>
      <c r="B87" s="245"/>
      <c r="C87" s="221">
        <v>457</v>
      </c>
      <c r="D87" s="221">
        <v>303</v>
      </c>
      <c r="E87" s="221">
        <v>154</v>
      </c>
      <c r="F87" s="221">
        <v>107</v>
      </c>
      <c r="G87" s="221">
        <v>42</v>
      </c>
      <c r="H87" s="221">
        <v>0</v>
      </c>
      <c r="I87" s="221">
        <v>3</v>
      </c>
      <c r="J87" s="221">
        <v>0</v>
      </c>
      <c r="K87" s="221">
        <v>2</v>
      </c>
      <c r="L87" s="221">
        <v>0</v>
      </c>
    </row>
    <row r="88" spans="1:12" s="222" customFormat="1" ht="12" customHeight="1" x14ac:dyDescent="0.2">
      <c r="A88" s="245" t="s">
        <v>97</v>
      </c>
      <c r="B88" s="245"/>
      <c r="C88" s="221">
        <v>1416</v>
      </c>
      <c r="D88" s="221">
        <v>1092</v>
      </c>
      <c r="E88" s="221">
        <v>324</v>
      </c>
      <c r="F88" s="221">
        <v>248</v>
      </c>
      <c r="G88" s="221">
        <v>72</v>
      </c>
      <c r="H88" s="221">
        <v>1</v>
      </c>
      <c r="I88" s="221">
        <v>1</v>
      </c>
      <c r="J88" s="221">
        <v>0</v>
      </c>
      <c r="K88" s="221">
        <v>2</v>
      </c>
      <c r="L88" s="221">
        <v>0</v>
      </c>
    </row>
    <row r="89" spans="1:12" s="222" customFormat="1" ht="12" customHeight="1" x14ac:dyDescent="0.2">
      <c r="A89" s="245" t="s">
        <v>98</v>
      </c>
      <c r="B89" s="245"/>
      <c r="C89" s="221">
        <v>1748</v>
      </c>
      <c r="D89" s="221">
        <v>1131</v>
      </c>
      <c r="E89" s="221">
        <v>617</v>
      </c>
      <c r="F89" s="221">
        <v>478</v>
      </c>
      <c r="G89" s="221">
        <v>123</v>
      </c>
      <c r="H89" s="221">
        <v>1</v>
      </c>
      <c r="I89" s="221">
        <v>1</v>
      </c>
      <c r="J89" s="221">
        <v>0</v>
      </c>
      <c r="K89" s="221">
        <v>14</v>
      </c>
      <c r="L89" s="221">
        <v>0</v>
      </c>
    </row>
    <row r="90" spans="1:12" s="222" customFormat="1" ht="12" customHeight="1" x14ac:dyDescent="0.2">
      <c r="A90" s="245" t="s">
        <v>405</v>
      </c>
      <c r="B90" s="245"/>
      <c r="C90" s="221">
        <v>2667</v>
      </c>
      <c r="D90" s="221">
        <v>2266</v>
      </c>
      <c r="E90" s="221">
        <v>401</v>
      </c>
      <c r="F90" s="221">
        <v>250</v>
      </c>
      <c r="G90" s="221">
        <v>122</v>
      </c>
      <c r="H90" s="221">
        <v>1</v>
      </c>
      <c r="I90" s="221">
        <v>14</v>
      </c>
      <c r="J90" s="221">
        <v>4</v>
      </c>
      <c r="K90" s="221">
        <v>10</v>
      </c>
      <c r="L90" s="221">
        <v>0</v>
      </c>
    </row>
    <row r="91" spans="1:12" s="222" customFormat="1" ht="12" customHeight="1" x14ac:dyDescent="0.2">
      <c r="A91" s="245" t="s">
        <v>99</v>
      </c>
      <c r="B91" s="245"/>
      <c r="C91" s="221">
        <v>63691</v>
      </c>
      <c r="D91" s="221">
        <v>37651</v>
      </c>
      <c r="E91" s="221">
        <v>26040</v>
      </c>
      <c r="F91" s="221">
        <v>15523</v>
      </c>
      <c r="G91" s="221">
        <v>9380</v>
      </c>
      <c r="H91" s="221">
        <v>157</v>
      </c>
      <c r="I91" s="221">
        <v>371</v>
      </c>
      <c r="J91" s="221">
        <v>39</v>
      </c>
      <c r="K91" s="221">
        <v>549</v>
      </c>
      <c r="L91" s="221">
        <v>21</v>
      </c>
    </row>
    <row r="92" spans="1:12" s="222" customFormat="1" ht="12" customHeight="1" x14ac:dyDescent="0.2">
      <c r="A92" s="245" t="s">
        <v>100</v>
      </c>
      <c r="B92" s="245"/>
      <c r="C92" s="221">
        <v>1609</v>
      </c>
      <c r="D92" s="221">
        <v>1210</v>
      </c>
      <c r="E92" s="221">
        <v>399</v>
      </c>
      <c r="F92" s="221">
        <v>275</v>
      </c>
      <c r="G92" s="221">
        <v>104</v>
      </c>
      <c r="H92" s="221">
        <v>2</v>
      </c>
      <c r="I92" s="221">
        <v>1</v>
      </c>
      <c r="J92" s="221">
        <v>0</v>
      </c>
      <c r="K92" s="221">
        <v>17</v>
      </c>
      <c r="L92" s="221">
        <v>0</v>
      </c>
    </row>
    <row r="93" spans="1:12" s="222" customFormat="1" ht="12" customHeight="1" x14ac:dyDescent="0.2">
      <c r="A93" s="245" t="s">
        <v>101</v>
      </c>
      <c r="B93" s="245"/>
      <c r="C93" s="221">
        <v>1381</v>
      </c>
      <c r="D93" s="221">
        <v>1055</v>
      </c>
      <c r="E93" s="221">
        <v>326</v>
      </c>
      <c r="F93" s="221">
        <v>230</v>
      </c>
      <c r="G93" s="221">
        <v>92</v>
      </c>
      <c r="H93" s="221">
        <v>2</v>
      </c>
      <c r="I93" s="221">
        <v>0</v>
      </c>
      <c r="J93" s="221">
        <v>0</v>
      </c>
      <c r="K93" s="221">
        <v>2</v>
      </c>
      <c r="L93" s="221">
        <v>0</v>
      </c>
    </row>
    <row r="94" spans="1:12" s="222" customFormat="1" ht="12" customHeight="1" x14ac:dyDescent="0.2">
      <c r="A94" s="245" t="s">
        <v>103</v>
      </c>
      <c r="B94" s="245"/>
      <c r="C94" s="221">
        <v>6976</v>
      </c>
      <c r="D94" s="221">
        <v>3723</v>
      </c>
      <c r="E94" s="221">
        <v>3253</v>
      </c>
      <c r="F94" s="221">
        <v>1825</v>
      </c>
      <c r="G94" s="221">
        <v>1238</v>
      </c>
      <c r="H94" s="221">
        <v>18</v>
      </c>
      <c r="I94" s="221">
        <v>74</v>
      </c>
      <c r="J94" s="221">
        <v>10</v>
      </c>
      <c r="K94" s="221">
        <v>83</v>
      </c>
      <c r="L94" s="221">
        <v>5</v>
      </c>
    </row>
    <row r="95" spans="1:12" s="222" customFormat="1" ht="12" customHeight="1" x14ac:dyDescent="0.2">
      <c r="A95" s="245" t="s">
        <v>105</v>
      </c>
      <c r="B95" s="245"/>
      <c r="C95" s="221">
        <v>1812</v>
      </c>
      <c r="D95" s="221">
        <v>1122</v>
      </c>
      <c r="E95" s="221">
        <v>690</v>
      </c>
      <c r="F95" s="221">
        <v>454</v>
      </c>
      <c r="G95" s="221">
        <v>220</v>
      </c>
      <c r="H95" s="221">
        <v>1</v>
      </c>
      <c r="I95" s="221">
        <v>3</v>
      </c>
      <c r="J95" s="221">
        <v>0</v>
      </c>
      <c r="K95" s="221">
        <v>12</v>
      </c>
      <c r="L95" s="221">
        <v>0</v>
      </c>
    </row>
    <row r="96" spans="1:12" s="222" customFormat="1" ht="12" customHeight="1" x14ac:dyDescent="0.2">
      <c r="A96" s="245" t="s">
        <v>106</v>
      </c>
      <c r="B96" s="245"/>
      <c r="C96" s="221">
        <v>1418</v>
      </c>
      <c r="D96" s="221">
        <v>1193</v>
      </c>
      <c r="E96" s="221">
        <v>225</v>
      </c>
      <c r="F96" s="221">
        <v>169</v>
      </c>
      <c r="G96" s="221">
        <v>55</v>
      </c>
      <c r="H96" s="221">
        <v>1</v>
      </c>
      <c r="I96" s="221">
        <v>0</v>
      </c>
      <c r="J96" s="221">
        <v>0</v>
      </c>
      <c r="K96" s="221">
        <v>0</v>
      </c>
      <c r="L96" s="221">
        <v>0</v>
      </c>
    </row>
    <row r="97" spans="1:12" s="222" customFormat="1" ht="12" customHeight="1" x14ac:dyDescent="0.2">
      <c r="A97" s="245" t="s">
        <v>336</v>
      </c>
      <c r="B97" s="245"/>
      <c r="C97" s="221">
        <v>4746</v>
      </c>
      <c r="D97" s="221">
        <v>3824</v>
      </c>
      <c r="E97" s="221">
        <v>922</v>
      </c>
      <c r="F97" s="221">
        <v>699</v>
      </c>
      <c r="G97" s="221">
        <v>208</v>
      </c>
      <c r="H97" s="221">
        <v>5</v>
      </c>
      <c r="I97" s="221">
        <v>1</v>
      </c>
      <c r="J97" s="221">
        <v>0</v>
      </c>
      <c r="K97" s="221">
        <v>9</v>
      </c>
      <c r="L97" s="221">
        <v>0</v>
      </c>
    </row>
    <row r="98" spans="1:12" s="222" customFormat="1" ht="12" customHeight="1" x14ac:dyDescent="0.2">
      <c r="A98" s="245" t="s">
        <v>109</v>
      </c>
      <c r="B98" s="245"/>
      <c r="C98" s="221">
        <v>681</v>
      </c>
      <c r="D98" s="221">
        <v>394</v>
      </c>
      <c r="E98" s="221">
        <v>287</v>
      </c>
      <c r="F98" s="221">
        <v>183</v>
      </c>
      <c r="G98" s="221">
        <v>103</v>
      </c>
      <c r="H98" s="221">
        <v>0</v>
      </c>
      <c r="I98" s="221">
        <v>0</v>
      </c>
      <c r="J98" s="221">
        <v>0</v>
      </c>
      <c r="K98" s="221">
        <v>1</v>
      </c>
      <c r="L98" s="221">
        <v>0</v>
      </c>
    </row>
    <row r="99" spans="1:12" s="222" customFormat="1" ht="12" customHeight="1" x14ac:dyDescent="0.2">
      <c r="A99" s="245" t="s">
        <v>110</v>
      </c>
      <c r="B99" s="245"/>
      <c r="C99" s="221">
        <v>775</v>
      </c>
      <c r="D99" s="221">
        <v>605</v>
      </c>
      <c r="E99" s="221">
        <v>170</v>
      </c>
      <c r="F99" s="221">
        <v>122</v>
      </c>
      <c r="G99" s="221">
        <v>47</v>
      </c>
      <c r="H99" s="221">
        <v>1</v>
      </c>
      <c r="I99" s="221">
        <v>0</v>
      </c>
      <c r="J99" s="221">
        <v>0</v>
      </c>
      <c r="K99" s="221">
        <v>0</v>
      </c>
      <c r="L99" s="221">
        <v>0</v>
      </c>
    </row>
    <row r="100" spans="1:12" s="222" customFormat="1" ht="12" customHeight="1" x14ac:dyDescent="0.2">
      <c r="A100" s="245" t="s">
        <v>111</v>
      </c>
      <c r="B100" s="245"/>
      <c r="C100" s="221">
        <v>322</v>
      </c>
      <c r="D100" s="221">
        <v>271</v>
      </c>
      <c r="E100" s="221">
        <v>51</v>
      </c>
      <c r="F100" s="221">
        <v>37</v>
      </c>
      <c r="G100" s="221">
        <v>14</v>
      </c>
      <c r="H100" s="221">
        <v>0</v>
      </c>
      <c r="I100" s="221">
        <v>0</v>
      </c>
      <c r="J100" s="221">
        <v>0</v>
      </c>
      <c r="K100" s="221">
        <v>0</v>
      </c>
      <c r="L100" s="221">
        <v>0</v>
      </c>
    </row>
    <row r="101" spans="1:12" s="222" customFormat="1" ht="12" customHeight="1" x14ac:dyDescent="0.2">
      <c r="A101" s="245" t="s">
        <v>113</v>
      </c>
      <c r="B101" s="245"/>
      <c r="C101" s="221">
        <v>1534</v>
      </c>
      <c r="D101" s="221">
        <v>1273</v>
      </c>
      <c r="E101" s="221">
        <v>261</v>
      </c>
      <c r="F101" s="221">
        <v>190</v>
      </c>
      <c r="G101" s="221">
        <v>65</v>
      </c>
      <c r="H101" s="221">
        <v>1</v>
      </c>
      <c r="I101" s="221">
        <v>0</v>
      </c>
      <c r="J101" s="221">
        <v>0</v>
      </c>
      <c r="K101" s="221">
        <v>5</v>
      </c>
      <c r="L101" s="221">
        <v>0</v>
      </c>
    </row>
    <row r="102" spans="1:12" s="222" customFormat="1" ht="12" customHeight="1" x14ac:dyDescent="0.2">
      <c r="A102" s="245" t="s">
        <v>114</v>
      </c>
      <c r="B102" s="245"/>
      <c r="C102" s="221">
        <v>4806</v>
      </c>
      <c r="D102" s="221">
        <v>1885</v>
      </c>
      <c r="E102" s="221">
        <v>2921</v>
      </c>
      <c r="F102" s="221">
        <v>1685</v>
      </c>
      <c r="G102" s="221">
        <v>1121</v>
      </c>
      <c r="H102" s="221">
        <v>11</v>
      </c>
      <c r="I102" s="221">
        <v>32</v>
      </c>
      <c r="J102" s="221">
        <v>15</v>
      </c>
      <c r="K102" s="221">
        <v>57</v>
      </c>
      <c r="L102" s="221">
        <v>0</v>
      </c>
    </row>
    <row r="103" spans="1:12" s="222" customFormat="1" ht="12" customHeight="1" x14ac:dyDescent="0.2">
      <c r="A103" s="245" t="s">
        <v>115</v>
      </c>
      <c r="B103" s="245"/>
      <c r="C103" s="221">
        <v>1965</v>
      </c>
      <c r="D103" s="221">
        <v>1633</v>
      </c>
      <c r="E103" s="221">
        <v>332</v>
      </c>
      <c r="F103" s="221">
        <v>227</v>
      </c>
      <c r="G103" s="221">
        <v>102</v>
      </c>
      <c r="H103" s="221">
        <v>0</v>
      </c>
      <c r="I103" s="221">
        <v>0</v>
      </c>
      <c r="J103" s="221">
        <v>0</v>
      </c>
      <c r="K103" s="221">
        <v>3</v>
      </c>
      <c r="L103" s="221">
        <v>0</v>
      </c>
    </row>
    <row r="104" spans="1:12" s="222" customFormat="1" ht="12" customHeight="1" x14ac:dyDescent="0.2">
      <c r="A104" s="245" t="s">
        <v>117</v>
      </c>
      <c r="B104" s="245"/>
      <c r="C104" s="221">
        <v>1696</v>
      </c>
      <c r="D104" s="221">
        <v>1208</v>
      </c>
      <c r="E104" s="221">
        <v>488</v>
      </c>
      <c r="F104" s="221">
        <v>306</v>
      </c>
      <c r="G104" s="221">
        <v>156</v>
      </c>
      <c r="H104" s="221">
        <v>1</v>
      </c>
      <c r="I104" s="221">
        <v>0</v>
      </c>
      <c r="J104" s="221">
        <v>0</v>
      </c>
      <c r="K104" s="221">
        <v>25</v>
      </c>
      <c r="L104" s="221">
        <v>0</v>
      </c>
    </row>
    <row r="105" spans="1:12" s="222" customFormat="1" ht="12" customHeight="1" x14ac:dyDescent="0.2">
      <c r="A105" s="245" t="s">
        <v>118</v>
      </c>
      <c r="B105" s="245"/>
      <c r="C105" s="221">
        <v>1368</v>
      </c>
      <c r="D105" s="221">
        <v>1056</v>
      </c>
      <c r="E105" s="221">
        <v>312</v>
      </c>
      <c r="F105" s="221">
        <v>210</v>
      </c>
      <c r="G105" s="221">
        <v>95</v>
      </c>
      <c r="H105" s="221">
        <v>1</v>
      </c>
      <c r="I105" s="221">
        <v>0</v>
      </c>
      <c r="J105" s="221">
        <v>0</v>
      </c>
      <c r="K105" s="221">
        <v>6</v>
      </c>
      <c r="L105" s="221">
        <v>0</v>
      </c>
    </row>
    <row r="106" spans="1:12" s="222" customFormat="1" ht="12" customHeight="1" x14ac:dyDescent="0.2">
      <c r="A106" s="245" t="s">
        <v>121</v>
      </c>
      <c r="B106" s="245"/>
      <c r="C106" s="221">
        <v>2315</v>
      </c>
      <c r="D106" s="221">
        <v>1583</v>
      </c>
      <c r="E106" s="221">
        <v>732</v>
      </c>
      <c r="F106" s="221">
        <v>507</v>
      </c>
      <c r="G106" s="221">
        <v>205</v>
      </c>
      <c r="H106" s="221">
        <v>2</v>
      </c>
      <c r="I106" s="221">
        <v>5</v>
      </c>
      <c r="J106" s="221">
        <v>0</v>
      </c>
      <c r="K106" s="221">
        <v>13</v>
      </c>
      <c r="L106" s="221">
        <v>0</v>
      </c>
    </row>
    <row r="107" spans="1:12" s="222" customFormat="1" ht="12" customHeight="1" x14ac:dyDescent="0.2">
      <c r="A107" s="245" t="s">
        <v>125</v>
      </c>
      <c r="B107" s="245"/>
      <c r="C107" s="221">
        <v>2153</v>
      </c>
      <c r="D107" s="221">
        <v>1374</v>
      </c>
      <c r="E107" s="221">
        <v>779</v>
      </c>
      <c r="F107" s="221">
        <v>404</v>
      </c>
      <c r="G107" s="221">
        <v>352</v>
      </c>
      <c r="H107" s="221">
        <v>4</v>
      </c>
      <c r="I107" s="221">
        <v>1</v>
      </c>
      <c r="J107" s="221">
        <v>3</v>
      </c>
      <c r="K107" s="221">
        <v>13</v>
      </c>
      <c r="L107" s="221">
        <v>2</v>
      </c>
    </row>
    <row r="108" spans="1:12" s="222" customFormat="1" ht="12" customHeight="1" x14ac:dyDescent="0.2">
      <c r="A108" s="245" t="s">
        <v>126</v>
      </c>
      <c r="B108" s="245"/>
      <c r="C108" s="221">
        <v>3128</v>
      </c>
      <c r="D108" s="221">
        <v>2274</v>
      </c>
      <c r="E108" s="221">
        <v>854</v>
      </c>
      <c r="F108" s="221">
        <v>624</v>
      </c>
      <c r="G108" s="221">
        <v>201</v>
      </c>
      <c r="H108" s="221">
        <v>1</v>
      </c>
      <c r="I108" s="221">
        <v>17</v>
      </c>
      <c r="J108" s="221">
        <v>1</v>
      </c>
      <c r="K108" s="221">
        <v>10</v>
      </c>
      <c r="L108" s="221">
        <v>0</v>
      </c>
    </row>
    <row r="109" spans="1:12" s="222" customFormat="1" ht="12" customHeight="1" x14ac:dyDescent="0.25">
      <c r="A109" s="245" t="s">
        <v>389</v>
      </c>
      <c r="B109" s="258"/>
      <c r="C109" s="221">
        <v>3147</v>
      </c>
      <c r="D109" s="221">
        <v>2347</v>
      </c>
      <c r="E109" s="221">
        <v>800</v>
      </c>
      <c r="F109" s="221">
        <v>502</v>
      </c>
      <c r="G109" s="221">
        <v>275</v>
      </c>
      <c r="H109" s="221">
        <v>4</v>
      </c>
      <c r="I109" s="221">
        <v>4</v>
      </c>
      <c r="J109" s="221">
        <v>1</v>
      </c>
      <c r="K109" s="221">
        <v>14</v>
      </c>
      <c r="L109" s="221">
        <v>0</v>
      </c>
    </row>
    <row r="110" spans="1:12" s="222" customFormat="1" ht="12" customHeight="1" x14ac:dyDescent="0.25">
      <c r="A110" s="245" t="s">
        <v>393</v>
      </c>
      <c r="B110" s="258"/>
      <c r="C110" s="221">
        <v>3048</v>
      </c>
      <c r="D110" s="221">
        <v>2099</v>
      </c>
      <c r="E110" s="221">
        <v>949</v>
      </c>
      <c r="F110" s="221">
        <v>623</v>
      </c>
      <c r="G110" s="221">
        <v>262</v>
      </c>
      <c r="H110" s="221">
        <v>5</v>
      </c>
      <c r="I110" s="221">
        <v>7</v>
      </c>
      <c r="J110" s="221">
        <v>6</v>
      </c>
      <c r="K110" s="221">
        <v>46</v>
      </c>
      <c r="L110" s="221">
        <v>0</v>
      </c>
    </row>
    <row r="111" spans="1:12" s="222" customFormat="1" ht="12" customHeight="1" x14ac:dyDescent="0.2">
      <c r="A111" s="245" t="s">
        <v>128</v>
      </c>
      <c r="B111" s="245"/>
      <c r="C111" s="221">
        <v>618</v>
      </c>
      <c r="D111" s="221">
        <v>505</v>
      </c>
      <c r="E111" s="221">
        <v>113</v>
      </c>
      <c r="F111" s="221">
        <v>65</v>
      </c>
      <c r="G111" s="221">
        <v>44</v>
      </c>
      <c r="H111" s="221">
        <v>0</v>
      </c>
      <c r="I111" s="221">
        <v>0</v>
      </c>
      <c r="J111" s="221">
        <v>0</v>
      </c>
      <c r="K111" s="221">
        <v>4</v>
      </c>
      <c r="L111" s="221">
        <v>0</v>
      </c>
    </row>
    <row r="112" spans="1:12" s="222" customFormat="1" ht="12" customHeight="1" x14ac:dyDescent="0.2">
      <c r="A112" s="245" t="s">
        <v>129</v>
      </c>
      <c r="B112" s="245"/>
      <c r="C112" s="221">
        <v>1957</v>
      </c>
      <c r="D112" s="221">
        <v>1441</v>
      </c>
      <c r="E112" s="221">
        <v>516</v>
      </c>
      <c r="F112" s="221">
        <v>393</v>
      </c>
      <c r="G112" s="221">
        <v>109</v>
      </c>
      <c r="H112" s="221">
        <v>3</v>
      </c>
      <c r="I112" s="221">
        <v>6</v>
      </c>
      <c r="J112" s="221">
        <v>0</v>
      </c>
      <c r="K112" s="221">
        <v>5</v>
      </c>
      <c r="L112" s="221">
        <v>0</v>
      </c>
    </row>
    <row r="113" spans="1:12" s="222" customFormat="1" ht="12" customHeight="1" x14ac:dyDescent="0.2">
      <c r="A113" s="257" t="s">
        <v>130</v>
      </c>
      <c r="B113" s="257"/>
      <c r="C113" s="228">
        <v>398</v>
      </c>
      <c r="D113" s="228">
        <v>219</v>
      </c>
      <c r="E113" s="228">
        <v>179</v>
      </c>
      <c r="F113" s="228">
        <v>117</v>
      </c>
      <c r="G113" s="228">
        <v>60</v>
      </c>
      <c r="H113" s="228">
        <v>0</v>
      </c>
      <c r="I113" s="228">
        <v>0</v>
      </c>
      <c r="J113" s="228">
        <v>0</v>
      </c>
      <c r="K113" s="228">
        <v>2</v>
      </c>
      <c r="L113" s="228">
        <v>0</v>
      </c>
    </row>
    <row r="114" spans="1:12" s="222" customFormat="1" ht="12" customHeight="1" x14ac:dyDescent="0.2">
      <c r="A114" s="225"/>
      <c r="B114" s="225"/>
      <c r="C114" s="225"/>
      <c r="D114" s="225"/>
      <c r="E114" s="225"/>
      <c r="F114" s="225"/>
      <c r="G114" s="225"/>
      <c r="H114" s="225"/>
      <c r="I114" s="225"/>
      <c r="J114" s="225"/>
      <c r="K114" s="225"/>
      <c r="L114" s="225"/>
    </row>
    <row r="115" spans="1:12" s="222" customFormat="1" ht="12" customHeight="1" x14ac:dyDescent="0.2">
      <c r="A115" s="256" t="s">
        <v>131</v>
      </c>
      <c r="B115" s="256"/>
      <c r="C115" s="219">
        <v>64151</v>
      </c>
      <c r="D115" s="219">
        <v>47272</v>
      </c>
      <c r="E115" s="219">
        <v>16879</v>
      </c>
      <c r="F115" s="219">
        <v>11115</v>
      </c>
      <c r="G115" s="219">
        <v>5078</v>
      </c>
      <c r="H115" s="219">
        <v>90</v>
      </c>
      <c r="I115" s="219">
        <v>259</v>
      </c>
      <c r="J115" s="219">
        <v>99</v>
      </c>
      <c r="K115" s="219">
        <v>238</v>
      </c>
      <c r="L115" s="219">
        <v>0</v>
      </c>
    </row>
    <row r="116" spans="1:12" s="222" customFormat="1" ht="12" customHeight="1" x14ac:dyDescent="0.2">
      <c r="A116" s="245" t="s">
        <v>132</v>
      </c>
      <c r="B116" s="245"/>
      <c r="C116" s="221">
        <v>5290</v>
      </c>
      <c r="D116" s="221">
        <v>3819</v>
      </c>
      <c r="E116" s="221">
        <v>1471</v>
      </c>
      <c r="F116" s="221">
        <v>1012</v>
      </c>
      <c r="G116" s="221">
        <v>433</v>
      </c>
      <c r="H116" s="221">
        <v>11</v>
      </c>
      <c r="I116" s="221">
        <v>7</v>
      </c>
      <c r="J116" s="221">
        <v>0</v>
      </c>
      <c r="K116" s="221">
        <v>8</v>
      </c>
      <c r="L116" s="221">
        <v>0</v>
      </c>
    </row>
    <row r="117" spans="1:12" s="222" customFormat="1" ht="12" customHeight="1" x14ac:dyDescent="0.2">
      <c r="A117" s="245" t="s">
        <v>134</v>
      </c>
      <c r="B117" s="245"/>
      <c r="C117" s="221">
        <v>432</v>
      </c>
      <c r="D117" s="221">
        <v>344</v>
      </c>
      <c r="E117" s="221">
        <v>88</v>
      </c>
      <c r="F117" s="221">
        <v>66</v>
      </c>
      <c r="G117" s="221">
        <v>20</v>
      </c>
      <c r="H117" s="221">
        <v>0</v>
      </c>
      <c r="I117" s="221">
        <v>1</v>
      </c>
      <c r="J117" s="221">
        <v>0</v>
      </c>
      <c r="K117" s="221">
        <v>1</v>
      </c>
      <c r="L117" s="221">
        <v>0</v>
      </c>
    </row>
    <row r="118" spans="1:12" s="222" customFormat="1" ht="12" customHeight="1" x14ac:dyDescent="0.2">
      <c r="A118" s="245" t="s">
        <v>135</v>
      </c>
      <c r="B118" s="245"/>
      <c r="C118" s="221">
        <v>1577</v>
      </c>
      <c r="D118" s="221">
        <v>1206</v>
      </c>
      <c r="E118" s="221">
        <v>371</v>
      </c>
      <c r="F118" s="221">
        <v>223</v>
      </c>
      <c r="G118" s="221">
        <v>129</v>
      </c>
      <c r="H118" s="221">
        <v>3</v>
      </c>
      <c r="I118" s="221">
        <v>4</v>
      </c>
      <c r="J118" s="221">
        <v>0</v>
      </c>
      <c r="K118" s="221">
        <v>12</v>
      </c>
      <c r="L118" s="221">
        <v>0</v>
      </c>
    </row>
    <row r="119" spans="1:12" s="222" customFormat="1" ht="12" customHeight="1" x14ac:dyDescent="0.2">
      <c r="A119" s="245" t="s">
        <v>138</v>
      </c>
      <c r="B119" s="245"/>
      <c r="C119" s="221">
        <v>1049</v>
      </c>
      <c r="D119" s="221">
        <v>936</v>
      </c>
      <c r="E119" s="221">
        <v>113</v>
      </c>
      <c r="F119" s="221">
        <v>73</v>
      </c>
      <c r="G119" s="221">
        <v>32</v>
      </c>
      <c r="H119" s="221">
        <v>0</v>
      </c>
      <c r="I119" s="221">
        <v>0</v>
      </c>
      <c r="J119" s="221">
        <v>0</v>
      </c>
      <c r="K119" s="221">
        <v>8</v>
      </c>
      <c r="L119" s="221">
        <v>0</v>
      </c>
    </row>
    <row r="120" spans="1:12" s="222" customFormat="1" ht="12" customHeight="1" x14ac:dyDescent="0.2">
      <c r="A120" s="245" t="s">
        <v>141</v>
      </c>
      <c r="B120" s="245"/>
      <c r="C120" s="221">
        <v>2838</v>
      </c>
      <c r="D120" s="221">
        <v>2402</v>
      </c>
      <c r="E120" s="221">
        <v>436</v>
      </c>
      <c r="F120" s="221">
        <v>337</v>
      </c>
      <c r="G120" s="221">
        <v>94</v>
      </c>
      <c r="H120" s="221">
        <v>0</v>
      </c>
      <c r="I120" s="221">
        <v>2</v>
      </c>
      <c r="J120" s="221">
        <v>0</v>
      </c>
      <c r="K120" s="221">
        <v>3</v>
      </c>
      <c r="L120" s="221">
        <v>0</v>
      </c>
    </row>
    <row r="121" spans="1:12" s="222" customFormat="1" ht="12" customHeight="1" x14ac:dyDescent="0.2">
      <c r="A121" s="245" t="s">
        <v>337</v>
      </c>
      <c r="B121" s="245"/>
      <c r="C121" s="221">
        <v>4977</v>
      </c>
      <c r="D121" s="221">
        <v>3824</v>
      </c>
      <c r="E121" s="221">
        <v>1153</v>
      </c>
      <c r="F121" s="221">
        <v>751</v>
      </c>
      <c r="G121" s="221">
        <v>368</v>
      </c>
      <c r="H121" s="221">
        <v>10</v>
      </c>
      <c r="I121" s="221">
        <v>6</v>
      </c>
      <c r="J121" s="221">
        <v>6</v>
      </c>
      <c r="K121" s="221">
        <v>12</v>
      </c>
      <c r="L121" s="221">
        <v>0</v>
      </c>
    </row>
    <row r="122" spans="1:12" s="222" customFormat="1" ht="12" customHeight="1" x14ac:dyDescent="0.2">
      <c r="A122" s="245" t="s">
        <v>144</v>
      </c>
      <c r="B122" s="245"/>
      <c r="C122" s="221">
        <v>4877</v>
      </c>
      <c r="D122" s="221">
        <v>3901</v>
      </c>
      <c r="E122" s="221">
        <v>976</v>
      </c>
      <c r="F122" s="221">
        <v>733</v>
      </c>
      <c r="G122" s="221">
        <v>220</v>
      </c>
      <c r="H122" s="221">
        <v>6</v>
      </c>
      <c r="I122" s="221">
        <v>2</v>
      </c>
      <c r="J122" s="221">
        <v>5</v>
      </c>
      <c r="K122" s="221">
        <v>10</v>
      </c>
      <c r="L122" s="221">
        <v>0</v>
      </c>
    </row>
    <row r="123" spans="1:12" s="222" customFormat="1" ht="12" customHeight="1" x14ac:dyDescent="0.2">
      <c r="A123" s="245" t="s">
        <v>148</v>
      </c>
      <c r="B123" s="245"/>
      <c r="C123" s="221">
        <v>1235</v>
      </c>
      <c r="D123" s="221">
        <v>875</v>
      </c>
      <c r="E123" s="221">
        <v>360</v>
      </c>
      <c r="F123" s="221">
        <v>179</v>
      </c>
      <c r="G123" s="221">
        <v>130</v>
      </c>
      <c r="H123" s="221">
        <v>0</v>
      </c>
      <c r="I123" s="221">
        <v>38</v>
      </c>
      <c r="J123" s="221">
        <v>0</v>
      </c>
      <c r="K123" s="221">
        <v>13</v>
      </c>
      <c r="L123" s="221">
        <v>0</v>
      </c>
    </row>
    <row r="124" spans="1:12" s="222" customFormat="1" ht="12" customHeight="1" x14ac:dyDescent="0.2">
      <c r="A124" s="245" t="s">
        <v>149</v>
      </c>
      <c r="B124" s="245"/>
      <c r="C124" s="221">
        <v>16463</v>
      </c>
      <c r="D124" s="221">
        <v>10520</v>
      </c>
      <c r="E124" s="221">
        <v>5943</v>
      </c>
      <c r="F124" s="221">
        <v>3763</v>
      </c>
      <c r="G124" s="221">
        <v>1877</v>
      </c>
      <c r="H124" s="221">
        <v>29</v>
      </c>
      <c r="I124" s="221">
        <v>112</v>
      </c>
      <c r="J124" s="221">
        <v>69</v>
      </c>
      <c r="K124" s="221">
        <v>93</v>
      </c>
      <c r="L124" s="221">
        <v>0</v>
      </c>
    </row>
    <row r="125" spans="1:12" s="222" customFormat="1" ht="12" customHeight="1" x14ac:dyDescent="0.2">
      <c r="A125" s="245" t="s">
        <v>150</v>
      </c>
      <c r="B125" s="245"/>
      <c r="C125" s="221">
        <v>6780</v>
      </c>
      <c r="D125" s="221">
        <v>4996</v>
      </c>
      <c r="E125" s="221">
        <v>1784</v>
      </c>
      <c r="F125" s="221">
        <v>1216</v>
      </c>
      <c r="G125" s="221">
        <v>505</v>
      </c>
      <c r="H125" s="221">
        <v>12</v>
      </c>
      <c r="I125" s="221">
        <v>24</v>
      </c>
      <c r="J125" s="221">
        <v>6</v>
      </c>
      <c r="K125" s="221">
        <v>21</v>
      </c>
      <c r="L125" s="221">
        <v>0</v>
      </c>
    </row>
    <row r="126" spans="1:12" s="222" customFormat="1" ht="12" customHeight="1" x14ac:dyDescent="0.2">
      <c r="A126" s="245" t="s">
        <v>152</v>
      </c>
      <c r="B126" s="245"/>
      <c r="C126" s="221">
        <v>194</v>
      </c>
      <c r="D126" s="221">
        <v>179</v>
      </c>
      <c r="E126" s="221">
        <v>15</v>
      </c>
      <c r="F126" s="221">
        <v>12</v>
      </c>
      <c r="G126" s="221">
        <v>3</v>
      </c>
      <c r="H126" s="221">
        <v>0</v>
      </c>
      <c r="I126" s="221">
        <v>0</v>
      </c>
      <c r="J126" s="221">
        <v>0</v>
      </c>
      <c r="K126" s="221">
        <v>0</v>
      </c>
      <c r="L126" s="221">
        <v>0</v>
      </c>
    </row>
    <row r="127" spans="1:12" s="222" customFormat="1" ht="12" customHeight="1" x14ac:dyDescent="0.2">
      <c r="A127" s="245" t="s">
        <v>153</v>
      </c>
      <c r="B127" s="245"/>
      <c r="C127" s="221">
        <v>7273</v>
      </c>
      <c r="D127" s="221">
        <v>5449</v>
      </c>
      <c r="E127" s="221">
        <v>1824</v>
      </c>
      <c r="F127" s="221">
        <v>1274</v>
      </c>
      <c r="G127" s="221">
        <v>503</v>
      </c>
      <c r="H127" s="221">
        <v>13</v>
      </c>
      <c r="I127" s="221">
        <v>23</v>
      </c>
      <c r="J127" s="221">
        <v>2</v>
      </c>
      <c r="K127" s="221">
        <v>9</v>
      </c>
      <c r="L127" s="221">
        <v>0</v>
      </c>
    </row>
    <row r="128" spans="1:12" s="222" customFormat="1" ht="12" customHeight="1" x14ac:dyDescent="0.2">
      <c r="A128" s="245" t="s">
        <v>155</v>
      </c>
      <c r="B128" s="245"/>
      <c r="C128" s="221">
        <v>2513</v>
      </c>
      <c r="D128" s="221">
        <v>1772</v>
      </c>
      <c r="E128" s="221">
        <v>741</v>
      </c>
      <c r="F128" s="221">
        <v>457</v>
      </c>
      <c r="G128" s="221">
        <v>254</v>
      </c>
      <c r="H128" s="221">
        <v>4</v>
      </c>
      <c r="I128" s="221">
        <v>8</v>
      </c>
      <c r="J128" s="221">
        <v>4</v>
      </c>
      <c r="K128" s="221">
        <v>14</v>
      </c>
      <c r="L128" s="221">
        <v>0</v>
      </c>
    </row>
    <row r="129" spans="1:12" s="222" customFormat="1" ht="12" customHeight="1" x14ac:dyDescent="0.2">
      <c r="A129" s="245" t="s">
        <v>156</v>
      </c>
      <c r="B129" s="245"/>
      <c r="C129" s="221">
        <v>643</v>
      </c>
      <c r="D129" s="221">
        <v>581</v>
      </c>
      <c r="E129" s="221">
        <v>62</v>
      </c>
      <c r="F129" s="221">
        <v>35</v>
      </c>
      <c r="G129" s="221">
        <v>27</v>
      </c>
      <c r="H129" s="221">
        <v>0</v>
      </c>
      <c r="I129" s="221">
        <v>0</v>
      </c>
      <c r="J129" s="221">
        <v>0</v>
      </c>
      <c r="K129" s="221">
        <v>0</v>
      </c>
      <c r="L129" s="221">
        <v>0</v>
      </c>
    </row>
    <row r="130" spans="1:12" s="222" customFormat="1" ht="12" customHeight="1" x14ac:dyDescent="0.2">
      <c r="A130" s="245" t="s">
        <v>157</v>
      </c>
      <c r="B130" s="245"/>
      <c r="C130" s="221">
        <v>682</v>
      </c>
      <c r="D130" s="221">
        <v>543</v>
      </c>
      <c r="E130" s="221">
        <v>139</v>
      </c>
      <c r="F130" s="221">
        <v>89</v>
      </c>
      <c r="G130" s="221">
        <v>50</v>
      </c>
      <c r="H130" s="221">
        <v>0</v>
      </c>
      <c r="I130" s="221">
        <v>0</v>
      </c>
      <c r="J130" s="221">
        <v>0</v>
      </c>
      <c r="K130" s="221">
        <v>0</v>
      </c>
      <c r="L130" s="221">
        <v>0</v>
      </c>
    </row>
    <row r="131" spans="1:12" s="222" customFormat="1" ht="12" customHeight="1" x14ac:dyDescent="0.2">
      <c r="A131" s="245" t="s">
        <v>159</v>
      </c>
      <c r="B131" s="245"/>
      <c r="C131" s="221">
        <v>516</v>
      </c>
      <c r="D131" s="221">
        <v>380</v>
      </c>
      <c r="E131" s="221">
        <v>136</v>
      </c>
      <c r="F131" s="221">
        <v>81</v>
      </c>
      <c r="G131" s="221">
        <v>55</v>
      </c>
      <c r="H131" s="221">
        <v>0</v>
      </c>
      <c r="I131" s="221">
        <v>0</v>
      </c>
      <c r="J131" s="221">
        <v>0</v>
      </c>
      <c r="K131" s="221">
        <v>0</v>
      </c>
      <c r="L131" s="221">
        <v>0</v>
      </c>
    </row>
    <row r="132" spans="1:12" s="222" customFormat="1" ht="12" customHeight="1" x14ac:dyDescent="0.2">
      <c r="A132" s="245" t="s">
        <v>164</v>
      </c>
      <c r="B132" s="245"/>
      <c r="C132" s="221">
        <v>3417</v>
      </c>
      <c r="D132" s="221">
        <v>2521</v>
      </c>
      <c r="E132" s="221">
        <v>896</v>
      </c>
      <c r="F132" s="221">
        <v>554</v>
      </c>
      <c r="G132" s="221">
        <v>276</v>
      </c>
      <c r="H132" s="221">
        <v>1</v>
      </c>
      <c r="I132" s="221">
        <v>29</v>
      </c>
      <c r="J132" s="221">
        <v>4</v>
      </c>
      <c r="K132" s="221">
        <v>32</v>
      </c>
      <c r="L132" s="221">
        <v>0</v>
      </c>
    </row>
    <row r="133" spans="1:12" s="222" customFormat="1" ht="12" customHeight="1" x14ac:dyDescent="0.2">
      <c r="A133" s="245" t="s">
        <v>348</v>
      </c>
      <c r="B133" s="245"/>
      <c r="C133" s="221">
        <v>2646</v>
      </c>
      <c r="D133" s="221">
        <v>2322</v>
      </c>
      <c r="E133" s="221">
        <v>324</v>
      </c>
      <c r="F133" s="221">
        <v>235</v>
      </c>
      <c r="G133" s="221">
        <v>87</v>
      </c>
      <c r="H133" s="221">
        <v>1</v>
      </c>
      <c r="I133" s="221">
        <v>0</v>
      </c>
      <c r="J133" s="221">
        <v>0</v>
      </c>
      <c r="K133" s="221">
        <v>1</v>
      </c>
      <c r="L133" s="221">
        <v>0</v>
      </c>
    </row>
    <row r="134" spans="1:12" s="222" customFormat="1" ht="12" customHeight="1" x14ac:dyDescent="0.2">
      <c r="A134" s="227" t="s">
        <v>384</v>
      </c>
      <c r="B134" s="227"/>
      <c r="C134" s="228">
        <v>749</v>
      </c>
      <c r="D134" s="228">
        <v>702</v>
      </c>
      <c r="E134" s="228">
        <v>47</v>
      </c>
      <c r="F134" s="228">
        <v>25</v>
      </c>
      <c r="G134" s="228">
        <v>15</v>
      </c>
      <c r="H134" s="228">
        <v>0</v>
      </c>
      <c r="I134" s="228">
        <v>3</v>
      </c>
      <c r="J134" s="228">
        <v>3</v>
      </c>
      <c r="K134" s="228">
        <v>1</v>
      </c>
      <c r="L134" s="228">
        <v>0</v>
      </c>
    </row>
    <row r="135" spans="1:12" s="222" customFormat="1" ht="12" customHeight="1" x14ac:dyDescent="0.2">
      <c r="A135" s="225"/>
      <c r="B135" s="225"/>
      <c r="C135" s="225"/>
      <c r="D135" s="225"/>
      <c r="E135" s="225"/>
      <c r="F135" s="225"/>
      <c r="G135" s="225"/>
      <c r="H135" s="225"/>
      <c r="I135" s="225"/>
      <c r="J135" s="225"/>
      <c r="K135" s="225"/>
      <c r="L135" s="225"/>
    </row>
    <row r="136" spans="1:12" s="222" customFormat="1" ht="12" customHeight="1" x14ac:dyDescent="0.2">
      <c r="A136" s="256" t="s">
        <v>169</v>
      </c>
      <c r="B136" s="256"/>
      <c r="C136" s="219">
        <v>5969</v>
      </c>
      <c r="D136" s="219">
        <v>5329</v>
      </c>
      <c r="E136" s="219">
        <v>640</v>
      </c>
      <c r="F136" s="219">
        <v>476</v>
      </c>
      <c r="G136" s="219">
        <v>148</v>
      </c>
      <c r="H136" s="219">
        <v>2</v>
      </c>
      <c r="I136" s="219">
        <v>0</v>
      </c>
      <c r="J136" s="219">
        <v>6</v>
      </c>
      <c r="K136" s="219">
        <v>8</v>
      </c>
      <c r="L136" s="219">
        <v>0</v>
      </c>
    </row>
    <row r="137" spans="1:12" s="222" customFormat="1" ht="12" customHeight="1" x14ac:dyDescent="0.2">
      <c r="A137" s="245" t="s">
        <v>170</v>
      </c>
      <c r="B137" s="245"/>
      <c r="C137" s="221">
        <v>1525</v>
      </c>
      <c r="D137" s="221">
        <v>1373</v>
      </c>
      <c r="E137" s="221">
        <v>152</v>
      </c>
      <c r="F137" s="221">
        <v>110</v>
      </c>
      <c r="G137" s="221">
        <v>36</v>
      </c>
      <c r="H137" s="221">
        <v>1</v>
      </c>
      <c r="I137" s="221">
        <v>0</v>
      </c>
      <c r="J137" s="221">
        <v>1</v>
      </c>
      <c r="K137" s="221">
        <v>4</v>
      </c>
      <c r="L137" s="221">
        <v>0</v>
      </c>
    </row>
    <row r="138" spans="1:12" s="222" customFormat="1" ht="12" customHeight="1" x14ac:dyDescent="0.2">
      <c r="A138" s="245" t="s">
        <v>171</v>
      </c>
      <c r="B138" s="245"/>
      <c r="C138" s="221">
        <v>43</v>
      </c>
      <c r="D138" s="221">
        <v>39</v>
      </c>
      <c r="E138" s="221">
        <v>4</v>
      </c>
      <c r="F138" s="221">
        <v>4</v>
      </c>
      <c r="G138" s="221">
        <v>0</v>
      </c>
      <c r="H138" s="221">
        <v>0</v>
      </c>
      <c r="I138" s="221">
        <v>0</v>
      </c>
      <c r="J138" s="221">
        <v>0</v>
      </c>
      <c r="K138" s="221">
        <v>0</v>
      </c>
      <c r="L138" s="221">
        <v>0</v>
      </c>
    </row>
    <row r="139" spans="1:12" s="222" customFormat="1" ht="12" customHeight="1" x14ac:dyDescent="0.2">
      <c r="A139" s="245" t="s">
        <v>172</v>
      </c>
      <c r="B139" s="245"/>
      <c r="C139" s="221">
        <v>47</v>
      </c>
      <c r="D139" s="221">
        <v>41</v>
      </c>
      <c r="E139" s="221">
        <v>6</v>
      </c>
      <c r="F139" s="221">
        <v>5</v>
      </c>
      <c r="G139" s="221">
        <v>1</v>
      </c>
      <c r="H139" s="221">
        <v>0</v>
      </c>
      <c r="I139" s="221">
        <v>0</v>
      </c>
      <c r="J139" s="221">
        <v>0</v>
      </c>
      <c r="K139" s="221">
        <v>0</v>
      </c>
      <c r="L139" s="221">
        <v>0</v>
      </c>
    </row>
    <row r="140" spans="1:12" s="222" customFormat="1" ht="12" customHeight="1" x14ac:dyDescent="0.2">
      <c r="A140" s="245" t="s">
        <v>173</v>
      </c>
      <c r="B140" s="245"/>
      <c r="C140" s="221">
        <v>39</v>
      </c>
      <c r="D140" s="221">
        <v>37</v>
      </c>
      <c r="E140" s="221">
        <v>2</v>
      </c>
      <c r="F140" s="221">
        <v>2</v>
      </c>
      <c r="G140" s="221">
        <v>0</v>
      </c>
      <c r="H140" s="221">
        <v>0</v>
      </c>
      <c r="I140" s="221">
        <v>0</v>
      </c>
      <c r="J140" s="221">
        <v>0</v>
      </c>
      <c r="K140" s="221">
        <v>0</v>
      </c>
      <c r="L140" s="221">
        <v>0</v>
      </c>
    </row>
    <row r="141" spans="1:12" s="222" customFormat="1" ht="12" customHeight="1" x14ac:dyDescent="0.2">
      <c r="A141" s="245" t="s">
        <v>174</v>
      </c>
      <c r="B141" s="245"/>
      <c r="C141" s="221">
        <v>1083</v>
      </c>
      <c r="D141" s="221">
        <v>936</v>
      </c>
      <c r="E141" s="221">
        <v>147</v>
      </c>
      <c r="F141" s="221">
        <v>120</v>
      </c>
      <c r="G141" s="221">
        <v>26</v>
      </c>
      <c r="H141" s="221">
        <v>1</v>
      </c>
      <c r="I141" s="221">
        <v>0</v>
      </c>
      <c r="J141" s="221">
        <v>0</v>
      </c>
      <c r="K141" s="221">
        <v>0</v>
      </c>
      <c r="L141" s="221">
        <v>0</v>
      </c>
    </row>
    <row r="142" spans="1:12" s="222" customFormat="1" ht="12" customHeight="1" x14ac:dyDescent="0.2">
      <c r="A142" s="245" t="s">
        <v>175</v>
      </c>
      <c r="B142" s="245"/>
      <c r="C142" s="221">
        <v>504</v>
      </c>
      <c r="D142" s="221">
        <v>469</v>
      </c>
      <c r="E142" s="221">
        <v>35</v>
      </c>
      <c r="F142" s="221">
        <v>22</v>
      </c>
      <c r="G142" s="221">
        <v>13</v>
      </c>
      <c r="H142" s="221">
        <v>0</v>
      </c>
      <c r="I142" s="221">
        <v>0</v>
      </c>
      <c r="J142" s="221">
        <v>0</v>
      </c>
      <c r="K142" s="221">
        <v>0</v>
      </c>
      <c r="L142" s="221">
        <v>0</v>
      </c>
    </row>
    <row r="143" spans="1:12" s="222" customFormat="1" ht="12" customHeight="1" x14ac:dyDescent="0.2">
      <c r="A143" s="245" t="s">
        <v>176</v>
      </c>
      <c r="B143" s="245"/>
      <c r="C143" s="221">
        <v>42</v>
      </c>
      <c r="D143" s="221">
        <v>38</v>
      </c>
      <c r="E143" s="221">
        <v>4</v>
      </c>
      <c r="F143" s="221">
        <v>3</v>
      </c>
      <c r="G143" s="221">
        <v>1</v>
      </c>
      <c r="H143" s="221">
        <v>0</v>
      </c>
      <c r="I143" s="221">
        <v>0</v>
      </c>
      <c r="J143" s="221">
        <v>0</v>
      </c>
      <c r="K143" s="221">
        <v>0</v>
      </c>
      <c r="L143" s="221">
        <v>0</v>
      </c>
    </row>
    <row r="144" spans="1:12" s="222" customFormat="1" ht="12" customHeight="1" x14ac:dyDescent="0.2">
      <c r="A144" s="255" t="s">
        <v>177</v>
      </c>
      <c r="B144" s="255"/>
      <c r="C144" s="228">
        <v>2686</v>
      </c>
      <c r="D144" s="228">
        <v>2396</v>
      </c>
      <c r="E144" s="228">
        <v>290</v>
      </c>
      <c r="F144" s="228">
        <v>210</v>
      </c>
      <c r="G144" s="228">
        <v>71</v>
      </c>
      <c r="H144" s="228">
        <v>0</v>
      </c>
      <c r="I144" s="228">
        <v>0</v>
      </c>
      <c r="J144" s="228">
        <v>5</v>
      </c>
      <c r="K144" s="228">
        <v>4</v>
      </c>
      <c r="L144" s="228">
        <v>0</v>
      </c>
    </row>
    <row r="145" spans="1:12" s="222" customFormat="1" ht="12" customHeight="1" x14ac:dyDescent="0.2">
      <c r="A145" s="225"/>
      <c r="B145" s="225"/>
      <c r="C145" s="225"/>
      <c r="D145" s="225"/>
      <c r="E145" s="225"/>
      <c r="F145" s="225"/>
      <c r="G145" s="225"/>
      <c r="H145" s="225"/>
      <c r="I145" s="225"/>
      <c r="J145" s="225"/>
      <c r="K145" s="225"/>
      <c r="L145" s="225"/>
    </row>
    <row r="146" spans="1:12" s="222" customFormat="1" ht="12" customHeight="1" x14ac:dyDescent="0.2">
      <c r="A146" s="256" t="s">
        <v>178</v>
      </c>
      <c r="B146" s="256"/>
      <c r="C146" s="219">
        <v>58952</v>
      </c>
      <c r="D146" s="219">
        <v>42165</v>
      </c>
      <c r="E146" s="219">
        <v>16787</v>
      </c>
      <c r="F146" s="219">
        <v>10828</v>
      </c>
      <c r="G146" s="219">
        <v>4948</v>
      </c>
      <c r="H146" s="219">
        <v>91</v>
      </c>
      <c r="I146" s="219">
        <v>474</v>
      </c>
      <c r="J146" s="219">
        <v>122</v>
      </c>
      <c r="K146" s="219">
        <v>324</v>
      </c>
      <c r="L146" s="219">
        <v>0</v>
      </c>
    </row>
    <row r="147" spans="1:12" s="222" customFormat="1" ht="12" customHeight="1" x14ac:dyDescent="0.2">
      <c r="A147" s="245" t="s">
        <v>179</v>
      </c>
      <c r="B147" s="245"/>
      <c r="C147" s="221">
        <v>5211</v>
      </c>
      <c r="D147" s="221">
        <v>3794</v>
      </c>
      <c r="E147" s="221">
        <v>1417</v>
      </c>
      <c r="F147" s="221">
        <v>1017</v>
      </c>
      <c r="G147" s="221">
        <v>328</v>
      </c>
      <c r="H147" s="221">
        <v>5</v>
      </c>
      <c r="I147" s="221">
        <v>51</v>
      </c>
      <c r="J147" s="221">
        <v>1</v>
      </c>
      <c r="K147" s="221">
        <v>15</v>
      </c>
      <c r="L147" s="221">
        <v>0</v>
      </c>
    </row>
    <row r="148" spans="1:12" s="222" customFormat="1" ht="12" customHeight="1" x14ac:dyDescent="0.2">
      <c r="A148" s="245" t="s">
        <v>180</v>
      </c>
      <c r="B148" s="245"/>
      <c r="C148" s="221">
        <v>45828</v>
      </c>
      <c r="D148" s="221">
        <v>32925</v>
      </c>
      <c r="E148" s="221">
        <v>12903</v>
      </c>
      <c r="F148" s="221">
        <v>8161</v>
      </c>
      <c r="G148" s="221">
        <v>3904</v>
      </c>
      <c r="H148" s="221">
        <v>64</v>
      </c>
      <c r="I148" s="221">
        <v>392</v>
      </c>
      <c r="J148" s="221">
        <v>115</v>
      </c>
      <c r="K148" s="221">
        <v>267</v>
      </c>
      <c r="L148" s="221">
        <v>0</v>
      </c>
    </row>
    <row r="149" spans="1:12" s="222" customFormat="1" ht="12" customHeight="1" x14ac:dyDescent="0.2">
      <c r="A149" s="245" t="s">
        <v>181</v>
      </c>
      <c r="B149" s="245"/>
      <c r="C149" s="221">
        <v>3139</v>
      </c>
      <c r="D149" s="221">
        <v>1778</v>
      </c>
      <c r="E149" s="221">
        <v>1361</v>
      </c>
      <c r="F149" s="221">
        <v>855</v>
      </c>
      <c r="G149" s="221">
        <v>463</v>
      </c>
      <c r="H149" s="221">
        <v>16</v>
      </c>
      <c r="I149" s="221">
        <v>13</v>
      </c>
      <c r="J149" s="221">
        <v>2</v>
      </c>
      <c r="K149" s="221">
        <v>12</v>
      </c>
      <c r="L149" s="221">
        <v>0</v>
      </c>
    </row>
    <row r="150" spans="1:12" s="222" customFormat="1" ht="12" customHeight="1" x14ac:dyDescent="0.2">
      <c r="A150" s="245" t="s">
        <v>187</v>
      </c>
      <c r="B150" s="245"/>
      <c r="C150" s="221">
        <v>407</v>
      </c>
      <c r="D150" s="221">
        <v>363</v>
      </c>
      <c r="E150" s="221">
        <v>44</v>
      </c>
      <c r="F150" s="221">
        <v>31</v>
      </c>
      <c r="G150" s="221">
        <v>13</v>
      </c>
      <c r="H150" s="221">
        <v>0</v>
      </c>
      <c r="I150" s="221">
        <v>0</v>
      </c>
      <c r="J150" s="221">
        <v>0</v>
      </c>
      <c r="K150" s="221">
        <v>0</v>
      </c>
      <c r="L150" s="221">
        <v>0</v>
      </c>
    </row>
    <row r="151" spans="1:12" s="222" customFormat="1" ht="12" customHeight="1" x14ac:dyDescent="0.2">
      <c r="A151" s="245" t="s">
        <v>188</v>
      </c>
      <c r="B151" s="245"/>
      <c r="C151" s="221">
        <v>1712</v>
      </c>
      <c r="D151" s="221">
        <v>1364</v>
      </c>
      <c r="E151" s="221">
        <v>348</v>
      </c>
      <c r="F151" s="221">
        <v>239</v>
      </c>
      <c r="G151" s="221">
        <v>85</v>
      </c>
      <c r="H151" s="221">
        <v>2</v>
      </c>
      <c r="I151" s="221">
        <v>2</v>
      </c>
      <c r="J151" s="221">
        <v>4</v>
      </c>
      <c r="K151" s="221">
        <v>16</v>
      </c>
      <c r="L151" s="221">
        <v>0</v>
      </c>
    </row>
    <row r="152" spans="1:12" s="222" customFormat="1" ht="12" customHeight="1" x14ac:dyDescent="0.2">
      <c r="A152" s="257" t="s">
        <v>194</v>
      </c>
      <c r="B152" s="257"/>
      <c r="C152" s="228">
        <v>2655</v>
      </c>
      <c r="D152" s="228">
        <v>1941</v>
      </c>
      <c r="E152" s="228">
        <v>714</v>
      </c>
      <c r="F152" s="228">
        <v>525</v>
      </c>
      <c r="G152" s="228">
        <v>155</v>
      </c>
      <c r="H152" s="228">
        <v>4</v>
      </c>
      <c r="I152" s="228">
        <v>16</v>
      </c>
      <c r="J152" s="228">
        <v>0</v>
      </c>
      <c r="K152" s="228">
        <v>14</v>
      </c>
      <c r="L152" s="228">
        <v>0</v>
      </c>
    </row>
    <row r="153" spans="1:12" s="222" customFormat="1" ht="12" customHeight="1" x14ac:dyDescent="0.2">
      <c r="A153" s="225"/>
      <c r="B153" s="225"/>
      <c r="C153" s="225"/>
      <c r="D153" s="225"/>
      <c r="E153" s="225"/>
      <c r="F153" s="225"/>
      <c r="G153" s="225"/>
      <c r="H153" s="225"/>
      <c r="I153" s="225"/>
      <c r="J153" s="225"/>
      <c r="K153" s="225"/>
      <c r="L153" s="225"/>
    </row>
    <row r="154" spans="1:12" s="222" customFormat="1" ht="12" customHeight="1" x14ac:dyDescent="0.2">
      <c r="A154" s="256" t="s">
        <v>197</v>
      </c>
      <c r="B154" s="256"/>
      <c r="C154" s="219">
        <v>10475</v>
      </c>
      <c r="D154" s="219">
        <v>6957</v>
      </c>
      <c r="E154" s="219">
        <v>3518</v>
      </c>
      <c r="F154" s="219">
        <v>2417</v>
      </c>
      <c r="G154" s="219">
        <v>889</v>
      </c>
      <c r="H154" s="219">
        <v>7</v>
      </c>
      <c r="I154" s="219">
        <v>83</v>
      </c>
      <c r="J154" s="219">
        <v>37</v>
      </c>
      <c r="K154" s="219">
        <v>85</v>
      </c>
      <c r="L154" s="219">
        <v>0</v>
      </c>
    </row>
    <row r="155" spans="1:12" s="222" customFormat="1" ht="12" customHeight="1" x14ac:dyDescent="0.2">
      <c r="A155" s="245" t="s">
        <v>198</v>
      </c>
      <c r="B155" s="245"/>
      <c r="C155" s="221">
        <v>6213</v>
      </c>
      <c r="D155" s="221">
        <v>3959</v>
      </c>
      <c r="E155" s="221">
        <v>2254</v>
      </c>
      <c r="F155" s="221">
        <v>1507</v>
      </c>
      <c r="G155" s="221">
        <v>568</v>
      </c>
      <c r="H155" s="221">
        <v>3</v>
      </c>
      <c r="I155" s="221">
        <v>74</v>
      </c>
      <c r="J155" s="221">
        <v>34</v>
      </c>
      <c r="K155" s="221">
        <v>68</v>
      </c>
      <c r="L155" s="221">
        <v>0</v>
      </c>
    </row>
    <row r="156" spans="1:12" s="222" customFormat="1" ht="12" customHeight="1" x14ac:dyDescent="0.2">
      <c r="A156" s="257" t="s">
        <v>371</v>
      </c>
      <c r="B156" s="257"/>
      <c r="C156" s="228">
        <v>4262</v>
      </c>
      <c r="D156" s="228">
        <v>2998</v>
      </c>
      <c r="E156" s="228">
        <v>1264</v>
      </c>
      <c r="F156" s="228">
        <v>910</v>
      </c>
      <c r="G156" s="228">
        <v>321</v>
      </c>
      <c r="H156" s="228">
        <v>4</v>
      </c>
      <c r="I156" s="228">
        <v>9</v>
      </c>
      <c r="J156" s="228">
        <v>3</v>
      </c>
      <c r="K156" s="228">
        <v>17</v>
      </c>
      <c r="L156" s="228">
        <v>0</v>
      </c>
    </row>
    <row r="157" spans="1:12" s="222" customFormat="1" ht="12" customHeight="1" x14ac:dyDescent="0.2">
      <c r="A157" s="225"/>
      <c r="B157" s="225"/>
      <c r="C157" s="225"/>
      <c r="D157" s="225"/>
      <c r="E157" s="225"/>
      <c r="F157" s="225"/>
      <c r="G157" s="225"/>
      <c r="H157" s="225"/>
      <c r="I157" s="225"/>
      <c r="J157" s="225"/>
      <c r="K157" s="225"/>
      <c r="L157" s="225"/>
    </row>
    <row r="158" spans="1:12" s="222" customFormat="1" ht="12" customHeight="1" x14ac:dyDescent="0.2">
      <c r="A158" s="256" t="s">
        <v>204</v>
      </c>
      <c r="B158" s="256"/>
      <c r="C158" s="219">
        <v>5585</v>
      </c>
      <c r="D158" s="219">
        <v>5058</v>
      </c>
      <c r="E158" s="219">
        <v>527</v>
      </c>
      <c r="F158" s="219">
        <v>369</v>
      </c>
      <c r="G158" s="219">
        <v>143</v>
      </c>
      <c r="H158" s="219">
        <v>4</v>
      </c>
      <c r="I158" s="219">
        <v>0</v>
      </c>
      <c r="J158" s="219">
        <v>0</v>
      </c>
      <c r="K158" s="219">
        <v>11</v>
      </c>
      <c r="L158" s="219">
        <v>0</v>
      </c>
    </row>
    <row r="159" spans="1:12" s="222" customFormat="1" ht="12" customHeight="1" x14ac:dyDescent="0.2">
      <c r="A159" s="245" t="s">
        <v>205</v>
      </c>
      <c r="B159" s="245"/>
      <c r="C159" s="221">
        <v>1781</v>
      </c>
      <c r="D159" s="221">
        <v>1569</v>
      </c>
      <c r="E159" s="221">
        <v>212</v>
      </c>
      <c r="F159" s="221">
        <v>162</v>
      </c>
      <c r="G159" s="221">
        <v>42</v>
      </c>
      <c r="H159" s="221">
        <v>2</v>
      </c>
      <c r="I159" s="221">
        <v>0</v>
      </c>
      <c r="J159" s="221">
        <v>0</v>
      </c>
      <c r="K159" s="221">
        <v>6</v>
      </c>
      <c r="L159" s="221">
        <v>0</v>
      </c>
    </row>
    <row r="160" spans="1:12" s="222" customFormat="1" ht="12" customHeight="1" x14ac:dyDescent="0.2">
      <c r="A160" s="245" t="s">
        <v>206</v>
      </c>
      <c r="B160" s="245"/>
      <c r="C160" s="221">
        <v>1752</v>
      </c>
      <c r="D160" s="221">
        <v>1634</v>
      </c>
      <c r="E160" s="221">
        <v>118</v>
      </c>
      <c r="F160" s="221">
        <v>72</v>
      </c>
      <c r="G160" s="221">
        <v>44</v>
      </c>
      <c r="H160" s="221">
        <v>2</v>
      </c>
      <c r="I160" s="221">
        <v>0</v>
      </c>
      <c r="J160" s="221">
        <v>0</v>
      </c>
      <c r="K160" s="221">
        <v>0</v>
      </c>
      <c r="L160" s="221">
        <v>0</v>
      </c>
    </row>
    <row r="161" spans="1:12" s="222" customFormat="1" ht="12" customHeight="1" x14ac:dyDescent="0.2">
      <c r="A161" s="257" t="s">
        <v>345</v>
      </c>
      <c r="B161" s="257"/>
      <c r="C161" s="234">
        <v>2052</v>
      </c>
      <c r="D161" s="234">
        <v>1855</v>
      </c>
      <c r="E161" s="234">
        <v>197</v>
      </c>
      <c r="F161" s="234">
        <v>135</v>
      </c>
      <c r="G161" s="234">
        <v>57</v>
      </c>
      <c r="H161" s="234">
        <v>0</v>
      </c>
      <c r="I161" s="234">
        <v>0</v>
      </c>
      <c r="J161" s="234">
        <v>0</v>
      </c>
      <c r="K161" s="234">
        <v>5</v>
      </c>
      <c r="L161" s="234">
        <v>0</v>
      </c>
    </row>
    <row r="162" spans="1:12" s="222" customFormat="1" ht="12" customHeight="1" x14ac:dyDescent="0.2">
      <c r="A162" s="225"/>
      <c r="B162" s="225"/>
      <c r="C162" s="225"/>
      <c r="D162" s="225"/>
      <c r="E162" s="225"/>
      <c r="F162" s="225"/>
      <c r="G162" s="225"/>
      <c r="H162" s="225"/>
      <c r="I162" s="225"/>
      <c r="J162" s="225"/>
      <c r="K162" s="225"/>
      <c r="L162" s="225"/>
    </row>
    <row r="163" spans="1:12" s="222" customFormat="1" ht="12" customHeight="1" x14ac:dyDescent="0.2">
      <c r="A163" s="256" t="s">
        <v>210</v>
      </c>
      <c r="B163" s="256"/>
      <c r="C163" s="219">
        <v>8742</v>
      </c>
      <c r="D163" s="219">
        <v>6406</v>
      </c>
      <c r="E163" s="219">
        <v>2336</v>
      </c>
      <c r="F163" s="219">
        <v>1505</v>
      </c>
      <c r="G163" s="219">
        <v>701</v>
      </c>
      <c r="H163" s="219">
        <v>29</v>
      </c>
      <c r="I163" s="219">
        <v>23</v>
      </c>
      <c r="J163" s="219">
        <v>15</v>
      </c>
      <c r="K163" s="219">
        <v>63</v>
      </c>
      <c r="L163" s="219">
        <v>0</v>
      </c>
    </row>
    <row r="164" spans="1:12" s="222" customFormat="1" ht="12" customHeight="1" x14ac:dyDescent="0.2">
      <c r="A164" s="245" t="s">
        <v>211</v>
      </c>
      <c r="B164" s="245"/>
      <c r="C164" s="221">
        <v>1443</v>
      </c>
      <c r="D164" s="221">
        <v>1036</v>
      </c>
      <c r="E164" s="221">
        <v>407</v>
      </c>
      <c r="F164" s="221">
        <v>242</v>
      </c>
      <c r="G164" s="221">
        <v>135</v>
      </c>
      <c r="H164" s="221">
        <v>13</v>
      </c>
      <c r="I164" s="221">
        <v>1</v>
      </c>
      <c r="J164" s="221">
        <v>0</v>
      </c>
      <c r="K164" s="221">
        <v>16</v>
      </c>
      <c r="L164" s="221">
        <v>0</v>
      </c>
    </row>
    <row r="165" spans="1:12" s="222" customFormat="1" ht="12" customHeight="1" x14ac:dyDescent="0.2">
      <c r="A165" s="245" t="s">
        <v>213</v>
      </c>
      <c r="B165" s="245"/>
      <c r="C165" s="221">
        <v>116</v>
      </c>
      <c r="D165" s="221">
        <v>104</v>
      </c>
      <c r="E165" s="221">
        <v>12</v>
      </c>
      <c r="F165" s="221">
        <v>6</v>
      </c>
      <c r="G165" s="221">
        <v>6</v>
      </c>
      <c r="H165" s="221">
        <v>0</v>
      </c>
      <c r="I165" s="221">
        <v>0</v>
      </c>
      <c r="J165" s="221">
        <v>0</v>
      </c>
      <c r="K165" s="221">
        <v>0</v>
      </c>
      <c r="L165" s="221">
        <v>0</v>
      </c>
    </row>
    <row r="166" spans="1:12" s="222" customFormat="1" ht="12" customHeight="1" x14ac:dyDescent="0.2">
      <c r="A166" s="245" t="s">
        <v>219</v>
      </c>
      <c r="B166" s="245"/>
      <c r="C166" s="221">
        <v>188</v>
      </c>
      <c r="D166" s="221">
        <v>175</v>
      </c>
      <c r="E166" s="221">
        <v>13</v>
      </c>
      <c r="F166" s="221">
        <v>6</v>
      </c>
      <c r="G166" s="221">
        <v>6</v>
      </c>
      <c r="H166" s="221">
        <v>1</v>
      </c>
      <c r="I166" s="221">
        <v>0</v>
      </c>
      <c r="J166" s="221">
        <v>0</v>
      </c>
      <c r="K166" s="221">
        <v>0</v>
      </c>
      <c r="L166" s="221">
        <v>0</v>
      </c>
    </row>
    <row r="167" spans="1:12" s="222" customFormat="1" ht="12" customHeight="1" x14ac:dyDescent="0.2">
      <c r="A167" s="245" t="s">
        <v>220</v>
      </c>
      <c r="B167" s="245"/>
      <c r="C167" s="221">
        <v>2706</v>
      </c>
      <c r="D167" s="221">
        <v>2137</v>
      </c>
      <c r="E167" s="221">
        <v>569</v>
      </c>
      <c r="F167" s="221">
        <v>413</v>
      </c>
      <c r="G167" s="221">
        <v>128</v>
      </c>
      <c r="H167" s="221">
        <v>5</v>
      </c>
      <c r="I167" s="221">
        <v>8</v>
      </c>
      <c r="J167" s="221">
        <v>4</v>
      </c>
      <c r="K167" s="221">
        <v>11</v>
      </c>
      <c r="L167" s="221">
        <v>0</v>
      </c>
    </row>
    <row r="168" spans="1:12" s="222" customFormat="1" ht="12" customHeight="1" x14ac:dyDescent="0.2">
      <c r="A168" s="245" t="s">
        <v>221</v>
      </c>
      <c r="B168" s="245"/>
      <c r="C168" s="221">
        <v>1761</v>
      </c>
      <c r="D168" s="221">
        <v>1082</v>
      </c>
      <c r="E168" s="221">
        <v>679</v>
      </c>
      <c r="F168" s="221">
        <v>418</v>
      </c>
      <c r="G168" s="221">
        <v>207</v>
      </c>
      <c r="H168" s="221">
        <v>4</v>
      </c>
      <c r="I168" s="221">
        <v>10</v>
      </c>
      <c r="J168" s="221">
        <v>11</v>
      </c>
      <c r="K168" s="221">
        <v>29</v>
      </c>
      <c r="L168" s="221">
        <v>0</v>
      </c>
    </row>
    <row r="169" spans="1:12" s="222" customFormat="1" ht="12" customHeight="1" x14ac:dyDescent="0.2">
      <c r="A169" s="245" t="s">
        <v>224</v>
      </c>
      <c r="B169" s="245"/>
      <c r="C169" s="221">
        <v>320</v>
      </c>
      <c r="D169" s="221">
        <v>262</v>
      </c>
      <c r="E169" s="221">
        <v>58</v>
      </c>
      <c r="F169" s="221">
        <v>36</v>
      </c>
      <c r="G169" s="221">
        <v>22</v>
      </c>
      <c r="H169" s="221">
        <v>0</v>
      </c>
      <c r="I169" s="221">
        <v>0</v>
      </c>
      <c r="J169" s="221">
        <v>0</v>
      </c>
      <c r="K169" s="221">
        <v>0</v>
      </c>
      <c r="L169" s="221">
        <v>0</v>
      </c>
    </row>
    <row r="170" spans="1:12" s="222" customFormat="1" ht="12" customHeight="1" x14ac:dyDescent="0.2">
      <c r="A170" s="245" t="s">
        <v>225</v>
      </c>
      <c r="B170" s="245"/>
      <c r="C170" s="221">
        <v>919</v>
      </c>
      <c r="D170" s="221">
        <v>592</v>
      </c>
      <c r="E170" s="221">
        <v>327</v>
      </c>
      <c r="F170" s="221">
        <v>207</v>
      </c>
      <c r="G170" s="221">
        <v>117</v>
      </c>
      <c r="H170" s="221">
        <v>1</v>
      </c>
      <c r="I170" s="221">
        <v>2</v>
      </c>
      <c r="J170" s="221">
        <v>0</v>
      </c>
      <c r="K170" s="221">
        <v>0</v>
      </c>
      <c r="L170" s="221">
        <v>0</v>
      </c>
    </row>
    <row r="171" spans="1:12" s="222" customFormat="1" ht="12" customHeight="1" x14ac:dyDescent="0.2">
      <c r="A171" s="257" t="s">
        <v>227</v>
      </c>
      <c r="B171" s="257"/>
      <c r="C171" s="228">
        <v>1289</v>
      </c>
      <c r="D171" s="228">
        <v>1018</v>
      </c>
      <c r="E171" s="228">
        <v>271</v>
      </c>
      <c r="F171" s="228">
        <v>177</v>
      </c>
      <c r="G171" s="228">
        <v>80</v>
      </c>
      <c r="H171" s="228">
        <v>5</v>
      </c>
      <c r="I171" s="228">
        <v>2</v>
      </c>
      <c r="J171" s="228">
        <v>0</v>
      </c>
      <c r="K171" s="228">
        <v>7</v>
      </c>
      <c r="L171" s="228">
        <v>0</v>
      </c>
    </row>
    <row r="172" spans="1:12" s="222" customFormat="1" ht="12" customHeight="1" x14ac:dyDescent="0.2">
      <c r="A172" s="225"/>
      <c r="B172" s="225"/>
      <c r="C172" s="225"/>
      <c r="D172" s="225"/>
      <c r="E172" s="225"/>
      <c r="F172" s="225"/>
      <c r="G172" s="225"/>
      <c r="H172" s="225"/>
      <c r="I172" s="225"/>
      <c r="J172" s="225"/>
      <c r="K172" s="225"/>
      <c r="L172" s="225"/>
    </row>
    <row r="173" spans="1:12" s="222" customFormat="1" ht="12" customHeight="1" x14ac:dyDescent="0.2">
      <c r="A173" s="256" t="s">
        <v>229</v>
      </c>
      <c r="B173" s="256"/>
      <c r="C173" s="219">
        <v>359783</v>
      </c>
      <c r="D173" s="219">
        <v>252583</v>
      </c>
      <c r="E173" s="219">
        <v>107200</v>
      </c>
      <c r="F173" s="219">
        <v>67599</v>
      </c>
      <c r="G173" s="219">
        <v>34376</v>
      </c>
      <c r="H173" s="219">
        <v>552</v>
      </c>
      <c r="I173" s="219">
        <v>1691</v>
      </c>
      <c r="J173" s="219">
        <v>415</v>
      </c>
      <c r="K173" s="219">
        <v>2535</v>
      </c>
      <c r="L173" s="219">
        <v>32</v>
      </c>
    </row>
    <row r="174" spans="1:12" s="222" customFormat="1" ht="12" customHeight="1" x14ac:dyDescent="0.2">
      <c r="A174" s="245" t="s">
        <v>230</v>
      </c>
      <c r="B174" s="245"/>
      <c r="C174" s="221">
        <v>50634</v>
      </c>
      <c r="D174" s="221">
        <v>36301</v>
      </c>
      <c r="E174" s="221">
        <v>14333</v>
      </c>
      <c r="F174" s="221">
        <v>8349</v>
      </c>
      <c r="G174" s="221">
        <v>4925</v>
      </c>
      <c r="H174" s="221">
        <v>63</v>
      </c>
      <c r="I174" s="221">
        <v>259</v>
      </c>
      <c r="J174" s="221">
        <v>47</v>
      </c>
      <c r="K174" s="221">
        <v>686</v>
      </c>
      <c r="L174" s="221">
        <v>4</v>
      </c>
    </row>
    <row r="175" spans="1:12" s="222" customFormat="1" ht="12" customHeight="1" x14ac:dyDescent="0.2">
      <c r="A175" s="245" t="s">
        <v>231</v>
      </c>
      <c r="B175" s="245"/>
      <c r="C175" s="221">
        <v>155275</v>
      </c>
      <c r="D175" s="221">
        <v>103095</v>
      </c>
      <c r="E175" s="221">
        <v>52180</v>
      </c>
      <c r="F175" s="221">
        <v>32540</v>
      </c>
      <c r="G175" s="221">
        <v>17544</v>
      </c>
      <c r="H175" s="221">
        <v>266</v>
      </c>
      <c r="I175" s="221">
        <v>593</v>
      </c>
      <c r="J175" s="221">
        <v>89</v>
      </c>
      <c r="K175" s="221">
        <v>1120</v>
      </c>
      <c r="L175" s="221">
        <v>28</v>
      </c>
    </row>
    <row r="176" spans="1:12" s="222" customFormat="1" ht="12" customHeight="1" x14ac:dyDescent="0.2">
      <c r="A176" s="245" t="s">
        <v>232</v>
      </c>
      <c r="B176" s="245"/>
      <c r="C176" s="221">
        <v>64151</v>
      </c>
      <c r="D176" s="221">
        <v>47272</v>
      </c>
      <c r="E176" s="221">
        <v>16879</v>
      </c>
      <c r="F176" s="221">
        <v>11115</v>
      </c>
      <c r="G176" s="221">
        <v>5078</v>
      </c>
      <c r="H176" s="221">
        <v>90</v>
      </c>
      <c r="I176" s="221">
        <v>259</v>
      </c>
      <c r="J176" s="221">
        <v>99</v>
      </c>
      <c r="K176" s="221">
        <v>238</v>
      </c>
      <c r="L176" s="221">
        <v>0</v>
      </c>
    </row>
    <row r="177" spans="1:12" s="222" customFormat="1" ht="12" customHeight="1" x14ac:dyDescent="0.2">
      <c r="A177" s="245" t="s">
        <v>233</v>
      </c>
      <c r="B177" s="245"/>
      <c r="C177" s="221">
        <v>5969</v>
      </c>
      <c r="D177" s="221">
        <v>5329</v>
      </c>
      <c r="E177" s="221">
        <v>640</v>
      </c>
      <c r="F177" s="221">
        <v>476</v>
      </c>
      <c r="G177" s="221">
        <v>148</v>
      </c>
      <c r="H177" s="221">
        <v>2</v>
      </c>
      <c r="I177" s="221">
        <v>0</v>
      </c>
      <c r="J177" s="221">
        <v>6</v>
      </c>
      <c r="K177" s="221">
        <v>8</v>
      </c>
      <c r="L177" s="221">
        <v>0</v>
      </c>
    </row>
    <row r="178" spans="1:12" s="222" customFormat="1" ht="12" customHeight="1" x14ac:dyDescent="0.2">
      <c r="A178" s="245" t="s">
        <v>234</v>
      </c>
      <c r="B178" s="245"/>
      <c r="C178" s="221">
        <v>58952</v>
      </c>
      <c r="D178" s="221">
        <v>42165</v>
      </c>
      <c r="E178" s="221">
        <v>16787</v>
      </c>
      <c r="F178" s="221">
        <v>10828</v>
      </c>
      <c r="G178" s="221">
        <v>4948</v>
      </c>
      <c r="H178" s="221">
        <v>91</v>
      </c>
      <c r="I178" s="221">
        <v>474</v>
      </c>
      <c r="J178" s="221">
        <v>122</v>
      </c>
      <c r="K178" s="221">
        <v>324</v>
      </c>
      <c r="L178" s="221">
        <v>0</v>
      </c>
    </row>
    <row r="179" spans="1:12" s="222" customFormat="1" ht="12" customHeight="1" x14ac:dyDescent="0.2">
      <c r="A179" s="245" t="s">
        <v>235</v>
      </c>
      <c r="B179" s="245"/>
      <c r="C179" s="221">
        <v>10475</v>
      </c>
      <c r="D179" s="221">
        <v>6957</v>
      </c>
      <c r="E179" s="221">
        <v>3518</v>
      </c>
      <c r="F179" s="221">
        <v>2417</v>
      </c>
      <c r="G179" s="221">
        <v>889</v>
      </c>
      <c r="H179" s="221">
        <v>7</v>
      </c>
      <c r="I179" s="221">
        <v>83</v>
      </c>
      <c r="J179" s="221">
        <v>37</v>
      </c>
      <c r="K179" s="221">
        <v>85</v>
      </c>
      <c r="L179" s="221">
        <v>0</v>
      </c>
    </row>
    <row r="180" spans="1:12" s="222" customFormat="1" ht="12" customHeight="1" x14ac:dyDescent="0.2">
      <c r="A180" s="245" t="s">
        <v>236</v>
      </c>
      <c r="B180" s="245"/>
      <c r="C180" s="221">
        <v>5585</v>
      </c>
      <c r="D180" s="221">
        <v>5058</v>
      </c>
      <c r="E180" s="221">
        <v>527</v>
      </c>
      <c r="F180" s="221">
        <v>369</v>
      </c>
      <c r="G180" s="221">
        <v>143</v>
      </c>
      <c r="H180" s="221">
        <v>4</v>
      </c>
      <c r="I180" s="221">
        <v>0</v>
      </c>
      <c r="J180" s="221">
        <v>0</v>
      </c>
      <c r="K180" s="221">
        <v>11</v>
      </c>
      <c r="L180" s="221">
        <v>0</v>
      </c>
    </row>
    <row r="181" spans="1:12" s="222" customFormat="1" ht="12" customHeight="1" x14ac:dyDescent="0.2">
      <c r="A181" s="255" t="s">
        <v>237</v>
      </c>
      <c r="B181" s="255"/>
      <c r="C181" s="228">
        <v>8742</v>
      </c>
      <c r="D181" s="228">
        <v>6406</v>
      </c>
      <c r="E181" s="228">
        <v>2336</v>
      </c>
      <c r="F181" s="228">
        <v>1505</v>
      </c>
      <c r="G181" s="228">
        <v>701</v>
      </c>
      <c r="H181" s="228">
        <v>29</v>
      </c>
      <c r="I181" s="228">
        <v>23</v>
      </c>
      <c r="J181" s="228">
        <v>15</v>
      </c>
      <c r="K181" s="228">
        <v>63</v>
      </c>
      <c r="L181" s="228">
        <v>0</v>
      </c>
    </row>
    <row r="182" spans="1:12" s="222" customFormat="1" ht="12" customHeight="1" x14ac:dyDescent="0.2">
      <c r="A182" s="227"/>
      <c r="B182" s="227"/>
      <c r="C182" s="234"/>
      <c r="D182" s="234"/>
      <c r="E182" s="234"/>
      <c r="F182" s="234"/>
      <c r="G182" s="234"/>
      <c r="H182" s="234"/>
      <c r="I182" s="234"/>
      <c r="J182" s="234"/>
      <c r="K182" s="234"/>
      <c r="L182" s="234"/>
    </row>
    <row r="183" spans="1:12" s="222" customFormat="1" ht="12" customHeight="1" x14ac:dyDescent="0.2">
      <c r="A183" s="256" t="s">
        <v>355</v>
      </c>
      <c r="B183" s="256"/>
      <c r="C183" s="219">
        <v>336842</v>
      </c>
      <c r="D183" s="219">
        <v>235019</v>
      </c>
      <c r="E183" s="219">
        <v>101823</v>
      </c>
      <c r="F183" s="219">
        <v>64027</v>
      </c>
      <c r="G183" s="219">
        <v>32896</v>
      </c>
      <c r="H183" s="219">
        <v>515</v>
      </c>
      <c r="I183" s="219">
        <v>1594</v>
      </c>
      <c r="J183" s="219">
        <v>366</v>
      </c>
      <c r="K183" s="219">
        <v>2393</v>
      </c>
      <c r="L183" s="219">
        <v>32</v>
      </c>
    </row>
    <row r="184" spans="1:12" s="222" customFormat="1" ht="12" customHeight="1" x14ac:dyDescent="0.2">
      <c r="A184" s="245" t="s">
        <v>356</v>
      </c>
      <c r="B184" s="245"/>
      <c r="C184" s="221">
        <v>59668</v>
      </c>
      <c r="D184" s="221">
        <v>43022</v>
      </c>
      <c r="E184" s="221">
        <v>16646</v>
      </c>
      <c r="F184" s="221">
        <v>10852</v>
      </c>
      <c r="G184" s="221">
        <v>4793</v>
      </c>
      <c r="H184" s="221">
        <v>79</v>
      </c>
      <c r="I184" s="221">
        <v>470</v>
      </c>
      <c r="J184" s="221">
        <v>123</v>
      </c>
      <c r="K184" s="221">
        <v>329</v>
      </c>
      <c r="L184" s="221">
        <v>0</v>
      </c>
    </row>
    <row r="185" spans="1:12" s="222" customFormat="1" ht="12" customHeight="1" x14ac:dyDescent="0.2">
      <c r="A185" s="245" t="s">
        <v>357</v>
      </c>
      <c r="B185" s="245"/>
      <c r="C185" s="224">
        <v>51101</v>
      </c>
      <c r="D185" s="224">
        <v>36655</v>
      </c>
      <c r="E185" s="224">
        <v>14446</v>
      </c>
      <c r="F185" s="224">
        <v>8428</v>
      </c>
      <c r="G185" s="224">
        <v>4959</v>
      </c>
      <c r="H185" s="224">
        <v>63</v>
      </c>
      <c r="I185" s="224">
        <v>259</v>
      </c>
      <c r="J185" s="224">
        <v>47</v>
      </c>
      <c r="K185" s="224">
        <v>686</v>
      </c>
      <c r="L185" s="224">
        <v>4</v>
      </c>
    </row>
    <row r="186" spans="1:12" s="222" customFormat="1" ht="12" customHeight="1" x14ac:dyDescent="0.2">
      <c r="A186" s="245" t="s">
        <v>358</v>
      </c>
      <c r="B186" s="245"/>
      <c r="C186" s="221">
        <v>62742</v>
      </c>
      <c r="D186" s="221">
        <v>46636</v>
      </c>
      <c r="E186" s="221">
        <v>16106</v>
      </c>
      <c r="F186" s="221">
        <v>10649</v>
      </c>
      <c r="G186" s="221">
        <v>4790</v>
      </c>
      <c r="H186" s="221">
        <v>81</v>
      </c>
      <c r="I186" s="221">
        <v>253</v>
      </c>
      <c r="J186" s="221">
        <v>99</v>
      </c>
      <c r="K186" s="221">
        <v>234</v>
      </c>
      <c r="L186" s="221">
        <v>0</v>
      </c>
    </row>
    <row r="187" spans="1:12" s="222" customFormat="1" ht="12" customHeight="1" x14ac:dyDescent="0.2">
      <c r="A187" s="245" t="s">
        <v>359</v>
      </c>
      <c r="B187" s="245"/>
      <c r="C187" s="221">
        <v>154808</v>
      </c>
      <c r="D187" s="221">
        <v>102741</v>
      </c>
      <c r="E187" s="221">
        <v>52067</v>
      </c>
      <c r="F187" s="221">
        <v>32461</v>
      </c>
      <c r="G187" s="221">
        <v>17510</v>
      </c>
      <c r="H187" s="221">
        <v>266</v>
      </c>
      <c r="I187" s="221">
        <v>593</v>
      </c>
      <c r="J187" s="221">
        <v>89</v>
      </c>
      <c r="K187" s="221">
        <v>1120</v>
      </c>
      <c r="L187" s="221">
        <v>28</v>
      </c>
    </row>
    <row r="188" spans="1:12" s="222" customFormat="1" ht="12" customHeight="1" x14ac:dyDescent="0.2">
      <c r="A188" s="233" t="s">
        <v>360</v>
      </c>
      <c r="B188" s="233"/>
      <c r="C188" s="228">
        <v>8523</v>
      </c>
      <c r="D188" s="228">
        <v>5965</v>
      </c>
      <c r="E188" s="228">
        <v>2558</v>
      </c>
      <c r="F188" s="228">
        <v>1637</v>
      </c>
      <c r="G188" s="228">
        <v>844</v>
      </c>
      <c r="H188" s="228">
        <v>26</v>
      </c>
      <c r="I188" s="228">
        <v>19</v>
      </c>
      <c r="J188" s="228">
        <v>8</v>
      </c>
      <c r="K188" s="228">
        <v>24</v>
      </c>
      <c r="L188" s="228">
        <v>0</v>
      </c>
    </row>
    <row r="189" spans="1:12" s="222" customFormat="1" ht="12" customHeight="1" x14ac:dyDescent="0.2">
      <c r="A189" s="231"/>
      <c r="B189" s="231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</row>
    <row r="190" spans="1:12" s="222" customFormat="1" ht="12" customHeight="1" x14ac:dyDescent="0.2">
      <c r="A190" s="235" t="s">
        <v>361</v>
      </c>
      <c r="B190" s="235"/>
      <c r="C190" s="236">
        <v>22941</v>
      </c>
      <c r="D190" s="236">
        <v>17564</v>
      </c>
      <c r="E190" s="236">
        <v>5377</v>
      </c>
      <c r="F190" s="236">
        <v>3572</v>
      </c>
      <c r="G190" s="236">
        <v>1480</v>
      </c>
      <c r="H190" s="236">
        <v>37</v>
      </c>
      <c r="I190" s="236">
        <v>97</v>
      </c>
      <c r="J190" s="236">
        <v>49</v>
      </c>
      <c r="K190" s="236">
        <v>142</v>
      </c>
      <c r="L190" s="236">
        <v>0</v>
      </c>
    </row>
    <row r="191" spans="1:12" s="237" customFormat="1" ht="12" customHeight="1" x14ac:dyDescent="0.15"/>
    <row r="192" spans="1:12" s="238" customFormat="1" ht="12" customHeight="1" x14ac:dyDescent="0.2">
      <c r="A192" s="246" t="s">
        <v>406</v>
      </c>
      <c r="B192" s="246"/>
      <c r="C192" s="246"/>
    </row>
    <row r="193" spans="1:12" s="36" customFormat="1" ht="12" customHeight="1" x14ac:dyDescent="0.2">
      <c r="A193" s="241" t="s">
        <v>401</v>
      </c>
      <c r="B193" s="241"/>
      <c r="C193" s="241"/>
      <c r="D193" s="241"/>
      <c r="E193" s="241"/>
      <c r="F193" s="241"/>
      <c r="G193" s="241"/>
      <c r="H193" s="241"/>
      <c r="I193" s="241"/>
      <c r="J193" s="241"/>
      <c r="K193" s="241"/>
      <c r="L193" s="241"/>
    </row>
    <row r="194" spans="1:12" s="36" customFormat="1" ht="12" customHeight="1" x14ac:dyDescent="0.2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</row>
    <row r="195" spans="1:12" s="1" customFormat="1" ht="12" customHeight="1" x14ac:dyDescent="0.2">
      <c r="A195" s="241" t="s">
        <v>339</v>
      </c>
      <c r="B195" s="241"/>
      <c r="C195" s="241"/>
      <c r="D195" s="241"/>
      <c r="E195" s="241"/>
      <c r="F195" s="241"/>
      <c r="G195" s="241"/>
      <c r="H195" s="241"/>
      <c r="I195" s="241"/>
      <c r="J195" s="241"/>
      <c r="K195" s="241"/>
      <c r="L195" s="241"/>
    </row>
    <row r="196" spans="1:12" s="1" customFormat="1" ht="12" customHeight="1" x14ac:dyDescent="0.2">
      <c r="A196" s="243"/>
      <c r="B196" s="243"/>
      <c r="C196" s="243"/>
      <c r="D196" s="243"/>
      <c r="E196" s="243"/>
      <c r="F196" s="243"/>
      <c r="G196" s="243"/>
      <c r="H196" s="243"/>
      <c r="I196" s="243"/>
      <c r="J196" s="243"/>
      <c r="K196" s="243"/>
      <c r="L196" s="243"/>
    </row>
    <row r="197" spans="1:12" s="1" customFormat="1" ht="12" customHeight="1" x14ac:dyDescent="0.2">
      <c r="A197" s="241" t="s">
        <v>408</v>
      </c>
      <c r="B197" s="241"/>
      <c r="C197" s="241"/>
      <c r="D197" s="241"/>
      <c r="E197" s="241"/>
      <c r="F197" s="241"/>
      <c r="G197" s="241"/>
      <c r="H197" s="241"/>
      <c r="I197" s="241"/>
      <c r="J197" s="241"/>
      <c r="K197" s="241"/>
      <c r="L197" s="241"/>
    </row>
    <row r="198" spans="1:12" s="1" customFormat="1" ht="12" customHeight="1" x14ac:dyDescent="0.2">
      <c r="A198" s="244" t="s">
        <v>352</v>
      </c>
      <c r="B198" s="244"/>
      <c r="C198" s="244"/>
      <c r="D198" s="244"/>
      <c r="E198" s="244"/>
      <c r="F198" s="244"/>
      <c r="G198" s="244"/>
      <c r="H198" s="244"/>
      <c r="I198" s="244"/>
      <c r="J198" s="244"/>
      <c r="K198" s="244"/>
      <c r="L198" s="244"/>
    </row>
  </sheetData>
  <mergeCells count="162">
    <mergeCell ref="A10:B10"/>
    <mergeCell ref="A12:B12"/>
    <mergeCell ref="A13:B13"/>
    <mergeCell ref="A17:B17"/>
    <mergeCell ref="A21:B21"/>
    <mergeCell ref="A7:B7"/>
    <mergeCell ref="A8:B8"/>
    <mergeCell ref="A9:B9"/>
    <mergeCell ref="A33:B33"/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5:B115"/>
    <mergeCell ref="A116:B116"/>
    <mergeCell ref="A117:B117"/>
    <mergeCell ref="A118:B118"/>
    <mergeCell ref="A131:B131"/>
    <mergeCell ref="A132:B132"/>
    <mergeCell ref="A133:B133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60:B160"/>
    <mergeCell ref="A161:B161"/>
    <mergeCell ref="A163:B163"/>
    <mergeCell ref="A164:B164"/>
    <mergeCell ref="A165:B165"/>
    <mergeCell ref="A166:B166"/>
    <mergeCell ref="A152:B152"/>
    <mergeCell ref="A154:B154"/>
    <mergeCell ref="A155:B155"/>
    <mergeCell ref="A156:B156"/>
    <mergeCell ref="A158:B158"/>
    <mergeCell ref="A159:B159"/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1:B171"/>
    <mergeCell ref="A173:B173"/>
    <mergeCell ref="A193:L193"/>
    <mergeCell ref="A194:L194"/>
    <mergeCell ref="A195:L195"/>
    <mergeCell ref="A196:L196"/>
    <mergeCell ref="A197:L197"/>
    <mergeCell ref="A198:L198"/>
    <mergeCell ref="A187:B187"/>
    <mergeCell ref="A192:C192"/>
    <mergeCell ref="A1:L1"/>
    <mergeCell ref="A2:L2"/>
    <mergeCell ref="A3:L3"/>
    <mergeCell ref="A4:L4"/>
    <mergeCell ref="A5:B5"/>
    <mergeCell ref="E5:L5"/>
    <mergeCell ref="A6:B6"/>
    <mergeCell ref="E6:L6"/>
    <mergeCell ref="A180:B180"/>
    <mergeCell ref="A181:B181"/>
    <mergeCell ref="A183:B183"/>
    <mergeCell ref="A184:B184"/>
    <mergeCell ref="A185:B185"/>
    <mergeCell ref="A186:B186"/>
    <mergeCell ref="A174:B174"/>
    <mergeCell ref="A175:B1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1.7109375" style="2" customWidth="1"/>
    <col min="4" max="12" width="11.7109375" style="1" customWidth="1"/>
    <col min="13" max="16384" width="9.140625" style="1"/>
  </cols>
  <sheetData>
    <row r="1" spans="1:12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s="212" customFormat="1" ht="12" customHeight="1" x14ac:dyDescent="0.2">
      <c r="A2" s="248" t="s">
        <v>403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</row>
    <row r="3" spans="1:12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</row>
    <row r="4" spans="1:12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2" s="178" customFormat="1" ht="12" customHeight="1" x14ac:dyDescent="0.2">
      <c r="A5" s="251"/>
      <c r="B5" s="251"/>
      <c r="C5" s="110" t="s">
        <v>1</v>
      </c>
      <c r="D5" s="111" t="s">
        <v>2</v>
      </c>
      <c r="E5" s="252" t="s">
        <v>3</v>
      </c>
      <c r="F5" s="253"/>
      <c r="G5" s="253"/>
      <c r="H5" s="253"/>
      <c r="I5" s="253"/>
      <c r="J5" s="253"/>
      <c r="K5" s="253"/>
      <c r="L5" s="253"/>
    </row>
    <row r="6" spans="1:12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  <c r="L6" s="254"/>
    </row>
    <row r="7" spans="1:12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14" t="s">
        <v>397</v>
      </c>
      <c r="L7" s="108"/>
    </row>
    <row r="8" spans="1:12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398</v>
      </c>
      <c r="L8" s="114" t="s">
        <v>4</v>
      </c>
    </row>
    <row r="9" spans="1:12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399</v>
      </c>
      <c r="L9" s="116" t="s">
        <v>8</v>
      </c>
    </row>
    <row r="10" spans="1:12" s="15" customFormat="1" ht="12" customHeight="1" x14ac:dyDescent="0.2">
      <c r="A10" s="271" t="s">
        <v>10</v>
      </c>
      <c r="B10" s="272"/>
      <c r="C10" s="16">
        <v>358903</v>
      </c>
      <c r="D10" s="16">
        <v>253361</v>
      </c>
      <c r="E10" s="16">
        <v>105542</v>
      </c>
      <c r="F10" s="16">
        <v>67607</v>
      </c>
      <c r="G10" s="16">
        <v>32813</v>
      </c>
      <c r="H10" s="16">
        <v>645</v>
      </c>
      <c r="I10" s="16">
        <v>1667</v>
      </c>
      <c r="J10" s="16">
        <v>381</v>
      </c>
      <c r="K10" s="16">
        <v>2398</v>
      </c>
      <c r="L10" s="16">
        <v>31</v>
      </c>
    </row>
    <row r="11" spans="1:12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s="19" customFormat="1" ht="12" customHeight="1" x14ac:dyDescent="0.2">
      <c r="A12" s="263" t="s">
        <v>11</v>
      </c>
      <c r="B12" s="263"/>
      <c r="C12" s="20">
        <v>24834</v>
      </c>
      <c r="D12" s="20">
        <v>18490</v>
      </c>
      <c r="E12" s="20">
        <v>6344</v>
      </c>
      <c r="F12" s="20">
        <v>4409</v>
      </c>
      <c r="G12" s="20">
        <v>1637</v>
      </c>
      <c r="H12" s="20">
        <v>39</v>
      </c>
      <c r="I12" s="20">
        <v>61</v>
      </c>
      <c r="J12" s="20">
        <v>58</v>
      </c>
      <c r="K12" s="20">
        <v>140</v>
      </c>
      <c r="L12" s="20">
        <v>0</v>
      </c>
    </row>
    <row r="13" spans="1:12" s="21" customFormat="1" ht="12" customHeight="1" x14ac:dyDescent="0.2">
      <c r="A13" s="264" t="s">
        <v>12</v>
      </c>
      <c r="B13" s="264"/>
      <c r="C13" s="22">
        <v>8751</v>
      </c>
      <c r="D13" s="22">
        <v>6431</v>
      </c>
      <c r="E13" s="22">
        <v>2320</v>
      </c>
      <c r="F13" s="22">
        <v>1549</v>
      </c>
      <c r="G13" s="22">
        <v>656</v>
      </c>
      <c r="H13" s="22">
        <v>30</v>
      </c>
      <c r="I13" s="22">
        <v>21</v>
      </c>
      <c r="J13" s="22">
        <v>16</v>
      </c>
      <c r="K13" s="22">
        <v>48</v>
      </c>
      <c r="L13" s="22">
        <v>0</v>
      </c>
    </row>
    <row r="14" spans="1:12" s="21" customFormat="1" ht="12" customHeight="1" x14ac:dyDescent="0.2">
      <c r="A14" s="23"/>
      <c r="B14" s="24" t="s">
        <v>13</v>
      </c>
      <c r="C14" s="22">
        <v>3047</v>
      </c>
      <c r="D14" s="22">
        <v>2347</v>
      </c>
      <c r="E14" s="22">
        <v>700</v>
      </c>
      <c r="F14" s="22">
        <v>455</v>
      </c>
      <c r="G14" s="22">
        <v>209</v>
      </c>
      <c r="H14" s="22">
        <v>9</v>
      </c>
      <c r="I14" s="22">
        <v>4</v>
      </c>
      <c r="J14" s="22">
        <v>0</v>
      </c>
      <c r="K14" s="22">
        <v>23</v>
      </c>
      <c r="L14" s="22">
        <v>0</v>
      </c>
    </row>
    <row r="15" spans="1:12" s="21" customFormat="1" ht="12" customHeight="1" x14ac:dyDescent="0.2">
      <c r="A15" s="23"/>
      <c r="B15" s="24" t="s">
        <v>14</v>
      </c>
      <c r="C15" s="22">
        <v>2705</v>
      </c>
      <c r="D15" s="22">
        <v>2136</v>
      </c>
      <c r="E15" s="22">
        <v>569</v>
      </c>
      <c r="F15" s="22">
        <v>424</v>
      </c>
      <c r="G15" s="22">
        <v>135</v>
      </c>
      <c r="H15" s="22">
        <v>7</v>
      </c>
      <c r="I15" s="22">
        <v>0</v>
      </c>
      <c r="J15" s="22">
        <v>0</v>
      </c>
      <c r="K15" s="22">
        <v>3</v>
      </c>
      <c r="L15" s="22">
        <v>0</v>
      </c>
    </row>
    <row r="16" spans="1:12" s="21" customFormat="1" ht="12" customHeight="1" x14ac:dyDescent="0.2">
      <c r="A16" s="23"/>
      <c r="B16" s="25" t="s">
        <v>15</v>
      </c>
      <c r="C16" s="22">
        <v>2999</v>
      </c>
      <c r="D16" s="22">
        <v>1948</v>
      </c>
      <c r="E16" s="22">
        <v>1051</v>
      </c>
      <c r="F16" s="22">
        <v>670</v>
      </c>
      <c r="G16" s="22">
        <v>312</v>
      </c>
      <c r="H16" s="22">
        <v>14</v>
      </c>
      <c r="I16" s="22">
        <v>17</v>
      </c>
      <c r="J16" s="22">
        <v>16</v>
      </c>
      <c r="K16" s="22">
        <v>22</v>
      </c>
      <c r="L16" s="22">
        <v>0</v>
      </c>
    </row>
    <row r="17" spans="1:12" s="21" customFormat="1" ht="12" customHeight="1" x14ac:dyDescent="0.2">
      <c r="A17" s="264" t="s">
        <v>16</v>
      </c>
      <c r="B17" s="264"/>
      <c r="C17" s="22">
        <v>5613</v>
      </c>
      <c r="D17" s="22">
        <v>5084</v>
      </c>
      <c r="E17" s="22">
        <v>529</v>
      </c>
      <c r="F17" s="22">
        <v>379</v>
      </c>
      <c r="G17" s="22">
        <v>132</v>
      </c>
      <c r="H17" s="22">
        <v>4</v>
      </c>
      <c r="I17" s="22">
        <v>0</v>
      </c>
      <c r="J17" s="22">
        <v>0</v>
      </c>
      <c r="K17" s="22">
        <v>14</v>
      </c>
      <c r="L17" s="22">
        <v>0</v>
      </c>
    </row>
    <row r="18" spans="1:12" s="21" customFormat="1" ht="12" customHeight="1" x14ac:dyDescent="0.2">
      <c r="A18" s="23"/>
      <c r="B18" s="24" t="s">
        <v>17</v>
      </c>
      <c r="C18" s="22">
        <v>1747</v>
      </c>
      <c r="D18" s="22">
        <v>1635</v>
      </c>
      <c r="E18" s="22">
        <v>112</v>
      </c>
      <c r="F18" s="22">
        <v>71</v>
      </c>
      <c r="G18" s="22">
        <v>37</v>
      </c>
      <c r="H18" s="22">
        <v>3</v>
      </c>
      <c r="I18" s="22">
        <v>0</v>
      </c>
      <c r="J18" s="22">
        <v>0</v>
      </c>
      <c r="K18" s="22">
        <v>1</v>
      </c>
      <c r="L18" s="22">
        <v>0</v>
      </c>
    </row>
    <row r="19" spans="1:12" s="21" customFormat="1" ht="12" customHeight="1" x14ac:dyDescent="0.2">
      <c r="A19" s="23"/>
      <c r="B19" s="24" t="s">
        <v>18</v>
      </c>
      <c r="C19" s="22">
        <v>1796</v>
      </c>
      <c r="D19" s="22">
        <v>1575</v>
      </c>
      <c r="E19" s="22">
        <v>221</v>
      </c>
      <c r="F19" s="22">
        <v>165</v>
      </c>
      <c r="G19" s="22">
        <v>49</v>
      </c>
      <c r="H19" s="22">
        <v>1</v>
      </c>
      <c r="I19" s="22">
        <v>0</v>
      </c>
      <c r="J19" s="22">
        <v>0</v>
      </c>
      <c r="K19" s="22">
        <v>6</v>
      </c>
      <c r="L19" s="22">
        <v>0</v>
      </c>
    </row>
    <row r="20" spans="1:12" s="21" customFormat="1" ht="12" customHeight="1" x14ac:dyDescent="0.2">
      <c r="A20" s="26"/>
      <c r="B20" s="24" t="s">
        <v>19</v>
      </c>
      <c r="C20" s="22">
        <v>2070</v>
      </c>
      <c r="D20" s="22">
        <v>1874</v>
      </c>
      <c r="E20" s="22">
        <v>196</v>
      </c>
      <c r="F20" s="22">
        <v>143</v>
      </c>
      <c r="G20" s="22">
        <v>46</v>
      </c>
      <c r="H20" s="22">
        <v>0</v>
      </c>
      <c r="I20" s="22">
        <v>0</v>
      </c>
      <c r="J20" s="22">
        <v>0</v>
      </c>
      <c r="K20" s="22">
        <v>7</v>
      </c>
      <c r="L20" s="22">
        <v>0</v>
      </c>
    </row>
    <row r="21" spans="1:12" s="21" customFormat="1" ht="12" customHeight="1" x14ac:dyDescent="0.2">
      <c r="A21" s="266" t="s">
        <v>20</v>
      </c>
      <c r="B21" s="267"/>
      <c r="C21" s="209">
        <v>10470</v>
      </c>
      <c r="D21" s="209">
        <v>6975</v>
      </c>
      <c r="E21" s="209">
        <v>3495</v>
      </c>
      <c r="F21" s="209">
        <v>2481</v>
      </c>
      <c r="G21" s="209">
        <v>849</v>
      </c>
      <c r="H21" s="209">
        <v>5</v>
      </c>
      <c r="I21" s="209">
        <v>40</v>
      </c>
      <c r="J21" s="209">
        <v>42</v>
      </c>
      <c r="K21" s="209">
        <v>78</v>
      </c>
      <c r="L21" s="209">
        <v>0</v>
      </c>
    </row>
    <row r="22" spans="1:12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s="19" customFormat="1" ht="12" customHeight="1" x14ac:dyDescent="0.2">
      <c r="A23" s="263" t="s">
        <v>342</v>
      </c>
      <c r="B23" s="263"/>
      <c r="C23" s="20">
        <v>70325</v>
      </c>
      <c r="D23" s="20">
        <v>52896</v>
      </c>
      <c r="E23" s="20">
        <v>17429</v>
      </c>
      <c r="F23" s="20">
        <v>11677</v>
      </c>
      <c r="G23" s="20">
        <v>5015</v>
      </c>
      <c r="H23" s="20">
        <v>112</v>
      </c>
      <c r="I23" s="20">
        <v>268</v>
      </c>
      <c r="J23" s="20">
        <v>108</v>
      </c>
      <c r="K23" s="20">
        <v>249</v>
      </c>
      <c r="L23" s="20">
        <v>0</v>
      </c>
    </row>
    <row r="24" spans="1:12" s="21" customFormat="1" ht="12" customHeight="1" x14ac:dyDescent="0.2">
      <c r="A24" s="264" t="s">
        <v>22</v>
      </c>
      <c r="B24" s="264"/>
      <c r="C24" s="22">
        <v>41580</v>
      </c>
      <c r="D24" s="22">
        <v>29183</v>
      </c>
      <c r="E24" s="22">
        <v>12397</v>
      </c>
      <c r="F24" s="22">
        <v>8253</v>
      </c>
      <c r="G24" s="22">
        <v>3649</v>
      </c>
      <c r="H24" s="22">
        <v>86</v>
      </c>
      <c r="I24" s="22">
        <v>179</v>
      </c>
      <c r="J24" s="22">
        <v>76</v>
      </c>
      <c r="K24" s="22">
        <v>154</v>
      </c>
      <c r="L24" s="22">
        <v>0</v>
      </c>
    </row>
    <row r="25" spans="1:12" s="21" customFormat="1" ht="12" customHeight="1" x14ac:dyDescent="0.2">
      <c r="A25" s="264" t="s">
        <v>23</v>
      </c>
      <c r="B25" s="264"/>
      <c r="C25" s="22">
        <v>5024</v>
      </c>
      <c r="D25" s="22">
        <v>3858</v>
      </c>
      <c r="E25" s="22">
        <v>1166</v>
      </c>
      <c r="F25" s="22">
        <v>783</v>
      </c>
      <c r="G25" s="22">
        <v>347</v>
      </c>
      <c r="H25" s="22">
        <v>15</v>
      </c>
      <c r="I25" s="22">
        <v>1</v>
      </c>
      <c r="J25" s="22">
        <v>6</v>
      </c>
      <c r="K25" s="22">
        <v>14</v>
      </c>
      <c r="L25" s="22">
        <v>0</v>
      </c>
    </row>
    <row r="26" spans="1:12" s="21" customFormat="1" ht="12" customHeight="1" x14ac:dyDescent="0.2">
      <c r="A26" s="264" t="s">
        <v>24</v>
      </c>
      <c r="B26" s="264"/>
      <c r="C26" s="22">
        <v>13312</v>
      </c>
      <c r="D26" s="22">
        <v>10582</v>
      </c>
      <c r="E26" s="22">
        <v>2730</v>
      </c>
      <c r="F26" s="22">
        <v>1824</v>
      </c>
      <c r="G26" s="22">
        <v>733</v>
      </c>
      <c r="H26" s="22">
        <v>7</v>
      </c>
      <c r="I26" s="22">
        <v>85</v>
      </c>
      <c r="J26" s="22">
        <v>21</v>
      </c>
      <c r="K26" s="22">
        <v>60</v>
      </c>
      <c r="L26" s="22">
        <v>0</v>
      </c>
    </row>
    <row r="27" spans="1:12" s="21" customFormat="1" ht="12" customHeight="1" x14ac:dyDescent="0.2">
      <c r="A27" s="211"/>
      <c r="B27" s="24" t="s">
        <v>25</v>
      </c>
      <c r="C27" s="22">
        <v>977</v>
      </c>
      <c r="D27" s="22">
        <v>903</v>
      </c>
      <c r="E27" s="22">
        <v>74</v>
      </c>
      <c r="F27" s="22">
        <v>37</v>
      </c>
      <c r="G27" s="22">
        <v>25</v>
      </c>
      <c r="H27" s="22">
        <v>0</v>
      </c>
      <c r="I27" s="22">
        <v>3</v>
      </c>
      <c r="J27" s="22">
        <v>8</v>
      </c>
      <c r="K27" s="22">
        <v>1</v>
      </c>
      <c r="L27" s="22">
        <v>0</v>
      </c>
    </row>
    <row r="28" spans="1:12" s="21" customFormat="1" ht="12" customHeight="1" x14ac:dyDescent="0.2">
      <c r="A28" s="26"/>
      <c r="B28" s="24" t="s">
        <v>26</v>
      </c>
      <c r="C28" s="22">
        <v>12335</v>
      </c>
      <c r="D28" s="22">
        <v>9679</v>
      </c>
      <c r="E28" s="22">
        <v>2656</v>
      </c>
      <c r="F28" s="22">
        <v>1787</v>
      </c>
      <c r="G28" s="22">
        <v>708</v>
      </c>
      <c r="H28" s="22">
        <v>7</v>
      </c>
      <c r="I28" s="22">
        <v>82</v>
      </c>
      <c r="J28" s="22">
        <v>13</v>
      </c>
      <c r="K28" s="22">
        <v>59</v>
      </c>
      <c r="L28" s="22">
        <v>0</v>
      </c>
    </row>
    <row r="29" spans="1:12" s="21" customFormat="1" ht="12" customHeight="1" x14ac:dyDescent="0.2">
      <c r="A29" s="264" t="s">
        <v>27</v>
      </c>
      <c r="B29" s="264"/>
      <c r="C29" s="22">
        <v>3755</v>
      </c>
      <c r="D29" s="22">
        <v>3323</v>
      </c>
      <c r="E29" s="22">
        <v>432</v>
      </c>
      <c r="F29" s="22">
        <v>298</v>
      </c>
      <c r="G29" s="22">
        <v>120</v>
      </c>
      <c r="H29" s="22">
        <v>2</v>
      </c>
      <c r="I29" s="22">
        <v>0</v>
      </c>
      <c r="J29" s="22">
        <v>1</v>
      </c>
      <c r="K29" s="22">
        <v>11</v>
      </c>
      <c r="L29" s="22">
        <v>0</v>
      </c>
    </row>
    <row r="30" spans="1:12" s="21" customFormat="1" ht="12" customHeight="1" x14ac:dyDescent="0.2">
      <c r="A30" s="211"/>
      <c r="B30" s="24" t="s">
        <v>28</v>
      </c>
      <c r="C30" s="22">
        <v>1070</v>
      </c>
      <c r="D30" s="22">
        <v>954</v>
      </c>
      <c r="E30" s="22">
        <v>116</v>
      </c>
      <c r="F30" s="22">
        <v>75</v>
      </c>
      <c r="G30" s="22">
        <v>31</v>
      </c>
      <c r="H30" s="22">
        <v>0</v>
      </c>
      <c r="I30" s="22">
        <v>0</v>
      </c>
      <c r="J30" s="22">
        <v>0</v>
      </c>
      <c r="K30" s="22">
        <v>10</v>
      </c>
      <c r="L30" s="22">
        <v>0</v>
      </c>
    </row>
    <row r="31" spans="1:12" s="21" customFormat="1" ht="12" customHeight="1" x14ac:dyDescent="0.2">
      <c r="A31" s="26"/>
      <c r="B31" s="24" t="s">
        <v>29</v>
      </c>
      <c r="C31" s="22">
        <v>2685</v>
      </c>
      <c r="D31" s="22">
        <v>2369</v>
      </c>
      <c r="E31" s="22">
        <v>316</v>
      </c>
      <c r="F31" s="22">
        <v>223</v>
      </c>
      <c r="G31" s="22">
        <v>89</v>
      </c>
      <c r="H31" s="22">
        <v>2</v>
      </c>
      <c r="I31" s="22">
        <v>0</v>
      </c>
      <c r="J31" s="22">
        <v>1</v>
      </c>
      <c r="K31" s="22">
        <v>1</v>
      </c>
      <c r="L31" s="22">
        <v>0</v>
      </c>
    </row>
    <row r="32" spans="1:12" s="21" customFormat="1" ht="12" customHeight="1" x14ac:dyDescent="0.2">
      <c r="A32" s="264" t="s">
        <v>30</v>
      </c>
      <c r="B32" s="264"/>
      <c r="C32" s="22">
        <v>663</v>
      </c>
      <c r="D32" s="22">
        <v>594</v>
      </c>
      <c r="E32" s="22">
        <v>69</v>
      </c>
      <c r="F32" s="22">
        <v>40</v>
      </c>
      <c r="G32" s="22">
        <v>29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s="21" customFormat="1" ht="12" customHeight="1" x14ac:dyDescent="0.2">
      <c r="A33" s="264" t="s">
        <v>343</v>
      </c>
      <c r="B33" s="264"/>
      <c r="C33" s="22">
        <v>5991</v>
      </c>
      <c r="D33" s="22">
        <v>5356</v>
      </c>
      <c r="E33" s="22">
        <v>635</v>
      </c>
      <c r="F33" s="22">
        <v>479</v>
      </c>
      <c r="G33" s="22">
        <v>137</v>
      </c>
      <c r="H33" s="22">
        <v>2</v>
      </c>
      <c r="I33" s="22">
        <v>3</v>
      </c>
      <c r="J33" s="22">
        <v>4</v>
      </c>
      <c r="K33" s="22">
        <v>10</v>
      </c>
      <c r="L33" s="22">
        <v>0</v>
      </c>
    </row>
    <row r="34" spans="1:12" s="21" customFormat="1" ht="12" customHeight="1" x14ac:dyDescent="0.2">
      <c r="A34" s="211"/>
      <c r="B34" s="24" t="s">
        <v>32</v>
      </c>
      <c r="C34" s="22">
        <v>498</v>
      </c>
      <c r="D34" s="22">
        <v>464</v>
      </c>
      <c r="E34" s="22">
        <v>34</v>
      </c>
      <c r="F34" s="22">
        <v>23</v>
      </c>
      <c r="G34" s="22">
        <v>11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</row>
    <row r="35" spans="1:12" s="21" customFormat="1" ht="12" customHeight="1" x14ac:dyDescent="0.2">
      <c r="A35" s="23"/>
      <c r="B35" s="24" t="s">
        <v>33</v>
      </c>
      <c r="C35" s="22">
        <v>174</v>
      </c>
      <c r="D35" s="22">
        <v>158</v>
      </c>
      <c r="E35" s="22">
        <v>16</v>
      </c>
      <c r="F35" s="22">
        <v>14</v>
      </c>
      <c r="G35" s="22">
        <v>2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s="21" customFormat="1" ht="12" customHeight="1" x14ac:dyDescent="0.2">
      <c r="A36" s="23"/>
      <c r="B36" s="30" t="s">
        <v>344</v>
      </c>
      <c r="C36" s="209">
        <v>5319</v>
      </c>
      <c r="D36" s="209">
        <v>4734</v>
      </c>
      <c r="E36" s="209">
        <v>585</v>
      </c>
      <c r="F36" s="209">
        <v>442</v>
      </c>
      <c r="G36" s="209">
        <v>124</v>
      </c>
      <c r="H36" s="209">
        <v>2</v>
      </c>
      <c r="I36" s="209">
        <v>3</v>
      </c>
      <c r="J36" s="209">
        <v>4</v>
      </c>
      <c r="K36" s="209">
        <v>10</v>
      </c>
      <c r="L36" s="209">
        <v>0</v>
      </c>
    </row>
    <row r="37" spans="1:12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s="19" customFormat="1" ht="12" customHeight="1" x14ac:dyDescent="0.2">
      <c r="A38" s="263" t="s">
        <v>35</v>
      </c>
      <c r="B38" s="263"/>
      <c r="C38" s="20">
        <v>57952</v>
      </c>
      <c r="D38" s="20">
        <v>41721</v>
      </c>
      <c r="E38" s="20">
        <v>16231</v>
      </c>
      <c r="F38" s="20">
        <v>10737</v>
      </c>
      <c r="G38" s="20">
        <v>4598</v>
      </c>
      <c r="H38" s="20">
        <v>95</v>
      </c>
      <c r="I38" s="20">
        <v>456</v>
      </c>
      <c r="J38" s="20">
        <v>71</v>
      </c>
      <c r="K38" s="20">
        <v>274</v>
      </c>
      <c r="L38" s="20">
        <v>0</v>
      </c>
    </row>
    <row r="39" spans="1:12" s="21" customFormat="1" ht="12" customHeight="1" x14ac:dyDescent="0.2">
      <c r="A39" s="264" t="s">
        <v>36</v>
      </c>
      <c r="B39" s="264"/>
      <c r="C39" s="22">
        <v>52149</v>
      </c>
      <c r="D39" s="22">
        <v>37979</v>
      </c>
      <c r="E39" s="22">
        <v>14170</v>
      </c>
      <c r="F39" s="22">
        <v>9331</v>
      </c>
      <c r="G39" s="22">
        <v>4024</v>
      </c>
      <c r="H39" s="22">
        <v>81</v>
      </c>
      <c r="I39" s="22">
        <v>417</v>
      </c>
      <c r="J39" s="22">
        <v>69</v>
      </c>
      <c r="K39" s="22">
        <v>248</v>
      </c>
      <c r="L39" s="22">
        <v>0</v>
      </c>
    </row>
    <row r="40" spans="1:12" s="21" customFormat="1" ht="12" customHeight="1" x14ac:dyDescent="0.2">
      <c r="A40" s="266" t="s">
        <v>37</v>
      </c>
      <c r="B40" s="267"/>
      <c r="C40" s="209">
        <v>5803</v>
      </c>
      <c r="D40" s="209">
        <v>3742</v>
      </c>
      <c r="E40" s="209">
        <v>2061</v>
      </c>
      <c r="F40" s="209">
        <v>1406</v>
      </c>
      <c r="G40" s="209">
        <v>574</v>
      </c>
      <c r="H40" s="209">
        <v>14</v>
      </c>
      <c r="I40" s="209">
        <v>39</v>
      </c>
      <c r="J40" s="209">
        <v>2</v>
      </c>
      <c r="K40" s="209">
        <v>26</v>
      </c>
      <c r="L40" s="209">
        <v>0</v>
      </c>
    </row>
    <row r="41" spans="1:12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s="19" customFormat="1" ht="12" customHeight="1" x14ac:dyDescent="0.2">
      <c r="A42" s="263" t="s">
        <v>38</v>
      </c>
      <c r="B42" s="263"/>
      <c r="C42" s="20">
        <v>149995</v>
      </c>
      <c r="D42" s="20">
        <v>99946</v>
      </c>
      <c r="E42" s="20">
        <v>50049</v>
      </c>
      <c r="F42" s="20">
        <v>31434</v>
      </c>
      <c r="G42" s="20">
        <v>16413</v>
      </c>
      <c r="H42" s="20">
        <v>327</v>
      </c>
      <c r="I42" s="20">
        <v>618</v>
      </c>
      <c r="J42" s="20">
        <v>109</v>
      </c>
      <c r="K42" s="20">
        <v>1121</v>
      </c>
      <c r="L42" s="20">
        <v>27</v>
      </c>
    </row>
    <row r="43" spans="1:12" s="21" customFormat="1" ht="12" customHeight="1" x14ac:dyDescent="0.2">
      <c r="A43" s="264" t="s">
        <v>39</v>
      </c>
      <c r="B43" s="264"/>
      <c r="C43" s="22">
        <v>101912</v>
      </c>
      <c r="D43" s="22">
        <v>61958</v>
      </c>
      <c r="E43" s="22">
        <v>39954</v>
      </c>
      <c r="F43" s="22">
        <v>24272</v>
      </c>
      <c r="G43" s="22">
        <v>13806</v>
      </c>
      <c r="H43" s="22">
        <v>275</v>
      </c>
      <c r="I43" s="22">
        <v>557</v>
      </c>
      <c r="J43" s="22">
        <v>98</v>
      </c>
      <c r="K43" s="22">
        <v>919</v>
      </c>
      <c r="L43" s="22">
        <v>27</v>
      </c>
    </row>
    <row r="44" spans="1:12" s="21" customFormat="1" ht="12" customHeight="1" x14ac:dyDescent="0.2">
      <c r="A44" s="264" t="s">
        <v>40</v>
      </c>
      <c r="B44" s="270"/>
      <c r="C44" s="22">
        <v>24091</v>
      </c>
      <c r="D44" s="22">
        <v>19884</v>
      </c>
      <c r="E44" s="22">
        <v>4207</v>
      </c>
      <c r="F44" s="22">
        <v>3108</v>
      </c>
      <c r="G44" s="22">
        <v>1005</v>
      </c>
      <c r="H44" s="22">
        <v>24</v>
      </c>
      <c r="I44" s="22">
        <v>21</v>
      </c>
      <c r="J44" s="22">
        <v>1</v>
      </c>
      <c r="K44" s="22">
        <v>48</v>
      </c>
      <c r="L44" s="22">
        <v>0</v>
      </c>
    </row>
    <row r="45" spans="1:12" s="21" customFormat="1" ht="12" customHeight="1" x14ac:dyDescent="0.2">
      <c r="A45" s="30"/>
      <c r="B45" s="24" t="s">
        <v>41</v>
      </c>
      <c r="C45" s="22">
        <v>13890</v>
      </c>
      <c r="D45" s="22">
        <v>11032</v>
      </c>
      <c r="E45" s="22">
        <v>2858</v>
      </c>
      <c r="F45" s="22">
        <v>2148</v>
      </c>
      <c r="G45" s="22">
        <v>645</v>
      </c>
      <c r="H45" s="22">
        <v>17</v>
      </c>
      <c r="I45" s="22">
        <v>19</v>
      </c>
      <c r="J45" s="22">
        <v>1</v>
      </c>
      <c r="K45" s="22">
        <v>28</v>
      </c>
      <c r="L45" s="22">
        <v>0</v>
      </c>
    </row>
    <row r="46" spans="1:12" s="21" customFormat="1" ht="12" customHeight="1" x14ac:dyDescent="0.2">
      <c r="A46" s="30"/>
      <c r="B46" s="24" t="s">
        <v>42</v>
      </c>
      <c r="C46" s="22">
        <v>10201</v>
      </c>
      <c r="D46" s="22">
        <v>8852</v>
      </c>
      <c r="E46" s="22">
        <v>1349</v>
      </c>
      <c r="F46" s="22">
        <v>960</v>
      </c>
      <c r="G46" s="22">
        <v>360</v>
      </c>
      <c r="H46" s="22">
        <v>7</v>
      </c>
      <c r="I46" s="22">
        <v>2</v>
      </c>
      <c r="J46" s="22">
        <v>0</v>
      </c>
      <c r="K46" s="22">
        <v>20</v>
      </c>
      <c r="L46" s="22">
        <v>0</v>
      </c>
    </row>
    <row r="47" spans="1:12" s="21" customFormat="1" ht="12" customHeight="1" x14ac:dyDescent="0.2">
      <c r="A47" s="264" t="s">
        <v>44</v>
      </c>
      <c r="B47" s="264"/>
      <c r="C47" s="22">
        <v>23992</v>
      </c>
      <c r="D47" s="22">
        <v>18104</v>
      </c>
      <c r="E47" s="22">
        <v>5888</v>
      </c>
      <c r="F47" s="22">
        <v>4054</v>
      </c>
      <c r="G47" s="22">
        <v>1602</v>
      </c>
      <c r="H47" s="22">
        <v>28</v>
      </c>
      <c r="I47" s="22">
        <v>40</v>
      </c>
      <c r="J47" s="22">
        <v>10</v>
      </c>
      <c r="K47" s="22">
        <v>154</v>
      </c>
      <c r="L47" s="22">
        <v>0</v>
      </c>
    </row>
    <row r="48" spans="1:12" s="21" customFormat="1" ht="12" customHeight="1" x14ac:dyDescent="0.2">
      <c r="A48" s="30"/>
      <c r="B48" s="24" t="s">
        <v>45</v>
      </c>
      <c r="C48" s="22">
        <v>2824</v>
      </c>
      <c r="D48" s="22">
        <v>2443</v>
      </c>
      <c r="E48" s="22">
        <v>381</v>
      </c>
      <c r="F48" s="22">
        <v>267</v>
      </c>
      <c r="G48" s="22">
        <v>85</v>
      </c>
      <c r="H48" s="22">
        <v>2</v>
      </c>
      <c r="I48" s="22">
        <v>1</v>
      </c>
      <c r="J48" s="22">
        <v>0</v>
      </c>
      <c r="K48" s="22">
        <v>26</v>
      </c>
      <c r="L48" s="22">
        <v>0</v>
      </c>
    </row>
    <row r="49" spans="1:12" s="21" customFormat="1" ht="12" customHeight="1" x14ac:dyDescent="0.2">
      <c r="A49" s="30"/>
      <c r="B49" s="24" t="s">
        <v>46</v>
      </c>
      <c r="C49" s="22">
        <v>6850</v>
      </c>
      <c r="D49" s="22">
        <v>5419</v>
      </c>
      <c r="E49" s="22">
        <v>1431</v>
      </c>
      <c r="F49" s="22">
        <v>922</v>
      </c>
      <c r="G49" s="22">
        <v>458</v>
      </c>
      <c r="H49" s="22">
        <v>6</v>
      </c>
      <c r="I49" s="22">
        <v>5</v>
      </c>
      <c r="J49" s="22">
        <v>5</v>
      </c>
      <c r="K49" s="22">
        <v>35</v>
      </c>
      <c r="L49" s="22">
        <v>0</v>
      </c>
    </row>
    <row r="50" spans="1:12" s="21" customFormat="1" ht="12" customHeight="1" x14ac:dyDescent="0.2">
      <c r="A50" s="30"/>
      <c r="B50" s="30" t="s">
        <v>47</v>
      </c>
      <c r="C50" s="209">
        <v>14318</v>
      </c>
      <c r="D50" s="209">
        <v>10242</v>
      </c>
      <c r="E50" s="209">
        <v>4076</v>
      </c>
      <c r="F50" s="209">
        <v>2865</v>
      </c>
      <c r="G50" s="209">
        <v>1059</v>
      </c>
      <c r="H50" s="209">
        <v>20</v>
      </c>
      <c r="I50" s="209">
        <v>34</v>
      </c>
      <c r="J50" s="209">
        <v>5</v>
      </c>
      <c r="K50" s="209">
        <v>93</v>
      </c>
      <c r="L50" s="209">
        <v>0</v>
      </c>
    </row>
    <row r="51" spans="1:12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s="19" customFormat="1" ht="12" customHeight="1" x14ac:dyDescent="0.2">
      <c r="A52" s="263" t="s">
        <v>48</v>
      </c>
      <c r="B52" s="263"/>
      <c r="C52" s="20">
        <v>55797</v>
      </c>
      <c r="D52" s="20">
        <v>40308</v>
      </c>
      <c r="E52" s="20">
        <v>15489</v>
      </c>
      <c r="F52" s="20">
        <v>9350</v>
      </c>
      <c r="G52" s="20">
        <v>5150</v>
      </c>
      <c r="H52" s="20">
        <v>72</v>
      </c>
      <c r="I52" s="20">
        <v>264</v>
      </c>
      <c r="J52" s="20">
        <v>35</v>
      </c>
      <c r="K52" s="20">
        <v>614</v>
      </c>
      <c r="L52" s="20">
        <v>4</v>
      </c>
    </row>
    <row r="53" spans="1:12" s="21" customFormat="1" ht="12" customHeight="1" x14ac:dyDescent="0.2">
      <c r="A53" s="264" t="s">
        <v>49</v>
      </c>
      <c r="B53" s="264"/>
      <c r="C53" s="22">
        <v>18823</v>
      </c>
      <c r="D53" s="22">
        <v>12056</v>
      </c>
      <c r="E53" s="22">
        <v>6767</v>
      </c>
      <c r="F53" s="22">
        <v>3993</v>
      </c>
      <c r="G53" s="22">
        <v>2129</v>
      </c>
      <c r="H53" s="22">
        <v>29</v>
      </c>
      <c r="I53" s="22">
        <v>190</v>
      </c>
      <c r="J53" s="22">
        <v>16</v>
      </c>
      <c r="K53" s="22">
        <v>410</v>
      </c>
      <c r="L53" s="22">
        <v>0</v>
      </c>
    </row>
    <row r="54" spans="1:12" s="21" customFormat="1" ht="12" customHeight="1" x14ac:dyDescent="0.2">
      <c r="A54" s="264" t="s">
        <v>50</v>
      </c>
      <c r="B54" s="264"/>
      <c r="C54" s="22">
        <v>32823</v>
      </c>
      <c r="D54" s="22">
        <v>24615</v>
      </c>
      <c r="E54" s="22">
        <v>8208</v>
      </c>
      <c r="F54" s="22">
        <v>4995</v>
      </c>
      <c r="G54" s="22">
        <v>2877</v>
      </c>
      <c r="H54" s="22">
        <v>43</v>
      </c>
      <c r="I54" s="22">
        <v>74</v>
      </c>
      <c r="J54" s="22">
        <v>19</v>
      </c>
      <c r="K54" s="22">
        <v>196</v>
      </c>
      <c r="L54" s="22">
        <v>4</v>
      </c>
    </row>
    <row r="55" spans="1:12" s="21" customFormat="1" ht="12" customHeight="1" x14ac:dyDescent="0.2">
      <c r="A55" s="266" t="s">
        <v>51</v>
      </c>
      <c r="B55" s="267"/>
      <c r="C55" s="209">
        <v>4151</v>
      </c>
      <c r="D55" s="209">
        <v>3637</v>
      </c>
      <c r="E55" s="209">
        <v>514</v>
      </c>
      <c r="F55" s="209">
        <v>362</v>
      </c>
      <c r="G55" s="209">
        <v>144</v>
      </c>
      <c r="H55" s="209">
        <v>0</v>
      </c>
      <c r="I55" s="209">
        <v>0</v>
      </c>
      <c r="J55" s="209">
        <v>0</v>
      </c>
      <c r="K55" s="209">
        <v>8</v>
      </c>
      <c r="L55" s="209">
        <v>0</v>
      </c>
    </row>
    <row r="56" spans="1:12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s="21" customFormat="1" ht="12" customHeight="1" x14ac:dyDescent="0.2">
      <c r="A57" s="263" t="s">
        <v>52</v>
      </c>
      <c r="B57" s="269"/>
      <c r="C57" s="18">
        <v>50450</v>
      </c>
      <c r="D57" s="18">
        <v>36534</v>
      </c>
      <c r="E57" s="18">
        <v>13916</v>
      </c>
      <c r="F57" s="18">
        <v>8314</v>
      </c>
      <c r="G57" s="18">
        <v>4673</v>
      </c>
      <c r="H57" s="18">
        <v>66</v>
      </c>
      <c r="I57" s="18">
        <v>259</v>
      </c>
      <c r="J57" s="18">
        <v>30</v>
      </c>
      <c r="K57" s="18">
        <v>570</v>
      </c>
      <c r="L57" s="18">
        <v>4</v>
      </c>
    </row>
    <row r="58" spans="1:12" s="21" customFormat="1" ht="12" customHeight="1" x14ac:dyDescent="0.2">
      <c r="A58" s="264" t="s">
        <v>53</v>
      </c>
      <c r="B58" s="264"/>
      <c r="C58" s="22">
        <v>3356</v>
      </c>
      <c r="D58" s="22">
        <v>2361</v>
      </c>
      <c r="E58" s="22">
        <v>995</v>
      </c>
      <c r="F58" s="22">
        <v>652</v>
      </c>
      <c r="G58" s="22">
        <v>284</v>
      </c>
      <c r="H58" s="22">
        <v>5</v>
      </c>
      <c r="I58" s="22">
        <v>7</v>
      </c>
      <c r="J58" s="22">
        <v>1</v>
      </c>
      <c r="K58" s="22">
        <v>46</v>
      </c>
      <c r="L58" s="22">
        <v>0</v>
      </c>
    </row>
    <row r="59" spans="1:12" s="21" customFormat="1" ht="12" customHeight="1" x14ac:dyDescent="0.2">
      <c r="A59" s="264" t="s">
        <v>55</v>
      </c>
      <c r="B59" s="264"/>
      <c r="C59" s="22">
        <v>1889</v>
      </c>
      <c r="D59" s="22">
        <v>1674</v>
      </c>
      <c r="E59" s="22">
        <v>215</v>
      </c>
      <c r="F59" s="22">
        <v>147</v>
      </c>
      <c r="G59" s="22">
        <v>64</v>
      </c>
      <c r="H59" s="22">
        <v>0</v>
      </c>
      <c r="I59" s="22">
        <v>0</v>
      </c>
      <c r="J59" s="22">
        <v>0</v>
      </c>
      <c r="K59" s="22">
        <v>4</v>
      </c>
      <c r="L59" s="22">
        <v>0</v>
      </c>
    </row>
    <row r="60" spans="1:12" s="21" customFormat="1" ht="12" customHeight="1" x14ac:dyDescent="0.2">
      <c r="A60" s="264" t="s">
        <v>56</v>
      </c>
      <c r="B60" s="264"/>
      <c r="C60" s="22">
        <v>2262</v>
      </c>
      <c r="D60" s="22">
        <v>1963</v>
      </c>
      <c r="E60" s="22">
        <v>299</v>
      </c>
      <c r="F60" s="22">
        <v>215</v>
      </c>
      <c r="G60" s="22">
        <v>80</v>
      </c>
      <c r="H60" s="22">
        <v>0</v>
      </c>
      <c r="I60" s="22">
        <v>0</v>
      </c>
      <c r="J60" s="22">
        <v>0</v>
      </c>
      <c r="K60" s="22">
        <v>4</v>
      </c>
      <c r="L60" s="22">
        <v>0</v>
      </c>
    </row>
    <row r="61" spans="1:12" s="21" customFormat="1" ht="12" customHeight="1" x14ac:dyDescent="0.2">
      <c r="A61" s="264" t="s">
        <v>57</v>
      </c>
      <c r="B61" s="264"/>
      <c r="C61" s="22">
        <v>7564</v>
      </c>
      <c r="D61" s="22">
        <v>4150</v>
      </c>
      <c r="E61" s="22">
        <v>3414</v>
      </c>
      <c r="F61" s="22">
        <v>1796</v>
      </c>
      <c r="G61" s="22">
        <v>1212</v>
      </c>
      <c r="H61" s="22">
        <v>18</v>
      </c>
      <c r="I61" s="22">
        <v>155</v>
      </c>
      <c r="J61" s="22">
        <v>11</v>
      </c>
      <c r="K61" s="22">
        <v>222</v>
      </c>
      <c r="L61" s="22">
        <v>0</v>
      </c>
    </row>
    <row r="62" spans="1:12" s="21" customFormat="1" ht="12" customHeight="1" x14ac:dyDescent="0.2">
      <c r="A62" s="264" t="s">
        <v>58</v>
      </c>
      <c r="B62" s="264"/>
      <c r="C62" s="22">
        <v>2834</v>
      </c>
      <c r="D62" s="22">
        <v>2288</v>
      </c>
      <c r="E62" s="22">
        <v>546</v>
      </c>
      <c r="F62" s="22">
        <v>373</v>
      </c>
      <c r="G62" s="22">
        <v>144</v>
      </c>
      <c r="H62" s="22">
        <v>9</v>
      </c>
      <c r="I62" s="22">
        <v>5</v>
      </c>
      <c r="J62" s="22">
        <v>5</v>
      </c>
      <c r="K62" s="22">
        <v>10</v>
      </c>
      <c r="L62" s="22">
        <v>0</v>
      </c>
    </row>
    <row r="63" spans="1:12" s="21" customFormat="1" ht="12" customHeight="1" x14ac:dyDescent="0.2">
      <c r="A63" s="264" t="s">
        <v>60</v>
      </c>
      <c r="B63" s="264"/>
      <c r="C63" s="22">
        <v>15085</v>
      </c>
      <c r="D63" s="22">
        <v>11192</v>
      </c>
      <c r="E63" s="22">
        <v>3893</v>
      </c>
      <c r="F63" s="22">
        <v>2130</v>
      </c>
      <c r="G63" s="22">
        <v>1611</v>
      </c>
      <c r="H63" s="22">
        <v>26</v>
      </c>
      <c r="I63" s="22">
        <v>34</v>
      </c>
      <c r="J63" s="22">
        <v>7</v>
      </c>
      <c r="K63" s="22">
        <v>81</v>
      </c>
      <c r="L63" s="22">
        <v>4</v>
      </c>
    </row>
    <row r="64" spans="1:12" s="21" customFormat="1" ht="12" customHeight="1" x14ac:dyDescent="0.2">
      <c r="A64" s="264" t="s">
        <v>62</v>
      </c>
      <c r="B64" s="264"/>
      <c r="C64" s="22">
        <v>4412</v>
      </c>
      <c r="D64" s="22">
        <v>3187</v>
      </c>
      <c r="E64" s="22">
        <v>1225</v>
      </c>
      <c r="F64" s="22">
        <v>809</v>
      </c>
      <c r="G64" s="22">
        <v>342</v>
      </c>
      <c r="H64" s="22">
        <v>1</v>
      </c>
      <c r="I64" s="22">
        <v>17</v>
      </c>
      <c r="J64" s="22">
        <v>0</v>
      </c>
      <c r="K64" s="22">
        <v>56</v>
      </c>
      <c r="L64" s="22">
        <v>0</v>
      </c>
    </row>
    <row r="65" spans="1:12" s="21" customFormat="1" ht="12" customHeight="1" x14ac:dyDescent="0.2">
      <c r="A65" s="264" t="s">
        <v>63</v>
      </c>
      <c r="B65" s="264"/>
      <c r="C65" s="22">
        <v>2340</v>
      </c>
      <c r="D65" s="22">
        <v>1857</v>
      </c>
      <c r="E65" s="22">
        <v>483</v>
      </c>
      <c r="F65" s="22">
        <v>314</v>
      </c>
      <c r="G65" s="22">
        <v>142</v>
      </c>
      <c r="H65" s="22">
        <v>0</v>
      </c>
      <c r="I65" s="22">
        <v>23</v>
      </c>
      <c r="J65" s="22">
        <v>0</v>
      </c>
      <c r="K65" s="22">
        <v>4</v>
      </c>
      <c r="L65" s="22">
        <v>0</v>
      </c>
    </row>
    <row r="66" spans="1:12" s="21" customFormat="1" ht="12" customHeight="1" x14ac:dyDescent="0.2">
      <c r="A66" s="264" t="s">
        <v>64</v>
      </c>
      <c r="B66" s="264"/>
      <c r="C66" s="22">
        <v>2695</v>
      </c>
      <c r="D66" s="22">
        <v>2134</v>
      </c>
      <c r="E66" s="22">
        <v>561</v>
      </c>
      <c r="F66" s="22">
        <v>384</v>
      </c>
      <c r="G66" s="22">
        <v>166</v>
      </c>
      <c r="H66" s="22">
        <v>0</v>
      </c>
      <c r="I66" s="22">
        <v>0</v>
      </c>
      <c r="J66" s="22">
        <v>0</v>
      </c>
      <c r="K66" s="22">
        <v>11</v>
      </c>
      <c r="L66" s="22">
        <v>0</v>
      </c>
    </row>
    <row r="67" spans="1:12" s="21" customFormat="1" ht="12" customHeight="1" x14ac:dyDescent="0.2">
      <c r="A67" s="264" t="s">
        <v>65</v>
      </c>
      <c r="B67" s="264"/>
      <c r="C67" s="22">
        <v>4522</v>
      </c>
      <c r="D67" s="22">
        <v>3370</v>
      </c>
      <c r="E67" s="22">
        <v>1152</v>
      </c>
      <c r="F67" s="22">
        <v>758</v>
      </c>
      <c r="G67" s="22">
        <v>337</v>
      </c>
      <c r="H67" s="22">
        <v>2</v>
      </c>
      <c r="I67" s="22">
        <v>7</v>
      </c>
      <c r="J67" s="22">
        <v>2</v>
      </c>
      <c r="K67" s="22">
        <v>46</v>
      </c>
      <c r="L67" s="22">
        <v>0</v>
      </c>
    </row>
    <row r="68" spans="1:12" s="21" customFormat="1" ht="12" customHeight="1" x14ac:dyDescent="0.2">
      <c r="A68" s="266" t="s">
        <v>66</v>
      </c>
      <c r="B68" s="267"/>
      <c r="C68" s="209">
        <v>3491</v>
      </c>
      <c r="D68" s="209">
        <v>2358</v>
      </c>
      <c r="E68" s="209">
        <v>1133</v>
      </c>
      <c r="F68" s="209">
        <v>736</v>
      </c>
      <c r="G68" s="209">
        <v>291</v>
      </c>
      <c r="H68" s="209">
        <v>5</v>
      </c>
      <c r="I68" s="209">
        <v>11</v>
      </c>
      <c r="J68" s="209">
        <v>4</v>
      </c>
      <c r="K68" s="209">
        <v>86</v>
      </c>
      <c r="L68" s="209">
        <v>0</v>
      </c>
    </row>
    <row r="69" spans="1:12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s="21" customFormat="1" ht="12" customHeight="1" x14ac:dyDescent="0.2">
      <c r="A70" s="263" t="s">
        <v>67</v>
      </c>
      <c r="B70" s="263"/>
      <c r="C70" s="20">
        <v>154938</v>
      </c>
      <c r="D70" s="20">
        <v>103358</v>
      </c>
      <c r="E70" s="20">
        <v>51580</v>
      </c>
      <c r="F70" s="20">
        <v>32439</v>
      </c>
      <c r="G70" s="20">
        <v>16879</v>
      </c>
      <c r="H70" s="20">
        <v>333</v>
      </c>
      <c r="I70" s="20">
        <v>623</v>
      </c>
      <c r="J70" s="20">
        <v>114</v>
      </c>
      <c r="K70" s="20">
        <v>1165</v>
      </c>
      <c r="L70" s="20">
        <v>27</v>
      </c>
    </row>
    <row r="71" spans="1:12" s="21" customFormat="1" ht="12" customHeight="1" x14ac:dyDescent="0.2">
      <c r="A71" s="264" t="s">
        <v>68</v>
      </c>
      <c r="B71" s="264"/>
      <c r="C71" s="22">
        <v>4554</v>
      </c>
      <c r="D71" s="22">
        <v>3035</v>
      </c>
      <c r="E71" s="22">
        <v>1519</v>
      </c>
      <c r="F71" s="22">
        <v>1095</v>
      </c>
      <c r="G71" s="22">
        <v>368</v>
      </c>
      <c r="H71" s="22">
        <v>9</v>
      </c>
      <c r="I71" s="22">
        <v>13</v>
      </c>
      <c r="J71" s="22">
        <v>4</v>
      </c>
      <c r="K71" s="22">
        <v>30</v>
      </c>
      <c r="L71" s="22">
        <v>0</v>
      </c>
    </row>
    <row r="72" spans="1:12" s="21" customFormat="1" ht="12" customHeight="1" x14ac:dyDescent="0.2">
      <c r="A72" s="264" t="s">
        <v>69</v>
      </c>
      <c r="B72" s="264"/>
      <c r="C72" s="22">
        <v>1390</v>
      </c>
      <c r="D72" s="22">
        <v>1239</v>
      </c>
      <c r="E72" s="22">
        <v>151</v>
      </c>
      <c r="F72" s="22">
        <v>94</v>
      </c>
      <c r="G72" s="22">
        <v>43</v>
      </c>
      <c r="H72" s="22">
        <v>2</v>
      </c>
      <c r="I72" s="22">
        <v>0</v>
      </c>
      <c r="J72" s="22">
        <v>0</v>
      </c>
      <c r="K72" s="22">
        <v>12</v>
      </c>
      <c r="L72" s="22">
        <v>0</v>
      </c>
    </row>
    <row r="73" spans="1:12" s="21" customFormat="1" ht="12" customHeight="1" x14ac:dyDescent="0.2">
      <c r="A73" s="264" t="s">
        <v>70</v>
      </c>
      <c r="B73" s="264"/>
      <c r="C73" s="22">
        <v>351</v>
      </c>
      <c r="D73" s="22">
        <v>304</v>
      </c>
      <c r="E73" s="22">
        <v>47</v>
      </c>
      <c r="F73" s="22">
        <v>36</v>
      </c>
      <c r="G73" s="22">
        <v>11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</row>
    <row r="74" spans="1:12" s="21" customFormat="1" ht="12" customHeight="1" x14ac:dyDescent="0.2">
      <c r="A74" s="264" t="s">
        <v>71</v>
      </c>
      <c r="B74" s="264"/>
      <c r="C74" s="22">
        <v>938</v>
      </c>
      <c r="D74" s="22">
        <v>827</v>
      </c>
      <c r="E74" s="22">
        <v>111</v>
      </c>
      <c r="F74" s="22">
        <v>73</v>
      </c>
      <c r="G74" s="22">
        <v>37</v>
      </c>
      <c r="H74" s="22">
        <v>0</v>
      </c>
      <c r="I74" s="22">
        <v>1</v>
      </c>
      <c r="J74" s="22">
        <v>0</v>
      </c>
      <c r="K74" s="22">
        <v>0</v>
      </c>
      <c r="L74" s="22">
        <v>0</v>
      </c>
    </row>
    <row r="75" spans="1:12" s="21" customFormat="1" ht="12" customHeight="1" x14ac:dyDescent="0.2">
      <c r="A75" s="264" t="s">
        <v>72</v>
      </c>
      <c r="B75" s="264"/>
      <c r="C75" s="22">
        <v>313</v>
      </c>
      <c r="D75" s="22">
        <v>269</v>
      </c>
      <c r="E75" s="22">
        <v>44</v>
      </c>
      <c r="F75" s="22">
        <v>25</v>
      </c>
      <c r="G75" s="22">
        <v>13</v>
      </c>
      <c r="H75" s="22">
        <v>0</v>
      </c>
      <c r="I75" s="22">
        <v>0</v>
      </c>
      <c r="J75" s="22">
        <v>0</v>
      </c>
      <c r="K75" s="22">
        <v>6</v>
      </c>
      <c r="L75" s="22">
        <v>0</v>
      </c>
    </row>
    <row r="76" spans="1:12" s="21" customFormat="1" ht="12" customHeight="1" x14ac:dyDescent="0.2">
      <c r="A76" s="264" t="s">
        <v>73</v>
      </c>
      <c r="B76" s="264"/>
      <c r="C76" s="22">
        <v>1510</v>
      </c>
      <c r="D76" s="22">
        <v>1260</v>
      </c>
      <c r="E76" s="22">
        <v>250</v>
      </c>
      <c r="F76" s="22">
        <v>197</v>
      </c>
      <c r="G76" s="22">
        <v>50</v>
      </c>
      <c r="H76" s="22">
        <v>1</v>
      </c>
      <c r="I76" s="22">
        <v>1</v>
      </c>
      <c r="J76" s="22">
        <v>0</v>
      </c>
      <c r="K76" s="22">
        <v>1</v>
      </c>
      <c r="L76" s="22">
        <v>0</v>
      </c>
    </row>
    <row r="77" spans="1:12" s="21" customFormat="1" ht="12" customHeight="1" x14ac:dyDescent="0.2">
      <c r="A77" s="264" t="s">
        <v>74</v>
      </c>
      <c r="B77" s="264"/>
      <c r="C77" s="22">
        <v>619</v>
      </c>
      <c r="D77" s="22">
        <v>525</v>
      </c>
      <c r="E77" s="22">
        <v>94</v>
      </c>
      <c r="F77" s="22">
        <v>60</v>
      </c>
      <c r="G77" s="22">
        <v>33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</row>
    <row r="78" spans="1:12" s="21" customFormat="1" ht="12" customHeight="1" x14ac:dyDescent="0.2">
      <c r="A78" s="264" t="s">
        <v>75</v>
      </c>
      <c r="B78" s="264"/>
      <c r="C78" s="22">
        <v>2801</v>
      </c>
      <c r="D78" s="22">
        <v>2169</v>
      </c>
      <c r="E78" s="22">
        <v>632</v>
      </c>
      <c r="F78" s="22">
        <v>412</v>
      </c>
      <c r="G78" s="22">
        <v>204</v>
      </c>
      <c r="H78" s="22">
        <v>5</v>
      </c>
      <c r="I78" s="22">
        <v>4</v>
      </c>
      <c r="J78" s="22">
        <v>1</v>
      </c>
      <c r="K78" s="22">
        <v>6</v>
      </c>
      <c r="L78" s="22">
        <v>0</v>
      </c>
    </row>
    <row r="79" spans="1:12" s="21" customFormat="1" ht="12" customHeight="1" x14ac:dyDescent="0.2">
      <c r="A79" s="264" t="s">
        <v>77</v>
      </c>
      <c r="B79" s="264"/>
      <c r="C79" s="22">
        <v>930</v>
      </c>
      <c r="D79" s="22">
        <v>505</v>
      </c>
      <c r="E79" s="22">
        <v>425</v>
      </c>
      <c r="F79" s="22">
        <v>257</v>
      </c>
      <c r="G79" s="22">
        <v>159</v>
      </c>
      <c r="H79" s="22">
        <v>0</v>
      </c>
      <c r="I79" s="22">
        <v>0</v>
      </c>
      <c r="J79" s="22">
        <v>1</v>
      </c>
      <c r="K79" s="22">
        <v>8</v>
      </c>
      <c r="L79" s="22">
        <v>0</v>
      </c>
    </row>
    <row r="80" spans="1:12" s="21" customFormat="1" ht="12" customHeight="1" x14ac:dyDescent="0.2">
      <c r="A80" s="264" t="s">
        <v>79</v>
      </c>
      <c r="B80" s="264"/>
      <c r="C80" s="22">
        <v>474</v>
      </c>
      <c r="D80" s="22">
        <v>351</v>
      </c>
      <c r="E80" s="22">
        <v>123</v>
      </c>
      <c r="F80" s="22">
        <v>89</v>
      </c>
      <c r="G80" s="22">
        <v>34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</row>
    <row r="81" spans="1:12" s="21" customFormat="1" ht="12" customHeight="1" x14ac:dyDescent="0.2">
      <c r="A81" s="264" t="s">
        <v>80</v>
      </c>
      <c r="B81" s="264"/>
      <c r="C81" s="22">
        <v>790</v>
      </c>
      <c r="D81" s="22">
        <v>647</v>
      </c>
      <c r="E81" s="22">
        <v>143</v>
      </c>
      <c r="F81" s="22">
        <v>106</v>
      </c>
      <c r="G81" s="22">
        <v>22</v>
      </c>
      <c r="H81" s="22">
        <v>0</v>
      </c>
      <c r="I81" s="22">
        <v>1</v>
      </c>
      <c r="J81" s="22">
        <v>0</v>
      </c>
      <c r="K81" s="22">
        <v>14</v>
      </c>
      <c r="L81" s="22">
        <v>0</v>
      </c>
    </row>
    <row r="82" spans="1:12" s="21" customFormat="1" ht="12" customHeight="1" x14ac:dyDescent="0.2">
      <c r="A82" s="264" t="s">
        <v>81</v>
      </c>
      <c r="B82" s="264"/>
      <c r="C82" s="22">
        <v>1585</v>
      </c>
      <c r="D82" s="22">
        <v>1123</v>
      </c>
      <c r="E82" s="22">
        <v>462</v>
      </c>
      <c r="F82" s="22">
        <v>336</v>
      </c>
      <c r="G82" s="22">
        <v>90</v>
      </c>
      <c r="H82" s="22">
        <v>3</v>
      </c>
      <c r="I82" s="22">
        <v>9</v>
      </c>
      <c r="J82" s="22">
        <v>0</v>
      </c>
      <c r="K82" s="22">
        <v>24</v>
      </c>
      <c r="L82" s="22">
        <v>0</v>
      </c>
    </row>
    <row r="83" spans="1:12" s="21" customFormat="1" ht="12" customHeight="1" x14ac:dyDescent="0.2">
      <c r="A83" s="264" t="s">
        <v>84</v>
      </c>
      <c r="B83" s="264"/>
      <c r="C83" s="22">
        <v>2404</v>
      </c>
      <c r="D83" s="22">
        <v>1693</v>
      </c>
      <c r="E83" s="22">
        <v>711</v>
      </c>
      <c r="F83" s="22">
        <v>449</v>
      </c>
      <c r="G83" s="22">
        <v>211</v>
      </c>
      <c r="H83" s="22">
        <v>2</v>
      </c>
      <c r="I83" s="22">
        <v>9</v>
      </c>
      <c r="J83" s="22">
        <v>2</v>
      </c>
      <c r="K83" s="22">
        <v>38</v>
      </c>
      <c r="L83" s="22">
        <v>0</v>
      </c>
    </row>
    <row r="84" spans="1:12" s="21" customFormat="1" ht="12" customHeight="1" x14ac:dyDescent="0.2">
      <c r="A84" s="264" t="s">
        <v>85</v>
      </c>
      <c r="B84" s="264"/>
      <c r="C84" s="22">
        <v>6717</v>
      </c>
      <c r="D84" s="22">
        <v>5961</v>
      </c>
      <c r="E84" s="22">
        <v>756</v>
      </c>
      <c r="F84" s="22">
        <v>546</v>
      </c>
      <c r="G84" s="22">
        <v>196</v>
      </c>
      <c r="H84" s="22">
        <v>1</v>
      </c>
      <c r="I84" s="22">
        <v>2</v>
      </c>
      <c r="J84" s="22">
        <v>0</v>
      </c>
      <c r="K84" s="22">
        <v>11</v>
      </c>
      <c r="L84" s="22">
        <v>0</v>
      </c>
    </row>
    <row r="85" spans="1:12" s="21" customFormat="1" ht="12" customHeight="1" x14ac:dyDescent="0.2">
      <c r="A85" s="264" t="s">
        <v>88</v>
      </c>
      <c r="B85" s="264"/>
      <c r="C85" s="22">
        <v>4400</v>
      </c>
      <c r="D85" s="22">
        <v>3048</v>
      </c>
      <c r="E85" s="22">
        <v>1352</v>
      </c>
      <c r="F85" s="22">
        <v>967</v>
      </c>
      <c r="G85" s="22">
        <v>326</v>
      </c>
      <c r="H85" s="22">
        <v>3</v>
      </c>
      <c r="I85" s="22">
        <v>16</v>
      </c>
      <c r="J85" s="22">
        <v>0</v>
      </c>
      <c r="K85" s="22">
        <v>40</v>
      </c>
      <c r="L85" s="22">
        <v>0</v>
      </c>
    </row>
    <row r="86" spans="1:12" s="21" customFormat="1" ht="12" customHeight="1" x14ac:dyDescent="0.2">
      <c r="A86" s="264" t="s">
        <v>91</v>
      </c>
      <c r="B86" s="264"/>
      <c r="C86" s="22">
        <v>4903</v>
      </c>
      <c r="D86" s="22">
        <v>3159</v>
      </c>
      <c r="E86" s="22">
        <v>1744</v>
      </c>
      <c r="F86" s="22">
        <v>1028</v>
      </c>
      <c r="G86" s="22">
        <v>665</v>
      </c>
      <c r="H86" s="22">
        <v>17</v>
      </c>
      <c r="I86" s="22">
        <v>0</v>
      </c>
      <c r="J86" s="22">
        <v>3</v>
      </c>
      <c r="K86" s="22">
        <v>31</v>
      </c>
      <c r="L86" s="22">
        <v>0</v>
      </c>
    </row>
    <row r="87" spans="1:12" s="21" customFormat="1" ht="12" customHeight="1" x14ac:dyDescent="0.2">
      <c r="A87" s="264" t="s">
        <v>92</v>
      </c>
      <c r="B87" s="264"/>
      <c r="C87" s="22">
        <v>2186</v>
      </c>
      <c r="D87" s="22">
        <v>1901</v>
      </c>
      <c r="E87" s="22">
        <v>285</v>
      </c>
      <c r="F87" s="22">
        <v>209</v>
      </c>
      <c r="G87" s="22">
        <v>71</v>
      </c>
      <c r="H87" s="22">
        <v>1</v>
      </c>
      <c r="I87" s="22">
        <v>0</v>
      </c>
      <c r="J87" s="22">
        <v>0</v>
      </c>
      <c r="K87" s="22">
        <v>4</v>
      </c>
      <c r="L87" s="22">
        <v>0</v>
      </c>
    </row>
    <row r="88" spans="1:12" s="21" customFormat="1" ht="12" customHeight="1" x14ac:dyDescent="0.2">
      <c r="A88" s="264" t="s">
        <v>94</v>
      </c>
      <c r="B88" s="264"/>
      <c r="C88" s="22">
        <v>1483</v>
      </c>
      <c r="D88" s="22">
        <v>1204</v>
      </c>
      <c r="E88" s="22">
        <v>279</v>
      </c>
      <c r="F88" s="22">
        <v>181</v>
      </c>
      <c r="G88" s="22">
        <v>81</v>
      </c>
      <c r="H88" s="22">
        <v>3</v>
      </c>
      <c r="I88" s="22">
        <v>1</v>
      </c>
      <c r="J88" s="22">
        <v>0</v>
      </c>
      <c r="K88" s="22">
        <v>13</v>
      </c>
      <c r="L88" s="22">
        <v>0</v>
      </c>
    </row>
    <row r="89" spans="1:12" s="21" customFormat="1" ht="12" customHeight="1" x14ac:dyDescent="0.2">
      <c r="A89" s="264" t="s">
        <v>95</v>
      </c>
      <c r="B89" s="264"/>
      <c r="C89" s="22">
        <v>587</v>
      </c>
      <c r="D89" s="22">
        <v>491</v>
      </c>
      <c r="E89" s="22">
        <v>96</v>
      </c>
      <c r="F89" s="22">
        <v>70</v>
      </c>
      <c r="G89" s="22">
        <v>26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</row>
    <row r="90" spans="1:12" s="21" customFormat="1" ht="12" customHeight="1" x14ac:dyDescent="0.2">
      <c r="A90" s="264" t="s">
        <v>96</v>
      </c>
      <c r="B90" s="264"/>
      <c r="C90" s="22">
        <v>468</v>
      </c>
      <c r="D90" s="22">
        <v>312</v>
      </c>
      <c r="E90" s="22">
        <v>156</v>
      </c>
      <c r="F90" s="22">
        <v>114</v>
      </c>
      <c r="G90" s="22">
        <v>39</v>
      </c>
      <c r="H90" s="22">
        <v>0</v>
      </c>
      <c r="I90" s="22">
        <v>3</v>
      </c>
      <c r="J90" s="22">
        <v>0</v>
      </c>
      <c r="K90" s="22">
        <v>0</v>
      </c>
      <c r="L90" s="22">
        <v>0</v>
      </c>
    </row>
    <row r="91" spans="1:12" s="21" customFormat="1" ht="12" customHeight="1" x14ac:dyDescent="0.2">
      <c r="A91" s="264" t="s">
        <v>97</v>
      </c>
      <c r="B91" s="264"/>
      <c r="C91" s="22">
        <v>1398</v>
      </c>
      <c r="D91" s="22">
        <v>1079</v>
      </c>
      <c r="E91" s="22">
        <v>319</v>
      </c>
      <c r="F91" s="22">
        <v>255</v>
      </c>
      <c r="G91" s="22">
        <v>59</v>
      </c>
      <c r="H91" s="22">
        <v>0</v>
      </c>
      <c r="I91" s="22">
        <v>0</v>
      </c>
      <c r="J91" s="22">
        <v>0</v>
      </c>
      <c r="K91" s="22">
        <v>5</v>
      </c>
      <c r="L91" s="22">
        <v>0</v>
      </c>
    </row>
    <row r="92" spans="1:12" s="21" customFormat="1" ht="12" customHeight="1" x14ac:dyDescent="0.2">
      <c r="A92" s="264" t="s">
        <v>98</v>
      </c>
      <c r="B92" s="264"/>
      <c r="C92" s="22">
        <v>1757</v>
      </c>
      <c r="D92" s="22">
        <v>1131</v>
      </c>
      <c r="E92" s="22">
        <v>626</v>
      </c>
      <c r="F92" s="22">
        <v>478</v>
      </c>
      <c r="G92" s="22">
        <v>123</v>
      </c>
      <c r="H92" s="22">
        <v>0</v>
      </c>
      <c r="I92" s="22">
        <v>3</v>
      </c>
      <c r="J92" s="22">
        <v>0</v>
      </c>
      <c r="K92" s="22">
        <v>22</v>
      </c>
      <c r="L92" s="22">
        <v>0</v>
      </c>
    </row>
    <row r="93" spans="1:12" s="21" customFormat="1" ht="12" customHeight="1" x14ac:dyDescent="0.2">
      <c r="A93" s="264" t="s">
        <v>99</v>
      </c>
      <c r="B93" s="264"/>
      <c r="C93" s="22">
        <v>63629</v>
      </c>
      <c r="D93" s="22">
        <v>37986</v>
      </c>
      <c r="E93" s="22">
        <v>25643</v>
      </c>
      <c r="F93" s="22">
        <v>15466</v>
      </c>
      <c r="G93" s="22">
        <v>9022</v>
      </c>
      <c r="H93" s="22">
        <v>175</v>
      </c>
      <c r="I93" s="22">
        <v>327</v>
      </c>
      <c r="J93" s="22">
        <v>74</v>
      </c>
      <c r="K93" s="22">
        <v>559</v>
      </c>
      <c r="L93" s="22">
        <v>20</v>
      </c>
    </row>
    <row r="94" spans="1:12" s="21" customFormat="1" ht="12" customHeight="1" x14ac:dyDescent="0.2">
      <c r="A94" s="264" t="s">
        <v>100</v>
      </c>
      <c r="B94" s="264"/>
      <c r="C94" s="22">
        <v>1622</v>
      </c>
      <c r="D94" s="22">
        <v>1222</v>
      </c>
      <c r="E94" s="22">
        <v>400</v>
      </c>
      <c r="F94" s="22">
        <v>286</v>
      </c>
      <c r="G94" s="22">
        <v>98</v>
      </c>
      <c r="H94" s="22">
        <v>2</v>
      </c>
      <c r="I94" s="22">
        <v>1</v>
      </c>
      <c r="J94" s="22">
        <v>0</v>
      </c>
      <c r="K94" s="22">
        <v>13</v>
      </c>
      <c r="L94" s="22">
        <v>0</v>
      </c>
    </row>
    <row r="95" spans="1:12" s="21" customFormat="1" ht="12" customHeight="1" x14ac:dyDescent="0.2">
      <c r="A95" s="264" t="s">
        <v>101</v>
      </c>
      <c r="B95" s="264"/>
      <c r="C95" s="22">
        <v>1373</v>
      </c>
      <c r="D95" s="22">
        <v>1071</v>
      </c>
      <c r="E95" s="22">
        <v>302</v>
      </c>
      <c r="F95" s="22">
        <v>212</v>
      </c>
      <c r="G95" s="22">
        <v>83</v>
      </c>
      <c r="H95" s="22">
        <v>2</v>
      </c>
      <c r="I95" s="22">
        <v>3</v>
      </c>
      <c r="J95" s="22">
        <v>0</v>
      </c>
      <c r="K95" s="22">
        <v>2</v>
      </c>
      <c r="L95" s="22">
        <v>0</v>
      </c>
    </row>
    <row r="96" spans="1:12" s="21" customFormat="1" ht="12" customHeight="1" x14ac:dyDescent="0.2">
      <c r="A96" s="264" t="s">
        <v>103</v>
      </c>
      <c r="B96" s="264"/>
      <c r="C96" s="22">
        <v>6799</v>
      </c>
      <c r="D96" s="22">
        <v>3661</v>
      </c>
      <c r="E96" s="22">
        <v>3138</v>
      </c>
      <c r="F96" s="22">
        <v>1828</v>
      </c>
      <c r="G96" s="22">
        <v>1110</v>
      </c>
      <c r="H96" s="22">
        <v>24</v>
      </c>
      <c r="I96" s="22">
        <v>93</v>
      </c>
      <c r="J96" s="22">
        <v>5</v>
      </c>
      <c r="K96" s="22">
        <v>73</v>
      </c>
      <c r="L96" s="22">
        <v>5</v>
      </c>
    </row>
    <row r="97" spans="1:12" s="21" customFormat="1" ht="12" customHeight="1" x14ac:dyDescent="0.2">
      <c r="A97" s="264" t="s">
        <v>105</v>
      </c>
      <c r="B97" s="264"/>
      <c r="C97" s="22">
        <v>1785</v>
      </c>
      <c r="D97" s="22">
        <v>1110</v>
      </c>
      <c r="E97" s="22">
        <v>675</v>
      </c>
      <c r="F97" s="22">
        <v>452</v>
      </c>
      <c r="G97" s="22">
        <v>203</v>
      </c>
      <c r="H97" s="22">
        <v>3</v>
      </c>
      <c r="I97" s="22">
        <v>3</v>
      </c>
      <c r="J97" s="22">
        <v>0</v>
      </c>
      <c r="K97" s="22">
        <v>14</v>
      </c>
      <c r="L97" s="22">
        <v>0</v>
      </c>
    </row>
    <row r="98" spans="1:12" s="21" customFormat="1" ht="12" customHeight="1" x14ac:dyDescent="0.2">
      <c r="A98" s="264" t="s">
        <v>106</v>
      </c>
      <c r="B98" s="264"/>
      <c r="C98" s="22">
        <v>1389</v>
      </c>
      <c r="D98" s="22">
        <v>1172</v>
      </c>
      <c r="E98" s="22">
        <v>217</v>
      </c>
      <c r="F98" s="22">
        <v>163</v>
      </c>
      <c r="G98" s="22">
        <v>53</v>
      </c>
      <c r="H98" s="22">
        <v>1</v>
      </c>
      <c r="I98" s="22">
        <v>0</v>
      </c>
      <c r="J98" s="22">
        <v>0</v>
      </c>
      <c r="K98" s="22">
        <v>0</v>
      </c>
      <c r="L98" s="22">
        <v>0</v>
      </c>
    </row>
    <row r="99" spans="1:12" s="21" customFormat="1" ht="12" customHeight="1" x14ac:dyDescent="0.2">
      <c r="A99" s="264" t="s">
        <v>107</v>
      </c>
      <c r="B99" s="264"/>
      <c r="C99" s="22">
        <v>293</v>
      </c>
      <c r="D99" s="22">
        <v>253</v>
      </c>
      <c r="E99" s="22">
        <v>40</v>
      </c>
      <c r="F99" s="22">
        <v>31</v>
      </c>
      <c r="G99" s="22">
        <v>9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</row>
    <row r="100" spans="1:12" s="21" customFormat="1" ht="12" customHeight="1" x14ac:dyDescent="0.2">
      <c r="A100" s="264" t="s">
        <v>336</v>
      </c>
      <c r="B100" s="264"/>
      <c r="C100" s="22">
        <v>4729</v>
      </c>
      <c r="D100" s="22">
        <v>3827</v>
      </c>
      <c r="E100" s="22">
        <v>902</v>
      </c>
      <c r="F100" s="22">
        <v>674</v>
      </c>
      <c r="G100" s="22">
        <v>206</v>
      </c>
      <c r="H100" s="22">
        <v>9</v>
      </c>
      <c r="I100" s="22">
        <v>2</v>
      </c>
      <c r="J100" s="22">
        <v>0</v>
      </c>
      <c r="K100" s="22">
        <v>11</v>
      </c>
      <c r="L100" s="22">
        <v>0</v>
      </c>
    </row>
    <row r="101" spans="1:12" s="21" customFormat="1" ht="12" customHeight="1" x14ac:dyDescent="0.2">
      <c r="A101" s="264" t="s">
        <v>109</v>
      </c>
      <c r="B101" s="264"/>
      <c r="C101" s="22">
        <v>713</v>
      </c>
      <c r="D101" s="22">
        <v>412</v>
      </c>
      <c r="E101" s="22">
        <v>301</v>
      </c>
      <c r="F101" s="22">
        <v>200</v>
      </c>
      <c r="G101" s="22">
        <v>92</v>
      </c>
      <c r="H101" s="22">
        <v>2</v>
      </c>
      <c r="I101" s="22">
        <v>0</v>
      </c>
      <c r="J101" s="22">
        <v>0</v>
      </c>
      <c r="K101" s="22">
        <v>7</v>
      </c>
      <c r="L101" s="22">
        <v>0</v>
      </c>
    </row>
    <row r="102" spans="1:12" s="21" customFormat="1" ht="12" customHeight="1" x14ac:dyDescent="0.2">
      <c r="A102" s="264" t="s">
        <v>110</v>
      </c>
      <c r="B102" s="264"/>
      <c r="C102" s="22">
        <v>805</v>
      </c>
      <c r="D102" s="22">
        <v>632</v>
      </c>
      <c r="E102" s="22">
        <v>173</v>
      </c>
      <c r="F102" s="22">
        <v>119</v>
      </c>
      <c r="G102" s="22">
        <v>53</v>
      </c>
      <c r="H102" s="22">
        <v>1</v>
      </c>
      <c r="I102" s="22">
        <v>0</v>
      </c>
      <c r="J102" s="22">
        <v>0</v>
      </c>
      <c r="K102" s="22">
        <v>0</v>
      </c>
      <c r="L102" s="22">
        <v>0</v>
      </c>
    </row>
    <row r="103" spans="1:12" s="21" customFormat="1" ht="12" customHeight="1" x14ac:dyDescent="0.2">
      <c r="A103" s="264" t="s">
        <v>111</v>
      </c>
      <c r="B103" s="264"/>
      <c r="C103" s="22">
        <v>328</v>
      </c>
      <c r="D103" s="22">
        <v>275</v>
      </c>
      <c r="E103" s="22">
        <v>53</v>
      </c>
      <c r="F103" s="22">
        <v>37</v>
      </c>
      <c r="G103" s="22">
        <v>16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</row>
    <row r="104" spans="1:12" s="21" customFormat="1" ht="12" customHeight="1" x14ac:dyDescent="0.2">
      <c r="A104" s="264" t="s">
        <v>112</v>
      </c>
      <c r="B104" s="264"/>
      <c r="C104" s="22">
        <v>850</v>
      </c>
      <c r="D104" s="22">
        <v>730</v>
      </c>
      <c r="E104" s="22">
        <v>120</v>
      </c>
      <c r="F104" s="22">
        <v>69</v>
      </c>
      <c r="G104" s="22">
        <v>44</v>
      </c>
      <c r="H104" s="22">
        <v>0</v>
      </c>
      <c r="I104" s="22">
        <v>1</v>
      </c>
      <c r="J104" s="22">
        <v>4</v>
      </c>
      <c r="K104" s="22">
        <v>2</v>
      </c>
      <c r="L104" s="22">
        <v>0</v>
      </c>
    </row>
    <row r="105" spans="1:12" s="21" customFormat="1" ht="12" customHeight="1" x14ac:dyDescent="0.2">
      <c r="A105" s="264" t="s">
        <v>113</v>
      </c>
      <c r="B105" s="264"/>
      <c r="C105" s="22">
        <v>1526</v>
      </c>
      <c r="D105" s="22">
        <v>1262</v>
      </c>
      <c r="E105" s="22">
        <v>264</v>
      </c>
      <c r="F105" s="22">
        <v>193</v>
      </c>
      <c r="G105" s="22">
        <v>60</v>
      </c>
      <c r="H105" s="22">
        <v>6</v>
      </c>
      <c r="I105" s="22">
        <v>0</v>
      </c>
      <c r="J105" s="22">
        <v>0</v>
      </c>
      <c r="K105" s="22">
        <v>5</v>
      </c>
      <c r="L105" s="22">
        <v>0</v>
      </c>
    </row>
    <row r="106" spans="1:12" s="21" customFormat="1" ht="12" customHeight="1" x14ac:dyDescent="0.2">
      <c r="A106" s="264" t="s">
        <v>114</v>
      </c>
      <c r="B106" s="264"/>
      <c r="C106" s="22">
        <v>4853</v>
      </c>
      <c r="D106" s="22">
        <v>1866</v>
      </c>
      <c r="E106" s="22">
        <v>2987</v>
      </c>
      <c r="F106" s="22">
        <v>1676</v>
      </c>
      <c r="G106" s="22">
        <v>1124</v>
      </c>
      <c r="H106" s="22">
        <v>17</v>
      </c>
      <c r="I106" s="22">
        <v>95</v>
      </c>
      <c r="J106" s="22">
        <v>6</v>
      </c>
      <c r="K106" s="22">
        <v>69</v>
      </c>
      <c r="L106" s="22">
        <v>0</v>
      </c>
    </row>
    <row r="107" spans="1:12" s="21" customFormat="1" ht="12" customHeight="1" x14ac:dyDescent="0.2">
      <c r="A107" s="264" t="s">
        <v>115</v>
      </c>
      <c r="B107" s="264"/>
      <c r="C107" s="22">
        <v>1958</v>
      </c>
      <c r="D107" s="22">
        <v>1629</v>
      </c>
      <c r="E107" s="22">
        <v>329</v>
      </c>
      <c r="F107" s="22">
        <v>221</v>
      </c>
      <c r="G107" s="22">
        <v>104</v>
      </c>
      <c r="H107" s="22">
        <v>0</v>
      </c>
      <c r="I107" s="22">
        <v>0</v>
      </c>
      <c r="J107" s="22">
        <v>0</v>
      </c>
      <c r="K107" s="22">
        <v>4</v>
      </c>
      <c r="L107" s="22">
        <v>0</v>
      </c>
    </row>
    <row r="108" spans="1:12" s="21" customFormat="1" ht="12" customHeight="1" x14ac:dyDescent="0.2">
      <c r="A108" s="264" t="s">
        <v>117</v>
      </c>
      <c r="B108" s="264"/>
      <c r="C108" s="22">
        <v>1717</v>
      </c>
      <c r="D108" s="22">
        <v>1243</v>
      </c>
      <c r="E108" s="22">
        <v>474</v>
      </c>
      <c r="F108" s="22">
        <v>291</v>
      </c>
      <c r="G108" s="22">
        <v>149</v>
      </c>
      <c r="H108" s="22">
        <v>7</v>
      </c>
      <c r="I108" s="22">
        <v>0</v>
      </c>
      <c r="J108" s="22">
        <v>2</v>
      </c>
      <c r="K108" s="22">
        <v>25</v>
      </c>
      <c r="L108" s="22">
        <v>0</v>
      </c>
    </row>
    <row r="109" spans="1:12" s="21" customFormat="1" ht="12" customHeight="1" x14ac:dyDescent="0.2">
      <c r="A109" s="264" t="s">
        <v>118</v>
      </c>
      <c r="B109" s="264"/>
      <c r="C109" s="22">
        <v>1355</v>
      </c>
      <c r="D109" s="22">
        <v>1059</v>
      </c>
      <c r="E109" s="22">
        <v>296</v>
      </c>
      <c r="F109" s="22">
        <v>199</v>
      </c>
      <c r="G109" s="22">
        <v>87</v>
      </c>
      <c r="H109" s="22">
        <v>2</v>
      </c>
      <c r="I109" s="22">
        <v>0</v>
      </c>
      <c r="J109" s="22">
        <v>0</v>
      </c>
      <c r="K109" s="22">
        <v>8</v>
      </c>
      <c r="L109" s="22">
        <v>0</v>
      </c>
    </row>
    <row r="110" spans="1:12" s="21" customFormat="1" ht="12" customHeight="1" x14ac:dyDescent="0.2">
      <c r="A110" s="264" t="s">
        <v>121</v>
      </c>
      <c r="B110" s="264"/>
      <c r="C110" s="22">
        <v>2276</v>
      </c>
      <c r="D110" s="22">
        <v>1522</v>
      </c>
      <c r="E110" s="22">
        <v>754</v>
      </c>
      <c r="F110" s="22">
        <v>532</v>
      </c>
      <c r="G110" s="22">
        <v>194</v>
      </c>
      <c r="H110" s="22">
        <v>9</v>
      </c>
      <c r="I110" s="22">
        <v>1</v>
      </c>
      <c r="J110" s="22">
        <v>0</v>
      </c>
      <c r="K110" s="22">
        <v>18</v>
      </c>
      <c r="L110" s="22">
        <v>0</v>
      </c>
    </row>
    <row r="111" spans="1:12" s="21" customFormat="1" ht="12" customHeight="1" x14ac:dyDescent="0.2">
      <c r="A111" s="264" t="s">
        <v>125</v>
      </c>
      <c r="B111" s="264"/>
      <c r="C111" s="22">
        <v>2183</v>
      </c>
      <c r="D111" s="22">
        <v>1349</v>
      </c>
      <c r="E111" s="22">
        <v>834</v>
      </c>
      <c r="F111" s="22">
        <v>400</v>
      </c>
      <c r="G111" s="22">
        <v>414</v>
      </c>
      <c r="H111" s="22">
        <v>2</v>
      </c>
      <c r="I111" s="22">
        <v>1</v>
      </c>
      <c r="J111" s="22">
        <v>3</v>
      </c>
      <c r="K111" s="22">
        <v>12</v>
      </c>
      <c r="L111" s="22">
        <v>2</v>
      </c>
    </row>
    <row r="112" spans="1:12" s="21" customFormat="1" ht="12" customHeight="1" x14ac:dyDescent="0.2">
      <c r="A112" s="264" t="s">
        <v>126</v>
      </c>
      <c r="B112" s="264"/>
      <c r="C112" s="22">
        <v>3087</v>
      </c>
      <c r="D112" s="22">
        <v>2261</v>
      </c>
      <c r="E112" s="22">
        <v>826</v>
      </c>
      <c r="F112" s="22">
        <v>616</v>
      </c>
      <c r="G112" s="22">
        <v>183</v>
      </c>
      <c r="H112" s="22">
        <v>4</v>
      </c>
      <c r="I112" s="22">
        <v>13</v>
      </c>
      <c r="J112" s="22">
        <v>1</v>
      </c>
      <c r="K112" s="22">
        <v>9</v>
      </c>
      <c r="L112" s="22">
        <v>0</v>
      </c>
    </row>
    <row r="113" spans="1:12" s="21" customFormat="1" ht="12" customHeight="1" x14ac:dyDescent="0.2">
      <c r="A113" s="264" t="s">
        <v>389</v>
      </c>
      <c r="B113" s="268"/>
      <c r="C113" s="22">
        <v>3126</v>
      </c>
      <c r="D113" s="22">
        <v>2345</v>
      </c>
      <c r="E113" s="22">
        <v>781</v>
      </c>
      <c r="F113" s="22">
        <v>499</v>
      </c>
      <c r="G113" s="22">
        <v>255</v>
      </c>
      <c r="H113" s="22">
        <v>3</v>
      </c>
      <c r="I113" s="22">
        <v>4</v>
      </c>
      <c r="J113" s="22">
        <v>1</v>
      </c>
      <c r="K113" s="22">
        <v>19</v>
      </c>
      <c r="L113" s="22">
        <v>0</v>
      </c>
    </row>
    <row r="114" spans="1:12" s="21" customFormat="1" ht="12" customHeight="1" x14ac:dyDescent="0.2">
      <c r="A114" s="264" t="s">
        <v>393</v>
      </c>
      <c r="B114" s="268"/>
      <c r="C114" s="22">
        <v>3005</v>
      </c>
      <c r="D114" s="22">
        <v>2091</v>
      </c>
      <c r="E114" s="22">
        <v>914</v>
      </c>
      <c r="F114" s="22">
        <v>617</v>
      </c>
      <c r="G114" s="22">
        <v>247</v>
      </c>
      <c r="H114" s="22">
        <v>6</v>
      </c>
      <c r="I114" s="22">
        <v>4</v>
      </c>
      <c r="J114" s="22">
        <v>4</v>
      </c>
      <c r="K114" s="22">
        <v>36</v>
      </c>
      <c r="L114" s="22">
        <v>0</v>
      </c>
    </row>
    <row r="115" spans="1:12" s="21" customFormat="1" ht="12" customHeight="1" x14ac:dyDescent="0.2">
      <c r="A115" s="264" t="s">
        <v>128</v>
      </c>
      <c r="B115" s="264"/>
      <c r="C115" s="22">
        <v>613</v>
      </c>
      <c r="D115" s="22">
        <v>493</v>
      </c>
      <c r="E115" s="22">
        <v>120</v>
      </c>
      <c r="F115" s="22">
        <v>68</v>
      </c>
      <c r="G115" s="22">
        <v>47</v>
      </c>
      <c r="H115" s="22">
        <v>1</v>
      </c>
      <c r="I115" s="22">
        <v>0</v>
      </c>
      <c r="J115" s="22">
        <v>0</v>
      </c>
      <c r="K115" s="22">
        <v>4</v>
      </c>
      <c r="L115" s="22">
        <v>0</v>
      </c>
    </row>
    <row r="116" spans="1:12" s="21" customFormat="1" ht="12" customHeight="1" x14ac:dyDescent="0.2">
      <c r="A116" s="264" t="s">
        <v>129</v>
      </c>
      <c r="B116" s="264"/>
      <c r="C116" s="22">
        <v>1958</v>
      </c>
      <c r="D116" s="22">
        <v>1427</v>
      </c>
      <c r="E116" s="22">
        <v>531</v>
      </c>
      <c r="F116" s="22">
        <v>397</v>
      </c>
      <c r="G116" s="22">
        <v>110</v>
      </c>
      <c r="H116" s="22">
        <v>4</v>
      </c>
      <c r="I116" s="22">
        <v>12</v>
      </c>
      <c r="J116" s="22">
        <v>3</v>
      </c>
      <c r="K116" s="22">
        <v>5</v>
      </c>
      <c r="L116" s="22">
        <v>0</v>
      </c>
    </row>
    <row r="117" spans="1:12" s="21" customFormat="1" ht="12" customHeight="1" x14ac:dyDescent="0.2">
      <c r="A117" s="266" t="s">
        <v>130</v>
      </c>
      <c r="B117" s="266"/>
      <c r="C117" s="209">
        <v>408</v>
      </c>
      <c r="D117" s="209">
        <v>227</v>
      </c>
      <c r="E117" s="209">
        <v>181</v>
      </c>
      <c r="F117" s="209">
        <v>116</v>
      </c>
      <c r="G117" s="209">
        <v>55</v>
      </c>
      <c r="H117" s="209">
        <v>5</v>
      </c>
      <c r="I117" s="209">
        <v>0</v>
      </c>
      <c r="J117" s="209">
        <v>0</v>
      </c>
      <c r="K117" s="209">
        <v>5</v>
      </c>
      <c r="L117" s="209">
        <v>0</v>
      </c>
    </row>
    <row r="118" spans="1:12" s="21" customFormat="1" ht="12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s="21" customFormat="1" ht="12" customHeight="1" x14ac:dyDescent="0.2">
      <c r="A119" s="263" t="s">
        <v>131</v>
      </c>
      <c r="B119" s="263"/>
      <c r="C119" s="20">
        <v>64334</v>
      </c>
      <c r="D119" s="20">
        <v>47540</v>
      </c>
      <c r="E119" s="20">
        <v>16794</v>
      </c>
      <c r="F119" s="20">
        <v>11198</v>
      </c>
      <c r="G119" s="20">
        <v>4878</v>
      </c>
      <c r="H119" s="20">
        <v>110</v>
      </c>
      <c r="I119" s="20">
        <v>265</v>
      </c>
      <c r="J119" s="20">
        <v>104</v>
      </c>
      <c r="K119" s="20">
        <v>239</v>
      </c>
      <c r="L119" s="20">
        <v>0</v>
      </c>
    </row>
    <row r="120" spans="1:12" s="21" customFormat="1" ht="12" customHeight="1" x14ac:dyDescent="0.2">
      <c r="A120" s="264" t="s">
        <v>132</v>
      </c>
      <c r="B120" s="264"/>
      <c r="C120" s="22">
        <v>5322</v>
      </c>
      <c r="D120" s="22">
        <v>3857</v>
      </c>
      <c r="E120" s="22">
        <v>1465</v>
      </c>
      <c r="F120" s="22">
        <v>1031</v>
      </c>
      <c r="G120" s="22">
        <v>414</v>
      </c>
      <c r="H120" s="22">
        <v>5</v>
      </c>
      <c r="I120" s="22">
        <v>3</v>
      </c>
      <c r="J120" s="22">
        <v>1</v>
      </c>
      <c r="K120" s="22">
        <v>11</v>
      </c>
      <c r="L120" s="22">
        <v>0</v>
      </c>
    </row>
    <row r="121" spans="1:12" s="21" customFormat="1" ht="12" customHeight="1" x14ac:dyDescent="0.2">
      <c r="A121" s="264" t="s">
        <v>134</v>
      </c>
      <c r="B121" s="264"/>
      <c r="C121" s="22">
        <v>436</v>
      </c>
      <c r="D121" s="22">
        <v>349</v>
      </c>
      <c r="E121" s="22">
        <v>87</v>
      </c>
      <c r="F121" s="22">
        <v>64</v>
      </c>
      <c r="G121" s="22">
        <v>21</v>
      </c>
      <c r="H121" s="22">
        <v>1</v>
      </c>
      <c r="I121" s="22">
        <v>0</v>
      </c>
      <c r="J121" s="22">
        <v>0</v>
      </c>
      <c r="K121" s="22">
        <v>1</v>
      </c>
      <c r="L121" s="22">
        <v>0</v>
      </c>
    </row>
    <row r="122" spans="1:12" s="21" customFormat="1" ht="12" customHeight="1" x14ac:dyDescent="0.2">
      <c r="A122" s="264" t="s">
        <v>135</v>
      </c>
      <c r="B122" s="264"/>
      <c r="C122" s="22">
        <v>1619</v>
      </c>
      <c r="D122" s="22">
        <v>1221</v>
      </c>
      <c r="E122" s="22">
        <v>398</v>
      </c>
      <c r="F122" s="22">
        <v>232</v>
      </c>
      <c r="G122" s="22">
        <v>147</v>
      </c>
      <c r="H122" s="22">
        <v>4</v>
      </c>
      <c r="I122" s="22">
        <v>2</v>
      </c>
      <c r="J122" s="22">
        <v>0</v>
      </c>
      <c r="K122" s="22">
        <v>13</v>
      </c>
      <c r="L122" s="22">
        <v>0</v>
      </c>
    </row>
    <row r="123" spans="1:12" s="21" customFormat="1" ht="12" customHeight="1" x14ac:dyDescent="0.2">
      <c r="A123" s="264" t="s">
        <v>138</v>
      </c>
      <c r="B123" s="264"/>
      <c r="C123" s="22">
        <v>1070</v>
      </c>
      <c r="D123" s="22">
        <v>954</v>
      </c>
      <c r="E123" s="22">
        <v>116</v>
      </c>
      <c r="F123" s="22">
        <v>75</v>
      </c>
      <c r="G123" s="22">
        <v>31</v>
      </c>
      <c r="H123" s="22">
        <v>0</v>
      </c>
      <c r="I123" s="22">
        <v>0</v>
      </c>
      <c r="J123" s="22">
        <v>0</v>
      </c>
      <c r="K123" s="22">
        <v>10</v>
      </c>
      <c r="L123" s="22">
        <v>0</v>
      </c>
    </row>
    <row r="124" spans="1:12" s="21" customFormat="1" ht="12" customHeight="1" x14ac:dyDescent="0.2">
      <c r="A124" s="264" t="s">
        <v>141</v>
      </c>
      <c r="B124" s="264"/>
      <c r="C124" s="22">
        <v>2858</v>
      </c>
      <c r="D124" s="22">
        <v>2413</v>
      </c>
      <c r="E124" s="22">
        <v>445</v>
      </c>
      <c r="F124" s="22">
        <v>336</v>
      </c>
      <c r="G124" s="22">
        <v>95</v>
      </c>
      <c r="H124" s="22">
        <v>0</v>
      </c>
      <c r="I124" s="22">
        <v>6</v>
      </c>
      <c r="J124" s="22">
        <v>5</v>
      </c>
      <c r="K124" s="22">
        <v>3</v>
      </c>
      <c r="L124" s="22">
        <v>0</v>
      </c>
    </row>
    <row r="125" spans="1:12" s="21" customFormat="1" ht="12" customHeight="1" x14ac:dyDescent="0.2">
      <c r="A125" s="264" t="s">
        <v>337</v>
      </c>
      <c r="B125" s="264"/>
      <c r="C125" s="22">
        <v>5024</v>
      </c>
      <c r="D125" s="22">
        <v>3858</v>
      </c>
      <c r="E125" s="22">
        <v>1166</v>
      </c>
      <c r="F125" s="22">
        <v>783</v>
      </c>
      <c r="G125" s="22">
        <v>347</v>
      </c>
      <c r="H125" s="22">
        <v>15</v>
      </c>
      <c r="I125" s="22">
        <v>1</v>
      </c>
      <c r="J125" s="22">
        <v>6</v>
      </c>
      <c r="K125" s="22">
        <v>14</v>
      </c>
      <c r="L125" s="22">
        <v>0</v>
      </c>
    </row>
    <row r="126" spans="1:12" s="21" customFormat="1" ht="12" customHeight="1" x14ac:dyDescent="0.2">
      <c r="A126" s="264" t="s">
        <v>144</v>
      </c>
      <c r="B126" s="264"/>
      <c r="C126" s="22">
        <v>4831</v>
      </c>
      <c r="D126" s="22">
        <v>3881</v>
      </c>
      <c r="E126" s="22">
        <v>950</v>
      </c>
      <c r="F126" s="22">
        <v>740</v>
      </c>
      <c r="G126" s="22">
        <v>191</v>
      </c>
      <c r="H126" s="22">
        <v>5</v>
      </c>
      <c r="I126" s="22">
        <v>5</v>
      </c>
      <c r="J126" s="22">
        <v>0</v>
      </c>
      <c r="K126" s="22">
        <v>9</v>
      </c>
      <c r="L126" s="22">
        <v>0</v>
      </c>
    </row>
    <row r="127" spans="1:12" s="21" customFormat="1" ht="12" customHeight="1" x14ac:dyDescent="0.2">
      <c r="A127" s="264" t="s">
        <v>148</v>
      </c>
      <c r="B127" s="264"/>
      <c r="C127" s="22">
        <v>1253</v>
      </c>
      <c r="D127" s="22">
        <v>885</v>
      </c>
      <c r="E127" s="22">
        <v>368</v>
      </c>
      <c r="F127" s="22">
        <v>165</v>
      </c>
      <c r="G127" s="22">
        <v>148</v>
      </c>
      <c r="H127" s="22">
        <v>1</v>
      </c>
      <c r="I127" s="22">
        <v>42</v>
      </c>
      <c r="J127" s="22">
        <v>0</v>
      </c>
      <c r="K127" s="22">
        <v>12</v>
      </c>
      <c r="L127" s="22">
        <v>0</v>
      </c>
    </row>
    <row r="128" spans="1:12" s="21" customFormat="1" ht="12" customHeight="1" x14ac:dyDescent="0.2">
      <c r="A128" s="264" t="s">
        <v>149</v>
      </c>
      <c r="B128" s="264"/>
      <c r="C128" s="22">
        <v>16374</v>
      </c>
      <c r="D128" s="22">
        <v>10515</v>
      </c>
      <c r="E128" s="22">
        <v>5859</v>
      </c>
      <c r="F128" s="22">
        <v>3810</v>
      </c>
      <c r="G128" s="22">
        <v>1745</v>
      </c>
      <c r="H128" s="22">
        <v>36</v>
      </c>
      <c r="I128" s="22">
        <v>119</v>
      </c>
      <c r="J128" s="22">
        <v>54</v>
      </c>
      <c r="K128" s="22">
        <v>95</v>
      </c>
      <c r="L128" s="22">
        <v>0</v>
      </c>
    </row>
    <row r="129" spans="1:12" s="21" customFormat="1" ht="12" customHeight="1" x14ac:dyDescent="0.2">
      <c r="A129" s="264" t="s">
        <v>150</v>
      </c>
      <c r="B129" s="264"/>
      <c r="C129" s="22">
        <v>6727</v>
      </c>
      <c r="D129" s="22">
        <v>5021</v>
      </c>
      <c r="E129" s="22">
        <v>1706</v>
      </c>
      <c r="F129" s="22">
        <v>1207</v>
      </c>
      <c r="G129" s="22">
        <v>437</v>
      </c>
      <c r="H129" s="22">
        <v>20</v>
      </c>
      <c r="I129" s="22">
        <v>21</v>
      </c>
      <c r="J129" s="22">
        <v>6</v>
      </c>
      <c r="K129" s="22">
        <v>15</v>
      </c>
      <c r="L129" s="22">
        <v>0</v>
      </c>
    </row>
    <row r="130" spans="1:12" s="21" customFormat="1" ht="12" customHeight="1" x14ac:dyDescent="0.2">
      <c r="A130" s="264" t="s">
        <v>152</v>
      </c>
      <c r="B130" s="264"/>
      <c r="C130" s="22">
        <v>201</v>
      </c>
      <c r="D130" s="22">
        <v>184</v>
      </c>
      <c r="E130" s="22">
        <v>17</v>
      </c>
      <c r="F130" s="22">
        <v>13</v>
      </c>
      <c r="G130" s="22">
        <v>4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</row>
    <row r="131" spans="1:12" s="21" customFormat="1" ht="12" customHeight="1" x14ac:dyDescent="0.2">
      <c r="A131" s="264" t="s">
        <v>153</v>
      </c>
      <c r="B131" s="264"/>
      <c r="C131" s="22">
        <v>7321</v>
      </c>
      <c r="D131" s="22">
        <v>5487</v>
      </c>
      <c r="E131" s="22">
        <v>1834</v>
      </c>
      <c r="F131" s="22">
        <v>1286</v>
      </c>
      <c r="G131" s="22">
        <v>503</v>
      </c>
      <c r="H131" s="22">
        <v>10</v>
      </c>
      <c r="I131" s="22">
        <v>19</v>
      </c>
      <c r="J131" s="22">
        <v>3</v>
      </c>
      <c r="K131" s="22">
        <v>13</v>
      </c>
      <c r="L131" s="22">
        <v>0</v>
      </c>
    </row>
    <row r="132" spans="1:12" s="21" customFormat="1" ht="12" customHeight="1" x14ac:dyDescent="0.2">
      <c r="A132" s="264" t="s">
        <v>155</v>
      </c>
      <c r="B132" s="264"/>
      <c r="C132" s="22">
        <v>2572</v>
      </c>
      <c r="D132" s="22">
        <v>1801</v>
      </c>
      <c r="E132" s="22">
        <v>771</v>
      </c>
      <c r="F132" s="22">
        <v>455</v>
      </c>
      <c r="G132" s="22">
        <v>278</v>
      </c>
      <c r="H132" s="22">
        <v>6</v>
      </c>
      <c r="I132" s="22">
        <v>15</v>
      </c>
      <c r="J132" s="22">
        <v>12</v>
      </c>
      <c r="K132" s="22">
        <v>5</v>
      </c>
      <c r="L132" s="22">
        <v>0</v>
      </c>
    </row>
    <row r="133" spans="1:12" s="21" customFormat="1" ht="12" customHeight="1" x14ac:dyDescent="0.2">
      <c r="A133" s="264" t="s">
        <v>156</v>
      </c>
      <c r="B133" s="264"/>
      <c r="C133" s="22">
        <v>663</v>
      </c>
      <c r="D133" s="22">
        <v>594</v>
      </c>
      <c r="E133" s="22">
        <v>69</v>
      </c>
      <c r="F133" s="22">
        <v>40</v>
      </c>
      <c r="G133" s="22">
        <v>29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</row>
    <row r="134" spans="1:12" s="21" customFormat="1" ht="12" customHeight="1" x14ac:dyDescent="0.2">
      <c r="A134" s="264" t="s">
        <v>157</v>
      </c>
      <c r="B134" s="264"/>
      <c r="C134" s="22">
        <v>687</v>
      </c>
      <c r="D134" s="22">
        <v>541</v>
      </c>
      <c r="E134" s="22">
        <v>146</v>
      </c>
      <c r="F134" s="22">
        <v>86</v>
      </c>
      <c r="G134" s="22">
        <v>59</v>
      </c>
      <c r="H134" s="22">
        <v>0</v>
      </c>
      <c r="I134" s="22">
        <v>0</v>
      </c>
      <c r="J134" s="22">
        <v>0</v>
      </c>
      <c r="K134" s="22">
        <v>1</v>
      </c>
      <c r="L134" s="22">
        <v>0</v>
      </c>
    </row>
    <row r="135" spans="1:12" s="21" customFormat="1" ht="12" customHeight="1" x14ac:dyDescent="0.2">
      <c r="A135" s="264" t="s">
        <v>159</v>
      </c>
      <c r="B135" s="264"/>
      <c r="C135" s="22">
        <v>522</v>
      </c>
      <c r="D135" s="22">
        <v>391</v>
      </c>
      <c r="E135" s="22">
        <v>131</v>
      </c>
      <c r="F135" s="22">
        <v>82</v>
      </c>
      <c r="G135" s="22">
        <v>45</v>
      </c>
      <c r="H135" s="22">
        <v>4</v>
      </c>
      <c r="I135" s="22">
        <v>0</v>
      </c>
      <c r="J135" s="22">
        <v>0</v>
      </c>
      <c r="K135" s="22">
        <v>0</v>
      </c>
      <c r="L135" s="22">
        <v>0</v>
      </c>
    </row>
    <row r="136" spans="1:12" s="21" customFormat="1" ht="12" customHeight="1" x14ac:dyDescent="0.2">
      <c r="A136" s="264" t="s">
        <v>164</v>
      </c>
      <c r="B136" s="264"/>
      <c r="C136" s="22">
        <v>3393</v>
      </c>
      <c r="D136" s="22">
        <v>2500</v>
      </c>
      <c r="E136" s="22">
        <v>893</v>
      </c>
      <c r="F136" s="22">
        <v>546</v>
      </c>
      <c r="G136" s="22">
        <v>274</v>
      </c>
      <c r="H136" s="22">
        <v>1</v>
      </c>
      <c r="I136" s="22">
        <v>29</v>
      </c>
      <c r="J136" s="22">
        <v>8</v>
      </c>
      <c r="K136" s="22">
        <v>35</v>
      </c>
      <c r="L136" s="22">
        <v>0</v>
      </c>
    </row>
    <row r="137" spans="1:12" s="21" customFormat="1" ht="12" customHeight="1" x14ac:dyDescent="0.2">
      <c r="A137" s="264" t="s">
        <v>348</v>
      </c>
      <c r="B137" s="264"/>
      <c r="C137" s="22">
        <v>2685</v>
      </c>
      <c r="D137" s="22">
        <v>2369</v>
      </c>
      <c r="E137" s="22">
        <v>316</v>
      </c>
      <c r="F137" s="22">
        <v>223</v>
      </c>
      <c r="G137" s="22">
        <v>89</v>
      </c>
      <c r="H137" s="22">
        <v>2</v>
      </c>
      <c r="I137" s="22">
        <v>0</v>
      </c>
      <c r="J137" s="22">
        <v>1</v>
      </c>
      <c r="K137" s="22">
        <v>1</v>
      </c>
      <c r="L137" s="22">
        <v>0</v>
      </c>
    </row>
    <row r="138" spans="1:12" s="21" customFormat="1" ht="12" customHeight="1" x14ac:dyDescent="0.2">
      <c r="A138" s="27" t="s">
        <v>384</v>
      </c>
      <c r="B138" s="27"/>
      <c r="C138" s="209">
        <v>776</v>
      </c>
      <c r="D138" s="209">
        <v>719</v>
      </c>
      <c r="E138" s="209">
        <v>57</v>
      </c>
      <c r="F138" s="209">
        <v>24</v>
      </c>
      <c r="G138" s="209">
        <v>21</v>
      </c>
      <c r="H138" s="209">
        <v>0</v>
      </c>
      <c r="I138" s="209">
        <v>3</v>
      </c>
      <c r="J138" s="209">
        <v>8</v>
      </c>
      <c r="K138" s="209">
        <v>1</v>
      </c>
      <c r="L138" s="209">
        <v>0</v>
      </c>
    </row>
    <row r="139" spans="1:12" s="21" customFormat="1" ht="12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s="21" customFormat="1" ht="12" customHeight="1" x14ac:dyDescent="0.2">
      <c r="A140" s="263" t="s">
        <v>169</v>
      </c>
      <c r="B140" s="263"/>
      <c r="C140" s="20">
        <v>5991</v>
      </c>
      <c r="D140" s="20">
        <v>5356</v>
      </c>
      <c r="E140" s="20">
        <v>635</v>
      </c>
      <c r="F140" s="20">
        <v>479</v>
      </c>
      <c r="G140" s="20">
        <v>137</v>
      </c>
      <c r="H140" s="20">
        <v>2</v>
      </c>
      <c r="I140" s="20">
        <v>3</v>
      </c>
      <c r="J140" s="20">
        <v>4</v>
      </c>
      <c r="K140" s="20">
        <v>10</v>
      </c>
      <c r="L140" s="20">
        <v>0</v>
      </c>
    </row>
    <row r="141" spans="1:12" s="21" customFormat="1" ht="12" customHeight="1" x14ac:dyDescent="0.2">
      <c r="A141" s="264" t="s">
        <v>170</v>
      </c>
      <c r="B141" s="264"/>
      <c r="C141" s="22">
        <v>1534</v>
      </c>
      <c r="D141" s="22">
        <v>1373</v>
      </c>
      <c r="E141" s="22">
        <v>161</v>
      </c>
      <c r="F141" s="22">
        <v>115</v>
      </c>
      <c r="G141" s="22">
        <v>40</v>
      </c>
      <c r="H141" s="22">
        <v>1</v>
      </c>
      <c r="I141" s="22">
        <v>0</v>
      </c>
      <c r="J141" s="22">
        <v>0</v>
      </c>
      <c r="K141" s="22">
        <v>5</v>
      </c>
      <c r="L141" s="22">
        <v>0</v>
      </c>
    </row>
    <row r="142" spans="1:12" s="21" customFormat="1" ht="12" customHeight="1" x14ac:dyDescent="0.2">
      <c r="A142" s="264" t="s">
        <v>171</v>
      </c>
      <c r="B142" s="264"/>
      <c r="C142" s="22">
        <v>47</v>
      </c>
      <c r="D142" s="22">
        <v>44</v>
      </c>
      <c r="E142" s="22">
        <v>3</v>
      </c>
      <c r="F142" s="22">
        <v>3</v>
      </c>
      <c r="G142" s="22">
        <v>0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</row>
    <row r="143" spans="1:12" s="21" customFormat="1" ht="12" customHeight="1" x14ac:dyDescent="0.2">
      <c r="A143" s="264" t="s">
        <v>172</v>
      </c>
      <c r="B143" s="264"/>
      <c r="C143" s="22">
        <v>49</v>
      </c>
      <c r="D143" s="22">
        <v>42</v>
      </c>
      <c r="E143" s="22">
        <v>7</v>
      </c>
      <c r="F143" s="22">
        <v>6</v>
      </c>
      <c r="G143" s="22">
        <v>1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</row>
    <row r="144" spans="1:12" s="21" customFormat="1" ht="12" customHeight="1" x14ac:dyDescent="0.2">
      <c r="A144" s="264" t="s">
        <v>173</v>
      </c>
      <c r="B144" s="264"/>
      <c r="C144" s="22">
        <v>37</v>
      </c>
      <c r="D144" s="22">
        <v>35</v>
      </c>
      <c r="E144" s="22">
        <v>2</v>
      </c>
      <c r="F144" s="22">
        <v>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</row>
    <row r="145" spans="1:12" s="21" customFormat="1" ht="12" customHeight="1" x14ac:dyDescent="0.2">
      <c r="A145" s="264" t="s">
        <v>174</v>
      </c>
      <c r="B145" s="264"/>
      <c r="C145" s="22">
        <v>1111</v>
      </c>
      <c r="D145" s="22">
        <v>964</v>
      </c>
      <c r="E145" s="22">
        <v>147</v>
      </c>
      <c r="F145" s="22">
        <v>116</v>
      </c>
      <c r="G145" s="22">
        <v>30</v>
      </c>
      <c r="H145" s="22">
        <v>1</v>
      </c>
      <c r="I145" s="22">
        <v>0</v>
      </c>
      <c r="J145" s="22">
        <v>0</v>
      </c>
      <c r="K145" s="22">
        <v>0</v>
      </c>
      <c r="L145" s="22">
        <v>0</v>
      </c>
    </row>
    <row r="146" spans="1:12" s="21" customFormat="1" ht="12" customHeight="1" x14ac:dyDescent="0.2">
      <c r="A146" s="264" t="s">
        <v>175</v>
      </c>
      <c r="B146" s="264"/>
      <c r="C146" s="22">
        <v>498</v>
      </c>
      <c r="D146" s="22">
        <v>464</v>
      </c>
      <c r="E146" s="22">
        <v>34</v>
      </c>
      <c r="F146" s="22">
        <v>23</v>
      </c>
      <c r="G146" s="22">
        <v>11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</row>
    <row r="147" spans="1:12" s="21" customFormat="1" ht="12" customHeight="1" x14ac:dyDescent="0.2">
      <c r="A147" s="264" t="s">
        <v>176</v>
      </c>
      <c r="B147" s="264"/>
      <c r="C147" s="22">
        <v>41</v>
      </c>
      <c r="D147" s="22">
        <v>37</v>
      </c>
      <c r="E147" s="22">
        <v>4</v>
      </c>
      <c r="F147" s="22">
        <v>3</v>
      </c>
      <c r="G147" s="22">
        <v>1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</row>
    <row r="148" spans="1:12" s="21" customFormat="1" ht="12" customHeight="1" x14ac:dyDescent="0.2">
      <c r="A148" s="266" t="s">
        <v>177</v>
      </c>
      <c r="B148" s="267"/>
      <c r="C148" s="209">
        <v>2674</v>
      </c>
      <c r="D148" s="209">
        <v>2397</v>
      </c>
      <c r="E148" s="209">
        <v>277</v>
      </c>
      <c r="F148" s="209">
        <v>211</v>
      </c>
      <c r="G148" s="209">
        <v>54</v>
      </c>
      <c r="H148" s="209">
        <v>0</v>
      </c>
      <c r="I148" s="209">
        <v>3</v>
      </c>
      <c r="J148" s="209">
        <v>4</v>
      </c>
      <c r="K148" s="209">
        <v>5</v>
      </c>
      <c r="L148" s="209">
        <v>0</v>
      </c>
    </row>
    <row r="149" spans="1:12" s="21" customFormat="1" ht="12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s="21" customFormat="1" ht="12" customHeight="1" x14ac:dyDescent="0.2">
      <c r="A150" s="263" t="s">
        <v>178</v>
      </c>
      <c r="B150" s="263"/>
      <c r="C150" s="20">
        <v>58356</v>
      </c>
      <c r="D150" s="20">
        <v>42083</v>
      </c>
      <c r="E150" s="20">
        <v>16273</v>
      </c>
      <c r="F150" s="20">
        <v>10768</v>
      </c>
      <c r="G150" s="20">
        <v>4609</v>
      </c>
      <c r="H150" s="20">
        <v>95</v>
      </c>
      <c r="I150" s="20">
        <v>456</v>
      </c>
      <c r="J150" s="20">
        <v>71</v>
      </c>
      <c r="K150" s="20">
        <v>274</v>
      </c>
      <c r="L150" s="20">
        <v>0</v>
      </c>
    </row>
    <row r="151" spans="1:12" s="21" customFormat="1" ht="12" customHeight="1" x14ac:dyDescent="0.2">
      <c r="A151" s="264" t="s">
        <v>179</v>
      </c>
      <c r="B151" s="264"/>
      <c r="C151" s="22">
        <v>5160</v>
      </c>
      <c r="D151" s="22">
        <v>3753</v>
      </c>
      <c r="E151" s="22">
        <v>1407</v>
      </c>
      <c r="F151" s="22">
        <v>1013</v>
      </c>
      <c r="G151" s="22">
        <v>317</v>
      </c>
      <c r="H151" s="22">
        <v>7</v>
      </c>
      <c r="I151" s="22">
        <v>54</v>
      </c>
      <c r="J151" s="22">
        <v>1</v>
      </c>
      <c r="K151" s="22">
        <v>15</v>
      </c>
      <c r="L151" s="22">
        <v>0</v>
      </c>
    </row>
    <row r="152" spans="1:12" s="21" customFormat="1" ht="12" customHeight="1" x14ac:dyDescent="0.2">
      <c r="A152" s="264" t="s">
        <v>180</v>
      </c>
      <c r="B152" s="264"/>
      <c r="C152" s="22">
        <v>45305</v>
      </c>
      <c r="D152" s="22">
        <v>32891</v>
      </c>
      <c r="E152" s="22">
        <v>12414</v>
      </c>
      <c r="F152" s="22">
        <v>8083</v>
      </c>
      <c r="G152" s="22">
        <v>3608</v>
      </c>
      <c r="H152" s="22">
        <v>72</v>
      </c>
      <c r="I152" s="22">
        <v>363</v>
      </c>
      <c r="J152" s="22">
        <v>65</v>
      </c>
      <c r="K152" s="22">
        <v>223</v>
      </c>
      <c r="L152" s="22">
        <v>0</v>
      </c>
    </row>
    <row r="153" spans="1:12" s="21" customFormat="1" ht="12" customHeight="1" x14ac:dyDescent="0.2">
      <c r="A153" s="264" t="s">
        <v>181</v>
      </c>
      <c r="B153" s="264"/>
      <c r="C153" s="22">
        <v>3132</v>
      </c>
      <c r="D153" s="22">
        <v>1788</v>
      </c>
      <c r="E153" s="22">
        <v>1344</v>
      </c>
      <c r="F153" s="22">
        <v>874</v>
      </c>
      <c r="G153" s="22">
        <v>428</v>
      </c>
      <c r="H153" s="22">
        <v>11</v>
      </c>
      <c r="I153" s="22">
        <v>15</v>
      </c>
      <c r="J153" s="22">
        <v>2</v>
      </c>
      <c r="K153" s="22">
        <v>14</v>
      </c>
      <c r="L153" s="22">
        <v>0</v>
      </c>
    </row>
    <row r="154" spans="1:12" s="21" customFormat="1" ht="12" customHeight="1" x14ac:dyDescent="0.2">
      <c r="A154" s="264" t="s">
        <v>187</v>
      </c>
      <c r="B154" s="264"/>
      <c r="C154" s="22">
        <v>404</v>
      </c>
      <c r="D154" s="22">
        <v>362</v>
      </c>
      <c r="E154" s="22">
        <v>42</v>
      </c>
      <c r="F154" s="22">
        <v>31</v>
      </c>
      <c r="G154" s="22">
        <v>11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</row>
    <row r="155" spans="1:12" s="21" customFormat="1" ht="12" customHeight="1" x14ac:dyDescent="0.2">
      <c r="A155" s="264" t="s">
        <v>188</v>
      </c>
      <c r="B155" s="264"/>
      <c r="C155" s="22">
        <v>1684</v>
      </c>
      <c r="D155" s="22">
        <v>1335</v>
      </c>
      <c r="E155" s="22">
        <v>349</v>
      </c>
      <c r="F155" s="22">
        <v>235</v>
      </c>
      <c r="G155" s="22">
        <v>99</v>
      </c>
      <c r="H155" s="22">
        <v>2</v>
      </c>
      <c r="I155" s="22">
        <v>0</v>
      </c>
      <c r="J155" s="22">
        <v>3</v>
      </c>
      <c r="K155" s="22">
        <v>10</v>
      </c>
      <c r="L155" s="22">
        <v>0</v>
      </c>
    </row>
    <row r="156" spans="1:12" s="21" customFormat="1" ht="12" customHeight="1" x14ac:dyDescent="0.2">
      <c r="A156" s="266" t="s">
        <v>194</v>
      </c>
      <c r="B156" s="266"/>
      <c r="C156" s="209">
        <v>2671</v>
      </c>
      <c r="D156" s="209">
        <v>1954</v>
      </c>
      <c r="E156" s="209">
        <v>717</v>
      </c>
      <c r="F156" s="209">
        <v>532</v>
      </c>
      <c r="G156" s="209">
        <v>146</v>
      </c>
      <c r="H156" s="209">
        <v>3</v>
      </c>
      <c r="I156" s="209">
        <v>24</v>
      </c>
      <c r="J156" s="209">
        <v>0</v>
      </c>
      <c r="K156" s="209">
        <v>12</v>
      </c>
      <c r="L156" s="209">
        <v>0</v>
      </c>
    </row>
    <row r="157" spans="1:12" s="21" customFormat="1" ht="12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s="21" customFormat="1" ht="12" customHeight="1" x14ac:dyDescent="0.2">
      <c r="A158" s="263" t="s">
        <v>197</v>
      </c>
      <c r="B158" s="263"/>
      <c r="C158" s="20">
        <v>10470</v>
      </c>
      <c r="D158" s="20">
        <v>6975</v>
      </c>
      <c r="E158" s="20">
        <v>3495</v>
      </c>
      <c r="F158" s="20">
        <v>2481</v>
      </c>
      <c r="G158" s="20">
        <v>849</v>
      </c>
      <c r="H158" s="20">
        <v>5</v>
      </c>
      <c r="I158" s="20">
        <v>40</v>
      </c>
      <c r="J158" s="20">
        <v>42</v>
      </c>
      <c r="K158" s="20">
        <v>78</v>
      </c>
      <c r="L158" s="20">
        <v>0</v>
      </c>
    </row>
    <row r="159" spans="1:12" s="21" customFormat="1" ht="12" customHeight="1" x14ac:dyDescent="0.2">
      <c r="A159" s="264" t="s">
        <v>198</v>
      </c>
      <c r="B159" s="264"/>
      <c r="C159" s="22">
        <v>6201</v>
      </c>
      <c r="D159" s="22">
        <v>3980</v>
      </c>
      <c r="E159" s="22">
        <v>2221</v>
      </c>
      <c r="F159" s="22">
        <v>1535</v>
      </c>
      <c r="G159" s="22">
        <v>547</v>
      </c>
      <c r="H159" s="22">
        <v>2</v>
      </c>
      <c r="I159" s="22">
        <v>37</v>
      </c>
      <c r="J159" s="22">
        <v>36</v>
      </c>
      <c r="K159" s="22">
        <v>64</v>
      </c>
      <c r="L159" s="22">
        <v>0</v>
      </c>
    </row>
    <row r="160" spans="1:12" s="21" customFormat="1" ht="12" customHeight="1" x14ac:dyDescent="0.2">
      <c r="A160" s="266" t="s">
        <v>371</v>
      </c>
      <c r="B160" s="266"/>
      <c r="C160" s="209">
        <v>4269</v>
      </c>
      <c r="D160" s="209">
        <v>2995</v>
      </c>
      <c r="E160" s="209">
        <v>1274</v>
      </c>
      <c r="F160" s="209">
        <v>946</v>
      </c>
      <c r="G160" s="209">
        <v>302</v>
      </c>
      <c r="H160" s="209">
        <v>3</v>
      </c>
      <c r="I160" s="209">
        <v>3</v>
      </c>
      <c r="J160" s="209">
        <v>6</v>
      </c>
      <c r="K160" s="209">
        <v>14</v>
      </c>
      <c r="L160" s="209">
        <v>0</v>
      </c>
    </row>
    <row r="161" spans="1:12" s="21" customFormat="1" ht="12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s="21" customFormat="1" ht="12" customHeight="1" x14ac:dyDescent="0.2">
      <c r="A162" s="263" t="s">
        <v>204</v>
      </c>
      <c r="B162" s="263"/>
      <c r="C162" s="20">
        <v>5613</v>
      </c>
      <c r="D162" s="20">
        <v>5084</v>
      </c>
      <c r="E162" s="20">
        <v>529</v>
      </c>
      <c r="F162" s="20">
        <v>379</v>
      </c>
      <c r="G162" s="20">
        <v>132</v>
      </c>
      <c r="H162" s="20">
        <v>4</v>
      </c>
      <c r="I162" s="20">
        <v>0</v>
      </c>
      <c r="J162" s="20">
        <v>0</v>
      </c>
      <c r="K162" s="20">
        <v>14</v>
      </c>
      <c r="L162" s="20">
        <v>0</v>
      </c>
    </row>
    <row r="163" spans="1:12" s="21" customFormat="1" ht="12" customHeight="1" x14ac:dyDescent="0.2">
      <c r="A163" s="264" t="s">
        <v>205</v>
      </c>
      <c r="B163" s="264"/>
      <c r="C163" s="22">
        <v>1796</v>
      </c>
      <c r="D163" s="22">
        <v>1575</v>
      </c>
      <c r="E163" s="22">
        <v>221</v>
      </c>
      <c r="F163" s="22">
        <v>165</v>
      </c>
      <c r="G163" s="22">
        <v>49</v>
      </c>
      <c r="H163" s="22">
        <v>1</v>
      </c>
      <c r="I163" s="22">
        <v>0</v>
      </c>
      <c r="J163" s="22">
        <v>0</v>
      </c>
      <c r="K163" s="22">
        <v>6</v>
      </c>
      <c r="L163" s="22">
        <v>0</v>
      </c>
    </row>
    <row r="164" spans="1:12" s="21" customFormat="1" ht="12" customHeight="1" x14ac:dyDescent="0.2">
      <c r="A164" s="264" t="s">
        <v>206</v>
      </c>
      <c r="B164" s="264"/>
      <c r="C164" s="22">
        <v>1747</v>
      </c>
      <c r="D164" s="22">
        <v>1635</v>
      </c>
      <c r="E164" s="22">
        <v>112</v>
      </c>
      <c r="F164" s="22">
        <v>71</v>
      </c>
      <c r="G164" s="22">
        <v>37</v>
      </c>
      <c r="H164" s="22">
        <v>3</v>
      </c>
      <c r="I164" s="22">
        <v>0</v>
      </c>
      <c r="J164" s="22">
        <v>0</v>
      </c>
      <c r="K164" s="22">
        <v>1</v>
      </c>
      <c r="L164" s="22">
        <v>0</v>
      </c>
    </row>
    <row r="165" spans="1:12" s="21" customFormat="1" ht="12" customHeight="1" x14ac:dyDescent="0.2">
      <c r="A165" s="266" t="s">
        <v>345</v>
      </c>
      <c r="B165" s="266"/>
      <c r="C165" s="44">
        <v>2070</v>
      </c>
      <c r="D165" s="44">
        <v>1874</v>
      </c>
      <c r="E165" s="44">
        <v>196</v>
      </c>
      <c r="F165" s="44">
        <v>143</v>
      </c>
      <c r="G165" s="44">
        <v>46</v>
      </c>
      <c r="H165" s="44">
        <v>0</v>
      </c>
      <c r="I165" s="44">
        <v>0</v>
      </c>
      <c r="J165" s="44">
        <v>0</v>
      </c>
      <c r="K165" s="44">
        <v>7</v>
      </c>
      <c r="L165" s="44">
        <v>0</v>
      </c>
    </row>
    <row r="166" spans="1:12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s="21" customFormat="1" ht="12" customHeight="1" x14ac:dyDescent="0.2">
      <c r="A167" s="263" t="s">
        <v>210</v>
      </c>
      <c r="B167" s="263"/>
      <c r="C167" s="20">
        <v>8751</v>
      </c>
      <c r="D167" s="20">
        <v>6431</v>
      </c>
      <c r="E167" s="20">
        <v>2320</v>
      </c>
      <c r="F167" s="20">
        <v>1549</v>
      </c>
      <c r="G167" s="20">
        <v>656</v>
      </c>
      <c r="H167" s="20">
        <v>30</v>
      </c>
      <c r="I167" s="20">
        <v>21</v>
      </c>
      <c r="J167" s="20">
        <v>16</v>
      </c>
      <c r="K167" s="20">
        <v>48</v>
      </c>
      <c r="L167" s="20">
        <v>0</v>
      </c>
    </row>
    <row r="168" spans="1:12" s="21" customFormat="1" ht="12" customHeight="1" x14ac:dyDescent="0.2">
      <c r="A168" s="264" t="s">
        <v>211</v>
      </c>
      <c r="B168" s="264"/>
      <c r="C168" s="22">
        <v>1452</v>
      </c>
      <c r="D168" s="22">
        <v>1057</v>
      </c>
      <c r="E168" s="22">
        <v>395</v>
      </c>
      <c r="F168" s="22">
        <v>248</v>
      </c>
      <c r="G168" s="22">
        <v>124</v>
      </c>
      <c r="H168" s="22">
        <v>5</v>
      </c>
      <c r="I168" s="22">
        <v>2</v>
      </c>
      <c r="J168" s="22">
        <v>0</v>
      </c>
      <c r="K168" s="22">
        <v>16</v>
      </c>
      <c r="L168" s="22">
        <v>0</v>
      </c>
    </row>
    <row r="169" spans="1:12" s="21" customFormat="1" ht="12" customHeight="1" x14ac:dyDescent="0.2">
      <c r="A169" s="264" t="s">
        <v>213</v>
      </c>
      <c r="B169" s="264"/>
      <c r="C169" s="22">
        <v>108</v>
      </c>
      <c r="D169" s="22">
        <v>96</v>
      </c>
      <c r="E169" s="22">
        <v>12</v>
      </c>
      <c r="F169" s="22">
        <v>5</v>
      </c>
      <c r="G169" s="22">
        <v>7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</row>
    <row r="170" spans="1:12" s="21" customFormat="1" ht="12" customHeight="1" x14ac:dyDescent="0.2">
      <c r="A170" s="264" t="s">
        <v>214</v>
      </c>
      <c r="B170" s="264"/>
      <c r="C170" s="22">
        <v>961</v>
      </c>
      <c r="D170" s="22">
        <v>514</v>
      </c>
      <c r="E170" s="22">
        <v>447</v>
      </c>
      <c r="F170" s="22">
        <v>285</v>
      </c>
      <c r="G170" s="22">
        <v>130</v>
      </c>
      <c r="H170" s="22">
        <v>5</v>
      </c>
      <c r="I170" s="22">
        <v>9</v>
      </c>
      <c r="J170" s="22">
        <v>2</v>
      </c>
      <c r="K170" s="22">
        <v>16</v>
      </c>
      <c r="L170" s="22">
        <v>0</v>
      </c>
    </row>
    <row r="171" spans="1:12" s="21" customFormat="1" ht="12" customHeight="1" x14ac:dyDescent="0.2">
      <c r="A171" s="264" t="s">
        <v>219</v>
      </c>
      <c r="B171" s="264"/>
      <c r="C171" s="22">
        <v>185</v>
      </c>
      <c r="D171" s="22">
        <v>172</v>
      </c>
      <c r="E171" s="22">
        <v>13</v>
      </c>
      <c r="F171" s="22">
        <v>6</v>
      </c>
      <c r="G171" s="22">
        <v>7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</row>
    <row r="172" spans="1:12" s="21" customFormat="1" ht="12" customHeight="1" x14ac:dyDescent="0.2">
      <c r="A172" s="264" t="s">
        <v>220</v>
      </c>
      <c r="B172" s="264"/>
      <c r="C172" s="22">
        <v>2705</v>
      </c>
      <c r="D172" s="22">
        <v>2136</v>
      </c>
      <c r="E172" s="22">
        <v>569</v>
      </c>
      <c r="F172" s="22">
        <v>424</v>
      </c>
      <c r="G172" s="22">
        <v>135</v>
      </c>
      <c r="H172" s="22">
        <v>7</v>
      </c>
      <c r="I172" s="22">
        <v>0</v>
      </c>
      <c r="J172" s="22">
        <v>0</v>
      </c>
      <c r="K172" s="22">
        <v>3</v>
      </c>
      <c r="L172" s="22">
        <v>0</v>
      </c>
    </row>
    <row r="173" spans="1:12" s="21" customFormat="1" ht="12" customHeight="1" x14ac:dyDescent="0.2">
      <c r="A173" s="264" t="s">
        <v>221</v>
      </c>
      <c r="B173" s="264"/>
      <c r="C173" s="22">
        <v>801</v>
      </c>
      <c r="D173" s="22">
        <v>567</v>
      </c>
      <c r="E173" s="22">
        <v>234</v>
      </c>
      <c r="F173" s="22">
        <v>148</v>
      </c>
      <c r="G173" s="22">
        <v>56</v>
      </c>
      <c r="H173" s="22">
        <v>6</v>
      </c>
      <c r="I173" s="22">
        <v>4</v>
      </c>
      <c r="J173" s="22">
        <v>14</v>
      </c>
      <c r="K173" s="22">
        <v>6</v>
      </c>
      <c r="L173" s="22">
        <v>0</v>
      </c>
    </row>
    <row r="174" spans="1:12" s="21" customFormat="1" ht="12" customHeight="1" x14ac:dyDescent="0.2">
      <c r="A174" s="264" t="s">
        <v>224</v>
      </c>
      <c r="B174" s="264"/>
      <c r="C174" s="22">
        <v>317</v>
      </c>
      <c r="D174" s="22">
        <v>263</v>
      </c>
      <c r="E174" s="22">
        <v>54</v>
      </c>
      <c r="F174" s="22">
        <v>32</v>
      </c>
      <c r="G174" s="22">
        <v>21</v>
      </c>
      <c r="H174" s="22">
        <v>1</v>
      </c>
      <c r="I174" s="22">
        <v>0</v>
      </c>
      <c r="J174" s="22">
        <v>0</v>
      </c>
      <c r="K174" s="22">
        <v>0</v>
      </c>
      <c r="L174" s="22">
        <v>0</v>
      </c>
    </row>
    <row r="175" spans="1:12" s="21" customFormat="1" ht="12" customHeight="1" x14ac:dyDescent="0.2">
      <c r="A175" s="264" t="s">
        <v>225</v>
      </c>
      <c r="B175" s="264"/>
      <c r="C175" s="22">
        <v>920</v>
      </c>
      <c r="D175" s="22">
        <v>604</v>
      </c>
      <c r="E175" s="22">
        <v>316</v>
      </c>
      <c r="F175" s="22">
        <v>205</v>
      </c>
      <c r="G175" s="22">
        <v>105</v>
      </c>
      <c r="H175" s="22">
        <v>2</v>
      </c>
      <c r="I175" s="22">
        <v>4</v>
      </c>
      <c r="J175" s="22">
        <v>0</v>
      </c>
      <c r="K175" s="22">
        <v>0</v>
      </c>
      <c r="L175" s="22">
        <v>0</v>
      </c>
    </row>
    <row r="176" spans="1:12" s="21" customFormat="1" ht="12" customHeight="1" x14ac:dyDescent="0.2">
      <c r="A176" s="264" t="s">
        <v>226</v>
      </c>
      <c r="B176" s="264"/>
      <c r="C176" s="22">
        <v>376</v>
      </c>
      <c r="D176" s="22">
        <v>309</v>
      </c>
      <c r="E176" s="22">
        <v>67</v>
      </c>
      <c r="F176" s="22">
        <v>56</v>
      </c>
      <c r="G176" s="22">
        <v>10</v>
      </c>
      <c r="H176" s="22">
        <v>1</v>
      </c>
      <c r="I176" s="22">
        <v>0</v>
      </c>
      <c r="J176" s="22">
        <v>0</v>
      </c>
      <c r="K176" s="22">
        <v>0</v>
      </c>
      <c r="L176" s="22">
        <v>0</v>
      </c>
    </row>
    <row r="177" spans="1:12" s="21" customFormat="1" ht="12" customHeight="1" x14ac:dyDescent="0.2">
      <c r="A177" s="266" t="s">
        <v>227</v>
      </c>
      <c r="B177" s="266"/>
      <c r="C177" s="209">
        <v>926</v>
      </c>
      <c r="D177" s="209">
        <v>713</v>
      </c>
      <c r="E177" s="209">
        <v>213</v>
      </c>
      <c r="F177" s="209">
        <v>140</v>
      </c>
      <c r="G177" s="209">
        <v>61</v>
      </c>
      <c r="H177" s="209">
        <v>3</v>
      </c>
      <c r="I177" s="209">
        <v>2</v>
      </c>
      <c r="J177" s="209">
        <v>0</v>
      </c>
      <c r="K177" s="209">
        <v>7</v>
      </c>
      <c r="L177" s="209">
        <v>0</v>
      </c>
    </row>
    <row r="178" spans="1:12" s="21" customFormat="1" ht="12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s="21" customFormat="1" ht="12" customHeight="1" x14ac:dyDescent="0.2">
      <c r="A179" s="263" t="s">
        <v>229</v>
      </c>
      <c r="B179" s="263"/>
      <c r="C179" s="20">
        <v>358903</v>
      </c>
      <c r="D179" s="20">
        <v>253361</v>
      </c>
      <c r="E179" s="20">
        <v>105542</v>
      </c>
      <c r="F179" s="20">
        <v>67607</v>
      </c>
      <c r="G179" s="20">
        <v>32813</v>
      </c>
      <c r="H179" s="20">
        <v>645</v>
      </c>
      <c r="I179" s="20">
        <v>1667</v>
      </c>
      <c r="J179" s="20">
        <v>381</v>
      </c>
      <c r="K179" s="20">
        <v>2398</v>
      </c>
      <c r="L179" s="20">
        <v>31</v>
      </c>
    </row>
    <row r="180" spans="1:12" s="21" customFormat="1" ht="12" customHeight="1" x14ac:dyDescent="0.2">
      <c r="A180" s="264" t="s">
        <v>230</v>
      </c>
      <c r="B180" s="264"/>
      <c r="C180" s="22">
        <v>50450</v>
      </c>
      <c r="D180" s="22">
        <v>36534</v>
      </c>
      <c r="E180" s="22">
        <v>13916</v>
      </c>
      <c r="F180" s="22">
        <v>8314</v>
      </c>
      <c r="G180" s="22">
        <v>4673</v>
      </c>
      <c r="H180" s="22">
        <v>66</v>
      </c>
      <c r="I180" s="22">
        <v>259</v>
      </c>
      <c r="J180" s="22">
        <v>30</v>
      </c>
      <c r="K180" s="22">
        <v>570</v>
      </c>
      <c r="L180" s="22">
        <v>4</v>
      </c>
    </row>
    <row r="181" spans="1:12" s="21" customFormat="1" ht="12" customHeight="1" x14ac:dyDescent="0.2">
      <c r="A181" s="264" t="s">
        <v>231</v>
      </c>
      <c r="B181" s="264"/>
      <c r="C181" s="22">
        <v>154938</v>
      </c>
      <c r="D181" s="22">
        <v>103358</v>
      </c>
      <c r="E181" s="22">
        <v>51580</v>
      </c>
      <c r="F181" s="22">
        <v>32439</v>
      </c>
      <c r="G181" s="22">
        <v>16879</v>
      </c>
      <c r="H181" s="22">
        <v>333</v>
      </c>
      <c r="I181" s="22">
        <v>623</v>
      </c>
      <c r="J181" s="22">
        <v>114</v>
      </c>
      <c r="K181" s="22">
        <v>1165</v>
      </c>
      <c r="L181" s="22">
        <v>27</v>
      </c>
    </row>
    <row r="182" spans="1:12" s="21" customFormat="1" ht="12" customHeight="1" x14ac:dyDescent="0.2">
      <c r="A182" s="264" t="s">
        <v>232</v>
      </c>
      <c r="B182" s="264"/>
      <c r="C182" s="22">
        <v>64334</v>
      </c>
      <c r="D182" s="22">
        <v>47540</v>
      </c>
      <c r="E182" s="22">
        <v>16794</v>
      </c>
      <c r="F182" s="22">
        <v>11198</v>
      </c>
      <c r="G182" s="22">
        <v>4878</v>
      </c>
      <c r="H182" s="22">
        <v>110</v>
      </c>
      <c r="I182" s="22">
        <v>265</v>
      </c>
      <c r="J182" s="22">
        <v>104</v>
      </c>
      <c r="K182" s="22">
        <v>239</v>
      </c>
      <c r="L182" s="22">
        <v>0</v>
      </c>
    </row>
    <row r="183" spans="1:12" s="21" customFormat="1" ht="12" customHeight="1" x14ac:dyDescent="0.2">
      <c r="A183" s="264" t="s">
        <v>233</v>
      </c>
      <c r="B183" s="264"/>
      <c r="C183" s="22">
        <v>5991</v>
      </c>
      <c r="D183" s="22">
        <v>5356</v>
      </c>
      <c r="E183" s="22">
        <v>635</v>
      </c>
      <c r="F183" s="22">
        <v>479</v>
      </c>
      <c r="G183" s="22">
        <v>137</v>
      </c>
      <c r="H183" s="22">
        <v>2</v>
      </c>
      <c r="I183" s="22">
        <v>3</v>
      </c>
      <c r="J183" s="22">
        <v>4</v>
      </c>
      <c r="K183" s="22">
        <v>10</v>
      </c>
      <c r="L183" s="22">
        <v>0</v>
      </c>
    </row>
    <row r="184" spans="1:12" s="21" customFormat="1" ht="12" customHeight="1" x14ac:dyDescent="0.2">
      <c r="A184" s="264" t="s">
        <v>234</v>
      </c>
      <c r="B184" s="264"/>
      <c r="C184" s="22">
        <v>58356</v>
      </c>
      <c r="D184" s="22">
        <v>42083</v>
      </c>
      <c r="E184" s="22">
        <v>16273</v>
      </c>
      <c r="F184" s="22">
        <v>10768</v>
      </c>
      <c r="G184" s="22">
        <v>4609</v>
      </c>
      <c r="H184" s="22">
        <v>95</v>
      </c>
      <c r="I184" s="22">
        <v>456</v>
      </c>
      <c r="J184" s="22">
        <v>71</v>
      </c>
      <c r="K184" s="22">
        <v>274</v>
      </c>
      <c r="L184" s="22">
        <v>0</v>
      </c>
    </row>
    <row r="185" spans="1:12" s="21" customFormat="1" ht="12" customHeight="1" x14ac:dyDescent="0.2">
      <c r="A185" s="264" t="s">
        <v>235</v>
      </c>
      <c r="B185" s="264"/>
      <c r="C185" s="22">
        <v>10470</v>
      </c>
      <c r="D185" s="22">
        <v>6975</v>
      </c>
      <c r="E185" s="22">
        <v>3495</v>
      </c>
      <c r="F185" s="22">
        <v>2481</v>
      </c>
      <c r="G185" s="22">
        <v>849</v>
      </c>
      <c r="H185" s="22">
        <v>5</v>
      </c>
      <c r="I185" s="22">
        <v>40</v>
      </c>
      <c r="J185" s="22">
        <v>42</v>
      </c>
      <c r="K185" s="22">
        <v>78</v>
      </c>
      <c r="L185" s="22">
        <v>0</v>
      </c>
    </row>
    <row r="186" spans="1:12" s="21" customFormat="1" ht="12" customHeight="1" x14ac:dyDescent="0.2">
      <c r="A186" s="264" t="s">
        <v>236</v>
      </c>
      <c r="B186" s="264"/>
      <c r="C186" s="22">
        <v>5613</v>
      </c>
      <c r="D186" s="22">
        <v>5084</v>
      </c>
      <c r="E186" s="22">
        <v>529</v>
      </c>
      <c r="F186" s="22">
        <v>379</v>
      </c>
      <c r="G186" s="22">
        <v>132</v>
      </c>
      <c r="H186" s="22">
        <v>4</v>
      </c>
      <c r="I186" s="22">
        <v>0</v>
      </c>
      <c r="J186" s="22">
        <v>0</v>
      </c>
      <c r="K186" s="22">
        <v>14</v>
      </c>
      <c r="L186" s="22">
        <v>0</v>
      </c>
    </row>
    <row r="187" spans="1:12" s="21" customFormat="1" ht="12" customHeight="1" x14ac:dyDescent="0.2">
      <c r="A187" s="266" t="s">
        <v>237</v>
      </c>
      <c r="B187" s="267"/>
      <c r="C187" s="209">
        <v>8751</v>
      </c>
      <c r="D187" s="209">
        <v>6431</v>
      </c>
      <c r="E187" s="209">
        <v>2320</v>
      </c>
      <c r="F187" s="209">
        <v>1549</v>
      </c>
      <c r="G187" s="209">
        <v>656</v>
      </c>
      <c r="H187" s="209">
        <v>30</v>
      </c>
      <c r="I187" s="209">
        <v>21</v>
      </c>
      <c r="J187" s="209">
        <v>16</v>
      </c>
      <c r="K187" s="209">
        <v>48</v>
      </c>
      <c r="L187" s="209">
        <v>0</v>
      </c>
    </row>
    <row r="188" spans="1:12" s="21" customFormat="1" ht="12" customHeight="1" x14ac:dyDescent="0.2">
      <c r="A188" s="27"/>
      <c r="B188" s="27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spans="1:12" s="21" customFormat="1" ht="12" customHeight="1" x14ac:dyDescent="0.2">
      <c r="A189" s="263" t="s">
        <v>355</v>
      </c>
      <c r="B189" s="263"/>
      <c r="C189" s="20">
        <v>335892</v>
      </c>
      <c r="D189" s="20">
        <v>235686</v>
      </c>
      <c r="E189" s="20">
        <v>100206</v>
      </c>
      <c r="F189" s="20">
        <v>63951</v>
      </c>
      <c r="G189" s="20">
        <v>31406</v>
      </c>
      <c r="H189" s="20">
        <v>608</v>
      </c>
      <c r="I189" s="20">
        <v>1609</v>
      </c>
      <c r="J189" s="20">
        <v>329</v>
      </c>
      <c r="K189" s="20">
        <v>2272</v>
      </c>
      <c r="L189" s="20">
        <v>31</v>
      </c>
    </row>
    <row r="190" spans="1:12" s="21" customFormat="1" ht="12" customHeight="1" x14ac:dyDescent="0.2">
      <c r="A190" s="264" t="s">
        <v>356</v>
      </c>
      <c r="B190" s="264"/>
      <c r="C190" s="22">
        <v>59089</v>
      </c>
      <c r="D190" s="22">
        <v>42928</v>
      </c>
      <c r="E190" s="22">
        <v>16161</v>
      </c>
      <c r="F190" s="22">
        <v>10809</v>
      </c>
      <c r="G190" s="22">
        <v>4472</v>
      </c>
      <c r="H190" s="22">
        <v>87</v>
      </c>
      <c r="I190" s="22">
        <v>444</v>
      </c>
      <c r="J190" s="22">
        <v>75</v>
      </c>
      <c r="K190" s="22">
        <v>274</v>
      </c>
      <c r="L190" s="22">
        <v>0</v>
      </c>
    </row>
    <row r="191" spans="1:12" s="21" customFormat="1" ht="12" customHeight="1" x14ac:dyDescent="0.2">
      <c r="A191" s="264" t="s">
        <v>357</v>
      </c>
      <c r="B191" s="264"/>
      <c r="C191" s="24">
        <v>50924</v>
      </c>
      <c r="D191" s="24">
        <v>36885</v>
      </c>
      <c r="E191" s="24">
        <v>14039</v>
      </c>
      <c r="F191" s="24">
        <v>8403</v>
      </c>
      <c r="G191" s="24">
        <v>4707</v>
      </c>
      <c r="H191" s="24">
        <v>66</v>
      </c>
      <c r="I191" s="24">
        <v>259</v>
      </c>
      <c r="J191" s="24">
        <v>30</v>
      </c>
      <c r="K191" s="24">
        <v>570</v>
      </c>
      <c r="L191" s="24">
        <v>4</v>
      </c>
    </row>
    <row r="192" spans="1:12" s="21" customFormat="1" ht="12" customHeight="1" x14ac:dyDescent="0.2">
      <c r="A192" s="264" t="s">
        <v>358</v>
      </c>
      <c r="B192" s="264"/>
      <c r="C192" s="22">
        <v>62855</v>
      </c>
      <c r="D192" s="22">
        <v>46858</v>
      </c>
      <c r="E192" s="22">
        <v>15997</v>
      </c>
      <c r="F192" s="22">
        <v>10701</v>
      </c>
      <c r="G192" s="22">
        <v>4596</v>
      </c>
      <c r="H192" s="22">
        <v>96</v>
      </c>
      <c r="I192" s="22">
        <v>267</v>
      </c>
      <c r="J192" s="22">
        <v>102</v>
      </c>
      <c r="K192" s="22">
        <v>235</v>
      </c>
      <c r="L192" s="22">
        <v>0</v>
      </c>
    </row>
    <row r="193" spans="1:12" s="21" customFormat="1" ht="12" customHeight="1" x14ac:dyDescent="0.2">
      <c r="A193" s="264" t="s">
        <v>359</v>
      </c>
      <c r="B193" s="264"/>
      <c r="C193" s="22">
        <v>154464</v>
      </c>
      <c r="D193" s="22">
        <v>103007</v>
      </c>
      <c r="E193" s="22">
        <v>51457</v>
      </c>
      <c r="F193" s="22">
        <v>32350</v>
      </c>
      <c r="G193" s="22">
        <v>16845</v>
      </c>
      <c r="H193" s="22">
        <v>333</v>
      </c>
      <c r="I193" s="22">
        <v>623</v>
      </c>
      <c r="J193" s="22">
        <v>114</v>
      </c>
      <c r="K193" s="22">
        <v>1165</v>
      </c>
      <c r="L193" s="22">
        <v>27</v>
      </c>
    </row>
    <row r="194" spans="1:12" s="21" customFormat="1" ht="12" customHeight="1" x14ac:dyDescent="0.2">
      <c r="A194" s="210" t="s">
        <v>360</v>
      </c>
      <c r="B194" s="210"/>
      <c r="C194" s="209">
        <v>8560</v>
      </c>
      <c r="D194" s="209">
        <v>6008</v>
      </c>
      <c r="E194" s="209">
        <v>2552</v>
      </c>
      <c r="F194" s="209">
        <v>1688</v>
      </c>
      <c r="G194" s="209">
        <v>786</v>
      </c>
      <c r="H194" s="209">
        <v>26</v>
      </c>
      <c r="I194" s="209">
        <v>16</v>
      </c>
      <c r="J194" s="209">
        <v>8</v>
      </c>
      <c r="K194" s="209">
        <v>28</v>
      </c>
      <c r="L194" s="209">
        <v>0</v>
      </c>
    </row>
    <row r="195" spans="1:12" s="21" customFormat="1" ht="12" customHeight="1" x14ac:dyDescent="0.2">
      <c r="A195" s="31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spans="1:12" s="21" customFormat="1" ht="12" customHeight="1" x14ac:dyDescent="0.2">
      <c r="A196" s="118" t="s">
        <v>361</v>
      </c>
      <c r="B196" s="118"/>
      <c r="C196" s="208">
        <v>23011</v>
      </c>
      <c r="D196" s="208">
        <v>17675</v>
      </c>
      <c r="E196" s="208">
        <v>5336</v>
      </c>
      <c r="F196" s="208">
        <v>3656</v>
      </c>
      <c r="G196" s="208">
        <v>1407</v>
      </c>
      <c r="H196" s="208">
        <v>37</v>
      </c>
      <c r="I196" s="208">
        <v>58</v>
      </c>
      <c r="J196" s="208">
        <v>52</v>
      </c>
      <c r="K196" s="208">
        <v>126</v>
      </c>
      <c r="L196" s="208">
        <v>0</v>
      </c>
    </row>
    <row r="197" spans="1:12" s="34" customFormat="1" ht="12" customHeight="1" x14ac:dyDescent="0.15"/>
    <row r="198" spans="1:12" s="36" customFormat="1" ht="12" customHeight="1" x14ac:dyDescent="0.2">
      <c r="A198" s="265" t="s">
        <v>394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</row>
    <row r="199" spans="1:12" s="36" customFormat="1" ht="12" customHeight="1" x14ac:dyDescent="0.2">
      <c r="A199" s="241" t="s">
        <v>401</v>
      </c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</row>
    <row r="200" spans="1:12" s="36" customFormat="1" ht="12" customHeight="1" x14ac:dyDescent="0.2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</row>
    <row r="201" spans="1:12" ht="12" customHeight="1" x14ac:dyDescent="0.2">
      <c r="A201" s="241" t="s">
        <v>339</v>
      </c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</row>
    <row r="202" spans="1:12" ht="12" customHeight="1" x14ac:dyDescent="0.2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</row>
    <row r="203" spans="1:12" ht="12" customHeight="1" x14ac:dyDescent="0.2">
      <c r="A203" s="241" t="s">
        <v>404</v>
      </c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</row>
    <row r="204" spans="1:12" ht="12" customHeight="1" x14ac:dyDescent="0.2">
      <c r="A204" s="244" t="s">
        <v>352</v>
      </c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</row>
  </sheetData>
  <mergeCells count="168">
    <mergeCell ref="A6:B6"/>
    <mergeCell ref="E6:L6"/>
    <mergeCell ref="A7:B7"/>
    <mergeCell ref="A8:B8"/>
    <mergeCell ref="A9:B9"/>
    <mergeCell ref="A10:B10"/>
    <mergeCell ref="A1:L1"/>
    <mergeCell ref="A2:L2"/>
    <mergeCell ref="A3:L3"/>
    <mergeCell ref="A4:L4"/>
    <mergeCell ref="A5:B5"/>
    <mergeCell ref="E5:L5"/>
    <mergeCell ref="A25:B25"/>
    <mergeCell ref="A26:B26"/>
    <mergeCell ref="A29:B29"/>
    <mergeCell ref="A32:B32"/>
    <mergeCell ref="A33:B33"/>
    <mergeCell ref="A38:B38"/>
    <mergeCell ref="A12:B12"/>
    <mergeCell ref="A13:B13"/>
    <mergeCell ref="A17:B17"/>
    <mergeCell ref="A21:B21"/>
    <mergeCell ref="A23:B23"/>
    <mergeCell ref="A24:B24"/>
    <mergeCell ref="A52:B52"/>
    <mergeCell ref="A53:B53"/>
    <mergeCell ref="A54:B54"/>
    <mergeCell ref="A55:B55"/>
    <mergeCell ref="A57:B57"/>
    <mergeCell ref="A58:B58"/>
    <mergeCell ref="A39:B39"/>
    <mergeCell ref="A40:B40"/>
    <mergeCell ref="A42:B42"/>
    <mergeCell ref="A43:B43"/>
    <mergeCell ref="A44:B44"/>
    <mergeCell ref="A47:B47"/>
    <mergeCell ref="A65:B65"/>
    <mergeCell ref="A66:B66"/>
    <mergeCell ref="A67:B67"/>
    <mergeCell ref="A68:B68"/>
    <mergeCell ref="A70:B70"/>
    <mergeCell ref="A71:B71"/>
    <mergeCell ref="A59:B59"/>
    <mergeCell ref="A60:B60"/>
    <mergeCell ref="A61:B61"/>
    <mergeCell ref="A62:B62"/>
    <mergeCell ref="A63:B63"/>
    <mergeCell ref="A64:B64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A119:B119"/>
    <mergeCell ref="A120:B120"/>
    <mergeCell ref="A108:B108"/>
    <mergeCell ref="A109:B109"/>
    <mergeCell ref="A110:B110"/>
    <mergeCell ref="A111:B111"/>
    <mergeCell ref="A112:B112"/>
    <mergeCell ref="A113:B113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41:B141"/>
    <mergeCell ref="A142:B142"/>
    <mergeCell ref="A143:B143"/>
    <mergeCell ref="A144:B144"/>
    <mergeCell ref="A145:B145"/>
    <mergeCell ref="A146:B146"/>
    <mergeCell ref="A133:B133"/>
    <mergeCell ref="A134:B134"/>
    <mergeCell ref="A135:B135"/>
    <mergeCell ref="A136:B136"/>
    <mergeCell ref="A137:B137"/>
    <mergeCell ref="A140:B140"/>
    <mergeCell ref="A154:B154"/>
    <mergeCell ref="A155:B155"/>
    <mergeCell ref="A156:B156"/>
    <mergeCell ref="A158:B158"/>
    <mergeCell ref="A159:B159"/>
    <mergeCell ref="A160:B160"/>
    <mergeCell ref="A147:B147"/>
    <mergeCell ref="A148:B148"/>
    <mergeCell ref="A150:B150"/>
    <mergeCell ref="A151:B151"/>
    <mergeCell ref="A152:B152"/>
    <mergeCell ref="A153:B153"/>
    <mergeCell ref="A169:B169"/>
    <mergeCell ref="A170:B170"/>
    <mergeCell ref="A171:B171"/>
    <mergeCell ref="A172:B172"/>
    <mergeCell ref="A173:B173"/>
    <mergeCell ref="A174:B174"/>
    <mergeCell ref="A162:B162"/>
    <mergeCell ref="A163:B163"/>
    <mergeCell ref="A164:B164"/>
    <mergeCell ref="A165:B165"/>
    <mergeCell ref="A167:B167"/>
    <mergeCell ref="A168:B168"/>
    <mergeCell ref="A182:B182"/>
    <mergeCell ref="A183:B183"/>
    <mergeCell ref="A184:B184"/>
    <mergeCell ref="A185:B185"/>
    <mergeCell ref="A186:B186"/>
    <mergeCell ref="A187:B187"/>
    <mergeCell ref="A175:B175"/>
    <mergeCell ref="A176:B176"/>
    <mergeCell ref="A177:B177"/>
    <mergeCell ref="A179:B179"/>
    <mergeCell ref="A180:B180"/>
    <mergeCell ref="A181:B181"/>
    <mergeCell ref="A199:L199"/>
    <mergeCell ref="A200:L200"/>
    <mergeCell ref="A201:L201"/>
    <mergeCell ref="A202:L202"/>
    <mergeCell ref="A203:L203"/>
    <mergeCell ref="A204:L204"/>
    <mergeCell ref="A189:B189"/>
    <mergeCell ref="A190:B190"/>
    <mergeCell ref="A191:B191"/>
    <mergeCell ref="A192:B192"/>
    <mergeCell ref="A193:B193"/>
    <mergeCell ref="A198:L198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1.7109375" style="2" customWidth="1"/>
    <col min="4" max="12" width="11.7109375" style="1" customWidth="1"/>
    <col min="13" max="16384" width="9.140625" style="1"/>
  </cols>
  <sheetData>
    <row r="1" spans="1:12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s="212" customFormat="1" ht="12" customHeight="1" x14ac:dyDescent="0.2">
      <c r="A2" s="248" t="s">
        <v>400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</row>
    <row r="3" spans="1:12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</row>
    <row r="4" spans="1:12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2" s="178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53"/>
      <c r="L5" s="274"/>
    </row>
    <row r="6" spans="1:12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  <c r="L6" s="254"/>
    </row>
    <row r="7" spans="1:12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14" t="s">
        <v>397</v>
      </c>
      <c r="L7" s="108"/>
    </row>
    <row r="8" spans="1:12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398</v>
      </c>
      <c r="L8" s="114" t="s">
        <v>4</v>
      </c>
    </row>
    <row r="9" spans="1:12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399</v>
      </c>
      <c r="L9" s="116" t="s">
        <v>8</v>
      </c>
    </row>
    <row r="10" spans="1:12" s="15" customFormat="1" ht="12" customHeight="1" x14ac:dyDescent="0.2">
      <c r="A10" s="272" t="s">
        <v>10</v>
      </c>
      <c r="B10" s="272"/>
      <c r="C10" s="16">
        <v>357720</v>
      </c>
      <c r="D10" s="16">
        <v>253794</v>
      </c>
      <c r="E10" s="16">
        <v>103926</v>
      </c>
      <c r="F10" s="16">
        <v>68105</v>
      </c>
      <c r="G10" s="16">
        <v>30982</v>
      </c>
      <c r="H10" s="16">
        <v>651</v>
      </c>
      <c r="I10" s="16">
        <v>1662</v>
      </c>
      <c r="J10" s="16">
        <v>299</v>
      </c>
      <c r="K10" s="16">
        <v>2205</v>
      </c>
      <c r="L10" s="16">
        <v>22</v>
      </c>
    </row>
    <row r="11" spans="1:12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s="19" customFormat="1" ht="12" customHeight="1" x14ac:dyDescent="0.2">
      <c r="A12" s="263" t="s">
        <v>11</v>
      </c>
      <c r="B12" s="263"/>
      <c r="C12" s="20">
        <v>24673</v>
      </c>
      <c r="D12" s="20">
        <v>18500</v>
      </c>
      <c r="E12" s="20">
        <v>6173</v>
      </c>
      <c r="F12" s="20">
        <v>4487</v>
      </c>
      <c r="G12" s="20">
        <v>1483</v>
      </c>
      <c r="H12" s="20">
        <v>31</v>
      </c>
      <c r="I12" s="20">
        <v>58</v>
      </c>
      <c r="J12" s="20">
        <v>2</v>
      </c>
      <c r="K12" s="20">
        <v>112</v>
      </c>
      <c r="L12" s="20">
        <v>0</v>
      </c>
    </row>
    <row r="13" spans="1:12" s="21" customFormat="1" ht="12" customHeight="1" x14ac:dyDescent="0.2">
      <c r="A13" s="264" t="s">
        <v>12</v>
      </c>
      <c r="B13" s="264"/>
      <c r="C13" s="22">
        <v>8680</v>
      </c>
      <c r="D13" s="22">
        <v>6428</v>
      </c>
      <c r="E13" s="22">
        <v>2252</v>
      </c>
      <c r="F13" s="22">
        <v>1593</v>
      </c>
      <c r="G13" s="22">
        <v>578</v>
      </c>
      <c r="H13" s="22">
        <v>19</v>
      </c>
      <c r="I13" s="22">
        <v>22</v>
      </c>
      <c r="J13" s="22">
        <v>1</v>
      </c>
      <c r="K13" s="22">
        <v>39</v>
      </c>
      <c r="L13" s="22">
        <v>0</v>
      </c>
    </row>
    <row r="14" spans="1:12" s="21" customFormat="1" ht="12" customHeight="1" x14ac:dyDescent="0.2">
      <c r="A14" s="23"/>
      <c r="B14" s="24" t="s">
        <v>13</v>
      </c>
      <c r="C14" s="22">
        <v>3070</v>
      </c>
      <c r="D14" s="22">
        <v>2370</v>
      </c>
      <c r="E14" s="22">
        <v>700</v>
      </c>
      <c r="F14" s="22">
        <v>474</v>
      </c>
      <c r="G14" s="22">
        <v>190</v>
      </c>
      <c r="H14" s="22">
        <v>10</v>
      </c>
      <c r="I14" s="22">
        <v>6</v>
      </c>
      <c r="J14" s="22">
        <v>0</v>
      </c>
      <c r="K14" s="22">
        <v>20</v>
      </c>
      <c r="L14" s="22">
        <v>0</v>
      </c>
    </row>
    <row r="15" spans="1:12" s="21" customFormat="1" ht="12" customHeight="1" x14ac:dyDescent="0.2">
      <c r="A15" s="23"/>
      <c r="B15" s="24" t="s">
        <v>14</v>
      </c>
      <c r="C15" s="22">
        <v>2753</v>
      </c>
      <c r="D15" s="22">
        <v>2167</v>
      </c>
      <c r="E15" s="22">
        <v>586</v>
      </c>
      <c r="F15" s="22">
        <v>458</v>
      </c>
      <c r="G15" s="22">
        <v>122</v>
      </c>
      <c r="H15" s="22">
        <v>3</v>
      </c>
      <c r="I15" s="22">
        <v>0</v>
      </c>
      <c r="J15" s="22">
        <v>0</v>
      </c>
      <c r="K15" s="22">
        <v>3</v>
      </c>
      <c r="L15" s="22">
        <v>0</v>
      </c>
    </row>
    <row r="16" spans="1:12" s="21" customFormat="1" ht="12" customHeight="1" x14ac:dyDescent="0.2">
      <c r="A16" s="23"/>
      <c r="B16" s="25" t="s">
        <v>15</v>
      </c>
      <c r="C16" s="22">
        <v>2857</v>
      </c>
      <c r="D16" s="22">
        <v>1891</v>
      </c>
      <c r="E16" s="22">
        <v>966</v>
      </c>
      <c r="F16" s="22">
        <v>661</v>
      </c>
      <c r="G16" s="22">
        <v>266</v>
      </c>
      <c r="H16" s="22">
        <v>6</v>
      </c>
      <c r="I16" s="22">
        <v>16</v>
      </c>
      <c r="J16" s="22">
        <v>1</v>
      </c>
      <c r="K16" s="22">
        <v>16</v>
      </c>
      <c r="L16" s="22">
        <v>0</v>
      </c>
    </row>
    <row r="17" spans="1:12" s="21" customFormat="1" ht="12" customHeight="1" x14ac:dyDescent="0.2">
      <c r="A17" s="264" t="s">
        <v>16</v>
      </c>
      <c r="B17" s="264"/>
      <c r="C17" s="22">
        <v>5595</v>
      </c>
      <c r="D17" s="22">
        <v>5056</v>
      </c>
      <c r="E17" s="22">
        <v>539</v>
      </c>
      <c r="F17" s="22">
        <v>370</v>
      </c>
      <c r="G17" s="22">
        <v>145</v>
      </c>
      <c r="H17" s="22">
        <v>3</v>
      </c>
      <c r="I17" s="22">
        <v>0</v>
      </c>
      <c r="J17" s="22">
        <v>0</v>
      </c>
      <c r="K17" s="22">
        <v>21</v>
      </c>
      <c r="L17" s="22">
        <v>0</v>
      </c>
    </row>
    <row r="18" spans="1:12" s="21" customFormat="1" ht="12" customHeight="1" x14ac:dyDescent="0.2">
      <c r="A18" s="23"/>
      <c r="B18" s="24" t="s">
        <v>17</v>
      </c>
      <c r="C18" s="22">
        <v>1706</v>
      </c>
      <c r="D18" s="22">
        <v>1604</v>
      </c>
      <c r="E18" s="22">
        <v>102</v>
      </c>
      <c r="F18" s="22">
        <v>67</v>
      </c>
      <c r="G18" s="22">
        <v>31</v>
      </c>
      <c r="H18" s="22">
        <v>0</v>
      </c>
      <c r="I18" s="22">
        <v>0</v>
      </c>
      <c r="J18" s="22">
        <v>0</v>
      </c>
      <c r="K18" s="22">
        <v>4</v>
      </c>
      <c r="L18" s="22">
        <v>0</v>
      </c>
    </row>
    <row r="19" spans="1:12" s="21" customFormat="1" ht="12" customHeight="1" x14ac:dyDescent="0.2">
      <c r="A19" s="23"/>
      <c r="B19" s="24" t="s">
        <v>18</v>
      </c>
      <c r="C19" s="22">
        <v>1823</v>
      </c>
      <c r="D19" s="22">
        <v>1590</v>
      </c>
      <c r="E19" s="22">
        <v>233</v>
      </c>
      <c r="F19" s="22">
        <v>164</v>
      </c>
      <c r="G19" s="22">
        <v>59</v>
      </c>
      <c r="H19" s="22">
        <v>2</v>
      </c>
      <c r="I19" s="22">
        <v>0</v>
      </c>
      <c r="J19" s="22">
        <v>0</v>
      </c>
      <c r="K19" s="22">
        <v>8</v>
      </c>
      <c r="L19" s="22">
        <v>0</v>
      </c>
    </row>
    <row r="20" spans="1:12" s="21" customFormat="1" ht="12" customHeight="1" x14ac:dyDescent="0.2">
      <c r="A20" s="26"/>
      <c r="B20" s="24" t="s">
        <v>19</v>
      </c>
      <c r="C20" s="22">
        <v>2066</v>
      </c>
      <c r="D20" s="22">
        <v>1862</v>
      </c>
      <c r="E20" s="22">
        <v>204</v>
      </c>
      <c r="F20" s="22">
        <v>139</v>
      </c>
      <c r="G20" s="22">
        <v>55</v>
      </c>
      <c r="H20" s="22">
        <v>1</v>
      </c>
      <c r="I20" s="22">
        <v>0</v>
      </c>
      <c r="J20" s="22">
        <v>0</v>
      </c>
      <c r="K20" s="22">
        <v>9</v>
      </c>
      <c r="L20" s="22">
        <v>0</v>
      </c>
    </row>
    <row r="21" spans="1:12" s="21" customFormat="1" ht="12" customHeight="1" x14ac:dyDescent="0.2">
      <c r="A21" s="267" t="s">
        <v>20</v>
      </c>
      <c r="B21" s="267"/>
      <c r="C21" s="209">
        <v>10398</v>
      </c>
      <c r="D21" s="209">
        <v>7016</v>
      </c>
      <c r="E21" s="209">
        <v>3382</v>
      </c>
      <c r="F21" s="209">
        <v>2524</v>
      </c>
      <c r="G21" s="209">
        <v>760</v>
      </c>
      <c r="H21" s="209">
        <v>9</v>
      </c>
      <c r="I21" s="209">
        <v>36</v>
      </c>
      <c r="J21" s="209">
        <v>1</v>
      </c>
      <c r="K21" s="209">
        <v>52</v>
      </c>
      <c r="L21" s="209">
        <v>0</v>
      </c>
    </row>
    <row r="22" spans="1:12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s="19" customFormat="1" ht="12" customHeight="1" x14ac:dyDescent="0.2">
      <c r="A23" s="263" t="s">
        <v>342</v>
      </c>
      <c r="B23" s="263"/>
      <c r="C23" s="20">
        <v>70631</v>
      </c>
      <c r="D23" s="20">
        <v>53255</v>
      </c>
      <c r="E23" s="20">
        <v>17376</v>
      </c>
      <c r="F23" s="20">
        <v>11882</v>
      </c>
      <c r="G23" s="20">
        <v>4747</v>
      </c>
      <c r="H23" s="20">
        <v>145</v>
      </c>
      <c r="I23" s="20">
        <v>275</v>
      </c>
      <c r="J23" s="20">
        <v>84</v>
      </c>
      <c r="K23" s="20">
        <v>243</v>
      </c>
      <c r="L23" s="20">
        <v>0</v>
      </c>
    </row>
    <row r="24" spans="1:12" s="21" customFormat="1" ht="12" customHeight="1" x14ac:dyDescent="0.2">
      <c r="A24" s="264" t="s">
        <v>22</v>
      </c>
      <c r="B24" s="264"/>
      <c r="C24" s="22">
        <v>41777</v>
      </c>
      <c r="D24" s="22">
        <v>29414</v>
      </c>
      <c r="E24" s="22">
        <v>12363</v>
      </c>
      <c r="F24" s="22">
        <v>8417</v>
      </c>
      <c r="G24" s="22">
        <v>3433</v>
      </c>
      <c r="H24" s="22">
        <v>113</v>
      </c>
      <c r="I24" s="22">
        <v>187</v>
      </c>
      <c r="J24" s="22">
        <v>54</v>
      </c>
      <c r="K24" s="22">
        <v>159</v>
      </c>
      <c r="L24" s="22">
        <v>0</v>
      </c>
    </row>
    <row r="25" spans="1:12" s="21" customFormat="1" ht="12" customHeight="1" x14ac:dyDescent="0.2">
      <c r="A25" s="264" t="s">
        <v>23</v>
      </c>
      <c r="B25" s="264"/>
      <c r="C25" s="22">
        <v>5086</v>
      </c>
      <c r="D25" s="22">
        <v>3895</v>
      </c>
      <c r="E25" s="22">
        <v>1191</v>
      </c>
      <c r="F25" s="22">
        <v>803</v>
      </c>
      <c r="G25" s="22">
        <v>351</v>
      </c>
      <c r="H25" s="22">
        <v>18</v>
      </c>
      <c r="I25" s="22">
        <v>2</v>
      </c>
      <c r="J25" s="22">
        <v>0</v>
      </c>
      <c r="K25" s="22">
        <v>17</v>
      </c>
      <c r="L25" s="22">
        <v>0</v>
      </c>
    </row>
    <row r="26" spans="1:12" s="21" customFormat="1" ht="12" customHeight="1" x14ac:dyDescent="0.2">
      <c r="A26" s="264" t="s">
        <v>24</v>
      </c>
      <c r="B26" s="264"/>
      <c r="C26" s="22">
        <v>13300</v>
      </c>
      <c r="D26" s="22">
        <v>10611</v>
      </c>
      <c r="E26" s="22">
        <v>2689</v>
      </c>
      <c r="F26" s="22">
        <v>1828</v>
      </c>
      <c r="G26" s="22">
        <v>696</v>
      </c>
      <c r="H26" s="22">
        <v>13</v>
      </c>
      <c r="I26" s="22">
        <v>86</v>
      </c>
      <c r="J26" s="22">
        <v>18</v>
      </c>
      <c r="K26" s="22">
        <v>48</v>
      </c>
      <c r="L26" s="22">
        <v>0</v>
      </c>
    </row>
    <row r="27" spans="1:12" s="21" customFormat="1" ht="12" customHeight="1" x14ac:dyDescent="0.2">
      <c r="A27" s="211"/>
      <c r="B27" s="24" t="s">
        <v>25</v>
      </c>
      <c r="C27" s="22">
        <v>989</v>
      </c>
      <c r="D27" s="22">
        <v>908</v>
      </c>
      <c r="E27" s="22">
        <v>81</v>
      </c>
      <c r="F27" s="22">
        <v>42</v>
      </c>
      <c r="G27" s="22">
        <v>29</v>
      </c>
      <c r="H27" s="22">
        <v>0</v>
      </c>
      <c r="I27" s="22">
        <v>3</v>
      </c>
      <c r="J27" s="22">
        <v>7</v>
      </c>
      <c r="K27" s="22">
        <v>0</v>
      </c>
      <c r="L27" s="22">
        <v>0</v>
      </c>
    </row>
    <row r="28" spans="1:12" s="21" customFormat="1" ht="12" customHeight="1" x14ac:dyDescent="0.2">
      <c r="A28" s="26"/>
      <c r="B28" s="24" t="s">
        <v>26</v>
      </c>
      <c r="C28" s="22">
        <v>12311</v>
      </c>
      <c r="D28" s="22">
        <v>9703</v>
      </c>
      <c r="E28" s="22">
        <v>2608</v>
      </c>
      <c r="F28" s="22">
        <v>1786</v>
      </c>
      <c r="G28" s="22">
        <v>667</v>
      </c>
      <c r="H28" s="22">
        <v>13</v>
      </c>
      <c r="I28" s="22">
        <v>83</v>
      </c>
      <c r="J28" s="22">
        <v>11</v>
      </c>
      <c r="K28" s="22">
        <v>48</v>
      </c>
      <c r="L28" s="22">
        <v>0</v>
      </c>
    </row>
    <row r="29" spans="1:12" s="21" customFormat="1" ht="12" customHeight="1" x14ac:dyDescent="0.2">
      <c r="A29" s="264" t="s">
        <v>27</v>
      </c>
      <c r="B29" s="264"/>
      <c r="C29" s="22">
        <v>3771</v>
      </c>
      <c r="D29" s="22">
        <v>3363</v>
      </c>
      <c r="E29" s="22">
        <v>408</v>
      </c>
      <c r="F29" s="22">
        <v>291</v>
      </c>
      <c r="G29" s="22">
        <v>107</v>
      </c>
      <c r="H29" s="22">
        <v>0</v>
      </c>
      <c r="I29" s="22">
        <v>0</v>
      </c>
      <c r="J29" s="22">
        <v>0</v>
      </c>
      <c r="K29" s="22">
        <v>10</v>
      </c>
      <c r="L29" s="22">
        <v>0</v>
      </c>
    </row>
    <row r="30" spans="1:12" s="21" customFormat="1" ht="12" customHeight="1" x14ac:dyDescent="0.2">
      <c r="A30" s="211"/>
      <c r="B30" s="24" t="s">
        <v>28</v>
      </c>
      <c r="C30" s="22">
        <v>1098</v>
      </c>
      <c r="D30" s="22">
        <v>988</v>
      </c>
      <c r="E30" s="22">
        <v>110</v>
      </c>
      <c r="F30" s="22">
        <v>77</v>
      </c>
      <c r="G30" s="22">
        <v>23</v>
      </c>
      <c r="H30" s="22">
        <v>0</v>
      </c>
      <c r="I30" s="22">
        <v>0</v>
      </c>
      <c r="J30" s="22">
        <v>0</v>
      </c>
      <c r="K30" s="22">
        <v>10</v>
      </c>
      <c r="L30" s="22">
        <v>0</v>
      </c>
    </row>
    <row r="31" spans="1:12" s="21" customFormat="1" ht="12" customHeight="1" x14ac:dyDescent="0.2">
      <c r="A31" s="26"/>
      <c r="B31" s="24" t="s">
        <v>29</v>
      </c>
      <c r="C31" s="22">
        <v>2673</v>
      </c>
      <c r="D31" s="22">
        <v>2375</v>
      </c>
      <c r="E31" s="22">
        <v>298</v>
      </c>
      <c r="F31" s="22">
        <v>214</v>
      </c>
      <c r="G31" s="22">
        <v>84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</row>
    <row r="32" spans="1:12" s="21" customFormat="1" ht="12" customHeight="1" x14ac:dyDescent="0.2">
      <c r="A32" s="264" t="s">
        <v>30</v>
      </c>
      <c r="B32" s="264"/>
      <c r="C32" s="22">
        <v>663</v>
      </c>
      <c r="D32" s="22">
        <v>605</v>
      </c>
      <c r="E32" s="22">
        <v>58</v>
      </c>
      <c r="F32" s="22">
        <v>41</v>
      </c>
      <c r="G32" s="22">
        <v>16</v>
      </c>
      <c r="H32" s="22">
        <v>1</v>
      </c>
      <c r="I32" s="22">
        <v>0</v>
      </c>
      <c r="J32" s="22">
        <v>0</v>
      </c>
      <c r="K32" s="22">
        <v>0</v>
      </c>
      <c r="L32" s="22">
        <v>0</v>
      </c>
    </row>
    <row r="33" spans="1:12" s="21" customFormat="1" ht="12" customHeight="1" x14ac:dyDescent="0.2">
      <c r="A33" s="264" t="s">
        <v>343</v>
      </c>
      <c r="B33" s="264"/>
      <c r="C33" s="22">
        <v>6034</v>
      </c>
      <c r="D33" s="22">
        <v>5367</v>
      </c>
      <c r="E33" s="22">
        <v>667</v>
      </c>
      <c r="F33" s="22">
        <v>502</v>
      </c>
      <c r="G33" s="22">
        <v>144</v>
      </c>
      <c r="H33" s="22">
        <v>0</v>
      </c>
      <c r="I33" s="22">
        <v>0</v>
      </c>
      <c r="J33" s="22">
        <v>12</v>
      </c>
      <c r="K33" s="22">
        <v>9</v>
      </c>
      <c r="L33" s="22">
        <v>0</v>
      </c>
    </row>
    <row r="34" spans="1:12" s="21" customFormat="1" ht="12" customHeight="1" x14ac:dyDescent="0.2">
      <c r="A34" s="211"/>
      <c r="B34" s="24" t="s">
        <v>32</v>
      </c>
      <c r="C34" s="22">
        <v>487</v>
      </c>
      <c r="D34" s="22">
        <v>448</v>
      </c>
      <c r="E34" s="22">
        <v>39</v>
      </c>
      <c r="F34" s="22">
        <v>27</v>
      </c>
      <c r="G34" s="22">
        <v>12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</row>
    <row r="35" spans="1:12" s="21" customFormat="1" ht="12" customHeight="1" x14ac:dyDescent="0.2">
      <c r="A35" s="23"/>
      <c r="B35" s="24" t="s">
        <v>33</v>
      </c>
      <c r="C35" s="22">
        <v>182</v>
      </c>
      <c r="D35" s="22">
        <v>162</v>
      </c>
      <c r="E35" s="22">
        <v>20</v>
      </c>
      <c r="F35" s="22">
        <v>15</v>
      </c>
      <c r="G35" s="22">
        <v>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s="21" customFormat="1" ht="12" customHeight="1" x14ac:dyDescent="0.2">
      <c r="A36" s="23"/>
      <c r="B36" s="30" t="s">
        <v>344</v>
      </c>
      <c r="C36" s="209">
        <v>5365</v>
      </c>
      <c r="D36" s="209">
        <v>4757</v>
      </c>
      <c r="E36" s="209">
        <v>608</v>
      </c>
      <c r="F36" s="209">
        <v>460</v>
      </c>
      <c r="G36" s="209">
        <v>127</v>
      </c>
      <c r="H36" s="209">
        <v>0</v>
      </c>
      <c r="I36" s="209">
        <v>0</v>
      </c>
      <c r="J36" s="209">
        <v>12</v>
      </c>
      <c r="K36" s="209">
        <v>9</v>
      </c>
      <c r="L36" s="209">
        <v>0</v>
      </c>
    </row>
    <row r="37" spans="1:12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s="19" customFormat="1" ht="12" customHeight="1" x14ac:dyDescent="0.2">
      <c r="A38" s="263" t="s">
        <v>35</v>
      </c>
      <c r="B38" s="263"/>
      <c r="C38" s="20">
        <v>57222</v>
      </c>
      <c r="D38" s="20">
        <v>41458</v>
      </c>
      <c r="E38" s="20">
        <v>15764</v>
      </c>
      <c r="F38" s="20">
        <v>10762</v>
      </c>
      <c r="G38" s="20">
        <v>4198</v>
      </c>
      <c r="H38" s="20">
        <v>71</v>
      </c>
      <c r="I38" s="20">
        <v>429</v>
      </c>
      <c r="J38" s="20">
        <v>61</v>
      </c>
      <c r="K38" s="20">
        <v>243</v>
      </c>
      <c r="L38" s="20">
        <v>0</v>
      </c>
    </row>
    <row r="39" spans="1:12" s="21" customFormat="1" ht="12" customHeight="1" x14ac:dyDescent="0.2">
      <c r="A39" s="264" t="s">
        <v>36</v>
      </c>
      <c r="B39" s="264"/>
      <c r="C39" s="22">
        <v>51465</v>
      </c>
      <c r="D39" s="22">
        <v>37739</v>
      </c>
      <c r="E39" s="22">
        <v>13726</v>
      </c>
      <c r="F39" s="22">
        <v>9344</v>
      </c>
      <c r="G39" s="22">
        <v>3669</v>
      </c>
      <c r="H39" s="22">
        <v>55</v>
      </c>
      <c r="I39" s="22">
        <v>381</v>
      </c>
      <c r="J39" s="22">
        <v>61</v>
      </c>
      <c r="K39" s="22">
        <v>216</v>
      </c>
      <c r="L39" s="22">
        <v>0</v>
      </c>
    </row>
    <row r="40" spans="1:12" s="21" customFormat="1" ht="12" customHeight="1" x14ac:dyDescent="0.2">
      <c r="A40" s="267" t="s">
        <v>37</v>
      </c>
      <c r="B40" s="267"/>
      <c r="C40" s="209">
        <v>5757</v>
      </c>
      <c r="D40" s="209">
        <v>3719</v>
      </c>
      <c r="E40" s="209">
        <v>2038</v>
      </c>
      <c r="F40" s="209">
        <v>1418</v>
      </c>
      <c r="G40" s="209">
        <v>529</v>
      </c>
      <c r="H40" s="209">
        <v>16</v>
      </c>
      <c r="I40" s="209">
        <v>48</v>
      </c>
      <c r="J40" s="209">
        <v>0</v>
      </c>
      <c r="K40" s="209">
        <v>27</v>
      </c>
      <c r="L40" s="209">
        <v>0</v>
      </c>
    </row>
    <row r="41" spans="1:12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s="19" customFormat="1" ht="12" customHeight="1" x14ac:dyDescent="0.2">
      <c r="A42" s="263" t="s">
        <v>38</v>
      </c>
      <c r="B42" s="263"/>
      <c r="C42" s="20">
        <v>149457</v>
      </c>
      <c r="D42" s="20">
        <v>99930</v>
      </c>
      <c r="E42" s="20">
        <v>49527</v>
      </c>
      <c r="F42" s="20">
        <v>31602</v>
      </c>
      <c r="G42" s="20">
        <v>15712</v>
      </c>
      <c r="H42" s="20">
        <v>316</v>
      </c>
      <c r="I42" s="20">
        <v>653</v>
      </c>
      <c r="J42" s="20">
        <v>124</v>
      </c>
      <c r="K42" s="20">
        <v>1098</v>
      </c>
      <c r="L42" s="20">
        <v>22</v>
      </c>
    </row>
    <row r="43" spans="1:12" s="21" customFormat="1" ht="12" customHeight="1" x14ac:dyDescent="0.2">
      <c r="A43" s="264" t="s">
        <v>39</v>
      </c>
      <c r="B43" s="264"/>
      <c r="C43" s="22">
        <v>101570</v>
      </c>
      <c r="D43" s="22">
        <v>62069</v>
      </c>
      <c r="E43" s="22">
        <v>39501</v>
      </c>
      <c r="F43" s="22">
        <v>24389</v>
      </c>
      <c r="G43" s="22">
        <v>13228</v>
      </c>
      <c r="H43" s="22">
        <v>269</v>
      </c>
      <c r="I43" s="22">
        <v>593</v>
      </c>
      <c r="J43" s="22">
        <v>121</v>
      </c>
      <c r="K43" s="22">
        <v>879</v>
      </c>
      <c r="L43" s="22">
        <v>22</v>
      </c>
    </row>
    <row r="44" spans="1:12" s="21" customFormat="1" ht="12" customHeight="1" x14ac:dyDescent="0.2">
      <c r="A44" s="270" t="s">
        <v>40</v>
      </c>
      <c r="B44" s="270"/>
      <c r="C44" s="22">
        <v>23950</v>
      </c>
      <c r="D44" s="22">
        <v>19774</v>
      </c>
      <c r="E44" s="22">
        <v>4176</v>
      </c>
      <c r="F44" s="22">
        <v>3122</v>
      </c>
      <c r="G44" s="22">
        <v>964</v>
      </c>
      <c r="H44" s="22">
        <v>22</v>
      </c>
      <c r="I44" s="22">
        <v>23</v>
      </c>
      <c r="J44" s="22">
        <v>0</v>
      </c>
      <c r="K44" s="22">
        <v>45</v>
      </c>
      <c r="L44" s="22">
        <v>0</v>
      </c>
    </row>
    <row r="45" spans="1:12" s="21" customFormat="1" ht="12" customHeight="1" x14ac:dyDescent="0.2">
      <c r="A45" s="30"/>
      <c r="B45" s="24" t="s">
        <v>41</v>
      </c>
      <c r="C45" s="22">
        <v>13735</v>
      </c>
      <c r="D45" s="22">
        <v>10948</v>
      </c>
      <c r="E45" s="22">
        <v>2787</v>
      </c>
      <c r="F45" s="22">
        <v>2136</v>
      </c>
      <c r="G45" s="22">
        <v>596</v>
      </c>
      <c r="H45" s="22">
        <v>12</v>
      </c>
      <c r="I45" s="22">
        <v>23</v>
      </c>
      <c r="J45" s="22">
        <v>0</v>
      </c>
      <c r="K45" s="22">
        <v>20</v>
      </c>
      <c r="L45" s="22">
        <v>0</v>
      </c>
    </row>
    <row r="46" spans="1:12" s="21" customFormat="1" ht="12" customHeight="1" x14ac:dyDescent="0.2">
      <c r="A46" s="30"/>
      <c r="B46" s="24" t="s">
        <v>42</v>
      </c>
      <c r="C46" s="22">
        <v>10215</v>
      </c>
      <c r="D46" s="22">
        <v>8826</v>
      </c>
      <c r="E46" s="22">
        <v>1389</v>
      </c>
      <c r="F46" s="22">
        <v>986</v>
      </c>
      <c r="G46" s="22">
        <v>368</v>
      </c>
      <c r="H46" s="22">
        <v>10</v>
      </c>
      <c r="I46" s="22">
        <v>0</v>
      </c>
      <c r="J46" s="22">
        <v>0</v>
      </c>
      <c r="K46" s="22">
        <v>25</v>
      </c>
      <c r="L46" s="22">
        <v>0</v>
      </c>
    </row>
    <row r="47" spans="1:12" s="21" customFormat="1" ht="12" customHeight="1" x14ac:dyDescent="0.2">
      <c r="A47" s="264" t="s">
        <v>44</v>
      </c>
      <c r="B47" s="264"/>
      <c r="C47" s="22">
        <v>23937</v>
      </c>
      <c r="D47" s="22">
        <v>18087</v>
      </c>
      <c r="E47" s="22">
        <v>5850</v>
      </c>
      <c r="F47" s="22">
        <v>4091</v>
      </c>
      <c r="G47" s="22">
        <v>1520</v>
      </c>
      <c r="H47" s="22">
        <v>25</v>
      </c>
      <c r="I47" s="22">
        <v>37</v>
      </c>
      <c r="J47" s="22">
        <v>3</v>
      </c>
      <c r="K47" s="22">
        <v>174</v>
      </c>
      <c r="L47" s="22">
        <v>0</v>
      </c>
    </row>
    <row r="48" spans="1:12" s="21" customFormat="1" ht="12" customHeight="1" x14ac:dyDescent="0.2">
      <c r="A48" s="30"/>
      <c r="B48" s="24" t="s">
        <v>45</v>
      </c>
      <c r="C48" s="22">
        <v>2830</v>
      </c>
      <c r="D48" s="22">
        <v>2449</v>
      </c>
      <c r="E48" s="22">
        <v>381</v>
      </c>
      <c r="F48" s="22">
        <v>268</v>
      </c>
      <c r="G48" s="22">
        <v>83</v>
      </c>
      <c r="H48" s="22">
        <v>0</v>
      </c>
      <c r="I48" s="22">
        <v>1</v>
      </c>
      <c r="J48" s="22">
        <v>0</v>
      </c>
      <c r="K48" s="22">
        <v>29</v>
      </c>
      <c r="L48" s="22">
        <v>0</v>
      </c>
    </row>
    <row r="49" spans="1:12" s="21" customFormat="1" ht="12" customHeight="1" x14ac:dyDescent="0.2">
      <c r="A49" s="30"/>
      <c r="B49" s="24" t="s">
        <v>46</v>
      </c>
      <c r="C49" s="22">
        <v>6848</v>
      </c>
      <c r="D49" s="22">
        <v>5432</v>
      </c>
      <c r="E49" s="22">
        <v>1416</v>
      </c>
      <c r="F49" s="22">
        <v>957</v>
      </c>
      <c r="G49" s="22">
        <v>405</v>
      </c>
      <c r="H49" s="22">
        <v>10</v>
      </c>
      <c r="I49" s="22">
        <v>3</v>
      </c>
      <c r="J49" s="22">
        <v>0</v>
      </c>
      <c r="K49" s="22">
        <v>41</v>
      </c>
      <c r="L49" s="22">
        <v>0</v>
      </c>
    </row>
    <row r="50" spans="1:12" s="21" customFormat="1" ht="12" customHeight="1" x14ac:dyDescent="0.2">
      <c r="A50" s="30"/>
      <c r="B50" s="30" t="s">
        <v>47</v>
      </c>
      <c r="C50" s="209">
        <v>14259</v>
      </c>
      <c r="D50" s="209">
        <v>10206</v>
      </c>
      <c r="E50" s="209">
        <v>4053</v>
      </c>
      <c r="F50" s="209">
        <v>2866</v>
      </c>
      <c r="G50" s="209">
        <v>1032</v>
      </c>
      <c r="H50" s="209">
        <v>15</v>
      </c>
      <c r="I50" s="209">
        <v>33</v>
      </c>
      <c r="J50" s="209">
        <v>3</v>
      </c>
      <c r="K50" s="209">
        <v>104</v>
      </c>
      <c r="L50" s="209">
        <v>0</v>
      </c>
    </row>
    <row r="51" spans="1:12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s="19" customFormat="1" ht="12" customHeight="1" x14ac:dyDescent="0.2">
      <c r="A52" s="263" t="s">
        <v>48</v>
      </c>
      <c r="B52" s="263"/>
      <c r="C52" s="20">
        <v>55737</v>
      </c>
      <c r="D52" s="20">
        <v>40651</v>
      </c>
      <c r="E52" s="20">
        <v>15086</v>
      </c>
      <c r="F52" s="20">
        <v>9372</v>
      </c>
      <c r="G52" s="20">
        <v>4842</v>
      </c>
      <c r="H52" s="20">
        <v>88</v>
      </c>
      <c r="I52" s="20">
        <v>247</v>
      </c>
      <c r="J52" s="20">
        <v>28</v>
      </c>
      <c r="K52" s="20">
        <v>509</v>
      </c>
      <c r="L52" s="20">
        <v>0</v>
      </c>
    </row>
    <row r="53" spans="1:12" s="21" customFormat="1" ht="12" customHeight="1" x14ac:dyDescent="0.2">
      <c r="A53" s="264" t="s">
        <v>49</v>
      </c>
      <c r="B53" s="264"/>
      <c r="C53" s="22">
        <v>18782</v>
      </c>
      <c r="D53" s="22">
        <v>12206</v>
      </c>
      <c r="E53" s="22">
        <v>6576</v>
      </c>
      <c r="F53" s="22">
        <v>4017</v>
      </c>
      <c r="G53" s="22">
        <v>2012</v>
      </c>
      <c r="H53" s="22">
        <v>32</v>
      </c>
      <c r="I53" s="22">
        <v>186</v>
      </c>
      <c r="J53" s="22">
        <v>24</v>
      </c>
      <c r="K53" s="22">
        <v>305</v>
      </c>
      <c r="L53" s="22">
        <v>0</v>
      </c>
    </row>
    <row r="54" spans="1:12" s="21" customFormat="1" ht="12" customHeight="1" x14ac:dyDescent="0.2">
      <c r="A54" s="264" t="s">
        <v>50</v>
      </c>
      <c r="B54" s="264"/>
      <c r="C54" s="22">
        <v>32794</v>
      </c>
      <c r="D54" s="22">
        <v>24772</v>
      </c>
      <c r="E54" s="22">
        <v>8022</v>
      </c>
      <c r="F54" s="22">
        <v>5008</v>
      </c>
      <c r="G54" s="22">
        <v>2710</v>
      </c>
      <c r="H54" s="22">
        <v>56</v>
      </c>
      <c r="I54" s="22">
        <v>61</v>
      </c>
      <c r="J54" s="22">
        <v>4</v>
      </c>
      <c r="K54" s="22">
        <v>183</v>
      </c>
      <c r="L54" s="22">
        <v>0</v>
      </c>
    </row>
    <row r="55" spans="1:12" s="21" customFormat="1" ht="12" customHeight="1" x14ac:dyDescent="0.2">
      <c r="A55" s="267" t="s">
        <v>51</v>
      </c>
      <c r="B55" s="267"/>
      <c r="C55" s="209">
        <v>4161</v>
      </c>
      <c r="D55" s="209">
        <v>3673</v>
      </c>
      <c r="E55" s="209">
        <v>488</v>
      </c>
      <c r="F55" s="209">
        <v>347</v>
      </c>
      <c r="G55" s="209">
        <v>120</v>
      </c>
      <c r="H55" s="209">
        <v>0</v>
      </c>
      <c r="I55" s="209">
        <v>0</v>
      </c>
      <c r="J55" s="209">
        <v>0</v>
      </c>
      <c r="K55" s="209">
        <v>21</v>
      </c>
      <c r="L55" s="209">
        <v>0</v>
      </c>
    </row>
    <row r="56" spans="1:12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s="21" customFormat="1" ht="12" customHeight="1" x14ac:dyDescent="0.2">
      <c r="A57" s="269" t="s">
        <v>52</v>
      </c>
      <c r="B57" s="269"/>
      <c r="C57" s="18">
        <v>50352</v>
      </c>
      <c r="D57" s="18">
        <v>36881</v>
      </c>
      <c r="E57" s="18">
        <v>13471</v>
      </c>
      <c r="F57" s="18">
        <v>8302</v>
      </c>
      <c r="G57" s="18">
        <v>4351</v>
      </c>
      <c r="H57" s="18">
        <v>79</v>
      </c>
      <c r="I57" s="18">
        <v>245</v>
      </c>
      <c r="J57" s="18">
        <v>28</v>
      </c>
      <c r="K57" s="18">
        <v>466</v>
      </c>
      <c r="L57" s="18">
        <v>0</v>
      </c>
    </row>
    <row r="58" spans="1:12" s="21" customFormat="1" ht="12" customHeight="1" x14ac:dyDescent="0.2">
      <c r="A58" s="264" t="s">
        <v>53</v>
      </c>
      <c r="B58" s="264"/>
      <c r="C58" s="22">
        <v>3335</v>
      </c>
      <c r="D58" s="22">
        <v>2387</v>
      </c>
      <c r="E58" s="22">
        <v>948</v>
      </c>
      <c r="F58" s="22">
        <v>648</v>
      </c>
      <c r="G58" s="22">
        <v>265</v>
      </c>
      <c r="H58" s="22">
        <v>5</v>
      </c>
      <c r="I58" s="22">
        <v>6</v>
      </c>
      <c r="J58" s="22">
        <v>1</v>
      </c>
      <c r="K58" s="22">
        <v>23</v>
      </c>
      <c r="L58" s="22">
        <v>0</v>
      </c>
    </row>
    <row r="59" spans="1:12" s="21" customFormat="1" ht="12" customHeight="1" x14ac:dyDescent="0.2">
      <c r="A59" s="264" t="s">
        <v>55</v>
      </c>
      <c r="B59" s="264"/>
      <c r="C59" s="22">
        <v>1936</v>
      </c>
      <c r="D59" s="22">
        <v>1721</v>
      </c>
      <c r="E59" s="22">
        <v>215</v>
      </c>
      <c r="F59" s="22">
        <v>146</v>
      </c>
      <c r="G59" s="22">
        <v>52</v>
      </c>
      <c r="H59" s="22">
        <v>0</v>
      </c>
      <c r="I59" s="22">
        <v>0</v>
      </c>
      <c r="J59" s="22">
        <v>0</v>
      </c>
      <c r="K59" s="22">
        <v>17</v>
      </c>
      <c r="L59" s="22">
        <v>0</v>
      </c>
    </row>
    <row r="60" spans="1:12" s="21" customFormat="1" ht="12" customHeight="1" x14ac:dyDescent="0.2">
      <c r="A60" s="264" t="s">
        <v>56</v>
      </c>
      <c r="B60" s="264"/>
      <c r="C60" s="22">
        <v>2225</v>
      </c>
      <c r="D60" s="22">
        <v>1952</v>
      </c>
      <c r="E60" s="22">
        <v>273</v>
      </c>
      <c r="F60" s="22">
        <v>201</v>
      </c>
      <c r="G60" s="22">
        <v>68</v>
      </c>
      <c r="H60" s="22">
        <v>0</v>
      </c>
      <c r="I60" s="22">
        <v>0</v>
      </c>
      <c r="J60" s="22">
        <v>0</v>
      </c>
      <c r="K60" s="22">
        <v>4</v>
      </c>
      <c r="L60" s="22">
        <v>0</v>
      </c>
    </row>
    <row r="61" spans="1:12" s="21" customFormat="1" ht="12" customHeight="1" x14ac:dyDescent="0.2">
      <c r="A61" s="264" t="s">
        <v>57</v>
      </c>
      <c r="B61" s="264"/>
      <c r="C61" s="22">
        <v>7565</v>
      </c>
      <c r="D61" s="22">
        <v>4244</v>
      </c>
      <c r="E61" s="22">
        <v>3321</v>
      </c>
      <c r="F61" s="22">
        <v>1817</v>
      </c>
      <c r="G61" s="22">
        <v>1155</v>
      </c>
      <c r="H61" s="22">
        <v>19</v>
      </c>
      <c r="I61" s="22">
        <v>152</v>
      </c>
      <c r="J61" s="22">
        <v>23</v>
      </c>
      <c r="K61" s="22">
        <v>155</v>
      </c>
      <c r="L61" s="22">
        <v>0</v>
      </c>
    </row>
    <row r="62" spans="1:12" s="21" customFormat="1" ht="12" customHeight="1" x14ac:dyDescent="0.2">
      <c r="A62" s="264" t="s">
        <v>58</v>
      </c>
      <c r="B62" s="264"/>
      <c r="C62" s="22">
        <v>2856</v>
      </c>
      <c r="D62" s="22">
        <v>2291</v>
      </c>
      <c r="E62" s="22">
        <v>565</v>
      </c>
      <c r="F62" s="22">
        <v>380</v>
      </c>
      <c r="G62" s="22">
        <v>161</v>
      </c>
      <c r="H62" s="22">
        <v>9</v>
      </c>
      <c r="I62" s="22">
        <v>4</v>
      </c>
      <c r="J62" s="22">
        <v>2</v>
      </c>
      <c r="K62" s="22">
        <v>9</v>
      </c>
      <c r="L62" s="22">
        <v>0</v>
      </c>
    </row>
    <row r="63" spans="1:12" s="21" customFormat="1" ht="12" customHeight="1" x14ac:dyDescent="0.2">
      <c r="A63" s="264" t="s">
        <v>60</v>
      </c>
      <c r="B63" s="264"/>
      <c r="C63" s="22">
        <v>15068</v>
      </c>
      <c r="D63" s="22">
        <v>11310</v>
      </c>
      <c r="E63" s="22">
        <v>3758</v>
      </c>
      <c r="F63" s="22">
        <v>2108</v>
      </c>
      <c r="G63" s="22">
        <v>1511</v>
      </c>
      <c r="H63" s="22">
        <v>36</v>
      </c>
      <c r="I63" s="22">
        <v>30</v>
      </c>
      <c r="J63" s="22">
        <v>0</v>
      </c>
      <c r="K63" s="22">
        <v>73</v>
      </c>
      <c r="L63" s="22">
        <v>0</v>
      </c>
    </row>
    <row r="64" spans="1:12" s="21" customFormat="1" ht="12" customHeight="1" x14ac:dyDescent="0.2">
      <c r="A64" s="264" t="s">
        <v>62</v>
      </c>
      <c r="B64" s="264"/>
      <c r="C64" s="22">
        <v>4419</v>
      </c>
      <c r="D64" s="22">
        <v>3211</v>
      </c>
      <c r="E64" s="22">
        <v>1208</v>
      </c>
      <c r="F64" s="22">
        <v>826</v>
      </c>
      <c r="G64" s="22">
        <v>310</v>
      </c>
      <c r="H64" s="22">
        <v>1</v>
      </c>
      <c r="I64" s="22">
        <v>18</v>
      </c>
      <c r="J64" s="22">
        <v>0</v>
      </c>
      <c r="K64" s="22">
        <v>53</v>
      </c>
      <c r="L64" s="22">
        <v>0</v>
      </c>
    </row>
    <row r="65" spans="1:12" s="21" customFormat="1" ht="12" customHeight="1" x14ac:dyDescent="0.2">
      <c r="A65" s="264" t="s">
        <v>63</v>
      </c>
      <c r="B65" s="264"/>
      <c r="C65" s="22">
        <v>2344</v>
      </c>
      <c r="D65" s="22">
        <v>1866</v>
      </c>
      <c r="E65" s="22">
        <v>478</v>
      </c>
      <c r="F65" s="22">
        <v>319</v>
      </c>
      <c r="G65" s="22">
        <v>134</v>
      </c>
      <c r="H65" s="22">
        <v>0</v>
      </c>
      <c r="I65" s="22">
        <v>19</v>
      </c>
      <c r="J65" s="22">
        <v>0</v>
      </c>
      <c r="K65" s="22">
        <v>6</v>
      </c>
      <c r="L65" s="22">
        <v>0</v>
      </c>
    </row>
    <row r="66" spans="1:12" s="21" customFormat="1" ht="12" customHeight="1" x14ac:dyDescent="0.2">
      <c r="A66" s="264" t="s">
        <v>64</v>
      </c>
      <c r="B66" s="264"/>
      <c r="C66" s="22">
        <v>2656</v>
      </c>
      <c r="D66" s="22">
        <v>2158</v>
      </c>
      <c r="E66" s="22">
        <v>498</v>
      </c>
      <c r="F66" s="22">
        <v>360</v>
      </c>
      <c r="G66" s="22">
        <v>126</v>
      </c>
      <c r="H66" s="22">
        <v>1</v>
      </c>
      <c r="I66" s="22">
        <v>0</v>
      </c>
      <c r="J66" s="22">
        <v>0</v>
      </c>
      <c r="K66" s="22">
        <v>11</v>
      </c>
      <c r="L66" s="22">
        <v>0</v>
      </c>
    </row>
    <row r="67" spans="1:12" s="21" customFormat="1" ht="12" customHeight="1" x14ac:dyDescent="0.2">
      <c r="A67" s="264" t="s">
        <v>65</v>
      </c>
      <c r="B67" s="264"/>
      <c r="C67" s="22">
        <v>4485</v>
      </c>
      <c r="D67" s="22">
        <v>3377</v>
      </c>
      <c r="E67" s="22">
        <v>1108</v>
      </c>
      <c r="F67" s="22">
        <v>771</v>
      </c>
      <c r="G67" s="22">
        <v>287</v>
      </c>
      <c r="H67" s="22">
        <v>1</v>
      </c>
      <c r="I67" s="22">
        <v>6</v>
      </c>
      <c r="J67" s="22">
        <v>2</v>
      </c>
      <c r="K67" s="22">
        <v>41</v>
      </c>
      <c r="L67" s="22">
        <v>0</v>
      </c>
    </row>
    <row r="68" spans="1:12" s="21" customFormat="1" ht="12" customHeight="1" x14ac:dyDescent="0.2">
      <c r="A68" s="267" t="s">
        <v>66</v>
      </c>
      <c r="B68" s="267"/>
      <c r="C68" s="209">
        <v>3463</v>
      </c>
      <c r="D68" s="209">
        <v>2364</v>
      </c>
      <c r="E68" s="209">
        <v>1099</v>
      </c>
      <c r="F68" s="209">
        <v>726</v>
      </c>
      <c r="G68" s="209">
        <v>282</v>
      </c>
      <c r="H68" s="209">
        <v>7</v>
      </c>
      <c r="I68" s="209">
        <v>10</v>
      </c>
      <c r="J68" s="209">
        <v>0</v>
      </c>
      <c r="K68" s="209">
        <v>74</v>
      </c>
      <c r="L68" s="209">
        <v>0</v>
      </c>
    </row>
    <row r="69" spans="1:12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s="21" customFormat="1" ht="12" customHeight="1" x14ac:dyDescent="0.2">
      <c r="A70" s="263" t="s">
        <v>67</v>
      </c>
      <c r="B70" s="263"/>
      <c r="C70" s="20">
        <v>154448</v>
      </c>
      <c r="D70" s="20">
        <v>103341</v>
      </c>
      <c r="E70" s="20">
        <v>51107</v>
      </c>
      <c r="F70" s="20">
        <v>32645</v>
      </c>
      <c r="G70" s="20">
        <v>16195</v>
      </c>
      <c r="H70" s="20">
        <v>325</v>
      </c>
      <c r="I70" s="20">
        <v>655</v>
      </c>
      <c r="J70" s="20">
        <v>124</v>
      </c>
      <c r="K70" s="20">
        <v>1141</v>
      </c>
      <c r="L70" s="20">
        <v>22</v>
      </c>
    </row>
    <row r="71" spans="1:12" s="21" customFormat="1" ht="12" customHeight="1" x14ac:dyDescent="0.2">
      <c r="A71" s="264" t="s">
        <v>68</v>
      </c>
      <c r="B71" s="264"/>
      <c r="C71" s="22">
        <v>4536</v>
      </c>
      <c r="D71" s="22">
        <v>2990</v>
      </c>
      <c r="E71" s="22">
        <v>1546</v>
      </c>
      <c r="F71" s="22">
        <v>1114</v>
      </c>
      <c r="G71" s="22">
        <v>383</v>
      </c>
      <c r="H71" s="22">
        <v>9</v>
      </c>
      <c r="I71" s="22">
        <v>11</v>
      </c>
      <c r="J71" s="22">
        <v>0</v>
      </c>
      <c r="K71" s="22">
        <v>29</v>
      </c>
      <c r="L71" s="22">
        <v>0</v>
      </c>
    </row>
    <row r="72" spans="1:12" s="21" customFormat="1" ht="12" customHeight="1" x14ac:dyDescent="0.2">
      <c r="A72" s="264" t="s">
        <v>69</v>
      </c>
      <c r="B72" s="264"/>
      <c r="C72" s="22">
        <v>1386</v>
      </c>
      <c r="D72" s="22">
        <v>1239</v>
      </c>
      <c r="E72" s="22">
        <v>147</v>
      </c>
      <c r="F72" s="22">
        <v>92</v>
      </c>
      <c r="G72" s="22">
        <v>42</v>
      </c>
      <c r="H72" s="22">
        <v>0</v>
      </c>
      <c r="I72" s="22">
        <v>0</v>
      </c>
      <c r="J72" s="22">
        <v>0</v>
      </c>
      <c r="K72" s="22">
        <v>13</v>
      </c>
      <c r="L72" s="22">
        <v>0</v>
      </c>
    </row>
    <row r="73" spans="1:12" s="21" customFormat="1" ht="12" customHeight="1" x14ac:dyDescent="0.2">
      <c r="A73" s="264" t="s">
        <v>70</v>
      </c>
      <c r="B73" s="264"/>
      <c r="C73" s="22">
        <v>350</v>
      </c>
      <c r="D73" s="22">
        <v>304</v>
      </c>
      <c r="E73" s="22">
        <v>46</v>
      </c>
      <c r="F73" s="22">
        <v>35</v>
      </c>
      <c r="G73" s="22">
        <v>11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</row>
    <row r="74" spans="1:12" s="21" customFormat="1" ht="12" customHeight="1" x14ac:dyDescent="0.2">
      <c r="A74" s="264" t="s">
        <v>71</v>
      </c>
      <c r="B74" s="264"/>
      <c r="C74" s="22">
        <v>955</v>
      </c>
      <c r="D74" s="22">
        <v>843</v>
      </c>
      <c r="E74" s="22">
        <v>112</v>
      </c>
      <c r="F74" s="22">
        <v>76</v>
      </c>
      <c r="G74" s="22">
        <v>31</v>
      </c>
      <c r="H74" s="22">
        <v>2</v>
      </c>
      <c r="I74" s="22">
        <v>2</v>
      </c>
      <c r="J74" s="22">
        <v>0</v>
      </c>
      <c r="K74" s="22">
        <v>1</v>
      </c>
      <c r="L74" s="22">
        <v>0</v>
      </c>
    </row>
    <row r="75" spans="1:12" s="21" customFormat="1" ht="12" customHeight="1" x14ac:dyDescent="0.2">
      <c r="A75" s="264" t="s">
        <v>72</v>
      </c>
      <c r="B75" s="264"/>
      <c r="C75" s="22">
        <v>315</v>
      </c>
      <c r="D75" s="22">
        <v>267</v>
      </c>
      <c r="E75" s="22">
        <v>48</v>
      </c>
      <c r="F75" s="22">
        <v>31</v>
      </c>
      <c r="G75" s="22">
        <v>11</v>
      </c>
      <c r="H75" s="22">
        <v>0</v>
      </c>
      <c r="I75" s="22">
        <v>0</v>
      </c>
      <c r="J75" s="22">
        <v>0</v>
      </c>
      <c r="K75" s="22">
        <v>6</v>
      </c>
      <c r="L75" s="22">
        <v>0</v>
      </c>
    </row>
    <row r="76" spans="1:12" s="21" customFormat="1" ht="12" customHeight="1" x14ac:dyDescent="0.2">
      <c r="A76" s="264" t="s">
        <v>73</v>
      </c>
      <c r="B76" s="264"/>
      <c r="C76" s="22">
        <v>1496</v>
      </c>
      <c r="D76" s="22">
        <v>1253</v>
      </c>
      <c r="E76" s="22">
        <v>243</v>
      </c>
      <c r="F76" s="22">
        <v>191</v>
      </c>
      <c r="G76" s="22">
        <v>50</v>
      </c>
      <c r="H76" s="22">
        <v>1</v>
      </c>
      <c r="I76" s="22">
        <v>1</v>
      </c>
      <c r="J76" s="22">
        <v>0</v>
      </c>
      <c r="K76" s="22">
        <v>0</v>
      </c>
      <c r="L76" s="22">
        <v>0</v>
      </c>
    </row>
    <row r="77" spans="1:12" s="21" customFormat="1" ht="12" customHeight="1" x14ac:dyDescent="0.2">
      <c r="A77" s="264" t="s">
        <v>74</v>
      </c>
      <c r="B77" s="264"/>
      <c r="C77" s="22">
        <v>617</v>
      </c>
      <c r="D77" s="22">
        <v>531</v>
      </c>
      <c r="E77" s="22">
        <v>86</v>
      </c>
      <c r="F77" s="22">
        <v>53</v>
      </c>
      <c r="G77" s="22">
        <v>31</v>
      </c>
      <c r="H77" s="22">
        <v>2</v>
      </c>
      <c r="I77" s="22">
        <v>0</v>
      </c>
      <c r="J77" s="22">
        <v>0</v>
      </c>
      <c r="K77" s="22">
        <v>0</v>
      </c>
      <c r="L77" s="22">
        <v>0</v>
      </c>
    </row>
    <row r="78" spans="1:12" s="21" customFormat="1" ht="12" customHeight="1" x14ac:dyDescent="0.2">
      <c r="A78" s="264" t="s">
        <v>75</v>
      </c>
      <c r="B78" s="264"/>
      <c r="C78" s="22">
        <v>2791</v>
      </c>
      <c r="D78" s="22">
        <v>2182</v>
      </c>
      <c r="E78" s="22">
        <v>609</v>
      </c>
      <c r="F78" s="22">
        <v>407</v>
      </c>
      <c r="G78" s="22">
        <v>185</v>
      </c>
      <c r="H78" s="22">
        <v>3</v>
      </c>
      <c r="I78" s="22">
        <v>4</v>
      </c>
      <c r="J78" s="22">
        <v>0</v>
      </c>
      <c r="K78" s="22">
        <v>10</v>
      </c>
      <c r="L78" s="22">
        <v>0</v>
      </c>
    </row>
    <row r="79" spans="1:12" s="21" customFormat="1" ht="12" customHeight="1" x14ac:dyDescent="0.2">
      <c r="A79" s="264" t="s">
        <v>77</v>
      </c>
      <c r="B79" s="264"/>
      <c r="C79" s="22">
        <v>955</v>
      </c>
      <c r="D79" s="22">
        <v>509</v>
      </c>
      <c r="E79" s="22">
        <v>446</v>
      </c>
      <c r="F79" s="22">
        <v>267</v>
      </c>
      <c r="G79" s="22">
        <v>170</v>
      </c>
      <c r="H79" s="22">
        <v>1</v>
      </c>
      <c r="I79" s="22">
        <v>0</v>
      </c>
      <c r="J79" s="22">
        <v>0</v>
      </c>
      <c r="K79" s="22">
        <v>8</v>
      </c>
      <c r="L79" s="22">
        <v>0</v>
      </c>
    </row>
    <row r="80" spans="1:12" s="21" customFormat="1" ht="12" customHeight="1" x14ac:dyDescent="0.2">
      <c r="A80" s="264" t="s">
        <v>79</v>
      </c>
      <c r="B80" s="264"/>
      <c r="C80" s="22">
        <v>474</v>
      </c>
      <c r="D80" s="22">
        <v>341</v>
      </c>
      <c r="E80" s="22">
        <v>133</v>
      </c>
      <c r="F80" s="22">
        <v>91</v>
      </c>
      <c r="G80" s="22">
        <v>41</v>
      </c>
      <c r="H80" s="22">
        <v>1</v>
      </c>
      <c r="I80" s="22">
        <v>0</v>
      </c>
      <c r="J80" s="22">
        <v>0</v>
      </c>
      <c r="K80" s="22">
        <v>0</v>
      </c>
      <c r="L80" s="22">
        <v>0</v>
      </c>
    </row>
    <row r="81" spans="1:12" s="21" customFormat="1" ht="12" customHeight="1" x14ac:dyDescent="0.2">
      <c r="A81" s="264" t="s">
        <v>80</v>
      </c>
      <c r="B81" s="264"/>
      <c r="C81" s="22">
        <v>793</v>
      </c>
      <c r="D81" s="22">
        <v>650</v>
      </c>
      <c r="E81" s="22">
        <v>143</v>
      </c>
      <c r="F81" s="22">
        <v>107</v>
      </c>
      <c r="G81" s="22">
        <v>19</v>
      </c>
      <c r="H81" s="22">
        <v>0</v>
      </c>
      <c r="I81" s="22">
        <v>1</v>
      </c>
      <c r="J81" s="22">
        <v>0</v>
      </c>
      <c r="K81" s="22">
        <v>16</v>
      </c>
      <c r="L81" s="22">
        <v>0</v>
      </c>
    </row>
    <row r="82" spans="1:12" s="21" customFormat="1" ht="12" customHeight="1" x14ac:dyDescent="0.2">
      <c r="A82" s="264" t="s">
        <v>81</v>
      </c>
      <c r="B82" s="264"/>
      <c r="C82" s="22">
        <v>1580</v>
      </c>
      <c r="D82" s="22">
        <v>1129</v>
      </c>
      <c r="E82" s="22">
        <v>451</v>
      </c>
      <c r="F82" s="22">
        <v>342</v>
      </c>
      <c r="G82" s="22">
        <v>91</v>
      </c>
      <c r="H82" s="22">
        <v>3</v>
      </c>
      <c r="I82" s="22">
        <v>8</v>
      </c>
      <c r="J82" s="22">
        <v>0</v>
      </c>
      <c r="K82" s="22">
        <v>7</v>
      </c>
      <c r="L82" s="22">
        <v>0</v>
      </c>
    </row>
    <row r="83" spans="1:12" s="21" customFormat="1" ht="12" customHeight="1" x14ac:dyDescent="0.2">
      <c r="A83" s="264" t="s">
        <v>84</v>
      </c>
      <c r="B83" s="264"/>
      <c r="C83" s="22">
        <v>2396</v>
      </c>
      <c r="D83" s="22">
        <v>1709</v>
      </c>
      <c r="E83" s="22">
        <v>687</v>
      </c>
      <c r="F83" s="22">
        <v>448</v>
      </c>
      <c r="G83" s="22">
        <v>201</v>
      </c>
      <c r="H83" s="22">
        <v>1</v>
      </c>
      <c r="I83" s="22">
        <v>8</v>
      </c>
      <c r="J83" s="22">
        <v>2</v>
      </c>
      <c r="K83" s="22">
        <v>27</v>
      </c>
      <c r="L83" s="22">
        <v>0</v>
      </c>
    </row>
    <row r="84" spans="1:12" s="21" customFormat="1" ht="12" customHeight="1" x14ac:dyDescent="0.2">
      <c r="A84" s="264" t="s">
        <v>85</v>
      </c>
      <c r="B84" s="264"/>
      <c r="C84" s="22">
        <v>6760</v>
      </c>
      <c r="D84" s="22">
        <v>5960</v>
      </c>
      <c r="E84" s="22">
        <v>800</v>
      </c>
      <c r="F84" s="22">
        <v>570</v>
      </c>
      <c r="G84" s="22">
        <v>207</v>
      </c>
      <c r="H84" s="22">
        <v>6</v>
      </c>
      <c r="I84" s="22">
        <v>0</v>
      </c>
      <c r="J84" s="22">
        <v>0</v>
      </c>
      <c r="K84" s="22">
        <v>17</v>
      </c>
      <c r="L84" s="22">
        <v>0</v>
      </c>
    </row>
    <row r="85" spans="1:12" s="21" customFormat="1" ht="12" customHeight="1" x14ac:dyDescent="0.2">
      <c r="A85" s="264" t="s">
        <v>88</v>
      </c>
      <c r="B85" s="264"/>
      <c r="C85" s="22">
        <v>4363</v>
      </c>
      <c r="D85" s="22">
        <v>3042</v>
      </c>
      <c r="E85" s="22">
        <v>1321</v>
      </c>
      <c r="F85" s="22">
        <v>955</v>
      </c>
      <c r="G85" s="22">
        <v>300</v>
      </c>
      <c r="H85" s="22">
        <v>1</v>
      </c>
      <c r="I85" s="22">
        <v>17</v>
      </c>
      <c r="J85" s="22">
        <v>3</v>
      </c>
      <c r="K85" s="22">
        <v>45</v>
      </c>
      <c r="L85" s="22">
        <v>0</v>
      </c>
    </row>
    <row r="86" spans="1:12" s="21" customFormat="1" ht="12" customHeight="1" x14ac:dyDescent="0.2">
      <c r="A86" s="264" t="s">
        <v>91</v>
      </c>
      <c r="B86" s="264"/>
      <c r="C86" s="22">
        <v>4893</v>
      </c>
      <c r="D86" s="22">
        <v>3118</v>
      </c>
      <c r="E86" s="22">
        <v>1775</v>
      </c>
      <c r="F86" s="22">
        <v>1034</v>
      </c>
      <c r="G86" s="22">
        <v>675</v>
      </c>
      <c r="H86" s="22">
        <v>28</v>
      </c>
      <c r="I86" s="22">
        <v>0</v>
      </c>
      <c r="J86" s="22">
        <v>1</v>
      </c>
      <c r="K86" s="22">
        <v>37</v>
      </c>
      <c r="L86" s="22">
        <v>0</v>
      </c>
    </row>
    <row r="87" spans="1:12" s="21" customFormat="1" ht="12" customHeight="1" x14ac:dyDescent="0.2">
      <c r="A87" s="264" t="s">
        <v>92</v>
      </c>
      <c r="B87" s="264"/>
      <c r="C87" s="22">
        <v>2183</v>
      </c>
      <c r="D87" s="22">
        <v>1902</v>
      </c>
      <c r="E87" s="22">
        <v>281</v>
      </c>
      <c r="F87" s="22">
        <v>207</v>
      </c>
      <c r="G87" s="22">
        <v>69</v>
      </c>
      <c r="H87" s="22">
        <v>0</v>
      </c>
      <c r="I87" s="22">
        <v>0</v>
      </c>
      <c r="J87" s="22">
        <v>0</v>
      </c>
      <c r="K87" s="22">
        <v>5</v>
      </c>
      <c r="L87" s="22">
        <v>0</v>
      </c>
    </row>
    <row r="88" spans="1:12" s="21" customFormat="1" ht="12" customHeight="1" x14ac:dyDescent="0.2">
      <c r="A88" s="264" t="s">
        <v>94</v>
      </c>
      <c r="B88" s="264"/>
      <c r="C88" s="22">
        <v>1489</v>
      </c>
      <c r="D88" s="22">
        <v>1198</v>
      </c>
      <c r="E88" s="22">
        <v>291</v>
      </c>
      <c r="F88" s="22">
        <v>192</v>
      </c>
      <c r="G88" s="22">
        <v>77</v>
      </c>
      <c r="H88" s="22">
        <v>1</v>
      </c>
      <c r="I88" s="22">
        <v>1</v>
      </c>
      <c r="J88" s="22">
        <v>0</v>
      </c>
      <c r="K88" s="22">
        <v>20</v>
      </c>
      <c r="L88" s="22">
        <v>0</v>
      </c>
    </row>
    <row r="89" spans="1:12" s="21" customFormat="1" ht="12" customHeight="1" x14ac:dyDescent="0.2">
      <c r="A89" s="264" t="s">
        <v>95</v>
      </c>
      <c r="B89" s="264"/>
      <c r="C89" s="22">
        <v>594</v>
      </c>
      <c r="D89" s="22">
        <v>493</v>
      </c>
      <c r="E89" s="22">
        <v>101</v>
      </c>
      <c r="F89" s="22">
        <v>74</v>
      </c>
      <c r="G89" s="22">
        <v>27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</row>
    <row r="90" spans="1:12" s="21" customFormat="1" ht="12" customHeight="1" x14ac:dyDescent="0.2">
      <c r="A90" s="264" t="s">
        <v>96</v>
      </c>
      <c r="B90" s="264"/>
      <c r="C90" s="22">
        <v>455</v>
      </c>
      <c r="D90" s="22">
        <v>314</v>
      </c>
      <c r="E90" s="22">
        <v>141</v>
      </c>
      <c r="F90" s="22">
        <v>106</v>
      </c>
      <c r="G90" s="22">
        <v>35</v>
      </c>
      <c r="H90" s="22">
        <v>0</v>
      </c>
      <c r="I90" s="22">
        <v>0</v>
      </c>
      <c r="J90" s="22">
        <v>0</v>
      </c>
      <c r="K90" s="22">
        <v>0</v>
      </c>
      <c r="L90" s="22">
        <v>0</v>
      </c>
    </row>
    <row r="91" spans="1:12" s="21" customFormat="1" ht="12" customHeight="1" x14ac:dyDescent="0.2">
      <c r="A91" s="264" t="s">
        <v>97</v>
      </c>
      <c r="B91" s="264"/>
      <c r="C91" s="22">
        <v>1365</v>
      </c>
      <c r="D91" s="22">
        <v>1051</v>
      </c>
      <c r="E91" s="22">
        <v>314</v>
      </c>
      <c r="F91" s="22">
        <v>237</v>
      </c>
      <c r="G91" s="22">
        <v>72</v>
      </c>
      <c r="H91" s="22">
        <v>2</v>
      </c>
      <c r="I91" s="22">
        <v>0</v>
      </c>
      <c r="J91" s="22">
        <v>0</v>
      </c>
      <c r="K91" s="22">
        <v>3</v>
      </c>
      <c r="L91" s="22">
        <v>0</v>
      </c>
    </row>
    <row r="92" spans="1:12" s="21" customFormat="1" ht="12" customHeight="1" x14ac:dyDescent="0.2">
      <c r="A92" s="264" t="s">
        <v>98</v>
      </c>
      <c r="B92" s="264"/>
      <c r="C92" s="22">
        <v>1766</v>
      </c>
      <c r="D92" s="22">
        <v>1141</v>
      </c>
      <c r="E92" s="22">
        <v>625</v>
      </c>
      <c r="F92" s="22">
        <v>471</v>
      </c>
      <c r="G92" s="22">
        <v>137</v>
      </c>
      <c r="H92" s="22">
        <v>1</v>
      </c>
      <c r="I92" s="22">
        <v>3</v>
      </c>
      <c r="J92" s="22">
        <v>0</v>
      </c>
      <c r="K92" s="22">
        <v>13</v>
      </c>
      <c r="L92" s="22">
        <v>0</v>
      </c>
    </row>
    <row r="93" spans="1:12" s="21" customFormat="1" ht="12" customHeight="1" x14ac:dyDescent="0.2">
      <c r="A93" s="264" t="s">
        <v>99</v>
      </c>
      <c r="B93" s="264"/>
      <c r="C93" s="22">
        <v>63495</v>
      </c>
      <c r="D93" s="22">
        <v>38114</v>
      </c>
      <c r="E93" s="22">
        <v>25381</v>
      </c>
      <c r="F93" s="22">
        <v>15605</v>
      </c>
      <c r="G93" s="22">
        <v>8649</v>
      </c>
      <c r="H93" s="22">
        <v>167</v>
      </c>
      <c r="I93" s="22">
        <v>333</v>
      </c>
      <c r="J93" s="22">
        <v>59</v>
      </c>
      <c r="K93" s="22">
        <v>550</v>
      </c>
      <c r="L93" s="22">
        <v>18</v>
      </c>
    </row>
    <row r="94" spans="1:12" s="21" customFormat="1" ht="12" customHeight="1" x14ac:dyDescent="0.2">
      <c r="A94" s="264" t="s">
        <v>100</v>
      </c>
      <c r="B94" s="264"/>
      <c r="C94" s="22">
        <v>1621</v>
      </c>
      <c r="D94" s="22">
        <v>1231</v>
      </c>
      <c r="E94" s="22">
        <v>390</v>
      </c>
      <c r="F94" s="22">
        <v>271</v>
      </c>
      <c r="G94" s="22">
        <v>103</v>
      </c>
      <c r="H94" s="22">
        <v>1</v>
      </c>
      <c r="I94" s="22">
        <v>1</v>
      </c>
      <c r="J94" s="22">
        <v>0</v>
      </c>
      <c r="K94" s="22">
        <v>14</v>
      </c>
      <c r="L94" s="22">
        <v>0</v>
      </c>
    </row>
    <row r="95" spans="1:12" s="21" customFormat="1" ht="12" customHeight="1" x14ac:dyDescent="0.2">
      <c r="A95" s="264" t="s">
        <v>101</v>
      </c>
      <c r="B95" s="264"/>
      <c r="C95" s="22">
        <v>1340</v>
      </c>
      <c r="D95" s="22">
        <v>1052</v>
      </c>
      <c r="E95" s="22">
        <v>288</v>
      </c>
      <c r="F95" s="22">
        <v>209</v>
      </c>
      <c r="G95" s="22">
        <v>72</v>
      </c>
      <c r="H95" s="22">
        <v>0</v>
      </c>
      <c r="I95" s="22">
        <v>5</v>
      </c>
      <c r="J95" s="22">
        <v>0</v>
      </c>
      <c r="K95" s="22">
        <v>2</v>
      </c>
      <c r="L95" s="22">
        <v>0</v>
      </c>
    </row>
    <row r="96" spans="1:12" s="21" customFormat="1" ht="12" customHeight="1" x14ac:dyDescent="0.2">
      <c r="A96" s="264" t="s">
        <v>103</v>
      </c>
      <c r="B96" s="264"/>
      <c r="C96" s="22">
        <v>6676</v>
      </c>
      <c r="D96" s="22">
        <v>3688</v>
      </c>
      <c r="E96" s="22">
        <v>2988</v>
      </c>
      <c r="F96" s="22">
        <v>1819</v>
      </c>
      <c r="G96" s="22">
        <v>973</v>
      </c>
      <c r="H96" s="22">
        <v>24</v>
      </c>
      <c r="I96" s="22">
        <v>103</v>
      </c>
      <c r="J96" s="22">
        <v>4</v>
      </c>
      <c r="K96" s="22">
        <v>63</v>
      </c>
      <c r="L96" s="22">
        <v>2</v>
      </c>
    </row>
    <row r="97" spans="1:12" s="21" customFormat="1" ht="12" customHeight="1" x14ac:dyDescent="0.2">
      <c r="A97" s="264" t="s">
        <v>105</v>
      </c>
      <c r="B97" s="264"/>
      <c r="C97" s="22">
        <v>1783</v>
      </c>
      <c r="D97" s="22">
        <v>1116</v>
      </c>
      <c r="E97" s="22">
        <v>667</v>
      </c>
      <c r="F97" s="22">
        <v>458</v>
      </c>
      <c r="G97" s="22">
        <v>195</v>
      </c>
      <c r="H97" s="22">
        <v>4</v>
      </c>
      <c r="I97" s="22">
        <v>3</v>
      </c>
      <c r="J97" s="22">
        <v>0</v>
      </c>
      <c r="K97" s="22">
        <v>7</v>
      </c>
      <c r="L97" s="22">
        <v>0</v>
      </c>
    </row>
    <row r="98" spans="1:12" s="21" customFormat="1" ht="12" customHeight="1" x14ac:dyDescent="0.2">
      <c r="A98" s="264" t="s">
        <v>106</v>
      </c>
      <c r="B98" s="264"/>
      <c r="C98" s="22">
        <v>1368</v>
      </c>
      <c r="D98" s="22">
        <v>1164</v>
      </c>
      <c r="E98" s="22">
        <v>204</v>
      </c>
      <c r="F98" s="22">
        <v>160</v>
      </c>
      <c r="G98" s="22">
        <v>43</v>
      </c>
      <c r="H98" s="22">
        <v>1</v>
      </c>
      <c r="I98" s="22">
        <v>0</v>
      </c>
      <c r="J98" s="22">
        <v>0</v>
      </c>
      <c r="K98" s="22">
        <v>0</v>
      </c>
      <c r="L98" s="22">
        <v>0</v>
      </c>
    </row>
    <row r="99" spans="1:12" s="21" customFormat="1" ht="12" customHeight="1" x14ac:dyDescent="0.2">
      <c r="A99" s="264" t="s">
        <v>107</v>
      </c>
      <c r="B99" s="264"/>
      <c r="C99" s="22">
        <v>301</v>
      </c>
      <c r="D99" s="22">
        <v>256</v>
      </c>
      <c r="E99" s="22">
        <v>45</v>
      </c>
      <c r="F99" s="22">
        <v>34</v>
      </c>
      <c r="G99" s="22">
        <v>11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</row>
    <row r="100" spans="1:12" s="21" customFormat="1" ht="12" customHeight="1" x14ac:dyDescent="0.2">
      <c r="A100" s="264" t="s">
        <v>336</v>
      </c>
      <c r="B100" s="264"/>
      <c r="C100" s="22">
        <v>4683</v>
      </c>
      <c r="D100" s="22">
        <v>3799</v>
      </c>
      <c r="E100" s="22">
        <v>884</v>
      </c>
      <c r="F100" s="22">
        <v>684</v>
      </c>
      <c r="G100" s="22">
        <v>188</v>
      </c>
      <c r="H100" s="22">
        <v>5</v>
      </c>
      <c r="I100" s="22">
        <v>1</v>
      </c>
      <c r="J100" s="22">
        <v>0</v>
      </c>
      <c r="K100" s="22">
        <v>6</v>
      </c>
      <c r="L100" s="22">
        <v>0</v>
      </c>
    </row>
    <row r="101" spans="1:12" s="21" customFormat="1" ht="12" customHeight="1" x14ac:dyDescent="0.2">
      <c r="A101" s="264" t="s">
        <v>109</v>
      </c>
      <c r="B101" s="264"/>
      <c r="C101" s="22">
        <v>707</v>
      </c>
      <c r="D101" s="22">
        <v>413</v>
      </c>
      <c r="E101" s="22">
        <v>294</v>
      </c>
      <c r="F101" s="22">
        <v>200</v>
      </c>
      <c r="G101" s="22">
        <v>87</v>
      </c>
      <c r="H101" s="22">
        <v>0</v>
      </c>
      <c r="I101" s="22">
        <v>0</v>
      </c>
      <c r="J101" s="22">
        <v>0</v>
      </c>
      <c r="K101" s="22">
        <v>7</v>
      </c>
      <c r="L101" s="22">
        <v>0</v>
      </c>
    </row>
    <row r="102" spans="1:12" s="21" customFormat="1" ht="12" customHeight="1" x14ac:dyDescent="0.2">
      <c r="A102" s="264" t="s">
        <v>110</v>
      </c>
      <c r="B102" s="264"/>
      <c r="C102" s="22">
        <v>800</v>
      </c>
      <c r="D102" s="22">
        <v>629</v>
      </c>
      <c r="E102" s="22">
        <v>171</v>
      </c>
      <c r="F102" s="22">
        <v>125</v>
      </c>
      <c r="G102" s="22">
        <v>42</v>
      </c>
      <c r="H102" s="22">
        <v>4</v>
      </c>
      <c r="I102" s="22">
        <v>0</v>
      </c>
      <c r="J102" s="22">
        <v>0</v>
      </c>
      <c r="K102" s="22">
        <v>0</v>
      </c>
      <c r="L102" s="22">
        <v>0</v>
      </c>
    </row>
    <row r="103" spans="1:12" s="21" customFormat="1" ht="12" customHeight="1" x14ac:dyDescent="0.2">
      <c r="A103" s="264" t="s">
        <v>111</v>
      </c>
      <c r="B103" s="264"/>
      <c r="C103" s="22">
        <v>317</v>
      </c>
      <c r="D103" s="22">
        <v>262</v>
      </c>
      <c r="E103" s="22">
        <v>55</v>
      </c>
      <c r="F103" s="22">
        <v>39</v>
      </c>
      <c r="G103" s="22">
        <v>16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</row>
    <row r="104" spans="1:12" s="21" customFormat="1" ht="12" customHeight="1" x14ac:dyDescent="0.2">
      <c r="A104" s="264" t="s">
        <v>112</v>
      </c>
      <c r="B104" s="264"/>
      <c r="C104" s="22">
        <v>835</v>
      </c>
      <c r="D104" s="22">
        <v>726</v>
      </c>
      <c r="E104" s="22">
        <v>109</v>
      </c>
      <c r="F104" s="22">
        <v>72</v>
      </c>
      <c r="G104" s="22">
        <v>32</v>
      </c>
      <c r="H104" s="22">
        <v>0</v>
      </c>
      <c r="I104" s="22">
        <v>1</v>
      </c>
      <c r="J104" s="22">
        <v>0</v>
      </c>
      <c r="K104" s="22">
        <v>4</v>
      </c>
      <c r="L104" s="22">
        <v>0</v>
      </c>
    </row>
    <row r="105" spans="1:12" s="21" customFormat="1" ht="12" customHeight="1" x14ac:dyDescent="0.2">
      <c r="A105" s="264" t="s">
        <v>113</v>
      </c>
      <c r="B105" s="264"/>
      <c r="C105" s="22">
        <v>1529</v>
      </c>
      <c r="D105" s="22">
        <v>1256</v>
      </c>
      <c r="E105" s="22">
        <v>273</v>
      </c>
      <c r="F105" s="22">
        <v>199</v>
      </c>
      <c r="G105" s="22">
        <v>67</v>
      </c>
      <c r="H105" s="22">
        <v>2</v>
      </c>
      <c r="I105" s="22">
        <v>0</v>
      </c>
      <c r="J105" s="22">
        <v>0</v>
      </c>
      <c r="K105" s="22">
        <v>5</v>
      </c>
      <c r="L105" s="22">
        <v>0</v>
      </c>
    </row>
    <row r="106" spans="1:12" s="21" customFormat="1" ht="12" customHeight="1" x14ac:dyDescent="0.2">
      <c r="A106" s="264" t="s">
        <v>114</v>
      </c>
      <c r="B106" s="264"/>
      <c r="C106" s="22">
        <v>4832</v>
      </c>
      <c r="D106" s="22">
        <v>1861</v>
      </c>
      <c r="E106" s="22">
        <v>2971</v>
      </c>
      <c r="F106" s="22">
        <v>1683</v>
      </c>
      <c r="G106" s="22">
        <v>1087</v>
      </c>
      <c r="H106" s="22">
        <v>20</v>
      </c>
      <c r="I106" s="22">
        <v>93</v>
      </c>
      <c r="J106" s="22">
        <v>6</v>
      </c>
      <c r="K106" s="22">
        <v>80</v>
      </c>
      <c r="L106" s="22">
        <v>2</v>
      </c>
    </row>
    <row r="107" spans="1:12" s="21" customFormat="1" ht="12" customHeight="1" x14ac:dyDescent="0.2">
      <c r="A107" s="264" t="s">
        <v>115</v>
      </c>
      <c r="B107" s="264"/>
      <c r="C107" s="22">
        <v>1926</v>
      </c>
      <c r="D107" s="22">
        <v>1610</v>
      </c>
      <c r="E107" s="22">
        <v>316</v>
      </c>
      <c r="F107" s="22">
        <v>217</v>
      </c>
      <c r="G107" s="22">
        <v>94</v>
      </c>
      <c r="H107" s="22">
        <v>2</v>
      </c>
      <c r="I107" s="22">
        <v>0</v>
      </c>
      <c r="J107" s="22">
        <v>0</v>
      </c>
      <c r="K107" s="22">
        <v>3</v>
      </c>
      <c r="L107" s="22">
        <v>0</v>
      </c>
    </row>
    <row r="108" spans="1:12" s="21" customFormat="1" ht="12" customHeight="1" x14ac:dyDescent="0.2">
      <c r="A108" s="264" t="s">
        <v>117</v>
      </c>
      <c r="B108" s="264"/>
      <c r="C108" s="22">
        <v>1679</v>
      </c>
      <c r="D108" s="22">
        <v>1235</v>
      </c>
      <c r="E108" s="22">
        <v>444</v>
      </c>
      <c r="F108" s="22">
        <v>282</v>
      </c>
      <c r="G108" s="22">
        <v>138</v>
      </c>
      <c r="H108" s="22">
        <v>5</v>
      </c>
      <c r="I108" s="22">
        <v>0</v>
      </c>
      <c r="J108" s="22">
        <v>0</v>
      </c>
      <c r="K108" s="22">
        <v>19</v>
      </c>
      <c r="L108" s="22">
        <v>0</v>
      </c>
    </row>
    <row r="109" spans="1:12" s="21" customFormat="1" ht="12" customHeight="1" x14ac:dyDescent="0.2">
      <c r="A109" s="264" t="s">
        <v>118</v>
      </c>
      <c r="B109" s="264"/>
      <c r="C109" s="22">
        <v>1358</v>
      </c>
      <c r="D109" s="22">
        <v>1061</v>
      </c>
      <c r="E109" s="22">
        <v>297</v>
      </c>
      <c r="F109" s="22">
        <v>204</v>
      </c>
      <c r="G109" s="22">
        <v>75</v>
      </c>
      <c r="H109" s="22">
        <v>3</v>
      </c>
      <c r="I109" s="22">
        <v>1</v>
      </c>
      <c r="J109" s="22">
        <v>0</v>
      </c>
      <c r="K109" s="22">
        <v>14</v>
      </c>
      <c r="L109" s="22">
        <v>0</v>
      </c>
    </row>
    <row r="110" spans="1:12" s="21" customFormat="1" ht="12" customHeight="1" x14ac:dyDescent="0.2">
      <c r="A110" s="264" t="s">
        <v>121</v>
      </c>
      <c r="B110" s="264"/>
      <c r="C110" s="22">
        <v>2245</v>
      </c>
      <c r="D110" s="22">
        <v>1516</v>
      </c>
      <c r="E110" s="22">
        <v>729</v>
      </c>
      <c r="F110" s="22">
        <v>520</v>
      </c>
      <c r="G110" s="22">
        <v>176</v>
      </c>
      <c r="H110" s="22">
        <v>7</v>
      </c>
      <c r="I110" s="22">
        <v>6</v>
      </c>
      <c r="J110" s="22">
        <v>0</v>
      </c>
      <c r="K110" s="22">
        <v>20</v>
      </c>
      <c r="L110" s="22">
        <v>0</v>
      </c>
    </row>
    <row r="111" spans="1:12" s="21" customFormat="1" ht="12" customHeight="1" x14ac:dyDescent="0.2">
      <c r="A111" s="264" t="s">
        <v>125</v>
      </c>
      <c r="B111" s="264"/>
      <c r="C111" s="22">
        <v>2139</v>
      </c>
      <c r="D111" s="22">
        <v>1329</v>
      </c>
      <c r="E111" s="22">
        <v>810</v>
      </c>
      <c r="F111" s="22">
        <v>378</v>
      </c>
      <c r="G111" s="22">
        <v>414</v>
      </c>
      <c r="H111" s="22">
        <v>2</v>
      </c>
      <c r="I111" s="22">
        <v>1</v>
      </c>
      <c r="J111" s="22">
        <v>3</v>
      </c>
      <c r="K111" s="22">
        <v>12</v>
      </c>
      <c r="L111" s="22">
        <v>0</v>
      </c>
    </row>
    <row r="112" spans="1:12" s="21" customFormat="1" ht="12" customHeight="1" x14ac:dyDescent="0.2">
      <c r="A112" s="264" t="s">
        <v>126</v>
      </c>
      <c r="B112" s="264"/>
      <c r="C112" s="22">
        <v>3089</v>
      </c>
      <c r="D112" s="22">
        <v>2270</v>
      </c>
      <c r="E112" s="22">
        <v>819</v>
      </c>
      <c r="F112" s="22">
        <v>628</v>
      </c>
      <c r="G112" s="22">
        <v>163</v>
      </c>
      <c r="H112" s="22">
        <v>3</v>
      </c>
      <c r="I112" s="22">
        <v>16</v>
      </c>
      <c r="J112" s="22">
        <v>0</v>
      </c>
      <c r="K112" s="22">
        <v>9</v>
      </c>
      <c r="L112" s="22">
        <v>0</v>
      </c>
    </row>
    <row r="113" spans="1:12" s="21" customFormat="1" ht="12" customHeight="1" x14ac:dyDescent="0.2">
      <c r="A113" s="264" t="s">
        <v>389</v>
      </c>
      <c r="B113" s="268"/>
      <c r="C113" s="22">
        <v>3129</v>
      </c>
      <c r="D113" s="22">
        <v>2354</v>
      </c>
      <c r="E113" s="22">
        <v>775</v>
      </c>
      <c r="F113" s="22">
        <v>523</v>
      </c>
      <c r="G113" s="22">
        <v>229</v>
      </c>
      <c r="H113" s="22">
        <v>5</v>
      </c>
      <c r="I113" s="22">
        <v>1</v>
      </c>
      <c r="J113" s="22">
        <v>0</v>
      </c>
      <c r="K113" s="22">
        <v>17</v>
      </c>
      <c r="L113" s="22">
        <v>0</v>
      </c>
    </row>
    <row r="114" spans="1:12" s="21" customFormat="1" ht="12" customHeight="1" x14ac:dyDescent="0.2">
      <c r="A114" s="264" t="s">
        <v>393</v>
      </c>
      <c r="B114" s="268"/>
      <c r="C114" s="22">
        <v>3001</v>
      </c>
      <c r="D114" s="22">
        <v>2077</v>
      </c>
      <c r="E114" s="22">
        <v>924</v>
      </c>
      <c r="F114" s="22">
        <v>636</v>
      </c>
      <c r="G114" s="22">
        <v>249</v>
      </c>
      <c r="H114" s="22">
        <v>5</v>
      </c>
      <c r="I114" s="22">
        <v>0</v>
      </c>
      <c r="J114" s="22">
        <v>0</v>
      </c>
      <c r="K114" s="22">
        <v>34</v>
      </c>
      <c r="L114" s="22">
        <v>0</v>
      </c>
    </row>
    <row r="115" spans="1:12" s="21" customFormat="1" ht="12" customHeight="1" x14ac:dyDescent="0.2">
      <c r="A115" s="264" t="s">
        <v>128</v>
      </c>
      <c r="B115" s="264"/>
      <c r="C115" s="22">
        <v>631</v>
      </c>
      <c r="D115" s="22">
        <v>499</v>
      </c>
      <c r="E115" s="22">
        <v>132</v>
      </c>
      <c r="F115" s="22">
        <v>80</v>
      </c>
      <c r="G115" s="22">
        <v>45</v>
      </c>
      <c r="H115" s="22">
        <v>1</v>
      </c>
      <c r="I115" s="22">
        <v>0</v>
      </c>
      <c r="J115" s="22">
        <v>0</v>
      </c>
      <c r="K115" s="22">
        <v>6</v>
      </c>
      <c r="L115" s="22">
        <v>0</v>
      </c>
    </row>
    <row r="116" spans="1:12" s="21" customFormat="1" ht="12" customHeight="1" x14ac:dyDescent="0.2">
      <c r="A116" s="264" t="s">
        <v>129</v>
      </c>
      <c r="B116" s="264"/>
      <c r="C116" s="22">
        <v>2045</v>
      </c>
      <c r="D116" s="22">
        <v>1436</v>
      </c>
      <c r="E116" s="22">
        <v>609</v>
      </c>
      <c r="F116" s="22">
        <v>404</v>
      </c>
      <c r="G116" s="22">
        <v>119</v>
      </c>
      <c r="H116" s="22">
        <v>1</v>
      </c>
      <c r="I116" s="22">
        <v>34</v>
      </c>
      <c r="J116" s="22">
        <v>46</v>
      </c>
      <c r="K116" s="22">
        <v>5</v>
      </c>
      <c r="L116" s="22">
        <v>0</v>
      </c>
    </row>
    <row r="117" spans="1:12" s="21" customFormat="1" ht="12" customHeight="1" x14ac:dyDescent="0.2">
      <c r="A117" s="266" t="s">
        <v>130</v>
      </c>
      <c r="B117" s="266"/>
      <c r="C117" s="209">
        <v>407</v>
      </c>
      <c r="D117" s="209">
        <v>221</v>
      </c>
      <c r="E117" s="209">
        <v>186</v>
      </c>
      <c r="F117" s="209">
        <v>115</v>
      </c>
      <c r="G117" s="209">
        <v>63</v>
      </c>
      <c r="H117" s="209">
        <v>1</v>
      </c>
      <c r="I117" s="209">
        <v>0</v>
      </c>
      <c r="J117" s="209">
        <v>0</v>
      </c>
      <c r="K117" s="209">
        <v>7</v>
      </c>
      <c r="L117" s="209">
        <v>0</v>
      </c>
    </row>
    <row r="118" spans="1:12" s="21" customFormat="1" ht="12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s="21" customFormat="1" ht="12" customHeight="1" x14ac:dyDescent="0.2">
      <c r="A119" s="263" t="s">
        <v>131</v>
      </c>
      <c r="B119" s="263"/>
      <c r="C119" s="20">
        <v>64597</v>
      </c>
      <c r="D119" s="20">
        <v>47888</v>
      </c>
      <c r="E119" s="20">
        <v>16709</v>
      </c>
      <c r="F119" s="20">
        <v>11380</v>
      </c>
      <c r="G119" s="20">
        <v>4603</v>
      </c>
      <c r="H119" s="20">
        <v>145</v>
      </c>
      <c r="I119" s="20">
        <v>275</v>
      </c>
      <c r="J119" s="20">
        <v>72</v>
      </c>
      <c r="K119" s="20">
        <v>234</v>
      </c>
      <c r="L119" s="20">
        <v>0</v>
      </c>
    </row>
    <row r="120" spans="1:12" s="21" customFormat="1" ht="12" customHeight="1" x14ac:dyDescent="0.2">
      <c r="A120" s="264" t="s">
        <v>132</v>
      </c>
      <c r="B120" s="264"/>
      <c r="C120" s="22">
        <v>5381</v>
      </c>
      <c r="D120" s="22">
        <v>3876</v>
      </c>
      <c r="E120" s="22">
        <v>1505</v>
      </c>
      <c r="F120" s="22">
        <v>1073</v>
      </c>
      <c r="G120" s="22">
        <v>406</v>
      </c>
      <c r="H120" s="22">
        <v>17</v>
      </c>
      <c r="I120" s="22">
        <v>2</v>
      </c>
      <c r="J120" s="22">
        <v>0</v>
      </c>
      <c r="K120" s="22">
        <v>7</v>
      </c>
      <c r="L120" s="22">
        <v>0</v>
      </c>
    </row>
    <row r="121" spans="1:12" s="21" customFormat="1" ht="12" customHeight="1" x14ac:dyDescent="0.2">
      <c r="A121" s="264" t="s">
        <v>134</v>
      </c>
      <c r="B121" s="264"/>
      <c r="C121" s="22">
        <v>442</v>
      </c>
      <c r="D121" s="22">
        <v>357</v>
      </c>
      <c r="E121" s="22">
        <v>85</v>
      </c>
      <c r="F121" s="22">
        <v>66</v>
      </c>
      <c r="G121" s="22">
        <v>14</v>
      </c>
      <c r="H121" s="22">
        <v>1</v>
      </c>
      <c r="I121" s="22">
        <v>0</v>
      </c>
      <c r="J121" s="22">
        <v>0</v>
      </c>
      <c r="K121" s="22">
        <v>4</v>
      </c>
      <c r="L121" s="22">
        <v>0</v>
      </c>
    </row>
    <row r="122" spans="1:12" s="21" customFormat="1" ht="12" customHeight="1" x14ac:dyDescent="0.2">
      <c r="A122" s="264" t="s">
        <v>135</v>
      </c>
      <c r="B122" s="264"/>
      <c r="C122" s="22">
        <v>1619</v>
      </c>
      <c r="D122" s="22">
        <v>1243</v>
      </c>
      <c r="E122" s="22">
        <v>376</v>
      </c>
      <c r="F122" s="22">
        <v>225</v>
      </c>
      <c r="G122" s="22">
        <v>135</v>
      </c>
      <c r="H122" s="22">
        <v>4</v>
      </c>
      <c r="I122" s="22">
        <v>0</v>
      </c>
      <c r="J122" s="22">
        <v>0</v>
      </c>
      <c r="K122" s="22">
        <v>12</v>
      </c>
      <c r="L122" s="22">
        <v>0</v>
      </c>
    </row>
    <row r="123" spans="1:12" s="21" customFormat="1" ht="12" customHeight="1" x14ac:dyDescent="0.2">
      <c r="A123" s="264" t="s">
        <v>138</v>
      </c>
      <c r="B123" s="264"/>
      <c r="C123" s="22">
        <v>1098</v>
      </c>
      <c r="D123" s="22">
        <v>988</v>
      </c>
      <c r="E123" s="22">
        <v>110</v>
      </c>
      <c r="F123" s="22">
        <v>77</v>
      </c>
      <c r="G123" s="22">
        <v>23</v>
      </c>
      <c r="H123" s="22">
        <v>0</v>
      </c>
      <c r="I123" s="22">
        <v>0</v>
      </c>
      <c r="J123" s="22">
        <v>0</v>
      </c>
      <c r="K123" s="22">
        <v>10</v>
      </c>
      <c r="L123" s="22">
        <v>0</v>
      </c>
    </row>
    <row r="124" spans="1:12" s="21" customFormat="1" ht="12" customHeight="1" x14ac:dyDescent="0.2">
      <c r="A124" s="264" t="s">
        <v>141</v>
      </c>
      <c r="B124" s="264"/>
      <c r="C124" s="22">
        <v>2862</v>
      </c>
      <c r="D124" s="22">
        <v>2419</v>
      </c>
      <c r="E124" s="22">
        <v>443</v>
      </c>
      <c r="F124" s="22">
        <v>338</v>
      </c>
      <c r="G124" s="22">
        <v>101</v>
      </c>
      <c r="H124" s="22">
        <v>0</v>
      </c>
      <c r="I124" s="22">
        <v>1</v>
      </c>
      <c r="J124" s="22">
        <v>0</v>
      </c>
      <c r="K124" s="22">
        <v>3</v>
      </c>
      <c r="L124" s="22">
        <v>0</v>
      </c>
    </row>
    <row r="125" spans="1:12" s="21" customFormat="1" ht="12" customHeight="1" x14ac:dyDescent="0.2">
      <c r="A125" s="264" t="s">
        <v>337</v>
      </c>
      <c r="B125" s="264"/>
      <c r="C125" s="22">
        <v>5086</v>
      </c>
      <c r="D125" s="22">
        <v>3895</v>
      </c>
      <c r="E125" s="22">
        <v>1191</v>
      </c>
      <c r="F125" s="22">
        <v>803</v>
      </c>
      <c r="G125" s="22">
        <v>351</v>
      </c>
      <c r="H125" s="22">
        <v>18</v>
      </c>
      <c r="I125" s="22">
        <v>2</v>
      </c>
      <c r="J125" s="22">
        <v>0</v>
      </c>
      <c r="K125" s="22">
        <v>17</v>
      </c>
      <c r="L125" s="22">
        <v>0</v>
      </c>
    </row>
    <row r="126" spans="1:12" s="21" customFormat="1" ht="12" customHeight="1" x14ac:dyDescent="0.2">
      <c r="A126" s="264" t="s">
        <v>144</v>
      </c>
      <c r="B126" s="264"/>
      <c r="C126" s="22">
        <v>4814</v>
      </c>
      <c r="D126" s="22">
        <v>3876</v>
      </c>
      <c r="E126" s="22">
        <v>938</v>
      </c>
      <c r="F126" s="22">
        <v>726</v>
      </c>
      <c r="G126" s="22">
        <v>195</v>
      </c>
      <c r="H126" s="22">
        <v>5</v>
      </c>
      <c r="I126" s="22">
        <v>4</v>
      </c>
      <c r="J126" s="22">
        <v>0</v>
      </c>
      <c r="K126" s="22">
        <v>8</v>
      </c>
      <c r="L126" s="22">
        <v>0</v>
      </c>
    </row>
    <row r="127" spans="1:12" s="21" customFormat="1" ht="12" customHeight="1" x14ac:dyDescent="0.2">
      <c r="A127" s="264" t="s">
        <v>148</v>
      </c>
      <c r="B127" s="264"/>
      <c r="C127" s="22">
        <v>1238</v>
      </c>
      <c r="D127" s="22">
        <v>896</v>
      </c>
      <c r="E127" s="22">
        <v>342</v>
      </c>
      <c r="F127" s="22">
        <v>169</v>
      </c>
      <c r="G127" s="22">
        <v>116</v>
      </c>
      <c r="H127" s="22">
        <v>4</v>
      </c>
      <c r="I127" s="22">
        <v>40</v>
      </c>
      <c r="J127" s="22">
        <v>8</v>
      </c>
      <c r="K127" s="22">
        <v>5</v>
      </c>
      <c r="L127" s="22">
        <v>0</v>
      </c>
    </row>
    <row r="128" spans="1:12" s="21" customFormat="1" ht="12" customHeight="1" x14ac:dyDescent="0.2">
      <c r="A128" s="264" t="s">
        <v>149</v>
      </c>
      <c r="B128" s="264"/>
      <c r="C128" s="22">
        <v>16394</v>
      </c>
      <c r="D128" s="22">
        <v>10600</v>
      </c>
      <c r="E128" s="22">
        <v>5794</v>
      </c>
      <c r="F128" s="22">
        <v>3886</v>
      </c>
      <c r="G128" s="22">
        <v>1600</v>
      </c>
      <c r="H128" s="22">
        <v>47</v>
      </c>
      <c r="I128" s="22">
        <v>130</v>
      </c>
      <c r="J128" s="22">
        <v>34</v>
      </c>
      <c r="K128" s="22">
        <v>97</v>
      </c>
      <c r="L128" s="22">
        <v>0</v>
      </c>
    </row>
    <row r="129" spans="1:12" s="21" customFormat="1" ht="12" customHeight="1" x14ac:dyDescent="0.2">
      <c r="A129" s="264" t="s">
        <v>150</v>
      </c>
      <c r="B129" s="264"/>
      <c r="C129" s="22">
        <v>6766</v>
      </c>
      <c r="D129" s="22">
        <v>5074</v>
      </c>
      <c r="E129" s="22">
        <v>1692</v>
      </c>
      <c r="F129" s="22">
        <v>1196</v>
      </c>
      <c r="G129" s="22">
        <v>424</v>
      </c>
      <c r="H129" s="22">
        <v>24</v>
      </c>
      <c r="I129" s="22">
        <v>16</v>
      </c>
      <c r="J129" s="22">
        <v>16</v>
      </c>
      <c r="K129" s="22">
        <v>16</v>
      </c>
      <c r="L129" s="22">
        <v>0</v>
      </c>
    </row>
    <row r="130" spans="1:12" s="21" customFormat="1" ht="12" customHeight="1" x14ac:dyDescent="0.2">
      <c r="A130" s="264" t="s">
        <v>152</v>
      </c>
      <c r="B130" s="264"/>
      <c r="C130" s="22">
        <v>203</v>
      </c>
      <c r="D130" s="22">
        <v>184</v>
      </c>
      <c r="E130" s="22">
        <v>19</v>
      </c>
      <c r="F130" s="22">
        <v>15</v>
      </c>
      <c r="G130" s="22">
        <v>4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</row>
    <row r="131" spans="1:12" s="21" customFormat="1" ht="12" customHeight="1" x14ac:dyDescent="0.2">
      <c r="A131" s="264" t="s">
        <v>153</v>
      </c>
      <c r="B131" s="264"/>
      <c r="C131" s="22">
        <v>7365</v>
      </c>
      <c r="D131" s="22">
        <v>5500</v>
      </c>
      <c r="E131" s="22">
        <v>1865</v>
      </c>
      <c r="F131" s="22">
        <v>1306</v>
      </c>
      <c r="G131" s="22">
        <v>508</v>
      </c>
      <c r="H131" s="22">
        <v>9</v>
      </c>
      <c r="I131" s="22">
        <v>22</v>
      </c>
      <c r="J131" s="22">
        <v>2</v>
      </c>
      <c r="K131" s="22">
        <v>18</v>
      </c>
      <c r="L131" s="22">
        <v>0</v>
      </c>
    </row>
    <row r="132" spans="1:12" s="21" customFormat="1" ht="12" customHeight="1" x14ac:dyDescent="0.2">
      <c r="A132" s="264" t="s">
        <v>155</v>
      </c>
      <c r="B132" s="264"/>
      <c r="C132" s="22">
        <v>2587</v>
      </c>
      <c r="D132" s="22">
        <v>1816</v>
      </c>
      <c r="E132" s="22">
        <v>771</v>
      </c>
      <c r="F132" s="22">
        <v>483</v>
      </c>
      <c r="G132" s="22">
        <v>261</v>
      </c>
      <c r="H132" s="22">
        <v>5</v>
      </c>
      <c r="I132" s="22">
        <v>17</v>
      </c>
      <c r="J132" s="22">
        <v>2</v>
      </c>
      <c r="K132" s="22">
        <v>3</v>
      </c>
      <c r="L132" s="22">
        <v>0</v>
      </c>
    </row>
    <row r="133" spans="1:12" s="21" customFormat="1" ht="12" customHeight="1" x14ac:dyDescent="0.2">
      <c r="A133" s="264" t="s">
        <v>156</v>
      </c>
      <c r="B133" s="264"/>
      <c r="C133" s="22">
        <v>663</v>
      </c>
      <c r="D133" s="22">
        <v>605</v>
      </c>
      <c r="E133" s="22">
        <v>58</v>
      </c>
      <c r="F133" s="22">
        <v>41</v>
      </c>
      <c r="G133" s="22">
        <v>16</v>
      </c>
      <c r="H133" s="22">
        <v>1</v>
      </c>
      <c r="I133" s="22">
        <v>0</v>
      </c>
      <c r="J133" s="22">
        <v>0</v>
      </c>
      <c r="K133" s="22">
        <v>0</v>
      </c>
      <c r="L133" s="22">
        <v>0</v>
      </c>
    </row>
    <row r="134" spans="1:12" s="21" customFormat="1" ht="12" customHeight="1" x14ac:dyDescent="0.2">
      <c r="A134" s="264" t="s">
        <v>157</v>
      </c>
      <c r="B134" s="264"/>
      <c r="C134" s="22">
        <v>699</v>
      </c>
      <c r="D134" s="22">
        <v>554</v>
      </c>
      <c r="E134" s="22">
        <v>145</v>
      </c>
      <c r="F134" s="22">
        <v>94</v>
      </c>
      <c r="G134" s="22">
        <v>47</v>
      </c>
      <c r="H134" s="22">
        <v>2</v>
      </c>
      <c r="I134" s="22">
        <v>0</v>
      </c>
      <c r="J134" s="22">
        <v>0</v>
      </c>
      <c r="K134" s="22">
        <v>2</v>
      </c>
      <c r="L134" s="22">
        <v>0</v>
      </c>
    </row>
    <row r="135" spans="1:12" s="21" customFormat="1" ht="12" customHeight="1" x14ac:dyDescent="0.2">
      <c r="A135" s="264" t="s">
        <v>159</v>
      </c>
      <c r="B135" s="264"/>
      <c r="C135" s="22">
        <v>524</v>
      </c>
      <c r="D135" s="22">
        <v>394</v>
      </c>
      <c r="E135" s="22">
        <v>130</v>
      </c>
      <c r="F135" s="22">
        <v>88</v>
      </c>
      <c r="G135" s="22">
        <v>38</v>
      </c>
      <c r="H135" s="22">
        <v>4</v>
      </c>
      <c r="I135" s="22">
        <v>0</v>
      </c>
      <c r="J135" s="22">
        <v>0</v>
      </c>
      <c r="K135" s="22">
        <v>0</v>
      </c>
      <c r="L135" s="22">
        <v>0</v>
      </c>
    </row>
    <row r="136" spans="1:12" s="21" customFormat="1" ht="12" customHeight="1" x14ac:dyDescent="0.2">
      <c r="A136" s="264" t="s">
        <v>164</v>
      </c>
      <c r="B136" s="264"/>
      <c r="C136" s="22">
        <v>3397</v>
      </c>
      <c r="D136" s="22">
        <v>2512</v>
      </c>
      <c r="E136" s="22">
        <v>885</v>
      </c>
      <c r="F136" s="22">
        <v>553</v>
      </c>
      <c r="G136" s="22">
        <v>255</v>
      </c>
      <c r="H136" s="22">
        <v>4</v>
      </c>
      <c r="I136" s="22">
        <v>38</v>
      </c>
      <c r="J136" s="22">
        <v>3</v>
      </c>
      <c r="K136" s="22">
        <v>32</v>
      </c>
      <c r="L136" s="22">
        <v>0</v>
      </c>
    </row>
    <row r="137" spans="1:12" s="21" customFormat="1" ht="12" customHeight="1" x14ac:dyDescent="0.2">
      <c r="A137" s="264" t="s">
        <v>348</v>
      </c>
      <c r="B137" s="264"/>
      <c r="C137" s="22">
        <v>2673</v>
      </c>
      <c r="D137" s="22">
        <v>2375</v>
      </c>
      <c r="E137" s="22">
        <v>298</v>
      </c>
      <c r="F137" s="22">
        <v>214</v>
      </c>
      <c r="G137" s="22">
        <v>84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</row>
    <row r="138" spans="1:12" s="21" customFormat="1" ht="12" customHeight="1" x14ac:dyDescent="0.2">
      <c r="A138" s="27" t="s">
        <v>384</v>
      </c>
      <c r="B138" s="27"/>
      <c r="C138" s="209">
        <v>786</v>
      </c>
      <c r="D138" s="209">
        <v>724</v>
      </c>
      <c r="E138" s="209">
        <v>62</v>
      </c>
      <c r="F138" s="209">
        <v>27</v>
      </c>
      <c r="G138" s="209">
        <v>25</v>
      </c>
      <c r="H138" s="209">
        <v>0</v>
      </c>
      <c r="I138" s="209">
        <v>3</v>
      </c>
      <c r="J138" s="209">
        <v>7</v>
      </c>
      <c r="K138" s="209">
        <v>0</v>
      </c>
      <c r="L138" s="209">
        <v>0</v>
      </c>
    </row>
    <row r="139" spans="1:12" s="21" customFormat="1" ht="12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s="21" customFormat="1" ht="12" customHeight="1" x14ac:dyDescent="0.2">
      <c r="A140" s="263" t="s">
        <v>169</v>
      </c>
      <c r="B140" s="263"/>
      <c r="C140" s="20">
        <v>6034</v>
      </c>
      <c r="D140" s="20">
        <v>5367</v>
      </c>
      <c r="E140" s="20">
        <v>667</v>
      </c>
      <c r="F140" s="20">
        <v>502</v>
      </c>
      <c r="G140" s="20">
        <v>144</v>
      </c>
      <c r="H140" s="20">
        <v>0</v>
      </c>
      <c r="I140" s="20">
        <v>0</v>
      </c>
      <c r="J140" s="20">
        <v>12</v>
      </c>
      <c r="K140" s="20">
        <v>9</v>
      </c>
      <c r="L140" s="20">
        <v>0</v>
      </c>
    </row>
    <row r="141" spans="1:12" s="21" customFormat="1" ht="12" customHeight="1" x14ac:dyDescent="0.2">
      <c r="A141" s="264" t="s">
        <v>170</v>
      </c>
      <c r="B141" s="264"/>
      <c r="C141" s="22">
        <v>1568</v>
      </c>
      <c r="D141" s="22">
        <v>1404</v>
      </c>
      <c r="E141" s="22">
        <v>164</v>
      </c>
      <c r="F141" s="22">
        <v>119</v>
      </c>
      <c r="G141" s="22">
        <v>39</v>
      </c>
      <c r="H141" s="22">
        <v>0</v>
      </c>
      <c r="I141" s="22">
        <v>0</v>
      </c>
      <c r="J141" s="22">
        <v>0</v>
      </c>
      <c r="K141" s="22">
        <v>6</v>
      </c>
      <c r="L141" s="22">
        <v>0</v>
      </c>
    </row>
    <row r="142" spans="1:12" s="21" customFormat="1" ht="12" customHeight="1" x14ac:dyDescent="0.2">
      <c r="A142" s="264" t="s">
        <v>171</v>
      </c>
      <c r="B142" s="264"/>
      <c r="C142" s="22">
        <v>53</v>
      </c>
      <c r="D142" s="22">
        <v>46</v>
      </c>
      <c r="E142" s="22">
        <v>7</v>
      </c>
      <c r="F142" s="22">
        <v>4</v>
      </c>
      <c r="G142" s="22">
        <v>3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</row>
    <row r="143" spans="1:12" s="21" customFormat="1" ht="12" customHeight="1" x14ac:dyDescent="0.2">
      <c r="A143" s="264" t="s">
        <v>172</v>
      </c>
      <c r="B143" s="264"/>
      <c r="C143" s="22">
        <v>49</v>
      </c>
      <c r="D143" s="22">
        <v>42</v>
      </c>
      <c r="E143" s="22">
        <v>7</v>
      </c>
      <c r="F143" s="22">
        <v>6</v>
      </c>
      <c r="G143" s="22">
        <v>1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</row>
    <row r="144" spans="1:12" s="21" customFormat="1" ht="12" customHeight="1" x14ac:dyDescent="0.2">
      <c r="A144" s="264" t="s">
        <v>173</v>
      </c>
      <c r="B144" s="264"/>
      <c r="C144" s="22">
        <v>38</v>
      </c>
      <c r="D144" s="22">
        <v>36</v>
      </c>
      <c r="E144" s="22">
        <v>2</v>
      </c>
      <c r="F144" s="22">
        <v>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</row>
    <row r="145" spans="1:12" s="21" customFormat="1" ht="12" customHeight="1" x14ac:dyDescent="0.2">
      <c r="A145" s="264" t="s">
        <v>174</v>
      </c>
      <c r="B145" s="264"/>
      <c r="C145" s="22">
        <v>1109</v>
      </c>
      <c r="D145" s="22">
        <v>955</v>
      </c>
      <c r="E145" s="22">
        <v>154</v>
      </c>
      <c r="F145" s="22">
        <v>124</v>
      </c>
      <c r="G145" s="22">
        <v>30</v>
      </c>
      <c r="H145" s="22">
        <v>0</v>
      </c>
      <c r="I145" s="22">
        <v>0</v>
      </c>
      <c r="J145" s="22">
        <v>0</v>
      </c>
      <c r="K145" s="22">
        <v>0</v>
      </c>
      <c r="L145" s="22">
        <v>0</v>
      </c>
    </row>
    <row r="146" spans="1:12" s="21" customFormat="1" ht="12" customHeight="1" x14ac:dyDescent="0.2">
      <c r="A146" s="264" t="s">
        <v>175</v>
      </c>
      <c r="B146" s="264"/>
      <c r="C146" s="22">
        <v>487</v>
      </c>
      <c r="D146" s="22">
        <v>448</v>
      </c>
      <c r="E146" s="22">
        <v>39</v>
      </c>
      <c r="F146" s="22">
        <v>27</v>
      </c>
      <c r="G146" s="22">
        <v>12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</row>
    <row r="147" spans="1:12" s="21" customFormat="1" ht="12" customHeight="1" x14ac:dyDescent="0.2">
      <c r="A147" s="264" t="s">
        <v>176</v>
      </c>
      <c r="B147" s="264"/>
      <c r="C147" s="22">
        <v>42</v>
      </c>
      <c r="D147" s="22">
        <v>38</v>
      </c>
      <c r="E147" s="22">
        <v>4</v>
      </c>
      <c r="F147" s="22">
        <v>3</v>
      </c>
      <c r="G147" s="22">
        <v>1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</row>
    <row r="148" spans="1:12" s="21" customFormat="1" ht="12" customHeight="1" x14ac:dyDescent="0.2">
      <c r="A148" s="267" t="s">
        <v>177</v>
      </c>
      <c r="B148" s="267"/>
      <c r="C148" s="209">
        <v>2688</v>
      </c>
      <c r="D148" s="209">
        <v>2398</v>
      </c>
      <c r="E148" s="209">
        <v>290</v>
      </c>
      <c r="F148" s="209">
        <v>217</v>
      </c>
      <c r="G148" s="209">
        <v>58</v>
      </c>
      <c r="H148" s="209">
        <v>0</v>
      </c>
      <c r="I148" s="209">
        <v>0</v>
      </c>
      <c r="J148" s="209">
        <v>12</v>
      </c>
      <c r="K148" s="209">
        <v>3</v>
      </c>
      <c r="L148" s="209">
        <v>0</v>
      </c>
    </row>
    <row r="149" spans="1:12" s="21" customFormat="1" ht="12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s="21" customFormat="1" ht="12" customHeight="1" x14ac:dyDescent="0.2">
      <c r="A150" s="263" t="s">
        <v>178</v>
      </c>
      <c r="B150" s="263"/>
      <c r="C150" s="20">
        <v>57616</v>
      </c>
      <c r="D150" s="20">
        <v>41817</v>
      </c>
      <c r="E150" s="20">
        <v>15799</v>
      </c>
      <c r="F150" s="20">
        <v>10789</v>
      </c>
      <c r="G150" s="20">
        <v>4206</v>
      </c>
      <c r="H150" s="20">
        <v>71</v>
      </c>
      <c r="I150" s="20">
        <v>429</v>
      </c>
      <c r="J150" s="20">
        <v>61</v>
      </c>
      <c r="K150" s="20">
        <v>243</v>
      </c>
      <c r="L150" s="20">
        <v>0</v>
      </c>
    </row>
    <row r="151" spans="1:12" s="21" customFormat="1" ht="12" customHeight="1" x14ac:dyDescent="0.2">
      <c r="A151" s="264" t="s">
        <v>179</v>
      </c>
      <c r="B151" s="264"/>
      <c r="C151" s="22">
        <v>5108</v>
      </c>
      <c r="D151" s="22">
        <v>3727</v>
      </c>
      <c r="E151" s="22">
        <v>1381</v>
      </c>
      <c r="F151" s="22">
        <v>1034</v>
      </c>
      <c r="G151" s="22">
        <v>268</v>
      </c>
      <c r="H151" s="22">
        <v>1</v>
      </c>
      <c r="I151" s="22">
        <v>59</v>
      </c>
      <c r="J151" s="22">
        <v>0</v>
      </c>
      <c r="K151" s="22">
        <v>19</v>
      </c>
      <c r="L151" s="22">
        <v>0</v>
      </c>
    </row>
    <row r="152" spans="1:12" s="21" customFormat="1" ht="12" customHeight="1" x14ac:dyDescent="0.2">
      <c r="A152" s="264" t="s">
        <v>180</v>
      </c>
      <c r="B152" s="264"/>
      <c r="C152" s="22">
        <v>44743</v>
      </c>
      <c r="D152" s="22">
        <v>32702</v>
      </c>
      <c r="E152" s="22">
        <v>12041</v>
      </c>
      <c r="F152" s="22">
        <v>8107</v>
      </c>
      <c r="G152" s="22">
        <v>3303</v>
      </c>
      <c r="H152" s="22">
        <v>52</v>
      </c>
      <c r="I152" s="22">
        <v>321</v>
      </c>
      <c r="J152" s="22">
        <v>61</v>
      </c>
      <c r="K152" s="22">
        <v>197</v>
      </c>
      <c r="L152" s="22">
        <v>0</v>
      </c>
    </row>
    <row r="153" spans="1:12" s="21" customFormat="1" ht="12" customHeight="1" x14ac:dyDescent="0.2">
      <c r="A153" s="264" t="s">
        <v>181</v>
      </c>
      <c r="B153" s="264"/>
      <c r="C153" s="22">
        <v>3111</v>
      </c>
      <c r="D153" s="22">
        <v>1776</v>
      </c>
      <c r="E153" s="22">
        <v>1335</v>
      </c>
      <c r="F153" s="22">
        <v>890</v>
      </c>
      <c r="G153" s="22">
        <v>397</v>
      </c>
      <c r="H153" s="22">
        <v>9</v>
      </c>
      <c r="I153" s="22">
        <v>24</v>
      </c>
      <c r="J153" s="22">
        <v>0</v>
      </c>
      <c r="K153" s="22">
        <v>15</v>
      </c>
      <c r="L153" s="22">
        <v>0</v>
      </c>
    </row>
    <row r="154" spans="1:12" s="21" customFormat="1" ht="12" customHeight="1" x14ac:dyDescent="0.2">
      <c r="A154" s="264" t="s">
        <v>187</v>
      </c>
      <c r="B154" s="264"/>
      <c r="C154" s="22">
        <v>394</v>
      </c>
      <c r="D154" s="22">
        <v>359</v>
      </c>
      <c r="E154" s="22">
        <v>35</v>
      </c>
      <c r="F154" s="22">
        <v>27</v>
      </c>
      <c r="G154" s="22">
        <v>8</v>
      </c>
      <c r="H154" s="22">
        <v>0</v>
      </c>
      <c r="I154" s="22">
        <v>0</v>
      </c>
      <c r="J154" s="22">
        <v>0</v>
      </c>
      <c r="K154" s="22">
        <v>0</v>
      </c>
      <c r="L154" s="22">
        <v>0</v>
      </c>
    </row>
    <row r="155" spans="1:12" s="21" customFormat="1" ht="12" customHeight="1" x14ac:dyDescent="0.2">
      <c r="A155" s="264" t="s">
        <v>188</v>
      </c>
      <c r="B155" s="264"/>
      <c r="C155" s="22">
        <v>1614</v>
      </c>
      <c r="D155" s="22">
        <v>1310</v>
      </c>
      <c r="E155" s="22">
        <v>304</v>
      </c>
      <c r="F155" s="22">
        <v>203</v>
      </c>
      <c r="G155" s="22">
        <v>98</v>
      </c>
      <c r="H155" s="22">
        <v>2</v>
      </c>
      <c r="I155" s="22">
        <v>1</v>
      </c>
      <c r="J155" s="22">
        <v>0</v>
      </c>
      <c r="K155" s="22">
        <v>0</v>
      </c>
      <c r="L155" s="22">
        <v>0</v>
      </c>
    </row>
    <row r="156" spans="1:12" s="21" customFormat="1" ht="12" customHeight="1" x14ac:dyDescent="0.2">
      <c r="A156" s="266" t="s">
        <v>194</v>
      </c>
      <c r="B156" s="266"/>
      <c r="C156" s="209">
        <v>2646</v>
      </c>
      <c r="D156" s="209">
        <v>1943</v>
      </c>
      <c r="E156" s="209">
        <v>703</v>
      </c>
      <c r="F156" s="209">
        <v>528</v>
      </c>
      <c r="G156" s="209">
        <v>132</v>
      </c>
      <c r="H156" s="209">
        <v>7</v>
      </c>
      <c r="I156" s="209">
        <v>24</v>
      </c>
      <c r="J156" s="209">
        <v>0</v>
      </c>
      <c r="K156" s="209">
        <v>12</v>
      </c>
      <c r="L156" s="209">
        <v>0</v>
      </c>
    </row>
    <row r="157" spans="1:12" s="21" customFormat="1" ht="12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s="21" customFormat="1" ht="12" customHeight="1" x14ac:dyDescent="0.2">
      <c r="A158" s="263" t="s">
        <v>197</v>
      </c>
      <c r="B158" s="263"/>
      <c r="C158" s="20">
        <v>10398</v>
      </c>
      <c r="D158" s="20">
        <v>7016</v>
      </c>
      <c r="E158" s="20">
        <v>3382</v>
      </c>
      <c r="F158" s="20">
        <v>2524</v>
      </c>
      <c r="G158" s="20">
        <v>760</v>
      </c>
      <c r="H158" s="20">
        <v>9</v>
      </c>
      <c r="I158" s="20">
        <v>36</v>
      </c>
      <c r="J158" s="20">
        <v>1</v>
      </c>
      <c r="K158" s="20">
        <v>52</v>
      </c>
      <c r="L158" s="20">
        <v>0</v>
      </c>
    </row>
    <row r="159" spans="1:12" s="21" customFormat="1" ht="12" customHeight="1" x14ac:dyDescent="0.2">
      <c r="A159" s="264" t="s">
        <v>198</v>
      </c>
      <c r="B159" s="264"/>
      <c r="C159" s="22">
        <v>6136</v>
      </c>
      <c r="D159" s="22">
        <v>4031</v>
      </c>
      <c r="E159" s="22">
        <v>2105</v>
      </c>
      <c r="F159" s="22">
        <v>1559</v>
      </c>
      <c r="G159" s="22">
        <v>470</v>
      </c>
      <c r="H159" s="22">
        <v>4</v>
      </c>
      <c r="I159" s="22">
        <v>32</v>
      </c>
      <c r="J159" s="22">
        <v>1</v>
      </c>
      <c r="K159" s="22">
        <v>39</v>
      </c>
      <c r="L159" s="22">
        <v>0</v>
      </c>
    </row>
    <row r="160" spans="1:12" s="21" customFormat="1" ht="12" customHeight="1" x14ac:dyDescent="0.2">
      <c r="A160" s="266" t="s">
        <v>371</v>
      </c>
      <c r="B160" s="266"/>
      <c r="C160" s="209">
        <v>4262</v>
      </c>
      <c r="D160" s="209">
        <v>2985</v>
      </c>
      <c r="E160" s="209">
        <v>1277</v>
      </c>
      <c r="F160" s="209">
        <v>965</v>
      </c>
      <c r="G160" s="209">
        <v>290</v>
      </c>
      <c r="H160" s="209">
        <v>5</v>
      </c>
      <c r="I160" s="209">
        <v>4</v>
      </c>
      <c r="J160" s="209">
        <v>0</v>
      </c>
      <c r="K160" s="209">
        <v>13</v>
      </c>
      <c r="L160" s="209">
        <v>0</v>
      </c>
    </row>
    <row r="161" spans="1:12" s="21" customFormat="1" ht="12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s="21" customFormat="1" ht="12" customHeight="1" x14ac:dyDescent="0.2">
      <c r="A162" s="263" t="s">
        <v>204</v>
      </c>
      <c r="B162" s="263"/>
      <c r="C162" s="20">
        <v>5595</v>
      </c>
      <c r="D162" s="20">
        <v>5056</v>
      </c>
      <c r="E162" s="20">
        <v>539</v>
      </c>
      <c r="F162" s="20">
        <v>370</v>
      </c>
      <c r="G162" s="20">
        <v>145</v>
      </c>
      <c r="H162" s="20">
        <v>3</v>
      </c>
      <c r="I162" s="20">
        <v>0</v>
      </c>
      <c r="J162" s="20">
        <v>0</v>
      </c>
      <c r="K162" s="20">
        <v>21</v>
      </c>
      <c r="L162" s="20">
        <v>0</v>
      </c>
    </row>
    <row r="163" spans="1:12" s="21" customFormat="1" ht="12" customHeight="1" x14ac:dyDescent="0.2">
      <c r="A163" s="264" t="s">
        <v>205</v>
      </c>
      <c r="B163" s="264"/>
      <c r="C163" s="22">
        <v>1823</v>
      </c>
      <c r="D163" s="22">
        <v>1590</v>
      </c>
      <c r="E163" s="22">
        <v>233</v>
      </c>
      <c r="F163" s="22">
        <v>164</v>
      </c>
      <c r="G163" s="22">
        <v>59</v>
      </c>
      <c r="H163" s="22">
        <v>2</v>
      </c>
      <c r="I163" s="22">
        <v>0</v>
      </c>
      <c r="J163" s="22">
        <v>0</v>
      </c>
      <c r="K163" s="22">
        <v>8</v>
      </c>
      <c r="L163" s="22">
        <v>0</v>
      </c>
    </row>
    <row r="164" spans="1:12" s="21" customFormat="1" ht="12" customHeight="1" x14ac:dyDescent="0.2">
      <c r="A164" s="264" t="s">
        <v>206</v>
      </c>
      <c r="B164" s="264"/>
      <c r="C164" s="22">
        <v>1706</v>
      </c>
      <c r="D164" s="22">
        <v>1604</v>
      </c>
      <c r="E164" s="22">
        <v>102</v>
      </c>
      <c r="F164" s="22">
        <v>67</v>
      </c>
      <c r="G164" s="22">
        <v>31</v>
      </c>
      <c r="H164" s="22">
        <v>0</v>
      </c>
      <c r="I164" s="22">
        <v>0</v>
      </c>
      <c r="J164" s="22">
        <v>0</v>
      </c>
      <c r="K164" s="22">
        <v>4</v>
      </c>
      <c r="L164" s="22">
        <v>0</v>
      </c>
    </row>
    <row r="165" spans="1:12" s="21" customFormat="1" ht="12" customHeight="1" x14ac:dyDescent="0.2">
      <c r="A165" s="266" t="s">
        <v>345</v>
      </c>
      <c r="B165" s="266"/>
      <c r="C165" s="44">
        <v>2066</v>
      </c>
      <c r="D165" s="44">
        <v>1862</v>
      </c>
      <c r="E165" s="44">
        <v>204</v>
      </c>
      <c r="F165" s="44">
        <v>139</v>
      </c>
      <c r="G165" s="44">
        <v>55</v>
      </c>
      <c r="H165" s="44">
        <v>1</v>
      </c>
      <c r="I165" s="44">
        <v>0</v>
      </c>
      <c r="J165" s="44">
        <v>0</v>
      </c>
      <c r="K165" s="44">
        <v>9</v>
      </c>
      <c r="L165" s="44">
        <v>0</v>
      </c>
    </row>
    <row r="166" spans="1:12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s="21" customFormat="1" ht="12" customHeight="1" x14ac:dyDescent="0.2">
      <c r="A167" s="263" t="s">
        <v>210</v>
      </c>
      <c r="B167" s="263"/>
      <c r="C167" s="20">
        <v>8680</v>
      </c>
      <c r="D167" s="20">
        <v>6428</v>
      </c>
      <c r="E167" s="20">
        <v>2252</v>
      </c>
      <c r="F167" s="20">
        <v>1593</v>
      </c>
      <c r="G167" s="20">
        <v>578</v>
      </c>
      <c r="H167" s="20">
        <v>19</v>
      </c>
      <c r="I167" s="20">
        <v>22</v>
      </c>
      <c r="J167" s="20">
        <v>1</v>
      </c>
      <c r="K167" s="20">
        <v>39</v>
      </c>
      <c r="L167" s="20">
        <v>0</v>
      </c>
    </row>
    <row r="168" spans="1:12" s="21" customFormat="1" ht="12" customHeight="1" x14ac:dyDescent="0.2">
      <c r="A168" s="264" t="s">
        <v>211</v>
      </c>
      <c r="B168" s="264"/>
      <c r="C168" s="22">
        <v>1464</v>
      </c>
      <c r="D168" s="22">
        <v>1067</v>
      </c>
      <c r="E168" s="22">
        <v>397</v>
      </c>
      <c r="F168" s="22">
        <v>263</v>
      </c>
      <c r="G168" s="22">
        <v>112</v>
      </c>
      <c r="H168" s="22">
        <v>6</v>
      </c>
      <c r="I168" s="22">
        <v>2</v>
      </c>
      <c r="J168" s="22">
        <v>0</v>
      </c>
      <c r="K168" s="22">
        <v>14</v>
      </c>
      <c r="L168" s="22">
        <v>0</v>
      </c>
    </row>
    <row r="169" spans="1:12" s="21" customFormat="1" ht="12" customHeight="1" x14ac:dyDescent="0.2">
      <c r="A169" s="264" t="s">
        <v>213</v>
      </c>
      <c r="B169" s="264"/>
      <c r="C169" s="22">
        <v>101</v>
      </c>
      <c r="D169" s="22">
        <v>93</v>
      </c>
      <c r="E169" s="22">
        <v>8</v>
      </c>
      <c r="F169" s="22">
        <v>4</v>
      </c>
      <c r="G169" s="22">
        <v>4</v>
      </c>
      <c r="H169" s="22">
        <v>0</v>
      </c>
      <c r="I169" s="22">
        <v>0</v>
      </c>
      <c r="J169" s="22">
        <v>0</v>
      </c>
      <c r="K169" s="22">
        <v>0</v>
      </c>
      <c r="L169" s="22">
        <v>0</v>
      </c>
    </row>
    <row r="170" spans="1:12" s="21" customFormat="1" ht="12" customHeight="1" x14ac:dyDescent="0.2">
      <c r="A170" s="264" t="s">
        <v>214</v>
      </c>
      <c r="B170" s="264"/>
      <c r="C170" s="22">
        <v>899</v>
      </c>
      <c r="D170" s="22">
        <v>489</v>
      </c>
      <c r="E170" s="22">
        <v>410</v>
      </c>
      <c r="F170" s="22">
        <v>264</v>
      </c>
      <c r="G170" s="22">
        <v>121</v>
      </c>
      <c r="H170" s="22">
        <v>2</v>
      </c>
      <c r="I170" s="22">
        <v>9</v>
      </c>
      <c r="J170" s="22">
        <v>0</v>
      </c>
      <c r="K170" s="22">
        <v>14</v>
      </c>
      <c r="L170" s="22">
        <v>0</v>
      </c>
    </row>
    <row r="171" spans="1:12" s="21" customFormat="1" ht="12" customHeight="1" x14ac:dyDescent="0.2">
      <c r="A171" s="264" t="s">
        <v>219</v>
      </c>
      <c r="B171" s="264"/>
      <c r="C171" s="22">
        <v>181</v>
      </c>
      <c r="D171" s="22">
        <v>169</v>
      </c>
      <c r="E171" s="22">
        <v>12</v>
      </c>
      <c r="F171" s="22">
        <v>7</v>
      </c>
      <c r="G171" s="22">
        <v>5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</row>
    <row r="172" spans="1:12" s="21" customFormat="1" ht="12" customHeight="1" x14ac:dyDescent="0.2">
      <c r="A172" s="264" t="s">
        <v>220</v>
      </c>
      <c r="B172" s="264"/>
      <c r="C172" s="22">
        <v>2753</v>
      </c>
      <c r="D172" s="22">
        <v>2167</v>
      </c>
      <c r="E172" s="22">
        <v>586</v>
      </c>
      <c r="F172" s="22">
        <v>458</v>
      </c>
      <c r="G172" s="22">
        <v>122</v>
      </c>
      <c r="H172" s="22">
        <v>3</v>
      </c>
      <c r="I172" s="22">
        <v>0</v>
      </c>
      <c r="J172" s="22">
        <v>0</v>
      </c>
      <c r="K172" s="22">
        <v>3</v>
      </c>
      <c r="L172" s="22">
        <v>0</v>
      </c>
    </row>
    <row r="173" spans="1:12" s="21" customFormat="1" ht="12" customHeight="1" x14ac:dyDescent="0.2">
      <c r="A173" s="264" t="s">
        <v>221</v>
      </c>
      <c r="B173" s="264"/>
      <c r="C173" s="22">
        <v>795</v>
      </c>
      <c r="D173" s="22">
        <v>584</v>
      </c>
      <c r="E173" s="22">
        <v>211</v>
      </c>
      <c r="F173" s="22">
        <v>149</v>
      </c>
      <c r="G173" s="22">
        <v>56</v>
      </c>
      <c r="H173" s="22">
        <v>0</v>
      </c>
      <c r="I173" s="22">
        <v>3</v>
      </c>
      <c r="J173" s="22">
        <v>1</v>
      </c>
      <c r="K173" s="22">
        <v>2</v>
      </c>
      <c r="L173" s="22">
        <v>0</v>
      </c>
    </row>
    <row r="174" spans="1:12" s="21" customFormat="1" ht="12" customHeight="1" x14ac:dyDescent="0.2">
      <c r="A174" s="264" t="s">
        <v>224</v>
      </c>
      <c r="B174" s="264"/>
      <c r="C174" s="22">
        <v>309</v>
      </c>
      <c r="D174" s="22">
        <v>265</v>
      </c>
      <c r="E174" s="22">
        <v>44</v>
      </c>
      <c r="F174" s="22">
        <v>31</v>
      </c>
      <c r="G174" s="22">
        <v>12</v>
      </c>
      <c r="H174" s="22">
        <v>1</v>
      </c>
      <c r="I174" s="22">
        <v>0</v>
      </c>
      <c r="J174" s="22">
        <v>0</v>
      </c>
      <c r="K174" s="22">
        <v>0</v>
      </c>
      <c r="L174" s="22">
        <v>0</v>
      </c>
    </row>
    <row r="175" spans="1:12" s="21" customFormat="1" ht="12" customHeight="1" x14ac:dyDescent="0.2">
      <c r="A175" s="264" t="s">
        <v>225</v>
      </c>
      <c r="B175" s="264"/>
      <c r="C175" s="22">
        <v>854</v>
      </c>
      <c r="D175" s="22">
        <v>553</v>
      </c>
      <c r="E175" s="22">
        <v>301</v>
      </c>
      <c r="F175" s="22">
        <v>217</v>
      </c>
      <c r="G175" s="22">
        <v>77</v>
      </c>
      <c r="H175" s="22">
        <v>3</v>
      </c>
      <c r="I175" s="22">
        <v>4</v>
      </c>
      <c r="J175" s="22">
        <v>0</v>
      </c>
      <c r="K175" s="22">
        <v>0</v>
      </c>
      <c r="L175" s="22">
        <v>0</v>
      </c>
    </row>
    <row r="176" spans="1:12" s="21" customFormat="1" ht="12" customHeight="1" x14ac:dyDescent="0.2">
      <c r="A176" s="264" t="s">
        <v>226</v>
      </c>
      <c r="B176" s="264"/>
      <c r="C176" s="22">
        <v>381</v>
      </c>
      <c r="D176" s="22">
        <v>316</v>
      </c>
      <c r="E176" s="22">
        <v>65</v>
      </c>
      <c r="F176" s="22">
        <v>57</v>
      </c>
      <c r="G176" s="22">
        <v>7</v>
      </c>
      <c r="H176" s="22">
        <v>1</v>
      </c>
      <c r="I176" s="22">
        <v>0</v>
      </c>
      <c r="J176" s="22">
        <v>0</v>
      </c>
      <c r="K176" s="22">
        <v>0</v>
      </c>
      <c r="L176" s="22">
        <v>0</v>
      </c>
    </row>
    <row r="177" spans="1:12" s="21" customFormat="1" ht="12" customHeight="1" x14ac:dyDescent="0.2">
      <c r="A177" s="266" t="s">
        <v>227</v>
      </c>
      <c r="B177" s="266"/>
      <c r="C177" s="209">
        <v>943</v>
      </c>
      <c r="D177" s="209">
        <v>725</v>
      </c>
      <c r="E177" s="209">
        <v>218</v>
      </c>
      <c r="F177" s="209">
        <v>143</v>
      </c>
      <c r="G177" s="209">
        <v>62</v>
      </c>
      <c r="H177" s="209">
        <v>3</v>
      </c>
      <c r="I177" s="209">
        <v>4</v>
      </c>
      <c r="J177" s="209">
        <v>0</v>
      </c>
      <c r="K177" s="209">
        <v>6</v>
      </c>
      <c r="L177" s="209">
        <v>0</v>
      </c>
    </row>
    <row r="178" spans="1:12" s="21" customFormat="1" ht="12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s="21" customFormat="1" ht="12" customHeight="1" x14ac:dyDescent="0.2">
      <c r="A179" s="263" t="s">
        <v>229</v>
      </c>
      <c r="B179" s="263"/>
      <c r="C179" s="20">
        <v>357720</v>
      </c>
      <c r="D179" s="20">
        <v>253794</v>
      </c>
      <c r="E179" s="20">
        <v>103926</v>
      </c>
      <c r="F179" s="20">
        <v>68105</v>
      </c>
      <c r="G179" s="20">
        <v>30982</v>
      </c>
      <c r="H179" s="20">
        <v>651</v>
      </c>
      <c r="I179" s="20">
        <v>1662</v>
      </c>
      <c r="J179" s="20">
        <v>299</v>
      </c>
      <c r="K179" s="20">
        <v>2205</v>
      </c>
      <c r="L179" s="20">
        <v>22</v>
      </c>
    </row>
    <row r="180" spans="1:12" s="21" customFormat="1" ht="12" customHeight="1" x14ac:dyDescent="0.2">
      <c r="A180" s="264" t="s">
        <v>230</v>
      </c>
      <c r="B180" s="264"/>
      <c r="C180" s="22">
        <v>50352</v>
      </c>
      <c r="D180" s="22">
        <v>36881</v>
      </c>
      <c r="E180" s="22">
        <v>13471</v>
      </c>
      <c r="F180" s="22">
        <v>8302</v>
      </c>
      <c r="G180" s="22">
        <v>4351</v>
      </c>
      <c r="H180" s="22">
        <v>79</v>
      </c>
      <c r="I180" s="22">
        <v>245</v>
      </c>
      <c r="J180" s="22">
        <v>28</v>
      </c>
      <c r="K180" s="22">
        <v>466</v>
      </c>
      <c r="L180" s="22">
        <v>0</v>
      </c>
    </row>
    <row r="181" spans="1:12" s="21" customFormat="1" ht="12" customHeight="1" x14ac:dyDescent="0.2">
      <c r="A181" s="264" t="s">
        <v>231</v>
      </c>
      <c r="B181" s="264"/>
      <c r="C181" s="22">
        <v>154448</v>
      </c>
      <c r="D181" s="22">
        <v>103341</v>
      </c>
      <c r="E181" s="22">
        <v>51107</v>
      </c>
      <c r="F181" s="22">
        <v>32645</v>
      </c>
      <c r="G181" s="22">
        <v>16195</v>
      </c>
      <c r="H181" s="22">
        <v>325</v>
      </c>
      <c r="I181" s="22">
        <v>655</v>
      </c>
      <c r="J181" s="22">
        <v>124</v>
      </c>
      <c r="K181" s="22">
        <v>1141</v>
      </c>
      <c r="L181" s="22">
        <v>22</v>
      </c>
    </row>
    <row r="182" spans="1:12" s="21" customFormat="1" ht="12" customHeight="1" x14ac:dyDescent="0.2">
      <c r="A182" s="264" t="s">
        <v>232</v>
      </c>
      <c r="B182" s="264"/>
      <c r="C182" s="22">
        <v>64597</v>
      </c>
      <c r="D182" s="22">
        <v>47888</v>
      </c>
      <c r="E182" s="22">
        <v>16709</v>
      </c>
      <c r="F182" s="22">
        <v>11380</v>
      </c>
      <c r="G182" s="22">
        <v>4603</v>
      </c>
      <c r="H182" s="22">
        <v>145</v>
      </c>
      <c r="I182" s="22">
        <v>275</v>
      </c>
      <c r="J182" s="22">
        <v>72</v>
      </c>
      <c r="K182" s="22">
        <v>234</v>
      </c>
      <c r="L182" s="22">
        <v>0</v>
      </c>
    </row>
    <row r="183" spans="1:12" s="21" customFormat="1" ht="12" customHeight="1" x14ac:dyDescent="0.2">
      <c r="A183" s="264" t="s">
        <v>233</v>
      </c>
      <c r="B183" s="264"/>
      <c r="C183" s="22">
        <v>6034</v>
      </c>
      <c r="D183" s="22">
        <v>5367</v>
      </c>
      <c r="E183" s="22">
        <v>667</v>
      </c>
      <c r="F183" s="22">
        <v>502</v>
      </c>
      <c r="G183" s="22">
        <v>144</v>
      </c>
      <c r="H183" s="22">
        <v>0</v>
      </c>
      <c r="I183" s="22">
        <v>0</v>
      </c>
      <c r="J183" s="22">
        <v>12</v>
      </c>
      <c r="K183" s="22">
        <v>9</v>
      </c>
      <c r="L183" s="22">
        <v>0</v>
      </c>
    </row>
    <row r="184" spans="1:12" s="21" customFormat="1" ht="12" customHeight="1" x14ac:dyDescent="0.2">
      <c r="A184" s="264" t="s">
        <v>234</v>
      </c>
      <c r="B184" s="264"/>
      <c r="C184" s="22">
        <v>57616</v>
      </c>
      <c r="D184" s="22">
        <v>41817</v>
      </c>
      <c r="E184" s="22">
        <v>15799</v>
      </c>
      <c r="F184" s="22">
        <v>10789</v>
      </c>
      <c r="G184" s="22">
        <v>4206</v>
      </c>
      <c r="H184" s="22">
        <v>71</v>
      </c>
      <c r="I184" s="22">
        <v>429</v>
      </c>
      <c r="J184" s="22">
        <v>61</v>
      </c>
      <c r="K184" s="22">
        <v>243</v>
      </c>
      <c r="L184" s="22">
        <v>0</v>
      </c>
    </row>
    <row r="185" spans="1:12" s="21" customFormat="1" ht="12" customHeight="1" x14ac:dyDescent="0.2">
      <c r="A185" s="264" t="s">
        <v>235</v>
      </c>
      <c r="B185" s="264"/>
      <c r="C185" s="22">
        <v>10398</v>
      </c>
      <c r="D185" s="22">
        <v>7016</v>
      </c>
      <c r="E185" s="22">
        <v>3382</v>
      </c>
      <c r="F185" s="22">
        <v>2524</v>
      </c>
      <c r="G185" s="22">
        <v>760</v>
      </c>
      <c r="H185" s="22">
        <v>9</v>
      </c>
      <c r="I185" s="22">
        <v>36</v>
      </c>
      <c r="J185" s="22">
        <v>1</v>
      </c>
      <c r="K185" s="22">
        <v>52</v>
      </c>
      <c r="L185" s="22">
        <v>0</v>
      </c>
    </row>
    <row r="186" spans="1:12" s="21" customFormat="1" ht="12" customHeight="1" x14ac:dyDescent="0.2">
      <c r="A186" s="264" t="s">
        <v>236</v>
      </c>
      <c r="B186" s="264"/>
      <c r="C186" s="22">
        <v>5595</v>
      </c>
      <c r="D186" s="22">
        <v>5056</v>
      </c>
      <c r="E186" s="22">
        <v>539</v>
      </c>
      <c r="F186" s="22">
        <v>370</v>
      </c>
      <c r="G186" s="22">
        <v>145</v>
      </c>
      <c r="H186" s="22">
        <v>3</v>
      </c>
      <c r="I186" s="22">
        <v>0</v>
      </c>
      <c r="J186" s="22">
        <v>0</v>
      </c>
      <c r="K186" s="22">
        <v>21</v>
      </c>
      <c r="L186" s="22">
        <v>0</v>
      </c>
    </row>
    <row r="187" spans="1:12" s="21" customFormat="1" ht="12" customHeight="1" x14ac:dyDescent="0.2">
      <c r="A187" s="267" t="s">
        <v>237</v>
      </c>
      <c r="B187" s="267"/>
      <c r="C187" s="209">
        <v>8680</v>
      </c>
      <c r="D187" s="209">
        <v>6428</v>
      </c>
      <c r="E187" s="209">
        <v>2252</v>
      </c>
      <c r="F187" s="209">
        <v>1593</v>
      </c>
      <c r="G187" s="209">
        <v>578</v>
      </c>
      <c r="H187" s="209">
        <v>19</v>
      </c>
      <c r="I187" s="209">
        <v>22</v>
      </c>
      <c r="J187" s="209">
        <v>1</v>
      </c>
      <c r="K187" s="209">
        <v>39</v>
      </c>
      <c r="L187" s="209">
        <v>0</v>
      </c>
    </row>
    <row r="188" spans="1:12" s="21" customFormat="1" ht="12" customHeight="1" x14ac:dyDescent="0.2">
      <c r="A188" s="27"/>
      <c r="B188" s="27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spans="1:12" s="21" customFormat="1" ht="12" customHeight="1" x14ac:dyDescent="0.2">
      <c r="A189" s="263" t="s">
        <v>355</v>
      </c>
      <c r="B189" s="263"/>
      <c r="C189" s="20">
        <v>334868</v>
      </c>
      <c r="D189" s="20">
        <v>236109</v>
      </c>
      <c r="E189" s="20">
        <v>98759</v>
      </c>
      <c r="F189" s="20">
        <v>64376</v>
      </c>
      <c r="G189" s="20">
        <v>29726</v>
      </c>
      <c r="H189" s="20">
        <v>624</v>
      </c>
      <c r="I189" s="20">
        <v>1608</v>
      </c>
      <c r="J189" s="20">
        <v>297</v>
      </c>
      <c r="K189" s="20">
        <v>2106</v>
      </c>
      <c r="L189" s="20">
        <v>22</v>
      </c>
    </row>
    <row r="190" spans="1:12" s="21" customFormat="1" ht="12" customHeight="1" x14ac:dyDescent="0.2">
      <c r="A190" s="264" t="s">
        <v>356</v>
      </c>
      <c r="B190" s="264"/>
      <c r="C190" s="22">
        <v>58373</v>
      </c>
      <c r="D190" s="22">
        <v>42667</v>
      </c>
      <c r="E190" s="22">
        <v>15706</v>
      </c>
      <c r="F190" s="22">
        <v>10837</v>
      </c>
      <c r="G190" s="22">
        <v>4091</v>
      </c>
      <c r="H190" s="22">
        <v>67</v>
      </c>
      <c r="I190" s="22">
        <v>409</v>
      </c>
      <c r="J190" s="22">
        <v>61</v>
      </c>
      <c r="K190" s="22">
        <v>241</v>
      </c>
      <c r="L190" s="22">
        <v>0</v>
      </c>
    </row>
    <row r="191" spans="1:12" s="21" customFormat="1" ht="12" customHeight="1" x14ac:dyDescent="0.2">
      <c r="A191" s="264" t="s">
        <v>357</v>
      </c>
      <c r="B191" s="264"/>
      <c r="C191" s="24">
        <v>50826</v>
      </c>
      <c r="D191" s="24">
        <v>37222</v>
      </c>
      <c r="E191" s="24">
        <v>13604</v>
      </c>
      <c r="F191" s="24">
        <v>8393</v>
      </c>
      <c r="G191" s="24">
        <v>4392</v>
      </c>
      <c r="H191" s="24">
        <v>80</v>
      </c>
      <c r="I191" s="24">
        <v>245</v>
      </c>
      <c r="J191" s="24">
        <v>28</v>
      </c>
      <c r="K191" s="24">
        <v>466</v>
      </c>
      <c r="L191" s="24">
        <v>0</v>
      </c>
    </row>
    <row r="192" spans="1:12" s="21" customFormat="1" ht="12" customHeight="1" x14ac:dyDescent="0.2">
      <c r="A192" s="264" t="s">
        <v>358</v>
      </c>
      <c r="B192" s="264"/>
      <c r="C192" s="22">
        <v>63104</v>
      </c>
      <c r="D192" s="22">
        <v>47190</v>
      </c>
      <c r="E192" s="22">
        <v>15914</v>
      </c>
      <c r="F192" s="22">
        <v>10872</v>
      </c>
      <c r="G192" s="22">
        <v>4333</v>
      </c>
      <c r="H192" s="22">
        <v>126</v>
      </c>
      <c r="I192" s="22">
        <v>273</v>
      </c>
      <c r="J192" s="22">
        <v>84</v>
      </c>
      <c r="K192" s="22">
        <v>226</v>
      </c>
      <c r="L192" s="22">
        <v>0</v>
      </c>
    </row>
    <row r="193" spans="1:12" s="21" customFormat="1" ht="12" customHeight="1" x14ac:dyDescent="0.2">
      <c r="A193" s="264" t="s">
        <v>359</v>
      </c>
      <c r="B193" s="264"/>
      <c r="C193" s="22">
        <v>153974</v>
      </c>
      <c r="D193" s="22">
        <v>103000</v>
      </c>
      <c r="E193" s="22">
        <v>50974</v>
      </c>
      <c r="F193" s="22">
        <v>32554</v>
      </c>
      <c r="G193" s="22">
        <v>16154</v>
      </c>
      <c r="H193" s="22">
        <v>324</v>
      </c>
      <c r="I193" s="22">
        <v>655</v>
      </c>
      <c r="J193" s="22">
        <v>124</v>
      </c>
      <c r="K193" s="22">
        <v>1141</v>
      </c>
      <c r="L193" s="22">
        <v>22</v>
      </c>
    </row>
    <row r="194" spans="1:12" s="21" customFormat="1" ht="12" customHeight="1" x14ac:dyDescent="0.2">
      <c r="A194" s="210" t="s">
        <v>360</v>
      </c>
      <c r="B194" s="210"/>
      <c r="C194" s="209">
        <v>8591</v>
      </c>
      <c r="D194" s="209">
        <v>6030</v>
      </c>
      <c r="E194" s="209">
        <v>2561</v>
      </c>
      <c r="F194" s="209">
        <v>1720</v>
      </c>
      <c r="G194" s="209">
        <v>756</v>
      </c>
      <c r="H194" s="209">
        <v>27</v>
      </c>
      <c r="I194" s="209">
        <v>26</v>
      </c>
      <c r="J194" s="209">
        <v>0</v>
      </c>
      <c r="K194" s="209">
        <v>32</v>
      </c>
      <c r="L194" s="209">
        <v>0</v>
      </c>
    </row>
    <row r="195" spans="1:12" s="21" customFormat="1" ht="12" customHeight="1" x14ac:dyDescent="0.2">
      <c r="A195" s="31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spans="1:12" s="21" customFormat="1" ht="12" customHeight="1" x14ac:dyDescent="0.2">
      <c r="A196" s="118" t="s">
        <v>361</v>
      </c>
      <c r="B196" s="118"/>
      <c r="C196" s="208">
        <v>22852</v>
      </c>
      <c r="D196" s="208">
        <v>17685</v>
      </c>
      <c r="E196" s="208">
        <v>5167</v>
      </c>
      <c r="F196" s="208">
        <v>3729</v>
      </c>
      <c r="G196" s="208">
        <v>1256</v>
      </c>
      <c r="H196" s="208">
        <v>27</v>
      </c>
      <c r="I196" s="208">
        <v>54</v>
      </c>
      <c r="J196" s="208">
        <v>2</v>
      </c>
      <c r="K196" s="208">
        <v>99</v>
      </c>
      <c r="L196" s="208">
        <v>0</v>
      </c>
    </row>
    <row r="197" spans="1:12" s="34" customFormat="1" ht="12" customHeight="1" x14ac:dyDescent="0.15"/>
    <row r="198" spans="1:12" s="36" customFormat="1" ht="12" customHeight="1" x14ac:dyDescent="0.2">
      <c r="A198" s="265" t="s">
        <v>394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</row>
    <row r="199" spans="1:12" s="36" customFormat="1" ht="12" customHeight="1" x14ac:dyDescent="0.2">
      <c r="A199" s="241" t="s">
        <v>401</v>
      </c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</row>
    <row r="200" spans="1:12" s="36" customFormat="1" ht="12" customHeight="1" x14ac:dyDescent="0.2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</row>
    <row r="201" spans="1:12" ht="12" customHeight="1" x14ac:dyDescent="0.2">
      <c r="A201" s="241" t="s">
        <v>339</v>
      </c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</row>
    <row r="202" spans="1:12" ht="12" customHeight="1" x14ac:dyDescent="0.2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</row>
    <row r="203" spans="1:12" ht="12" customHeight="1" x14ac:dyDescent="0.2">
      <c r="A203" s="241" t="s">
        <v>402</v>
      </c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</row>
    <row r="204" spans="1:12" ht="12" customHeight="1" x14ac:dyDescent="0.2">
      <c r="A204" s="244" t="s">
        <v>352</v>
      </c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</row>
  </sheetData>
  <mergeCells count="168">
    <mergeCell ref="A204:L204"/>
    <mergeCell ref="A198:L198"/>
    <mergeCell ref="A199:L199"/>
    <mergeCell ref="A200:L200"/>
    <mergeCell ref="A201:L201"/>
    <mergeCell ref="A202:L202"/>
    <mergeCell ref="A203:L203"/>
    <mergeCell ref="A193:B193"/>
    <mergeCell ref="A1:L1"/>
    <mergeCell ref="A2:L2"/>
    <mergeCell ref="A3:L3"/>
    <mergeCell ref="A4:L4"/>
    <mergeCell ref="A5:B5"/>
    <mergeCell ref="E5:L5"/>
    <mergeCell ref="A6:B6"/>
    <mergeCell ref="E6:L6"/>
    <mergeCell ref="A186:B186"/>
    <mergeCell ref="A187:B187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159:B159"/>
    <mergeCell ref="A160:B160"/>
    <mergeCell ref="A162:B162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7:B7"/>
    <mergeCell ref="A8:B8"/>
    <mergeCell ref="A9:B9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1" customWidth="1"/>
    <col min="2" max="2" width="28.140625" style="1" customWidth="1"/>
    <col min="3" max="3" width="11.7109375" style="2" customWidth="1"/>
    <col min="4" max="12" width="11.7109375" style="1" customWidth="1"/>
    <col min="13" max="16384" width="9.140625" style="1"/>
  </cols>
  <sheetData>
    <row r="1" spans="1:12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</row>
    <row r="2" spans="1:12" s="212" customFormat="1" ht="12" customHeight="1" x14ac:dyDescent="0.2">
      <c r="A2" s="248" t="s">
        <v>396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</row>
    <row r="3" spans="1:12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</row>
    <row r="4" spans="1:12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</row>
    <row r="5" spans="1:12" s="178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53"/>
      <c r="L5" s="274"/>
    </row>
    <row r="6" spans="1:12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  <c r="L6" s="254"/>
    </row>
    <row r="7" spans="1:12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14" t="s">
        <v>397</v>
      </c>
      <c r="L7" s="108"/>
    </row>
    <row r="8" spans="1:12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398</v>
      </c>
      <c r="L8" s="114" t="s">
        <v>4</v>
      </c>
    </row>
    <row r="9" spans="1:12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399</v>
      </c>
      <c r="L9" s="116" t="s">
        <v>8</v>
      </c>
    </row>
    <row r="10" spans="1:12" s="15" customFormat="1" ht="12" customHeight="1" x14ac:dyDescent="0.2">
      <c r="A10" s="272" t="s">
        <v>10</v>
      </c>
      <c r="B10" s="272"/>
      <c r="C10" s="208">
        <v>354023</v>
      </c>
      <c r="D10" s="208">
        <v>254597</v>
      </c>
      <c r="E10" s="208">
        <v>99426</v>
      </c>
      <c r="F10" s="208">
        <v>67842</v>
      </c>
      <c r="G10" s="208">
        <v>29218</v>
      </c>
      <c r="H10" s="208">
        <v>630</v>
      </c>
      <c r="I10" s="208">
        <v>1588</v>
      </c>
      <c r="J10" s="208">
        <v>114</v>
      </c>
      <c r="K10" s="208">
        <v>8</v>
      </c>
      <c r="L10" s="208">
        <v>26</v>
      </c>
    </row>
    <row r="11" spans="1:12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spans="1:12" s="19" customFormat="1" ht="12" customHeight="1" x14ac:dyDescent="0.2">
      <c r="A12" s="263" t="s">
        <v>11</v>
      </c>
      <c r="B12" s="263"/>
      <c r="C12" s="20">
        <v>24576</v>
      </c>
      <c r="D12" s="20">
        <v>18598</v>
      </c>
      <c r="E12" s="20">
        <v>5978</v>
      </c>
      <c r="F12" s="20">
        <v>4501</v>
      </c>
      <c r="G12" s="20">
        <v>1354</v>
      </c>
      <c r="H12" s="20">
        <v>45</v>
      </c>
      <c r="I12" s="20">
        <v>76</v>
      </c>
      <c r="J12" s="20">
        <v>2</v>
      </c>
      <c r="K12" s="20">
        <v>0</v>
      </c>
      <c r="L12" s="20">
        <v>0</v>
      </c>
    </row>
    <row r="13" spans="1:12" s="21" customFormat="1" ht="12" customHeight="1" x14ac:dyDescent="0.2">
      <c r="A13" s="264" t="s">
        <v>12</v>
      </c>
      <c r="B13" s="264"/>
      <c r="C13" s="22">
        <v>8649</v>
      </c>
      <c r="D13" s="22">
        <v>6479</v>
      </c>
      <c r="E13" s="22">
        <v>2170</v>
      </c>
      <c r="F13" s="22">
        <v>1582</v>
      </c>
      <c r="G13" s="22">
        <v>537</v>
      </c>
      <c r="H13" s="22">
        <v>20</v>
      </c>
      <c r="I13" s="22">
        <v>29</v>
      </c>
      <c r="J13" s="22">
        <v>2</v>
      </c>
      <c r="K13" s="22">
        <v>0</v>
      </c>
      <c r="L13" s="22">
        <v>0</v>
      </c>
    </row>
    <row r="14" spans="1:12" s="21" customFormat="1" ht="12" customHeight="1" x14ac:dyDescent="0.2">
      <c r="A14" s="23"/>
      <c r="B14" s="24" t="s">
        <v>13</v>
      </c>
      <c r="C14" s="22">
        <v>3035</v>
      </c>
      <c r="D14" s="22">
        <v>2361</v>
      </c>
      <c r="E14" s="22">
        <v>674</v>
      </c>
      <c r="F14" s="22">
        <v>457</v>
      </c>
      <c r="G14" s="22">
        <v>202</v>
      </c>
      <c r="H14" s="22">
        <v>10</v>
      </c>
      <c r="I14" s="22">
        <v>4</v>
      </c>
      <c r="J14" s="22">
        <v>1</v>
      </c>
      <c r="K14" s="22">
        <v>0</v>
      </c>
      <c r="L14" s="22">
        <v>0</v>
      </c>
    </row>
    <row r="15" spans="1:12" s="21" customFormat="1" ht="12" customHeight="1" x14ac:dyDescent="0.2">
      <c r="A15" s="23"/>
      <c r="B15" s="24" t="s">
        <v>14</v>
      </c>
      <c r="C15" s="22">
        <v>2782</v>
      </c>
      <c r="D15" s="22">
        <v>2200</v>
      </c>
      <c r="E15" s="22">
        <v>582</v>
      </c>
      <c r="F15" s="22">
        <v>463</v>
      </c>
      <c r="G15" s="22">
        <v>116</v>
      </c>
      <c r="H15" s="22">
        <v>3</v>
      </c>
      <c r="I15" s="22">
        <v>0</v>
      </c>
      <c r="J15" s="22">
        <v>0</v>
      </c>
      <c r="K15" s="22">
        <v>0</v>
      </c>
      <c r="L15" s="22">
        <v>0</v>
      </c>
    </row>
    <row r="16" spans="1:12" s="21" customFormat="1" ht="12" customHeight="1" x14ac:dyDescent="0.2">
      <c r="A16" s="23"/>
      <c r="B16" s="25" t="s">
        <v>15</v>
      </c>
      <c r="C16" s="22">
        <v>2832</v>
      </c>
      <c r="D16" s="22">
        <v>1918</v>
      </c>
      <c r="E16" s="22">
        <v>914</v>
      </c>
      <c r="F16" s="22">
        <v>662</v>
      </c>
      <c r="G16" s="22">
        <v>219</v>
      </c>
      <c r="H16" s="22">
        <v>7</v>
      </c>
      <c r="I16" s="22">
        <v>25</v>
      </c>
      <c r="J16" s="22">
        <v>1</v>
      </c>
      <c r="K16" s="22">
        <v>0</v>
      </c>
      <c r="L16" s="22">
        <v>0</v>
      </c>
    </row>
    <row r="17" spans="1:12" s="21" customFormat="1" ht="12" customHeight="1" x14ac:dyDescent="0.2">
      <c r="A17" s="264" t="s">
        <v>16</v>
      </c>
      <c r="B17" s="264"/>
      <c r="C17" s="22">
        <v>5629</v>
      </c>
      <c r="D17" s="22">
        <v>5096</v>
      </c>
      <c r="E17" s="22">
        <v>533</v>
      </c>
      <c r="F17" s="22">
        <v>375</v>
      </c>
      <c r="G17" s="22">
        <v>150</v>
      </c>
      <c r="H17" s="22">
        <v>8</v>
      </c>
      <c r="I17" s="22">
        <v>0</v>
      </c>
      <c r="J17" s="22">
        <v>0</v>
      </c>
      <c r="K17" s="22">
        <v>0</v>
      </c>
      <c r="L17" s="22">
        <v>0</v>
      </c>
    </row>
    <row r="18" spans="1:12" s="21" customFormat="1" ht="12" customHeight="1" x14ac:dyDescent="0.2">
      <c r="A18" s="23"/>
      <c r="B18" s="24" t="s">
        <v>17</v>
      </c>
      <c r="C18" s="22">
        <v>1745</v>
      </c>
      <c r="D18" s="22">
        <v>1633</v>
      </c>
      <c r="E18" s="22">
        <v>112</v>
      </c>
      <c r="F18" s="22">
        <v>73</v>
      </c>
      <c r="G18" s="22">
        <v>37</v>
      </c>
      <c r="H18" s="22">
        <v>2</v>
      </c>
      <c r="I18" s="22">
        <v>0</v>
      </c>
      <c r="J18" s="22">
        <v>0</v>
      </c>
      <c r="K18" s="22">
        <v>0</v>
      </c>
      <c r="L18" s="22">
        <v>0</v>
      </c>
    </row>
    <row r="19" spans="1:12" s="21" customFormat="1" ht="12" customHeight="1" x14ac:dyDescent="0.2">
      <c r="A19" s="23"/>
      <c r="B19" s="24" t="s">
        <v>18</v>
      </c>
      <c r="C19" s="22">
        <v>1831</v>
      </c>
      <c r="D19" s="22">
        <v>1609</v>
      </c>
      <c r="E19" s="22">
        <v>222</v>
      </c>
      <c r="F19" s="22">
        <v>163</v>
      </c>
      <c r="G19" s="22">
        <v>58</v>
      </c>
      <c r="H19" s="22">
        <v>1</v>
      </c>
      <c r="I19" s="22">
        <v>0</v>
      </c>
      <c r="J19" s="22">
        <v>0</v>
      </c>
      <c r="K19" s="22">
        <v>0</v>
      </c>
      <c r="L19" s="22">
        <v>0</v>
      </c>
    </row>
    <row r="20" spans="1:12" s="21" customFormat="1" ht="12" customHeight="1" x14ac:dyDescent="0.2">
      <c r="A20" s="26"/>
      <c r="B20" s="24" t="s">
        <v>19</v>
      </c>
      <c r="C20" s="22">
        <v>2053</v>
      </c>
      <c r="D20" s="22">
        <v>1854</v>
      </c>
      <c r="E20" s="22">
        <v>199</v>
      </c>
      <c r="F20" s="22">
        <v>139</v>
      </c>
      <c r="G20" s="22">
        <v>55</v>
      </c>
      <c r="H20" s="22">
        <v>5</v>
      </c>
      <c r="I20" s="22">
        <v>0</v>
      </c>
      <c r="J20" s="22">
        <v>0</v>
      </c>
      <c r="K20" s="22">
        <v>0</v>
      </c>
      <c r="L20" s="22">
        <v>0</v>
      </c>
    </row>
    <row r="21" spans="1:12" s="21" customFormat="1" ht="12" customHeight="1" x14ac:dyDescent="0.2">
      <c r="A21" s="267" t="s">
        <v>20</v>
      </c>
      <c r="B21" s="267"/>
      <c r="C21" s="209">
        <v>10298</v>
      </c>
      <c r="D21" s="209">
        <v>7023</v>
      </c>
      <c r="E21" s="209">
        <v>3275</v>
      </c>
      <c r="F21" s="209">
        <v>2544</v>
      </c>
      <c r="G21" s="209">
        <v>667</v>
      </c>
      <c r="H21" s="209">
        <v>17</v>
      </c>
      <c r="I21" s="209">
        <v>47</v>
      </c>
      <c r="J21" s="209">
        <v>0</v>
      </c>
      <c r="K21" s="209">
        <v>0</v>
      </c>
      <c r="L21" s="209">
        <v>0</v>
      </c>
    </row>
    <row r="22" spans="1:12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spans="1:12" s="19" customFormat="1" ht="12" customHeight="1" x14ac:dyDescent="0.2">
      <c r="A23" s="263" t="s">
        <v>342</v>
      </c>
      <c r="B23" s="263"/>
      <c r="C23" s="20">
        <v>70325</v>
      </c>
      <c r="D23" s="20">
        <v>53452</v>
      </c>
      <c r="E23" s="20">
        <v>16873</v>
      </c>
      <c r="F23" s="20">
        <v>11988</v>
      </c>
      <c r="G23" s="20">
        <v>4513</v>
      </c>
      <c r="H23" s="20">
        <v>119</v>
      </c>
      <c r="I23" s="20">
        <v>221</v>
      </c>
      <c r="J23" s="20">
        <v>32</v>
      </c>
      <c r="K23" s="20">
        <v>0</v>
      </c>
      <c r="L23" s="20">
        <v>0</v>
      </c>
    </row>
    <row r="24" spans="1:12" s="21" customFormat="1" ht="12" customHeight="1" x14ac:dyDescent="0.2">
      <c r="A24" s="264" t="s">
        <v>22</v>
      </c>
      <c r="B24" s="264"/>
      <c r="C24" s="22">
        <v>41694</v>
      </c>
      <c r="D24" s="22">
        <v>29621</v>
      </c>
      <c r="E24" s="22">
        <v>12073</v>
      </c>
      <c r="F24" s="22">
        <v>8482</v>
      </c>
      <c r="G24" s="22">
        <v>3319</v>
      </c>
      <c r="H24" s="22">
        <v>90</v>
      </c>
      <c r="I24" s="22">
        <v>160</v>
      </c>
      <c r="J24" s="22">
        <v>22</v>
      </c>
      <c r="K24" s="22">
        <v>0</v>
      </c>
      <c r="L24" s="22">
        <v>0</v>
      </c>
    </row>
    <row r="25" spans="1:12" s="21" customFormat="1" ht="12" customHeight="1" x14ac:dyDescent="0.2">
      <c r="A25" s="264" t="s">
        <v>23</v>
      </c>
      <c r="B25" s="264"/>
      <c r="C25" s="22">
        <v>5076</v>
      </c>
      <c r="D25" s="22">
        <v>3938</v>
      </c>
      <c r="E25" s="22">
        <v>1138</v>
      </c>
      <c r="F25" s="22">
        <v>802</v>
      </c>
      <c r="G25" s="22">
        <v>321</v>
      </c>
      <c r="H25" s="22">
        <v>10</v>
      </c>
      <c r="I25" s="22">
        <v>5</v>
      </c>
      <c r="J25" s="22">
        <v>0</v>
      </c>
      <c r="K25" s="22">
        <v>0</v>
      </c>
      <c r="L25" s="22">
        <v>0</v>
      </c>
    </row>
    <row r="26" spans="1:12" s="21" customFormat="1" ht="12" customHeight="1" x14ac:dyDescent="0.2">
      <c r="A26" s="264" t="s">
        <v>24</v>
      </c>
      <c r="B26" s="264"/>
      <c r="C26" s="22">
        <v>13130</v>
      </c>
      <c r="D26" s="22">
        <v>10595</v>
      </c>
      <c r="E26" s="22">
        <v>2535</v>
      </c>
      <c r="F26" s="22">
        <v>1857</v>
      </c>
      <c r="G26" s="22">
        <v>599</v>
      </c>
      <c r="H26" s="22">
        <v>13</v>
      </c>
      <c r="I26" s="22">
        <v>56</v>
      </c>
      <c r="J26" s="22">
        <v>10</v>
      </c>
      <c r="K26" s="22">
        <v>0</v>
      </c>
      <c r="L26" s="22">
        <v>0</v>
      </c>
    </row>
    <row r="27" spans="1:12" s="21" customFormat="1" ht="12" customHeight="1" x14ac:dyDescent="0.2">
      <c r="A27" s="211"/>
      <c r="B27" s="24" t="s">
        <v>25</v>
      </c>
      <c r="C27" s="22">
        <v>1002</v>
      </c>
      <c r="D27" s="22">
        <v>922</v>
      </c>
      <c r="E27" s="22">
        <v>80</v>
      </c>
      <c r="F27" s="22">
        <v>43</v>
      </c>
      <c r="G27" s="22">
        <v>29</v>
      </c>
      <c r="H27" s="22">
        <v>0</v>
      </c>
      <c r="I27" s="22">
        <v>3</v>
      </c>
      <c r="J27" s="22">
        <v>5</v>
      </c>
      <c r="K27" s="22">
        <v>0</v>
      </c>
      <c r="L27" s="22">
        <v>0</v>
      </c>
    </row>
    <row r="28" spans="1:12" s="21" customFormat="1" ht="12" customHeight="1" x14ac:dyDescent="0.2">
      <c r="A28" s="26"/>
      <c r="B28" s="24" t="s">
        <v>26</v>
      </c>
      <c r="C28" s="22">
        <v>12128</v>
      </c>
      <c r="D28" s="22">
        <v>9673</v>
      </c>
      <c r="E28" s="22">
        <v>2455</v>
      </c>
      <c r="F28" s="22">
        <v>1814</v>
      </c>
      <c r="G28" s="22">
        <v>570</v>
      </c>
      <c r="H28" s="22">
        <v>13</v>
      </c>
      <c r="I28" s="22">
        <v>53</v>
      </c>
      <c r="J28" s="22">
        <v>5</v>
      </c>
      <c r="K28" s="22">
        <v>0</v>
      </c>
      <c r="L28" s="22">
        <v>0</v>
      </c>
    </row>
    <row r="29" spans="1:12" s="21" customFormat="1" ht="12" customHeight="1" x14ac:dyDescent="0.2">
      <c r="A29" s="264" t="s">
        <v>27</v>
      </c>
      <c r="B29" s="264"/>
      <c r="C29" s="22">
        <v>3796</v>
      </c>
      <c r="D29" s="22">
        <v>3382</v>
      </c>
      <c r="E29" s="22">
        <v>414</v>
      </c>
      <c r="F29" s="22">
        <v>302</v>
      </c>
      <c r="G29" s="22">
        <v>109</v>
      </c>
      <c r="H29" s="22">
        <v>3</v>
      </c>
      <c r="I29" s="22">
        <v>0</v>
      </c>
      <c r="J29" s="22">
        <v>0</v>
      </c>
      <c r="K29" s="22">
        <v>0</v>
      </c>
      <c r="L29" s="22">
        <v>0</v>
      </c>
    </row>
    <row r="30" spans="1:12" s="21" customFormat="1" ht="12" customHeight="1" x14ac:dyDescent="0.2">
      <c r="A30" s="211"/>
      <c r="B30" s="24" t="s">
        <v>28</v>
      </c>
      <c r="C30" s="22">
        <v>1102</v>
      </c>
      <c r="D30" s="22">
        <v>1003</v>
      </c>
      <c r="E30" s="22">
        <v>99</v>
      </c>
      <c r="F30" s="22">
        <v>78</v>
      </c>
      <c r="G30" s="22">
        <v>21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</row>
    <row r="31" spans="1:12" s="21" customFormat="1" ht="12" customHeight="1" x14ac:dyDescent="0.2">
      <c r="A31" s="26"/>
      <c r="B31" s="24" t="s">
        <v>29</v>
      </c>
      <c r="C31" s="22">
        <v>2694</v>
      </c>
      <c r="D31" s="22">
        <v>2379</v>
      </c>
      <c r="E31" s="22">
        <v>315</v>
      </c>
      <c r="F31" s="22">
        <v>224</v>
      </c>
      <c r="G31" s="22">
        <v>88</v>
      </c>
      <c r="H31" s="22">
        <v>3</v>
      </c>
      <c r="I31" s="22">
        <v>0</v>
      </c>
      <c r="J31" s="22">
        <v>0</v>
      </c>
      <c r="K31" s="22">
        <v>0</v>
      </c>
      <c r="L31" s="22">
        <v>0</v>
      </c>
    </row>
    <row r="32" spans="1:12" s="21" customFormat="1" ht="12" customHeight="1" x14ac:dyDescent="0.2">
      <c r="A32" s="264" t="s">
        <v>30</v>
      </c>
      <c r="B32" s="264"/>
      <c r="C32" s="22">
        <v>675</v>
      </c>
      <c r="D32" s="22">
        <v>617</v>
      </c>
      <c r="E32" s="22">
        <v>58</v>
      </c>
      <c r="F32" s="22">
        <v>45</v>
      </c>
      <c r="G32" s="22">
        <v>13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</row>
    <row r="33" spans="1:12" s="21" customFormat="1" ht="12" customHeight="1" x14ac:dyDescent="0.2">
      <c r="A33" s="264" t="s">
        <v>343</v>
      </c>
      <c r="B33" s="264"/>
      <c r="C33" s="22">
        <v>5954</v>
      </c>
      <c r="D33" s="22">
        <v>5299</v>
      </c>
      <c r="E33" s="22">
        <v>655</v>
      </c>
      <c r="F33" s="22">
        <v>500</v>
      </c>
      <c r="G33" s="22">
        <v>152</v>
      </c>
      <c r="H33" s="22">
        <v>3</v>
      </c>
      <c r="I33" s="22">
        <v>0</v>
      </c>
      <c r="J33" s="22">
        <v>0</v>
      </c>
      <c r="K33" s="22">
        <v>0</v>
      </c>
      <c r="L33" s="22">
        <v>0</v>
      </c>
    </row>
    <row r="34" spans="1:12" s="21" customFormat="1" ht="12" customHeight="1" x14ac:dyDescent="0.2">
      <c r="A34" s="211"/>
      <c r="B34" s="24" t="s">
        <v>32</v>
      </c>
      <c r="C34" s="22">
        <v>489</v>
      </c>
      <c r="D34" s="22">
        <v>445</v>
      </c>
      <c r="E34" s="22">
        <v>44</v>
      </c>
      <c r="F34" s="22">
        <v>28</v>
      </c>
      <c r="G34" s="22">
        <v>16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</row>
    <row r="35" spans="1:12" s="21" customFormat="1" ht="12" customHeight="1" x14ac:dyDescent="0.2">
      <c r="A35" s="23"/>
      <c r="B35" s="24" t="s">
        <v>33</v>
      </c>
      <c r="C35" s="22">
        <v>180</v>
      </c>
      <c r="D35" s="22">
        <v>161</v>
      </c>
      <c r="E35" s="22">
        <v>19</v>
      </c>
      <c r="F35" s="22">
        <v>14</v>
      </c>
      <c r="G35" s="22">
        <v>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</row>
    <row r="36" spans="1:12" s="21" customFormat="1" ht="12" customHeight="1" x14ac:dyDescent="0.2">
      <c r="A36" s="23"/>
      <c r="B36" s="30" t="s">
        <v>344</v>
      </c>
      <c r="C36" s="209">
        <v>5285</v>
      </c>
      <c r="D36" s="209">
        <v>4693</v>
      </c>
      <c r="E36" s="209">
        <v>592</v>
      </c>
      <c r="F36" s="209">
        <v>458</v>
      </c>
      <c r="G36" s="209">
        <v>131</v>
      </c>
      <c r="H36" s="209">
        <v>3</v>
      </c>
      <c r="I36" s="209">
        <v>0</v>
      </c>
      <c r="J36" s="209">
        <v>0</v>
      </c>
      <c r="K36" s="209">
        <v>0</v>
      </c>
      <c r="L36" s="209">
        <v>0</v>
      </c>
    </row>
    <row r="37" spans="1:12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spans="1:12" s="19" customFormat="1" ht="12" customHeight="1" x14ac:dyDescent="0.2">
      <c r="A38" s="263" t="s">
        <v>35</v>
      </c>
      <c r="B38" s="263"/>
      <c r="C38" s="20">
        <v>56617</v>
      </c>
      <c r="D38" s="20">
        <v>41495</v>
      </c>
      <c r="E38" s="20">
        <v>15122</v>
      </c>
      <c r="F38" s="20">
        <v>10741</v>
      </c>
      <c r="G38" s="20">
        <v>3871</v>
      </c>
      <c r="H38" s="20">
        <v>83</v>
      </c>
      <c r="I38" s="20">
        <v>410</v>
      </c>
      <c r="J38" s="20">
        <v>16</v>
      </c>
      <c r="K38" s="20">
        <v>1</v>
      </c>
      <c r="L38" s="20">
        <v>0</v>
      </c>
    </row>
    <row r="39" spans="1:12" s="21" customFormat="1" ht="12" customHeight="1" x14ac:dyDescent="0.2">
      <c r="A39" s="264" t="s">
        <v>36</v>
      </c>
      <c r="B39" s="264"/>
      <c r="C39" s="22">
        <v>50965</v>
      </c>
      <c r="D39" s="22">
        <v>37804</v>
      </c>
      <c r="E39" s="22">
        <v>13161</v>
      </c>
      <c r="F39" s="22">
        <v>9329</v>
      </c>
      <c r="G39" s="22">
        <v>3396</v>
      </c>
      <c r="H39" s="22">
        <v>63</v>
      </c>
      <c r="I39" s="22">
        <v>356</v>
      </c>
      <c r="J39" s="22">
        <v>16</v>
      </c>
      <c r="K39" s="22">
        <v>1</v>
      </c>
      <c r="L39" s="22">
        <v>0</v>
      </c>
    </row>
    <row r="40" spans="1:12" s="21" customFormat="1" ht="12" customHeight="1" x14ac:dyDescent="0.2">
      <c r="A40" s="267" t="s">
        <v>37</v>
      </c>
      <c r="B40" s="267"/>
      <c r="C40" s="209">
        <v>5652</v>
      </c>
      <c r="D40" s="209">
        <v>3691</v>
      </c>
      <c r="E40" s="209">
        <v>1961</v>
      </c>
      <c r="F40" s="209">
        <v>1412</v>
      </c>
      <c r="G40" s="209">
        <v>475</v>
      </c>
      <c r="H40" s="209">
        <v>20</v>
      </c>
      <c r="I40" s="209">
        <v>54</v>
      </c>
      <c r="J40" s="209">
        <v>0</v>
      </c>
      <c r="K40" s="209">
        <v>0</v>
      </c>
      <c r="L40" s="209">
        <v>0</v>
      </c>
    </row>
    <row r="41" spans="1:12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s="19" customFormat="1" ht="12" customHeight="1" x14ac:dyDescent="0.2">
      <c r="A42" s="263" t="s">
        <v>38</v>
      </c>
      <c r="B42" s="263"/>
      <c r="C42" s="20">
        <v>147359</v>
      </c>
      <c r="D42" s="20">
        <v>100096</v>
      </c>
      <c r="E42" s="20">
        <v>47263</v>
      </c>
      <c r="F42" s="20">
        <v>31385</v>
      </c>
      <c r="G42" s="20">
        <v>14873</v>
      </c>
      <c r="H42" s="20">
        <v>287</v>
      </c>
      <c r="I42" s="20">
        <v>630</v>
      </c>
      <c r="J42" s="20">
        <v>56</v>
      </c>
      <c r="K42" s="20">
        <v>6</v>
      </c>
      <c r="L42" s="20">
        <v>26</v>
      </c>
    </row>
    <row r="43" spans="1:12" s="21" customFormat="1" ht="12" customHeight="1" x14ac:dyDescent="0.2">
      <c r="A43" s="264" t="s">
        <v>39</v>
      </c>
      <c r="B43" s="264"/>
      <c r="C43" s="22">
        <v>99689</v>
      </c>
      <c r="D43" s="22">
        <v>62050</v>
      </c>
      <c r="E43" s="22">
        <v>37639</v>
      </c>
      <c r="F43" s="22">
        <v>24274</v>
      </c>
      <c r="G43" s="22">
        <v>12462</v>
      </c>
      <c r="H43" s="22">
        <v>258</v>
      </c>
      <c r="I43" s="22">
        <v>560</v>
      </c>
      <c r="J43" s="22">
        <v>53</v>
      </c>
      <c r="K43" s="22">
        <v>6</v>
      </c>
      <c r="L43" s="22">
        <v>26</v>
      </c>
    </row>
    <row r="44" spans="1:12" s="21" customFormat="1" ht="12" customHeight="1" x14ac:dyDescent="0.2">
      <c r="A44" s="270" t="s">
        <v>40</v>
      </c>
      <c r="B44" s="270"/>
      <c r="C44" s="22">
        <v>23904</v>
      </c>
      <c r="D44" s="22">
        <v>19852</v>
      </c>
      <c r="E44" s="22">
        <v>4052</v>
      </c>
      <c r="F44" s="22">
        <v>3046</v>
      </c>
      <c r="G44" s="22">
        <v>970</v>
      </c>
      <c r="H44" s="22">
        <v>10</v>
      </c>
      <c r="I44" s="22">
        <v>26</v>
      </c>
      <c r="J44" s="22">
        <v>0</v>
      </c>
      <c r="K44" s="22">
        <v>0</v>
      </c>
      <c r="L44" s="22">
        <v>0</v>
      </c>
    </row>
    <row r="45" spans="1:12" s="21" customFormat="1" ht="12" customHeight="1" x14ac:dyDescent="0.2">
      <c r="A45" s="30"/>
      <c r="B45" s="24" t="s">
        <v>41</v>
      </c>
      <c r="C45" s="22">
        <v>13730</v>
      </c>
      <c r="D45" s="22">
        <v>11008</v>
      </c>
      <c r="E45" s="22">
        <v>2722</v>
      </c>
      <c r="F45" s="22">
        <v>2087</v>
      </c>
      <c r="G45" s="22">
        <v>605</v>
      </c>
      <c r="H45" s="22">
        <v>4</v>
      </c>
      <c r="I45" s="22">
        <v>26</v>
      </c>
      <c r="J45" s="22">
        <v>0</v>
      </c>
      <c r="K45" s="22">
        <v>0</v>
      </c>
      <c r="L45" s="22">
        <v>0</v>
      </c>
    </row>
    <row r="46" spans="1:12" s="21" customFormat="1" ht="12" customHeight="1" x14ac:dyDescent="0.2">
      <c r="A46" s="30"/>
      <c r="B46" s="24" t="s">
        <v>42</v>
      </c>
      <c r="C46" s="22">
        <v>10174</v>
      </c>
      <c r="D46" s="22">
        <v>8844</v>
      </c>
      <c r="E46" s="22">
        <v>1330</v>
      </c>
      <c r="F46" s="22">
        <v>959</v>
      </c>
      <c r="G46" s="22">
        <v>365</v>
      </c>
      <c r="H46" s="22">
        <v>6</v>
      </c>
      <c r="I46" s="22">
        <v>0</v>
      </c>
      <c r="J46" s="22">
        <v>0</v>
      </c>
      <c r="K46" s="22">
        <v>0</v>
      </c>
      <c r="L46" s="22">
        <v>0</v>
      </c>
    </row>
    <row r="47" spans="1:12" s="21" customFormat="1" ht="12" customHeight="1" x14ac:dyDescent="0.2">
      <c r="A47" s="264" t="s">
        <v>44</v>
      </c>
      <c r="B47" s="264"/>
      <c r="C47" s="22">
        <v>23766</v>
      </c>
      <c r="D47" s="22">
        <v>18194</v>
      </c>
      <c r="E47" s="22">
        <v>5572</v>
      </c>
      <c r="F47" s="22">
        <v>4065</v>
      </c>
      <c r="G47" s="22">
        <v>1441</v>
      </c>
      <c r="H47" s="22">
        <v>19</v>
      </c>
      <c r="I47" s="22">
        <v>44</v>
      </c>
      <c r="J47" s="22">
        <v>3</v>
      </c>
      <c r="K47" s="22">
        <v>0</v>
      </c>
      <c r="L47" s="22">
        <v>0</v>
      </c>
    </row>
    <row r="48" spans="1:12" s="21" customFormat="1" ht="12" customHeight="1" x14ac:dyDescent="0.2">
      <c r="A48" s="30"/>
      <c r="B48" s="24" t="s">
        <v>45</v>
      </c>
      <c r="C48" s="22">
        <v>2845</v>
      </c>
      <c r="D48" s="22">
        <v>2488</v>
      </c>
      <c r="E48" s="22">
        <v>357</v>
      </c>
      <c r="F48" s="22">
        <v>270</v>
      </c>
      <c r="G48" s="22">
        <v>84</v>
      </c>
      <c r="H48" s="22">
        <v>2</v>
      </c>
      <c r="I48" s="22">
        <v>1</v>
      </c>
      <c r="J48" s="22">
        <v>0</v>
      </c>
      <c r="K48" s="22">
        <v>0</v>
      </c>
      <c r="L48" s="22">
        <v>0</v>
      </c>
    </row>
    <row r="49" spans="1:12" s="21" customFormat="1" ht="12" customHeight="1" x14ac:dyDescent="0.2">
      <c r="A49" s="30"/>
      <c r="B49" s="24" t="s">
        <v>46</v>
      </c>
      <c r="C49" s="22">
        <v>6793</v>
      </c>
      <c r="D49" s="22">
        <v>5432</v>
      </c>
      <c r="E49" s="22">
        <v>1361</v>
      </c>
      <c r="F49" s="22">
        <v>962</v>
      </c>
      <c r="G49" s="22">
        <v>390</v>
      </c>
      <c r="H49" s="22">
        <v>8</v>
      </c>
      <c r="I49" s="22">
        <v>1</v>
      </c>
      <c r="J49" s="22">
        <v>0</v>
      </c>
      <c r="K49" s="22">
        <v>0</v>
      </c>
      <c r="L49" s="22">
        <v>0</v>
      </c>
    </row>
    <row r="50" spans="1:12" s="21" customFormat="1" ht="12" customHeight="1" x14ac:dyDescent="0.2">
      <c r="A50" s="30"/>
      <c r="B50" s="30" t="s">
        <v>47</v>
      </c>
      <c r="C50" s="209">
        <v>14128</v>
      </c>
      <c r="D50" s="209">
        <v>10274</v>
      </c>
      <c r="E50" s="209">
        <v>3854</v>
      </c>
      <c r="F50" s="209">
        <v>2833</v>
      </c>
      <c r="G50" s="209">
        <v>967</v>
      </c>
      <c r="H50" s="209">
        <v>9</v>
      </c>
      <c r="I50" s="209">
        <v>42</v>
      </c>
      <c r="J50" s="209">
        <v>3</v>
      </c>
      <c r="K50" s="209">
        <v>0</v>
      </c>
      <c r="L50" s="209">
        <v>0</v>
      </c>
    </row>
    <row r="51" spans="1:12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s="19" customFormat="1" ht="12" customHeight="1" x14ac:dyDescent="0.2">
      <c r="A52" s="263" t="s">
        <v>48</v>
      </c>
      <c r="B52" s="263"/>
      <c r="C52" s="20">
        <v>55146</v>
      </c>
      <c r="D52" s="20">
        <v>40956</v>
      </c>
      <c r="E52" s="20">
        <v>14190</v>
      </c>
      <c r="F52" s="20">
        <v>9227</v>
      </c>
      <c r="G52" s="20">
        <v>4607</v>
      </c>
      <c r="H52" s="20">
        <v>96</v>
      </c>
      <c r="I52" s="20">
        <v>251</v>
      </c>
      <c r="J52" s="20">
        <v>8</v>
      </c>
      <c r="K52" s="20">
        <v>1</v>
      </c>
      <c r="L52" s="20">
        <v>0</v>
      </c>
    </row>
    <row r="53" spans="1:12" s="21" customFormat="1" ht="12" customHeight="1" x14ac:dyDescent="0.2">
      <c r="A53" s="264" t="s">
        <v>49</v>
      </c>
      <c r="B53" s="264"/>
      <c r="C53" s="22">
        <v>18428</v>
      </c>
      <c r="D53" s="22">
        <v>12310</v>
      </c>
      <c r="E53" s="22">
        <v>6118</v>
      </c>
      <c r="F53" s="22">
        <v>3974</v>
      </c>
      <c r="G53" s="22">
        <v>1900</v>
      </c>
      <c r="H53" s="22">
        <v>41</v>
      </c>
      <c r="I53" s="22">
        <v>194</v>
      </c>
      <c r="J53" s="22">
        <v>8</v>
      </c>
      <c r="K53" s="22">
        <v>1</v>
      </c>
      <c r="L53" s="22">
        <v>0</v>
      </c>
    </row>
    <row r="54" spans="1:12" s="21" customFormat="1" ht="12" customHeight="1" x14ac:dyDescent="0.2">
      <c r="A54" s="264" t="s">
        <v>50</v>
      </c>
      <c r="B54" s="264"/>
      <c r="C54" s="22">
        <v>32577</v>
      </c>
      <c r="D54" s="22">
        <v>24986</v>
      </c>
      <c r="E54" s="22">
        <v>7591</v>
      </c>
      <c r="F54" s="22">
        <v>4890</v>
      </c>
      <c r="G54" s="22">
        <v>2590</v>
      </c>
      <c r="H54" s="22">
        <v>54</v>
      </c>
      <c r="I54" s="22">
        <v>57</v>
      </c>
      <c r="J54" s="22">
        <v>0</v>
      </c>
      <c r="K54" s="22">
        <v>0</v>
      </c>
      <c r="L54" s="22">
        <v>0</v>
      </c>
    </row>
    <row r="55" spans="1:12" s="21" customFormat="1" ht="12" customHeight="1" x14ac:dyDescent="0.2">
      <c r="A55" s="267" t="s">
        <v>51</v>
      </c>
      <c r="B55" s="267"/>
      <c r="C55" s="209">
        <v>4141</v>
      </c>
      <c r="D55" s="209">
        <v>3660</v>
      </c>
      <c r="E55" s="209">
        <v>481</v>
      </c>
      <c r="F55" s="209">
        <v>363</v>
      </c>
      <c r="G55" s="209">
        <v>117</v>
      </c>
      <c r="H55" s="209">
        <v>1</v>
      </c>
      <c r="I55" s="209">
        <v>0</v>
      </c>
      <c r="J55" s="209">
        <v>0</v>
      </c>
      <c r="K55" s="209">
        <v>0</v>
      </c>
      <c r="L55" s="209">
        <v>0</v>
      </c>
    </row>
    <row r="56" spans="1:12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s="21" customFormat="1" ht="12" customHeight="1" x14ac:dyDescent="0.2">
      <c r="A57" s="269" t="s">
        <v>52</v>
      </c>
      <c r="B57" s="269"/>
      <c r="C57" s="18">
        <v>49796</v>
      </c>
      <c r="D57" s="18">
        <v>37151</v>
      </c>
      <c r="E57" s="18">
        <v>12645</v>
      </c>
      <c r="F57" s="18">
        <v>8155</v>
      </c>
      <c r="G57" s="18">
        <v>4150</v>
      </c>
      <c r="H57" s="18">
        <v>82</v>
      </c>
      <c r="I57" s="18">
        <v>249</v>
      </c>
      <c r="J57" s="18">
        <v>8</v>
      </c>
      <c r="K57" s="18">
        <v>1</v>
      </c>
      <c r="L57" s="18">
        <v>0</v>
      </c>
    </row>
    <row r="58" spans="1:12" s="21" customFormat="1" ht="12" customHeight="1" x14ac:dyDescent="0.2">
      <c r="A58" s="264" t="s">
        <v>53</v>
      </c>
      <c r="B58" s="264"/>
      <c r="C58" s="22">
        <v>3291</v>
      </c>
      <c r="D58" s="22">
        <v>2383</v>
      </c>
      <c r="E58" s="22">
        <v>908</v>
      </c>
      <c r="F58" s="22">
        <v>629</v>
      </c>
      <c r="G58" s="22">
        <v>265</v>
      </c>
      <c r="H58" s="22">
        <v>8</v>
      </c>
      <c r="I58" s="22">
        <v>6</v>
      </c>
      <c r="J58" s="22">
        <v>0</v>
      </c>
      <c r="K58" s="22">
        <v>0</v>
      </c>
      <c r="L58" s="22">
        <v>0</v>
      </c>
    </row>
    <row r="59" spans="1:12" s="21" customFormat="1" ht="12" customHeight="1" x14ac:dyDescent="0.2">
      <c r="A59" s="264" t="s">
        <v>55</v>
      </c>
      <c r="B59" s="264"/>
      <c r="C59" s="22">
        <v>1914</v>
      </c>
      <c r="D59" s="22">
        <v>1700</v>
      </c>
      <c r="E59" s="22">
        <v>214</v>
      </c>
      <c r="F59" s="22">
        <v>160</v>
      </c>
      <c r="G59" s="22">
        <v>53</v>
      </c>
      <c r="H59" s="22">
        <v>1</v>
      </c>
      <c r="I59" s="22">
        <v>0</v>
      </c>
      <c r="J59" s="22">
        <v>0</v>
      </c>
      <c r="K59" s="22">
        <v>0</v>
      </c>
      <c r="L59" s="22">
        <v>0</v>
      </c>
    </row>
    <row r="60" spans="1:12" s="21" customFormat="1" ht="12" customHeight="1" x14ac:dyDescent="0.2">
      <c r="A60" s="264" t="s">
        <v>56</v>
      </c>
      <c r="B60" s="264"/>
      <c r="C60" s="22">
        <v>2227</v>
      </c>
      <c r="D60" s="22">
        <v>1960</v>
      </c>
      <c r="E60" s="22">
        <v>267</v>
      </c>
      <c r="F60" s="22">
        <v>203</v>
      </c>
      <c r="G60" s="22">
        <v>64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</row>
    <row r="61" spans="1:12" s="21" customFormat="1" ht="12" customHeight="1" x14ac:dyDescent="0.2">
      <c r="A61" s="264" t="s">
        <v>57</v>
      </c>
      <c r="B61" s="264"/>
      <c r="C61" s="22">
        <v>7420</v>
      </c>
      <c r="D61" s="22">
        <v>4344</v>
      </c>
      <c r="E61" s="22">
        <v>3076</v>
      </c>
      <c r="F61" s="22">
        <v>1824</v>
      </c>
      <c r="G61" s="22">
        <v>1057</v>
      </c>
      <c r="H61" s="22">
        <v>21</v>
      </c>
      <c r="I61" s="22">
        <v>165</v>
      </c>
      <c r="J61" s="22">
        <v>8</v>
      </c>
      <c r="K61" s="22">
        <v>1</v>
      </c>
      <c r="L61" s="22">
        <v>0</v>
      </c>
    </row>
    <row r="62" spans="1:12" s="21" customFormat="1" ht="12" customHeight="1" x14ac:dyDescent="0.2">
      <c r="A62" s="264" t="s">
        <v>58</v>
      </c>
      <c r="B62" s="264"/>
      <c r="C62" s="22">
        <v>2848</v>
      </c>
      <c r="D62" s="22">
        <v>2316</v>
      </c>
      <c r="E62" s="22">
        <v>532</v>
      </c>
      <c r="F62" s="22">
        <v>386</v>
      </c>
      <c r="G62" s="22">
        <v>143</v>
      </c>
      <c r="H62" s="22">
        <v>2</v>
      </c>
      <c r="I62" s="22">
        <v>1</v>
      </c>
      <c r="J62" s="22">
        <v>0</v>
      </c>
      <c r="K62" s="22">
        <v>0</v>
      </c>
      <c r="L62" s="22">
        <v>0</v>
      </c>
    </row>
    <row r="63" spans="1:12" s="21" customFormat="1" ht="12" customHeight="1" x14ac:dyDescent="0.2">
      <c r="A63" s="264" t="s">
        <v>60</v>
      </c>
      <c r="B63" s="264"/>
      <c r="C63" s="22">
        <v>14909</v>
      </c>
      <c r="D63" s="22">
        <v>11407</v>
      </c>
      <c r="E63" s="22">
        <v>3502</v>
      </c>
      <c r="F63" s="22">
        <v>2025</v>
      </c>
      <c r="G63" s="22">
        <v>1416</v>
      </c>
      <c r="H63" s="22">
        <v>33</v>
      </c>
      <c r="I63" s="22">
        <v>28</v>
      </c>
      <c r="J63" s="22">
        <v>0</v>
      </c>
      <c r="K63" s="22">
        <v>0</v>
      </c>
      <c r="L63" s="22">
        <v>0</v>
      </c>
    </row>
    <row r="64" spans="1:12" s="21" customFormat="1" ht="12" customHeight="1" x14ac:dyDescent="0.2">
      <c r="A64" s="264" t="s">
        <v>62</v>
      </c>
      <c r="B64" s="264"/>
      <c r="C64" s="22">
        <v>4371</v>
      </c>
      <c r="D64" s="22">
        <v>3247</v>
      </c>
      <c r="E64" s="22">
        <v>1124</v>
      </c>
      <c r="F64" s="22">
        <v>809</v>
      </c>
      <c r="G64" s="22">
        <v>290</v>
      </c>
      <c r="H64" s="22">
        <v>7</v>
      </c>
      <c r="I64" s="22">
        <v>18</v>
      </c>
      <c r="J64" s="22">
        <v>0</v>
      </c>
      <c r="K64" s="22">
        <v>0</v>
      </c>
      <c r="L64" s="22">
        <v>0</v>
      </c>
    </row>
    <row r="65" spans="1:12" s="21" customFormat="1" ht="12" customHeight="1" x14ac:dyDescent="0.2">
      <c r="A65" s="264" t="s">
        <v>63</v>
      </c>
      <c r="B65" s="264"/>
      <c r="C65" s="22">
        <v>2346</v>
      </c>
      <c r="D65" s="22">
        <v>1884</v>
      </c>
      <c r="E65" s="22">
        <v>462</v>
      </c>
      <c r="F65" s="22">
        <v>305</v>
      </c>
      <c r="G65" s="22">
        <v>139</v>
      </c>
      <c r="H65" s="22">
        <v>0</v>
      </c>
      <c r="I65" s="22">
        <v>18</v>
      </c>
      <c r="J65" s="22">
        <v>0</v>
      </c>
      <c r="K65" s="22">
        <v>0</v>
      </c>
      <c r="L65" s="22">
        <v>0</v>
      </c>
    </row>
    <row r="66" spans="1:12" s="21" customFormat="1" ht="12" customHeight="1" x14ac:dyDescent="0.2">
      <c r="A66" s="264" t="s">
        <v>64</v>
      </c>
      <c r="B66" s="264"/>
      <c r="C66" s="22">
        <v>2663</v>
      </c>
      <c r="D66" s="22">
        <v>2167</v>
      </c>
      <c r="E66" s="22">
        <v>496</v>
      </c>
      <c r="F66" s="22">
        <v>363</v>
      </c>
      <c r="G66" s="22">
        <v>132</v>
      </c>
      <c r="H66" s="22">
        <v>1</v>
      </c>
      <c r="I66" s="22">
        <v>0</v>
      </c>
      <c r="J66" s="22">
        <v>0</v>
      </c>
      <c r="K66" s="22">
        <v>0</v>
      </c>
      <c r="L66" s="22">
        <v>0</v>
      </c>
    </row>
    <row r="67" spans="1:12" s="21" customFormat="1" ht="12" customHeight="1" x14ac:dyDescent="0.2">
      <c r="A67" s="264" t="s">
        <v>65</v>
      </c>
      <c r="B67" s="264"/>
      <c r="C67" s="22">
        <v>4461</v>
      </c>
      <c r="D67" s="22">
        <v>3407</v>
      </c>
      <c r="E67" s="22">
        <v>1054</v>
      </c>
      <c r="F67" s="22">
        <v>739</v>
      </c>
      <c r="G67" s="22">
        <v>303</v>
      </c>
      <c r="H67" s="22">
        <v>4</v>
      </c>
      <c r="I67" s="22">
        <v>8</v>
      </c>
      <c r="J67" s="22">
        <v>0</v>
      </c>
      <c r="K67" s="22">
        <v>0</v>
      </c>
      <c r="L67" s="22">
        <v>0</v>
      </c>
    </row>
    <row r="68" spans="1:12" s="21" customFormat="1" ht="12" customHeight="1" x14ac:dyDescent="0.2">
      <c r="A68" s="267" t="s">
        <v>66</v>
      </c>
      <c r="B68" s="267"/>
      <c r="C68" s="209">
        <v>3346</v>
      </c>
      <c r="D68" s="209">
        <v>2336</v>
      </c>
      <c r="E68" s="209">
        <v>1010</v>
      </c>
      <c r="F68" s="209">
        <v>712</v>
      </c>
      <c r="G68" s="209">
        <v>288</v>
      </c>
      <c r="H68" s="209">
        <v>5</v>
      </c>
      <c r="I68" s="209">
        <v>5</v>
      </c>
      <c r="J68" s="209">
        <v>0</v>
      </c>
      <c r="K68" s="209">
        <v>0</v>
      </c>
      <c r="L68" s="209">
        <v>0</v>
      </c>
    </row>
    <row r="69" spans="1:12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s="21" customFormat="1" ht="12" customHeight="1" x14ac:dyDescent="0.2">
      <c r="A70" s="263" t="s">
        <v>67</v>
      </c>
      <c r="B70" s="263"/>
      <c r="C70" s="20">
        <v>152321</v>
      </c>
      <c r="D70" s="20">
        <v>103544</v>
      </c>
      <c r="E70" s="20">
        <v>48777</v>
      </c>
      <c r="F70" s="20">
        <v>32434</v>
      </c>
      <c r="G70" s="20">
        <v>15323</v>
      </c>
      <c r="H70" s="20">
        <v>300</v>
      </c>
      <c r="I70" s="20">
        <v>632</v>
      </c>
      <c r="J70" s="20">
        <v>56</v>
      </c>
      <c r="K70" s="20">
        <v>6</v>
      </c>
      <c r="L70" s="20">
        <v>26</v>
      </c>
    </row>
    <row r="71" spans="1:12" s="21" customFormat="1" ht="12" customHeight="1" x14ac:dyDescent="0.2">
      <c r="A71" s="264" t="s">
        <v>68</v>
      </c>
      <c r="B71" s="264"/>
      <c r="C71" s="22">
        <v>4468</v>
      </c>
      <c r="D71" s="22">
        <v>2996</v>
      </c>
      <c r="E71" s="22">
        <v>1472</v>
      </c>
      <c r="F71" s="22">
        <v>1091</v>
      </c>
      <c r="G71" s="22">
        <v>362</v>
      </c>
      <c r="H71" s="22">
        <v>2</v>
      </c>
      <c r="I71" s="22">
        <v>14</v>
      </c>
      <c r="J71" s="22">
        <v>3</v>
      </c>
      <c r="K71" s="22">
        <v>0</v>
      </c>
      <c r="L71" s="22">
        <v>0</v>
      </c>
    </row>
    <row r="72" spans="1:12" s="21" customFormat="1" ht="12" customHeight="1" x14ac:dyDescent="0.2">
      <c r="A72" s="264" t="s">
        <v>69</v>
      </c>
      <c r="B72" s="264"/>
      <c r="C72" s="22">
        <v>1385</v>
      </c>
      <c r="D72" s="22">
        <v>1267</v>
      </c>
      <c r="E72" s="22">
        <v>118</v>
      </c>
      <c r="F72" s="22">
        <v>80</v>
      </c>
      <c r="G72" s="22">
        <v>38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</row>
    <row r="73" spans="1:12" s="21" customFormat="1" ht="12" customHeight="1" x14ac:dyDescent="0.2">
      <c r="A73" s="264" t="s">
        <v>70</v>
      </c>
      <c r="B73" s="264"/>
      <c r="C73" s="22">
        <v>361</v>
      </c>
      <c r="D73" s="22">
        <v>313</v>
      </c>
      <c r="E73" s="22">
        <v>48</v>
      </c>
      <c r="F73" s="22">
        <v>35</v>
      </c>
      <c r="G73" s="22">
        <v>13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</row>
    <row r="74" spans="1:12" s="21" customFormat="1" ht="12" customHeight="1" x14ac:dyDescent="0.2">
      <c r="A74" s="264" t="s">
        <v>71</v>
      </c>
      <c r="B74" s="264"/>
      <c r="C74" s="22">
        <v>955</v>
      </c>
      <c r="D74" s="22">
        <v>845</v>
      </c>
      <c r="E74" s="22">
        <v>110</v>
      </c>
      <c r="F74" s="22">
        <v>76</v>
      </c>
      <c r="G74" s="22">
        <v>30</v>
      </c>
      <c r="H74" s="22">
        <v>2</v>
      </c>
      <c r="I74" s="22">
        <v>2</v>
      </c>
      <c r="J74" s="22">
        <v>0</v>
      </c>
      <c r="K74" s="22">
        <v>0</v>
      </c>
      <c r="L74" s="22">
        <v>0</v>
      </c>
    </row>
    <row r="75" spans="1:12" s="21" customFormat="1" ht="12" customHeight="1" x14ac:dyDescent="0.2">
      <c r="A75" s="264" t="s">
        <v>72</v>
      </c>
      <c r="B75" s="264"/>
      <c r="C75" s="22">
        <v>299</v>
      </c>
      <c r="D75" s="22">
        <v>259</v>
      </c>
      <c r="E75" s="22">
        <v>40</v>
      </c>
      <c r="F75" s="22">
        <v>26</v>
      </c>
      <c r="G75" s="22">
        <v>14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</row>
    <row r="76" spans="1:12" s="21" customFormat="1" ht="12" customHeight="1" x14ac:dyDescent="0.2">
      <c r="A76" s="264" t="s">
        <v>73</v>
      </c>
      <c r="B76" s="264"/>
      <c r="C76" s="22">
        <v>1495</v>
      </c>
      <c r="D76" s="22">
        <v>1255</v>
      </c>
      <c r="E76" s="22">
        <v>240</v>
      </c>
      <c r="F76" s="22">
        <v>185</v>
      </c>
      <c r="G76" s="22">
        <v>55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</row>
    <row r="77" spans="1:12" s="21" customFormat="1" ht="12" customHeight="1" x14ac:dyDescent="0.2">
      <c r="A77" s="264" t="s">
        <v>74</v>
      </c>
      <c r="B77" s="264"/>
      <c r="C77" s="22">
        <v>620</v>
      </c>
      <c r="D77" s="22">
        <v>540</v>
      </c>
      <c r="E77" s="22">
        <v>80</v>
      </c>
      <c r="F77" s="22">
        <v>51</v>
      </c>
      <c r="G77" s="22">
        <v>28</v>
      </c>
      <c r="H77" s="22">
        <v>1</v>
      </c>
      <c r="I77" s="22">
        <v>0</v>
      </c>
      <c r="J77" s="22">
        <v>0</v>
      </c>
      <c r="K77" s="22">
        <v>0</v>
      </c>
      <c r="L77" s="22">
        <v>0</v>
      </c>
    </row>
    <row r="78" spans="1:12" s="21" customFormat="1" ht="12" customHeight="1" x14ac:dyDescent="0.2">
      <c r="A78" s="264" t="s">
        <v>75</v>
      </c>
      <c r="B78" s="264"/>
      <c r="C78" s="22">
        <v>2737</v>
      </c>
      <c r="D78" s="22">
        <v>2198</v>
      </c>
      <c r="E78" s="22">
        <v>539</v>
      </c>
      <c r="F78" s="22">
        <v>390</v>
      </c>
      <c r="G78" s="22">
        <v>145</v>
      </c>
      <c r="H78" s="22">
        <v>1</v>
      </c>
      <c r="I78" s="22">
        <v>3</v>
      </c>
      <c r="J78" s="22">
        <v>0</v>
      </c>
      <c r="K78" s="22">
        <v>0</v>
      </c>
      <c r="L78" s="22">
        <v>0</v>
      </c>
    </row>
    <row r="79" spans="1:12" s="21" customFormat="1" ht="12" customHeight="1" x14ac:dyDescent="0.2">
      <c r="A79" s="264" t="s">
        <v>77</v>
      </c>
      <c r="B79" s="264"/>
      <c r="C79" s="22">
        <v>945</v>
      </c>
      <c r="D79" s="22">
        <v>515</v>
      </c>
      <c r="E79" s="22">
        <v>430</v>
      </c>
      <c r="F79" s="22">
        <v>270</v>
      </c>
      <c r="G79" s="22">
        <v>159</v>
      </c>
      <c r="H79" s="22">
        <v>1</v>
      </c>
      <c r="I79" s="22">
        <v>0</v>
      </c>
      <c r="J79" s="22">
        <v>0</v>
      </c>
      <c r="K79" s="22">
        <v>0</v>
      </c>
      <c r="L79" s="22">
        <v>0</v>
      </c>
    </row>
    <row r="80" spans="1:12" s="21" customFormat="1" ht="12" customHeight="1" x14ac:dyDescent="0.2">
      <c r="A80" s="264" t="s">
        <v>79</v>
      </c>
      <c r="B80" s="264"/>
      <c r="C80" s="22">
        <v>458</v>
      </c>
      <c r="D80" s="22">
        <v>342</v>
      </c>
      <c r="E80" s="22">
        <v>116</v>
      </c>
      <c r="F80" s="22">
        <v>89</v>
      </c>
      <c r="G80" s="22">
        <v>27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</row>
    <row r="81" spans="1:12" s="21" customFormat="1" ht="12" customHeight="1" x14ac:dyDescent="0.2">
      <c r="A81" s="264" t="s">
        <v>80</v>
      </c>
      <c r="B81" s="264"/>
      <c r="C81" s="22">
        <v>789</v>
      </c>
      <c r="D81" s="22">
        <v>644</v>
      </c>
      <c r="E81" s="22">
        <v>145</v>
      </c>
      <c r="F81" s="22">
        <v>118</v>
      </c>
      <c r="G81" s="22">
        <v>24</v>
      </c>
      <c r="H81" s="22">
        <v>2</v>
      </c>
      <c r="I81" s="22">
        <v>1</v>
      </c>
      <c r="J81" s="22">
        <v>0</v>
      </c>
      <c r="K81" s="22">
        <v>0</v>
      </c>
      <c r="L81" s="22">
        <v>0</v>
      </c>
    </row>
    <row r="82" spans="1:12" s="21" customFormat="1" ht="12" customHeight="1" x14ac:dyDescent="0.2">
      <c r="A82" s="264" t="s">
        <v>81</v>
      </c>
      <c r="B82" s="264"/>
      <c r="C82" s="22">
        <v>1501</v>
      </c>
      <c r="D82" s="22">
        <v>1088</v>
      </c>
      <c r="E82" s="22">
        <v>413</v>
      </c>
      <c r="F82" s="22">
        <v>334</v>
      </c>
      <c r="G82" s="22">
        <v>66</v>
      </c>
      <c r="H82" s="22">
        <v>6</v>
      </c>
      <c r="I82" s="22">
        <v>7</v>
      </c>
      <c r="J82" s="22">
        <v>0</v>
      </c>
      <c r="K82" s="22">
        <v>0</v>
      </c>
      <c r="L82" s="22">
        <v>0</v>
      </c>
    </row>
    <row r="83" spans="1:12" s="21" customFormat="1" ht="12" customHeight="1" x14ac:dyDescent="0.2">
      <c r="A83" s="264" t="s">
        <v>84</v>
      </c>
      <c r="B83" s="264"/>
      <c r="C83" s="22">
        <v>2330</v>
      </c>
      <c r="D83" s="22">
        <v>1687</v>
      </c>
      <c r="E83" s="22">
        <v>643</v>
      </c>
      <c r="F83" s="22">
        <v>445</v>
      </c>
      <c r="G83" s="22">
        <v>188</v>
      </c>
      <c r="H83" s="22">
        <v>1</v>
      </c>
      <c r="I83" s="22">
        <v>9</v>
      </c>
      <c r="J83" s="22">
        <v>0</v>
      </c>
      <c r="K83" s="22">
        <v>0</v>
      </c>
      <c r="L83" s="22">
        <v>0</v>
      </c>
    </row>
    <row r="84" spans="1:12" s="21" customFormat="1" ht="12" customHeight="1" x14ac:dyDescent="0.2">
      <c r="A84" s="264" t="s">
        <v>85</v>
      </c>
      <c r="B84" s="264"/>
      <c r="C84" s="22">
        <v>6740</v>
      </c>
      <c r="D84" s="22">
        <v>5976</v>
      </c>
      <c r="E84" s="22">
        <v>764</v>
      </c>
      <c r="F84" s="22">
        <v>552</v>
      </c>
      <c r="G84" s="22">
        <v>206</v>
      </c>
      <c r="H84" s="22">
        <v>6</v>
      </c>
      <c r="I84" s="22">
        <v>0</v>
      </c>
      <c r="J84" s="22">
        <v>0</v>
      </c>
      <c r="K84" s="22">
        <v>0</v>
      </c>
      <c r="L84" s="22">
        <v>0</v>
      </c>
    </row>
    <row r="85" spans="1:12" s="21" customFormat="1" ht="12" customHeight="1" x14ac:dyDescent="0.2">
      <c r="A85" s="264" t="s">
        <v>88</v>
      </c>
      <c r="B85" s="264"/>
      <c r="C85" s="22">
        <v>4329</v>
      </c>
      <c r="D85" s="22">
        <v>3050</v>
      </c>
      <c r="E85" s="22">
        <v>1279</v>
      </c>
      <c r="F85" s="22">
        <v>953</v>
      </c>
      <c r="G85" s="22">
        <v>299</v>
      </c>
      <c r="H85" s="22">
        <v>3</v>
      </c>
      <c r="I85" s="22">
        <v>24</v>
      </c>
      <c r="J85" s="22">
        <v>0</v>
      </c>
      <c r="K85" s="22">
        <v>0</v>
      </c>
      <c r="L85" s="22">
        <v>0</v>
      </c>
    </row>
    <row r="86" spans="1:12" s="21" customFormat="1" ht="12" customHeight="1" x14ac:dyDescent="0.2">
      <c r="A86" s="264" t="s">
        <v>91</v>
      </c>
      <c r="B86" s="264"/>
      <c r="C86" s="22">
        <v>4816</v>
      </c>
      <c r="D86" s="22">
        <v>3119</v>
      </c>
      <c r="E86" s="22">
        <v>1697</v>
      </c>
      <c r="F86" s="22">
        <v>1034</v>
      </c>
      <c r="G86" s="22">
        <v>618</v>
      </c>
      <c r="H86" s="22">
        <v>42</v>
      </c>
      <c r="I86" s="22">
        <v>0</v>
      </c>
      <c r="J86" s="22">
        <v>0</v>
      </c>
      <c r="K86" s="22">
        <v>3</v>
      </c>
      <c r="L86" s="22">
        <v>0</v>
      </c>
    </row>
    <row r="87" spans="1:12" s="21" customFormat="1" ht="12" customHeight="1" x14ac:dyDescent="0.2">
      <c r="A87" s="264" t="s">
        <v>92</v>
      </c>
      <c r="B87" s="264"/>
      <c r="C87" s="22">
        <v>2155</v>
      </c>
      <c r="D87" s="22">
        <v>1894</v>
      </c>
      <c r="E87" s="22">
        <v>261</v>
      </c>
      <c r="F87" s="22">
        <v>188</v>
      </c>
      <c r="G87" s="22">
        <v>73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</row>
    <row r="88" spans="1:12" s="21" customFormat="1" ht="12" customHeight="1" x14ac:dyDescent="0.2">
      <c r="A88" s="264" t="s">
        <v>94</v>
      </c>
      <c r="B88" s="264"/>
      <c r="C88" s="22">
        <v>1487</v>
      </c>
      <c r="D88" s="22">
        <v>1209</v>
      </c>
      <c r="E88" s="22">
        <v>278</v>
      </c>
      <c r="F88" s="22">
        <v>185</v>
      </c>
      <c r="G88" s="22">
        <v>91</v>
      </c>
      <c r="H88" s="22">
        <v>0</v>
      </c>
      <c r="I88" s="22">
        <v>2</v>
      </c>
      <c r="J88" s="22">
        <v>0</v>
      </c>
      <c r="K88" s="22">
        <v>0</v>
      </c>
      <c r="L88" s="22">
        <v>0</v>
      </c>
    </row>
    <row r="89" spans="1:12" s="21" customFormat="1" ht="12" customHeight="1" x14ac:dyDescent="0.2">
      <c r="A89" s="264" t="s">
        <v>95</v>
      </c>
      <c r="B89" s="264"/>
      <c r="C89" s="22">
        <v>608</v>
      </c>
      <c r="D89" s="22">
        <v>506</v>
      </c>
      <c r="E89" s="22">
        <v>102</v>
      </c>
      <c r="F89" s="22">
        <v>73</v>
      </c>
      <c r="G89" s="22">
        <v>29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</row>
    <row r="90" spans="1:12" s="21" customFormat="1" ht="12" customHeight="1" x14ac:dyDescent="0.2">
      <c r="A90" s="264" t="s">
        <v>96</v>
      </c>
      <c r="B90" s="264"/>
      <c r="C90" s="22">
        <v>473</v>
      </c>
      <c r="D90" s="22">
        <v>316</v>
      </c>
      <c r="E90" s="22">
        <v>157</v>
      </c>
      <c r="F90" s="22">
        <v>112</v>
      </c>
      <c r="G90" s="22">
        <v>44</v>
      </c>
      <c r="H90" s="22">
        <v>1</v>
      </c>
      <c r="I90" s="22">
        <v>0</v>
      </c>
      <c r="J90" s="22">
        <v>0</v>
      </c>
      <c r="K90" s="22">
        <v>0</v>
      </c>
      <c r="L90" s="22">
        <v>0</v>
      </c>
    </row>
    <row r="91" spans="1:12" s="21" customFormat="1" ht="12" customHeight="1" x14ac:dyDescent="0.2">
      <c r="A91" s="264" t="s">
        <v>97</v>
      </c>
      <c r="B91" s="264"/>
      <c r="C91" s="22">
        <v>1367</v>
      </c>
      <c r="D91" s="22">
        <v>1082</v>
      </c>
      <c r="E91" s="22">
        <v>285</v>
      </c>
      <c r="F91" s="22">
        <v>217</v>
      </c>
      <c r="G91" s="22">
        <v>68</v>
      </c>
      <c r="H91" s="22">
        <v>0</v>
      </c>
      <c r="I91" s="22">
        <v>0</v>
      </c>
      <c r="J91" s="22">
        <v>0</v>
      </c>
      <c r="K91" s="22">
        <v>0</v>
      </c>
      <c r="L91" s="22">
        <v>0</v>
      </c>
    </row>
    <row r="92" spans="1:12" s="21" customFormat="1" ht="12" customHeight="1" x14ac:dyDescent="0.2">
      <c r="A92" s="264" t="s">
        <v>98</v>
      </c>
      <c r="B92" s="264"/>
      <c r="C92" s="22">
        <v>1736</v>
      </c>
      <c r="D92" s="22">
        <v>1123</v>
      </c>
      <c r="E92" s="22">
        <v>613</v>
      </c>
      <c r="F92" s="22">
        <v>482</v>
      </c>
      <c r="G92" s="22">
        <v>124</v>
      </c>
      <c r="H92" s="22">
        <v>3</v>
      </c>
      <c r="I92" s="22">
        <v>4</v>
      </c>
      <c r="J92" s="22">
        <v>0</v>
      </c>
      <c r="K92" s="22">
        <v>0</v>
      </c>
      <c r="L92" s="22">
        <v>0</v>
      </c>
    </row>
    <row r="93" spans="1:12" s="21" customFormat="1" ht="12" customHeight="1" x14ac:dyDescent="0.2">
      <c r="A93" s="264" t="s">
        <v>99</v>
      </c>
      <c r="B93" s="264"/>
      <c r="C93" s="22">
        <v>62464</v>
      </c>
      <c r="D93" s="22">
        <v>38205</v>
      </c>
      <c r="E93" s="22">
        <v>24259</v>
      </c>
      <c r="F93" s="22">
        <v>15582</v>
      </c>
      <c r="G93" s="22">
        <v>8108</v>
      </c>
      <c r="H93" s="22">
        <v>151</v>
      </c>
      <c r="I93" s="22">
        <v>354</v>
      </c>
      <c r="J93" s="22">
        <v>39</v>
      </c>
      <c r="K93" s="22">
        <v>3</v>
      </c>
      <c r="L93" s="22">
        <v>22</v>
      </c>
    </row>
    <row r="94" spans="1:12" s="21" customFormat="1" ht="12" customHeight="1" x14ac:dyDescent="0.2">
      <c r="A94" s="264" t="s">
        <v>100</v>
      </c>
      <c r="B94" s="264"/>
      <c r="C94" s="22">
        <v>1652</v>
      </c>
      <c r="D94" s="22">
        <v>1260</v>
      </c>
      <c r="E94" s="22">
        <v>392</v>
      </c>
      <c r="F94" s="22">
        <v>276</v>
      </c>
      <c r="G94" s="22">
        <v>113</v>
      </c>
      <c r="H94" s="22">
        <v>2</v>
      </c>
      <c r="I94" s="22">
        <v>1</v>
      </c>
      <c r="J94" s="22">
        <v>0</v>
      </c>
      <c r="K94" s="22">
        <v>0</v>
      </c>
      <c r="L94" s="22">
        <v>0</v>
      </c>
    </row>
    <row r="95" spans="1:12" s="21" customFormat="1" ht="12" customHeight="1" x14ac:dyDescent="0.2">
      <c r="A95" s="264" t="s">
        <v>101</v>
      </c>
      <c r="B95" s="264"/>
      <c r="C95" s="22">
        <v>1330</v>
      </c>
      <c r="D95" s="22">
        <v>1052</v>
      </c>
      <c r="E95" s="22">
        <v>278</v>
      </c>
      <c r="F95" s="22">
        <v>205</v>
      </c>
      <c r="G95" s="22">
        <v>67</v>
      </c>
      <c r="H95" s="22">
        <v>0</v>
      </c>
      <c r="I95" s="22">
        <v>6</v>
      </c>
      <c r="J95" s="22">
        <v>0</v>
      </c>
      <c r="K95" s="22">
        <v>0</v>
      </c>
      <c r="L95" s="22">
        <v>0</v>
      </c>
    </row>
    <row r="96" spans="1:12" s="21" customFormat="1" ht="12" customHeight="1" x14ac:dyDescent="0.2">
      <c r="A96" s="264" t="s">
        <v>103</v>
      </c>
      <c r="B96" s="264"/>
      <c r="C96" s="22">
        <v>6575</v>
      </c>
      <c r="D96" s="22">
        <v>3703</v>
      </c>
      <c r="E96" s="22">
        <v>2872</v>
      </c>
      <c r="F96" s="22">
        <v>1819</v>
      </c>
      <c r="G96" s="22">
        <v>939</v>
      </c>
      <c r="H96" s="22">
        <v>13</v>
      </c>
      <c r="I96" s="22">
        <v>92</v>
      </c>
      <c r="J96" s="22">
        <v>7</v>
      </c>
      <c r="K96" s="22">
        <v>0</v>
      </c>
      <c r="L96" s="22">
        <v>2</v>
      </c>
    </row>
    <row r="97" spans="1:12" s="21" customFormat="1" ht="12" customHeight="1" x14ac:dyDescent="0.2">
      <c r="A97" s="264" t="s">
        <v>105</v>
      </c>
      <c r="B97" s="264"/>
      <c r="C97" s="22">
        <v>1796</v>
      </c>
      <c r="D97" s="22">
        <v>1135</v>
      </c>
      <c r="E97" s="22">
        <v>661</v>
      </c>
      <c r="F97" s="22">
        <v>456</v>
      </c>
      <c r="G97" s="22">
        <v>197</v>
      </c>
      <c r="H97" s="22">
        <v>6</v>
      </c>
      <c r="I97" s="22">
        <v>2</v>
      </c>
      <c r="J97" s="22">
        <v>0</v>
      </c>
      <c r="K97" s="22">
        <v>0</v>
      </c>
      <c r="L97" s="22">
        <v>0</v>
      </c>
    </row>
    <row r="98" spans="1:12" s="21" customFormat="1" ht="12" customHeight="1" x14ac:dyDescent="0.2">
      <c r="A98" s="264" t="s">
        <v>106</v>
      </c>
      <c r="B98" s="264"/>
      <c r="C98" s="22">
        <v>1382</v>
      </c>
      <c r="D98" s="22">
        <v>1182</v>
      </c>
      <c r="E98" s="22">
        <v>200</v>
      </c>
      <c r="F98" s="22">
        <v>164</v>
      </c>
      <c r="G98" s="22">
        <v>36</v>
      </c>
      <c r="H98" s="22">
        <v>0</v>
      </c>
      <c r="I98" s="22">
        <v>0</v>
      </c>
      <c r="J98" s="22">
        <v>0</v>
      </c>
      <c r="K98" s="22">
        <v>0</v>
      </c>
      <c r="L98" s="22">
        <v>0</v>
      </c>
    </row>
    <row r="99" spans="1:12" s="21" customFormat="1" ht="12" customHeight="1" x14ac:dyDescent="0.2">
      <c r="A99" s="264" t="s">
        <v>107</v>
      </c>
      <c r="B99" s="264"/>
      <c r="C99" s="22">
        <v>310</v>
      </c>
      <c r="D99" s="22">
        <v>264</v>
      </c>
      <c r="E99" s="22">
        <v>46</v>
      </c>
      <c r="F99" s="22">
        <v>37</v>
      </c>
      <c r="G99" s="22">
        <v>9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</row>
    <row r="100" spans="1:12" s="21" customFormat="1" ht="12" customHeight="1" x14ac:dyDescent="0.2">
      <c r="A100" s="264" t="s">
        <v>336</v>
      </c>
      <c r="B100" s="264"/>
      <c r="C100" s="22">
        <v>4688</v>
      </c>
      <c r="D100" s="22">
        <v>3805</v>
      </c>
      <c r="E100" s="22">
        <v>883</v>
      </c>
      <c r="F100" s="22">
        <v>669</v>
      </c>
      <c r="G100" s="22">
        <v>212</v>
      </c>
      <c r="H100" s="22">
        <v>1</v>
      </c>
      <c r="I100" s="22">
        <v>1</v>
      </c>
      <c r="J100" s="22">
        <v>0</v>
      </c>
      <c r="K100" s="22">
        <v>0</v>
      </c>
      <c r="L100" s="22">
        <v>0</v>
      </c>
    </row>
    <row r="101" spans="1:12" s="21" customFormat="1" ht="12" customHeight="1" x14ac:dyDescent="0.2">
      <c r="A101" s="264" t="s">
        <v>109</v>
      </c>
      <c r="B101" s="264"/>
      <c r="C101" s="22">
        <v>714</v>
      </c>
      <c r="D101" s="22">
        <v>420</v>
      </c>
      <c r="E101" s="22">
        <v>294</v>
      </c>
      <c r="F101" s="22">
        <v>202</v>
      </c>
      <c r="G101" s="22">
        <v>92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</row>
    <row r="102" spans="1:12" s="21" customFormat="1" ht="12" customHeight="1" x14ac:dyDescent="0.2">
      <c r="A102" s="264" t="s">
        <v>110</v>
      </c>
      <c r="B102" s="264"/>
      <c r="C102" s="22">
        <v>814</v>
      </c>
      <c r="D102" s="22">
        <v>636</v>
      </c>
      <c r="E102" s="22">
        <v>178</v>
      </c>
      <c r="F102" s="22">
        <v>135</v>
      </c>
      <c r="G102" s="22">
        <v>42</v>
      </c>
      <c r="H102" s="22">
        <v>1</v>
      </c>
      <c r="I102" s="22">
        <v>0</v>
      </c>
      <c r="J102" s="22">
        <v>0</v>
      </c>
      <c r="K102" s="22">
        <v>0</v>
      </c>
      <c r="L102" s="22">
        <v>0</v>
      </c>
    </row>
    <row r="103" spans="1:12" s="21" customFormat="1" ht="12" customHeight="1" x14ac:dyDescent="0.2">
      <c r="A103" s="264" t="s">
        <v>111</v>
      </c>
      <c r="B103" s="264"/>
      <c r="C103" s="22">
        <v>322</v>
      </c>
      <c r="D103" s="22">
        <v>270</v>
      </c>
      <c r="E103" s="22">
        <v>52</v>
      </c>
      <c r="F103" s="22">
        <v>41</v>
      </c>
      <c r="G103" s="22">
        <v>11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</row>
    <row r="104" spans="1:12" s="21" customFormat="1" ht="12" customHeight="1" x14ac:dyDescent="0.2">
      <c r="A104" s="264" t="s">
        <v>112</v>
      </c>
      <c r="B104" s="264"/>
      <c r="C104" s="22">
        <v>827</v>
      </c>
      <c r="D104" s="22">
        <v>724</v>
      </c>
      <c r="E104" s="22">
        <v>103</v>
      </c>
      <c r="F104" s="22">
        <v>73</v>
      </c>
      <c r="G104" s="22">
        <v>29</v>
      </c>
      <c r="H104" s="22">
        <v>0</v>
      </c>
      <c r="I104" s="22">
        <v>1</v>
      </c>
      <c r="J104" s="22">
        <v>0</v>
      </c>
      <c r="K104" s="22">
        <v>0</v>
      </c>
      <c r="L104" s="22">
        <v>0</v>
      </c>
    </row>
    <row r="105" spans="1:12" s="21" customFormat="1" ht="12" customHeight="1" x14ac:dyDescent="0.2">
      <c r="A105" s="264" t="s">
        <v>113</v>
      </c>
      <c r="B105" s="264"/>
      <c r="C105" s="22">
        <v>1512</v>
      </c>
      <c r="D105" s="22">
        <v>1253</v>
      </c>
      <c r="E105" s="22">
        <v>259</v>
      </c>
      <c r="F105" s="22">
        <v>193</v>
      </c>
      <c r="G105" s="22">
        <v>66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</row>
    <row r="106" spans="1:12" s="21" customFormat="1" ht="12" customHeight="1" x14ac:dyDescent="0.2">
      <c r="A106" s="264" t="s">
        <v>114</v>
      </c>
      <c r="B106" s="264"/>
      <c r="C106" s="22">
        <v>4624</v>
      </c>
      <c r="D106" s="22">
        <v>1870</v>
      </c>
      <c r="E106" s="22">
        <v>2754</v>
      </c>
      <c r="F106" s="22">
        <v>1633</v>
      </c>
      <c r="G106" s="22">
        <v>1023</v>
      </c>
      <c r="H106" s="22">
        <v>17</v>
      </c>
      <c r="I106" s="22">
        <v>72</v>
      </c>
      <c r="J106" s="22">
        <v>7</v>
      </c>
      <c r="K106" s="22">
        <v>0</v>
      </c>
      <c r="L106" s="22">
        <v>2</v>
      </c>
    </row>
    <row r="107" spans="1:12" s="21" customFormat="1" ht="12" customHeight="1" x14ac:dyDescent="0.2">
      <c r="A107" s="264" t="s">
        <v>115</v>
      </c>
      <c r="B107" s="264"/>
      <c r="C107" s="22">
        <v>1922</v>
      </c>
      <c r="D107" s="22">
        <v>1615</v>
      </c>
      <c r="E107" s="22">
        <v>307</v>
      </c>
      <c r="F107" s="22">
        <v>214</v>
      </c>
      <c r="G107" s="22">
        <v>93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</row>
    <row r="108" spans="1:12" s="21" customFormat="1" ht="12" customHeight="1" x14ac:dyDescent="0.2">
      <c r="A108" s="264" t="s">
        <v>117</v>
      </c>
      <c r="B108" s="264"/>
      <c r="C108" s="22">
        <v>1595</v>
      </c>
      <c r="D108" s="22">
        <v>1195</v>
      </c>
      <c r="E108" s="22">
        <v>400</v>
      </c>
      <c r="F108" s="22">
        <v>271</v>
      </c>
      <c r="G108" s="22">
        <v>128</v>
      </c>
      <c r="H108" s="22">
        <v>0</v>
      </c>
      <c r="I108" s="22">
        <v>1</v>
      </c>
      <c r="J108" s="22">
        <v>0</v>
      </c>
      <c r="K108" s="22">
        <v>0</v>
      </c>
      <c r="L108" s="22">
        <v>0</v>
      </c>
    </row>
    <row r="109" spans="1:12" s="21" customFormat="1" ht="12" customHeight="1" x14ac:dyDescent="0.2">
      <c r="A109" s="264" t="s">
        <v>118</v>
      </c>
      <c r="B109" s="264"/>
      <c r="C109" s="22">
        <v>1364</v>
      </c>
      <c r="D109" s="22">
        <v>1069</v>
      </c>
      <c r="E109" s="22">
        <v>295</v>
      </c>
      <c r="F109" s="22">
        <v>210</v>
      </c>
      <c r="G109" s="22">
        <v>82</v>
      </c>
      <c r="H109" s="22">
        <v>3</v>
      </c>
      <c r="I109" s="22">
        <v>0</v>
      </c>
      <c r="J109" s="22">
        <v>0</v>
      </c>
      <c r="K109" s="22">
        <v>0</v>
      </c>
      <c r="L109" s="22">
        <v>0</v>
      </c>
    </row>
    <row r="110" spans="1:12" s="21" customFormat="1" ht="12" customHeight="1" x14ac:dyDescent="0.2">
      <c r="A110" s="264" t="s">
        <v>121</v>
      </c>
      <c r="B110" s="264"/>
      <c r="C110" s="22">
        <v>2207</v>
      </c>
      <c r="D110" s="22">
        <v>1508</v>
      </c>
      <c r="E110" s="22">
        <v>699</v>
      </c>
      <c r="F110" s="22">
        <v>502</v>
      </c>
      <c r="G110" s="22">
        <v>180</v>
      </c>
      <c r="H110" s="22">
        <v>9</v>
      </c>
      <c r="I110" s="22">
        <v>8</v>
      </c>
      <c r="J110" s="22">
        <v>0</v>
      </c>
      <c r="K110" s="22">
        <v>0</v>
      </c>
      <c r="L110" s="22">
        <v>0</v>
      </c>
    </row>
    <row r="111" spans="1:12" s="21" customFormat="1" ht="12" customHeight="1" x14ac:dyDescent="0.2">
      <c r="A111" s="264" t="s">
        <v>125</v>
      </c>
      <c r="B111" s="264"/>
      <c r="C111" s="22">
        <v>2070</v>
      </c>
      <c r="D111" s="22">
        <v>1295</v>
      </c>
      <c r="E111" s="22">
        <v>775</v>
      </c>
      <c r="F111" s="22">
        <v>373</v>
      </c>
      <c r="G111" s="22">
        <v>394</v>
      </c>
      <c r="H111" s="22">
        <v>7</v>
      </c>
      <c r="I111" s="22">
        <v>1</v>
      </c>
      <c r="J111" s="22">
        <v>0</v>
      </c>
      <c r="K111" s="22">
        <v>0</v>
      </c>
      <c r="L111" s="22">
        <v>0</v>
      </c>
    </row>
    <row r="112" spans="1:12" s="21" customFormat="1" ht="12" customHeight="1" x14ac:dyDescent="0.2">
      <c r="A112" s="264" t="s">
        <v>126</v>
      </c>
      <c r="B112" s="264"/>
      <c r="C112" s="22">
        <v>3080</v>
      </c>
      <c r="D112" s="22">
        <v>2275</v>
      </c>
      <c r="E112" s="22">
        <v>805</v>
      </c>
      <c r="F112" s="22">
        <v>624</v>
      </c>
      <c r="G112" s="22">
        <v>160</v>
      </c>
      <c r="H112" s="22">
        <v>2</v>
      </c>
      <c r="I112" s="22">
        <v>19</v>
      </c>
      <c r="J112" s="22">
        <v>0</v>
      </c>
      <c r="K112" s="22">
        <v>0</v>
      </c>
      <c r="L112" s="22">
        <v>0</v>
      </c>
    </row>
    <row r="113" spans="1:12" s="21" customFormat="1" ht="12" customHeight="1" x14ac:dyDescent="0.2">
      <c r="A113" s="264" t="s">
        <v>389</v>
      </c>
      <c r="B113" s="268"/>
      <c r="C113" s="22">
        <v>3075</v>
      </c>
      <c r="D113" s="22">
        <v>2334</v>
      </c>
      <c r="E113" s="22">
        <v>741</v>
      </c>
      <c r="F113" s="22">
        <v>529</v>
      </c>
      <c r="G113" s="22">
        <v>208</v>
      </c>
      <c r="H113" s="22">
        <v>4</v>
      </c>
      <c r="I113" s="22">
        <v>0</v>
      </c>
      <c r="J113" s="22">
        <v>0</v>
      </c>
      <c r="K113" s="22">
        <v>0</v>
      </c>
      <c r="L113" s="22">
        <v>0</v>
      </c>
    </row>
    <row r="114" spans="1:12" s="21" customFormat="1" ht="12" customHeight="1" x14ac:dyDescent="0.2">
      <c r="A114" s="264" t="s">
        <v>393</v>
      </c>
      <c r="B114" s="268"/>
      <c r="C114" s="22">
        <v>2992</v>
      </c>
      <c r="D114" s="22">
        <v>2103</v>
      </c>
      <c r="E114" s="22">
        <v>889</v>
      </c>
      <c r="F114" s="22">
        <v>637</v>
      </c>
      <c r="G114" s="22">
        <v>241</v>
      </c>
      <c r="H114" s="22">
        <v>11</v>
      </c>
      <c r="I114" s="22">
        <v>0</v>
      </c>
      <c r="J114" s="22">
        <v>0</v>
      </c>
      <c r="K114" s="22">
        <v>0</v>
      </c>
      <c r="L114" s="22">
        <v>0</v>
      </c>
    </row>
    <row r="115" spans="1:12" s="21" customFormat="1" ht="12" customHeight="1" x14ac:dyDescent="0.2">
      <c r="A115" s="264" t="s">
        <v>128</v>
      </c>
      <c r="B115" s="264"/>
      <c r="C115" s="22">
        <v>620</v>
      </c>
      <c r="D115" s="22">
        <v>500</v>
      </c>
      <c r="E115" s="22">
        <v>120</v>
      </c>
      <c r="F115" s="22">
        <v>82</v>
      </c>
      <c r="G115" s="22">
        <v>37</v>
      </c>
      <c r="H115" s="22">
        <v>1</v>
      </c>
      <c r="I115" s="22">
        <v>0</v>
      </c>
      <c r="J115" s="22">
        <v>0</v>
      </c>
      <c r="K115" s="22">
        <v>0</v>
      </c>
      <c r="L115" s="22">
        <v>0</v>
      </c>
    </row>
    <row r="116" spans="1:12" s="21" customFormat="1" ht="12" customHeight="1" x14ac:dyDescent="0.2">
      <c r="A116" s="264" t="s">
        <v>129</v>
      </c>
      <c r="B116" s="264"/>
      <c r="C116" s="22">
        <v>1917</v>
      </c>
      <c r="D116" s="22">
        <v>1413</v>
      </c>
      <c r="E116" s="22">
        <v>504</v>
      </c>
      <c r="F116" s="22">
        <v>404</v>
      </c>
      <c r="G116" s="22">
        <v>91</v>
      </c>
      <c r="H116" s="22">
        <v>1</v>
      </c>
      <c r="I116" s="22">
        <v>8</v>
      </c>
      <c r="J116" s="22">
        <v>0</v>
      </c>
      <c r="K116" s="22">
        <v>0</v>
      </c>
      <c r="L116" s="22">
        <v>0</v>
      </c>
    </row>
    <row r="117" spans="1:12" s="21" customFormat="1" ht="12" customHeight="1" x14ac:dyDescent="0.2">
      <c r="A117" s="266" t="s">
        <v>130</v>
      </c>
      <c r="B117" s="266"/>
      <c r="C117" s="209">
        <v>415</v>
      </c>
      <c r="D117" s="209">
        <v>234</v>
      </c>
      <c r="E117" s="209">
        <v>181</v>
      </c>
      <c r="F117" s="209">
        <v>117</v>
      </c>
      <c r="G117" s="209">
        <v>64</v>
      </c>
      <c r="H117" s="209">
        <v>0</v>
      </c>
      <c r="I117" s="209">
        <v>0</v>
      </c>
      <c r="J117" s="209">
        <v>0</v>
      </c>
      <c r="K117" s="209">
        <v>0</v>
      </c>
      <c r="L117" s="209">
        <v>0</v>
      </c>
    </row>
    <row r="118" spans="1:12" s="21" customFormat="1" ht="12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s="21" customFormat="1" ht="12" customHeight="1" x14ac:dyDescent="0.2">
      <c r="A119" s="263" t="s">
        <v>131</v>
      </c>
      <c r="B119" s="263"/>
      <c r="C119" s="20">
        <v>64371</v>
      </c>
      <c r="D119" s="20">
        <v>48153</v>
      </c>
      <c r="E119" s="20">
        <v>16218</v>
      </c>
      <c r="F119" s="20">
        <v>11488</v>
      </c>
      <c r="G119" s="20">
        <v>4361</v>
      </c>
      <c r="H119" s="20">
        <v>116</v>
      </c>
      <c r="I119" s="20">
        <v>221</v>
      </c>
      <c r="J119" s="20">
        <v>32</v>
      </c>
      <c r="K119" s="20">
        <v>0</v>
      </c>
      <c r="L119" s="20">
        <v>0</v>
      </c>
    </row>
    <row r="120" spans="1:12" s="21" customFormat="1" ht="12" customHeight="1" x14ac:dyDescent="0.2">
      <c r="A120" s="264" t="s">
        <v>132</v>
      </c>
      <c r="B120" s="264"/>
      <c r="C120" s="22">
        <v>5436</v>
      </c>
      <c r="D120" s="22">
        <v>3910</v>
      </c>
      <c r="E120" s="22">
        <v>1526</v>
      </c>
      <c r="F120" s="22">
        <v>1110</v>
      </c>
      <c r="G120" s="22">
        <v>399</v>
      </c>
      <c r="H120" s="22">
        <v>15</v>
      </c>
      <c r="I120" s="22">
        <v>2</v>
      </c>
      <c r="J120" s="22">
        <v>0</v>
      </c>
      <c r="K120" s="22">
        <v>0</v>
      </c>
      <c r="L120" s="22">
        <v>0</v>
      </c>
    </row>
    <row r="121" spans="1:12" s="21" customFormat="1" ht="12" customHeight="1" x14ac:dyDescent="0.2">
      <c r="A121" s="264" t="s">
        <v>134</v>
      </c>
      <c r="B121" s="264"/>
      <c r="C121" s="22">
        <v>452</v>
      </c>
      <c r="D121" s="22">
        <v>363</v>
      </c>
      <c r="E121" s="22">
        <v>89</v>
      </c>
      <c r="F121" s="22">
        <v>69</v>
      </c>
      <c r="G121" s="22">
        <v>19</v>
      </c>
      <c r="H121" s="22">
        <v>1</v>
      </c>
      <c r="I121" s="22">
        <v>0</v>
      </c>
      <c r="J121" s="22">
        <v>0</v>
      </c>
      <c r="K121" s="22">
        <v>0</v>
      </c>
      <c r="L121" s="22">
        <v>0</v>
      </c>
    </row>
    <row r="122" spans="1:12" s="21" customFormat="1" ht="12" customHeight="1" x14ac:dyDescent="0.2">
      <c r="A122" s="264" t="s">
        <v>135</v>
      </c>
      <c r="B122" s="264"/>
      <c r="C122" s="22">
        <v>1613</v>
      </c>
      <c r="D122" s="22">
        <v>1270</v>
      </c>
      <c r="E122" s="22">
        <v>343</v>
      </c>
      <c r="F122" s="22">
        <v>222</v>
      </c>
      <c r="G122" s="22">
        <v>118</v>
      </c>
      <c r="H122" s="22">
        <v>2</v>
      </c>
      <c r="I122" s="22">
        <v>1</v>
      </c>
      <c r="J122" s="22">
        <v>0</v>
      </c>
      <c r="K122" s="22">
        <v>0</v>
      </c>
      <c r="L122" s="22">
        <v>0</v>
      </c>
    </row>
    <row r="123" spans="1:12" s="21" customFormat="1" ht="12" customHeight="1" x14ac:dyDescent="0.2">
      <c r="A123" s="264" t="s">
        <v>138</v>
      </c>
      <c r="B123" s="264"/>
      <c r="C123" s="22">
        <v>1102</v>
      </c>
      <c r="D123" s="22">
        <v>1003</v>
      </c>
      <c r="E123" s="22">
        <v>99</v>
      </c>
      <c r="F123" s="22">
        <v>78</v>
      </c>
      <c r="G123" s="22">
        <v>21</v>
      </c>
      <c r="H123" s="22">
        <v>0</v>
      </c>
      <c r="I123" s="22">
        <v>0</v>
      </c>
      <c r="J123" s="22">
        <v>0</v>
      </c>
      <c r="K123" s="22">
        <v>0</v>
      </c>
      <c r="L123" s="22">
        <v>0</v>
      </c>
    </row>
    <row r="124" spans="1:12" s="21" customFormat="1" ht="12" customHeight="1" x14ac:dyDescent="0.2">
      <c r="A124" s="264" t="s">
        <v>141</v>
      </c>
      <c r="B124" s="264"/>
      <c r="C124" s="22">
        <v>2851</v>
      </c>
      <c r="D124" s="22">
        <v>2425</v>
      </c>
      <c r="E124" s="22">
        <v>426</v>
      </c>
      <c r="F124" s="22">
        <v>333</v>
      </c>
      <c r="G124" s="22">
        <v>91</v>
      </c>
      <c r="H124" s="22">
        <v>1</v>
      </c>
      <c r="I124" s="22">
        <v>1</v>
      </c>
      <c r="J124" s="22">
        <v>0</v>
      </c>
      <c r="K124" s="22">
        <v>0</v>
      </c>
      <c r="L124" s="22">
        <v>0</v>
      </c>
    </row>
    <row r="125" spans="1:12" s="21" customFormat="1" ht="12" customHeight="1" x14ac:dyDescent="0.2">
      <c r="A125" s="264" t="s">
        <v>337</v>
      </c>
      <c r="B125" s="264"/>
      <c r="C125" s="22">
        <v>5076</v>
      </c>
      <c r="D125" s="22">
        <v>3938</v>
      </c>
      <c r="E125" s="22">
        <v>1138</v>
      </c>
      <c r="F125" s="22">
        <v>802</v>
      </c>
      <c r="G125" s="22">
        <v>321</v>
      </c>
      <c r="H125" s="22">
        <v>10</v>
      </c>
      <c r="I125" s="22">
        <v>5</v>
      </c>
      <c r="J125" s="22">
        <v>0</v>
      </c>
      <c r="K125" s="22">
        <v>0</v>
      </c>
      <c r="L125" s="22">
        <v>0</v>
      </c>
    </row>
    <row r="126" spans="1:12" s="21" customFormat="1" ht="12" customHeight="1" x14ac:dyDescent="0.2">
      <c r="A126" s="264" t="s">
        <v>144</v>
      </c>
      <c r="B126" s="264"/>
      <c r="C126" s="22">
        <v>4820</v>
      </c>
      <c r="D126" s="22">
        <v>3877</v>
      </c>
      <c r="E126" s="22">
        <v>943</v>
      </c>
      <c r="F126" s="22">
        <v>745</v>
      </c>
      <c r="G126" s="22">
        <v>188</v>
      </c>
      <c r="H126" s="22">
        <v>9</v>
      </c>
      <c r="I126" s="22">
        <v>1</v>
      </c>
      <c r="J126" s="22">
        <v>0</v>
      </c>
      <c r="K126" s="22">
        <v>0</v>
      </c>
      <c r="L126" s="22">
        <v>0</v>
      </c>
    </row>
    <row r="127" spans="1:12" s="21" customFormat="1" ht="12" customHeight="1" x14ac:dyDescent="0.2">
      <c r="A127" s="264" t="s">
        <v>148</v>
      </c>
      <c r="B127" s="264"/>
      <c r="C127" s="22">
        <v>1213</v>
      </c>
      <c r="D127" s="22">
        <v>921</v>
      </c>
      <c r="E127" s="22">
        <v>292</v>
      </c>
      <c r="F127" s="22">
        <v>156</v>
      </c>
      <c r="G127" s="22">
        <v>107</v>
      </c>
      <c r="H127" s="22">
        <v>0</v>
      </c>
      <c r="I127" s="22">
        <v>24</v>
      </c>
      <c r="J127" s="22">
        <v>5</v>
      </c>
      <c r="K127" s="22">
        <v>0</v>
      </c>
      <c r="L127" s="22">
        <v>0</v>
      </c>
    </row>
    <row r="128" spans="1:12" s="21" customFormat="1" ht="12" customHeight="1" x14ac:dyDescent="0.2">
      <c r="A128" s="264" t="s">
        <v>149</v>
      </c>
      <c r="B128" s="264"/>
      <c r="C128" s="22">
        <v>16241</v>
      </c>
      <c r="D128" s="22">
        <v>10628</v>
      </c>
      <c r="E128" s="22">
        <v>5613</v>
      </c>
      <c r="F128" s="22">
        <v>3902</v>
      </c>
      <c r="G128" s="22">
        <v>1555</v>
      </c>
      <c r="H128" s="22">
        <v>35</v>
      </c>
      <c r="I128" s="22">
        <v>103</v>
      </c>
      <c r="J128" s="22">
        <v>18</v>
      </c>
      <c r="K128" s="22">
        <v>0</v>
      </c>
      <c r="L128" s="22">
        <v>0</v>
      </c>
    </row>
    <row r="129" spans="1:12" s="21" customFormat="1" ht="12" customHeight="1" x14ac:dyDescent="0.2">
      <c r="A129" s="264" t="s">
        <v>150</v>
      </c>
      <c r="B129" s="264"/>
      <c r="C129" s="22">
        <v>6713</v>
      </c>
      <c r="D129" s="22">
        <v>5081</v>
      </c>
      <c r="E129" s="22">
        <v>1632</v>
      </c>
      <c r="F129" s="22">
        <v>1183</v>
      </c>
      <c r="G129" s="22">
        <v>421</v>
      </c>
      <c r="H129" s="22">
        <v>18</v>
      </c>
      <c r="I129" s="22">
        <v>9</v>
      </c>
      <c r="J129" s="22">
        <v>1</v>
      </c>
      <c r="K129" s="22">
        <v>0</v>
      </c>
      <c r="L129" s="22">
        <v>0</v>
      </c>
    </row>
    <row r="130" spans="1:12" s="21" customFormat="1" ht="12" customHeight="1" x14ac:dyDescent="0.2">
      <c r="A130" s="264" t="s">
        <v>152</v>
      </c>
      <c r="B130" s="264"/>
      <c r="C130" s="22">
        <v>198</v>
      </c>
      <c r="D130" s="22">
        <v>182</v>
      </c>
      <c r="E130" s="22">
        <v>16</v>
      </c>
      <c r="F130" s="22">
        <v>11</v>
      </c>
      <c r="G130" s="22">
        <v>5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</row>
    <row r="131" spans="1:12" s="21" customFormat="1" ht="12" customHeight="1" x14ac:dyDescent="0.2">
      <c r="A131" s="264" t="s">
        <v>153</v>
      </c>
      <c r="B131" s="264"/>
      <c r="C131" s="22">
        <v>7421</v>
      </c>
      <c r="D131" s="22">
        <v>5572</v>
      </c>
      <c r="E131" s="22">
        <v>1849</v>
      </c>
      <c r="F131" s="22">
        <v>1329</v>
      </c>
      <c r="G131" s="22">
        <v>484</v>
      </c>
      <c r="H131" s="22">
        <v>9</v>
      </c>
      <c r="I131" s="22">
        <v>25</v>
      </c>
      <c r="J131" s="22">
        <v>2</v>
      </c>
      <c r="K131" s="22">
        <v>0</v>
      </c>
      <c r="L131" s="22">
        <v>0</v>
      </c>
    </row>
    <row r="132" spans="1:12" s="21" customFormat="1" ht="12" customHeight="1" x14ac:dyDescent="0.2">
      <c r="A132" s="264" t="s">
        <v>155</v>
      </c>
      <c r="B132" s="264"/>
      <c r="C132" s="22">
        <v>2579</v>
      </c>
      <c r="D132" s="22">
        <v>1830</v>
      </c>
      <c r="E132" s="22">
        <v>749</v>
      </c>
      <c r="F132" s="22">
        <v>484</v>
      </c>
      <c r="G132" s="22">
        <v>237</v>
      </c>
      <c r="H132" s="22">
        <v>7</v>
      </c>
      <c r="I132" s="22">
        <v>20</v>
      </c>
      <c r="J132" s="22">
        <v>1</v>
      </c>
      <c r="K132" s="22">
        <v>0</v>
      </c>
      <c r="L132" s="22">
        <v>0</v>
      </c>
    </row>
    <row r="133" spans="1:12" s="21" customFormat="1" ht="12" customHeight="1" x14ac:dyDescent="0.2">
      <c r="A133" s="264" t="s">
        <v>156</v>
      </c>
      <c r="B133" s="264"/>
      <c r="C133" s="22">
        <v>675</v>
      </c>
      <c r="D133" s="22">
        <v>617</v>
      </c>
      <c r="E133" s="22">
        <v>58</v>
      </c>
      <c r="F133" s="22">
        <v>45</v>
      </c>
      <c r="G133" s="22">
        <v>13</v>
      </c>
      <c r="H133" s="22">
        <v>0</v>
      </c>
      <c r="I133" s="22">
        <v>0</v>
      </c>
      <c r="J133" s="22">
        <v>0</v>
      </c>
      <c r="K133" s="22">
        <v>0</v>
      </c>
      <c r="L133" s="22">
        <v>0</v>
      </c>
    </row>
    <row r="134" spans="1:12" s="21" customFormat="1" ht="12" customHeight="1" x14ac:dyDescent="0.2">
      <c r="A134" s="264" t="s">
        <v>157</v>
      </c>
      <c r="B134" s="264"/>
      <c r="C134" s="22">
        <v>701</v>
      </c>
      <c r="D134" s="22">
        <v>564</v>
      </c>
      <c r="E134" s="22">
        <v>137</v>
      </c>
      <c r="F134" s="22">
        <v>94</v>
      </c>
      <c r="G134" s="22">
        <v>41</v>
      </c>
      <c r="H134" s="22">
        <v>2</v>
      </c>
      <c r="I134" s="22">
        <v>0</v>
      </c>
      <c r="J134" s="22">
        <v>0</v>
      </c>
      <c r="K134" s="22">
        <v>0</v>
      </c>
      <c r="L134" s="22">
        <v>0</v>
      </c>
    </row>
    <row r="135" spans="1:12" s="21" customFormat="1" ht="12" customHeight="1" x14ac:dyDescent="0.2">
      <c r="A135" s="264" t="s">
        <v>159</v>
      </c>
      <c r="B135" s="264"/>
      <c r="C135" s="22">
        <v>538</v>
      </c>
      <c r="D135" s="22">
        <v>403</v>
      </c>
      <c r="E135" s="22">
        <v>135</v>
      </c>
      <c r="F135" s="22">
        <v>89</v>
      </c>
      <c r="G135" s="22">
        <v>45</v>
      </c>
      <c r="H135" s="22">
        <v>1</v>
      </c>
      <c r="I135" s="22">
        <v>0</v>
      </c>
      <c r="J135" s="22">
        <v>0</v>
      </c>
      <c r="K135" s="22">
        <v>0</v>
      </c>
      <c r="L135" s="22">
        <v>0</v>
      </c>
    </row>
    <row r="136" spans="1:12" s="21" customFormat="1" ht="12" customHeight="1" x14ac:dyDescent="0.2">
      <c r="A136" s="264" t="s">
        <v>164</v>
      </c>
      <c r="B136" s="264"/>
      <c r="C136" s="22">
        <v>3244</v>
      </c>
      <c r="D136" s="22">
        <v>2450</v>
      </c>
      <c r="E136" s="22">
        <v>794</v>
      </c>
      <c r="F136" s="22">
        <v>580</v>
      </c>
      <c r="G136" s="22">
        <v>184</v>
      </c>
      <c r="H136" s="22">
        <v>3</v>
      </c>
      <c r="I136" s="22">
        <v>27</v>
      </c>
      <c r="J136" s="22">
        <v>0</v>
      </c>
      <c r="K136" s="22">
        <v>0</v>
      </c>
      <c r="L136" s="22">
        <v>0</v>
      </c>
    </row>
    <row r="137" spans="1:12" s="21" customFormat="1" ht="12" customHeight="1" x14ac:dyDescent="0.2">
      <c r="A137" s="264" t="s">
        <v>348</v>
      </c>
      <c r="B137" s="264"/>
      <c r="C137" s="22">
        <v>2694</v>
      </c>
      <c r="D137" s="22">
        <v>2379</v>
      </c>
      <c r="E137" s="22">
        <v>315</v>
      </c>
      <c r="F137" s="22">
        <v>224</v>
      </c>
      <c r="G137" s="22">
        <v>88</v>
      </c>
      <c r="H137" s="22">
        <v>3</v>
      </c>
      <c r="I137" s="22">
        <v>0</v>
      </c>
      <c r="J137" s="22">
        <v>0</v>
      </c>
      <c r="K137" s="22">
        <v>0</v>
      </c>
      <c r="L137" s="22">
        <v>0</v>
      </c>
    </row>
    <row r="138" spans="1:12" s="21" customFormat="1" ht="12" customHeight="1" x14ac:dyDescent="0.2">
      <c r="A138" s="27" t="s">
        <v>384</v>
      </c>
      <c r="B138" s="27"/>
      <c r="C138" s="209">
        <v>804</v>
      </c>
      <c r="D138" s="209">
        <v>740</v>
      </c>
      <c r="E138" s="209">
        <v>64</v>
      </c>
      <c r="F138" s="209">
        <v>32</v>
      </c>
      <c r="G138" s="209">
        <v>24</v>
      </c>
      <c r="H138" s="209">
        <v>0</v>
      </c>
      <c r="I138" s="209">
        <v>3</v>
      </c>
      <c r="J138" s="209">
        <v>5</v>
      </c>
      <c r="K138" s="209">
        <v>0</v>
      </c>
      <c r="L138" s="209">
        <v>0</v>
      </c>
    </row>
    <row r="139" spans="1:12" s="21" customFormat="1" ht="12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s="21" customFormat="1" ht="12" customHeight="1" x14ac:dyDescent="0.2">
      <c r="A140" s="263" t="s">
        <v>169</v>
      </c>
      <c r="B140" s="263"/>
      <c r="C140" s="20">
        <v>5954</v>
      </c>
      <c r="D140" s="20">
        <v>5299</v>
      </c>
      <c r="E140" s="20">
        <v>655</v>
      </c>
      <c r="F140" s="20">
        <v>500</v>
      </c>
      <c r="G140" s="20">
        <v>152</v>
      </c>
      <c r="H140" s="20">
        <v>3</v>
      </c>
      <c r="I140" s="20">
        <v>0</v>
      </c>
      <c r="J140" s="20">
        <v>0</v>
      </c>
      <c r="K140" s="20">
        <v>0</v>
      </c>
      <c r="L140" s="20">
        <v>0</v>
      </c>
    </row>
    <row r="141" spans="1:12" s="21" customFormat="1" ht="12" customHeight="1" x14ac:dyDescent="0.2">
      <c r="A141" s="264" t="s">
        <v>170</v>
      </c>
      <c r="B141" s="264"/>
      <c r="C141" s="22">
        <v>1557</v>
      </c>
      <c r="D141" s="22">
        <v>1400</v>
      </c>
      <c r="E141" s="22">
        <v>157</v>
      </c>
      <c r="F141" s="22">
        <v>123</v>
      </c>
      <c r="G141" s="22">
        <v>33</v>
      </c>
      <c r="H141" s="22">
        <v>1</v>
      </c>
      <c r="I141" s="22">
        <v>0</v>
      </c>
      <c r="J141" s="22">
        <v>0</v>
      </c>
      <c r="K141" s="22">
        <v>0</v>
      </c>
      <c r="L141" s="22">
        <v>0</v>
      </c>
    </row>
    <row r="142" spans="1:12" s="21" customFormat="1" ht="12" customHeight="1" x14ac:dyDescent="0.2">
      <c r="A142" s="264" t="s">
        <v>171</v>
      </c>
      <c r="B142" s="264"/>
      <c r="C142" s="22">
        <v>53</v>
      </c>
      <c r="D142" s="22">
        <v>47</v>
      </c>
      <c r="E142" s="22">
        <v>6</v>
      </c>
      <c r="F142" s="22">
        <v>3</v>
      </c>
      <c r="G142" s="22">
        <v>3</v>
      </c>
      <c r="H142" s="22">
        <v>0</v>
      </c>
      <c r="I142" s="22">
        <v>0</v>
      </c>
      <c r="J142" s="22">
        <v>0</v>
      </c>
      <c r="K142" s="22">
        <v>0</v>
      </c>
      <c r="L142" s="22">
        <v>0</v>
      </c>
    </row>
    <row r="143" spans="1:12" s="21" customFormat="1" ht="12" customHeight="1" x14ac:dyDescent="0.2">
      <c r="A143" s="264" t="s">
        <v>172</v>
      </c>
      <c r="B143" s="264"/>
      <c r="C143" s="22">
        <v>49</v>
      </c>
      <c r="D143" s="22">
        <v>42</v>
      </c>
      <c r="E143" s="22">
        <v>7</v>
      </c>
      <c r="F143" s="22">
        <v>6</v>
      </c>
      <c r="G143" s="22">
        <v>1</v>
      </c>
      <c r="H143" s="22">
        <v>0</v>
      </c>
      <c r="I143" s="22">
        <v>0</v>
      </c>
      <c r="J143" s="22">
        <v>0</v>
      </c>
      <c r="K143" s="22">
        <v>0</v>
      </c>
      <c r="L143" s="22">
        <v>0</v>
      </c>
    </row>
    <row r="144" spans="1:12" s="21" customFormat="1" ht="12" customHeight="1" x14ac:dyDescent="0.2">
      <c r="A144" s="264" t="s">
        <v>173</v>
      </c>
      <c r="B144" s="264"/>
      <c r="C144" s="22">
        <v>36</v>
      </c>
      <c r="D144" s="22">
        <v>34</v>
      </c>
      <c r="E144" s="22">
        <v>2</v>
      </c>
      <c r="F144" s="22">
        <v>2</v>
      </c>
      <c r="G144" s="22">
        <v>0</v>
      </c>
      <c r="H144" s="22">
        <v>0</v>
      </c>
      <c r="I144" s="22">
        <v>0</v>
      </c>
      <c r="J144" s="22">
        <v>0</v>
      </c>
      <c r="K144" s="22">
        <v>0</v>
      </c>
      <c r="L144" s="22">
        <v>0</v>
      </c>
    </row>
    <row r="145" spans="1:12" s="21" customFormat="1" ht="12" customHeight="1" x14ac:dyDescent="0.2">
      <c r="A145" s="264" t="s">
        <v>174</v>
      </c>
      <c r="B145" s="264"/>
      <c r="C145" s="22">
        <v>1110</v>
      </c>
      <c r="D145" s="22">
        <v>951</v>
      </c>
      <c r="E145" s="22">
        <v>159</v>
      </c>
      <c r="F145" s="22">
        <v>122</v>
      </c>
      <c r="G145" s="22">
        <v>36</v>
      </c>
      <c r="H145" s="22">
        <v>1</v>
      </c>
      <c r="I145" s="22">
        <v>0</v>
      </c>
      <c r="J145" s="22">
        <v>0</v>
      </c>
      <c r="K145" s="22">
        <v>0</v>
      </c>
      <c r="L145" s="22">
        <v>0</v>
      </c>
    </row>
    <row r="146" spans="1:12" s="21" customFormat="1" ht="12" customHeight="1" x14ac:dyDescent="0.2">
      <c r="A146" s="264" t="s">
        <v>175</v>
      </c>
      <c r="B146" s="264"/>
      <c r="C146" s="22">
        <v>489</v>
      </c>
      <c r="D146" s="22">
        <v>445</v>
      </c>
      <c r="E146" s="22">
        <v>44</v>
      </c>
      <c r="F146" s="22">
        <v>28</v>
      </c>
      <c r="G146" s="22">
        <v>16</v>
      </c>
      <c r="H146" s="22">
        <v>0</v>
      </c>
      <c r="I146" s="22">
        <v>0</v>
      </c>
      <c r="J146" s="22">
        <v>0</v>
      </c>
      <c r="K146" s="22">
        <v>0</v>
      </c>
      <c r="L146" s="22">
        <v>0</v>
      </c>
    </row>
    <row r="147" spans="1:12" s="21" customFormat="1" ht="12" customHeight="1" x14ac:dyDescent="0.2">
      <c r="A147" s="264" t="s">
        <v>176</v>
      </c>
      <c r="B147" s="264"/>
      <c r="C147" s="22">
        <v>42</v>
      </c>
      <c r="D147" s="22">
        <v>38</v>
      </c>
      <c r="E147" s="22">
        <v>4</v>
      </c>
      <c r="F147" s="22">
        <v>3</v>
      </c>
      <c r="G147" s="22">
        <v>1</v>
      </c>
      <c r="H147" s="22">
        <v>0</v>
      </c>
      <c r="I147" s="22">
        <v>0</v>
      </c>
      <c r="J147" s="22">
        <v>0</v>
      </c>
      <c r="K147" s="22">
        <v>0</v>
      </c>
      <c r="L147" s="22">
        <v>0</v>
      </c>
    </row>
    <row r="148" spans="1:12" s="21" customFormat="1" ht="12" customHeight="1" x14ac:dyDescent="0.2">
      <c r="A148" s="267" t="s">
        <v>177</v>
      </c>
      <c r="B148" s="267"/>
      <c r="C148" s="209">
        <v>2618</v>
      </c>
      <c r="D148" s="209">
        <v>2342</v>
      </c>
      <c r="E148" s="209">
        <v>276</v>
      </c>
      <c r="F148" s="209">
        <v>213</v>
      </c>
      <c r="G148" s="209">
        <v>62</v>
      </c>
      <c r="H148" s="209">
        <v>1</v>
      </c>
      <c r="I148" s="209">
        <v>0</v>
      </c>
      <c r="J148" s="209">
        <v>0</v>
      </c>
      <c r="K148" s="209">
        <v>0</v>
      </c>
      <c r="L148" s="209">
        <v>0</v>
      </c>
    </row>
    <row r="149" spans="1:12" s="21" customFormat="1" ht="12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s="21" customFormat="1" ht="12" customHeight="1" x14ac:dyDescent="0.2">
      <c r="A150" s="263" t="s">
        <v>178</v>
      </c>
      <c r="B150" s="263"/>
      <c r="C150" s="20">
        <v>57005</v>
      </c>
      <c r="D150" s="20">
        <v>41852</v>
      </c>
      <c r="E150" s="20">
        <v>15153</v>
      </c>
      <c r="F150" s="20">
        <v>10764</v>
      </c>
      <c r="G150" s="20">
        <v>3878</v>
      </c>
      <c r="H150" s="20">
        <v>84</v>
      </c>
      <c r="I150" s="20">
        <v>410</v>
      </c>
      <c r="J150" s="20">
        <v>16</v>
      </c>
      <c r="K150" s="20">
        <v>1</v>
      </c>
      <c r="L150" s="20">
        <v>0</v>
      </c>
    </row>
    <row r="151" spans="1:12" s="21" customFormat="1" ht="12" customHeight="1" x14ac:dyDescent="0.2">
      <c r="A151" s="264" t="s">
        <v>179</v>
      </c>
      <c r="B151" s="264"/>
      <c r="C151" s="22">
        <v>5082</v>
      </c>
      <c r="D151" s="22">
        <v>3719</v>
      </c>
      <c r="E151" s="22">
        <v>1363</v>
      </c>
      <c r="F151" s="22">
        <v>1037</v>
      </c>
      <c r="G151" s="22">
        <v>261</v>
      </c>
      <c r="H151" s="22">
        <v>2</v>
      </c>
      <c r="I151" s="22">
        <v>61</v>
      </c>
      <c r="J151" s="22">
        <v>1</v>
      </c>
      <c r="K151" s="22">
        <v>1</v>
      </c>
      <c r="L151" s="22">
        <v>0</v>
      </c>
    </row>
    <row r="152" spans="1:12" s="21" customFormat="1" ht="12" customHeight="1" x14ac:dyDescent="0.2">
      <c r="A152" s="264" t="s">
        <v>180</v>
      </c>
      <c r="B152" s="264"/>
      <c r="C152" s="22">
        <v>44270</v>
      </c>
      <c r="D152" s="22">
        <v>32769</v>
      </c>
      <c r="E152" s="22">
        <v>11501</v>
      </c>
      <c r="F152" s="22">
        <v>8098</v>
      </c>
      <c r="G152" s="22">
        <v>3034</v>
      </c>
      <c r="H152" s="22">
        <v>61</v>
      </c>
      <c r="I152" s="22">
        <v>293</v>
      </c>
      <c r="J152" s="22">
        <v>15</v>
      </c>
      <c r="K152" s="22">
        <v>0</v>
      </c>
      <c r="L152" s="22">
        <v>0</v>
      </c>
    </row>
    <row r="153" spans="1:12" s="21" customFormat="1" ht="12" customHeight="1" x14ac:dyDescent="0.2">
      <c r="A153" s="264" t="s">
        <v>181</v>
      </c>
      <c r="B153" s="264"/>
      <c r="C153" s="22">
        <v>3068</v>
      </c>
      <c r="D153" s="22">
        <v>1793</v>
      </c>
      <c r="E153" s="22">
        <v>1275</v>
      </c>
      <c r="F153" s="22">
        <v>878</v>
      </c>
      <c r="G153" s="22">
        <v>359</v>
      </c>
      <c r="H153" s="22">
        <v>13</v>
      </c>
      <c r="I153" s="22">
        <v>25</v>
      </c>
      <c r="J153" s="22">
        <v>0</v>
      </c>
      <c r="K153" s="22">
        <v>0</v>
      </c>
      <c r="L153" s="22">
        <v>0</v>
      </c>
    </row>
    <row r="154" spans="1:12" s="21" customFormat="1" ht="12" customHeight="1" x14ac:dyDescent="0.2">
      <c r="A154" s="264" t="s">
        <v>187</v>
      </c>
      <c r="B154" s="264"/>
      <c r="C154" s="22">
        <v>388</v>
      </c>
      <c r="D154" s="22">
        <v>357</v>
      </c>
      <c r="E154" s="22">
        <v>31</v>
      </c>
      <c r="F154" s="22">
        <v>23</v>
      </c>
      <c r="G154" s="22">
        <v>7</v>
      </c>
      <c r="H154" s="22">
        <v>1</v>
      </c>
      <c r="I154" s="22">
        <v>0</v>
      </c>
      <c r="J154" s="22">
        <v>0</v>
      </c>
      <c r="K154" s="22">
        <v>0</v>
      </c>
      <c r="L154" s="22">
        <v>0</v>
      </c>
    </row>
    <row r="155" spans="1:12" s="21" customFormat="1" ht="12" customHeight="1" x14ac:dyDescent="0.2">
      <c r="A155" s="264" t="s">
        <v>188</v>
      </c>
      <c r="B155" s="264"/>
      <c r="C155" s="22">
        <v>1613</v>
      </c>
      <c r="D155" s="22">
        <v>1316</v>
      </c>
      <c r="E155" s="22">
        <v>297</v>
      </c>
      <c r="F155" s="22">
        <v>194</v>
      </c>
      <c r="G155" s="22">
        <v>101</v>
      </c>
      <c r="H155" s="22">
        <v>0</v>
      </c>
      <c r="I155" s="22">
        <v>2</v>
      </c>
      <c r="J155" s="22">
        <v>0</v>
      </c>
      <c r="K155" s="22">
        <v>0</v>
      </c>
      <c r="L155" s="22">
        <v>0</v>
      </c>
    </row>
    <row r="156" spans="1:12" s="21" customFormat="1" ht="12" customHeight="1" x14ac:dyDescent="0.2">
      <c r="A156" s="266" t="s">
        <v>194</v>
      </c>
      <c r="B156" s="266"/>
      <c r="C156" s="209">
        <v>2584</v>
      </c>
      <c r="D156" s="209">
        <v>1898</v>
      </c>
      <c r="E156" s="209">
        <v>686</v>
      </c>
      <c r="F156" s="209">
        <v>534</v>
      </c>
      <c r="G156" s="209">
        <v>116</v>
      </c>
      <c r="H156" s="209">
        <v>7</v>
      </c>
      <c r="I156" s="209">
        <v>29</v>
      </c>
      <c r="J156" s="209">
        <v>0</v>
      </c>
      <c r="K156" s="209">
        <v>0</v>
      </c>
      <c r="L156" s="209">
        <v>0</v>
      </c>
    </row>
    <row r="157" spans="1:12" s="21" customFormat="1" ht="12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s="21" customFormat="1" ht="12" customHeight="1" x14ac:dyDescent="0.2">
      <c r="A158" s="263" t="s">
        <v>197</v>
      </c>
      <c r="B158" s="263"/>
      <c r="C158" s="20">
        <v>10298</v>
      </c>
      <c r="D158" s="20">
        <v>7023</v>
      </c>
      <c r="E158" s="20">
        <v>3275</v>
      </c>
      <c r="F158" s="20">
        <v>2544</v>
      </c>
      <c r="G158" s="20">
        <v>667</v>
      </c>
      <c r="H158" s="20">
        <v>17</v>
      </c>
      <c r="I158" s="20">
        <v>47</v>
      </c>
      <c r="J158" s="20">
        <v>0</v>
      </c>
      <c r="K158" s="20">
        <v>0</v>
      </c>
      <c r="L158" s="20">
        <v>0</v>
      </c>
    </row>
    <row r="159" spans="1:12" s="21" customFormat="1" ht="12" customHeight="1" x14ac:dyDescent="0.2">
      <c r="A159" s="264" t="s">
        <v>198</v>
      </c>
      <c r="B159" s="264"/>
      <c r="C159" s="22">
        <v>6110</v>
      </c>
      <c r="D159" s="22">
        <v>4049</v>
      </c>
      <c r="E159" s="22">
        <v>2061</v>
      </c>
      <c r="F159" s="22">
        <v>1588</v>
      </c>
      <c r="G159" s="22">
        <v>416</v>
      </c>
      <c r="H159" s="22">
        <v>14</v>
      </c>
      <c r="I159" s="22">
        <v>43</v>
      </c>
      <c r="J159" s="22">
        <v>0</v>
      </c>
      <c r="K159" s="22">
        <v>0</v>
      </c>
      <c r="L159" s="22">
        <v>0</v>
      </c>
    </row>
    <row r="160" spans="1:12" s="21" customFormat="1" ht="12" customHeight="1" x14ac:dyDescent="0.2">
      <c r="A160" s="266" t="s">
        <v>371</v>
      </c>
      <c r="B160" s="266"/>
      <c r="C160" s="209">
        <v>4188</v>
      </c>
      <c r="D160" s="209">
        <v>2974</v>
      </c>
      <c r="E160" s="209">
        <v>1214</v>
      </c>
      <c r="F160" s="209">
        <v>956</v>
      </c>
      <c r="G160" s="209">
        <v>251</v>
      </c>
      <c r="H160" s="209">
        <v>3</v>
      </c>
      <c r="I160" s="209">
        <v>4</v>
      </c>
      <c r="J160" s="209">
        <v>0</v>
      </c>
      <c r="K160" s="209">
        <v>0</v>
      </c>
      <c r="L160" s="209">
        <v>0</v>
      </c>
    </row>
    <row r="161" spans="1:12" s="21" customFormat="1" ht="12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s="21" customFormat="1" ht="12" customHeight="1" x14ac:dyDescent="0.2">
      <c r="A162" s="263" t="s">
        <v>204</v>
      </c>
      <c r="B162" s="263"/>
      <c r="C162" s="20">
        <v>5629</v>
      </c>
      <c r="D162" s="20">
        <v>5096</v>
      </c>
      <c r="E162" s="20">
        <v>533</v>
      </c>
      <c r="F162" s="20">
        <v>375</v>
      </c>
      <c r="G162" s="20">
        <v>150</v>
      </c>
      <c r="H162" s="20">
        <v>8</v>
      </c>
      <c r="I162" s="20">
        <v>0</v>
      </c>
      <c r="J162" s="20">
        <v>0</v>
      </c>
      <c r="K162" s="20">
        <v>0</v>
      </c>
      <c r="L162" s="20">
        <v>0</v>
      </c>
    </row>
    <row r="163" spans="1:12" s="21" customFormat="1" ht="12" customHeight="1" x14ac:dyDescent="0.2">
      <c r="A163" s="264" t="s">
        <v>205</v>
      </c>
      <c r="B163" s="264"/>
      <c r="C163" s="22">
        <v>1831</v>
      </c>
      <c r="D163" s="22">
        <v>1609</v>
      </c>
      <c r="E163" s="22">
        <v>222</v>
      </c>
      <c r="F163" s="22">
        <v>163</v>
      </c>
      <c r="G163" s="22">
        <v>58</v>
      </c>
      <c r="H163" s="22">
        <v>1</v>
      </c>
      <c r="I163" s="22">
        <v>0</v>
      </c>
      <c r="J163" s="22">
        <v>0</v>
      </c>
      <c r="K163" s="22">
        <v>0</v>
      </c>
      <c r="L163" s="22">
        <v>0</v>
      </c>
    </row>
    <row r="164" spans="1:12" s="21" customFormat="1" ht="12" customHeight="1" x14ac:dyDescent="0.2">
      <c r="A164" s="264" t="s">
        <v>206</v>
      </c>
      <c r="B164" s="264"/>
      <c r="C164" s="22">
        <v>1745</v>
      </c>
      <c r="D164" s="22">
        <v>1633</v>
      </c>
      <c r="E164" s="22">
        <v>112</v>
      </c>
      <c r="F164" s="22">
        <v>73</v>
      </c>
      <c r="G164" s="22">
        <v>37</v>
      </c>
      <c r="H164" s="22">
        <v>2</v>
      </c>
      <c r="I164" s="22">
        <v>0</v>
      </c>
      <c r="J164" s="22">
        <v>0</v>
      </c>
      <c r="K164" s="22">
        <v>0</v>
      </c>
      <c r="L164" s="22">
        <v>0</v>
      </c>
    </row>
    <row r="165" spans="1:12" s="21" customFormat="1" ht="12" customHeight="1" x14ac:dyDescent="0.2">
      <c r="A165" s="266" t="s">
        <v>345</v>
      </c>
      <c r="B165" s="266"/>
      <c r="C165" s="44">
        <v>2053</v>
      </c>
      <c r="D165" s="44">
        <v>1854</v>
      </c>
      <c r="E165" s="44">
        <v>199</v>
      </c>
      <c r="F165" s="44">
        <v>139</v>
      </c>
      <c r="G165" s="44">
        <v>55</v>
      </c>
      <c r="H165" s="44">
        <v>5</v>
      </c>
      <c r="I165" s="44">
        <v>0</v>
      </c>
      <c r="J165" s="44">
        <v>0</v>
      </c>
      <c r="K165" s="44">
        <v>0</v>
      </c>
      <c r="L165" s="44">
        <v>0</v>
      </c>
    </row>
    <row r="166" spans="1:12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s="21" customFormat="1" ht="12" customHeight="1" x14ac:dyDescent="0.2">
      <c r="A167" s="263" t="s">
        <v>210</v>
      </c>
      <c r="B167" s="263"/>
      <c r="C167" s="20">
        <v>8649</v>
      </c>
      <c r="D167" s="20">
        <v>6479</v>
      </c>
      <c r="E167" s="20">
        <v>2170</v>
      </c>
      <c r="F167" s="20">
        <v>1582</v>
      </c>
      <c r="G167" s="20">
        <v>537</v>
      </c>
      <c r="H167" s="20">
        <v>20</v>
      </c>
      <c r="I167" s="20">
        <v>29</v>
      </c>
      <c r="J167" s="20">
        <v>2</v>
      </c>
      <c r="K167" s="20">
        <v>0</v>
      </c>
      <c r="L167" s="20">
        <v>0</v>
      </c>
    </row>
    <row r="168" spans="1:12" s="21" customFormat="1" ht="12" customHeight="1" x14ac:dyDescent="0.2">
      <c r="A168" s="264" t="s">
        <v>211</v>
      </c>
      <c r="B168" s="264"/>
      <c r="C168" s="22">
        <v>1432</v>
      </c>
      <c r="D168" s="22">
        <v>1074</v>
      </c>
      <c r="E168" s="22">
        <v>358</v>
      </c>
      <c r="F168" s="22">
        <v>244</v>
      </c>
      <c r="G168" s="22">
        <v>107</v>
      </c>
      <c r="H168" s="22">
        <v>6</v>
      </c>
      <c r="I168" s="22">
        <v>1</v>
      </c>
      <c r="J168" s="22">
        <v>0</v>
      </c>
      <c r="K168" s="22">
        <v>0</v>
      </c>
      <c r="L168" s="22">
        <v>0</v>
      </c>
    </row>
    <row r="169" spans="1:12" s="21" customFormat="1" ht="12" customHeight="1" x14ac:dyDescent="0.2">
      <c r="A169" s="264" t="s">
        <v>213</v>
      </c>
      <c r="B169" s="264"/>
      <c r="C169" s="22">
        <v>94</v>
      </c>
      <c r="D169" s="22">
        <v>87</v>
      </c>
      <c r="E169" s="22">
        <v>7</v>
      </c>
      <c r="F169" s="22">
        <v>4</v>
      </c>
      <c r="G169" s="22">
        <v>2</v>
      </c>
      <c r="H169" s="22">
        <v>1</v>
      </c>
      <c r="I169" s="22">
        <v>0</v>
      </c>
      <c r="J169" s="22">
        <v>0</v>
      </c>
      <c r="K169" s="22">
        <v>0</v>
      </c>
      <c r="L169" s="22">
        <v>0</v>
      </c>
    </row>
    <row r="170" spans="1:12" s="21" customFormat="1" ht="12" customHeight="1" x14ac:dyDescent="0.2">
      <c r="A170" s="264" t="s">
        <v>214</v>
      </c>
      <c r="B170" s="264"/>
      <c r="C170" s="22">
        <v>890</v>
      </c>
      <c r="D170" s="22">
        <v>514</v>
      </c>
      <c r="E170" s="22">
        <v>376</v>
      </c>
      <c r="F170" s="22">
        <v>267</v>
      </c>
      <c r="G170" s="22">
        <v>91</v>
      </c>
      <c r="H170" s="22">
        <v>4</v>
      </c>
      <c r="I170" s="22">
        <v>13</v>
      </c>
      <c r="J170" s="22">
        <v>1</v>
      </c>
      <c r="K170" s="22">
        <v>0</v>
      </c>
      <c r="L170" s="22">
        <v>0</v>
      </c>
    </row>
    <row r="171" spans="1:12" s="21" customFormat="1" ht="12" customHeight="1" x14ac:dyDescent="0.2">
      <c r="A171" s="264" t="s">
        <v>219</v>
      </c>
      <c r="B171" s="264"/>
      <c r="C171" s="22">
        <v>177</v>
      </c>
      <c r="D171" s="22">
        <v>164</v>
      </c>
      <c r="E171" s="22">
        <v>13</v>
      </c>
      <c r="F171" s="22">
        <v>7</v>
      </c>
      <c r="G171" s="22">
        <v>5</v>
      </c>
      <c r="H171" s="22">
        <v>1</v>
      </c>
      <c r="I171" s="22">
        <v>0</v>
      </c>
      <c r="J171" s="22">
        <v>0</v>
      </c>
      <c r="K171" s="22">
        <v>0</v>
      </c>
      <c r="L171" s="22">
        <v>0</v>
      </c>
    </row>
    <row r="172" spans="1:12" s="21" customFormat="1" ht="12" customHeight="1" x14ac:dyDescent="0.2">
      <c r="A172" s="264" t="s">
        <v>220</v>
      </c>
      <c r="B172" s="264"/>
      <c r="C172" s="22">
        <v>2782</v>
      </c>
      <c r="D172" s="22">
        <v>2200</v>
      </c>
      <c r="E172" s="22">
        <v>582</v>
      </c>
      <c r="F172" s="22">
        <v>463</v>
      </c>
      <c r="G172" s="22">
        <v>116</v>
      </c>
      <c r="H172" s="22">
        <v>3</v>
      </c>
      <c r="I172" s="22">
        <v>0</v>
      </c>
      <c r="J172" s="22">
        <v>0</v>
      </c>
      <c r="K172" s="22">
        <v>0</v>
      </c>
      <c r="L172" s="22">
        <v>0</v>
      </c>
    </row>
    <row r="173" spans="1:12" s="21" customFormat="1" ht="12" customHeight="1" x14ac:dyDescent="0.2">
      <c r="A173" s="264" t="s">
        <v>221</v>
      </c>
      <c r="B173" s="264"/>
      <c r="C173" s="22">
        <v>790</v>
      </c>
      <c r="D173" s="22">
        <v>593</v>
      </c>
      <c r="E173" s="22">
        <v>197</v>
      </c>
      <c r="F173" s="22">
        <v>150</v>
      </c>
      <c r="G173" s="22">
        <v>41</v>
      </c>
      <c r="H173" s="22">
        <v>0</v>
      </c>
      <c r="I173" s="22">
        <v>6</v>
      </c>
      <c r="J173" s="22">
        <v>0</v>
      </c>
      <c r="K173" s="22">
        <v>0</v>
      </c>
      <c r="L173" s="22">
        <v>0</v>
      </c>
    </row>
    <row r="174" spans="1:12" s="21" customFormat="1" ht="12" customHeight="1" x14ac:dyDescent="0.2">
      <c r="A174" s="264" t="s">
        <v>224</v>
      </c>
      <c r="B174" s="264"/>
      <c r="C174" s="22">
        <v>308</v>
      </c>
      <c r="D174" s="22">
        <v>263</v>
      </c>
      <c r="E174" s="22">
        <v>45</v>
      </c>
      <c r="F174" s="22">
        <v>33</v>
      </c>
      <c r="G174" s="22">
        <v>12</v>
      </c>
      <c r="H174" s="22">
        <v>0</v>
      </c>
      <c r="I174" s="22">
        <v>0</v>
      </c>
      <c r="J174" s="22">
        <v>0</v>
      </c>
      <c r="K174" s="22">
        <v>0</v>
      </c>
      <c r="L174" s="22">
        <v>0</v>
      </c>
    </row>
    <row r="175" spans="1:12" s="21" customFormat="1" ht="12" customHeight="1" x14ac:dyDescent="0.2">
      <c r="A175" s="264" t="s">
        <v>225</v>
      </c>
      <c r="B175" s="264"/>
      <c r="C175" s="22">
        <v>844</v>
      </c>
      <c r="D175" s="22">
        <v>548</v>
      </c>
      <c r="E175" s="22">
        <v>296</v>
      </c>
      <c r="F175" s="22">
        <v>212</v>
      </c>
      <c r="G175" s="22">
        <v>75</v>
      </c>
      <c r="H175" s="22">
        <v>3</v>
      </c>
      <c r="I175" s="22">
        <v>6</v>
      </c>
      <c r="J175" s="22">
        <v>0</v>
      </c>
      <c r="K175" s="22">
        <v>0</v>
      </c>
      <c r="L175" s="22">
        <v>0</v>
      </c>
    </row>
    <row r="176" spans="1:12" s="21" customFormat="1" ht="12" customHeight="1" x14ac:dyDescent="0.2">
      <c r="A176" s="264" t="s">
        <v>226</v>
      </c>
      <c r="B176" s="264"/>
      <c r="C176" s="22">
        <v>381</v>
      </c>
      <c r="D176" s="22">
        <v>305</v>
      </c>
      <c r="E176" s="22">
        <v>76</v>
      </c>
      <c r="F176" s="22">
        <v>51</v>
      </c>
      <c r="G176" s="22">
        <v>24</v>
      </c>
      <c r="H176" s="22">
        <v>1</v>
      </c>
      <c r="I176" s="22">
        <v>0</v>
      </c>
      <c r="J176" s="22">
        <v>0</v>
      </c>
      <c r="K176" s="22">
        <v>0</v>
      </c>
      <c r="L176" s="22">
        <v>0</v>
      </c>
    </row>
    <row r="177" spans="1:12" s="21" customFormat="1" ht="12" customHeight="1" x14ac:dyDescent="0.2">
      <c r="A177" s="266" t="s">
        <v>227</v>
      </c>
      <c r="B177" s="266"/>
      <c r="C177" s="209">
        <v>951</v>
      </c>
      <c r="D177" s="209">
        <v>731</v>
      </c>
      <c r="E177" s="209">
        <v>220</v>
      </c>
      <c r="F177" s="209">
        <v>151</v>
      </c>
      <c r="G177" s="209">
        <v>64</v>
      </c>
      <c r="H177" s="209">
        <v>1</v>
      </c>
      <c r="I177" s="209">
        <v>3</v>
      </c>
      <c r="J177" s="209">
        <v>1</v>
      </c>
      <c r="K177" s="209">
        <v>0</v>
      </c>
      <c r="L177" s="209">
        <v>0</v>
      </c>
    </row>
    <row r="178" spans="1:12" s="21" customFormat="1" ht="12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s="21" customFormat="1" ht="12" customHeight="1" x14ac:dyDescent="0.2">
      <c r="A179" s="263" t="s">
        <v>229</v>
      </c>
      <c r="B179" s="263"/>
      <c r="C179" s="20">
        <v>354023</v>
      </c>
      <c r="D179" s="20">
        <v>254597</v>
      </c>
      <c r="E179" s="20">
        <v>99426</v>
      </c>
      <c r="F179" s="20">
        <v>67842</v>
      </c>
      <c r="G179" s="20">
        <v>29218</v>
      </c>
      <c r="H179" s="20">
        <v>630</v>
      </c>
      <c r="I179" s="20">
        <v>1588</v>
      </c>
      <c r="J179" s="20">
        <v>114</v>
      </c>
      <c r="K179" s="20">
        <v>8</v>
      </c>
      <c r="L179" s="20">
        <v>26</v>
      </c>
    </row>
    <row r="180" spans="1:12" s="21" customFormat="1" ht="12" customHeight="1" x14ac:dyDescent="0.2">
      <c r="A180" s="264" t="s">
        <v>230</v>
      </c>
      <c r="B180" s="264"/>
      <c r="C180" s="22">
        <v>49796</v>
      </c>
      <c r="D180" s="22">
        <v>37151</v>
      </c>
      <c r="E180" s="22">
        <v>12645</v>
      </c>
      <c r="F180" s="22">
        <v>8155</v>
      </c>
      <c r="G180" s="22">
        <v>4150</v>
      </c>
      <c r="H180" s="22">
        <v>82</v>
      </c>
      <c r="I180" s="22">
        <v>249</v>
      </c>
      <c r="J180" s="22">
        <v>8</v>
      </c>
      <c r="K180" s="22">
        <v>1</v>
      </c>
      <c r="L180" s="22">
        <v>0</v>
      </c>
    </row>
    <row r="181" spans="1:12" s="21" customFormat="1" ht="12" customHeight="1" x14ac:dyDescent="0.2">
      <c r="A181" s="264" t="s">
        <v>231</v>
      </c>
      <c r="B181" s="264"/>
      <c r="C181" s="22">
        <v>152321</v>
      </c>
      <c r="D181" s="22">
        <v>103544</v>
      </c>
      <c r="E181" s="22">
        <v>48777</v>
      </c>
      <c r="F181" s="22">
        <v>32434</v>
      </c>
      <c r="G181" s="22">
        <v>15323</v>
      </c>
      <c r="H181" s="22">
        <v>300</v>
      </c>
      <c r="I181" s="22">
        <v>632</v>
      </c>
      <c r="J181" s="22">
        <v>56</v>
      </c>
      <c r="K181" s="22">
        <v>6</v>
      </c>
      <c r="L181" s="22">
        <v>26</v>
      </c>
    </row>
    <row r="182" spans="1:12" s="21" customFormat="1" ht="12" customHeight="1" x14ac:dyDescent="0.2">
      <c r="A182" s="264" t="s">
        <v>232</v>
      </c>
      <c r="B182" s="264"/>
      <c r="C182" s="22">
        <v>64371</v>
      </c>
      <c r="D182" s="22">
        <v>48153</v>
      </c>
      <c r="E182" s="22">
        <v>16218</v>
      </c>
      <c r="F182" s="22">
        <v>11488</v>
      </c>
      <c r="G182" s="22">
        <v>4361</v>
      </c>
      <c r="H182" s="22">
        <v>116</v>
      </c>
      <c r="I182" s="22">
        <v>221</v>
      </c>
      <c r="J182" s="22">
        <v>32</v>
      </c>
      <c r="K182" s="22">
        <v>0</v>
      </c>
      <c r="L182" s="22">
        <v>0</v>
      </c>
    </row>
    <row r="183" spans="1:12" s="21" customFormat="1" ht="12" customHeight="1" x14ac:dyDescent="0.2">
      <c r="A183" s="264" t="s">
        <v>233</v>
      </c>
      <c r="B183" s="264"/>
      <c r="C183" s="22">
        <v>5954</v>
      </c>
      <c r="D183" s="22">
        <v>5299</v>
      </c>
      <c r="E183" s="22">
        <v>655</v>
      </c>
      <c r="F183" s="22">
        <v>500</v>
      </c>
      <c r="G183" s="22">
        <v>152</v>
      </c>
      <c r="H183" s="22">
        <v>3</v>
      </c>
      <c r="I183" s="22">
        <v>0</v>
      </c>
      <c r="J183" s="22">
        <v>0</v>
      </c>
      <c r="K183" s="22">
        <v>0</v>
      </c>
      <c r="L183" s="22">
        <v>0</v>
      </c>
    </row>
    <row r="184" spans="1:12" s="21" customFormat="1" ht="12" customHeight="1" x14ac:dyDescent="0.2">
      <c r="A184" s="264" t="s">
        <v>234</v>
      </c>
      <c r="B184" s="264"/>
      <c r="C184" s="22">
        <v>57005</v>
      </c>
      <c r="D184" s="22">
        <v>41852</v>
      </c>
      <c r="E184" s="22">
        <v>15153</v>
      </c>
      <c r="F184" s="22">
        <v>10764</v>
      </c>
      <c r="G184" s="22">
        <v>3878</v>
      </c>
      <c r="H184" s="22">
        <v>84</v>
      </c>
      <c r="I184" s="22">
        <v>410</v>
      </c>
      <c r="J184" s="22">
        <v>16</v>
      </c>
      <c r="K184" s="22">
        <v>1</v>
      </c>
      <c r="L184" s="22">
        <v>0</v>
      </c>
    </row>
    <row r="185" spans="1:12" s="21" customFormat="1" ht="12" customHeight="1" x14ac:dyDescent="0.2">
      <c r="A185" s="264" t="s">
        <v>235</v>
      </c>
      <c r="B185" s="264"/>
      <c r="C185" s="22">
        <v>10298</v>
      </c>
      <c r="D185" s="22">
        <v>7023</v>
      </c>
      <c r="E185" s="22">
        <v>3275</v>
      </c>
      <c r="F185" s="22">
        <v>2544</v>
      </c>
      <c r="G185" s="22">
        <v>667</v>
      </c>
      <c r="H185" s="22">
        <v>17</v>
      </c>
      <c r="I185" s="22">
        <v>47</v>
      </c>
      <c r="J185" s="22">
        <v>0</v>
      </c>
      <c r="K185" s="22">
        <v>0</v>
      </c>
      <c r="L185" s="22">
        <v>0</v>
      </c>
    </row>
    <row r="186" spans="1:12" s="21" customFormat="1" ht="12" customHeight="1" x14ac:dyDescent="0.2">
      <c r="A186" s="264" t="s">
        <v>236</v>
      </c>
      <c r="B186" s="264"/>
      <c r="C186" s="22">
        <v>5629</v>
      </c>
      <c r="D186" s="22">
        <v>5096</v>
      </c>
      <c r="E186" s="22">
        <v>533</v>
      </c>
      <c r="F186" s="22">
        <v>375</v>
      </c>
      <c r="G186" s="22">
        <v>150</v>
      </c>
      <c r="H186" s="22">
        <v>8</v>
      </c>
      <c r="I186" s="22">
        <v>0</v>
      </c>
      <c r="J186" s="22">
        <v>0</v>
      </c>
      <c r="K186" s="22">
        <v>0</v>
      </c>
      <c r="L186" s="22">
        <v>0</v>
      </c>
    </row>
    <row r="187" spans="1:12" s="21" customFormat="1" ht="12" customHeight="1" x14ac:dyDescent="0.2">
      <c r="A187" s="267" t="s">
        <v>237</v>
      </c>
      <c r="B187" s="267"/>
      <c r="C187" s="209">
        <v>8649</v>
      </c>
      <c r="D187" s="209">
        <v>6479</v>
      </c>
      <c r="E187" s="209">
        <v>2170</v>
      </c>
      <c r="F187" s="209">
        <v>1582</v>
      </c>
      <c r="G187" s="209">
        <v>537</v>
      </c>
      <c r="H187" s="209">
        <v>20</v>
      </c>
      <c r="I187" s="209">
        <v>29</v>
      </c>
      <c r="J187" s="209">
        <v>2</v>
      </c>
      <c r="K187" s="209">
        <v>0</v>
      </c>
      <c r="L187" s="209">
        <v>0</v>
      </c>
    </row>
    <row r="188" spans="1:12" s="21" customFormat="1" ht="12" customHeight="1" x14ac:dyDescent="0.2">
      <c r="A188" s="27"/>
      <c r="B188" s="27"/>
      <c r="C188" s="44"/>
      <c r="D188" s="44"/>
      <c r="E188" s="44"/>
      <c r="F188" s="44"/>
      <c r="G188" s="44"/>
      <c r="H188" s="44"/>
      <c r="I188" s="44"/>
      <c r="J188" s="44"/>
      <c r="K188" s="44"/>
      <c r="L188" s="44"/>
    </row>
    <row r="189" spans="1:12" s="21" customFormat="1" ht="12" customHeight="1" x14ac:dyDescent="0.2">
      <c r="A189" s="263" t="s">
        <v>355</v>
      </c>
      <c r="B189" s="263"/>
      <c r="C189" s="20">
        <v>328764</v>
      </c>
      <c r="D189" s="20">
        <v>234789</v>
      </c>
      <c r="E189" s="20">
        <v>93975</v>
      </c>
      <c r="F189" s="20">
        <v>63834</v>
      </c>
      <c r="G189" s="20">
        <v>27903</v>
      </c>
      <c r="H189" s="20">
        <v>585</v>
      </c>
      <c r="I189" s="20">
        <v>1512</v>
      </c>
      <c r="J189" s="20">
        <v>107</v>
      </c>
      <c r="K189" s="20">
        <v>8</v>
      </c>
      <c r="L189" s="20">
        <v>26</v>
      </c>
    </row>
    <row r="190" spans="1:12" s="21" customFormat="1" ht="12" customHeight="1" x14ac:dyDescent="0.2">
      <c r="A190" s="264" t="s">
        <v>356</v>
      </c>
      <c r="B190" s="264"/>
      <c r="C190" s="22">
        <v>53549</v>
      </c>
      <c r="D190" s="22">
        <v>39702</v>
      </c>
      <c r="E190" s="22">
        <v>13847</v>
      </c>
      <c r="F190" s="22">
        <v>9863</v>
      </c>
      <c r="G190" s="22">
        <v>3512</v>
      </c>
      <c r="H190" s="22">
        <v>70</v>
      </c>
      <c r="I190" s="22">
        <v>385</v>
      </c>
      <c r="J190" s="22">
        <v>16</v>
      </c>
      <c r="K190" s="22">
        <v>1</v>
      </c>
      <c r="L190" s="22">
        <v>0</v>
      </c>
    </row>
    <row r="191" spans="1:12" s="21" customFormat="1" ht="12" customHeight="1" x14ac:dyDescent="0.2">
      <c r="A191" s="264" t="s">
        <v>357</v>
      </c>
      <c r="B191" s="264"/>
      <c r="C191" s="24">
        <v>50254</v>
      </c>
      <c r="D191" s="24">
        <v>37493</v>
      </c>
      <c r="E191" s="24">
        <v>12761</v>
      </c>
      <c r="F191" s="24">
        <v>8244</v>
      </c>
      <c r="G191" s="24">
        <v>4177</v>
      </c>
      <c r="H191" s="24">
        <v>82</v>
      </c>
      <c r="I191" s="24">
        <v>249</v>
      </c>
      <c r="J191" s="24">
        <v>8</v>
      </c>
      <c r="K191" s="24">
        <v>1</v>
      </c>
      <c r="L191" s="24">
        <v>0</v>
      </c>
    </row>
    <row r="192" spans="1:12" s="21" customFormat="1" ht="12" customHeight="1" x14ac:dyDescent="0.2">
      <c r="A192" s="264" t="s">
        <v>358</v>
      </c>
      <c r="B192" s="264"/>
      <c r="C192" s="22">
        <v>56314</v>
      </c>
      <c r="D192" s="22">
        <v>41984</v>
      </c>
      <c r="E192" s="22">
        <v>14330</v>
      </c>
      <c r="F192" s="22">
        <v>10234</v>
      </c>
      <c r="G192" s="22">
        <v>3782</v>
      </c>
      <c r="H192" s="22">
        <v>105</v>
      </c>
      <c r="I192" s="22">
        <v>187</v>
      </c>
      <c r="J192" s="22">
        <v>22</v>
      </c>
      <c r="K192" s="22">
        <v>0</v>
      </c>
      <c r="L192" s="22">
        <v>0</v>
      </c>
    </row>
    <row r="193" spans="1:12" s="21" customFormat="1" ht="12" customHeight="1" x14ac:dyDescent="0.2">
      <c r="A193" s="264" t="s">
        <v>359</v>
      </c>
      <c r="B193" s="264"/>
      <c r="C193" s="22">
        <v>151863</v>
      </c>
      <c r="D193" s="22">
        <v>103202</v>
      </c>
      <c r="E193" s="22">
        <v>48661</v>
      </c>
      <c r="F193" s="22">
        <v>32345</v>
      </c>
      <c r="G193" s="22">
        <v>15296</v>
      </c>
      <c r="H193" s="22">
        <v>300</v>
      </c>
      <c r="I193" s="22">
        <v>632</v>
      </c>
      <c r="J193" s="22">
        <v>56</v>
      </c>
      <c r="K193" s="22">
        <v>6</v>
      </c>
      <c r="L193" s="22">
        <v>26</v>
      </c>
    </row>
    <row r="194" spans="1:12" s="21" customFormat="1" ht="12" customHeight="1" x14ac:dyDescent="0.2">
      <c r="A194" s="210" t="s">
        <v>360</v>
      </c>
      <c r="B194" s="210"/>
      <c r="C194" s="209">
        <v>16784</v>
      </c>
      <c r="D194" s="209">
        <v>12408</v>
      </c>
      <c r="E194" s="209">
        <v>4376</v>
      </c>
      <c r="F194" s="209">
        <v>3148</v>
      </c>
      <c r="G194" s="209">
        <v>1136</v>
      </c>
      <c r="H194" s="209">
        <v>28</v>
      </c>
      <c r="I194" s="209">
        <v>59</v>
      </c>
      <c r="J194" s="209">
        <v>5</v>
      </c>
      <c r="K194" s="209">
        <v>0</v>
      </c>
      <c r="L194" s="209">
        <v>0</v>
      </c>
    </row>
    <row r="195" spans="1:12" s="21" customFormat="1" ht="12" customHeight="1" x14ac:dyDescent="0.2">
      <c r="A195" s="31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spans="1:12" s="21" customFormat="1" ht="12" customHeight="1" x14ac:dyDescent="0.2">
      <c r="A196" s="118" t="s">
        <v>361</v>
      </c>
      <c r="B196" s="118"/>
      <c r="C196" s="208">
        <v>25259</v>
      </c>
      <c r="D196" s="208">
        <v>19808</v>
      </c>
      <c r="E196" s="208">
        <v>5451</v>
      </c>
      <c r="F196" s="208">
        <v>4008</v>
      </c>
      <c r="G196" s="208">
        <v>1315</v>
      </c>
      <c r="H196" s="208">
        <v>45</v>
      </c>
      <c r="I196" s="208">
        <v>76</v>
      </c>
      <c r="J196" s="208">
        <v>7</v>
      </c>
      <c r="K196" s="208">
        <v>0</v>
      </c>
      <c r="L196" s="208">
        <v>0</v>
      </c>
    </row>
    <row r="197" spans="1:12" s="34" customFormat="1" ht="12" customHeight="1" x14ac:dyDescent="0.15"/>
    <row r="198" spans="1:12" s="36" customFormat="1" ht="12" customHeight="1" x14ac:dyDescent="0.2">
      <c r="A198" s="265" t="s">
        <v>394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</row>
    <row r="199" spans="1:12" s="36" customFormat="1" ht="12" customHeight="1" x14ac:dyDescent="0.2">
      <c r="A199" s="241" t="s">
        <v>362</v>
      </c>
      <c r="B199" s="241"/>
      <c r="C199" s="241"/>
      <c r="D199" s="241"/>
      <c r="E199" s="241"/>
      <c r="F199" s="241"/>
      <c r="G199" s="241"/>
      <c r="H199" s="241"/>
      <c r="I199" s="241"/>
      <c r="J199" s="241"/>
      <c r="K199" s="241"/>
      <c r="L199" s="241"/>
    </row>
    <row r="200" spans="1:12" s="36" customFormat="1" ht="12" customHeight="1" x14ac:dyDescent="0.2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</row>
    <row r="201" spans="1:12" ht="12" customHeight="1" x14ac:dyDescent="0.2">
      <c r="A201" s="241" t="s">
        <v>339</v>
      </c>
      <c r="B201" s="241"/>
      <c r="C201" s="241"/>
      <c r="D201" s="241"/>
      <c r="E201" s="241"/>
      <c r="F201" s="241"/>
      <c r="G201" s="241"/>
      <c r="H201" s="241"/>
      <c r="I201" s="241"/>
      <c r="J201" s="241"/>
      <c r="K201" s="241"/>
      <c r="L201" s="241"/>
    </row>
    <row r="202" spans="1:12" ht="12" customHeight="1" x14ac:dyDescent="0.2">
      <c r="A202" s="243"/>
      <c r="B202" s="243"/>
      <c r="C202" s="243"/>
      <c r="D202" s="243"/>
      <c r="E202" s="243"/>
      <c r="F202" s="243"/>
      <c r="G202" s="243"/>
      <c r="H202" s="243"/>
      <c r="I202" s="243"/>
      <c r="J202" s="243"/>
      <c r="K202" s="243"/>
      <c r="L202" s="243"/>
    </row>
    <row r="203" spans="1:12" ht="12" customHeight="1" x14ac:dyDescent="0.2">
      <c r="A203" s="241" t="s">
        <v>395</v>
      </c>
      <c r="B203" s="241"/>
      <c r="C203" s="241"/>
      <c r="D203" s="241"/>
      <c r="E203" s="241"/>
      <c r="F203" s="241"/>
      <c r="G203" s="241"/>
      <c r="H203" s="241"/>
      <c r="I203" s="241"/>
      <c r="J203" s="241"/>
      <c r="K203" s="241"/>
      <c r="L203" s="241"/>
    </row>
    <row r="204" spans="1:12" ht="12" customHeight="1" x14ac:dyDescent="0.2">
      <c r="A204" s="244" t="s">
        <v>352</v>
      </c>
      <c r="B204" s="244"/>
      <c r="C204" s="244"/>
      <c r="D204" s="244"/>
      <c r="E204" s="244"/>
      <c r="F204" s="244"/>
      <c r="G204" s="244"/>
      <c r="H204" s="244"/>
      <c r="I204" s="244"/>
      <c r="J204" s="244"/>
      <c r="K204" s="244"/>
      <c r="L204" s="244"/>
    </row>
  </sheetData>
  <mergeCells count="168">
    <mergeCell ref="A13:B13"/>
    <mergeCell ref="A24:B24"/>
    <mergeCell ref="A25:B25"/>
    <mergeCell ref="A10:B10"/>
    <mergeCell ref="A1:L1"/>
    <mergeCell ref="A2:L2"/>
    <mergeCell ref="A3:L3"/>
    <mergeCell ref="A198:L198"/>
    <mergeCell ref="A40:B40"/>
    <mergeCell ref="A43:B43"/>
    <mergeCell ref="A44:B44"/>
    <mergeCell ref="A42:B42"/>
    <mergeCell ref="A47:B47"/>
    <mergeCell ref="A26:B26"/>
    <mergeCell ref="A33:B33"/>
    <mergeCell ref="A39:B39"/>
    <mergeCell ref="A38:B38"/>
    <mergeCell ref="A60:B60"/>
    <mergeCell ref="A61:B61"/>
    <mergeCell ref="A62:B62"/>
    <mergeCell ref="A63:B63"/>
    <mergeCell ref="A64:B64"/>
    <mergeCell ref="A65:B65"/>
    <mergeCell ref="A53:B53"/>
    <mergeCell ref="A85:B85"/>
    <mergeCell ref="A86:B86"/>
    <mergeCell ref="A87:B87"/>
    <mergeCell ref="A54:B54"/>
    <mergeCell ref="A55:B55"/>
    <mergeCell ref="A58:B58"/>
    <mergeCell ref="A59:B59"/>
    <mergeCell ref="A73:B73"/>
    <mergeCell ref="A74:B74"/>
    <mergeCell ref="A75:B75"/>
    <mergeCell ref="A76:B76"/>
    <mergeCell ref="A77:B77"/>
    <mergeCell ref="A79:B79"/>
    <mergeCell ref="A80:B80"/>
    <mergeCell ref="A81:B81"/>
    <mergeCell ref="A82:B82"/>
    <mergeCell ref="A83:B83"/>
    <mergeCell ref="A84:B84"/>
    <mergeCell ref="A78:B78"/>
    <mergeCell ref="A66:B66"/>
    <mergeCell ref="A67:B67"/>
    <mergeCell ref="A68:B68"/>
    <mergeCell ref="A71:B71"/>
    <mergeCell ref="A72:B72"/>
    <mergeCell ref="A91:B91"/>
    <mergeCell ref="A92:B92"/>
    <mergeCell ref="A93:B93"/>
    <mergeCell ref="A94:B94"/>
    <mergeCell ref="A95:B95"/>
    <mergeCell ref="A96:B96"/>
    <mergeCell ref="A88:B88"/>
    <mergeCell ref="A89:B89"/>
    <mergeCell ref="A90:B90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15:B115"/>
    <mergeCell ref="A116:B116"/>
    <mergeCell ref="A117:B117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40:B140"/>
    <mergeCell ref="A143:B143"/>
    <mergeCell ref="A144:B144"/>
    <mergeCell ref="A145:B145"/>
    <mergeCell ref="A146:B146"/>
    <mergeCell ref="A147:B147"/>
    <mergeCell ref="A134:B134"/>
    <mergeCell ref="A135:B135"/>
    <mergeCell ref="A136:B136"/>
    <mergeCell ref="A137:B137"/>
    <mergeCell ref="A155:B155"/>
    <mergeCell ref="A156:B156"/>
    <mergeCell ref="A158:B158"/>
    <mergeCell ref="A159:B159"/>
    <mergeCell ref="A160:B160"/>
    <mergeCell ref="A148:B148"/>
    <mergeCell ref="A150:B150"/>
    <mergeCell ref="A151:B151"/>
    <mergeCell ref="A153:B153"/>
    <mergeCell ref="A154:B154"/>
    <mergeCell ref="A152:B152"/>
    <mergeCell ref="A170:B170"/>
    <mergeCell ref="A171:B171"/>
    <mergeCell ref="A172:B172"/>
    <mergeCell ref="A173:B173"/>
    <mergeCell ref="A174:B174"/>
    <mergeCell ref="A175:B175"/>
    <mergeCell ref="A162:B162"/>
    <mergeCell ref="A163:B163"/>
    <mergeCell ref="A165:B165"/>
    <mergeCell ref="A167:B167"/>
    <mergeCell ref="A168:B168"/>
    <mergeCell ref="A164:B164"/>
    <mergeCell ref="A183:B183"/>
    <mergeCell ref="A184:B184"/>
    <mergeCell ref="A185:B185"/>
    <mergeCell ref="A186:B186"/>
    <mergeCell ref="A187:B187"/>
    <mergeCell ref="A176:B176"/>
    <mergeCell ref="A177:B177"/>
    <mergeCell ref="A179:B179"/>
    <mergeCell ref="A180:B180"/>
    <mergeCell ref="A182:B182"/>
    <mergeCell ref="A200:L200"/>
    <mergeCell ref="A201:L201"/>
    <mergeCell ref="A202:L202"/>
    <mergeCell ref="A203:L203"/>
    <mergeCell ref="A204:L204"/>
    <mergeCell ref="A189:B189"/>
    <mergeCell ref="A190:B190"/>
    <mergeCell ref="A192:B192"/>
    <mergeCell ref="A193:B193"/>
    <mergeCell ref="A8:B8"/>
    <mergeCell ref="A9:B9"/>
    <mergeCell ref="A199:L199"/>
    <mergeCell ref="A4:L4"/>
    <mergeCell ref="A5:B5"/>
    <mergeCell ref="E5:L5"/>
    <mergeCell ref="A6:B6"/>
    <mergeCell ref="E6:L6"/>
    <mergeCell ref="A7:B7"/>
    <mergeCell ref="A169:B169"/>
    <mergeCell ref="A181:B181"/>
    <mergeCell ref="A191:B191"/>
    <mergeCell ref="A52:B52"/>
    <mergeCell ref="A57:B57"/>
    <mergeCell ref="A70:B70"/>
    <mergeCell ref="A121:B121"/>
    <mergeCell ref="A141:B141"/>
    <mergeCell ref="A142:B142"/>
    <mergeCell ref="A12:B12"/>
    <mergeCell ref="A17:B17"/>
    <mergeCell ref="A21:B21"/>
    <mergeCell ref="A23:B23"/>
    <mergeCell ref="A29:B29"/>
    <mergeCell ref="A32:B32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19"/>
  <dimension ref="A1:K206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customHeight="1" x14ac:dyDescent="0.2"/>
  <cols>
    <col min="1" max="1" width="1.7109375" style="205" customWidth="1"/>
    <col min="2" max="2" width="28.140625" style="205" customWidth="1"/>
    <col min="3" max="3" width="11.7109375" style="206" customWidth="1"/>
    <col min="4" max="11" width="11.7109375" style="205" customWidth="1"/>
    <col min="12" max="16384" width="9.140625" style="205"/>
  </cols>
  <sheetData>
    <row r="1" spans="1:11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1" s="212" customFormat="1" ht="12" customHeight="1" x14ac:dyDescent="0.2">
      <c r="A2" s="248" t="s">
        <v>391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11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</row>
    <row r="4" spans="1:11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</row>
    <row r="5" spans="1:11" s="178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74"/>
    </row>
    <row r="6" spans="1:11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</row>
    <row r="7" spans="1:11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08"/>
    </row>
    <row r="8" spans="1:11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4</v>
      </c>
    </row>
    <row r="9" spans="1:11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8</v>
      </c>
    </row>
    <row r="10" spans="1:11" s="180" customFormat="1" ht="12" customHeight="1" x14ac:dyDescent="0.2">
      <c r="A10" s="277" t="s">
        <v>10</v>
      </c>
      <c r="B10" s="277"/>
      <c r="C10" s="213">
        <v>352181</v>
      </c>
      <c r="D10" s="213">
        <v>254310</v>
      </c>
      <c r="E10" s="213">
        <v>97871</v>
      </c>
      <c r="F10" s="213">
        <v>68237</v>
      </c>
      <c r="G10" s="213">
        <v>27300</v>
      </c>
      <c r="H10" s="213">
        <v>566</v>
      </c>
      <c r="I10" s="213">
        <v>1625</v>
      </c>
      <c r="J10" s="213">
        <v>119</v>
      </c>
      <c r="K10" s="213">
        <v>24</v>
      </c>
    </row>
    <row r="11" spans="1:11" s="180" customFormat="1" ht="12" customHeight="1" x14ac:dyDescent="0.2">
      <c r="A11" s="181"/>
      <c r="B11" s="181"/>
      <c r="C11" s="182"/>
      <c r="D11" s="182"/>
      <c r="E11" s="182"/>
      <c r="F11" s="182"/>
      <c r="G11" s="182"/>
      <c r="H11" s="182"/>
      <c r="I11" s="182"/>
      <c r="J11" s="182"/>
      <c r="K11" s="182"/>
    </row>
    <row r="12" spans="1:11" s="184" customFormat="1" ht="12" customHeight="1" x14ac:dyDescent="0.2">
      <c r="A12" s="276" t="s">
        <v>11</v>
      </c>
      <c r="B12" s="276"/>
      <c r="C12" s="183">
        <v>24706</v>
      </c>
      <c r="D12" s="183">
        <v>18651</v>
      </c>
      <c r="E12" s="183">
        <v>6055</v>
      </c>
      <c r="F12" s="183">
        <v>4613</v>
      </c>
      <c r="G12" s="183">
        <v>1282</v>
      </c>
      <c r="H12" s="183">
        <v>49</v>
      </c>
      <c r="I12" s="183">
        <v>105</v>
      </c>
      <c r="J12" s="183">
        <v>6</v>
      </c>
      <c r="K12" s="183">
        <v>0</v>
      </c>
    </row>
    <row r="13" spans="1:11" s="186" customFormat="1" ht="12" customHeight="1" x14ac:dyDescent="0.2">
      <c r="A13" s="275" t="s">
        <v>12</v>
      </c>
      <c r="B13" s="275"/>
      <c r="C13" s="185">
        <v>8718</v>
      </c>
      <c r="D13" s="185">
        <v>6532</v>
      </c>
      <c r="E13" s="185">
        <v>2186</v>
      </c>
      <c r="F13" s="185">
        <v>1604</v>
      </c>
      <c r="G13" s="185">
        <v>509</v>
      </c>
      <c r="H13" s="185">
        <v>30</v>
      </c>
      <c r="I13" s="185">
        <v>37</v>
      </c>
      <c r="J13" s="185">
        <v>6</v>
      </c>
      <c r="K13" s="185">
        <v>0</v>
      </c>
    </row>
    <row r="14" spans="1:11" s="186" customFormat="1" ht="12" customHeight="1" x14ac:dyDescent="0.2">
      <c r="A14" s="187"/>
      <c r="B14" s="188" t="s">
        <v>13</v>
      </c>
      <c r="C14" s="185">
        <v>3060</v>
      </c>
      <c r="D14" s="185">
        <v>2395</v>
      </c>
      <c r="E14" s="185">
        <v>665</v>
      </c>
      <c r="F14" s="185">
        <v>458</v>
      </c>
      <c r="G14" s="185">
        <v>185</v>
      </c>
      <c r="H14" s="185">
        <v>17</v>
      </c>
      <c r="I14" s="185">
        <v>5</v>
      </c>
      <c r="J14" s="185">
        <v>0</v>
      </c>
      <c r="K14" s="185">
        <v>0</v>
      </c>
    </row>
    <row r="15" spans="1:11" s="186" customFormat="1" ht="12" customHeight="1" x14ac:dyDescent="0.2">
      <c r="A15" s="187"/>
      <c r="B15" s="188" t="s">
        <v>14</v>
      </c>
      <c r="C15" s="185">
        <v>2789</v>
      </c>
      <c r="D15" s="185">
        <v>2225</v>
      </c>
      <c r="E15" s="185">
        <v>564</v>
      </c>
      <c r="F15" s="185">
        <v>460</v>
      </c>
      <c r="G15" s="185">
        <v>102</v>
      </c>
      <c r="H15" s="185">
        <v>2</v>
      </c>
      <c r="I15" s="185">
        <v>0</v>
      </c>
      <c r="J15" s="185">
        <v>0</v>
      </c>
      <c r="K15" s="185">
        <v>0</v>
      </c>
    </row>
    <row r="16" spans="1:11" s="186" customFormat="1" ht="12" customHeight="1" x14ac:dyDescent="0.2">
      <c r="A16" s="187"/>
      <c r="B16" s="189" t="s">
        <v>15</v>
      </c>
      <c r="C16" s="185">
        <v>2869</v>
      </c>
      <c r="D16" s="185">
        <v>1912</v>
      </c>
      <c r="E16" s="185">
        <v>957</v>
      </c>
      <c r="F16" s="185">
        <v>686</v>
      </c>
      <c r="G16" s="185">
        <v>222</v>
      </c>
      <c r="H16" s="185">
        <v>11</v>
      </c>
      <c r="I16" s="185">
        <v>32</v>
      </c>
      <c r="J16" s="185">
        <v>6</v>
      </c>
      <c r="K16" s="185">
        <v>0</v>
      </c>
    </row>
    <row r="17" spans="1:11" s="186" customFormat="1" ht="12" customHeight="1" x14ac:dyDescent="0.2">
      <c r="A17" s="275" t="s">
        <v>16</v>
      </c>
      <c r="B17" s="275"/>
      <c r="C17" s="185">
        <v>5634</v>
      </c>
      <c r="D17" s="185">
        <v>5085</v>
      </c>
      <c r="E17" s="185">
        <v>549</v>
      </c>
      <c r="F17" s="185">
        <v>391</v>
      </c>
      <c r="G17" s="185">
        <v>156</v>
      </c>
      <c r="H17" s="185">
        <v>2</v>
      </c>
      <c r="I17" s="185">
        <v>0</v>
      </c>
      <c r="J17" s="185">
        <v>0</v>
      </c>
      <c r="K17" s="185">
        <v>0</v>
      </c>
    </row>
    <row r="18" spans="1:11" s="186" customFormat="1" ht="12" customHeight="1" x14ac:dyDescent="0.2">
      <c r="A18" s="187"/>
      <c r="B18" s="188" t="s">
        <v>17</v>
      </c>
      <c r="C18" s="185">
        <v>1752</v>
      </c>
      <c r="D18" s="185">
        <v>1630</v>
      </c>
      <c r="E18" s="185">
        <v>122</v>
      </c>
      <c r="F18" s="185">
        <v>81</v>
      </c>
      <c r="G18" s="185">
        <v>40</v>
      </c>
      <c r="H18" s="185">
        <v>1</v>
      </c>
      <c r="I18" s="185">
        <v>0</v>
      </c>
      <c r="J18" s="185">
        <v>0</v>
      </c>
      <c r="K18" s="185">
        <v>0</v>
      </c>
    </row>
    <row r="19" spans="1:11" s="186" customFormat="1" ht="12" customHeight="1" x14ac:dyDescent="0.2">
      <c r="A19" s="187"/>
      <c r="B19" s="188" t="s">
        <v>18</v>
      </c>
      <c r="C19" s="185">
        <v>1827</v>
      </c>
      <c r="D19" s="185">
        <v>1595</v>
      </c>
      <c r="E19" s="185">
        <v>232</v>
      </c>
      <c r="F19" s="185">
        <v>172</v>
      </c>
      <c r="G19" s="185">
        <v>59</v>
      </c>
      <c r="H19" s="185">
        <v>1</v>
      </c>
      <c r="I19" s="185">
        <v>0</v>
      </c>
      <c r="J19" s="185">
        <v>0</v>
      </c>
      <c r="K19" s="185">
        <v>0</v>
      </c>
    </row>
    <row r="20" spans="1:11" s="186" customFormat="1" ht="12" customHeight="1" x14ac:dyDescent="0.2">
      <c r="A20" s="190"/>
      <c r="B20" s="188" t="s">
        <v>19</v>
      </c>
      <c r="C20" s="185">
        <v>2055</v>
      </c>
      <c r="D20" s="185">
        <v>1860</v>
      </c>
      <c r="E20" s="185">
        <v>195</v>
      </c>
      <c r="F20" s="185">
        <v>138</v>
      </c>
      <c r="G20" s="185">
        <v>57</v>
      </c>
      <c r="H20" s="185">
        <v>0</v>
      </c>
      <c r="I20" s="185">
        <v>0</v>
      </c>
      <c r="J20" s="185">
        <v>0</v>
      </c>
      <c r="K20" s="185">
        <v>0</v>
      </c>
    </row>
    <row r="21" spans="1:11" s="186" customFormat="1" ht="12" customHeight="1" x14ac:dyDescent="0.2">
      <c r="A21" s="278" t="s">
        <v>20</v>
      </c>
      <c r="B21" s="278"/>
      <c r="C21" s="196">
        <v>10354</v>
      </c>
      <c r="D21" s="196">
        <v>7034</v>
      </c>
      <c r="E21" s="196">
        <v>3320</v>
      </c>
      <c r="F21" s="196">
        <v>2618</v>
      </c>
      <c r="G21" s="196">
        <v>617</v>
      </c>
      <c r="H21" s="196">
        <v>17</v>
      </c>
      <c r="I21" s="196">
        <v>68</v>
      </c>
      <c r="J21" s="196">
        <v>0</v>
      </c>
      <c r="K21" s="196">
        <v>0</v>
      </c>
    </row>
    <row r="22" spans="1:11" s="186" customFormat="1" ht="12" customHeight="1" x14ac:dyDescent="0.2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</row>
    <row r="23" spans="1:11" s="184" customFormat="1" ht="12" customHeight="1" x14ac:dyDescent="0.2">
      <c r="A23" s="276" t="s">
        <v>342</v>
      </c>
      <c r="B23" s="276"/>
      <c r="C23" s="183">
        <v>70084</v>
      </c>
      <c r="D23" s="183">
        <v>53429</v>
      </c>
      <c r="E23" s="183">
        <v>16655</v>
      </c>
      <c r="F23" s="183">
        <v>12037</v>
      </c>
      <c r="G23" s="183">
        <v>4252</v>
      </c>
      <c r="H23" s="183">
        <v>117</v>
      </c>
      <c r="I23" s="183">
        <v>231</v>
      </c>
      <c r="J23" s="183">
        <v>18</v>
      </c>
      <c r="K23" s="183">
        <v>0</v>
      </c>
    </row>
    <row r="24" spans="1:11" s="186" customFormat="1" ht="12" customHeight="1" x14ac:dyDescent="0.2">
      <c r="A24" s="275" t="s">
        <v>22</v>
      </c>
      <c r="B24" s="275"/>
      <c r="C24" s="185">
        <v>41563</v>
      </c>
      <c r="D24" s="185">
        <v>29648</v>
      </c>
      <c r="E24" s="185">
        <v>11915</v>
      </c>
      <c r="F24" s="185">
        <v>8503</v>
      </c>
      <c r="G24" s="185">
        <v>3147</v>
      </c>
      <c r="H24" s="185">
        <v>91</v>
      </c>
      <c r="I24" s="185">
        <v>160</v>
      </c>
      <c r="J24" s="185">
        <v>14</v>
      </c>
      <c r="K24" s="185">
        <v>0</v>
      </c>
    </row>
    <row r="25" spans="1:11" s="186" customFormat="1" ht="12" customHeight="1" x14ac:dyDescent="0.2">
      <c r="A25" s="275" t="s">
        <v>23</v>
      </c>
      <c r="B25" s="275"/>
      <c r="C25" s="185">
        <v>5115</v>
      </c>
      <c r="D25" s="185">
        <v>3994</v>
      </c>
      <c r="E25" s="185">
        <v>1121</v>
      </c>
      <c r="F25" s="185">
        <v>809</v>
      </c>
      <c r="G25" s="185">
        <v>303</v>
      </c>
      <c r="H25" s="185">
        <v>3</v>
      </c>
      <c r="I25" s="185">
        <v>6</v>
      </c>
      <c r="J25" s="185">
        <v>0</v>
      </c>
      <c r="K25" s="185">
        <v>0</v>
      </c>
    </row>
    <row r="26" spans="1:11" s="186" customFormat="1" ht="12" customHeight="1" x14ac:dyDescent="0.2">
      <c r="A26" s="275" t="s">
        <v>24</v>
      </c>
      <c r="B26" s="275"/>
      <c r="C26" s="185">
        <v>13013</v>
      </c>
      <c r="D26" s="185">
        <v>10519</v>
      </c>
      <c r="E26" s="185">
        <v>2494</v>
      </c>
      <c r="F26" s="185">
        <v>1858</v>
      </c>
      <c r="G26" s="185">
        <v>553</v>
      </c>
      <c r="H26" s="185">
        <v>14</v>
      </c>
      <c r="I26" s="185">
        <v>65</v>
      </c>
      <c r="J26" s="185">
        <v>4</v>
      </c>
      <c r="K26" s="185">
        <v>0</v>
      </c>
    </row>
    <row r="27" spans="1:11" s="186" customFormat="1" ht="12" customHeight="1" x14ac:dyDescent="0.2">
      <c r="A27" s="214"/>
      <c r="B27" s="188" t="s">
        <v>25</v>
      </c>
      <c r="C27" s="185">
        <v>986</v>
      </c>
      <c r="D27" s="185">
        <v>926</v>
      </c>
      <c r="E27" s="185">
        <v>60</v>
      </c>
      <c r="F27" s="185">
        <v>43</v>
      </c>
      <c r="G27" s="185">
        <v>17</v>
      </c>
      <c r="H27" s="185">
        <v>0</v>
      </c>
      <c r="I27" s="185">
        <v>0</v>
      </c>
      <c r="J27" s="185">
        <v>0</v>
      </c>
      <c r="K27" s="185">
        <v>0</v>
      </c>
    </row>
    <row r="28" spans="1:11" s="186" customFormat="1" ht="12" customHeight="1" x14ac:dyDescent="0.2">
      <c r="A28" s="190"/>
      <c r="B28" s="188" t="s">
        <v>26</v>
      </c>
      <c r="C28" s="185">
        <v>12027</v>
      </c>
      <c r="D28" s="185">
        <v>9593</v>
      </c>
      <c r="E28" s="185">
        <v>2434</v>
      </c>
      <c r="F28" s="185">
        <v>1815</v>
      </c>
      <c r="G28" s="185">
        <v>536</v>
      </c>
      <c r="H28" s="185">
        <v>14</v>
      </c>
      <c r="I28" s="185">
        <v>65</v>
      </c>
      <c r="J28" s="185">
        <v>4</v>
      </c>
      <c r="K28" s="185">
        <v>0</v>
      </c>
    </row>
    <row r="29" spans="1:11" s="186" customFormat="1" ht="12" customHeight="1" x14ac:dyDescent="0.2">
      <c r="A29" s="275" t="s">
        <v>27</v>
      </c>
      <c r="B29" s="275"/>
      <c r="C29" s="185">
        <v>3786</v>
      </c>
      <c r="D29" s="185">
        <v>3348</v>
      </c>
      <c r="E29" s="185">
        <v>438</v>
      </c>
      <c r="F29" s="185">
        <v>335</v>
      </c>
      <c r="G29" s="185">
        <v>99</v>
      </c>
      <c r="H29" s="185">
        <v>4</v>
      </c>
      <c r="I29" s="185">
        <v>0</v>
      </c>
      <c r="J29" s="185">
        <v>0</v>
      </c>
      <c r="K29" s="185">
        <v>0</v>
      </c>
    </row>
    <row r="30" spans="1:11" s="186" customFormat="1" ht="12" customHeight="1" x14ac:dyDescent="0.2">
      <c r="A30" s="214"/>
      <c r="B30" s="188" t="s">
        <v>28</v>
      </c>
      <c r="C30" s="185">
        <v>1107</v>
      </c>
      <c r="D30" s="185">
        <v>997</v>
      </c>
      <c r="E30" s="185">
        <v>110</v>
      </c>
      <c r="F30" s="185">
        <v>91</v>
      </c>
      <c r="G30" s="185">
        <v>19</v>
      </c>
      <c r="H30" s="185">
        <v>0</v>
      </c>
      <c r="I30" s="185">
        <v>0</v>
      </c>
      <c r="J30" s="185">
        <v>0</v>
      </c>
      <c r="K30" s="185">
        <v>0</v>
      </c>
    </row>
    <row r="31" spans="1:11" s="186" customFormat="1" ht="12" customHeight="1" x14ac:dyDescent="0.2">
      <c r="A31" s="190"/>
      <c r="B31" s="188" t="s">
        <v>29</v>
      </c>
      <c r="C31" s="185">
        <v>2679</v>
      </c>
      <c r="D31" s="185">
        <v>2351</v>
      </c>
      <c r="E31" s="185">
        <v>328</v>
      </c>
      <c r="F31" s="185">
        <v>244</v>
      </c>
      <c r="G31" s="185">
        <v>80</v>
      </c>
      <c r="H31" s="185">
        <v>4</v>
      </c>
      <c r="I31" s="185">
        <v>0</v>
      </c>
      <c r="J31" s="185">
        <v>0</v>
      </c>
      <c r="K31" s="185">
        <v>0</v>
      </c>
    </row>
    <row r="32" spans="1:11" s="186" customFormat="1" ht="12" customHeight="1" x14ac:dyDescent="0.2">
      <c r="A32" s="275" t="s">
        <v>30</v>
      </c>
      <c r="B32" s="275"/>
      <c r="C32" s="185">
        <v>682</v>
      </c>
      <c r="D32" s="185">
        <v>630</v>
      </c>
      <c r="E32" s="185">
        <v>52</v>
      </c>
      <c r="F32" s="185">
        <v>40</v>
      </c>
      <c r="G32" s="185">
        <v>11</v>
      </c>
      <c r="H32" s="185">
        <v>1</v>
      </c>
      <c r="I32" s="185">
        <v>0</v>
      </c>
      <c r="J32" s="185">
        <v>0</v>
      </c>
      <c r="K32" s="185">
        <v>0</v>
      </c>
    </row>
    <row r="33" spans="1:11" s="186" customFormat="1" ht="12" customHeight="1" x14ac:dyDescent="0.2">
      <c r="A33" s="275" t="s">
        <v>343</v>
      </c>
      <c r="B33" s="275"/>
      <c r="C33" s="185">
        <v>5925</v>
      </c>
      <c r="D33" s="185">
        <v>5290</v>
      </c>
      <c r="E33" s="185">
        <v>635</v>
      </c>
      <c r="F33" s="185">
        <v>492</v>
      </c>
      <c r="G33" s="185">
        <v>139</v>
      </c>
      <c r="H33" s="185">
        <v>4</v>
      </c>
      <c r="I33" s="185">
        <v>0</v>
      </c>
      <c r="J33" s="185">
        <v>0</v>
      </c>
      <c r="K33" s="185">
        <v>0</v>
      </c>
    </row>
    <row r="34" spans="1:11" s="186" customFormat="1" ht="12" customHeight="1" x14ac:dyDescent="0.2">
      <c r="A34" s="214"/>
      <c r="B34" s="188" t="s">
        <v>32</v>
      </c>
      <c r="C34" s="185">
        <v>497</v>
      </c>
      <c r="D34" s="185">
        <v>458</v>
      </c>
      <c r="E34" s="185">
        <v>39</v>
      </c>
      <c r="F34" s="185">
        <v>28</v>
      </c>
      <c r="G34" s="185">
        <v>11</v>
      </c>
      <c r="H34" s="185">
        <v>0</v>
      </c>
      <c r="I34" s="185">
        <v>0</v>
      </c>
      <c r="J34" s="185">
        <v>0</v>
      </c>
      <c r="K34" s="185">
        <v>0</v>
      </c>
    </row>
    <row r="35" spans="1:11" s="186" customFormat="1" ht="12" customHeight="1" x14ac:dyDescent="0.2">
      <c r="A35" s="187"/>
      <c r="B35" s="188" t="s">
        <v>33</v>
      </c>
      <c r="C35" s="185">
        <v>183</v>
      </c>
      <c r="D35" s="185">
        <v>161</v>
      </c>
      <c r="E35" s="185">
        <v>22</v>
      </c>
      <c r="F35" s="185">
        <v>15</v>
      </c>
      <c r="G35" s="185">
        <v>7</v>
      </c>
      <c r="H35" s="185">
        <v>0</v>
      </c>
      <c r="I35" s="185">
        <v>0</v>
      </c>
      <c r="J35" s="185">
        <v>0</v>
      </c>
      <c r="K35" s="185">
        <v>0</v>
      </c>
    </row>
    <row r="36" spans="1:11" s="186" customFormat="1" ht="12" customHeight="1" x14ac:dyDescent="0.2">
      <c r="A36" s="187"/>
      <c r="B36" s="193" t="s">
        <v>344</v>
      </c>
      <c r="C36" s="196">
        <v>5245</v>
      </c>
      <c r="D36" s="196">
        <v>4671</v>
      </c>
      <c r="E36" s="196">
        <v>574</v>
      </c>
      <c r="F36" s="196">
        <v>449</v>
      </c>
      <c r="G36" s="196">
        <v>121</v>
      </c>
      <c r="H36" s="196">
        <v>4</v>
      </c>
      <c r="I36" s="196">
        <v>0</v>
      </c>
      <c r="J36" s="196">
        <v>0</v>
      </c>
      <c r="K36" s="196">
        <v>0</v>
      </c>
    </row>
    <row r="37" spans="1:11" s="186" customFormat="1" ht="12" customHeight="1" x14ac:dyDescent="0.2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</row>
    <row r="38" spans="1:11" s="184" customFormat="1" ht="12" customHeight="1" x14ac:dyDescent="0.2">
      <c r="A38" s="276" t="s">
        <v>35</v>
      </c>
      <c r="B38" s="276"/>
      <c r="C38" s="183">
        <v>55987</v>
      </c>
      <c r="D38" s="183">
        <v>41179</v>
      </c>
      <c r="E38" s="183">
        <v>14808</v>
      </c>
      <c r="F38" s="183">
        <v>10760</v>
      </c>
      <c r="G38" s="183">
        <v>3537</v>
      </c>
      <c r="H38" s="183">
        <v>89</v>
      </c>
      <c r="I38" s="183">
        <v>404</v>
      </c>
      <c r="J38" s="183">
        <v>18</v>
      </c>
      <c r="K38" s="183">
        <v>0</v>
      </c>
    </row>
    <row r="39" spans="1:11" s="186" customFormat="1" ht="12" customHeight="1" x14ac:dyDescent="0.2">
      <c r="A39" s="275" t="s">
        <v>36</v>
      </c>
      <c r="B39" s="275"/>
      <c r="C39" s="185">
        <v>50407</v>
      </c>
      <c r="D39" s="185">
        <v>37517</v>
      </c>
      <c r="E39" s="185">
        <v>12890</v>
      </c>
      <c r="F39" s="185">
        <v>9346</v>
      </c>
      <c r="G39" s="185">
        <v>3111</v>
      </c>
      <c r="H39" s="185">
        <v>70</v>
      </c>
      <c r="I39" s="185">
        <v>345</v>
      </c>
      <c r="J39" s="185">
        <v>18</v>
      </c>
      <c r="K39" s="185">
        <v>0</v>
      </c>
    </row>
    <row r="40" spans="1:11" s="186" customFormat="1" ht="12" customHeight="1" x14ac:dyDescent="0.2">
      <c r="A40" s="278" t="s">
        <v>37</v>
      </c>
      <c r="B40" s="278"/>
      <c r="C40" s="196">
        <v>5580</v>
      </c>
      <c r="D40" s="196">
        <v>3662</v>
      </c>
      <c r="E40" s="196">
        <v>1918</v>
      </c>
      <c r="F40" s="196">
        <v>1414</v>
      </c>
      <c r="G40" s="196">
        <v>426</v>
      </c>
      <c r="H40" s="196">
        <v>19</v>
      </c>
      <c r="I40" s="196">
        <v>59</v>
      </c>
      <c r="J40" s="196">
        <v>0</v>
      </c>
      <c r="K40" s="196">
        <v>0</v>
      </c>
    </row>
    <row r="41" spans="1:11" s="186" customFormat="1" ht="12" customHeight="1" x14ac:dyDescent="0.2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</row>
    <row r="42" spans="1:11" s="184" customFormat="1" ht="12" customHeight="1" x14ac:dyDescent="0.2">
      <c r="A42" s="276" t="s">
        <v>38</v>
      </c>
      <c r="B42" s="276"/>
      <c r="C42" s="183">
        <v>146231</v>
      </c>
      <c r="D42" s="183">
        <v>99837</v>
      </c>
      <c r="E42" s="183">
        <v>46394</v>
      </c>
      <c r="F42" s="183">
        <v>31582</v>
      </c>
      <c r="G42" s="183">
        <v>13839</v>
      </c>
      <c r="H42" s="183">
        <v>246</v>
      </c>
      <c r="I42" s="183">
        <v>636</v>
      </c>
      <c r="J42" s="183">
        <v>67</v>
      </c>
      <c r="K42" s="183">
        <v>24</v>
      </c>
    </row>
    <row r="43" spans="1:11" s="186" customFormat="1" ht="12" customHeight="1" x14ac:dyDescent="0.2">
      <c r="A43" s="275" t="s">
        <v>39</v>
      </c>
      <c r="B43" s="275"/>
      <c r="C43" s="185">
        <v>98821</v>
      </c>
      <c r="D43" s="185">
        <v>61973</v>
      </c>
      <c r="E43" s="185">
        <v>36848</v>
      </c>
      <c r="F43" s="185">
        <v>24430</v>
      </c>
      <c r="G43" s="185">
        <v>11547</v>
      </c>
      <c r="H43" s="185">
        <v>213</v>
      </c>
      <c r="I43" s="185">
        <v>571</v>
      </c>
      <c r="J43" s="185">
        <v>63</v>
      </c>
      <c r="K43" s="185">
        <v>24</v>
      </c>
    </row>
    <row r="44" spans="1:11" s="186" customFormat="1" ht="12" customHeight="1" x14ac:dyDescent="0.2">
      <c r="A44" s="279" t="s">
        <v>40</v>
      </c>
      <c r="B44" s="279"/>
      <c r="C44" s="185">
        <v>23773</v>
      </c>
      <c r="D44" s="185">
        <v>19747</v>
      </c>
      <c r="E44" s="185">
        <v>4026</v>
      </c>
      <c r="F44" s="185">
        <v>3070</v>
      </c>
      <c r="G44" s="185">
        <v>926</v>
      </c>
      <c r="H44" s="185">
        <v>7</v>
      </c>
      <c r="I44" s="185">
        <v>23</v>
      </c>
      <c r="J44" s="185">
        <v>0</v>
      </c>
      <c r="K44" s="185">
        <v>0</v>
      </c>
    </row>
    <row r="45" spans="1:11" s="186" customFormat="1" ht="12" customHeight="1" x14ac:dyDescent="0.2">
      <c r="A45" s="193"/>
      <c r="B45" s="188" t="s">
        <v>41</v>
      </c>
      <c r="C45" s="185">
        <v>13605</v>
      </c>
      <c r="D45" s="185">
        <v>10908</v>
      </c>
      <c r="E45" s="185">
        <v>2697</v>
      </c>
      <c r="F45" s="185">
        <v>2072</v>
      </c>
      <c r="G45" s="185">
        <v>598</v>
      </c>
      <c r="H45" s="185">
        <v>4</v>
      </c>
      <c r="I45" s="185">
        <v>23</v>
      </c>
      <c r="J45" s="185">
        <v>0</v>
      </c>
      <c r="K45" s="185">
        <v>0</v>
      </c>
    </row>
    <row r="46" spans="1:11" s="186" customFormat="1" ht="12" customHeight="1" x14ac:dyDescent="0.2">
      <c r="A46" s="193"/>
      <c r="B46" s="188" t="s">
        <v>42</v>
      </c>
      <c r="C46" s="185">
        <v>10168</v>
      </c>
      <c r="D46" s="185">
        <v>8839</v>
      </c>
      <c r="E46" s="185">
        <v>1329</v>
      </c>
      <c r="F46" s="185">
        <v>998</v>
      </c>
      <c r="G46" s="185">
        <v>328</v>
      </c>
      <c r="H46" s="185">
        <v>3</v>
      </c>
      <c r="I46" s="185">
        <v>0</v>
      </c>
      <c r="J46" s="185">
        <v>0</v>
      </c>
      <c r="K46" s="185">
        <v>0</v>
      </c>
    </row>
    <row r="47" spans="1:11" s="186" customFormat="1" ht="12" customHeight="1" x14ac:dyDescent="0.2">
      <c r="A47" s="275" t="s">
        <v>44</v>
      </c>
      <c r="B47" s="275"/>
      <c r="C47" s="185">
        <v>23637</v>
      </c>
      <c r="D47" s="185">
        <v>18117</v>
      </c>
      <c r="E47" s="185">
        <v>5520</v>
      </c>
      <c r="F47" s="185">
        <v>4082</v>
      </c>
      <c r="G47" s="185">
        <v>1366</v>
      </c>
      <c r="H47" s="185">
        <v>26</v>
      </c>
      <c r="I47" s="185">
        <v>42</v>
      </c>
      <c r="J47" s="185">
        <v>4</v>
      </c>
      <c r="K47" s="185">
        <v>0</v>
      </c>
    </row>
    <row r="48" spans="1:11" s="186" customFormat="1" ht="12" customHeight="1" x14ac:dyDescent="0.2">
      <c r="A48" s="193"/>
      <c r="B48" s="188" t="s">
        <v>45</v>
      </c>
      <c r="C48" s="185">
        <v>2819</v>
      </c>
      <c r="D48" s="185">
        <v>2460</v>
      </c>
      <c r="E48" s="185">
        <v>359</v>
      </c>
      <c r="F48" s="185">
        <v>281</v>
      </c>
      <c r="G48" s="185">
        <v>75</v>
      </c>
      <c r="H48" s="185">
        <v>2</v>
      </c>
      <c r="I48" s="185">
        <v>1</v>
      </c>
      <c r="J48" s="185">
        <v>0</v>
      </c>
      <c r="K48" s="185">
        <v>0</v>
      </c>
    </row>
    <row r="49" spans="1:11" s="186" customFormat="1" ht="12" customHeight="1" x14ac:dyDescent="0.2">
      <c r="A49" s="193"/>
      <c r="B49" s="188" t="s">
        <v>46</v>
      </c>
      <c r="C49" s="185">
        <v>6835</v>
      </c>
      <c r="D49" s="185">
        <v>5477</v>
      </c>
      <c r="E49" s="185">
        <v>1358</v>
      </c>
      <c r="F49" s="185">
        <v>986</v>
      </c>
      <c r="G49" s="185">
        <v>365</v>
      </c>
      <c r="H49" s="185">
        <v>4</v>
      </c>
      <c r="I49" s="185">
        <v>3</v>
      </c>
      <c r="J49" s="185">
        <v>0</v>
      </c>
      <c r="K49" s="185">
        <v>0</v>
      </c>
    </row>
    <row r="50" spans="1:11" s="186" customFormat="1" ht="12" customHeight="1" x14ac:dyDescent="0.2">
      <c r="A50" s="193"/>
      <c r="B50" s="193" t="s">
        <v>47</v>
      </c>
      <c r="C50" s="196">
        <v>13983</v>
      </c>
      <c r="D50" s="196">
        <v>10180</v>
      </c>
      <c r="E50" s="196">
        <v>3803</v>
      </c>
      <c r="F50" s="196">
        <v>2815</v>
      </c>
      <c r="G50" s="196">
        <v>926</v>
      </c>
      <c r="H50" s="196">
        <v>20</v>
      </c>
      <c r="I50" s="196">
        <v>38</v>
      </c>
      <c r="J50" s="196">
        <v>4</v>
      </c>
      <c r="K50" s="196">
        <v>0</v>
      </c>
    </row>
    <row r="51" spans="1:11" s="186" customFormat="1" ht="12" customHeight="1" x14ac:dyDescent="0.2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</row>
    <row r="52" spans="1:11" s="184" customFormat="1" ht="12" customHeight="1" x14ac:dyDescent="0.2">
      <c r="A52" s="276" t="s">
        <v>48</v>
      </c>
      <c r="B52" s="276"/>
      <c r="C52" s="183">
        <v>55173</v>
      </c>
      <c r="D52" s="183">
        <v>41214</v>
      </c>
      <c r="E52" s="183">
        <v>13959</v>
      </c>
      <c r="F52" s="183">
        <v>9245</v>
      </c>
      <c r="G52" s="183">
        <v>4390</v>
      </c>
      <c r="H52" s="183">
        <v>65</v>
      </c>
      <c r="I52" s="183">
        <v>249</v>
      </c>
      <c r="J52" s="183">
        <v>10</v>
      </c>
      <c r="K52" s="183">
        <v>0</v>
      </c>
    </row>
    <row r="53" spans="1:11" s="186" customFormat="1" ht="12" customHeight="1" x14ac:dyDescent="0.2">
      <c r="A53" s="275" t="s">
        <v>49</v>
      </c>
      <c r="B53" s="275"/>
      <c r="C53" s="185">
        <v>18431</v>
      </c>
      <c r="D53" s="185">
        <v>12375</v>
      </c>
      <c r="E53" s="185">
        <v>6056</v>
      </c>
      <c r="F53" s="185">
        <v>3987</v>
      </c>
      <c r="G53" s="185">
        <v>1830</v>
      </c>
      <c r="H53" s="185">
        <v>36</v>
      </c>
      <c r="I53" s="185">
        <v>195</v>
      </c>
      <c r="J53" s="185">
        <v>8</v>
      </c>
      <c r="K53" s="185">
        <v>0</v>
      </c>
    </row>
    <row r="54" spans="1:11" s="186" customFormat="1" ht="12" customHeight="1" x14ac:dyDescent="0.2">
      <c r="A54" s="275" t="s">
        <v>50</v>
      </c>
      <c r="B54" s="275"/>
      <c r="C54" s="185">
        <v>32575</v>
      </c>
      <c r="D54" s="185">
        <v>25175</v>
      </c>
      <c r="E54" s="185">
        <v>7400</v>
      </c>
      <c r="F54" s="185">
        <v>4881</v>
      </c>
      <c r="G54" s="185">
        <v>2434</v>
      </c>
      <c r="H54" s="185">
        <v>29</v>
      </c>
      <c r="I54" s="185">
        <v>54</v>
      </c>
      <c r="J54" s="185">
        <v>2</v>
      </c>
      <c r="K54" s="185">
        <v>0</v>
      </c>
    </row>
    <row r="55" spans="1:11" s="186" customFormat="1" ht="12" customHeight="1" x14ac:dyDescent="0.2">
      <c r="A55" s="278" t="s">
        <v>51</v>
      </c>
      <c r="B55" s="278"/>
      <c r="C55" s="196">
        <v>4167</v>
      </c>
      <c r="D55" s="196">
        <v>3664</v>
      </c>
      <c r="E55" s="196">
        <v>503</v>
      </c>
      <c r="F55" s="196">
        <v>377</v>
      </c>
      <c r="G55" s="196">
        <v>126</v>
      </c>
      <c r="H55" s="196">
        <v>0</v>
      </c>
      <c r="I55" s="196">
        <v>0</v>
      </c>
      <c r="J55" s="196">
        <v>0</v>
      </c>
      <c r="K55" s="196">
        <v>0</v>
      </c>
    </row>
    <row r="56" spans="1:11" s="186" customFormat="1" ht="12" customHeight="1" x14ac:dyDescent="0.2">
      <c r="A56" s="189"/>
      <c r="B56" s="194"/>
      <c r="C56" s="195"/>
      <c r="D56" s="195"/>
      <c r="E56" s="195"/>
      <c r="F56" s="195"/>
      <c r="G56" s="195"/>
      <c r="H56" s="195"/>
      <c r="I56" s="195"/>
      <c r="J56" s="195"/>
      <c r="K56" s="195"/>
    </row>
    <row r="57" spans="1:11" s="186" customFormat="1" ht="12" customHeight="1" x14ac:dyDescent="0.2">
      <c r="A57" s="280" t="s">
        <v>52</v>
      </c>
      <c r="B57" s="280"/>
      <c r="C57" s="182">
        <v>49778</v>
      </c>
      <c r="D57" s="182">
        <v>37351</v>
      </c>
      <c r="E57" s="182">
        <v>12427</v>
      </c>
      <c r="F57" s="182">
        <v>8177</v>
      </c>
      <c r="G57" s="182">
        <v>3942</v>
      </c>
      <c r="H57" s="182">
        <v>51</v>
      </c>
      <c r="I57" s="182">
        <v>247</v>
      </c>
      <c r="J57" s="182">
        <v>10</v>
      </c>
      <c r="K57" s="182">
        <v>0</v>
      </c>
    </row>
    <row r="58" spans="1:11" s="186" customFormat="1" ht="12" customHeight="1" x14ac:dyDescent="0.2">
      <c r="A58" s="275" t="s">
        <v>53</v>
      </c>
      <c r="B58" s="275"/>
      <c r="C58" s="185">
        <v>3276</v>
      </c>
      <c r="D58" s="185">
        <v>2369</v>
      </c>
      <c r="E58" s="185">
        <v>907</v>
      </c>
      <c r="F58" s="185">
        <v>637</v>
      </c>
      <c r="G58" s="185">
        <v>263</v>
      </c>
      <c r="H58" s="185">
        <v>2</v>
      </c>
      <c r="I58" s="185">
        <v>5</v>
      </c>
      <c r="J58" s="185">
        <v>0</v>
      </c>
      <c r="K58" s="185">
        <v>0</v>
      </c>
    </row>
    <row r="59" spans="1:11" s="186" customFormat="1" ht="12" customHeight="1" x14ac:dyDescent="0.2">
      <c r="A59" s="275" t="s">
        <v>55</v>
      </c>
      <c r="B59" s="275"/>
      <c r="C59" s="185">
        <v>1927</v>
      </c>
      <c r="D59" s="185">
        <v>1703</v>
      </c>
      <c r="E59" s="185">
        <v>224</v>
      </c>
      <c r="F59" s="185">
        <v>173</v>
      </c>
      <c r="G59" s="185">
        <v>51</v>
      </c>
      <c r="H59" s="185">
        <v>0</v>
      </c>
      <c r="I59" s="185">
        <v>0</v>
      </c>
      <c r="J59" s="185">
        <v>0</v>
      </c>
      <c r="K59" s="185">
        <v>0</v>
      </c>
    </row>
    <row r="60" spans="1:11" s="186" customFormat="1" ht="12" customHeight="1" x14ac:dyDescent="0.2">
      <c r="A60" s="275" t="s">
        <v>56</v>
      </c>
      <c r="B60" s="275"/>
      <c r="C60" s="185">
        <v>2240</v>
      </c>
      <c r="D60" s="185">
        <v>1961</v>
      </c>
      <c r="E60" s="185">
        <v>279</v>
      </c>
      <c r="F60" s="185">
        <v>204</v>
      </c>
      <c r="G60" s="185">
        <v>75</v>
      </c>
      <c r="H60" s="185">
        <v>0</v>
      </c>
      <c r="I60" s="185">
        <v>0</v>
      </c>
      <c r="J60" s="185">
        <v>0</v>
      </c>
      <c r="K60" s="185">
        <v>0</v>
      </c>
    </row>
    <row r="61" spans="1:11" s="186" customFormat="1" ht="12" customHeight="1" x14ac:dyDescent="0.2">
      <c r="A61" s="275" t="s">
        <v>57</v>
      </c>
      <c r="B61" s="275"/>
      <c r="C61" s="185">
        <v>7440</v>
      </c>
      <c r="D61" s="185">
        <v>4413</v>
      </c>
      <c r="E61" s="185">
        <v>3027</v>
      </c>
      <c r="F61" s="185">
        <v>1837</v>
      </c>
      <c r="G61" s="185">
        <v>985</v>
      </c>
      <c r="H61" s="185">
        <v>23</v>
      </c>
      <c r="I61" s="185">
        <v>174</v>
      </c>
      <c r="J61" s="185">
        <v>8</v>
      </c>
      <c r="K61" s="185">
        <v>0</v>
      </c>
    </row>
    <row r="62" spans="1:11" s="186" customFormat="1" ht="12" customHeight="1" x14ac:dyDescent="0.2">
      <c r="A62" s="275" t="s">
        <v>58</v>
      </c>
      <c r="B62" s="275"/>
      <c r="C62" s="185">
        <v>2850</v>
      </c>
      <c r="D62" s="185">
        <v>2331</v>
      </c>
      <c r="E62" s="185">
        <v>519</v>
      </c>
      <c r="F62" s="185">
        <v>394</v>
      </c>
      <c r="G62" s="185">
        <v>123</v>
      </c>
      <c r="H62" s="185">
        <v>1</v>
      </c>
      <c r="I62" s="185">
        <v>1</v>
      </c>
      <c r="J62" s="185">
        <v>0</v>
      </c>
      <c r="K62" s="185">
        <v>0</v>
      </c>
    </row>
    <row r="63" spans="1:11" s="186" customFormat="1" ht="12" customHeight="1" x14ac:dyDescent="0.2">
      <c r="A63" s="275" t="s">
        <v>60</v>
      </c>
      <c r="B63" s="275"/>
      <c r="C63" s="185">
        <v>14847</v>
      </c>
      <c r="D63" s="185">
        <v>11473</v>
      </c>
      <c r="E63" s="185">
        <v>3374</v>
      </c>
      <c r="F63" s="185">
        <v>2001</v>
      </c>
      <c r="G63" s="185">
        <v>1334</v>
      </c>
      <c r="H63" s="185">
        <v>9</v>
      </c>
      <c r="I63" s="185">
        <v>28</v>
      </c>
      <c r="J63" s="185">
        <v>2</v>
      </c>
      <c r="K63" s="185">
        <v>0</v>
      </c>
    </row>
    <row r="64" spans="1:11" s="186" customFormat="1" ht="12" customHeight="1" x14ac:dyDescent="0.2">
      <c r="A64" s="275" t="s">
        <v>62</v>
      </c>
      <c r="B64" s="275"/>
      <c r="C64" s="185">
        <v>4383</v>
      </c>
      <c r="D64" s="185">
        <v>3255</v>
      </c>
      <c r="E64" s="185">
        <v>1128</v>
      </c>
      <c r="F64" s="185">
        <v>815</v>
      </c>
      <c r="G64" s="185">
        <v>294</v>
      </c>
      <c r="H64" s="185">
        <v>8</v>
      </c>
      <c r="I64" s="185">
        <v>11</v>
      </c>
      <c r="J64" s="185">
        <v>0</v>
      </c>
      <c r="K64" s="185">
        <v>0</v>
      </c>
    </row>
    <row r="65" spans="1:11" s="186" customFormat="1" ht="12" customHeight="1" x14ac:dyDescent="0.2">
      <c r="A65" s="275" t="s">
        <v>63</v>
      </c>
      <c r="B65" s="275"/>
      <c r="C65" s="185">
        <v>2327</v>
      </c>
      <c r="D65" s="185">
        <v>1895</v>
      </c>
      <c r="E65" s="185">
        <v>432</v>
      </c>
      <c r="F65" s="185">
        <v>292</v>
      </c>
      <c r="G65" s="185">
        <v>124</v>
      </c>
      <c r="H65" s="185">
        <v>0</v>
      </c>
      <c r="I65" s="185">
        <v>16</v>
      </c>
      <c r="J65" s="185">
        <v>0</v>
      </c>
      <c r="K65" s="185">
        <v>0</v>
      </c>
    </row>
    <row r="66" spans="1:11" s="186" customFormat="1" ht="12" customHeight="1" x14ac:dyDescent="0.2">
      <c r="A66" s="275" t="s">
        <v>64</v>
      </c>
      <c r="B66" s="275"/>
      <c r="C66" s="185">
        <v>2646</v>
      </c>
      <c r="D66" s="185">
        <v>2159</v>
      </c>
      <c r="E66" s="185">
        <v>487</v>
      </c>
      <c r="F66" s="185">
        <v>372</v>
      </c>
      <c r="G66" s="185">
        <v>114</v>
      </c>
      <c r="H66" s="185">
        <v>1</v>
      </c>
      <c r="I66" s="185">
        <v>0</v>
      </c>
      <c r="J66" s="185">
        <v>0</v>
      </c>
      <c r="K66" s="185">
        <v>0</v>
      </c>
    </row>
    <row r="67" spans="1:11" s="186" customFormat="1" ht="12" customHeight="1" x14ac:dyDescent="0.2">
      <c r="A67" s="275" t="s">
        <v>65</v>
      </c>
      <c r="B67" s="275"/>
      <c r="C67" s="185">
        <v>4510</v>
      </c>
      <c r="D67" s="185">
        <v>3454</v>
      </c>
      <c r="E67" s="185">
        <v>1056</v>
      </c>
      <c r="F67" s="185">
        <v>754</v>
      </c>
      <c r="G67" s="185">
        <v>291</v>
      </c>
      <c r="H67" s="185">
        <v>4</v>
      </c>
      <c r="I67" s="185">
        <v>7</v>
      </c>
      <c r="J67" s="185">
        <v>0</v>
      </c>
      <c r="K67" s="185">
        <v>0</v>
      </c>
    </row>
    <row r="68" spans="1:11" s="186" customFormat="1" ht="12" customHeight="1" x14ac:dyDescent="0.2">
      <c r="A68" s="278" t="s">
        <v>66</v>
      </c>
      <c r="B68" s="278"/>
      <c r="C68" s="196">
        <v>3332</v>
      </c>
      <c r="D68" s="196">
        <v>2338</v>
      </c>
      <c r="E68" s="196">
        <v>994</v>
      </c>
      <c r="F68" s="196">
        <v>698</v>
      </c>
      <c r="G68" s="196">
        <v>288</v>
      </c>
      <c r="H68" s="196">
        <v>3</v>
      </c>
      <c r="I68" s="196">
        <v>5</v>
      </c>
      <c r="J68" s="196">
        <v>0</v>
      </c>
      <c r="K68" s="196">
        <v>0</v>
      </c>
    </row>
    <row r="69" spans="1:11" s="186" customFormat="1" ht="12" customHeight="1" x14ac:dyDescent="0.2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</row>
    <row r="70" spans="1:11" s="186" customFormat="1" ht="12" customHeight="1" x14ac:dyDescent="0.2">
      <c r="A70" s="276" t="s">
        <v>67</v>
      </c>
      <c r="B70" s="276"/>
      <c r="C70" s="183">
        <v>151242</v>
      </c>
      <c r="D70" s="183">
        <v>103351</v>
      </c>
      <c r="E70" s="183">
        <v>47891</v>
      </c>
      <c r="F70" s="183">
        <v>32627</v>
      </c>
      <c r="G70" s="183">
        <v>14275</v>
      </c>
      <c r="H70" s="183">
        <v>260</v>
      </c>
      <c r="I70" s="183">
        <v>638</v>
      </c>
      <c r="J70" s="183">
        <v>67</v>
      </c>
      <c r="K70" s="183">
        <v>24</v>
      </c>
    </row>
    <row r="71" spans="1:11" s="186" customFormat="1" ht="12" customHeight="1" x14ac:dyDescent="0.2">
      <c r="A71" s="275" t="s">
        <v>68</v>
      </c>
      <c r="B71" s="275"/>
      <c r="C71" s="185">
        <v>4396</v>
      </c>
      <c r="D71" s="185">
        <v>2975</v>
      </c>
      <c r="E71" s="185">
        <v>1421</v>
      </c>
      <c r="F71" s="185">
        <v>1072</v>
      </c>
      <c r="G71" s="185">
        <v>335</v>
      </c>
      <c r="H71" s="185">
        <v>3</v>
      </c>
      <c r="I71" s="185">
        <v>8</v>
      </c>
      <c r="J71" s="185">
        <v>3</v>
      </c>
      <c r="K71" s="185">
        <v>0</v>
      </c>
    </row>
    <row r="72" spans="1:11" s="186" customFormat="1" ht="12" customHeight="1" x14ac:dyDescent="0.2">
      <c r="A72" s="275" t="s">
        <v>69</v>
      </c>
      <c r="B72" s="275"/>
      <c r="C72" s="185">
        <v>1377</v>
      </c>
      <c r="D72" s="185">
        <v>1268</v>
      </c>
      <c r="E72" s="185">
        <v>109</v>
      </c>
      <c r="F72" s="185">
        <v>77</v>
      </c>
      <c r="G72" s="185">
        <v>31</v>
      </c>
      <c r="H72" s="185">
        <v>1</v>
      </c>
      <c r="I72" s="185">
        <v>0</v>
      </c>
      <c r="J72" s="185">
        <v>0</v>
      </c>
      <c r="K72" s="185">
        <v>0</v>
      </c>
    </row>
    <row r="73" spans="1:11" s="186" customFormat="1" ht="12" customHeight="1" x14ac:dyDescent="0.2">
      <c r="A73" s="275" t="s">
        <v>70</v>
      </c>
      <c r="B73" s="275"/>
      <c r="C73" s="185">
        <v>356</v>
      </c>
      <c r="D73" s="185">
        <v>312</v>
      </c>
      <c r="E73" s="185">
        <v>44</v>
      </c>
      <c r="F73" s="185">
        <v>38</v>
      </c>
      <c r="G73" s="185">
        <v>6</v>
      </c>
      <c r="H73" s="185">
        <v>0</v>
      </c>
      <c r="I73" s="185">
        <v>0</v>
      </c>
      <c r="J73" s="185">
        <v>0</v>
      </c>
      <c r="K73" s="185">
        <v>0</v>
      </c>
    </row>
    <row r="74" spans="1:11" s="186" customFormat="1" ht="12" customHeight="1" x14ac:dyDescent="0.2">
      <c r="A74" s="275" t="s">
        <v>71</v>
      </c>
      <c r="B74" s="275"/>
      <c r="C74" s="185">
        <v>968</v>
      </c>
      <c r="D74" s="185">
        <v>857</v>
      </c>
      <c r="E74" s="185">
        <v>111</v>
      </c>
      <c r="F74" s="185">
        <v>79</v>
      </c>
      <c r="G74" s="185">
        <v>28</v>
      </c>
      <c r="H74" s="185">
        <v>2</v>
      </c>
      <c r="I74" s="185">
        <v>2</v>
      </c>
      <c r="J74" s="185">
        <v>0</v>
      </c>
      <c r="K74" s="185">
        <v>0</v>
      </c>
    </row>
    <row r="75" spans="1:11" s="186" customFormat="1" ht="12" customHeight="1" x14ac:dyDescent="0.2">
      <c r="A75" s="275" t="s">
        <v>72</v>
      </c>
      <c r="B75" s="275"/>
      <c r="C75" s="185">
        <v>296</v>
      </c>
      <c r="D75" s="185">
        <v>257</v>
      </c>
      <c r="E75" s="185">
        <v>39</v>
      </c>
      <c r="F75" s="185">
        <v>26</v>
      </c>
      <c r="G75" s="185">
        <v>13</v>
      </c>
      <c r="H75" s="185">
        <v>0</v>
      </c>
      <c r="I75" s="185">
        <v>0</v>
      </c>
      <c r="J75" s="185">
        <v>0</v>
      </c>
      <c r="K75" s="185">
        <v>0</v>
      </c>
    </row>
    <row r="76" spans="1:11" s="186" customFormat="1" ht="12" customHeight="1" x14ac:dyDescent="0.2">
      <c r="A76" s="275" t="s">
        <v>73</v>
      </c>
      <c r="B76" s="275"/>
      <c r="C76" s="185">
        <v>1518</v>
      </c>
      <c r="D76" s="185">
        <v>1263</v>
      </c>
      <c r="E76" s="185">
        <v>255</v>
      </c>
      <c r="F76" s="185">
        <v>201</v>
      </c>
      <c r="G76" s="185">
        <v>54</v>
      </c>
      <c r="H76" s="185">
        <v>0</v>
      </c>
      <c r="I76" s="185">
        <v>0</v>
      </c>
      <c r="J76" s="185">
        <v>0</v>
      </c>
      <c r="K76" s="185">
        <v>0</v>
      </c>
    </row>
    <row r="77" spans="1:11" s="186" customFormat="1" ht="12" customHeight="1" x14ac:dyDescent="0.2">
      <c r="A77" s="275" t="s">
        <v>74</v>
      </c>
      <c r="B77" s="275"/>
      <c r="C77" s="185">
        <v>609</v>
      </c>
      <c r="D77" s="185">
        <v>535</v>
      </c>
      <c r="E77" s="185">
        <v>74</v>
      </c>
      <c r="F77" s="185">
        <v>49</v>
      </c>
      <c r="G77" s="185">
        <v>25</v>
      </c>
      <c r="H77" s="185">
        <v>0</v>
      </c>
      <c r="I77" s="185">
        <v>0</v>
      </c>
      <c r="J77" s="185">
        <v>0</v>
      </c>
      <c r="K77" s="185">
        <v>0</v>
      </c>
    </row>
    <row r="78" spans="1:11" s="186" customFormat="1" ht="12" customHeight="1" x14ac:dyDescent="0.2">
      <c r="A78" s="275" t="s">
        <v>75</v>
      </c>
      <c r="B78" s="275"/>
      <c r="C78" s="185">
        <v>2656</v>
      </c>
      <c r="D78" s="185">
        <v>2119</v>
      </c>
      <c r="E78" s="185">
        <v>537</v>
      </c>
      <c r="F78" s="185">
        <v>390</v>
      </c>
      <c r="G78" s="185">
        <v>144</v>
      </c>
      <c r="H78" s="185">
        <v>1</v>
      </c>
      <c r="I78" s="185">
        <v>2</v>
      </c>
      <c r="J78" s="185">
        <v>0</v>
      </c>
      <c r="K78" s="185">
        <v>0</v>
      </c>
    </row>
    <row r="79" spans="1:11" s="186" customFormat="1" ht="12" customHeight="1" x14ac:dyDescent="0.2">
      <c r="A79" s="275" t="s">
        <v>77</v>
      </c>
      <c r="B79" s="275"/>
      <c r="C79" s="185">
        <v>985</v>
      </c>
      <c r="D79" s="185">
        <v>541</v>
      </c>
      <c r="E79" s="185">
        <v>444</v>
      </c>
      <c r="F79" s="185">
        <v>282</v>
      </c>
      <c r="G79" s="185">
        <v>162</v>
      </c>
      <c r="H79" s="185">
        <v>0</v>
      </c>
      <c r="I79" s="185">
        <v>0</v>
      </c>
      <c r="J79" s="185">
        <v>0</v>
      </c>
      <c r="K79" s="185">
        <v>0</v>
      </c>
    </row>
    <row r="80" spans="1:11" s="186" customFormat="1" ht="12" customHeight="1" x14ac:dyDescent="0.2">
      <c r="A80" s="275" t="s">
        <v>79</v>
      </c>
      <c r="B80" s="275"/>
      <c r="C80" s="185">
        <v>446</v>
      </c>
      <c r="D80" s="185">
        <v>336</v>
      </c>
      <c r="E80" s="185">
        <v>110</v>
      </c>
      <c r="F80" s="185">
        <v>78</v>
      </c>
      <c r="G80" s="185">
        <v>32</v>
      </c>
      <c r="H80" s="185">
        <v>0</v>
      </c>
      <c r="I80" s="185">
        <v>0</v>
      </c>
      <c r="J80" s="185">
        <v>0</v>
      </c>
      <c r="K80" s="185">
        <v>0</v>
      </c>
    </row>
    <row r="81" spans="1:11" s="186" customFormat="1" ht="12" customHeight="1" x14ac:dyDescent="0.2">
      <c r="A81" s="275" t="s">
        <v>80</v>
      </c>
      <c r="B81" s="275"/>
      <c r="C81" s="185">
        <v>765</v>
      </c>
      <c r="D81" s="185">
        <v>618</v>
      </c>
      <c r="E81" s="185">
        <v>147</v>
      </c>
      <c r="F81" s="185">
        <v>122</v>
      </c>
      <c r="G81" s="185">
        <v>23</v>
      </c>
      <c r="H81" s="185">
        <v>1</v>
      </c>
      <c r="I81" s="185">
        <v>1</v>
      </c>
      <c r="J81" s="185">
        <v>0</v>
      </c>
      <c r="K81" s="185">
        <v>0</v>
      </c>
    </row>
    <row r="82" spans="1:11" s="186" customFormat="1" ht="12" customHeight="1" x14ac:dyDescent="0.2">
      <c r="A82" s="275" t="s">
        <v>81</v>
      </c>
      <c r="B82" s="275"/>
      <c r="C82" s="185">
        <v>1508</v>
      </c>
      <c r="D82" s="185">
        <v>1092</v>
      </c>
      <c r="E82" s="185">
        <v>416</v>
      </c>
      <c r="F82" s="185">
        <v>339</v>
      </c>
      <c r="G82" s="185">
        <v>68</v>
      </c>
      <c r="H82" s="185">
        <v>3</v>
      </c>
      <c r="I82" s="185">
        <v>6</v>
      </c>
      <c r="J82" s="185">
        <v>0</v>
      </c>
      <c r="K82" s="185">
        <v>0</v>
      </c>
    </row>
    <row r="83" spans="1:11" s="186" customFormat="1" ht="12" customHeight="1" x14ac:dyDescent="0.2">
      <c r="A83" s="275" t="s">
        <v>84</v>
      </c>
      <c r="B83" s="275"/>
      <c r="C83" s="185">
        <v>2320</v>
      </c>
      <c r="D83" s="185">
        <v>1672</v>
      </c>
      <c r="E83" s="185">
        <v>648</v>
      </c>
      <c r="F83" s="185">
        <v>451</v>
      </c>
      <c r="G83" s="185">
        <v>183</v>
      </c>
      <c r="H83" s="185">
        <v>2</v>
      </c>
      <c r="I83" s="185">
        <v>11</v>
      </c>
      <c r="J83" s="185">
        <v>1</v>
      </c>
      <c r="K83" s="185">
        <v>0</v>
      </c>
    </row>
    <row r="84" spans="1:11" s="186" customFormat="1" ht="12" customHeight="1" x14ac:dyDescent="0.2">
      <c r="A84" s="275" t="s">
        <v>85</v>
      </c>
      <c r="B84" s="275"/>
      <c r="C84" s="185">
        <v>6752</v>
      </c>
      <c r="D84" s="185">
        <v>5983</v>
      </c>
      <c r="E84" s="185">
        <v>769</v>
      </c>
      <c r="F84" s="185">
        <v>576</v>
      </c>
      <c r="G84" s="185">
        <v>190</v>
      </c>
      <c r="H84" s="185">
        <v>3</v>
      </c>
      <c r="I84" s="185">
        <v>0</v>
      </c>
      <c r="J84" s="185">
        <v>0</v>
      </c>
      <c r="K84" s="185">
        <v>0</v>
      </c>
    </row>
    <row r="85" spans="1:11" s="186" customFormat="1" ht="12" customHeight="1" x14ac:dyDescent="0.2">
      <c r="A85" s="275" t="s">
        <v>88</v>
      </c>
      <c r="B85" s="275"/>
      <c r="C85" s="185">
        <v>4373</v>
      </c>
      <c r="D85" s="185">
        <v>3077</v>
      </c>
      <c r="E85" s="185">
        <v>1296</v>
      </c>
      <c r="F85" s="185">
        <v>969</v>
      </c>
      <c r="G85" s="185">
        <v>287</v>
      </c>
      <c r="H85" s="185">
        <v>12</v>
      </c>
      <c r="I85" s="185">
        <v>27</v>
      </c>
      <c r="J85" s="185">
        <v>1</v>
      </c>
      <c r="K85" s="185">
        <v>0</v>
      </c>
    </row>
    <row r="86" spans="1:11" s="186" customFormat="1" ht="12" customHeight="1" x14ac:dyDescent="0.2">
      <c r="A86" s="275" t="s">
        <v>91</v>
      </c>
      <c r="B86" s="275"/>
      <c r="C86" s="185">
        <v>4735</v>
      </c>
      <c r="D86" s="185">
        <v>3092</v>
      </c>
      <c r="E86" s="185">
        <v>1643</v>
      </c>
      <c r="F86" s="185">
        <v>1031</v>
      </c>
      <c r="G86" s="185">
        <v>585</v>
      </c>
      <c r="H86" s="185">
        <v>27</v>
      </c>
      <c r="I86" s="185">
        <v>0</v>
      </c>
      <c r="J86" s="185">
        <v>0</v>
      </c>
      <c r="K86" s="185">
        <v>0</v>
      </c>
    </row>
    <row r="87" spans="1:11" s="186" customFormat="1" ht="12" customHeight="1" x14ac:dyDescent="0.2">
      <c r="A87" s="275" t="s">
        <v>92</v>
      </c>
      <c r="B87" s="275"/>
      <c r="C87" s="185">
        <v>2120</v>
      </c>
      <c r="D87" s="185">
        <v>1853</v>
      </c>
      <c r="E87" s="185">
        <v>267</v>
      </c>
      <c r="F87" s="185">
        <v>196</v>
      </c>
      <c r="G87" s="185">
        <v>70</v>
      </c>
      <c r="H87" s="185">
        <v>1</v>
      </c>
      <c r="I87" s="185">
        <v>0</v>
      </c>
      <c r="J87" s="185">
        <v>0</v>
      </c>
      <c r="K87" s="185">
        <v>0</v>
      </c>
    </row>
    <row r="88" spans="1:11" s="186" customFormat="1" ht="12" customHeight="1" x14ac:dyDescent="0.2">
      <c r="A88" s="275" t="s">
        <v>94</v>
      </c>
      <c r="B88" s="275"/>
      <c r="C88" s="185">
        <v>1432</v>
      </c>
      <c r="D88" s="185">
        <v>1184</v>
      </c>
      <c r="E88" s="185">
        <v>248</v>
      </c>
      <c r="F88" s="185">
        <v>179</v>
      </c>
      <c r="G88" s="185">
        <v>64</v>
      </c>
      <c r="H88" s="185">
        <v>3</v>
      </c>
      <c r="I88" s="185">
        <v>2</v>
      </c>
      <c r="J88" s="185">
        <v>0</v>
      </c>
      <c r="K88" s="185">
        <v>0</v>
      </c>
    </row>
    <row r="89" spans="1:11" s="186" customFormat="1" ht="12" customHeight="1" x14ac:dyDescent="0.2">
      <c r="A89" s="275" t="s">
        <v>95</v>
      </c>
      <c r="B89" s="275"/>
      <c r="C89" s="185">
        <v>595</v>
      </c>
      <c r="D89" s="185">
        <v>495</v>
      </c>
      <c r="E89" s="185">
        <v>100</v>
      </c>
      <c r="F89" s="185">
        <v>75</v>
      </c>
      <c r="G89" s="185">
        <v>25</v>
      </c>
      <c r="H89" s="185">
        <v>0</v>
      </c>
      <c r="I89" s="185">
        <v>0</v>
      </c>
      <c r="J89" s="185">
        <v>0</v>
      </c>
      <c r="K89" s="185">
        <v>0</v>
      </c>
    </row>
    <row r="90" spans="1:11" s="186" customFormat="1" ht="12" customHeight="1" x14ac:dyDescent="0.2">
      <c r="A90" s="275" t="s">
        <v>96</v>
      </c>
      <c r="B90" s="275"/>
      <c r="C90" s="185">
        <v>479</v>
      </c>
      <c r="D90" s="185">
        <v>320</v>
      </c>
      <c r="E90" s="185">
        <v>159</v>
      </c>
      <c r="F90" s="185">
        <v>120</v>
      </c>
      <c r="G90" s="185">
        <v>38</v>
      </c>
      <c r="H90" s="185">
        <v>1</v>
      </c>
      <c r="I90" s="185">
        <v>0</v>
      </c>
      <c r="J90" s="185">
        <v>0</v>
      </c>
      <c r="K90" s="185">
        <v>0</v>
      </c>
    </row>
    <row r="91" spans="1:11" s="186" customFormat="1" ht="12" customHeight="1" x14ac:dyDescent="0.2">
      <c r="A91" s="275" t="s">
        <v>97</v>
      </c>
      <c r="B91" s="275"/>
      <c r="C91" s="185">
        <v>1363</v>
      </c>
      <c r="D91" s="185">
        <v>1077</v>
      </c>
      <c r="E91" s="185">
        <v>286</v>
      </c>
      <c r="F91" s="185">
        <v>212</v>
      </c>
      <c r="G91" s="185">
        <v>74</v>
      </c>
      <c r="H91" s="185">
        <v>0</v>
      </c>
      <c r="I91" s="185">
        <v>0</v>
      </c>
      <c r="J91" s="185">
        <v>0</v>
      </c>
      <c r="K91" s="185">
        <v>0</v>
      </c>
    </row>
    <row r="92" spans="1:11" s="186" customFormat="1" ht="12" customHeight="1" x14ac:dyDescent="0.2">
      <c r="A92" s="275" t="s">
        <v>98</v>
      </c>
      <c r="B92" s="275"/>
      <c r="C92" s="185">
        <v>1707</v>
      </c>
      <c r="D92" s="185">
        <v>1095</v>
      </c>
      <c r="E92" s="185">
        <v>612</v>
      </c>
      <c r="F92" s="185">
        <v>489</v>
      </c>
      <c r="G92" s="185">
        <v>119</v>
      </c>
      <c r="H92" s="185">
        <v>1</v>
      </c>
      <c r="I92" s="185">
        <v>3</v>
      </c>
      <c r="J92" s="185">
        <v>0</v>
      </c>
      <c r="K92" s="185">
        <v>0</v>
      </c>
    </row>
    <row r="93" spans="1:11" s="186" customFormat="1" ht="12" customHeight="1" x14ac:dyDescent="0.2">
      <c r="A93" s="275" t="s">
        <v>99</v>
      </c>
      <c r="B93" s="275"/>
      <c r="C93" s="185">
        <v>62123</v>
      </c>
      <c r="D93" s="185">
        <v>38290</v>
      </c>
      <c r="E93" s="185">
        <v>23833</v>
      </c>
      <c r="F93" s="185">
        <v>15732</v>
      </c>
      <c r="G93" s="185">
        <v>7554</v>
      </c>
      <c r="H93" s="185">
        <v>124</v>
      </c>
      <c r="I93" s="185">
        <v>354</v>
      </c>
      <c r="J93" s="185">
        <v>48</v>
      </c>
      <c r="K93" s="185">
        <v>21</v>
      </c>
    </row>
    <row r="94" spans="1:11" s="186" customFormat="1" ht="12" customHeight="1" x14ac:dyDescent="0.2">
      <c r="A94" s="275" t="s">
        <v>100</v>
      </c>
      <c r="B94" s="275"/>
      <c r="C94" s="185">
        <v>1616</v>
      </c>
      <c r="D94" s="185">
        <v>1235</v>
      </c>
      <c r="E94" s="185">
        <v>381</v>
      </c>
      <c r="F94" s="185">
        <v>264</v>
      </c>
      <c r="G94" s="185">
        <v>113</v>
      </c>
      <c r="H94" s="185">
        <v>3</v>
      </c>
      <c r="I94" s="185">
        <v>1</v>
      </c>
      <c r="J94" s="185">
        <v>0</v>
      </c>
      <c r="K94" s="185">
        <v>0</v>
      </c>
    </row>
    <row r="95" spans="1:11" s="186" customFormat="1" ht="12" customHeight="1" x14ac:dyDescent="0.2">
      <c r="A95" s="275" t="s">
        <v>101</v>
      </c>
      <c r="B95" s="275"/>
      <c r="C95" s="185">
        <v>1292</v>
      </c>
      <c r="D95" s="185">
        <v>1029</v>
      </c>
      <c r="E95" s="185">
        <v>263</v>
      </c>
      <c r="F95" s="185">
        <v>197</v>
      </c>
      <c r="G95" s="185">
        <v>59</v>
      </c>
      <c r="H95" s="185">
        <v>1</v>
      </c>
      <c r="I95" s="185">
        <v>6</v>
      </c>
      <c r="J95" s="185">
        <v>0</v>
      </c>
      <c r="K95" s="185">
        <v>0</v>
      </c>
    </row>
    <row r="96" spans="1:11" s="186" customFormat="1" ht="12" customHeight="1" x14ac:dyDescent="0.2">
      <c r="A96" s="275" t="s">
        <v>102</v>
      </c>
      <c r="B96" s="275"/>
      <c r="C96" s="185">
        <v>741</v>
      </c>
      <c r="D96" s="185">
        <v>465</v>
      </c>
      <c r="E96" s="185">
        <v>276</v>
      </c>
      <c r="F96" s="185">
        <v>181</v>
      </c>
      <c r="G96" s="185">
        <v>93</v>
      </c>
      <c r="H96" s="185">
        <v>2</v>
      </c>
      <c r="I96" s="185">
        <v>0</v>
      </c>
      <c r="J96" s="185">
        <v>0</v>
      </c>
      <c r="K96" s="185">
        <v>0</v>
      </c>
    </row>
    <row r="97" spans="1:11" s="186" customFormat="1" ht="12" customHeight="1" x14ac:dyDescent="0.2">
      <c r="A97" s="275" t="s">
        <v>103</v>
      </c>
      <c r="B97" s="275"/>
      <c r="C97" s="185">
        <v>6426</v>
      </c>
      <c r="D97" s="185">
        <v>3648</v>
      </c>
      <c r="E97" s="185">
        <v>2778</v>
      </c>
      <c r="F97" s="185">
        <v>1812</v>
      </c>
      <c r="G97" s="185">
        <v>846</v>
      </c>
      <c r="H97" s="185">
        <v>13</v>
      </c>
      <c r="I97" s="185">
        <v>102</v>
      </c>
      <c r="J97" s="185">
        <v>5</v>
      </c>
      <c r="K97" s="185">
        <v>0</v>
      </c>
    </row>
    <row r="98" spans="1:11" s="186" customFormat="1" ht="12" customHeight="1" x14ac:dyDescent="0.2">
      <c r="A98" s="275" t="s">
        <v>104</v>
      </c>
      <c r="B98" s="275"/>
      <c r="C98" s="185">
        <v>1464</v>
      </c>
      <c r="D98" s="185">
        <v>1030</v>
      </c>
      <c r="E98" s="185">
        <v>434</v>
      </c>
      <c r="F98" s="185">
        <v>323</v>
      </c>
      <c r="G98" s="185">
        <v>106</v>
      </c>
      <c r="H98" s="185">
        <v>5</v>
      </c>
      <c r="I98" s="185">
        <v>0</v>
      </c>
      <c r="J98" s="185">
        <v>0</v>
      </c>
      <c r="K98" s="185">
        <v>0</v>
      </c>
    </row>
    <row r="99" spans="1:11" s="186" customFormat="1" ht="12" customHeight="1" x14ac:dyDescent="0.2">
      <c r="A99" s="275" t="s">
        <v>105</v>
      </c>
      <c r="B99" s="275"/>
      <c r="C99" s="185">
        <v>1822</v>
      </c>
      <c r="D99" s="185">
        <v>1139</v>
      </c>
      <c r="E99" s="185">
        <v>683</v>
      </c>
      <c r="F99" s="185">
        <v>464</v>
      </c>
      <c r="G99" s="185">
        <v>212</v>
      </c>
      <c r="H99" s="185">
        <v>6</v>
      </c>
      <c r="I99" s="185">
        <v>1</v>
      </c>
      <c r="J99" s="185">
        <v>0</v>
      </c>
      <c r="K99" s="185">
        <v>0</v>
      </c>
    </row>
    <row r="100" spans="1:11" s="186" customFormat="1" ht="12" customHeight="1" x14ac:dyDescent="0.2">
      <c r="A100" s="275" t="s">
        <v>106</v>
      </c>
      <c r="B100" s="275"/>
      <c r="C100" s="185">
        <v>1374</v>
      </c>
      <c r="D100" s="185">
        <v>1173</v>
      </c>
      <c r="E100" s="185">
        <v>201</v>
      </c>
      <c r="F100" s="185">
        <v>168</v>
      </c>
      <c r="G100" s="185">
        <v>33</v>
      </c>
      <c r="H100" s="185">
        <v>0</v>
      </c>
      <c r="I100" s="185">
        <v>0</v>
      </c>
      <c r="J100" s="185">
        <v>0</v>
      </c>
      <c r="K100" s="185">
        <v>0</v>
      </c>
    </row>
    <row r="101" spans="1:11" s="186" customFormat="1" ht="12" customHeight="1" x14ac:dyDescent="0.2">
      <c r="A101" s="275" t="s">
        <v>107</v>
      </c>
      <c r="B101" s="275"/>
      <c r="C101" s="185">
        <v>321</v>
      </c>
      <c r="D101" s="185">
        <v>262</v>
      </c>
      <c r="E101" s="185">
        <v>59</v>
      </c>
      <c r="F101" s="185">
        <v>44</v>
      </c>
      <c r="G101" s="185">
        <v>15</v>
      </c>
      <c r="H101" s="185">
        <v>0</v>
      </c>
      <c r="I101" s="185">
        <v>0</v>
      </c>
      <c r="J101" s="185">
        <v>0</v>
      </c>
      <c r="K101" s="185">
        <v>0</v>
      </c>
    </row>
    <row r="102" spans="1:11" s="186" customFormat="1" ht="12" customHeight="1" x14ac:dyDescent="0.2">
      <c r="A102" s="275" t="s">
        <v>336</v>
      </c>
      <c r="B102" s="275"/>
      <c r="C102" s="185">
        <v>4589</v>
      </c>
      <c r="D102" s="185">
        <v>3740</v>
      </c>
      <c r="E102" s="185">
        <v>849</v>
      </c>
      <c r="F102" s="185">
        <v>651</v>
      </c>
      <c r="G102" s="185">
        <v>196</v>
      </c>
      <c r="H102" s="185">
        <v>2</v>
      </c>
      <c r="I102" s="185">
        <v>0</v>
      </c>
      <c r="J102" s="185">
        <v>0</v>
      </c>
      <c r="K102" s="185">
        <v>0</v>
      </c>
    </row>
    <row r="103" spans="1:11" s="186" customFormat="1" ht="12" customHeight="1" x14ac:dyDescent="0.2">
      <c r="A103" s="275" t="s">
        <v>109</v>
      </c>
      <c r="B103" s="275"/>
      <c r="C103" s="185">
        <v>716</v>
      </c>
      <c r="D103" s="185">
        <v>426</v>
      </c>
      <c r="E103" s="185">
        <v>290</v>
      </c>
      <c r="F103" s="185">
        <v>204</v>
      </c>
      <c r="G103" s="185">
        <v>84</v>
      </c>
      <c r="H103" s="185">
        <v>2</v>
      </c>
      <c r="I103" s="185">
        <v>0</v>
      </c>
      <c r="J103" s="185">
        <v>0</v>
      </c>
      <c r="K103" s="185">
        <v>0</v>
      </c>
    </row>
    <row r="104" spans="1:11" s="186" customFormat="1" ht="12" customHeight="1" x14ac:dyDescent="0.2">
      <c r="A104" s="275" t="s">
        <v>110</v>
      </c>
      <c r="B104" s="275"/>
      <c r="C104" s="185">
        <v>806</v>
      </c>
      <c r="D104" s="185">
        <v>629</v>
      </c>
      <c r="E104" s="185">
        <v>177</v>
      </c>
      <c r="F104" s="185">
        <v>136</v>
      </c>
      <c r="G104" s="185">
        <v>40</v>
      </c>
      <c r="H104" s="185">
        <v>1</v>
      </c>
      <c r="I104" s="185">
        <v>0</v>
      </c>
      <c r="J104" s="185">
        <v>0</v>
      </c>
      <c r="K104" s="185">
        <v>0</v>
      </c>
    </row>
    <row r="105" spans="1:11" s="186" customFormat="1" ht="12" customHeight="1" x14ac:dyDescent="0.2">
      <c r="A105" s="275" t="s">
        <v>111</v>
      </c>
      <c r="B105" s="275"/>
      <c r="C105" s="185">
        <v>333</v>
      </c>
      <c r="D105" s="185">
        <v>283</v>
      </c>
      <c r="E105" s="185">
        <v>50</v>
      </c>
      <c r="F105" s="185">
        <v>36</v>
      </c>
      <c r="G105" s="185">
        <v>14</v>
      </c>
      <c r="H105" s="185">
        <v>0</v>
      </c>
      <c r="I105" s="185">
        <v>0</v>
      </c>
      <c r="J105" s="185">
        <v>0</v>
      </c>
      <c r="K105" s="185">
        <v>0</v>
      </c>
    </row>
    <row r="106" spans="1:11" s="186" customFormat="1" ht="12" customHeight="1" x14ac:dyDescent="0.2">
      <c r="A106" s="275" t="s">
        <v>112</v>
      </c>
      <c r="B106" s="275"/>
      <c r="C106" s="185">
        <v>832</v>
      </c>
      <c r="D106" s="185">
        <v>728</v>
      </c>
      <c r="E106" s="185">
        <v>104</v>
      </c>
      <c r="F106" s="185">
        <v>69</v>
      </c>
      <c r="G106" s="185">
        <v>34</v>
      </c>
      <c r="H106" s="185">
        <v>0</v>
      </c>
      <c r="I106" s="185">
        <v>1</v>
      </c>
      <c r="J106" s="185">
        <v>0</v>
      </c>
      <c r="K106" s="185">
        <v>0</v>
      </c>
    </row>
    <row r="107" spans="1:11" s="186" customFormat="1" ht="12" customHeight="1" x14ac:dyDescent="0.2">
      <c r="A107" s="275" t="s">
        <v>113</v>
      </c>
      <c r="B107" s="275"/>
      <c r="C107" s="185">
        <v>1516</v>
      </c>
      <c r="D107" s="185">
        <v>1236</v>
      </c>
      <c r="E107" s="185">
        <v>280</v>
      </c>
      <c r="F107" s="185">
        <v>212</v>
      </c>
      <c r="G107" s="185">
        <v>68</v>
      </c>
      <c r="H107" s="185">
        <v>0</v>
      </c>
      <c r="I107" s="185">
        <v>0</v>
      </c>
      <c r="J107" s="185">
        <v>0</v>
      </c>
      <c r="K107" s="185">
        <v>0</v>
      </c>
    </row>
    <row r="108" spans="1:11" s="186" customFormat="1" ht="12" customHeight="1" x14ac:dyDescent="0.2">
      <c r="A108" s="275" t="s">
        <v>114</v>
      </c>
      <c r="B108" s="275"/>
      <c r="C108" s="185">
        <v>4522</v>
      </c>
      <c r="D108" s="185">
        <v>1886</v>
      </c>
      <c r="E108" s="185">
        <v>2636</v>
      </c>
      <c r="F108" s="185">
        <v>1594</v>
      </c>
      <c r="G108" s="185">
        <v>935</v>
      </c>
      <c r="H108" s="185">
        <v>16</v>
      </c>
      <c r="I108" s="185">
        <v>80</v>
      </c>
      <c r="J108" s="185">
        <v>8</v>
      </c>
      <c r="K108" s="185">
        <v>3</v>
      </c>
    </row>
    <row r="109" spans="1:11" s="186" customFormat="1" ht="12" customHeight="1" x14ac:dyDescent="0.2">
      <c r="A109" s="275" t="s">
        <v>115</v>
      </c>
      <c r="B109" s="275"/>
      <c r="C109" s="185">
        <v>1900</v>
      </c>
      <c r="D109" s="185">
        <v>1620</v>
      </c>
      <c r="E109" s="185">
        <v>280</v>
      </c>
      <c r="F109" s="185">
        <v>210</v>
      </c>
      <c r="G109" s="185">
        <v>70</v>
      </c>
      <c r="H109" s="185">
        <v>0</v>
      </c>
      <c r="I109" s="185">
        <v>0</v>
      </c>
      <c r="J109" s="185">
        <v>0</v>
      </c>
      <c r="K109" s="185">
        <v>0</v>
      </c>
    </row>
    <row r="110" spans="1:11" s="186" customFormat="1" ht="12" customHeight="1" x14ac:dyDescent="0.2">
      <c r="A110" s="275" t="s">
        <v>117</v>
      </c>
      <c r="B110" s="275"/>
      <c r="C110" s="185">
        <v>1615</v>
      </c>
      <c r="D110" s="185">
        <v>1222</v>
      </c>
      <c r="E110" s="185">
        <v>393</v>
      </c>
      <c r="F110" s="185">
        <v>282</v>
      </c>
      <c r="G110" s="185">
        <v>109</v>
      </c>
      <c r="H110" s="185">
        <v>1</v>
      </c>
      <c r="I110" s="185">
        <v>1</v>
      </c>
      <c r="J110" s="185">
        <v>0</v>
      </c>
      <c r="K110" s="185">
        <v>0</v>
      </c>
    </row>
    <row r="111" spans="1:11" s="186" customFormat="1" ht="12" customHeight="1" x14ac:dyDescent="0.2">
      <c r="A111" s="275" t="s">
        <v>118</v>
      </c>
      <c r="B111" s="275"/>
      <c r="C111" s="185">
        <v>1363</v>
      </c>
      <c r="D111" s="185">
        <v>1082</v>
      </c>
      <c r="E111" s="185">
        <v>281</v>
      </c>
      <c r="F111" s="185">
        <v>205</v>
      </c>
      <c r="G111" s="185">
        <v>76</v>
      </c>
      <c r="H111" s="185">
        <v>0</v>
      </c>
      <c r="I111" s="185">
        <v>0</v>
      </c>
      <c r="J111" s="185">
        <v>0</v>
      </c>
      <c r="K111" s="185">
        <v>0</v>
      </c>
    </row>
    <row r="112" spans="1:11" s="186" customFormat="1" ht="12" customHeight="1" x14ac:dyDescent="0.2">
      <c r="A112" s="275" t="s">
        <v>120</v>
      </c>
      <c r="B112" s="275"/>
      <c r="C112" s="185">
        <v>791</v>
      </c>
      <c r="D112" s="185">
        <v>634</v>
      </c>
      <c r="E112" s="185">
        <v>157</v>
      </c>
      <c r="F112" s="185">
        <v>125</v>
      </c>
      <c r="G112" s="185">
        <v>27</v>
      </c>
      <c r="H112" s="185">
        <v>5</v>
      </c>
      <c r="I112" s="185">
        <v>0</v>
      </c>
      <c r="J112" s="185">
        <v>0</v>
      </c>
      <c r="K112" s="185">
        <v>0</v>
      </c>
    </row>
    <row r="113" spans="1:11" s="186" customFormat="1" ht="12" customHeight="1" x14ac:dyDescent="0.2">
      <c r="A113" s="275" t="s">
        <v>121</v>
      </c>
      <c r="B113" s="275"/>
      <c r="C113" s="185">
        <v>2183</v>
      </c>
      <c r="D113" s="185">
        <v>1485</v>
      </c>
      <c r="E113" s="185">
        <v>698</v>
      </c>
      <c r="F113" s="185">
        <v>506</v>
      </c>
      <c r="G113" s="185">
        <v>177</v>
      </c>
      <c r="H113" s="185">
        <v>8</v>
      </c>
      <c r="I113" s="185">
        <v>7</v>
      </c>
      <c r="J113" s="185">
        <v>0</v>
      </c>
      <c r="K113" s="185">
        <v>0</v>
      </c>
    </row>
    <row r="114" spans="1:11" s="186" customFormat="1" ht="12" customHeight="1" x14ac:dyDescent="0.2">
      <c r="A114" s="275" t="s">
        <v>125</v>
      </c>
      <c r="B114" s="275"/>
      <c r="C114" s="185">
        <v>1980</v>
      </c>
      <c r="D114" s="185">
        <v>1269</v>
      </c>
      <c r="E114" s="185">
        <v>711</v>
      </c>
      <c r="F114" s="185">
        <v>371</v>
      </c>
      <c r="G114" s="185">
        <v>337</v>
      </c>
      <c r="H114" s="185">
        <v>3</v>
      </c>
      <c r="I114" s="185">
        <v>0</v>
      </c>
      <c r="J114" s="185">
        <v>0</v>
      </c>
      <c r="K114" s="185">
        <v>0</v>
      </c>
    </row>
    <row r="115" spans="1:11" s="186" customFormat="1" ht="12" customHeight="1" x14ac:dyDescent="0.2">
      <c r="A115" s="275" t="s">
        <v>126</v>
      </c>
      <c r="B115" s="275"/>
      <c r="C115" s="185">
        <v>3085</v>
      </c>
      <c r="D115" s="185">
        <v>2277</v>
      </c>
      <c r="E115" s="185">
        <v>808</v>
      </c>
      <c r="F115" s="185">
        <v>620</v>
      </c>
      <c r="G115" s="185">
        <v>170</v>
      </c>
      <c r="H115" s="185">
        <v>1</v>
      </c>
      <c r="I115" s="185">
        <v>17</v>
      </c>
      <c r="J115" s="185">
        <v>0</v>
      </c>
      <c r="K115" s="185">
        <v>0</v>
      </c>
    </row>
    <row r="116" spans="1:11" s="186" customFormat="1" ht="12" customHeight="1" x14ac:dyDescent="0.2">
      <c r="A116" s="275" t="s">
        <v>389</v>
      </c>
      <c r="B116" s="281"/>
      <c r="C116" s="185">
        <v>3140</v>
      </c>
      <c r="D116" s="185">
        <v>2380</v>
      </c>
      <c r="E116" s="185">
        <v>760</v>
      </c>
      <c r="F116" s="185">
        <v>562</v>
      </c>
      <c r="G116" s="185">
        <v>192</v>
      </c>
      <c r="H116" s="185">
        <v>4</v>
      </c>
      <c r="I116" s="185">
        <v>2</v>
      </c>
      <c r="J116" s="185">
        <v>0</v>
      </c>
      <c r="K116" s="185">
        <v>0</v>
      </c>
    </row>
    <row r="117" spans="1:11" s="186" customFormat="1" ht="12" customHeight="1" x14ac:dyDescent="0.2">
      <c r="A117" s="275" t="s">
        <v>128</v>
      </c>
      <c r="B117" s="275"/>
      <c r="C117" s="185">
        <v>609</v>
      </c>
      <c r="D117" s="185">
        <v>491</v>
      </c>
      <c r="E117" s="185">
        <v>118</v>
      </c>
      <c r="F117" s="185">
        <v>84</v>
      </c>
      <c r="G117" s="185">
        <v>33</v>
      </c>
      <c r="H117" s="185">
        <v>1</v>
      </c>
      <c r="I117" s="185">
        <v>0</v>
      </c>
      <c r="J117" s="185">
        <v>0</v>
      </c>
      <c r="K117" s="185">
        <v>0</v>
      </c>
    </row>
    <row r="118" spans="1:11" s="186" customFormat="1" ht="12" customHeight="1" x14ac:dyDescent="0.2">
      <c r="A118" s="275" t="s">
        <v>129</v>
      </c>
      <c r="B118" s="275"/>
      <c r="C118" s="185">
        <v>1909</v>
      </c>
      <c r="D118" s="185">
        <v>1432</v>
      </c>
      <c r="E118" s="185">
        <v>477</v>
      </c>
      <c r="F118" s="185">
        <v>409</v>
      </c>
      <c r="G118" s="185">
        <v>62</v>
      </c>
      <c r="H118" s="185">
        <v>1</v>
      </c>
      <c r="I118" s="185">
        <v>4</v>
      </c>
      <c r="J118" s="185">
        <v>1</v>
      </c>
      <c r="K118" s="185">
        <v>0</v>
      </c>
    </row>
    <row r="119" spans="1:11" s="186" customFormat="1" ht="12" customHeight="1" x14ac:dyDescent="0.2">
      <c r="A119" s="282" t="s">
        <v>130</v>
      </c>
      <c r="B119" s="282"/>
      <c r="C119" s="196">
        <v>418</v>
      </c>
      <c r="D119" s="196">
        <v>239</v>
      </c>
      <c r="E119" s="196">
        <v>179</v>
      </c>
      <c r="F119" s="196">
        <v>115</v>
      </c>
      <c r="G119" s="196">
        <v>64</v>
      </c>
      <c r="H119" s="196">
        <v>0</v>
      </c>
      <c r="I119" s="196">
        <v>0</v>
      </c>
      <c r="J119" s="196">
        <v>0</v>
      </c>
      <c r="K119" s="196">
        <v>0</v>
      </c>
    </row>
    <row r="120" spans="1:11" s="186" customFormat="1" ht="12" customHeight="1" x14ac:dyDescent="0.2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</row>
    <row r="121" spans="1:11" s="186" customFormat="1" ht="12" customHeight="1" x14ac:dyDescent="0.2">
      <c r="A121" s="276" t="s">
        <v>131</v>
      </c>
      <c r="B121" s="276"/>
      <c r="C121" s="183">
        <v>64159</v>
      </c>
      <c r="D121" s="183">
        <v>48139</v>
      </c>
      <c r="E121" s="183">
        <v>16020</v>
      </c>
      <c r="F121" s="183">
        <v>11545</v>
      </c>
      <c r="G121" s="183">
        <v>4113</v>
      </c>
      <c r="H121" s="183">
        <v>113</v>
      </c>
      <c r="I121" s="183">
        <v>231</v>
      </c>
      <c r="J121" s="183">
        <v>18</v>
      </c>
      <c r="K121" s="183">
        <v>0</v>
      </c>
    </row>
    <row r="122" spans="1:11" s="186" customFormat="1" ht="12" customHeight="1" x14ac:dyDescent="0.2">
      <c r="A122" s="275" t="s">
        <v>132</v>
      </c>
      <c r="B122" s="275"/>
      <c r="C122" s="185">
        <v>5442</v>
      </c>
      <c r="D122" s="185">
        <v>3917</v>
      </c>
      <c r="E122" s="185">
        <v>1525</v>
      </c>
      <c r="F122" s="185">
        <v>1124</v>
      </c>
      <c r="G122" s="185">
        <v>381</v>
      </c>
      <c r="H122" s="185">
        <v>18</v>
      </c>
      <c r="I122" s="185">
        <v>2</v>
      </c>
      <c r="J122" s="185">
        <v>0</v>
      </c>
      <c r="K122" s="185">
        <v>0</v>
      </c>
    </row>
    <row r="123" spans="1:11" s="186" customFormat="1" ht="12" customHeight="1" x14ac:dyDescent="0.2">
      <c r="A123" s="275" t="s">
        <v>134</v>
      </c>
      <c r="B123" s="275"/>
      <c r="C123" s="185">
        <v>461</v>
      </c>
      <c r="D123" s="185">
        <v>369</v>
      </c>
      <c r="E123" s="185">
        <v>92</v>
      </c>
      <c r="F123" s="185">
        <v>71</v>
      </c>
      <c r="G123" s="185">
        <v>21</v>
      </c>
      <c r="H123" s="185">
        <v>0</v>
      </c>
      <c r="I123" s="185">
        <v>0</v>
      </c>
      <c r="J123" s="185">
        <v>0</v>
      </c>
      <c r="K123" s="185">
        <v>0</v>
      </c>
    </row>
    <row r="124" spans="1:11" s="186" customFormat="1" ht="12" customHeight="1" x14ac:dyDescent="0.2">
      <c r="A124" s="275" t="s">
        <v>135</v>
      </c>
      <c r="B124" s="275"/>
      <c r="C124" s="185">
        <v>1664</v>
      </c>
      <c r="D124" s="185">
        <v>1317</v>
      </c>
      <c r="E124" s="185">
        <v>347</v>
      </c>
      <c r="F124" s="185">
        <v>222</v>
      </c>
      <c r="G124" s="185">
        <v>123</v>
      </c>
      <c r="H124" s="185">
        <v>1</v>
      </c>
      <c r="I124" s="185">
        <v>1</v>
      </c>
      <c r="J124" s="185">
        <v>0</v>
      </c>
      <c r="K124" s="185">
        <v>0</v>
      </c>
    </row>
    <row r="125" spans="1:11" s="186" customFormat="1" ht="12" customHeight="1" x14ac:dyDescent="0.2">
      <c r="A125" s="275" t="s">
        <v>138</v>
      </c>
      <c r="B125" s="275"/>
      <c r="C125" s="185">
        <v>1107</v>
      </c>
      <c r="D125" s="185">
        <v>997</v>
      </c>
      <c r="E125" s="185">
        <v>110</v>
      </c>
      <c r="F125" s="185">
        <v>91</v>
      </c>
      <c r="G125" s="185">
        <v>19</v>
      </c>
      <c r="H125" s="185">
        <v>0</v>
      </c>
      <c r="I125" s="185">
        <v>0</v>
      </c>
      <c r="J125" s="185">
        <v>0</v>
      </c>
      <c r="K125" s="185">
        <v>0</v>
      </c>
    </row>
    <row r="126" spans="1:11" s="186" customFormat="1" ht="12" customHeight="1" x14ac:dyDescent="0.2">
      <c r="A126" s="275" t="s">
        <v>141</v>
      </c>
      <c r="B126" s="275"/>
      <c r="C126" s="185">
        <v>2828</v>
      </c>
      <c r="D126" s="185">
        <v>2407</v>
      </c>
      <c r="E126" s="185">
        <v>421</v>
      </c>
      <c r="F126" s="185">
        <v>330</v>
      </c>
      <c r="G126" s="185">
        <v>88</v>
      </c>
      <c r="H126" s="185">
        <v>2</v>
      </c>
      <c r="I126" s="185">
        <v>1</v>
      </c>
      <c r="J126" s="185">
        <v>0</v>
      </c>
      <c r="K126" s="185">
        <v>0</v>
      </c>
    </row>
    <row r="127" spans="1:11" s="186" customFormat="1" ht="12" customHeight="1" x14ac:dyDescent="0.2">
      <c r="A127" s="275" t="s">
        <v>337</v>
      </c>
      <c r="B127" s="275"/>
      <c r="C127" s="185">
        <v>5115</v>
      </c>
      <c r="D127" s="185">
        <v>3994</v>
      </c>
      <c r="E127" s="185">
        <v>1121</v>
      </c>
      <c r="F127" s="185">
        <v>809</v>
      </c>
      <c r="G127" s="185">
        <v>303</v>
      </c>
      <c r="H127" s="185">
        <v>3</v>
      </c>
      <c r="I127" s="185">
        <v>6</v>
      </c>
      <c r="J127" s="185">
        <v>0</v>
      </c>
      <c r="K127" s="185">
        <v>0</v>
      </c>
    </row>
    <row r="128" spans="1:11" s="186" customFormat="1" ht="12" customHeight="1" x14ac:dyDescent="0.2">
      <c r="A128" s="275" t="s">
        <v>144</v>
      </c>
      <c r="B128" s="275"/>
      <c r="C128" s="185">
        <v>4740</v>
      </c>
      <c r="D128" s="185">
        <v>3814</v>
      </c>
      <c r="E128" s="185">
        <v>926</v>
      </c>
      <c r="F128" s="185">
        <v>731</v>
      </c>
      <c r="G128" s="185">
        <v>184</v>
      </c>
      <c r="H128" s="185">
        <v>10</v>
      </c>
      <c r="I128" s="185">
        <v>1</v>
      </c>
      <c r="J128" s="185">
        <v>0</v>
      </c>
      <c r="K128" s="185">
        <v>0</v>
      </c>
    </row>
    <row r="129" spans="1:11" s="186" customFormat="1" ht="12" customHeight="1" x14ac:dyDescent="0.2">
      <c r="A129" s="275" t="s">
        <v>148</v>
      </c>
      <c r="B129" s="275"/>
      <c r="C129" s="185">
        <v>1225</v>
      </c>
      <c r="D129" s="185">
        <v>933</v>
      </c>
      <c r="E129" s="185">
        <v>292</v>
      </c>
      <c r="F129" s="185">
        <v>164</v>
      </c>
      <c r="G129" s="185">
        <v>92</v>
      </c>
      <c r="H129" s="185">
        <v>0</v>
      </c>
      <c r="I129" s="185">
        <v>35</v>
      </c>
      <c r="J129" s="185">
        <v>1</v>
      </c>
      <c r="K129" s="185">
        <v>0</v>
      </c>
    </row>
    <row r="130" spans="1:11" s="186" customFormat="1" ht="12" customHeight="1" x14ac:dyDescent="0.2">
      <c r="A130" s="275" t="s">
        <v>149</v>
      </c>
      <c r="B130" s="275"/>
      <c r="C130" s="185">
        <v>16075</v>
      </c>
      <c r="D130" s="185">
        <v>10508</v>
      </c>
      <c r="E130" s="185">
        <v>5567</v>
      </c>
      <c r="F130" s="185">
        <v>3940</v>
      </c>
      <c r="G130" s="185">
        <v>1479</v>
      </c>
      <c r="H130" s="185">
        <v>36</v>
      </c>
      <c r="I130" s="185">
        <v>102</v>
      </c>
      <c r="J130" s="185">
        <v>10</v>
      </c>
      <c r="K130" s="185">
        <v>0</v>
      </c>
    </row>
    <row r="131" spans="1:11" s="186" customFormat="1" ht="12" customHeight="1" x14ac:dyDescent="0.2">
      <c r="A131" s="275" t="s">
        <v>150</v>
      </c>
      <c r="B131" s="275"/>
      <c r="C131" s="185">
        <v>6729</v>
      </c>
      <c r="D131" s="185">
        <v>5162</v>
      </c>
      <c r="E131" s="185">
        <v>1567</v>
      </c>
      <c r="F131" s="185">
        <v>1155</v>
      </c>
      <c r="G131" s="185">
        <v>386</v>
      </c>
      <c r="H131" s="185">
        <v>17</v>
      </c>
      <c r="I131" s="185">
        <v>8</v>
      </c>
      <c r="J131" s="185">
        <v>1</v>
      </c>
      <c r="K131" s="185">
        <v>0</v>
      </c>
    </row>
    <row r="132" spans="1:11" s="186" customFormat="1" ht="12" customHeight="1" x14ac:dyDescent="0.2">
      <c r="A132" s="275" t="s">
        <v>152</v>
      </c>
      <c r="B132" s="275"/>
      <c r="C132" s="185">
        <v>201</v>
      </c>
      <c r="D132" s="185">
        <v>187</v>
      </c>
      <c r="E132" s="185">
        <v>14</v>
      </c>
      <c r="F132" s="185">
        <v>11</v>
      </c>
      <c r="G132" s="185">
        <v>3</v>
      </c>
      <c r="H132" s="185">
        <v>0</v>
      </c>
      <c r="I132" s="185">
        <v>0</v>
      </c>
      <c r="J132" s="185">
        <v>0</v>
      </c>
      <c r="K132" s="185">
        <v>0</v>
      </c>
    </row>
    <row r="133" spans="1:11" s="186" customFormat="1" ht="12" customHeight="1" x14ac:dyDescent="0.2">
      <c r="A133" s="275" t="s">
        <v>153</v>
      </c>
      <c r="B133" s="275"/>
      <c r="C133" s="185">
        <v>7340</v>
      </c>
      <c r="D133" s="185">
        <v>5551</v>
      </c>
      <c r="E133" s="185">
        <v>1789</v>
      </c>
      <c r="F133" s="185">
        <v>1319</v>
      </c>
      <c r="G133" s="185">
        <v>433</v>
      </c>
      <c r="H133" s="185">
        <v>11</v>
      </c>
      <c r="I133" s="185">
        <v>24</v>
      </c>
      <c r="J133" s="185">
        <v>2</v>
      </c>
      <c r="K133" s="185">
        <v>0</v>
      </c>
    </row>
    <row r="134" spans="1:11" s="186" customFormat="1" ht="12" customHeight="1" x14ac:dyDescent="0.2">
      <c r="A134" s="275" t="s">
        <v>155</v>
      </c>
      <c r="B134" s="275"/>
      <c r="C134" s="185">
        <v>2611</v>
      </c>
      <c r="D134" s="185">
        <v>1849</v>
      </c>
      <c r="E134" s="185">
        <v>762</v>
      </c>
      <c r="F134" s="185">
        <v>477</v>
      </c>
      <c r="G134" s="185">
        <v>258</v>
      </c>
      <c r="H134" s="185">
        <v>3</v>
      </c>
      <c r="I134" s="185">
        <v>23</v>
      </c>
      <c r="J134" s="185">
        <v>1</v>
      </c>
      <c r="K134" s="185">
        <v>0</v>
      </c>
    </row>
    <row r="135" spans="1:11" s="186" customFormat="1" ht="12" customHeight="1" x14ac:dyDescent="0.2">
      <c r="A135" s="275" t="s">
        <v>156</v>
      </c>
      <c r="B135" s="275"/>
      <c r="C135" s="185">
        <v>682</v>
      </c>
      <c r="D135" s="185">
        <v>630</v>
      </c>
      <c r="E135" s="185">
        <v>52</v>
      </c>
      <c r="F135" s="185">
        <v>40</v>
      </c>
      <c r="G135" s="185">
        <v>11</v>
      </c>
      <c r="H135" s="185">
        <v>1</v>
      </c>
      <c r="I135" s="185">
        <v>0</v>
      </c>
      <c r="J135" s="185">
        <v>0</v>
      </c>
      <c r="K135" s="185">
        <v>0</v>
      </c>
    </row>
    <row r="136" spans="1:11" s="186" customFormat="1" ht="12" customHeight="1" x14ac:dyDescent="0.2">
      <c r="A136" s="275" t="s">
        <v>157</v>
      </c>
      <c r="B136" s="275"/>
      <c r="C136" s="185">
        <v>699</v>
      </c>
      <c r="D136" s="185">
        <v>568</v>
      </c>
      <c r="E136" s="185">
        <v>131</v>
      </c>
      <c r="F136" s="185">
        <v>96</v>
      </c>
      <c r="G136" s="185">
        <v>33</v>
      </c>
      <c r="H136" s="185">
        <v>2</v>
      </c>
      <c r="I136" s="185">
        <v>0</v>
      </c>
      <c r="J136" s="185">
        <v>0</v>
      </c>
      <c r="K136" s="185">
        <v>0</v>
      </c>
    </row>
    <row r="137" spans="1:11" s="186" customFormat="1" ht="12" customHeight="1" x14ac:dyDescent="0.2">
      <c r="A137" s="275" t="s">
        <v>159</v>
      </c>
      <c r="B137" s="275"/>
      <c r="C137" s="185">
        <v>542</v>
      </c>
      <c r="D137" s="185">
        <v>407</v>
      </c>
      <c r="E137" s="185">
        <v>135</v>
      </c>
      <c r="F137" s="185">
        <v>99</v>
      </c>
      <c r="G137" s="185">
        <v>33</v>
      </c>
      <c r="H137" s="185">
        <v>3</v>
      </c>
      <c r="I137" s="185">
        <v>0</v>
      </c>
      <c r="J137" s="185">
        <v>0</v>
      </c>
      <c r="K137" s="185">
        <v>0</v>
      </c>
    </row>
    <row r="138" spans="1:11" s="186" customFormat="1" ht="12" customHeight="1" x14ac:dyDescent="0.2">
      <c r="A138" s="275" t="s">
        <v>164</v>
      </c>
      <c r="B138" s="275"/>
      <c r="C138" s="185">
        <v>3234</v>
      </c>
      <c r="D138" s="185">
        <v>2439</v>
      </c>
      <c r="E138" s="185">
        <v>795</v>
      </c>
      <c r="F138" s="185">
        <v>590</v>
      </c>
      <c r="G138" s="185">
        <v>172</v>
      </c>
      <c r="H138" s="185">
        <v>2</v>
      </c>
      <c r="I138" s="185">
        <v>28</v>
      </c>
      <c r="J138" s="185">
        <v>3</v>
      </c>
      <c r="K138" s="185">
        <v>0</v>
      </c>
    </row>
    <row r="139" spans="1:11" s="186" customFormat="1" ht="12" customHeight="1" x14ac:dyDescent="0.2">
      <c r="A139" s="275" t="s">
        <v>348</v>
      </c>
      <c r="B139" s="275"/>
      <c r="C139" s="185">
        <v>2679</v>
      </c>
      <c r="D139" s="185">
        <v>2351</v>
      </c>
      <c r="E139" s="185">
        <v>328</v>
      </c>
      <c r="F139" s="185">
        <v>244</v>
      </c>
      <c r="G139" s="185">
        <v>80</v>
      </c>
      <c r="H139" s="185">
        <v>4</v>
      </c>
      <c r="I139" s="185">
        <v>0</v>
      </c>
      <c r="J139" s="185">
        <v>0</v>
      </c>
      <c r="K139" s="185">
        <v>0</v>
      </c>
    </row>
    <row r="140" spans="1:11" s="186" customFormat="1" ht="12" customHeight="1" x14ac:dyDescent="0.2">
      <c r="A140" s="198" t="s">
        <v>384</v>
      </c>
      <c r="B140" s="198"/>
      <c r="C140" s="196">
        <v>785</v>
      </c>
      <c r="D140" s="196">
        <v>739</v>
      </c>
      <c r="E140" s="196">
        <v>46</v>
      </c>
      <c r="F140" s="196">
        <v>32</v>
      </c>
      <c r="G140" s="196">
        <v>14</v>
      </c>
      <c r="H140" s="196">
        <v>0</v>
      </c>
      <c r="I140" s="196">
        <v>0</v>
      </c>
      <c r="J140" s="196">
        <v>0</v>
      </c>
      <c r="K140" s="196">
        <v>0</v>
      </c>
    </row>
    <row r="141" spans="1:11" s="186" customFormat="1" ht="12" customHeight="1" x14ac:dyDescent="0.2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</row>
    <row r="142" spans="1:11" s="186" customFormat="1" ht="12" customHeight="1" x14ac:dyDescent="0.2">
      <c r="A142" s="276" t="s">
        <v>169</v>
      </c>
      <c r="B142" s="276"/>
      <c r="C142" s="183">
        <v>5925</v>
      </c>
      <c r="D142" s="183">
        <v>5290</v>
      </c>
      <c r="E142" s="183">
        <v>635</v>
      </c>
      <c r="F142" s="183">
        <v>492</v>
      </c>
      <c r="G142" s="183">
        <v>139</v>
      </c>
      <c r="H142" s="183">
        <v>4</v>
      </c>
      <c r="I142" s="183">
        <v>0</v>
      </c>
      <c r="J142" s="183">
        <v>0</v>
      </c>
      <c r="K142" s="183">
        <v>0</v>
      </c>
    </row>
    <row r="143" spans="1:11" s="186" customFormat="1" ht="12" customHeight="1" x14ac:dyDescent="0.2">
      <c r="A143" s="275" t="s">
        <v>170</v>
      </c>
      <c r="B143" s="275"/>
      <c r="C143" s="185">
        <v>1523</v>
      </c>
      <c r="D143" s="185">
        <v>1374</v>
      </c>
      <c r="E143" s="185">
        <v>149</v>
      </c>
      <c r="F143" s="185">
        <v>117</v>
      </c>
      <c r="G143" s="185">
        <v>30</v>
      </c>
      <c r="H143" s="185">
        <v>2</v>
      </c>
      <c r="I143" s="185">
        <v>0</v>
      </c>
      <c r="J143" s="185">
        <v>0</v>
      </c>
      <c r="K143" s="185">
        <v>0</v>
      </c>
    </row>
    <row r="144" spans="1:11" s="186" customFormat="1" ht="12" customHeight="1" x14ac:dyDescent="0.2">
      <c r="A144" s="275" t="s">
        <v>171</v>
      </c>
      <c r="B144" s="275"/>
      <c r="C144" s="185">
        <v>54</v>
      </c>
      <c r="D144" s="185">
        <v>48</v>
      </c>
      <c r="E144" s="185">
        <v>6</v>
      </c>
      <c r="F144" s="185">
        <v>3</v>
      </c>
      <c r="G144" s="185">
        <v>3</v>
      </c>
      <c r="H144" s="185">
        <v>0</v>
      </c>
      <c r="I144" s="185">
        <v>0</v>
      </c>
      <c r="J144" s="185">
        <v>0</v>
      </c>
      <c r="K144" s="185">
        <v>0</v>
      </c>
    </row>
    <row r="145" spans="1:11" s="186" customFormat="1" ht="12" customHeight="1" x14ac:dyDescent="0.2">
      <c r="A145" s="275" t="s">
        <v>172</v>
      </c>
      <c r="B145" s="275"/>
      <c r="C145" s="185">
        <v>52</v>
      </c>
      <c r="D145" s="185">
        <v>43</v>
      </c>
      <c r="E145" s="185">
        <v>9</v>
      </c>
      <c r="F145" s="185">
        <v>7</v>
      </c>
      <c r="G145" s="185">
        <v>2</v>
      </c>
      <c r="H145" s="185">
        <v>0</v>
      </c>
      <c r="I145" s="185">
        <v>0</v>
      </c>
      <c r="J145" s="185">
        <v>0</v>
      </c>
      <c r="K145" s="185">
        <v>0</v>
      </c>
    </row>
    <row r="146" spans="1:11" s="186" customFormat="1" ht="12" customHeight="1" x14ac:dyDescent="0.2">
      <c r="A146" s="275" t="s">
        <v>173</v>
      </c>
      <c r="B146" s="275"/>
      <c r="C146" s="185">
        <v>36</v>
      </c>
      <c r="D146" s="185">
        <v>33</v>
      </c>
      <c r="E146" s="185">
        <v>3</v>
      </c>
      <c r="F146" s="185">
        <v>2</v>
      </c>
      <c r="G146" s="185">
        <v>1</v>
      </c>
      <c r="H146" s="185">
        <v>0</v>
      </c>
      <c r="I146" s="185">
        <v>0</v>
      </c>
      <c r="J146" s="185">
        <v>0</v>
      </c>
      <c r="K146" s="185">
        <v>0</v>
      </c>
    </row>
    <row r="147" spans="1:11" s="186" customFormat="1" ht="12" customHeight="1" x14ac:dyDescent="0.2">
      <c r="A147" s="275" t="s">
        <v>174</v>
      </c>
      <c r="B147" s="275"/>
      <c r="C147" s="185">
        <v>1118</v>
      </c>
      <c r="D147" s="185">
        <v>960</v>
      </c>
      <c r="E147" s="185">
        <v>158</v>
      </c>
      <c r="F147" s="185">
        <v>119</v>
      </c>
      <c r="G147" s="185">
        <v>38</v>
      </c>
      <c r="H147" s="185">
        <v>1</v>
      </c>
      <c r="I147" s="185">
        <v>0</v>
      </c>
      <c r="J147" s="185">
        <v>0</v>
      </c>
      <c r="K147" s="185">
        <v>0</v>
      </c>
    </row>
    <row r="148" spans="1:11" s="186" customFormat="1" ht="12" customHeight="1" x14ac:dyDescent="0.2">
      <c r="A148" s="275" t="s">
        <v>175</v>
      </c>
      <c r="B148" s="275"/>
      <c r="C148" s="185">
        <v>497</v>
      </c>
      <c r="D148" s="185">
        <v>458</v>
      </c>
      <c r="E148" s="185">
        <v>39</v>
      </c>
      <c r="F148" s="185">
        <v>28</v>
      </c>
      <c r="G148" s="185">
        <v>11</v>
      </c>
      <c r="H148" s="185">
        <v>0</v>
      </c>
      <c r="I148" s="185">
        <v>0</v>
      </c>
      <c r="J148" s="185">
        <v>0</v>
      </c>
      <c r="K148" s="185">
        <v>0</v>
      </c>
    </row>
    <row r="149" spans="1:11" s="186" customFormat="1" ht="12" customHeight="1" x14ac:dyDescent="0.2">
      <c r="A149" s="275" t="s">
        <v>176</v>
      </c>
      <c r="B149" s="275"/>
      <c r="C149" s="185">
        <v>41</v>
      </c>
      <c r="D149" s="185">
        <v>37</v>
      </c>
      <c r="E149" s="185">
        <v>4</v>
      </c>
      <c r="F149" s="185">
        <v>3</v>
      </c>
      <c r="G149" s="185">
        <v>1</v>
      </c>
      <c r="H149" s="185">
        <v>0</v>
      </c>
      <c r="I149" s="185">
        <v>0</v>
      </c>
      <c r="J149" s="185">
        <v>0</v>
      </c>
      <c r="K149" s="185">
        <v>0</v>
      </c>
    </row>
    <row r="150" spans="1:11" s="186" customFormat="1" ht="12" customHeight="1" x14ac:dyDescent="0.2">
      <c r="A150" s="278" t="s">
        <v>177</v>
      </c>
      <c r="B150" s="278"/>
      <c r="C150" s="196">
        <v>2604</v>
      </c>
      <c r="D150" s="196">
        <v>2337</v>
      </c>
      <c r="E150" s="196">
        <v>267</v>
      </c>
      <c r="F150" s="196">
        <v>213</v>
      </c>
      <c r="G150" s="196">
        <v>53</v>
      </c>
      <c r="H150" s="196">
        <v>1</v>
      </c>
      <c r="I150" s="196">
        <v>0</v>
      </c>
      <c r="J150" s="196">
        <v>0</v>
      </c>
      <c r="K150" s="196">
        <v>0</v>
      </c>
    </row>
    <row r="151" spans="1:11" s="186" customFormat="1" ht="12" customHeight="1" x14ac:dyDescent="0.2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</row>
    <row r="152" spans="1:11" s="186" customFormat="1" ht="12" customHeight="1" x14ac:dyDescent="0.2">
      <c r="A152" s="276" t="s">
        <v>178</v>
      </c>
      <c r="B152" s="276"/>
      <c r="C152" s="183">
        <v>56371</v>
      </c>
      <c r="D152" s="183">
        <v>41528</v>
      </c>
      <c r="E152" s="183">
        <v>14843</v>
      </c>
      <c r="F152" s="183">
        <v>10783</v>
      </c>
      <c r="G152" s="183">
        <v>3549</v>
      </c>
      <c r="H152" s="183">
        <v>89</v>
      </c>
      <c r="I152" s="183">
        <v>404</v>
      </c>
      <c r="J152" s="183">
        <v>18</v>
      </c>
      <c r="K152" s="183">
        <v>0</v>
      </c>
    </row>
    <row r="153" spans="1:11" s="186" customFormat="1" ht="12" customHeight="1" x14ac:dyDescent="0.2">
      <c r="A153" s="275" t="s">
        <v>179</v>
      </c>
      <c r="B153" s="275"/>
      <c r="C153" s="185">
        <v>5042</v>
      </c>
      <c r="D153" s="185">
        <v>3694</v>
      </c>
      <c r="E153" s="185">
        <v>1348</v>
      </c>
      <c r="F153" s="185">
        <v>1038</v>
      </c>
      <c r="G153" s="185">
        <v>250</v>
      </c>
      <c r="H153" s="185">
        <v>4</v>
      </c>
      <c r="I153" s="185">
        <v>55</v>
      </c>
      <c r="J153" s="185">
        <v>1</v>
      </c>
      <c r="K153" s="185">
        <v>0</v>
      </c>
    </row>
    <row r="154" spans="1:11" s="186" customFormat="1" ht="12" customHeight="1" x14ac:dyDescent="0.2">
      <c r="A154" s="275" t="s">
        <v>180</v>
      </c>
      <c r="B154" s="275"/>
      <c r="C154" s="185">
        <v>43785</v>
      </c>
      <c r="D154" s="185">
        <v>32546</v>
      </c>
      <c r="E154" s="185">
        <v>11239</v>
      </c>
      <c r="F154" s="185">
        <v>8105</v>
      </c>
      <c r="G154" s="185">
        <v>2768</v>
      </c>
      <c r="H154" s="185">
        <v>64</v>
      </c>
      <c r="I154" s="185">
        <v>285</v>
      </c>
      <c r="J154" s="185">
        <v>17</v>
      </c>
      <c r="K154" s="185">
        <v>0</v>
      </c>
    </row>
    <row r="155" spans="1:11" s="186" customFormat="1" ht="12" customHeight="1" x14ac:dyDescent="0.2">
      <c r="A155" s="275" t="s">
        <v>181</v>
      </c>
      <c r="B155" s="275"/>
      <c r="C155" s="185">
        <v>3024</v>
      </c>
      <c r="D155" s="185">
        <v>1774</v>
      </c>
      <c r="E155" s="185">
        <v>1250</v>
      </c>
      <c r="F155" s="185">
        <v>887</v>
      </c>
      <c r="G155" s="185">
        <v>326</v>
      </c>
      <c r="H155" s="185">
        <v>12</v>
      </c>
      <c r="I155" s="185">
        <v>25</v>
      </c>
      <c r="J155" s="185">
        <v>0</v>
      </c>
      <c r="K155" s="185">
        <v>0</v>
      </c>
    </row>
    <row r="156" spans="1:11" s="186" customFormat="1" ht="12" customHeight="1" x14ac:dyDescent="0.2">
      <c r="A156" s="275" t="s">
        <v>187</v>
      </c>
      <c r="B156" s="275"/>
      <c r="C156" s="185">
        <v>384</v>
      </c>
      <c r="D156" s="185">
        <v>349</v>
      </c>
      <c r="E156" s="185">
        <v>35</v>
      </c>
      <c r="F156" s="185">
        <v>23</v>
      </c>
      <c r="G156" s="185">
        <v>12</v>
      </c>
      <c r="H156" s="185">
        <v>0</v>
      </c>
      <c r="I156" s="185">
        <v>0</v>
      </c>
      <c r="J156" s="185">
        <v>0</v>
      </c>
      <c r="K156" s="185">
        <v>0</v>
      </c>
    </row>
    <row r="157" spans="1:11" s="186" customFormat="1" ht="12" customHeight="1" x14ac:dyDescent="0.2">
      <c r="A157" s="275" t="s">
        <v>188</v>
      </c>
      <c r="B157" s="275"/>
      <c r="C157" s="185">
        <v>1580</v>
      </c>
      <c r="D157" s="185">
        <v>1277</v>
      </c>
      <c r="E157" s="185">
        <v>303</v>
      </c>
      <c r="F157" s="185">
        <v>203</v>
      </c>
      <c r="G157" s="185">
        <v>93</v>
      </c>
      <c r="H157" s="185">
        <v>2</v>
      </c>
      <c r="I157" s="185">
        <v>5</v>
      </c>
      <c r="J157" s="185">
        <v>0</v>
      </c>
      <c r="K157" s="185">
        <v>0</v>
      </c>
    </row>
    <row r="158" spans="1:11" s="186" customFormat="1" ht="12" customHeight="1" x14ac:dyDescent="0.2">
      <c r="A158" s="282" t="s">
        <v>194</v>
      </c>
      <c r="B158" s="282"/>
      <c r="C158" s="196">
        <v>2556</v>
      </c>
      <c r="D158" s="196">
        <v>1888</v>
      </c>
      <c r="E158" s="196">
        <v>668</v>
      </c>
      <c r="F158" s="196">
        <v>527</v>
      </c>
      <c r="G158" s="196">
        <v>100</v>
      </c>
      <c r="H158" s="196">
        <v>7</v>
      </c>
      <c r="I158" s="196">
        <v>34</v>
      </c>
      <c r="J158" s="196">
        <v>0</v>
      </c>
      <c r="K158" s="196">
        <v>0</v>
      </c>
    </row>
    <row r="159" spans="1:11" s="186" customFormat="1" ht="12" customHeight="1" x14ac:dyDescent="0.2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</row>
    <row r="160" spans="1:11" s="186" customFormat="1" ht="12" customHeight="1" x14ac:dyDescent="0.2">
      <c r="A160" s="276" t="s">
        <v>197</v>
      </c>
      <c r="B160" s="276"/>
      <c r="C160" s="183">
        <v>10354</v>
      </c>
      <c r="D160" s="183">
        <v>7034</v>
      </c>
      <c r="E160" s="183">
        <v>3320</v>
      </c>
      <c r="F160" s="183">
        <v>2618</v>
      </c>
      <c r="G160" s="183">
        <v>617</v>
      </c>
      <c r="H160" s="183">
        <v>17</v>
      </c>
      <c r="I160" s="183">
        <v>68</v>
      </c>
      <c r="J160" s="183">
        <v>0</v>
      </c>
      <c r="K160" s="183">
        <v>0</v>
      </c>
    </row>
    <row r="161" spans="1:11" s="186" customFormat="1" ht="12" customHeight="1" x14ac:dyDescent="0.2">
      <c r="A161" s="275" t="s">
        <v>198</v>
      </c>
      <c r="B161" s="275"/>
      <c r="C161" s="185">
        <v>6100</v>
      </c>
      <c r="D161" s="185">
        <v>4032</v>
      </c>
      <c r="E161" s="185">
        <v>2068</v>
      </c>
      <c r="F161" s="185">
        <v>1615</v>
      </c>
      <c r="G161" s="185">
        <v>379</v>
      </c>
      <c r="H161" s="185">
        <v>13</v>
      </c>
      <c r="I161" s="185">
        <v>61</v>
      </c>
      <c r="J161" s="185">
        <v>0</v>
      </c>
      <c r="K161" s="185">
        <v>0</v>
      </c>
    </row>
    <row r="162" spans="1:11" s="186" customFormat="1" ht="12" customHeight="1" x14ac:dyDescent="0.2">
      <c r="A162" s="282" t="s">
        <v>371</v>
      </c>
      <c r="B162" s="282"/>
      <c r="C162" s="196">
        <v>4254</v>
      </c>
      <c r="D162" s="196">
        <v>3002</v>
      </c>
      <c r="E162" s="196">
        <v>1252</v>
      </c>
      <c r="F162" s="196">
        <v>1003</v>
      </c>
      <c r="G162" s="196">
        <v>238</v>
      </c>
      <c r="H162" s="196">
        <v>4</v>
      </c>
      <c r="I162" s="196">
        <v>7</v>
      </c>
      <c r="J162" s="196">
        <v>0</v>
      </c>
      <c r="K162" s="196">
        <v>0</v>
      </c>
    </row>
    <row r="163" spans="1:11" s="186" customFormat="1" ht="12" customHeight="1" x14ac:dyDescent="0.2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</row>
    <row r="164" spans="1:11" s="186" customFormat="1" ht="12" customHeight="1" x14ac:dyDescent="0.2">
      <c r="A164" s="276" t="s">
        <v>204</v>
      </c>
      <c r="B164" s="276"/>
      <c r="C164" s="183">
        <v>5634</v>
      </c>
      <c r="D164" s="183">
        <v>5085</v>
      </c>
      <c r="E164" s="183">
        <v>549</v>
      </c>
      <c r="F164" s="183">
        <v>391</v>
      </c>
      <c r="G164" s="183">
        <v>156</v>
      </c>
      <c r="H164" s="183">
        <v>2</v>
      </c>
      <c r="I164" s="183">
        <v>0</v>
      </c>
      <c r="J164" s="183">
        <v>0</v>
      </c>
      <c r="K164" s="183">
        <v>0</v>
      </c>
    </row>
    <row r="165" spans="1:11" s="186" customFormat="1" ht="12" customHeight="1" x14ac:dyDescent="0.2">
      <c r="A165" s="275" t="s">
        <v>205</v>
      </c>
      <c r="B165" s="275"/>
      <c r="C165" s="185">
        <v>1827</v>
      </c>
      <c r="D165" s="185">
        <v>1595</v>
      </c>
      <c r="E165" s="185">
        <v>232</v>
      </c>
      <c r="F165" s="185">
        <v>172</v>
      </c>
      <c r="G165" s="185">
        <v>59</v>
      </c>
      <c r="H165" s="185">
        <v>1</v>
      </c>
      <c r="I165" s="185">
        <v>0</v>
      </c>
      <c r="J165" s="185">
        <v>0</v>
      </c>
      <c r="K165" s="185">
        <v>0</v>
      </c>
    </row>
    <row r="166" spans="1:11" s="186" customFormat="1" ht="12" customHeight="1" x14ac:dyDescent="0.2">
      <c r="A166" s="275" t="s">
        <v>206</v>
      </c>
      <c r="B166" s="275"/>
      <c r="C166" s="185">
        <v>1752</v>
      </c>
      <c r="D166" s="185">
        <v>1630</v>
      </c>
      <c r="E166" s="185">
        <v>122</v>
      </c>
      <c r="F166" s="185">
        <v>81</v>
      </c>
      <c r="G166" s="185">
        <v>40</v>
      </c>
      <c r="H166" s="185">
        <v>1</v>
      </c>
      <c r="I166" s="185">
        <v>0</v>
      </c>
      <c r="J166" s="185">
        <v>0</v>
      </c>
      <c r="K166" s="185">
        <v>0</v>
      </c>
    </row>
    <row r="167" spans="1:11" s="186" customFormat="1" ht="12" customHeight="1" x14ac:dyDescent="0.2">
      <c r="A167" s="282" t="s">
        <v>345</v>
      </c>
      <c r="B167" s="282"/>
      <c r="C167" s="197">
        <v>2055</v>
      </c>
      <c r="D167" s="197">
        <v>1860</v>
      </c>
      <c r="E167" s="197">
        <v>195</v>
      </c>
      <c r="F167" s="197">
        <v>138</v>
      </c>
      <c r="G167" s="197">
        <v>57</v>
      </c>
      <c r="H167" s="197">
        <v>0</v>
      </c>
      <c r="I167" s="197">
        <v>0</v>
      </c>
      <c r="J167" s="197">
        <v>0</v>
      </c>
      <c r="K167" s="197">
        <v>0</v>
      </c>
    </row>
    <row r="168" spans="1:11" s="186" customFormat="1" ht="12" customHeight="1" x14ac:dyDescent="0.2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</row>
    <row r="169" spans="1:11" s="186" customFormat="1" ht="12" customHeight="1" x14ac:dyDescent="0.2">
      <c r="A169" s="276" t="s">
        <v>210</v>
      </c>
      <c r="B169" s="276"/>
      <c r="C169" s="183">
        <v>8718</v>
      </c>
      <c r="D169" s="183">
        <v>6532</v>
      </c>
      <c r="E169" s="183">
        <v>2186</v>
      </c>
      <c r="F169" s="183">
        <v>1604</v>
      </c>
      <c r="G169" s="183">
        <v>509</v>
      </c>
      <c r="H169" s="183">
        <v>30</v>
      </c>
      <c r="I169" s="183">
        <v>37</v>
      </c>
      <c r="J169" s="183">
        <v>6</v>
      </c>
      <c r="K169" s="183">
        <v>0</v>
      </c>
    </row>
    <row r="170" spans="1:11" s="186" customFormat="1" ht="12" customHeight="1" x14ac:dyDescent="0.2">
      <c r="A170" s="275" t="s">
        <v>211</v>
      </c>
      <c r="B170" s="275"/>
      <c r="C170" s="185">
        <v>1433</v>
      </c>
      <c r="D170" s="185">
        <v>1091</v>
      </c>
      <c r="E170" s="185">
        <v>342</v>
      </c>
      <c r="F170" s="185">
        <v>237</v>
      </c>
      <c r="G170" s="185">
        <v>99</v>
      </c>
      <c r="H170" s="185">
        <v>5</v>
      </c>
      <c r="I170" s="185">
        <v>1</v>
      </c>
      <c r="J170" s="185">
        <v>0</v>
      </c>
      <c r="K170" s="185">
        <v>0</v>
      </c>
    </row>
    <row r="171" spans="1:11" s="186" customFormat="1" ht="12" customHeight="1" x14ac:dyDescent="0.2">
      <c r="A171" s="275" t="s">
        <v>213</v>
      </c>
      <c r="B171" s="275"/>
      <c r="C171" s="185">
        <v>101</v>
      </c>
      <c r="D171" s="185">
        <v>93</v>
      </c>
      <c r="E171" s="185">
        <v>8</v>
      </c>
      <c r="F171" s="185">
        <v>4</v>
      </c>
      <c r="G171" s="185">
        <v>3</v>
      </c>
      <c r="H171" s="185">
        <v>1</v>
      </c>
      <c r="I171" s="185">
        <v>0</v>
      </c>
      <c r="J171" s="185">
        <v>0</v>
      </c>
      <c r="K171" s="185">
        <v>0</v>
      </c>
    </row>
    <row r="172" spans="1:11" s="186" customFormat="1" ht="12" customHeight="1" x14ac:dyDescent="0.2">
      <c r="A172" s="275" t="s">
        <v>214</v>
      </c>
      <c r="B172" s="275"/>
      <c r="C172" s="185">
        <v>911</v>
      </c>
      <c r="D172" s="185">
        <v>497</v>
      </c>
      <c r="E172" s="185">
        <v>414</v>
      </c>
      <c r="F172" s="185">
        <v>287</v>
      </c>
      <c r="G172" s="185">
        <v>100</v>
      </c>
      <c r="H172" s="185">
        <v>7</v>
      </c>
      <c r="I172" s="185">
        <v>18</v>
      </c>
      <c r="J172" s="185">
        <v>2</v>
      </c>
      <c r="K172" s="185">
        <v>0</v>
      </c>
    </row>
    <row r="173" spans="1:11" s="186" customFormat="1" ht="12" customHeight="1" x14ac:dyDescent="0.2">
      <c r="A173" s="275" t="s">
        <v>219</v>
      </c>
      <c r="B173" s="275"/>
      <c r="C173" s="185">
        <v>167</v>
      </c>
      <c r="D173" s="185">
        <v>153</v>
      </c>
      <c r="E173" s="185">
        <v>14</v>
      </c>
      <c r="F173" s="185">
        <v>9</v>
      </c>
      <c r="G173" s="185">
        <v>4</v>
      </c>
      <c r="H173" s="185">
        <v>1</v>
      </c>
      <c r="I173" s="185">
        <v>0</v>
      </c>
      <c r="J173" s="185">
        <v>0</v>
      </c>
      <c r="K173" s="185">
        <v>0</v>
      </c>
    </row>
    <row r="174" spans="1:11" s="186" customFormat="1" ht="12" customHeight="1" x14ac:dyDescent="0.2">
      <c r="A174" s="275" t="s">
        <v>220</v>
      </c>
      <c r="B174" s="275"/>
      <c r="C174" s="185">
        <v>2789</v>
      </c>
      <c r="D174" s="185">
        <v>2225</v>
      </c>
      <c r="E174" s="185">
        <v>564</v>
      </c>
      <c r="F174" s="185">
        <v>460</v>
      </c>
      <c r="G174" s="185">
        <v>102</v>
      </c>
      <c r="H174" s="185">
        <v>2</v>
      </c>
      <c r="I174" s="185">
        <v>0</v>
      </c>
      <c r="J174" s="185">
        <v>0</v>
      </c>
      <c r="K174" s="185">
        <v>0</v>
      </c>
    </row>
    <row r="175" spans="1:11" s="186" customFormat="1" ht="12" customHeight="1" x14ac:dyDescent="0.2">
      <c r="A175" s="275" t="s">
        <v>221</v>
      </c>
      <c r="B175" s="275"/>
      <c r="C175" s="185">
        <v>792</v>
      </c>
      <c r="D175" s="185">
        <v>592</v>
      </c>
      <c r="E175" s="185">
        <v>200</v>
      </c>
      <c r="F175" s="185">
        <v>149</v>
      </c>
      <c r="G175" s="185">
        <v>40</v>
      </c>
      <c r="H175" s="185">
        <v>2</v>
      </c>
      <c r="I175" s="185">
        <v>5</v>
      </c>
      <c r="J175" s="185">
        <v>4</v>
      </c>
      <c r="K175" s="185">
        <v>0</v>
      </c>
    </row>
    <row r="176" spans="1:11" s="186" customFormat="1" ht="12" customHeight="1" x14ac:dyDescent="0.2">
      <c r="A176" s="275" t="s">
        <v>224</v>
      </c>
      <c r="B176" s="275"/>
      <c r="C176" s="185">
        <v>325</v>
      </c>
      <c r="D176" s="185">
        <v>272</v>
      </c>
      <c r="E176" s="185">
        <v>53</v>
      </c>
      <c r="F176" s="185">
        <v>36</v>
      </c>
      <c r="G176" s="185">
        <v>17</v>
      </c>
      <c r="H176" s="185">
        <v>0</v>
      </c>
      <c r="I176" s="185">
        <v>0</v>
      </c>
      <c r="J176" s="185">
        <v>0</v>
      </c>
      <c r="K176" s="185">
        <v>0</v>
      </c>
    </row>
    <row r="177" spans="1:11" s="186" customFormat="1" ht="12" customHeight="1" x14ac:dyDescent="0.2">
      <c r="A177" s="275" t="s">
        <v>225</v>
      </c>
      <c r="B177" s="275"/>
      <c r="C177" s="185">
        <v>841</v>
      </c>
      <c r="D177" s="185">
        <v>551</v>
      </c>
      <c r="E177" s="185">
        <v>290</v>
      </c>
      <c r="F177" s="185">
        <v>214</v>
      </c>
      <c r="G177" s="185">
        <v>65</v>
      </c>
      <c r="H177" s="185">
        <v>2</v>
      </c>
      <c r="I177" s="185">
        <v>9</v>
      </c>
      <c r="J177" s="185">
        <v>0</v>
      </c>
      <c r="K177" s="185">
        <v>0</v>
      </c>
    </row>
    <row r="178" spans="1:11" s="186" customFormat="1" ht="12" customHeight="1" x14ac:dyDescent="0.2">
      <c r="A178" s="275" t="s">
        <v>226</v>
      </c>
      <c r="B178" s="275"/>
      <c r="C178" s="185">
        <v>385</v>
      </c>
      <c r="D178" s="185">
        <v>308</v>
      </c>
      <c r="E178" s="185">
        <v>77</v>
      </c>
      <c r="F178" s="185">
        <v>56</v>
      </c>
      <c r="G178" s="185">
        <v>20</v>
      </c>
      <c r="H178" s="185">
        <v>1</v>
      </c>
      <c r="I178" s="185">
        <v>0</v>
      </c>
      <c r="J178" s="185">
        <v>0</v>
      </c>
      <c r="K178" s="185">
        <v>0</v>
      </c>
    </row>
    <row r="179" spans="1:11" s="186" customFormat="1" ht="12" customHeight="1" x14ac:dyDescent="0.2">
      <c r="A179" s="282" t="s">
        <v>227</v>
      </c>
      <c r="B179" s="282"/>
      <c r="C179" s="196">
        <v>974</v>
      </c>
      <c r="D179" s="196">
        <v>750</v>
      </c>
      <c r="E179" s="196">
        <v>224</v>
      </c>
      <c r="F179" s="196">
        <v>152</v>
      </c>
      <c r="G179" s="196">
        <v>59</v>
      </c>
      <c r="H179" s="196">
        <v>9</v>
      </c>
      <c r="I179" s="196">
        <v>4</v>
      </c>
      <c r="J179" s="196">
        <v>0</v>
      </c>
      <c r="K179" s="196">
        <v>0</v>
      </c>
    </row>
    <row r="180" spans="1:11" s="186" customFormat="1" ht="12" customHeight="1" x14ac:dyDescent="0.2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</row>
    <row r="181" spans="1:11" s="186" customFormat="1" ht="12" customHeight="1" x14ac:dyDescent="0.2">
      <c r="A181" s="276" t="s">
        <v>229</v>
      </c>
      <c r="B181" s="276"/>
      <c r="C181" s="183">
        <v>352181</v>
      </c>
      <c r="D181" s="183">
        <v>254310</v>
      </c>
      <c r="E181" s="183">
        <v>97871</v>
      </c>
      <c r="F181" s="183">
        <v>68237</v>
      </c>
      <c r="G181" s="183">
        <v>27300</v>
      </c>
      <c r="H181" s="183">
        <v>566</v>
      </c>
      <c r="I181" s="183">
        <v>1625</v>
      </c>
      <c r="J181" s="183">
        <v>119</v>
      </c>
      <c r="K181" s="183">
        <v>24</v>
      </c>
    </row>
    <row r="182" spans="1:11" s="186" customFormat="1" ht="12" customHeight="1" x14ac:dyDescent="0.2">
      <c r="A182" s="275" t="s">
        <v>230</v>
      </c>
      <c r="B182" s="275"/>
      <c r="C182" s="185">
        <v>49778</v>
      </c>
      <c r="D182" s="185">
        <v>37351</v>
      </c>
      <c r="E182" s="185">
        <v>12427</v>
      </c>
      <c r="F182" s="185">
        <v>8177</v>
      </c>
      <c r="G182" s="185">
        <v>3942</v>
      </c>
      <c r="H182" s="185">
        <v>51</v>
      </c>
      <c r="I182" s="185">
        <v>247</v>
      </c>
      <c r="J182" s="185">
        <v>10</v>
      </c>
      <c r="K182" s="185">
        <v>0</v>
      </c>
    </row>
    <row r="183" spans="1:11" s="186" customFormat="1" ht="12" customHeight="1" x14ac:dyDescent="0.2">
      <c r="A183" s="275" t="s">
        <v>231</v>
      </c>
      <c r="B183" s="275"/>
      <c r="C183" s="185">
        <v>151242</v>
      </c>
      <c r="D183" s="185">
        <v>103351</v>
      </c>
      <c r="E183" s="185">
        <v>47891</v>
      </c>
      <c r="F183" s="185">
        <v>32627</v>
      </c>
      <c r="G183" s="185">
        <v>14275</v>
      </c>
      <c r="H183" s="185">
        <v>260</v>
      </c>
      <c r="I183" s="185">
        <v>638</v>
      </c>
      <c r="J183" s="185">
        <v>67</v>
      </c>
      <c r="K183" s="185">
        <v>24</v>
      </c>
    </row>
    <row r="184" spans="1:11" s="186" customFormat="1" ht="12" customHeight="1" x14ac:dyDescent="0.2">
      <c r="A184" s="275" t="s">
        <v>232</v>
      </c>
      <c r="B184" s="275"/>
      <c r="C184" s="185">
        <v>64159</v>
      </c>
      <c r="D184" s="185">
        <v>48139</v>
      </c>
      <c r="E184" s="185">
        <v>16020</v>
      </c>
      <c r="F184" s="185">
        <v>11545</v>
      </c>
      <c r="G184" s="185">
        <v>4113</v>
      </c>
      <c r="H184" s="185">
        <v>113</v>
      </c>
      <c r="I184" s="185">
        <v>231</v>
      </c>
      <c r="J184" s="185">
        <v>18</v>
      </c>
      <c r="K184" s="185">
        <v>0</v>
      </c>
    </row>
    <row r="185" spans="1:11" s="186" customFormat="1" ht="12" customHeight="1" x14ac:dyDescent="0.2">
      <c r="A185" s="275" t="s">
        <v>233</v>
      </c>
      <c r="B185" s="275"/>
      <c r="C185" s="185">
        <v>5925</v>
      </c>
      <c r="D185" s="185">
        <v>5290</v>
      </c>
      <c r="E185" s="185">
        <v>635</v>
      </c>
      <c r="F185" s="185">
        <v>492</v>
      </c>
      <c r="G185" s="185">
        <v>139</v>
      </c>
      <c r="H185" s="185">
        <v>4</v>
      </c>
      <c r="I185" s="185">
        <v>0</v>
      </c>
      <c r="J185" s="185">
        <v>0</v>
      </c>
      <c r="K185" s="185">
        <v>0</v>
      </c>
    </row>
    <row r="186" spans="1:11" s="186" customFormat="1" ht="12" customHeight="1" x14ac:dyDescent="0.2">
      <c r="A186" s="275" t="s">
        <v>234</v>
      </c>
      <c r="B186" s="275"/>
      <c r="C186" s="185">
        <v>56371</v>
      </c>
      <c r="D186" s="185">
        <v>41528</v>
      </c>
      <c r="E186" s="185">
        <v>14843</v>
      </c>
      <c r="F186" s="185">
        <v>10783</v>
      </c>
      <c r="G186" s="185">
        <v>3549</v>
      </c>
      <c r="H186" s="185">
        <v>89</v>
      </c>
      <c r="I186" s="185">
        <v>404</v>
      </c>
      <c r="J186" s="185">
        <v>18</v>
      </c>
      <c r="K186" s="185">
        <v>0</v>
      </c>
    </row>
    <row r="187" spans="1:11" s="186" customFormat="1" ht="12" customHeight="1" x14ac:dyDescent="0.2">
      <c r="A187" s="275" t="s">
        <v>235</v>
      </c>
      <c r="B187" s="275"/>
      <c r="C187" s="185">
        <v>10354</v>
      </c>
      <c r="D187" s="185">
        <v>7034</v>
      </c>
      <c r="E187" s="185">
        <v>3320</v>
      </c>
      <c r="F187" s="185">
        <v>2618</v>
      </c>
      <c r="G187" s="185">
        <v>617</v>
      </c>
      <c r="H187" s="185">
        <v>17</v>
      </c>
      <c r="I187" s="185">
        <v>68</v>
      </c>
      <c r="J187" s="185">
        <v>0</v>
      </c>
      <c r="K187" s="185">
        <v>0</v>
      </c>
    </row>
    <row r="188" spans="1:11" s="186" customFormat="1" ht="12" customHeight="1" x14ac:dyDescent="0.2">
      <c r="A188" s="275" t="s">
        <v>236</v>
      </c>
      <c r="B188" s="275"/>
      <c r="C188" s="185">
        <v>5634</v>
      </c>
      <c r="D188" s="185">
        <v>5085</v>
      </c>
      <c r="E188" s="185">
        <v>549</v>
      </c>
      <c r="F188" s="185">
        <v>391</v>
      </c>
      <c r="G188" s="185">
        <v>156</v>
      </c>
      <c r="H188" s="185">
        <v>2</v>
      </c>
      <c r="I188" s="185">
        <v>0</v>
      </c>
      <c r="J188" s="185">
        <v>0</v>
      </c>
      <c r="K188" s="185">
        <v>0</v>
      </c>
    </row>
    <row r="189" spans="1:11" s="186" customFormat="1" ht="12" customHeight="1" x14ac:dyDescent="0.2">
      <c r="A189" s="278" t="s">
        <v>237</v>
      </c>
      <c r="B189" s="278"/>
      <c r="C189" s="196">
        <v>8718</v>
      </c>
      <c r="D189" s="196">
        <v>6532</v>
      </c>
      <c r="E189" s="196">
        <v>2186</v>
      </c>
      <c r="F189" s="196">
        <v>1604</v>
      </c>
      <c r="G189" s="196">
        <v>509</v>
      </c>
      <c r="H189" s="196">
        <v>30</v>
      </c>
      <c r="I189" s="196">
        <v>37</v>
      </c>
      <c r="J189" s="196">
        <v>6</v>
      </c>
      <c r="K189" s="196">
        <v>0</v>
      </c>
    </row>
    <row r="190" spans="1:11" s="186" customFormat="1" ht="12" customHeight="1" x14ac:dyDescent="0.2">
      <c r="A190" s="198"/>
      <c r="B190" s="198"/>
      <c r="C190" s="197"/>
      <c r="D190" s="197"/>
      <c r="E190" s="197"/>
      <c r="F190" s="197"/>
      <c r="G190" s="197"/>
      <c r="H190" s="197"/>
      <c r="I190" s="197"/>
      <c r="J190" s="197"/>
      <c r="K190" s="197"/>
    </row>
    <row r="191" spans="1:11" s="186" customFormat="1" ht="12" customHeight="1" x14ac:dyDescent="0.2">
      <c r="A191" s="276" t="s">
        <v>355</v>
      </c>
      <c r="B191" s="276"/>
      <c r="C191" s="183">
        <v>326800</v>
      </c>
      <c r="D191" s="183">
        <v>234396</v>
      </c>
      <c r="E191" s="183">
        <v>92404</v>
      </c>
      <c r="F191" s="183">
        <v>64171</v>
      </c>
      <c r="G191" s="183">
        <v>26052</v>
      </c>
      <c r="H191" s="183">
        <v>518</v>
      </c>
      <c r="I191" s="183">
        <v>1526</v>
      </c>
      <c r="J191" s="183">
        <v>113</v>
      </c>
      <c r="K191" s="183">
        <v>24</v>
      </c>
    </row>
    <row r="192" spans="1:11" s="186" customFormat="1" ht="12" customHeight="1" x14ac:dyDescent="0.2">
      <c r="A192" s="275" t="s">
        <v>356</v>
      </c>
      <c r="B192" s="275"/>
      <c r="C192" s="185">
        <v>52963</v>
      </c>
      <c r="D192" s="185">
        <v>39405</v>
      </c>
      <c r="E192" s="185">
        <v>13558</v>
      </c>
      <c r="F192" s="185">
        <v>9873</v>
      </c>
      <c r="G192" s="185">
        <v>3211</v>
      </c>
      <c r="H192" s="185">
        <v>77</v>
      </c>
      <c r="I192" s="185">
        <v>379</v>
      </c>
      <c r="J192" s="185">
        <v>18</v>
      </c>
      <c r="K192" s="185">
        <v>0</v>
      </c>
    </row>
    <row r="193" spans="1:11" s="186" customFormat="1" ht="12" customHeight="1" x14ac:dyDescent="0.2">
      <c r="A193" s="275" t="s">
        <v>357</v>
      </c>
      <c r="B193" s="275"/>
      <c r="C193" s="188">
        <v>50224</v>
      </c>
      <c r="D193" s="188">
        <v>37687</v>
      </c>
      <c r="E193" s="188">
        <v>12537</v>
      </c>
      <c r="F193" s="188">
        <v>8255</v>
      </c>
      <c r="G193" s="188">
        <v>3974</v>
      </c>
      <c r="H193" s="188">
        <v>51</v>
      </c>
      <c r="I193" s="188">
        <v>247</v>
      </c>
      <c r="J193" s="188">
        <v>10</v>
      </c>
      <c r="K193" s="188">
        <v>0</v>
      </c>
    </row>
    <row r="194" spans="1:11" s="186" customFormat="1" ht="12" customHeight="1" x14ac:dyDescent="0.2">
      <c r="A194" s="275" t="s">
        <v>358</v>
      </c>
      <c r="B194" s="275"/>
      <c r="C194" s="185">
        <v>55987</v>
      </c>
      <c r="D194" s="185">
        <v>41830</v>
      </c>
      <c r="E194" s="185">
        <v>14157</v>
      </c>
      <c r="F194" s="185">
        <v>10278</v>
      </c>
      <c r="G194" s="185">
        <v>3565</v>
      </c>
      <c r="H194" s="185">
        <v>109</v>
      </c>
      <c r="I194" s="185">
        <v>188</v>
      </c>
      <c r="J194" s="185">
        <v>17</v>
      </c>
      <c r="K194" s="185">
        <v>0</v>
      </c>
    </row>
    <row r="195" spans="1:11" s="186" customFormat="1" ht="12" customHeight="1" x14ac:dyDescent="0.2">
      <c r="A195" s="275" t="s">
        <v>359</v>
      </c>
      <c r="B195" s="275"/>
      <c r="C195" s="185">
        <v>150796</v>
      </c>
      <c r="D195" s="185">
        <v>103015</v>
      </c>
      <c r="E195" s="185">
        <v>47781</v>
      </c>
      <c r="F195" s="185">
        <v>32549</v>
      </c>
      <c r="G195" s="185">
        <v>14243</v>
      </c>
      <c r="H195" s="185">
        <v>260</v>
      </c>
      <c r="I195" s="185">
        <v>638</v>
      </c>
      <c r="J195" s="185">
        <v>67</v>
      </c>
      <c r="K195" s="185">
        <v>24</v>
      </c>
    </row>
    <row r="196" spans="1:11" s="186" customFormat="1" ht="12" customHeight="1" x14ac:dyDescent="0.2">
      <c r="A196" s="199" t="s">
        <v>360</v>
      </c>
      <c r="B196" s="199"/>
      <c r="C196" s="196">
        <v>16830</v>
      </c>
      <c r="D196" s="196">
        <v>12459</v>
      </c>
      <c r="E196" s="196">
        <v>4371</v>
      </c>
      <c r="F196" s="196">
        <v>3216</v>
      </c>
      <c r="G196" s="196">
        <v>1059</v>
      </c>
      <c r="H196" s="196">
        <v>21</v>
      </c>
      <c r="I196" s="196">
        <v>74</v>
      </c>
      <c r="J196" s="196">
        <v>1</v>
      </c>
      <c r="K196" s="196">
        <v>0</v>
      </c>
    </row>
    <row r="197" spans="1:11" s="186" customFormat="1" ht="12" customHeight="1" x14ac:dyDescent="0.2">
      <c r="A197" s="194"/>
      <c r="B197" s="194"/>
      <c r="C197" s="195"/>
      <c r="D197" s="195"/>
      <c r="E197" s="195"/>
      <c r="F197" s="195"/>
      <c r="G197" s="195"/>
      <c r="H197" s="195"/>
      <c r="I197" s="195"/>
      <c r="J197" s="195"/>
      <c r="K197" s="195"/>
    </row>
    <row r="198" spans="1:11" s="186" customFormat="1" ht="12" customHeight="1" x14ac:dyDescent="0.2">
      <c r="A198" s="200" t="s">
        <v>361</v>
      </c>
      <c r="B198" s="200"/>
      <c r="C198" s="201">
        <v>25381</v>
      </c>
      <c r="D198" s="201">
        <v>19914</v>
      </c>
      <c r="E198" s="201">
        <v>5467</v>
      </c>
      <c r="F198" s="201">
        <v>4066</v>
      </c>
      <c r="G198" s="201">
        <v>1248</v>
      </c>
      <c r="H198" s="201">
        <v>48</v>
      </c>
      <c r="I198" s="201">
        <v>99</v>
      </c>
      <c r="J198" s="201">
        <v>6</v>
      </c>
      <c r="K198" s="201">
        <v>0</v>
      </c>
    </row>
    <row r="199" spans="1:11" s="202" customFormat="1" ht="12" customHeight="1" x14ac:dyDescent="0.15"/>
    <row r="200" spans="1:11" s="203" customFormat="1" ht="12" customHeight="1" x14ac:dyDescent="0.2">
      <c r="A200" s="265" t="s">
        <v>390</v>
      </c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</row>
    <row r="201" spans="1:11" s="203" customFormat="1" ht="12" customHeight="1" x14ac:dyDescent="0.2">
      <c r="A201" s="241" t="s">
        <v>362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</row>
    <row r="202" spans="1:11" s="204" customFormat="1" ht="12" customHeight="1" x14ac:dyDescent="0.2">
      <c r="A202" s="242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</row>
    <row r="203" spans="1:11" s="202" customFormat="1" ht="12" customHeight="1" x14ac:dyDescent="0.2">
      <c r="A203" s="241" t="s">
        <v>339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</row>
    <row r="204" spans="1:11" s="204" customFormat="1" ht="12" customHeight="1" x14ac:dyDescent="0.2">
      <c r="A204" s="24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</row>
    <row r="205" spans="1:11" s="203" customFormat="1" ht="12" customHeight="1" x14ac:dyDescent="0.2">
      <c r="A205" s="241" t="s">
        <v>392</v>
      </c>
      <c r="B205" s="284"/>
      <c r="C205" s="284"/>
      <c r="D205" s="284"/>
      <c r="E205" s="284"/>
      <c r="F205" s="284"/>
      <c r="G205" s="284"/>
      <c r="H205" s="284"/>
      <c r="I205" s="284"/>
      <c r="J205" s="284"/>
      <c r="K205" s="284"/>
    </row>
    <row r="206" spans="1:11" s="203" customFormat="1" ht="12" customHeight="1" x14ac:dyDescent="0.2">
      <c r="A206" s="244" t="s">
        <v>352</v>
      </c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</row>
  </sheetData>
  <mergeCells count="170">
    <mergeCell ref="A201:K201"/>
    <mergeCell ref="A202:K202"/>
    <mergeCell ref="A203:K203"/>
    <mergeCell ref="A204:K204"/>
    <mergeCell ref="A205:K205"/>
    <mergeCell ref="A206:K206"/>
    <mergeCell ref="E6:K6"/>
    <mergeCell ref="A7:B7"/>
    <mergeCell ref="A8:B8"/>
    <mergeCell ref="A9:B9"/>
    <mergeCell ref="A200:K200"/>
    <mergeCell ref="A193:B193"/>
    <mergeCell ref="A194:B194"/>
    <mergeCell ref="A195:B195"/>
    <mergeCell ref="A189:B189"/>
    <mergeCell ref="A191:B191"/>
    <mergeCell ref="A192:B192"/>
    <mergeCell ref="A170:B170"/>
    <mergeCell ref="A171:B171"/>
    <mergeCell ref="A172:B172"/>
    <mergeCell ref="A158:B158"/>
    <mergeCell ref="A160:B160"/>
    <mergeCell ref="A161:B161"/>
    <mergeCell ref="A162:B162"/>
    <mergeCell ref="A1:K1"/>
    <mergeCell ref="A2:K2"/>
    <mergeCell ref="A3:K3"/>
    <mergeCell ref="A4:K4"/>
    <mergeCell ref="A5:B5"/>
    <mergeCell ref="E5:K5"/>
    <mergeCell ref="A186:B186"/>
    <mergeCell ref="A187:B187"/>
    <mergeCell ref="A188:B188"/>
    <mergeCell ref="A179:B179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66:B166"/>
    <mergeCell ref="A167:B167"/>
    <mergeCell ref="A169:B169"/>
    <mergeCell ref="A164:B164"/>
    <mergeCell ref="A165:B165"/>
    <mergeCell ref="A152:B152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7:B137"/>
    <mergeCell ref="A138:B138"/>
    <mergeCell ref="A139:B139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40:B40"/>
    <mergeCell ref="A42:B42"/>
    <mergeCell ref="A43:B43"/>
    <mergeCell ref="A6:B6"/>
    <mergeCell ref="A33:B33"/>
    <mergeCell ref="A38:B38"/>
    <mergeCell ref="A39:B39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12"/>
  <dimension ref="A1:K214"/>
  <sheetViews>
    <sheetView zoomScaleNormal="100" workbookViewId="0">
      <pane ySplit="10" topLeftCell="A11" activePane="bottomLeft" state="frozen"/>
      <selection pane="bottomLeft" activeCell="A11" sqref="A11"/>
    </sheetView>
  </sheetViews>
  <sheetFormatPr defaultColWidth="9.140625" defaultRowHeight="12" x14ac:dyDescent="0.2"/>
  <cols>
    <col min="1" max="1" width="1.7109375" style="1" customWidth="1"/>
    <col min="2" max="2" width="28.140625" style="1" customWidth="1"/>
    <col min="3" max="3" width="11.7109375" style="2" customWidth="1"/>
    <col min="4" max="11" width="11.7109375" style="1" customWidth="1"/>
    <col min="12" max="16384" width="9.140625" style="1"/>
  </cols>
  <sheetData>
    <row r="1" spans="1:11" s="176" customFormat="1" ht="12.75" customHeight="1" x14ac:dyDescent="0.2">
      <c r="A1" s="247"/>
      <c r="B1" s="247"/>
      <c r="C1" s="247"/>
      <c r="D1" s="247"/>
      <c r="E1" s="247"/>
      <c r="F1" s="247"/>
      <c r="G1" s="247"/>
      <c r="H1" s="247"/>
      <c r="I1" s="247"/>
      <c r="J1" s="247"/>
      <c r="K1" s="247"/>
    </row>
    <row r="2" spans="1:11" s="212" customFormat="1" ht="12" customHeight="1" x14ac:dyDescent="0.2">
      <c r="A2" s="248" t="s">
        <v>387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</row>
    <row r="3" spans="1:11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</row>
    <row r="4" spans="1:11" s="177" customFormat="1" ht="12.75" customHeight="1" x14ac:dyDescent="0.25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</row>
    <row r="5" spans="1:11" s="178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74"/>
    </row>
    <row r="6" spans="1:11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</row>
    <row r="7" spans="1:11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08"/>
    </row>
    <row r="8" spans="1:11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4</v>
      </c>
    </row>
    <row r="9" spans="1:11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8</v>
      </c>
    </row>
    <row r="10" spans="1:11" s="15" customFormat="1" ht="12" customHeight="1" x14ac:dyDescent="0.2">
      <c r="A10" s="272" t="s">
        <v>10</v>
      </c>
      <c r="B10" s="272"/>
      <c r="C10" s="16">
        <v>350986</v>
      </c>
      <c r="D10" s="208">
        <v>254109</v>
      </c>
      <c r="E10" s="208">
        <v>96877</v>
      </c>
      <c r="F10" s="208">
        <v>66766</v>
      </c>
      <c r="G10" s="208">
        <v>27763</v>
      </c>
      <c r="H10" s="208">
        <v>572</v>
      </c>
      <c r="I10" s="208">
        <v>1626</v>
      </c>
      <c r="J10" s="208">
        <v>128</v>
      </c>
      <c r="K10" s="208">
        <v>22</v>
      </c>
    </row>
    <row r="11" spans="1:11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  <c r="K11" s="18"/>
    </row>
    <row r="12" spans="1:11" s="19" customFormat="1" ht="12" customHeight="1" x14ac:dyDescent="0.2">
      <c r="A12" s="263" t="s">
        <v>11</v>
      </c>
      <c r="B12" s="263"/>
      <c r="C12" s="20">
        <v>24829</v>
      </c>
      <c r="D12" s="20">
        <v>18712</v>
      </c>
      <c r="E12" s="20">
        <v>6117</v>
      </c>
      <c r="F12" s="20">
        <v>4570</v>
      </c>
      <c r="G12" s="20">
        <v>1373</v>
      </c>
      <c r="H12" s="20">
        <v>50</v>
      </c>
      <c r="I12" s="20">
        <v>120</v>
      </c>
      <c r="J12" s="20">
        <v>4</v>
      </c>
      <c r="K12" s="20">
        <v>0</v>
      </c>
    </row>
    <row r="13" spans="1:11" s="21" customFormat="1" ht="12" customHeight="1" x14ac:dyDescent="0.2">
      <c r="A13" s="264" t="s">
        <v>12</v>
      </c>
      <c r="B13" s="264"/>
      <c r="C13" s="22">
        <v>8827</v>
      </c>
      <c r="D13" s="22">
        <v>6587</v>
      </c>
      <c r="E13" s="22">
        <v>2240</v>
      </c>
      <c r="F13" s="22">
        <v>1580</v>
      </c>
      <c r="G13" s="22">
        <v>565</v>
      </c>
      <c r="H13" s="22">
        <v>32</v>
      </c>
      <c r="I13" s="22">
        <v>59</v>
      </c>
      <c r="J13" s="22">
        <v>4</v>
      </c>
      <c r="K13" s="22">
        <v>0</v>
      </c>
    </row>
    <row r="14" spans="1:11" s="21" customFormat="1" ht="12" customHeight="1" x14ac:dyDescent="0.2">
      <c r="A14" s="23"/>
      <c r="B14" s="24" t="s">
        <v>13</v>
      </c>
      <c r="C14" s="22">
        <v>3135</v>
      </c>
      <c r="D14" s="22">
        <v>2432</v>
      </c>
      <c r="E14" s="22">
        <v>703</v>
      </c>
      <c r="F14" s="22">
        <v>458</v>
      </c>
      <c r="G14" s="22">
        <v>205</v>
      </c>
      <c r="H14" s="22">
        <v>21</v>
      </c>
      <c r="I14" s="22">
        <v>18</v>
      </c>
      <c r="J14" s="22">
        <v>1</v>
      </c>
      <c r="K14" s="22">
        <v>0</v>
      </c>
    </row>
    <row r="15" spans="1:11" s="21" customFormat="1" ht="12" customHeight="1" x14ac:dyDescent="0.2">
      <c r="A15" s="23"/>
      <c r="B15" s="24" t="s">
        <v>14</v>
      </c>
      <c r="C15" s="22">
        <v>2823</v>
      </c>
      <c r="D15" s="22">
        <v>2248</v>
      </c>
      <c r="E15" s="22">
        <v>575</v>
      </c>
      <c r="F15" s="22">
        <v>450</v>
      </c>
      <c r="G15" s="22">
        <v>120</v>
      </c>
      <c r="H15" s="22">
        <v>5</v>
      </c>
      <c r="I15" s="22">
        <v>0</v>
      </c>
      <c r="J15" s="22">
        <v>0</v>
      </c>
      <c r="K15" s="22">
        <v>0</v>
      </c>
    </row>
    <row r="16" spans="1:11" s="21" customFormat="1" ht="12" customHeight="1" x14ac:dyDescent="0.2">
      <c r="A16" s="23"/>
      <c r="B16" s="25" t="s">
        <v>15</v>
      </c>
      <c r="C16" s="22">
        <v>2869</v>
      </c>
      <c r="D16" s="22">
        <v>1907</v>
      </c>
      <c r="E16" s="22">
        <v>962</v>
      </c>
      <c r="F16" s="22">
        <v>672</v>
      </c>
      <c r="G16" s="22">
        <v>240</v>
      </c>
      <c r="H16" s="22">
        <v>6</v>
      </c>
      <c r="I16" s="22">
        <v>41</v>
      </c>
      <c r="J16" s="22">
        <v>3</v>
      </c>
      <c r="K16" s="22">
        <v>0</v>
      </c>
    </row>
    <row r="17" spans="1:11" s="21" customFormat="1" ht="12" customHeight="1" x14ac:dyDescent="0.2">
      <c r="A17" s="264" t="s">
        <v>16</v>
      </c>
      <c r="B17" s="264"/>
      <c r="C17" s="22">
        <v>5656</v>
      </c>
      <c r="D17" s="22">
        <v>5109</v>
      </c>
      <c r="E17" s="22">
        <v>547</v>
      </c>
      <c r="F17" s="22">
        <v>387</v>
      </c>
      <c r="G17" s="22">
        <v>154</v>
      </c>
      <c r="H17" s="22">
        <v>2</v>
      </c>
      <c r="I17" s="22">
        <v>4</v>
      </c>
      <c r="J17" s="22">
        <v>0</v>
      </c>
      <c r="K17" s="22">
        <v>0</v>
      </c>
    </row>
    <row r="18" spans="1:11" s="21" customFormat="1" ht="12" customHeight="1" x14ac:dyDescent="0.2">
      <c r="A18" s="23"/>
      <c r="B18" s="24" t="s">
        <v>17</v>
      </c>
      <c r="C18" s="22">
        <v>1770</v>
      </c>
      <c r="D18" s="22">
        <v>1638</v>
      </c>
      <c r="E18" s="22">
        <v>132</v>
      </c>
      <c r="F18" s="22">
        <v>83</v>
      </c>
      <c r="G18" s="22">
        <v>49</v>
      </c>
      <c r="H18" s="22">
        <v>0</v>
      </c>
      <c r="I18" s="22">
        <v>0</v>
      </c>
      <c r="J18" s="22">
        <v>0</v>
      </c>
      <c r="K18" s="22">
        <v>0</v>
      </c>
    </row>
    <row r="19" spans="1:11" s="21" customFormat="1" ht="12" customHeight="1" x14ac:dyDescent="0.2">
      <c r="A19" s="23"/>
      <c r="B19" s="24" t="s">
        <v>18</v>
      </c>
      <c r="C19" s="22">
        <v>1807</v>
      </c>
      <c r="D19" s="22">
        <v>1581</v>
      </c>
      <c r="E19" s="22">
        <v>226</v>
      </c>
      <c r="F19" s="22">
        <v>174</v>
      </c>
      <c r="G19" s="22">
        <v>51</v>
      </c>
      <c r="H19" s="22">
        <v>1</v>
      </c>
      <c r="I19" s="22">
        <v>0</v>
      </c>
      <c r="J19" s="22">
        <v>0</v>
      </c>
      <c r="K19" s="22">
        <v>0</v>
      </c>
    </row>
    <row r="20" spans="1:11" s="21" customFormat="1" ht="12" customHeight="1" x14ac:dyDescent="0.2">
      <c r="A20" s="26"/>
      <c r="B20" s="24" t="s">
        <v>19</v>
      </c>
      <c r="C20" s="22">
        <v>2079</v>
      </c>
      <c r="D20" s="22">
        <v>1890</v>
      </c>
      <c r="E20" s="22">
        <v>189</v>
      </c>
      <c r="F20" s="22">
        <v>130</v>
      </c>
      <c r="G20" s="22">
        <v>54</v>
      </c>
      <c r="H20" s="22">
        <v>1</v>
      </c>
      <c r="I20" s="22">
        <v>4</v>
      </c>
      <c r="J20" s="22">
        <v>0</v>
      </c>
      <c r="K20" s="22">
        <v>0</v>
      </c>
    </row>
    <row r="21" spans="1:11" s="21" customFormat="1" ht="12" customHeight="1" x14ac:dyDescent="0.2">
      <c r="A21" s="267" t="s">
        <v>20</v>
      </c>
      <c r="B21" s="267"/>
      <c r="C21" s="209">
        <v>10346</v>
      </c>
      <c r="D21" s="209">
        <v>7016</v>
      </c>
      <c r="E21" s="209">
        <v>3330</v>
      </c>
      <c r="F21" s="209">
        <v>2603</v>
      </c>
      <c r="G21" s="209">
        <v>654</v>
      </c>
      <c r="H21" s="209">
        <v>16</v>
      </c>
      <c r="I21" s="209">
        <v>57</v>
      </c>
      <c r="J21" s="209">
        <v>0</v>
      </c>
      <c r="K21" s="209">
        <v>0</v>
      </c>
    </row>
    <row r="22" spans="1:11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s="19" customFormat="1" ht="12" customHeight="1" x14ac:dyDescent="0.2">
      <c r="A23" s="263" t="s">
        <v>342</v>
      </c>
      <c r="B23" s="263"/>
      <c r="C23" s="20">
        <v>69726</v>
      </c>
      <c r="D23" s="20">
        <v>53394</v>
      </c>
      <c r="E23" s="20">
        <v>16332</v>
      </c>
      <c r="F23" s="20">
        <v>11822</v>
      </c>
      <c r="G23" s="20">
        <v>4160</v>
      </c>
      <c r="H23" s="20">
        <v>111</v>
      </c>
      <c r="I23" s="20">
        <v>225</v>
      </c>
      <c r="J23" s="20">
        <v>14</v>
      </c>
      <c r="K23" s="20">
        <v>0</v>
      </c>
    </row>
    <row r="24" spans="1:11" s="21" customFormat="1" ht="12" customHeight="1" x14ac:dyDescent="0.2">
      <c r="A24" s="264" t="s">
        <v>22</v>
      </c>
      <c r="B24" s="264"/>
      <c r="C24" s="22">
        <v>41310</v>
      </c>
      <c r="D24" s="22">
        <v>29644</v>
      </c>
      <c r="E24" s="22">
        <v>11666</v>
      </c>
      <c r="F24" s="22">
        <v>8365</v>
      </c>
      <c r="G24" s="22">
        <v>3067</v>
      </c>
      <c r="H24" s="22">
        <v>83</v>
      </c>
      <c r="I24" s="22">
        <v>141</v>
      </c>
      <c r="J24" s="22">
        <v>10</v>
      </c>
      <c r="K24" s="22">
        <v>0</v>
      </c>
    </row>
    <row r="25" spans="1:11" s="21" customFormat="1" ht="12" customHeight="1" x14ac:dyDescent="0.2">
      <c r="A25" s="264" t="s">
        <v>23</v>
      </c>
      <c r="B25" s="264"/>
      <c r="C25" s="22">
        <v>5163</v>
      </c>
      <c r="D25" s="22">
        <v>4028</v>
      </c>
      <c r="E25" s="22">
        <v>1135</v>
      </c>
      <c r="F25" s="22">
        <v>801</v>
      </c>
      <c r="G25" s="22">
        <v>318</v>
      </c>
      <c r="H25" s="22">
        <v>8</v>
      </c>
      <c r="I25" s="22">
        <v>8</v>
      </c>
      <c r="J25" s="22">
        <v>0</v>
      </c>
      <c r="K25" s="22">
        <v>0</v>
      </c>
    </row>
    <row r="26" spans="1:11" s="21" customFormat="1" ht="12" customHeight="1" x14ac:dyDescent="0.2">
      <c r="A26" s="264" t="s">
        <v>24</v>
      </c>
      <c r="B26" s="264"/>
      <c r="C26" s="22">
        <v>12876</v>
      </c>
      <c r="D26" s="22">
        <v>10444</v>
      </c>
      <c r="E26" s="22">
        <v>2432</v>
      </c>
      <c r="F26" s="22">
        <v>1820</v>
      </c>
      <c r="G26" s="22">
        <v>522</v>
      </c>
      <c r="H26" s="22">
        <v>11</v>
      </c>
      <c r="I26" s="22">
        <v>75</v>
      </c>
      <c r="J26" s="22">
        <v>4</v>
      </c>
      <c r="K26" s="22">
        <v>0</v>
      </c>
    </row>
    <row r="27" spans="1:11" s="21" customFormat="1" ht="12" customHeight="1" x14ac:dyDescent="0.2">
      <c r="A27" s="211"/>
      <c r="B27" s="24" t="s">
        <v>25</v>
      </c>
      <c r="C27" s="22">
        <v>1000</v>
      </c>
      <c r="D27" s="22">
        <v>934</v>
      </c>
      <c r="E27" s="22">
        <v>66</v>
      </c>
      <c r="F27" s="22">
        <v>49</v>
      </c>
      <c r="G27" s="22">
        <v>15</v>
      </c>
      <c r="H27" s="22">
        <v>2</v>
      </c>
      <c r="I27" s="22">
        <v>0</v>
      </c>
      <c r="J27" s="22">
        <v>0</v>
      </c>
      <c r="K27" s="22">
        <v>0</v>
      </c>
    </row>
    <row r="28" spans="1:11" s="21" customFormat="1" ht="12" customHeight="1" x14ac:dyDescent="0.2">
      <c r="A28" s="26"/>
      <c r="B28" s="24" t="s">
        <v>26</v>
      </c>
      <c r="C28" s="22">
        <v>11876</v>
      </c>
      <c r="D28" s="22">
        <v>9510</v>
      </c>
      <c r="E28" s="22">
        <v>2366</v>
      </c>
      <c r="F28" s="22">
        <v>1771</v>
      </c>
      <c r="G28" s="22">
        <v>507</v>
      </c>
      <c r="H28" s="22">
        <v>9</v>
      </c>
      <c r="I28" s="22">
        <v>75</v>
      </c>
      <c r="J28" s="22">
        <v>4</v>
      </c>
      <c r="K28" s="22">
        <v>0</v>
      </c>
    </row>
    <row r="29" spans="1:11" s="21" customFormat="1" ht="12" customHeight="1" x14ac:dyDescent="0.2">
      <c r="A29" s="264" t="s">
        <v>27</v>
      </c>
      <c r="B29" s="264"/>
      <c r="C29" s="22">
        <v>3762</v>
      </c>
      <c r="D29" s="22">
        <v>3333</v>
      </c>
      <c r="E29" s="22">
        <v>429</v>
      </c>
      <c r="F29" s="22">
        <v>322</v>
      </c>
      <c r="G29" s="22">
        <v>106</v>
      </c>
      <c r="H29" s="22">
        <v>1</v>
      </c>
      <c r="I29" s="22">
        <v>0</v>
      </c>
      <c r="J29" s="22">
        <v>0</v>
      </c>
      <c r="K29" s="22">
        <v>0</v>
      </c>
    </row>
    <row r="30" spans="1:11" s="21" customFormat="1" ht="12" customHeight="1" x14ac:dyDescent="0.2">
      <c r="A30" s="211"/>
      <c r="B30" s="24" t="s">
        <v>28</v>
      </c>
      <c r="C30" s="22">
        <v>1135</v>
      </c>
      <c r="D30" s="22">
        <v>1019</v>
      </c>
      <c r="E30" s="22">
        <v>116</v>
      </c>
      <c r="F30" s="22">
        <v>94</v>
      </c>
      <c r="G30" s="22">
        <v>22</v>
      </c>
      <c r="H30" s="22">
        <v>0</v>
      </c>
      <c r="I30" s="22">
        <v>0</v>
      </c>
      <c r="J30" s="22">
        <v>0</v>
      </c>
      <c r="K30" s="22">
        <v>0</v>
      </c>
    </row>
    <row r="31" spans="1:11" s="21" customFormat="1" ht="12" customHeight="1" x14ac:dyDescent="0.2">
      <c r="A31" s="26"/>
      <c r="B31" s="24" t="s">
        <v>29</v>
      </c>
      <c r="C31" s="22">
        <v>2627</v>
      </c>
      <c r="D31" s="22">
        <v>2314</v>
      </c>
      <c r="E31" s="22">
        <v>313</v>
      </c>
      <c r="F31" s="22">
        <v>228</v>
      </c>
      <c r="G31" s="22">
        <v>84</v>
      </c>
      <c r="H31" s="22">
        <v>1</v>
      </c>
      <c r="I31" s="22">
        <v>0</v>
      </c>
      <c r="J31" s="22">
        <v>0</v>
      </c>
      <c r="K31" s="22">
        <v>0</v>
      </c>
    </row>
    <row r="32" spans="1:11" s="21" customFormat="1" ht="12" customHeight="1" x14ac:dyDescent="0.2">
      <c r="A32" s="264" t="s">
        <v>30</v>
      </c>
      <c r="B32" s="264"/>
      <c r="C32" s="22">
        <v>663</v>
      </c>
      <c r="D32" s="22">
        <v>616</v>
      </c>
      <c r="E32" s="22">
        <v>47</v>
      </c>
      <c r="F32" s="22">
        <v>34</v>
      </c>
      <c r="G32" s="22">
        <v>13</v>
      </c>
      <c r="H32" s="22">
        <v>0</v>
      </c>
      <c r="I32" s="22">
        <v>0</v>
      </c>
      <c r="J32" s="22">
        <v>0</v>
      </c>
      <c r="K32" s="22">
        <v>0</v>
      </c>
    </row>
    <row r="33" spans="1:11" s="21" customFormat="1" ht="12" customHeight="1" x14ac:dyDescent="0.2">
      <c r="A33" s="264" t="s">
        <v>343</v>
      </c>
      <c r="B33" s="264"/>
      <c r="C33" s="22">
        <v>5952</v>
      </c>
      <c r="D33" s="22">
        <v>5329</v>
      </c>
      <c r="E33" s="22">
        <v>623</v>
      </c>
      <c r="F33" s="22">
        <v>480</v>
      </c>
      <c r="G33" s="22">
        <v>134</v>
      </c>
      <c r="H33" s="22">
        <v>8</v>
      </c>
      <c r="I33" s="22">
        <v>1</v>
      </c>
      <c r="J33" s="22">
        <v>0</v>
      </c>
      <c r="K33" s="22">
        <v>0</v>
      </c>
    </row>
    <row r="34" spans="1:11" s="21" customFormat="1" ht="12" customHeight="1" x14ac:dyDescent="0.2">
      <c r="A34" s="211"/>
      <c r="B34" s="24" t="s">
        <v>32</v>
      </c>
      <c r="C34" s="22">
        <v>500</v>
      </c>
      <c r="D34" s="22">
        <v>470</v>
      </c>
      <c r="E34" s="22">
        <v>30</v>
      </c>
      <c r="F34" s="22">
        <v>21</v>
      </c>
      <c r="G34" s="22">
        <v>7</v>
      </c>
      <c r="H34" s="22">
        <v>2</v>
      </c>
      <c r="I34" s="22">
        <v>0</v>
      </c>
      <c r="J34" s="22">
        <v>0</v>
      </c>
      <c r="K34" s="22">
        <v>0</v>
      </c>
    </row>
    <row r="35" spans="1:11" s="21" customFormat="1" ht="12" customHeight="1" x14ac:dyDescent="0.2">
      <c r="A35" s="23"/>
      <c r="B35" s="24" t="s">
        <v>33</v>
      </c>
      <c r="C35" s="22">
        <v>183</v>
      </c>
      <c r="D35" s="22">
        <v>163</v>
      </c>
      <c r="E35" s="22">
        <v>20</v>
      </c>
      <c r="F35" s="22">
        <v>15</v>
      </c>
      <c r="G35" s="22">
        <v>5</v>
      </c>
      <c r="H35" s="22">
        <v>0</v>
      </c>
      <c r="I35" s="22">
        <v>0</v>
      </c>
      <c r="J35" s="22">
        <v>0</v>
      </c>
      <c r="K35" s="22">
        <v>0</v>
      </c>
    </row>
    <row r="36" spans="1:11" s="21" customFormat="1" ht="12" customHeight="1" x14ac:dyDescent="0.2">
      <c r="A36" s="23"/>
      <c r="B36" s="30" t="s">
        <v>344</v>
      </c>
      <c r="C36" s="209">
        <v>5269</v>
      </c>
      <c r="D36" s="209">
        <v>4696</v>
      </c>
      <c r="E36" s="209">
        <v>573</v>
      </c>
      <c r="F36" s="209">
        <v>444</v>
      </c>
      <c r="G36" s="209">
        <v>122</v>
      </c>
      <c r="H36" s="209">
        <v>6</v>
      </c>
      <c r="I36" s="209">
        <v>1</v>
      </c>
      <c r="J36" s="209">
        <v>0</v>
      </c>
      <c r="K36" s="209">
        <v>0</v>
      </c>
    </row>
    <row r="37" spans="1:11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s="19" customFormat="1" ht="12" customHeight="1" x14ac:dyDescent="0.2">
      <c r="A38" s="263" t="s">
        <v>35</v>
      </c>
      <c r="B38" s="263"/>
      <c r="C38" s="20">
        <v>55511</v>
      </c>
      <c r="D38" s="20">
        <v>40925</v>
      </c>
      <c r="E38" s="20">
        <v>14586</v>
      </c>
      <c r="F38" s="20">
        <v>10531</v>
      </c>
      <c r="G38" s="20">
        <v>3526</v>
      </c>
      <c r="H38" s="20">
        <v>102</v>
      </c>
      <c r="I38" s="20">
        <v>407</v>
      </c>
      <c r="J38" s="20">
        <v>20</v>
      </c>
      <c r="K38" s="20">
        <v>0</v>
      </c>
    </row>
    <row r="39" spans="1:11" s="21" customFormat="1" ht="12" customHeight="1" x14ac:dyDescent="0.2">
      <c r="A39" s="264" t="s">
        <v>36</v>
      </c>
      <c r="B39" s="264"/>
      <c r="C39" s="22">
        <v>49971</v>
      </c>
      <c r="D39" s="22">
        <v>37269</v>
      </c>
      <c r="E39" s="22">
        <v>12702</v>
      </c>
      <c r="F39" s="22">
        <v>9177</v>
      </c>
      <c r="G39" s="22">
        <v>3085</v>
      </c>
      <c r="H39" s="22">
        <v>86</v>
      </c>
      <c r="I39" s="22">
        <v>339</v>
      </c>
      <c r="J39" s="22">
        <v>15</v>
      </c>
      <c r="K39" s="22">
        <v>0</v>
      </c>
    </row>
    <row r="40" spans="1:11" s="21" customFormat="1" ht="12" customHeight="1" x14ac:dyDescent="0.2">
      <c r="A40" s="267" t="s">
        <v>37</v>
      </c>
      <c r="B40" s="267"/>
      <c r="C40" s="209">
        <v>5540</v>
      </c>
      <c r="D40" s="209">
        <v>3656</v>
      </c>
      <c r="E40" s="209">
        <v>1884</v>
      </c>
      <c r="F40" s="209">
        <v>1354</v>
      </c>
      <c r="G40" s="209">
        <v>441</v>
      </c>
      <c r="H40" s="209">
        <v>16</v>
      </c>
      <c r="I40" s="209">
        <v>68</v>
      </c>
      <c r="J40" s="209">
        <v>5</v>
      </c>
      <c r="K40" s="209">
        <v>0</v>
      </c>
    </row>
    <row r="41" spans="1:11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1" s="19" customFormat="1" ht="12" customHeight="1" x14ac:dyDescent="0.2">
      <c r="A42" s="263" t="s">
        <v>38</v>
      </c>
      <c r="B42" s="263"/>
      <c r="C42" s="20">
        <v>145584</v>
      </c>
      <c r="D42" s="20">
        <v>99565</v>
      </c>
      <c r="E42" s="20">
        <v>46019</v>
      </c>
      <c r="F42" s="20">
        <v>30908</v>
      </c>
      <c r="G42" s="20">
        <v>14129</v>
      </c>
      <c r="H42" s="20">
        <v>258</v>
      </c>
      <c r="I42" s="20">
        <v>616</v>
      </c>
      <c r="J42" s="20">
        <v>86</v>
      </c>
      <c r="K42" s="20">
        <v>22</v>
      </c>
    </row>
    <row r="43" spans="1:11" s="21" customFormat="1" ht="12" customHeight="1" x14ac:dyDescent="0.2">
      <c r="A43" s="264" t="s">
        <v>39</v>
      </c>
      <c r="B43" s="264"/>
      <c r="C43" s="22">
        <v>98352</v>
      </c>
      <c r="D43" s="22">
        <v>61740</v>
      </c>
      <c r="E43" s="22">
        <v>36612</v>
      </c>
      <c r="F43" s="22">
        <v>23904</v>
      </c>
      <c r="G43" s="22">
        <v>11823</v>
      </c>
      <c r="H43" s="22">
        <v>231</v>
      </c>
      <c r="I43" s="22">
        <v>551</v>
      </c>
      <c r="J43" s="22">
        <v>81</v>
      </c>
      <c r="K43" s="22">
        <v>22</v>
      </c>
    </row>
    <row r="44" spans="1:11" s="21" customFormat="1" ht="12" customHeight="1" x14ac:dyDescent="0.2">
      <c r="A44" s="270" t="s">
        <v>40</v>
      </c>
      <c r="B44" s="270"/>
      <c r="C44" s="22">
        <v>23699</v>
      </c>
      <c r="D44" s="22">
        <v>19715</v>
      </c>
      <c r="E44" s="22">
        <v>3984</v>
      </c>
      <c r="F44" s="22">
        <v>3003</v>
      </c>
      <c r="G44" s="22">
        <v>937</v>
      </c>
      <c r="H44" s="22">
        <v>17</v>
      </c>
      <c r="I44" s="22">
        <v>26</v>
      </c>
      <c r="J44" s="22">
        <v>1</v>
      </c>
      <c r="K44" s="22">
        <v>0</v>
      </c>
    </row>
    <row r="45" spans="1:11" s="21" customFormat="1" ht="12" customHeight="1" x14ac:dyDescent="0.2">
      <c r="A45" s="30"/>
      <c r="B45" s="24" t="s">
        <v>41</v>
      </c>
      <c r="C45" s="22">
        <v>13576</v>
      </c>
      <c r="D45" s="22">
        <v>10881</v>
      </c>
      <c r="E45" s="22">
        <v>2695</v>
      </c>
      <c r="F45" s="22">
        <v>2044</v>
      </c>
      <c r="G45" s="22">
        <v>616</v>
      </c>
      <c r="H45" s="22">
        <v>9</v>
      </c>
      <c r="I45" s="22">
        <v>26</v>
      </c>
      <c r="J45" s="22">
        <v>0</v>
      </c>
      <c r="K45" s="22">
        <v>0</v>
      </c>
    </row>
    <row r="46" spans="1:11" s="21" customFormat="1" ht="12" customHeight="1" x14ac:dyDescent="0.2">
      <c r="A46" s="30"/>
      <c r="B46" s="24" t="s">
        <v>42</v>
      </c>
      <c r="C46" s="22">
        <v>10123</v>
      </c>
      <c r="D46" s="22">
        <v>8834</v>
      </c>
      <c r="E46" s="22">
        <v>1289</v>
      </c>
      <c r="F46" s="22">
        <v>959</v>
      </c>
      <c r="G46" s="22">
        <v>321</v>
      </c>
      <c r="H46" s="22">
        <v>8</v>
      </c>
      <c r="I46" s="22">
        <v>0</v>
      </c>
      <c r="J46" s="22">
        <v>1</v>
      </c>
      <c r="K46" s="22">
        <v>0</v>
      </c>
    </row>
    <row r="47" spans="1:11" s="21" customFormat="1" ht="12" customHeight="1" x14ac:dyDescent="0.2">
      <c r="A47" s="264" t="s">
        <v>44</v>
      </c>
      <c r="B47" s="264"/>
      <c r="C47" s="22">
        <v>23533</v>
      </c>
      <c r="D47" s="22">
        <v>18110</v>
      </c>
      <c r="E47" s="22">
        <v>5423</v>
      </c>
      <c r="F47" s="22">
        <v>4001</v>
      </c>
      <c r="G47" s="22">
        <v>1369</v>
      </c>
      <c r="H47" s="22">
        <v>10</v>
      </c>
      <c r="I47" s="22">
        <v>39</v>
      </c>
      <c r="J47" s="22">
        <v>4</v>
      </c>
      <c r="K47" s="22">
        <v>0</v>
      </c>
    </row>
    <row r="48" spans="1:11" s="21" customFormat="1" ht="12" customHeight="1" x14ac:dyDescent="0.2">
      <c r="A48" s="30"/>
      <c r="B48" s="24" t="s">
        <v>45</v>
      </c>
      <c r="C48" s="22">
        <v>2819</v>
      </c>
      <c r="D48" s="22">
        <v>2462</v>
      </c>
      <c r="E48" s="22">
        <v>357</v>
      </c>
      <c r="F48" s="22">
        <v>264</v>
      </c>
      <c r="G48" s="22">
        <v>92</v>
      </c>
      <c r="H48" s="22">
        <v>0</v>
      </c>
      <c r="I48" s="22">
        <v>1</v>
      </c>
      <c r="J48" s="22">
        <v>0</v>
      </c>
      <c r="K48" s="22">
        <v>0</v>
      </c>
    </row>
    <row r="49" spans="1:11" s="21" customFormat="1" ht="12" customHeight="1" x14ac:dyDescent="0.2">
      <c r="A49" s="30"/>
      <c r="B49" s="24" t="s">
        <v>46</v>
      </c>
      <c r="C49" s="22">
        <v>6032</v>
      </c>
      <c r="D49" s="22">
        <v>4959</v>
      </c>
      <c r="E49" s="22">
        <v>1073</v>
      </c>
      <c r="F49" s="22">
        <v>807</v>
      </c>
      <c r="G49" s="22">
        <v>264</v>
      </c>
      <c r="H49" s="22">
        <v>1</v>
      </c>
      <c r="I49" s="22">
        <v>1</v>
      </c>
      <c r="J49" s="22">
        <v>0</v>
      </c>
      <c r="K49" s="22">
        <v>0</v>
      </c>
    </row>
    <row r="50" spans="1:11" s="21" customFormat="1" ht="12" customHeight="1" x14ac:dyDescent="0.2">
      <c r="A50" s="30"/>
      <c r="B50" s="30" t="s">
        <v>47</v>
      </c>
      <c r="C50" s="209">
        <v>14682</v>
      </c>
      <c r="D50" s="209">
        <v>10689</v>
      </c>
      <c r="E50" s="209">
        <v>3993</v>
      </c>
      <c r="F50" s="209">
        <v>2930</v>
      </c>
      <c r="G50" s="209">
        <v>1013</v>
      </c>
      <c r="H50" s="209">
        <v>9</v>
      </c>
      <c r="I50" s="209">
        <v>37</v>
      </c>
      <c r="J50" s="209">
        <v>4</v>
      </c>
      <c r="K50" s="209">
        <v>0</v>
      </c>
    </row>
    <row r="51" spans="1:11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s="19" customFormat="1" ht="12" customHeight="1" x14ac:dyDescent="0.2">
      <c r="A52" s="263" t="s">
        <v>48</v>
      </c>
      <c r="B52" s="263"/>
      <c r="C52" s="20">
        <v>55336</v>
      </c>
      <c r="D52" s="20">
        <v>41513</v>
      </c>
      <c r="E52" s="20">
        <v>13823</v>
      </c>
      <c r="F52" s="20">
        <v>8935</v>
      </c>
      <c r="G52" s="20">
        <v>4575</v>
      </c>
      <c r="H52" s="20">
        <v>51</v>
      </c>
      <c r="I52" s="20">
        <v>258</v>
      </c>
      <c r="J52" s="20">
        <v>4</v>
      </c>
      <c r="K52" s="20">
        <v>0</v>
      </c>
    </row>
    <row r="53" spans="1:11" s="21" customFormat="1" ht="12" customHeight="1" x14ac:dyDescent="0.2">
      <c r="A53" s="264" t="s">
        <v>49</v>
      </c>
      <c r="B53" s="264"/>
      <c r="C53" s="22">
        <v>18625</v>
      </c>
      <c r="D53" s="22">
        <v>12604</v>
      </c>
      <c r="E53" s="22">
        <v>6021</v>
      </c>
      <c r="F53" s="22">
        <v>3844</v>
      </c>
      <c r="G53" s="22">
        <v>1950</v>
      </c>
      <c r="H53" s="22">
        <v>20</v>
      </c>
      <c r="I53" s="22">
        <v>204</v>
      </c>
      <c r="J53" s="22">
        <v>3</v>
      </c>
      <c r="K53" s="22">
        <v>0</v>
      </c>
    </row>
    <row r="54" spans="1:11" s="21" customFormat="1" ht="12" customHeight="1" x14ac:dyDescent="0.2">
      <c r="A54" s="264" t="s">
        <v>50</v>
      </c>
      <c r="B54" s="264"/>
      <c r="C54" s="22">
        <v>32591</v>
      </c>
      <c r="D54" s="22">
        <v>25269</v>
      </c>
      <c r="E54" s="22">
        <v>7322</v>
      </c>
      <c r="F54" s="22">
        <v>4735</v>
      </c>
      <c r="G54" s="22">
        <v>2503</v>
      </c>
      <c r="H54" s="22">
        <v>29</v>
      </c>
      <c r="I54" s="22">
        <v>54</v>
      </c>
      <c r="J54" s="22">
        <v>1</v>
      </c>
      <c r="K54" s="22">
        <v>0</v>
      </c>
    </row>
    <row r="55" spans="1:11" s="21" customFormat="1" ht="12" customHeight="1" x14ac:dyDescent="0.2">
      <c r="A55" s="267" t="s">
        <v>51</v>
      </c>
      <c r="B55" s="267"/>
      <c r="C55" s="209">
        <v>4120</v>
      </c>
      <c r="D55" s="209">
        <v>3640</v>
      </c>
      <c r="E55" s="209">
        <v>480</v>
      </c>
      <c r="F55" s="209">
        <v>356</v>
      </c>
      <c r="G55" s="209">
        <v>122</v>
      </c>
      <c r="H55" s="209">
        <v>2</v>
      </c>
      <c r="I55" s="209">
        <v>0</v>
      </c>
      <c r="J55" s="209">
        <v>0</v>
      </c>
      <c r="K55" s="209">
        <v>0</v>
      </c>
    </row>
    <row r="56" spans="1:11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  <c r="K56" s="32"/>
    </row>
    <row r="57" spans="1:11" s="21" customFormat="1" ht="12" customHeight="1" x14ac:dyDescent="0.2">
      <c r="A57" s="269" t="s">
        <v>52</v>
      </c>
      <c r="B57" s="269"/>
      <c r="C57" s="18">
        <v>49969</v>
      </c>
      <c r="D57" s="18">
        <v>37618</v>
      </c>
      <c r="E57" s="18">
        <v>12351</v>
      </c>
      <c r="F57" s="18">
        <v>7952</v>
      </c>
      <c r="G57" s="18">
        <v>4097</v>
      </c>
      <c r="H57" s="18">
        <v>43</v>
      </c>
      <c r="I57" s="18">
        <v>255</v>
      </c>
      <c r="J57" s="18">
        <v>4</v>
      </c>
      <c r="K57" s="18">
        <v>0</v>
      </c>
    </row>
    <row r="58" spans="1:11" s="21" customFormat="1" ht="12" customHeight="1" x14ac:dyDescent="0.2">
      <c r="A58" s="264" t="s">
        <v>53</v>
      </c>
      <c r="B58" s="264"/>
      <c r="C58" s="22">
        <v>3240</v>
      </c>
      <c r="D58" s="22">
        <v>2372</v>
      </c>
      <c r="E58" s="22">
        <v>868</v>
      </c>
      <c r="F58" s="22">
        <v>600</v>
      </c>
      <c r="G58" s="22">
        <v>260</v>
      </c>
      <c r="H58" s="22">
        <v>2</v>
      </c>
      <c r="I58" s="22">
        <v>6</v>
      </c>
      <c r="J58" s="22">
        <v>0</v>
      </c>
      <c r="K58" s="22">
        <v>0</v>
      </c>
    </row>
    <row r="59" spans="1:11" s="21" customFormat="1" ht="12" customHeight="1" x14ac:dyDescent="0.2">
      <c r="A59" s="264" t="s">
        <v>55</v>
      </c>
      <c r="B59" s="264"/>
      <c r="C59" s="22">
        <v>1926</v>
      </c>
      <c r="D59" s="22">
        <v>1712</v>
      </c>
      <c r="E59" s="22">
        <v>214</v>
      </c>
      <c r="F59" s="22">
        <v>161</v>
      </c>
      <c r="G59" s="22">
        <v>53</v>
      </c>
      <c r="H59" s="22">
        <v>0</v>
      </c>
      <c r="I59" s="22">
        <v>0</v>
      </c>
      <c r="J59" s="22">
        <v>0</v>
      </c>
      <c r="K59" s="22">
        <v>0</v>
      </c>
    </row>
    <row r="60" spans="1:11" s="21" customFormat="1" ht="12" customHeight="1" x14ac:dyDescent="0.2">
      <c r="A60" s="264" t="s">
        <v>56</v>
      </c>
      <c r="B60" s="264"/>
      <c r="C60" s="22">
        <v>2194</v>
      </c>
      <c r="D60" s="22">
        <v>1928</v>
      </c>
      <c r="E60" s="22">
        <v>266</v>
      </c>
      <c r="F60" s="22">
        <v>195</v>
      </c>
      <c r="G60" s="22">
        <v>69</v>
      </c>
      <c r="H60" s="22">
        <v>2</v>
      </c>
      <c r="I60" s="22">
        <v>0</v>
      </c>
      <c r="J60" s="22">
        <v>0</v>
      </c>
      <c r="K60" s="22">
        <v>0</v>
      </c>
    </row>
    <row r="61" spans="1:11" s="21" customFormat="1" ht="12" customHeight="1" x14ac:dyDescent="0.2">
      <c r="A61" s="264" t="s">
        <v>57</v>
      </c>
      <c r="B61" s="264"/>
      <c r="C61" s="22">
        <v>7581</v>
      </c>
      <c r="D61" s="22">
        <v>4541</v>
      </c>
      <c r="E61" s="22">
        <v>3040</v>
      </c>
      <c r="F61" s="22">
        <v>1799</v>
      </c>
      <c r="G61" s="22">
        <v>1038</v>
      </c>
      <c r="H61" s="22">
        <v>13</v>
      </c>
      <c r="I61" s="22">
        <v>187</v>
      </c>
      <c r="J61" s="22">
        <v>3</v>
      </c>
      <c r="K61" s="22">
        <v>0</v>
      </c>
    </row>
    <row r="62" spans="1:11" s="21" customFormat="1" ht="12" customHeight="1" x14ac:dyDescent="0.2">
      <c r="A62" s="264" t="s">
        <v>58</v>
      </c>
      <c r="B62" s="264"/>
      <c r="C62" s="22">
        <v>2867</v>
      </c>
      <c r="D62" s="22">
        <v>2329</v>
      </c>
      <c r="E62" s="22">
        <v>538</v>
      </c>
      <c r="F62" s="22">
        <v>395</v>
      </c>
      <c r="G62" s="22">
        <v>142</v>
      </c>
      <c r="H62" s="22">
        <v>0</v>
      </c>
      <c r="I62" s="22">
        <v>1</v>
      </c>
      <c r="J62" s="22">
        <v>0</v>
      </c>
      <c r="K62" s="22">
        <v>0</v>
      </c>
    </row>
    <row r="63" spans="1:11" s="21" customFormat="1" ht="12" customHeight="1" x14ac:dyDescent="0.2">
      <c r="A63" s="264" t="s">
        <v>60</v>
      </c>
      <c r="B63" s="264"/>
      <c r="C63" s="22">
        <v>14902</v>
      </c>
      <c r="D63" s="22">
        <v>11570</v>
      </c>
      <c r="E63" s="22">
        <v>3332</v>
      </c>
      <c r="F63" s="22">
        <v>1966</v>
      </c>
      <c r="G63" s="22">
        <v>1328</v>
      </c>
      <c r="H63" s="22">
        <v>11</v>
      </c>
      <c r="I63" s="22">
        <v>26</v>
      </c>
      <c r="J63" s="22">
        <v>1</v>
      </c>
      <c r="K63" s="22">
        <v>0</v>
      </c>
    </row>
    <row r="64" spans="1:11" s="21" customFormat="1" ht="12" customHeight="1" x14ac:dyDescent="0.2">
      <c r="A64" s="264" t="s">
        <v>62</v>
      </c>
      <c r="B64" s="264"/>
      <c r="C64" s="22">
        <v>4441</v>
      </c>
      <c r="D64" s="22">
        <v>3322</v>
      </c>
      <c r="E64" s="22">
        <v>1119</v>
      </c>
      <c r="F64" s="22">
        <v>798</v>
      </c>
      <c r="G64" s="22">
        <v>313</v>
      </c>
      <c r="H64" s="22">
        <v>2</v>
      </c>
      <c r="I64" s="22">
        <v>6</v>
      </c>
      <c r="J64" s="22">
        <v>0</v>
      </c>
      <c r="K64" s="22">
        <v>0</v>
      </c>
    </row>
    <row r="65" spans="1:11" s="21" customFormat="1" ht="12" customHeight="1" x14ac:dyDescent="0.2">
      <c r="A65" s="264" t="s">
        <v>63</v>
      </c>
      <c r="B65" s="264"/>
      <c r="C65" s="22">
        <v>2338</v>
      </c>
      <c r="D65" s="22">
        <v>1908</v>
      </c>
      <c r="E65" s="22">
        <v>430</v>
      </c>
      <c r="F65" s="22">
        <v>273</v>
      </c>
      <c r="G65" s="22">
        <v>138</v>
      </c>
      <c r="H65" s="22">
        <v>1</v>
      </c>
      <c r="I65" s="22">
        <v>18</v>
      </c>
      <c r="J65" s="22">
        <v>0</v>
      </c>
      <c r="K65" s="22">
        <v>0</v>
      </c>
    </row>
    <row r="66" spans="1:11" s="21" customFormat="1" ht="12" customHeight="1" x14ac:dyDescent="0.2">
      <c r="A66" s="264" t="s">
        <v>64</v>
      </c>
      <c r="B66" s="264"/>
      <c r="C66" s="22">
        <v>2626</v>
      </c>
      <c r="D66" s="22">
        <v>2131</v>
      </c>
      <c r="E66" s="22">
        <v>495</v>
      </c>
      <c r="F66" s="22">
        <v>381</v>
      </c>
      <c r="G66" s="22">
        <v>113</v>
      </c>
      <c r="H66" s="22">
        <v>1</v>
      </c>
      <c r="I66" s="22">
        <v>0</v>
      </c>
      <c r="J66" s="22">
        <v>0</v>
      </c>
      <c r="K66" s="22">
        <v>0</v>
      </c>
    </row>
    <row r="67" spans="1:11" s="21" customFormat="1" ht="12" customHeight="1" x14ac:dyDescent="0.2">
      <c r="A67" s="264" t="s">
        <v>65</v>
      </c>
      <c r="B67" s="264"/>
      <c r="C67" s="22">
        <v>4491</v>
      </c>
      <c r="D67" s="22">
        <v>3436</v>
      </c>
      <c r="E67" s="22">
        <v>1055</v>
      </c>
      <c r="F67" s="22">
        <v>737</v>
      </c>
      <c r="G67" s="22">
        <v>304</v>
      </c>
      <c r="H67" s="22">
        <v>8</v>
      </c>
      <c r="I67" s="22">
        <v>6</v>
      </c>
      <c r="J67" s="22">
        <v>0</v>
      </c>
      <c r="K67" s="22">
        <v>0</v>
      </c>
    </row>
    <row r="68" spans="1:11" s="21" customFormat="1" ht="12" customHeight="1" x14ac:dyDescent="0.2">
      <c r="A68" s="267" t="s">
        <v>66</v>
      </c>
      <c r="B68" s="267"/>
      <c r="C68" s="209">
        <v>3363</v>
      </c>
      <c r="D68" s="209">
        <v>2369</v>
      </c>
      <c r="E68" s="209">
        <v>994</v>
      </c>
      <c r="F68" s="209">
        <v>647</v>
      </c>
      <c r="G68" s="209">
        <v>339</v>
      </c>
      <c r="H68" s="209">
        <v>3</v>
      </c>
      <c r="I68" s="209">
        <v>5</v>
      </c>
      <c r="J68" s="209">
        <v>0</v>
      </c>
      <c r="K68" s="209">
        <v>0</v>
      </c>
    </row>
    <row r="69" spans="1:11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</row>
    <row r="70" spans="1:11" s="21" customFormat="1" ht="12" customHeight="1" x14ac:dyDescent="0.2">
      <c r="A70" s="263" t="s">
        <v>67</v>
      </c>
      <c r="B70" s="263"/>
      <c r="C70" s="20">
        <v>150556</v>
      </c>
      <c r="D70" s="20">
        <v>103104</v>
      </c>
      <c r="E70" s="20">
        <v>47452</v>
      </c>
      <c r="F70" s="20">
        <v>31866</v>
      </c>
      <c r="G70" s="20">
        <v>14594</v>
      </c>
      <c r="H70" s="20">
        <v>265</v>
      </c>
      <c r="I70" s="20">
        <v>619</v>
      </c>
      <c r="J70" s="20">
        <v>86</v>
      </c>
      <c r="K70" s="20">
        <v>22</v>
      </c>
    </row>
    <row r="71" spans="1:11" s="21" customFormat="1" ht="12" customHeight="1" x14ac:dyDescent="0.2">
      <c r="A71" s="264" t="s">
        <v>68</v>
      </c>
      <c r="B71" s="264"/>
      <c r="C71" s="22">
        <v>4376</v>
      </c>
      <c r="D71" s="22">
        <v>2977</v>
      </c>
      <c r="E71" s="22">
        <v>1399</v>
      </c>
      <c r="F71" s="22">
        <v>1052</v>
      </c>
      <c r="G71" s="22">
        <v>334</v>
      </c>
      <c r="H71" s="22">
        <v>3</v>
      </c>
      <c r="I71" s="22">
        <v>7</v>
      </c>
      <c r="J71" s="22">
        <v>3</v>
      </c>
      <c r="K71" s="22">
        <v>0</v>
      </c>
    </row>
    <row r="72" spans="1:11" s="21" customFormat="1" ht="12" customHeight="1" x14ac:dyDescent="0.2">
      <c r="A72" s="264" t="s">
        <v>69</v>
      </c>
      <c r="B72" s="264"/>
      <c r="C72" s="22">
        <v>1380</v>
      </c>
      <c r="D72" s="22">
        <v>1266</v>
      </c>
      <c r="E72" s="22">
        <v>114</v>
      </c>
      <c r="F72" s="22">
        <v>78</v>
      </c>
      <c r="G72" s="22">
        <v>36</v>
      </c>
      <c r="H72" s="22">
        <v>0</v>
      </c>
      <c r="I72" s="22">
        <v>0</v>
      </c>
      <c r="J72" s="22">
        <v>0</v>
      </c>
      <c r="K72" s="22">
        <v>0</v>
      </c>
    </row>
    <row r="73" spans="1:11" s="21" customFormat="1" ht="12" customHeight="1" x14ac:dyDescent="0.2">
      <c r="A73" s="264" t="s">
        <v>70</v>
      </c>
      <c r="B73" s="264"/>
      <c r="C73" s="22">
        <v>354</v>
      </c>
      <c r="D73" s="22">
        <v>306</v>
      </c>
      <c r="E73" s="22">
        <v>48</v>
      </c>
      <c r="F73" s="22">
        <v>40</v>
      </c>
      <c r="G73" s="22">
        <v>8</v>
      </c>
      <c r="H73" s="22">
        <v>0</v>
      </c>
      <c r="I73" s="22">
        <v>0</v>
      </c>
      <c r="J73" s="22">
        <v>0</v>
      </c>
      <c r="K73" s="22">
        <v>0</v>
      </c>
    </row>
    <row r="74" spans="1:11" s="21" customFormat="1" ht="12" customHeight="1" x14ac:dyDescent="0.2">
      <c r="A74" s="264" t="s">
        <v>71</v>
      </c>
      <c r="B74" s="264"/>
      <c r="C74" s="22">
        <v>986</v>
      </c>
      <c r="D74" s="22">
        <v>872</v>
      </c>
      <c r="E74" s="22">
        <v>114</v>
      </c>
      <c r="F74" s="22">
        <v>73</v>
      </c>
      <c r="G74" s="22">
        <v>39</v>
      </c>
      <c r="H74" s="22">
        <v>0</v>
      </c>
      <c r="I74" s="22">
        <v>2</v>
      </c>
      <c r="J74" s="22">
        <v>0</v>
      </c>
      <c r="K74" s="22">
        <v>0</v>
      </c>
    </row>
    <row r="75" spans="1:11" s="21" customFormat="1" ht="12" customHeight="1" x14ac:dyDescent="0.2">
      <c r="A75" s="264" t="s">
        <v>72</v>
      </c>
      <c r="B75" s="264"/>
      <c r="C75" s="22">
        <v>294</v>
      </c>
      <c r="D75" s="22">
        <v>255</v>
      </c>
      <c r="E75" s="22">
        <v>39</v>
      </c>
      <c r="F75" s="22">
        <v>30</v>
      </c>
      <c r="G75" s="22">
        <v>9</v>
      </c>
      <c r="H75" s="22">
        <v>0</v>
      </c>
      <c r="I75" s="22">
        <v>0</v>
      </c>
      <c r="J75" s="22">
        <v>0</v>
      </c>
      <c r="K75" s="22">
        <v>0</v>
      </c>
    </row>
    <row r="76" spans="1:11" s="21" customFormat="1" ht="12" customHeight="1" x14ac:dyDescent="0.2">
      <c r="A76" s="264" t="s">
        <v>73</v>
      </c>
      <c r="B76" s="264"/>
      <c r="C76" s="22">
        <v>1538</v>
      </c>
      <c r="D76" s="22">
        <v>1286</v>
      </c>
      <c r="E76" s="22">
        <v>252</v>
      </c>
      <c r="F76" s="22">
        <v>202</v>
      </c>
      <c r="G76" s="22">
        <v>49</v>
      </c>
      <c r="H76" s="22">
        <v>1</v>
      </c>
      <c r="I76" s="22">
        <v>0</v>
      </c>
      <c r="J76" s="22">
        <v>0</v>
      </c>
      <c r="K76" s="22">
        <v>0</v>
      </c>
    </row>
    <row r="77" spans="1:11" s="21" customFormat="1" ht="12" customHeight="1" x14ac:dyDescent="0.2">
      <c r="A77" s="264" t="s">
        <v>74</v>
      </c>
      <c r="B77" s="264"/>
      <c r="C77" s="22">
        <v>604</v>
      </c>
      <c r="D77" s="22">
        <v>531</v>
      </c>
      <c r="E77" s="22">
        <v>73</v>
      </c>
      <c r="F77" s="22">
        <v>50</v>
      </c>
      <c r="G77" s="22">
        <v>23</v>
      </c>
      <c r="H77" s="22">
        <v>0</v>
      </c>
      <c r="I77" s="22">
        <v>0</v>
      </c>
      <c r="J77" s="22">
        <v>0</v>
      </c>
      <c r="K77" s="22">
        <v>0</v>
      </c>
    </row>
    <row r="78" spans="1:11" s="21" customFormat="1" ht="12" customHeight="1" x14ac:dyDescent="0.2">
      <c r="A78" s="264" t="s">
        <v>75</v>
      </c>
      <c r="B78" s="264"/>
      <c r="C78" s="22">
        <v>2689</v>
      </c>
      <c r="D78" s="22">
        <v>2142</v>
      </c>
      <c r="E78" s="22">
        <v>547</v>
      </c>
      <c r="F78" s="22">
        <v>399</v>
      </c>
      <c r="G78" s="22">
        <v>147</v>
      </c>
      <c r="H78" s="22">
        <v>0</v>
      </c>
      <c r="I78" s="22">
        <v>1</v>
      </c>
      <c r="J78" s="22">
        <v>0</v>
      </c>
      <c r="K78" s="22">
        <v>0</v>
      </c>
    </row>
    <row r="79" spans="1:11" s="21" customFormat="1" ht="12" customHeight="1" x14ac:dyDescent="0.2">
      <c r="A79" s="264" t="s">
        <v>77</v>
      </c>
      <c r="B79" s="264"/>
      <c r="C79" s="22">
        <v>948</v>
      </c>
      <c r="D79" s="22">
        <v>551</v>
      </c>
      <c r="E79" s="22">
        <v>397</v>
      </c>
      <c r="F79" s="22">
        <v>243</v>
      </c>
      <c r="G79" s="22">
        <v>154</v>
      </c>
      <c r="H79" s="22">
        <v>0</v>
      </c>
      <c r="I79" s="22">
        <v>0</v>
      </c>
      <c r="J79" s="22">
        <v>0</v>
      </c>
      <c r="K79" s="22">
        <v>0</v>
      </c>
    </row>
    <row r="80" spans="1:11" s="21" customFormat="1" ht="12" customHeight="1" x14ac:dyDescent="0.2">
      <c r="A80" s="264" t="s">
        <v>79</v>
      </c>
      <c r="B80" s="264"/>
      <c r="C80" s="22">
        <v>451</v>
      </c>
      <c r="D80" s="22">
        <v>350</v>
      </c>
      <c r="E80" s="22">
        <v>101</v>
      </c>
      <c r="F80" s="22">
        <v>64</v>
      </c>
      <c r="G80" s="22">
        <v>37</v>
      </c>
      <c r="H80" s="22">
        <v>0</v>
      </c>
      <c r="I80" s="22">
        <v>0</v>
      </c>
      <c r="J80" s="22">
        <v>0</v>
      </c>
      <c r="K80" s="22">
        <v>0</v>
      </c>
    </row>
    <row r="81" spans="1:11" s="21" customFormat="1" ht="12" customHeight="1" x14ac:dyDescent="0.2">
      <c r="A81" s="264" t="s">
        <v>80</v>
      </c>
      <c r="B81" s="264"/>
      <c r="C81" s="22">
        <v>761</v>
      </c>
      <c r="D81" s="22">
        <v>616</v>
      </c>
      <c r="E81" s="22">
        <v>145</v>
      </c>
      <c r="F81" s="22">
        <v>104</v>
      </c>
      <c r="G81" s="22">
        <v>40</v>
      </c>
      <c r="H81" s="22">
        <v>0</v>
      </c>
      <c r="I81" s="22">
        <v>1</v>
      </c>
      <c r="J81" s="22">
        <v>0</v>
      </c>
      <c r="K81" s="22">
        <v>0</v>
      </c>
    </row>
    <row r="82" spans="1:11" s="21" customFormat="1" ht="12" customHeight="1" x14ac:dyDescent="0.2">
      <c r="A82" s="264" t="s">
        <v>81</v>
      </c>
      <c r="B82" s="264"/>
      <c r="C82" s="22">
        <v>1521</v>
      </c>
      <c r="D82" s="22">
        <v>1080</v>
      </c>
      <c r="E82" s="22">
        <v>441</v>
      </c>
      <c r="F82" s="22">
        <v>359</v>
      </c>
      <c r="G82" s="22">
        <v>81</v>
      </c>
      <c r="H82" s="22">
        <v>0</v>
      </c>
      <c r="I82" s="22">
        <v>1</v>
      </c>
      <c r="J82" s="22">
        <v>0</v>
      </c>
      <c r="K82" s="22">
        <v>0</v>
      </c>
    </row>
    <row r="83" spans="1:11" s="21" customFormat="1" ht="12" customHeight="1" x14ac:dyDescent="0.2">
      <c r="A83" s="264" t="s">
        <v>84</v>
      </c>
      <c r="B83" s="264"/>
      <c r="C83" s="22">
        <v>2302</v>
      </c>
      <c r="D83" s="22">
        <v>1686</v>
      </c>
      <c r="E83" s="22">
        <v>616</v>
      </c>
      <c r="F83" s="22">
        <v>414</v>
      </c>
      <c r="G83" s="22">
        <v>186</v>
      </c>
      <c r="H83" s="22">
        <v>2</v>
      </c>
      <c r="I83" s="22">
        <v>13</v>
      </c>
      <c r="J83" s="22">
        <v>1</v>
      </c>
      <c r="K83" s="22">
        <v>0</v>
      </c>
    </row>
    <row r="84" spans="1:11" s="21" customFormat="1" ht="12" customHeight="1" x14ac:dyDescent="0.2">
      <c r="A84" s="264" t="s">
        <v>85</v>
      </c>
      <c r="B84" s="264"/>
      <c r="C84" s="22">
        <v>6755</v>
      </c>
      <c r="D84" s="22">
        <v>6003</v>
      </c>
      <c r="E84" s="22">
        <v>752</v>
      </c>
      <c r="F84" s="22">
        <v>539</v>
      </c>
      <c r="G84" s="22">
        <v>210</v>
      </c>
      <c r="H84" s="22">
        <v>3</v>
      </c>
      <c r="I84" s="22">
        <v>0</v>
      </c>
      <c r="J84" s="22">
        <v>0</v>
      </c>
      <c r="K84" s="22">
        <v>0</v>
      </c>
    </row>
    <row r="85" spans="1:11" s="21" customFormat="1" ht="12" customHeight="1" x14ac:dyDescent="0.2">
      <c r="A85" s="264" t="s">
        <v>88</v>
      </c>
      <c r="B85" s="264"/>
      <c r="C85" s="22">
        <v>4327</v>
      </c>
      <c r="D85" s="22">
        <v>3061</v>
      </c>
      <c r="E85" s="22">
        <v>1266</v>
      </c>
      <c r="F85" s="22">
        <v>954</v>
      </c>
      <c r="G85" s="22">
        <v>281</v>
      </c>
      <c r="H85" s="22">
        <v>5</v>
      </c>
      <c r="I85" s="22">
        <v>26</v>
      </c>
      <c r="J85" s="22">
        <v>0</v>
      </c>
      <c r="K85" s="22">
        <v>0</v>
      </c>
    </row>
    <row r="86" spans="1:11" s="21" customFormat="1" ht="12" customHeight="1" x14ac:dyDescent="0.2">
      <c r="A86" s="264" t="s">
        <v>91</v>
      </c>
      <c r="B86" s="264"/>
      <c r="C86" s="22">
        <v>4604</v>
      </c>
      <c r="D86" s="22">
        <v>3057</v>
      </c>
      <c r="E86" s="22">
        <v>1547</v>
      </c>
      <c r="F86" s="22">
        <v>992</v>
      </c>
      <c r="G86" s="22">
        <v>530</v>
      </c>
      <c r="H86" s="22">
        <v>25</v>
      </c>
      <c r="I86" s="22">
        <v>0</v>
      </c>
      <c r="J86" s="22">
        <v>0</v>
      </c>
      <c r="K86" s="22">
        <v>0</v>
      </c>
    </row>
    <row r="87" spans="1:11" s="21" customFormat="1" ht="12" customHeight="1" x14ac:dyDescent="0.2">
      <c r="A87" s="264" t="s">
        <v>92</v>
      </c>
      <c r="B87" s="264"/>
      <c r="C87" s="22">
        <v>2084</v>
      </c>
      <c r="D87" s="22">
        <v>1829</v>
      </c>
      <c r="E87" s="22">
        <v>255</v>
      </c>
      <c r="F87" s="22">
        <v>191</v>
      </c>
      <c r="G87" s="22">
        <v>64</v>
      </c>
      <c r="H87" s="22">
        <v>0</v>
      </c>
      <c r="I87" s="22">
        <v>0</v>
      </c>
      <c r="J87" s="22">
        <v>0</v>
      </c>
      <c r="K87" s="22">
        <v>0</v>
      </c>
    </row>
    <row r="88" spans="1:11" s="21" customFormat="1" ht="12" customHeight="1" x14ac:dyDescent="0.2">
      <c r="A88" s="264" t="s">
        <v>93</v>
      </c>
      <c r="B88" s="264"/>
      <c r="C88" s="22">
        <v>861</v>
      </c>
      <c r="D88" s="22">
        <v>706</v>
      </c>
      <c r="E88" s="22">
        <v>155</v>
      </c>
      <c r="F88" s="22">
        <v>119</v>
      </c>
      <c r="G88" s="22">
        <v>36</v>
      </c>
      <c r="H88" s="22">
        <v>0</v>
      </c>
      <c r="I88" s="22">
        <v>0</v>
      </c>
      <c r="J88" s="22">
        <v>0</v>
      </c>
      <c r="K88" s="22">
        <v>0</v>
      </c>
    </row>
    <row r="89" spans="1:11" s="21" customFormat="1" ht="12" customHeight="1" x14ac:dyDescent="0.2">
      <c r="A89" s="264" t="s">
        <v>94</v>
      </c>
      <c r="B89" s="264"/>
      <c r="C89" s="22">
        <v>1434</v>
      </c>
      <c r="D89" s="22">
        <v>1204</v>
      </c>
      <c r="E89" s="22">
        <v>230</v>
      </c>
      <c r="F89" s="22">
        <v>171</v>
      </c>
      <c r="G89" s="22">
        <v>56</v>
      </c>
      <c r="H89" s="22">
        <v>1</v>
      </c>
      <c r="I89" s="22">
        <v>2</v>
      </c>
      <c r="J89" s="22">
        <v>0</v>
      </c>
      <c r="K89" s="22">
        <v>0</v>
      </c>
    </row>
    <row r="90" spans="1:11" s="21" customFormat="1" ht="12" customHeight="1" x14ac:dyDescent="0.2">
      <c r="A90" s="264" t="s">
        <v>95</v>
      </c>
      <c r="B90" s="264"/>
      <c r="C90" s="22">
        <v>578</v>
      </c>
      <c r="D90" s="22">
        <v>477</v>
      </c>
      <c r="E90" s="22">
        <v>101</v>
      </c>
      <c r="F90" s="22">
        <v>70</v>
      </c>
      <c r="G90" s="22">
        <v>31</v>
      </c>
      <c r="H90" s="22">
        <v>0</v>
      </c>
      <c r="I90" s="22">
        <v>0</v>
      </c>
      <c r="J90" s="22">
        <v>0</v>
      </c>
      <c r="K90" s="22">
        <v>0</v>
      </c>
    </row>
    <row r="91" spans="1:11" s="21" customFormat="1" ht="12" customHeight="1" x14ac:dyDescent="0.2">
      <c r="A91" s="264" t="s">
        <v>96</v>
      </c>
      <c r="B91" s="264"/>
      <c r="C91" s="22">
        <v>477</v>
      </c>
      <c r="D91" s="22">
        <v>327</v>
      </c>
      <c r="E91" s="22">
        <v>150</v>
      </c>
      <c r="F91" s="22">
        <v>111</v>
      </c>
      <c r="G91" s="22">
        <v>38</v>
      </c>
      <c r="H91" s="22">
        <v>1</v>
      </c>
      <c r="I91" s="22">
        <v>0</v>
      </c>
      <c r="J91" s="22">
        <v>0</v>
      </c>
      <c r="K91" s="22">
        <v>0</v>
      </c>
    </row>
    <row r="92" spans="1:11" s="21" customFormat="1" ht="12" customHeight="1" x14ac:dyDescent="0.2">
      <c r="A92" s="264" t="s">
        <v>97</v>
      </c>
      <c r="B92" s="264"/>
      <c r="C92" s="22">
        <v>1359</v>
      </c>
      <c r="D92" s="22">
        <v>1078</v>
      </c>
      <c r="E92" s="22">
        <v>281</v>
      </c>
      <c r="F92" s="22">
        <v>207</v>
      </c>
      <c r="G92" s="22">
        <v>74</v>
      </c>
      <c r="H92" s="22">
        <v>0</v>
      </c>
      <c r="I92" s="22">
        <v>0</v>
      </c>
      <c r="J92" s="22">
        <v>0</v>
      </c>
      <c r="K92" s="22">
        <v>0</v>
      </c>
    </row>
    <row r="93" spans="1:11" s="21" customFormat="1" ht="12" customHeight="1" x14ac:dyDescent="0.2">
      <c r="A93" s="264" t="s">
        <v>98</v>
      </c>
      <c r="B93" s="264"/>
      <c r="C93" s="22">
        <v>1694</v>
      </c>
      <c r="D93" s="22">
        <v>1090</v>
      </c>
      <c r="E93" s="22">
        <v>604</v>
      </c>
      <c r="F93" s="22">
        <v>472</v>
      </c>
      <c r="G93" s="22">
        <v>122</v>
      </c>
      <c r="H93" s="22">
        <v>5</v>
      </c>
      <c r="I93" s="22">
        <v>5</v>
      </c>
      <c r="J93" s="22">
        <v>0</v>
      </c>
      <c r="K93" s="22">
        <v>0</v>
      </c>
    </row>
    <row r="94" spans="1:11" s="21" customFormat="1" ht="12" customHeight="1" x14ac:dyDescent="0.2">
      <c r="A94" s="264" t="s">
        <v>99</v>
      </c>
      <c r="B94" s="264"/>
      <c r="C94" s="22">
        <v>62315</v>
      </c>
      <c r="D94" s="22">
        <v>38247</v>
      </c>
      <c r="E94" s="22">
        <v>24068</v>
      </c>
      <c r="F94" s="22">
        <v>15577</v>
      </c>
      <c r="G94" s="22">
        <v>7937</v>
      </c>
      <c r="H94" s="22">
        <v>125</v>
      </c>
      <c r="I94" s="22">
        <v>355</v>
      </c>
      <c r="J94" s="22">
        <v>54</v>
      </c>
      <c r="K94" s="22">
        <v>20</v>
      </c>
    </row>
    <row r="95" spans="1:11" s="21" customFormat="1" ht="12" customHeight="1" x14ac:dyDescent="0.2">
      <c r="A95" s="264" t="s">
        <v>100</v>
      </c>
      <c r="B95" s="264"/>
      <c r="C95" s="22">
        <v>1600</v>
      </c>
      <c r="D95" s="22">
        <v>1228</v>
      </c>
      <c r="E95" s="22">
        <v>372</v>
      </c>
      <c r="F95" s="22">
        <v>262</v>
      </c>
      <c r="G95" s="22">
        <v>110</v>
      </c>
      <c r="H95" s="22">
        <v>0</v>
      </c>
      <c r="I95" s="22">
        <v>0</v>
      </c>
      <c r="J95" s="22">
        <v>0</v>
      </c>
      <c r="K95" s="22">
        <v>0</v>
      </c>
    </row>
    <row r="96" spans="1:11" s="21" customFormat="1" ht="12" customHeight="1" x14ac:dyDescent="0.2">
      <c r="A96" s="264" t="s">
        <v>101</v>
      </c>
      <c r="B96" s="264"/>
      <c r="C96" s="22">
        <v>1290</v>
      </c>
      <c r="D96" s="22">
        <v>1033</v>
      </c>
      <c r="E96" s="22">
        <v>257</v>
      </c>
      <c r="F96" s="22">
        <v>188</v>
      </c>
      <c r="G96" s="22">
        <v>63</v>
      </c>
      <c r="H96" s="22">
        <v>0</v>
      </c>
      <c r="I96" s="22">
        <v>6</v>
      </c>
      <c r="J96" s="22">
        <v>0</v>
      </c>
      <c r="K96" s="22">
        <v>0</v>
      </c>
    </row>
    <row r="97" spans="1:11" s="21" customFormat="1" ht="12" customHeight="1" x14ac:dyDescent="0.2">
      <c r="A97" s="264" t="s">
        <v>102</v>
      </c>
      <c r="B97" s="264"/>
      <c r="C97" s="22">
        <v>726</v>
      </c>
      <c r="D97" s="22">
        <v>455</v>
      </c>
      <c r="E97" s="22">
        <v>271</v>
      </c>
      <c r="F97" s="22">
        <v>160</v>
      </c>
      <c r="G97" s="22">
        <v>109</v>
      </c>
      <c r="H97" s="22">
        <v>1</v>
      </c>
      <c r="I97" s="22">
        <v>1</v>
      </c>
      <c r="J97" s="22">
        <v>0</v>
      </c>
      <c r="K97" s="22">
        <v>0</v>
      </c>
    </row>
    <row r="98" spans="1:11" s="21" customFormat="1" ht="12" customHeight="1" x14ac:dyDescent="0.2">
      <c r="A98" s="264" t="s">
        <v>103</v>
      </c>
      <c r="B98" s="264"/>
      <c r="C98" s="22">
        <v>6272</v>
      </c>
      <c r="D98" s="22">
        <v>3604</v>
      </c>
      <c r="E98" s="22">
        <v>2668</v>
      </c>
      <c r="F98" s="22">
        <v>1746</v>
      </c>
      <c r="G98" s="22">
        <v>812</v>
      </c>
      <c r="H98" s="22">
        <v>19</v>
      </c>
      <c r="I98" s="22">
        <v>80</v>
      </c>
      <c r="J98" s="22">
        <v>11</v>
      </c>
      <c r="K98" s="22">
        <v>0</v>
      </c>
    </row>
    <row r="99" spans="1:11" s="21" customFormat="1" ht="12" customHeight="1" x14ac:dyDescent="0.2">
      <c r="A99" s="264" t="s">
        <v>104</v>
      </c>
      <c r="B99" s="264"/>
      <c r="C99" s="22">
        <v>1454</v>
      </c>
      <c r="D99" s="22">
        <v>1025</v>
      </c>
      <c r="E99" s="22">
        <v>429</v>
      </c>
      <c r="F99" s="22">
        <v>322</v>
      </c>
      <c r="G99" s="22">
        <v>105</v>
      </c>
      <c r="H99" s="22">
        <v>2</v>
      </c>
      <c r="I99" s="22">
        <v>0</v>
      </c>
      <c r="J99" s="22">
        <v>0</v>
      </c>
      <c r="K99" s="22">
        <v>0</v>
      </c>
    </row>
    <row r="100" spans="1:11" s="21" customFormat="1" ht="12" customHeight="1" x14ac:dyDescent="0.2">
      <c r="A100" s="264" t="s">
        <v>105</v>
      </c>
      <c r="B100" s="264"/>
      <c r="C100" s="22">
        <v>1830</v>
      </c>
      <c r="D100" s="22">
        <v>1142</v>
      </c>
      <c r="E100" s="22">
        <v>688</v>
      </c>
      <c r="F100" s="22">
        <v>456</v>
      </c>
      <c r="G100" s="22">
        <v>226</v>
      </c>
      <c r="H100" s="22">
        <v>5</v>
      </c>
      <c r="I100" s="22">
        <v>1</v>
      </c>
      <c r="J100" s="22">
        <v>0</v>
      </c>
      <c r="K100" s="22">
        <v>0</v>
      </c>
    </row>
    <row r="101" spans="1:11" s="21" customFormat="1" ht="12" customHeight="1" x14ac:dyDescent="0.2">
      <c r="A101" s="264" t="s">
        <v>106</v>
      </c>
      <c r="B101" s="264"/>
      <c r="C101" s="22">
        <v>1387</v>
      </c>
      <c r="D101" s="22">
        <v>1185</v>
      </c>
      <c r="E101" s="22">
        <v>202</v>
      </c>
      <c r="F101" s="22">
        <v>161</v>
      </c>
      <c r="G101" s="22">
        <v>41</v>
      </c>
      <c r="H101" s="22">
        <v>0</v>
      </c>
      <c r="I101" s="22">
        <v>0</v>
      </c>
      <c r="J101" s="22">
        <v>0</v>
      </c>
      <c r="K101" s="22">
        <v>0</v>
      </c>
    </row>
    <row r="102" spans="1:11" s="21" customFormat="1" ht="12" customHeight="1" x14ac:dyDescent="0.2">
      <c r="A102" s="264" t="s">
        <v>107</v>
      </c>
      <c r="B102" s="264"/>
      <c r="C102" s="22">
        <v>324</v>
      </c>
      <c r="D102" s="22">
        <v>274</v>
      </c>
      <c r="E102" s="22">
        <v>50</v>
      </c>
      <c r="F102" s="22">
        <v>42</v>
      </c>
      <c r="G102" s="22">
        <v>8</v>
      </c>
      <c r="H102" s="22">
        <v>0</v>
      </c>
      <c r="I102" s="22">
        <v>0</v>
      </c>
      <c r="J102" s="22">
        <v>0</v>
      </c>
      <c r="K102" s="22">
        <v>0</v>
      </c>
    </row>
    <row r="103" spans="1:11" s="21" customFormat="1" ht="12" customHeight="1" x14ac:dyDescent="0.2">
      <c r="A103" s="264" t="s">
        <v>336</v>
      </c>
      <c r="B103" s="264"/>
      <c r="C103" s="22">
        <v>4535</v>
      </c>
      <c r="D103" s="22">
        <v>3677</v>
      </c>
      <c r="E103" s="22">
        <v>858</v>
      </c>
      <c r="F103" s="22">
        <v>639</v>
      </c>
      <c r="G103" s="22">
        <v>213</v>
      </c>
      <c r="H103" s="22">
        <v>5</v>
      </c>
      <c r="I103" s="22">
        <v>1</v>
      </c>
      <c r="J103" s="22">
        <v>0</v>
      </c>
      <c r="K103" s="22">
        <v>0</v>
      </c>
    </row>
    <row r="104" spans="1:11" s="21" customFormat="1" ht="12" customHeight="1" x14ac:dyDescent="0.2">
      <c r="A104" s="264" t="s">
        <v>108</v>
      </c>
      <c r="B104" s="264"/>
      <c r="C104" s="22">
        <v>855</v>
      </c>
      <c r="D104" s="22">
        <v>637</v>
      </c>
      <c r="E104" s="22">
        <v>218</v>
      </c>
      <c r="F104" s="22">
        <v>178</v>
      </c>
      <c r="G104" s="22">
        <v>40</v>
      </c>
      <c r="H104" s="22">
        <v>0</v>
      </c>
      <c r="I104" s="22">
        <v>0</v>
      </c>
      <c r="J104" s="22">
        <v>0</v>
      </c>
      <c r="K104" s="22">
        <v>0</v>
      </c>
    </row>
    <row r="105" spans="1:11" s="21" customFormat="1" ht="12" customHeight="1" x14ac:dyDescent="0.2">
      <c r="A105" s="264" t="s">
        <v>109</v>
      </c>
      <c r="B105" s="264"/>
      <c r="C105" s="22">
        <v>734</v>
      </c>
      <c r="D105" s="22">
        <v>436</v>
      </c>
      <c r="E105" s="22">
        <v>298</v>
      </c>
      <c r="F105" s="22">
        <v>199</v>
      </c>
      <c r="G105" s="22">
        <v>97</v>
      </c>
      <c r="H105" s="22">
        <v>2</v>
      </c>
      <c r="I105" s="22">
        <v>0</v>
      </c>
      <c r="J105" s="22">
        <v>0</v>
      </c>
      <c r="K105" s="22">
        <v>0</v>
      </c>
    </row>
    <row r="106" spans="1:11" s="21" customFormat="1" ht="12" customHeight="1" x14ac:dyDescent="0.2">
      <c r="A106" s="264" t="s">
        <v>110</v>
      </c>
      <c r="B106" s="264"/>
      <c r="C106" s="22">
        <v>787</v>
      </c>
      <c r="D106" s="22">
        <v>621</v>
      </c>
      <c r="E106" s="22">
        <v>166</v>
      </c>
      <c r="F106" s="22">
        <v>128</v>
      </c>
      <c r="G106" s="22">
        <v>37</v>
      </c>
      <c r="H106" s="22">
        <v>1</v>
      </c>
      <c r="I106" s="22">
        <v>0</v>
      </c>
      <c r="J106" s="22">
        <v>0</v>
      </c>
      <c r="K106" s="22">
        <v>0</v>
      </c>
    </row>
    <row r="107" spans="1:11" s="21" customFormat="1" ht="12" customHeight="1" x14ac:dyDescent="0.2">
      <c r="A107" s="264" t="s">
        <v>111</v>
      </c>
      <c r="B107" s="264"/>
      <c r="C107" s="22">
        <v>322</v>
      </c>
      <c r="D107" s="22">
        <v>277</v>
      </c>
      <c r="E107" s="22">
        <v>45</v>
      </c>
      <c r="F107" s="22">
        <v>34</v>
      </c>
      <c r="G107" s="22">
        <v>10</v>
      </c>
      <c r="H107" s="22">
        <v>1</v>
      </c>
      <c r="I107" s="22">
        <v>0</v>
      </c>
      <c r="J107" s="22">
        <v>0</v>
      </c>
      <c r="K107" s="22">
        <v>0</v>
      </c>
    </row>
    <row r="108" spans="1:11" s="21" customFormat="1" ht="12" customHeight="1" x14ac:dyDescent="0.2">
      <c r="A108" s="264" t="s">
        <v>112</v>
      </c>
      <c r="B108" s="264"/>
      <c r="C108" s="22">
        <v>821</v>
      </c>
      <c r="D108" s="22">
        <v>726</v>
      </c>
      <c r="E108" s="22">
        <v>95</v>
      </c>
      <c r="F108" s="22">
        <v>63</v>
      </c>
      <c r="G108" s="22">
        <v>31</v>
      </c>
      <c r="H108" s="22">
        <v>0</v>
      </c>
      <c r="I108" s="22">
        <v>1</v>
      </c>
      <c r="J108" s="22">
        <v>0</v>
      </c>
      <c r="K108" s="22">
        <v>0</v>
      </c>
    </row>
    <row r="109" spans="1:11" s="21" customFormat="1" ht="12" customHeight="1" x14ac:dyDescent="0.2">
      <c r="A109" s="264" t="s">
        <v>113</v>
      </c>
      <c r="B109" s="264"/>
      <c r="C109" s="22">
        <v>1497</v>
      </c>
      <c r="D109" s="22">
        <v>1231</v>
      </c>
      <c r="E109" s="22">
        <v>266</v>
      </c>
      <c r="F109" s="22">
        <v>203</v>
      </c>
      <c r="G109" s="22">
        <v>58</v>
      </c>
      <c r="H109" s="22">
        <v>4</v>
      </c>
      <c r="I109" s="22">
        <v>0</v>
      </c>
      <c r="J109" s="22">
        <v>1</v>
      </c>
      <c r="K109" s="22">
        <v>0</v>
      </c>
    </row>
    <row r="110" spans="1:11" s="21" customFormat="1" ht="12" customHeight="1" x14ac:dyDescent="0.2">
      <c r="A110" s="264" t="s">
        <v>114</v>
      </c>
      <c r="B110" s="264"/>
      <c r="C110" s="22">
        <v>4368</v>
      </c>
      <c r="D110" s="22">
        <v>1843</v>
      </c>
      <c r="E110" s="22">
        <v>2525</v>
      </c>
      <c r="F110" s="22">
        <v>1499</v>
      </c>
      <c r="G110" s="22">
        <v>902</v>
      </c>
      <c r="H110" s="22">
        <v>27</v>
      </c>
      <c r="I110" s="22">
        <v>82</v>
      </c>
      <c r="J110" s="22">
        <v>13</v>
      </c>
      <c r="K110" s="22">
        <v>2</v>
      </c>
    </row>
    <row r="111" spans="1:11" s="21" customFormat="1" ht="12" customHeight="1" x14ac:dyDescent="0.2">
      <c r="A111" s="264" t="s">
        <v>115</v>
      </c>
      <c r="B111" s="264"/>
      <c r="C111" s="22">
        <v>1871</v>
      </c>
      <c r="D111" s="22">
        <v>1600</v>
      </c>
      <c r="E111" s="22">
        <v>271</v>
      </c>
      <c r="F111" s="22">
        <v>217</v>
      </c>
      <c r="G111" s="22">
        <v>53</v>
      </c>
      <c r="H111" s="22">
        <v>1</v>
      </c>
      <c r="I111" s="22">
        <v>0</v>
      </c>
      <c r="J111" s="22">
        <v>0</v>
      </c>
      <c r="K111" s="22">
        <v>0</v>
      </c>
    </row>
    <row r="112" spans="1:11" s="21" customFormat="1" ht="12" customHeight="1" x14ac:dyDescent="0.2">
      <c r="A112" s="264" t="s">
        <v>116</v>
      </c>
      <c r="B112" s="264"/>
      <c r="C112" s="22">
        <v>769</v>
      </c>
      <c r="D112" s="22">
        <v>514</v>
      </c>
      <c r="E112" s="22">
        <v>255</v>
      </c>
      <c r="F112" s="22">
        <v>143</v>
      </c>
      <c r="G112" s="22">
        <v>108</v>
      </c>
      <c r="H112" s="22">
        <v>0</v>
      </c>
      <c r="I112" s="22">
        <v>3</v>
      </c>
      <c r="J112" s="22">
        <v>1</v>
      </c>
      <c r="K112" s="22">
        <v>0</v>
      </c>
    </row>
    <row r="113" spans="1:11" s="21" customFormat="1" ht="12" customHeight="1" x14ac:dyDescent="0.2">
      <c r="A113" s="264" t="s">
        <v>117</v>
      </c>
      <c r="B113" s="264"/>
      <c r="C113" s="22">
        <v>1547</v>
      </c>
      <c r="D113" s="22">
        <v>1197</v>
      </c>
      <c r="E113" s="22">
        <v>350</v>
      </c>
      <c r="F113" s="22">
        <v>238</v>
      </c>
      <c r="G113" s="22">
        <v>106</v>
      </c>
      <c r="H113" s="22">
        <v>3</v>
      </c>
      <c r="I113" s="22">
        <v>1</v>
      </c>
      <c r="J113" s="22">
        <v>2</v>
      </c>
      <c r="K113" s="22">
        <v>0</v>
      </c>
    </row>
    <row r="114" spans="1:11" s="21" customFormat="1" ht="12" customHeight="1" x14ac:dyDescent="0.2">
      <c r="A114" s="264" t="s">
        <v>118</v>
      </c>
      <c r="B114" s="264"/>
      <c r="C114" s="22">
        <v>1346</v>
      </c>
      <c r="D114" s="22">
        <v>1084</v>
      </c>
      <c r="E114" s="22">
        <v>262</v>
      </c>
      <c r="F114" s="22">
        <v>195</v>
      </c>
      <c r="G114" s="22">
        <v>66</v>
      </c>
      <c r="H114" s="22">
        <v>1</v>
      </c>
      <c r="I114" s="22">
        <v>0</v>
      </c>
      <c r="J114" s="22">
        <v>0</v>
      </c>
      <c r="K114" s="22">
        <v>0</v>
      </c>
    </row>
    <row r="115" spans="1:11" s="21" customFormat="1" ht="12" customHeight="1" x14ac:dyDescent="0.2">
      <c r="A115" s="264" t="s">
        <v>120</v>
      </c>
      <c r="B115" s="264"/>
      <c r="C115" s="22">
        <v>802</v>
      </c>
      <c r="D115" s="22">
        <v>642</v>
      </c>
      <c r="E115" s="22">
        <v>160</v>
      </c>
      <c r="F115" s="22">
        <v>121</v>
      </c>
      <c r="G115" s="22">
        <v>34</v>
      </c>
      <c r="H115" s="22">
        <v>5</v>
      </c>
      <c r="I115" s="22">
        <v>0</v>
      </c>
      <c r="J115" s="22">
        <v>0</v>
      </c>
      <c r="K115" s="22">
        <v>0</v>
      </c>
    </row>
    <row r="116" spans="1:11" s="21" customFormat="1" ht="12" customHeight="1" x14ac:dyDescent="0.2">
      <c r="A116" s="264" t="s">
        <v>121</v>
      </c>
      <c r="B116" s="264"/>
      <c r="C116" s="22">
        <v>2219</v>
      </c>
      <c r="D116" s="22">
        <v>1493</v>
      </c>
      <c r="E116" s="22">
        <v>726</v>
      </c>
      <c r="F116" s="22">
        <v>511</v>
      </c>
      <c r="G116" s="22">
        <v>204</v>
      </c>
      <c r="H116" s="22">
        <v>4</v>
      </c>
      <c r="I116" s="22">
        <v>7</v>
      </c>
      <c r="J116" s="22">
        <v>0</v>
      </c>
      <c r="K116" s="22">
        <v>0</v>
      </c>
    </row>
    <row r="117" spans="1:11" s="21" customFormat="1" ht="12" customHeight="1" x14ac:dyDescent="0.2">
      <c r="A117" s="264" t="s">
        <v>122</v>
      </c>
      <c r="B117" s="264"/>
      <c r="C117" s="22">
        <v>673</v>
      </c>
      <c r="D117" s="22">
        <v>543</v>
      </c>
      <c r="E117" s="22">
        <v>130</v>
      </c>
      <c r="F117" s="22">
        <v>102</v>
      </c>
      <c r="G117" s="22">
        <v>28</v>
      </c>
      <c r="H117" s="22">
        <v>0</v>
      </c>
      <c r="I117" s="22">
        <v>0</v>
      </c>
      <c r="J117" s="22">
        <v>0</v>
      </c>
      <c r="K117" s="22">
        <v>0</v>
      </c>
    </row>
    <row r="118" spans="1:11" s="21" customFormat="1" ht="12" customHeight="1" x14ac:dyDescent="0.2">
      <c r="A118" s="264" t="s">
        <v>125</v>
      </c>
      <c r="B118" s="264"/>
      <c r="C118" s="22">
        <v>1863</v>
      </c>
      <c r="D118" s="22">
        <v>1228</v>
      </c>
      <c r="E118" s="22">
        <v>635</v>
      </c>
      <c r="F118" s="22">
        <v>343</v>
      </c>
      <c r="G118" s="22">
        <v>281</v>
      </c>
      <c r="H118" s="22">
        <v>11</v>
      </c>
      <c r="I118" s="22">
        <v>0</v>
      </c>
      <c r="J118" s="22">
        <v>0</v>
      </c>
      <c r="K118" s="22">
        <v>0</v>
      </c>
    </row>
    <row r="119" spans="1:11" s="21" customFormat="1" ht="12" customHeight="1" x14ac:dyDescent="0.2">
      <c r="A119" s="264" t="s">
        <v>126</v>
      </c>
      <c r="B119" s="264"/>
      <c r="C119" s="22">
        <v>3072</v>
      </c>
      <c r="D119" s="22">
        <v>2266</v>
      </c>
      <c r="E119" s="22">
        <v>806</v>
      </c>
      <c r="F119" s="22">
        <v>622</v>
      </c>
      <c r="G119" s="22">
        <v>163</v>
      </c>
      <c r="H119" s="22">
        <v>2</v>
      </c>
      <c r="I119" s="22">
        <v>19</v>
      </c>
      <c r="J119" s="22">
        <v>0</v>
      </c>
      <c r="K119" s="22">
        <v>0</v>
      </c>
    </row>
    <row r="120" spans="1:11" s="21" customFormat="1" ht="12" customHeight="1" x14ac:dyDescent="0.2">
      <c r="A120" s="264" t="s">
        <v>128</v>
      </c>
      <c r="B120" s="264"/>
      <c r="C120" s="22">
        <v>599</v>
      </c>
      <c r="D120" s="22">
        <v>490</v>
      </c>
      <c r="E120" s="22">
        <v>109</v>
      </c>
      <c r="F120" s="22">
        <v>86</v>
      </c>
      <c r="G120" s="22">
        <v>23</v>
      </c>
      <c r="H120" s="22">
        <v>0</v>
      </c>
      <c r="I120" s="22">
        <v>0</v>
      </c>
      <c r="J120" s="22">
        <v>0</v>
      </c>
      <c r="K120" s="22">
        <v>0</v>
      </c>
    </row>
    <row r="121" spans="1:11" s="21" customFormat="1" ht="12" customHeight="1" x14ac:dyDescent="0.2">
      <c r="A121" s="264" t="s">
        <v>129</v>
      </c>
      <c r="B121" s="264"/>
      <c r="C121" s="22">
        <v>1879</v>
      </c>
      <c r="D121" s="22">
        <v>1422</v>
      </c>
      <c r="E121" s="22">
        <v>457</v>
      </c>
      <c r="F121" s="22">
        <v>396</v>
      </c>
      <c r="G121" s="22">
        <v>57</v>
      </c>
      <c r="H121" s="22">
        <v>0</v>
      </c>
      <c r="I121" s="22">
        <v>4</v>
      </c>
      <c r="J121" s="22">
        <v>0</v>
      </c>
      <c r="K121" s="22">
        <v>0</v>
      </c>
    </row>
    <row r="122" spans="1:11" s="21" customFormat="1" ht="12" customHeight="1" x14ac:dyDescent="0.2">
      <c r="A122" s="266" t="s">
        <v>130</v>
      </c>
      <c r="B122" s="266"/>
      <c r="C122" s="209">
        <v>422</v>
      </c>
      <c r="D122" s="209">
        <v>234</v>
      </c>
      <c r="E122" s="209">
        <v>188</v>
      </c>
      <c r="F122" s="209">
        <v>101</v>
      </c>
      <c r="G122" s="209">
        <v>87</v>
      </c>
      <c r="H122" s="209">
        <v>0</v>
      </c>
      <c r="I122" s="209">
        <v>0</v>
      </c>
      <c r="J122" s="209">
        <v>0</v>
      </c>
      <c r="K122" s="209">
        <v>0</v>
      </c>
    </row>
    <row r="123" spans="1:11" s="21" customFormat="1" ht="12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spans="1:11" s="21" customFormat="1" ht="12" customHeight="1" x14ac:dyDescent="0.2">
      <c r="A124" s="263" t="s">
        <v>131</v>
      </c>
      <c r="B124" s="263"/>
      <c r="C124" s="20">
        <v>63774</v>
      </c>
      <c r="D124" s="20">
        <v>48065</v>
      </c>
      <c r="E124" s="20">
        <v>15709</v>
      </c>
      <c r="F124" s="20">
        <v>11342</v>
      </c>
      <c r="G124" s="20">
        <v>4026</v>
      </c>
      <c r="H124" s="20">
        <v>103</v>
      </c>
      <c r="I124" s="20">
        <v>224</v>
      </c>
      <c r="J124" s="20">
        <v>14</v>
      </c>
      <c r="K124" s="20">
        <v>0</v>
      </c>
    </row>
    <row r="125" spans="1:11" s="21" customFormat="1" ht="12" customHeight="1" x14ac:dyDescent="0.2">
      <c r="A125" s="264" t="s">
        <v>132</v>
      </c>
      <c r="B125" s="264"/>
      <c r="C125" s="22">
        <v>5554</v>
      </c>
      <c r="D125" s="22">
        <v>4018</v>
      </c>
      <c r="E125" s="22">
        <v>1536</v>
      </c>
      <c r="F125" s="22">
        <v>1118</v>
      </c>
      <c r="G125" s="22">
        <v>399</v>
      </c>
      <c r="H125" s="22">
        <v>17</v>
      </c>
      <c r="I125" s="22">
        <v>2</v>
      </c>
      <c r="J125" s="22">
        <v>0</v>
      </c>
      <c r="K125" s="22">
        <v>0</v>
      </c>
    </row>
    <row r="126" spans="1:11" s="21" customFormat="1" ht="12" customHeight="1" x14ac:dyDescent="0.2">
      <c r="A126" s="264" t="s">
        <v>134</v>
      </c>
      <c r="B126" s="264"/>
      <c r="C126" s="22">
        <v>480</v>
      </c>
      <c r="D126" s="22">
        <v>377</v>
      </c>
      <c r="E126" s="22">
        <v>103</v>
      </c>
      <c r="F126" s="22">
        <v>79</v>
      </c>
      <c r="G126" s="22">
        <v>24</v>
      </c>
      <c r="H126" s="22">
        <v>0</v>
      </c>
      <c r="I126" s="22">
        <v>0</v>
      </c>
      <c r="J126" s="22">
        <v>0</v>
      </c>
      <c r="K126" s="22">
        <v>0</v>
      </c>
    </row>
    <row r="127" spans="1:11" s="21" customFormat="1" ht="12" customHeight="1" x14ac:dyDescent="0.2">
      <c r="A127" s="264" t="s">
        <v>135</v>
      </c>
      <c r="B127" s="264"/>
      <c r="C127" s="22">
        <v>1685</v>
      </c>
      <c r="D127" s="22">
        <v>1324</v>
      </c>
      <c r="E127" s="22">
        <v>361</v>
      </c>
      <c r="F127" s="22">
        <v>228</v>
      </c>
      <c r="G127" s="22">
        <v>125</v>
      </c>
      <c r="H127" s="22">
        <v>5</v>
      </c>
      <c r="I127" s="22">
        <v>1</v>
      </c>
      <c r="J127" s="22">
        <v>2</v>
      </c>
      <c r="K127" s="22">
        <v>0</v>
      </c>
    </row>
    <row r="128" spans="1:11" s="21" customFormat="1" ht="12" customHeight="1" x14ac:dyDescent="0.2">
      <c r="A128" s="264" t="s">
        <v>138</v>
      </c>
      <c r="B128" s="264"/>
      <c r="C128" s="22">
        <v>1135</v>
      </c>
      <c r="D128" s="22">
        <v>1019</v>
      </c>
      <c r="E128" s="22">
        <v>116</v>
      </c>
      <c r="F128" s="22">
        <v>94</v>
      </c>
      <c r="G128" s="22">
        <v>22</v>
      </c>
      <c r="H128" s="22">
        <v>0</v>
      </c>
      <c r="I128" s="22">
        <v>0</v>
      </c>
      <c r="J128" s="22">
        <v>0</v>
      </c>
      <c r="K128" s="22">
        <v>0</v>
      </c>
    </row>
    <row r="129" spans="1:11" s="21" customFormat="1" ht="12" customHeight="1" x14ac:dyDescent="0.2">
      <c r="A129" s="264" t="s">
        <v>386</v>
      </c>
      <c r="B129" s="264"/>
      <c r="C129" s="22">
        <v>2780</v>
      </c>
      <c r="D129" s="22">
        <v>2390</v>
      </c>
      <c r="E129" s="22">
        <v>390</v>
      </c>
      <c r="F129" s="22">
        <v>303</v>
      </c>
      <c r="G129" s="22">
        <v>86</v>
      </c>
      <c r="H129" s="22">
        <v>0</v>
      </c>
      <c r="I129" s="22">
        <v>1</v>
      </c>
      <c r="J129" s="22">
        <v>0</v>
      </c>
      <c r="K129" s="22">
        <v>0</v>
      </c>
    </row>
    <row r="130" spans="1:11" s="21" customFormat="1" ht="12" customHeight="1" x14ac:dyDescent="0.2">
      <c r="A130" s="264" t="s">
        <v>337</v>
      </c>
      <c r="B130" s="264"/>
      <c r="C130" s="22">
        <v>5163</v>
      </c>
      <c r="D130" s="22">
        <v>4028</v>
      </c>
      <c r="E130" s="22">
        <v>1135</v>
      </c>
      <c r="F130" s="22">
        <v>801</v>
      </c>
      <c r="G130" s="22">
        <v>318</v>
      </c>
      <c r="H130" s="22">
        <v>8</v>
      </c>
      <c r="I130" s="22">
        <v>8</v>
      </c>
      <c r="J130" s="22">
        <v>0</v>
      </c>
      <c r="K130" s="22">
        <v>0</v>
      </c>
    </row>
    <row r="131" spans="1:11" s="21" customFormat="1" ht="12" customHeight="1" x14ac:dyDescent="0.2">
      <c r="A131" s="264" t="s">
        <v>144</v>
      </c>
      <c r="B131" s="264"/>
      <c r="C131" s="22">
        <v>4650</v>
      </c>
      <c r="D131" s="22">
        <v>3770</v>
      </c>
      <c r="E131" s="22">
        <v>880</v>
      </c>
      <c r="F131" s="22">
        <v>696</v>
      </c>
      <c r="G131" s="22">
        <v>176</v>
      </c>
      <c r="H131" s="22">
        <v>8</v>
      </c>
      <c r="I131" s="22">
        <v>0</v>
      </c>
      <c r="J131" s="22">
        <v>0</v>
      </c>
      <c r="K131" s="22">
        <v>0</v>
      </c>
    </row>
    <row r="132" spans="1:11" s="21" customFormat="1" ht="12" customHeight="1" x14ac:dyDescent="0.2">
      <c r="A132" s="264" t="s">
        <v>385</v>
      </c>
      <c r="B132" s="264"/>
      <c r="C132" s="22">
        <v>1245</v>
      </c>
      <c r="D132" s="22">
        <v>942</v>
      </c>
      <c r="E132" s="22">
        <v>303</v>
      </c>
      <c r="F132" s="22">
        <v>169</v>
      </c>
      <c r="G132" s="22">
        <v>86</v>
      </c>
      <c r="H132" s="22">
        <v>1</v>
      </c>
      <c r="I132" s="22">
        <v>46</v>
      </c>
      <c r="J132" s="22">
        <v>1</v>
      </c>
      <c r="K132" s="22">
        <v>0</v>
      </c>
    </row>
    <row r="133" spans="1:11" s="21" customFormat="1" ht="12" customHeight="1" x14ac:dyDescent="0.2">
      <c r="A133" s="264" t="s">
        <v>149</v>
      </c>
      <c r="B133" s="264"/>
      <c r="C133" s="22">
        <v>15728</v>
      </c>
      <c r="D133" s="22">
        <v>10393</v>
      </c>
      <c r="E133" s="22">
        <v>5335</v>
      </c>
      <c r="F133" s="22">
        <v>3845</v>
      </c>
      <c r="G133" s="22">
        <v>1369</v>
      </c>
      <c r="H133" s="22">
        <v>35</v>
      </c>
      <c r="I133" s="22">
        <v>82</v>
      </c>
      <c r="J133" s="22">
        <v>4</v>
      </c>
      <c r="K133" s="22">
        <v>0</v>
      </c>
    </row>
    <row r="134" spans="1:11" s="21" customFormat="1" ht="12" customHeight="1" x14ac:dyDescent="0.2">
      <c r="A134" s="264" t="s">
        <v>150</v>
      </c>
      <c r="B134" s="264"/>
      <c r="C134" s="22">
        <v>6647</v>
      </c>
      <c r="D134" s="22">
        <v>5122</v>
      </c>
      <c r="E134" s="22">
        <v>1525</v>
      </c>
      <c r="F134" s="22">
        <v>1132</v>
      </c>
      <c r="G134" s="22">
        <v>371</v>
      </c>
      <c r="H134" s="22">
        <v>13</v>
      </c>
      <c r="I134" s="22">
        <v>8</v>
      </c>
      <c r="J134" s="22">
        <v>1</v>
      </c>
      <c r="K134" s="22">
        <v>0</v>
      </c>
    </row>
    <row r="135" spans="1:11" s="21" customFormat="1" ht="12" customHeight="1" x14ac:dyDescent="0.2">
      <c r="A135" s="264" t="s">
        <v>152</v>
      </c>
      <c r="B135" s="264"/>
      <c r="C135" s="22">
        <v>201</v>
      </c>
      <c r="D135" s="22">
        <v>184</v>
      </c>
      <c r="E135" s="22">
        <v>17</v>
      </c>
      <c r="F135" s="22">
        <v>13</v>
      </c>
      <c r="G135" s="22">
        <v>3</v>
      </c>
      <c r="H135" s="22">
        <v>1</v>
      </c>
      <c r="I135" s="22">
        <v>0</v>
      </c>
      <c r="J135" s="22">
        <v>0</v>
      </c>
      <c r="K135" s="22">
        <v>0</v>
      </c>
    </row>
    <row r="136" spans="1:11" s="21" customFormat="1" ht="12" customHeight="1" x14ac:dyDescent="0.2">
      <c r="A136" s="264" t="s">
        <v>153</v>
      </c>
      <c r="B136" s="264"/>
      <c r="C136" s="22">
        <v>7356</v>
      </c>
      <c r="D136" s="22">
        <v>5563</v>
      </c>
      <c r="E136" s="22">
        <v>1793</v>
      </c>
      <c r="F136" s="22">
        <v>1297</v>
      </c>
      <c r="G136" s="22">
        <v>465</v>
      </c>
      <c r="H136" s="22">
        <v>7</v>
      </c>
      <c r="I136" s="22">
        <v>22</v>
      </c>
      <c r="J136" s="22">
        <v>2</v>
      </c>
      <c r="K136" s="22">
        <v>0</v>
      </c>
    </row>
    <row r="137" spans="1:11" s="21" customFormat="1" ht="12" customHeight="1" x14ac:dyDescent="0.2">
      <c r="A137" s="264" t="s">
        <v>155</v>
      </c>
      <c r="B137" s="264"/>
      <c r="C137" s="22">
        <v>2604</v>
      </c>
      <c r="D137" s="22">
        <v>1863</v>
      </c>
      <c r="E137" s="22">
        <v>741</v>
      </c>
      <c r="F137" s="22">
        <v>455</v>
      </c>
      <c r="G137" s="22">
        <v>254</v>
      </c>
      <c r="H137" s="22">
        <v>5</v>
      </c>
      <c r="I137" s="22">
        <v>26</v>
      </c>
      <c r="J137" s="22">
        <v>1</v>
      </c>
      <c r="K137" s="22">
        <v>0</v>
      </c>
    </row>
    <row r="138" spans="1:11" s="21" customFormat="1" ht="12" customHeight="1" x14ac:dyDescent="0.2">
      <c r="A138" s="264" t="s">
        <v>156</v>
      </c>
      <c r="B138" s="264"/>
      <c r="C138" s="22">
        <v>663</v>
      </c>
      <c r="D138" s="22">
        <v>616</v>
      </c>
      <c r="E138" s="22">
        <v>47</v>
      </c>
      <c r="F138" s="22">
        <v>34</v>
      </c>
      <c r="G138" s="22">
        <v>13</v>
      </c>
      <c r="H138" s="22">
        <v>0</v>
      </c>
      <c r="I138" s="22">
        <v>0</v>
      </c>
      <c r="J138" s="22">
        <v>0</v>
      </c>
      <c r="K138" s="22">
        <v>0</v>
      </c>
    </row>
    <row r="139" spans="1:11" s="21" customFormat="1" ht="12" customHeight="1" x14ac:dyDescent="0.2">
      <c r="A139" s="264" t="s">
        <v>157</v>
      </c>
      <c r="B139" s="264"/>
      <c r="C139" s="22">
        <v>706</v>
      </c>
      <c r="D139" s="22">
        <v>575</v>
      </c>
      <c r="E139" s="22">
        <v>131</v>
      </c>
      <c r="F139" s="22">
        <v>102</v>
      </c>
      <c r="G139" s="22">
        <v>29</v>
      </c>
      <c r="H139" s="22">
        <v>0</v>
      </c>
      <c r="I139" s="22">
        <v>0</v>
      </c>
      <c r="J139" s="22">
        <v>0</v>
      </c>
      <c r="K139" s="22">
        <v>0</v>
      </c>
    </row>
    <row r="140" spans="1:11" s="21" customFormat="1" ht="12" customHeight="1" x14ac:dyDescent="0.2">
      <c r="A140" s="264" t="s">
        <v>159</v>
      </c>
      <c r="B140" s="264"/>
      <c r="C140" s="22">
        <v>550</v>
      </c>
      <c r="D140" s="22">
        <v>409</v>
      </c>
      <c r="E140" s="22">
        <v>141</v>
      </c>
      <c r="F140" s="22">
        <v>109</v>
      </c>
      <c r="G140" s="22">
        <v>31</v>
      </c>
      <c r="H140" s="22">
        <v>1</v>
      </c>
      <c r="I140" s="22">
        <v>0</v>
      </c>
      <c r="J140" s="22">
        <v>0</v>
      </c>
      <c r="K140" s="22">
        <v>0</v>
      </c>
    </row>
    <row r="141" spans="1:11" s="21" customFormat="1" ht="12" customHeight="1" x14ac:dyDescent="0.2">
      <c r="A141" s="264" t="s">
        <v>164</v>
      </c>
      <c r="B141" s="264"/>
      <c r="C141" s="22">
        <v>3201</v>
      </c>
      <c r="D141" s="22">
        <v>2408</v>
      </c>
      <c r="E141" s="22">
        <v>793</v>
      </c>
      <c r="F141" s="22">
        <v>603</v>
      </c>
      <c r="G141" s="22">
        <v>159</v>
      </c>
      <c r="H141" s="22">
        <v>0</v>
      </c>
      <c r="I141" s="22">
        <v>28</v>
      </c>
      <c r="J141" s="22">
        <v>3</v>
      </c>
      <c r="K141" s="22">
        <v>0</v>
      </c>
    </row>
    <row r="142" spans="1:11" s="21" customFormat="1" ht="12" customHeight="1" x14ac:dyDescent="0.2">
      <c r="A142" s="264" t="s">
        <v>348</v>
      </c>
      <c r="B142" s="264"/>
      <c r="C142" s="22">
        <v>2627</v>
      </c>
      <c r="D142" s="22">
        <v>2314</v>
      </c>
      <c r="E142" s="22">
        <v>313</v>
      </c>
      <c r="F142" s="22">
        <v>228</v>
      </c>
      <c r="G142" s="22">
        <v>84</v>
      </c>
      <c r="H142" s="22">
        <v>1</v>
      </c>
      <c r="I142" s="22">
        <v>0</v>
      </c>
      <c r="J142" s="22">
        <v>0</v>
      </c>
      <c r="K142" s="22">
        <v>0</v>
      </c>
    </row>
    <row r="143" spans="1:11" s="21" customFormat="1" ht="12" customHeight="1" x14ac:dyDescent="0.2">
      <c r="A143" s="27" t="s">
        <v>384</v>
      </c>
      <c r="B143" s="27"/>
      <c r="C143" s="209">
        <v>799</v>
      </c>
      <c r="D143" s="209">
        <v>750</v>
      </c>
      <c r="E143" s="209">
        <v>49</v>
      </c>
      <c r="F143" s="209">
        <v>36</v>
      </c>
      <c r="G143" s="209">
        <v>12</v>
      </c>
      <c r="H143" s="209">
        <v>1</v>
      </c>
      <c r="I143" s="209">
        <v>0</v>
      </c>
      <c r="J143" s="209">
        <v>0</v>
      </c>
      <c r="K143" s="209">
        <v>0</v>
      </c>
    </row>
    <row r="144" spans="1:11" s="21" customFormat="1" ht="12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</row>
    <row r="145" spans="1:11" s="21" customFormat="1" ht="12" customHeight="1" x14ac:dyDescent="0.2">
      <c r="A145" s="263" t="s">
        <v>169</v>
      </c>
      <c r="B145" s="263"/>
      <c r="C145" s="20">
        <v>5952</v>
      </c>
      <c r="D145" s="20">
        <v>5329</v>
      </c>
      <c r="E145" s="20">
        <v>623</v>
      </c>
      <c r="F145" s="20">
        <v>480</v>
      </c>
      <c r="G145" s="20">
        <v>134</v>
      </c>
      <c r="H145" s="20">
        <v>8</v>
      </c>
      <c r="I145" s="20">
        <v>1</v>
      </c>
      <c r="J145" s="20">
        <v>0</v>
      </c>
      <c r="K145" s="20">
        <v>0</v>
      </c>
    </row>
    <row r="146" spans="1:11" s="21" customFormat="1" ht="12" customHeight="1" x14ac:dyDescent="0.2">
      <c r="A146" s="264" t="s">
        <v>170</v>
      </c>
      <c r="B146" s="264"/>
      <c r="C146" s="22">
        <v>1516</v>
      </c>
      <c r="D146" s="22">
        <v>1374</v>
      </c>
      <c r="E146" s="22">
        <v>142</v>
      </c>
      <c r="F146" s="22">
        <v>114</v>
      </c>
      <c r="G146" s="22">
        <v>25</v>
      </c>
      <c r="H146" s="22">
        <v>2</v>
      </c>
      <c r="I146" s="22">
        <v>1</v>
      </c>
      <c r="J146" s="22">
        <v>0</v>
      </c>
      <c r="K146" s="22">
        <v>0</v>
      </c>
    </row>
    <row r="147" spans="1:11" s="21" customFormat="1" ht="12" customHeight="1" x14ac:dyDescent="0.2">
      <c r="A147" s="264" t="s">
        <v>171</v>
      </c>
      <c r="B147" s="264"/>
      <c r="C147" s="22">
        <v>52</v>
      </c>
      <c r="D147" s="22">
        <v>47</v>
      </c>
      <c r="E147" s="22">
        <v>5</v>
      </c>
      <c r="F147" s="22">
        <v>3</v>
      </c>
      <c r="G147" s="22">
        <v>2</v>
      </c>
      <c r="H147" s="22">
        <v>0</v>
      </c>
      <c r="I147" s="22">
        <v>0</v>
      </c>
      <c r="J147" s="22">
        <v>0</v>
      </c>
      <c r="K147" s="22">
        <v>0</v>
      </c>
    </row>
    <row r="148" spans="1:11" s="21" customFormat="1" ht="12" customHeight="1" x14ac:dyDescent="0.2">
      <c r="A148" s="264" t="s">
        <v>172</v>
      </c>
      <c r="B148" s="264"/>
      <c r="C148" s="22">
        <v>49</v>
      </c>
      <c r="D148" s="22">
        <v>41</v>
      </c>
      <c r="E148" s="22">
        <v>8</v>
      </c>
      <c r="F148" s="22">
        <v>7</v>
      </c>
      <c r="G148" s="22">
        <v>1</v>
      </c>
      <c r="H148" s="22">
        <v>0</v>
      </c>
      <c r="I148" s="22">
        <v>0</v>
      </c>
      <c r="J148" s="22">
        <v>0</v>
      </c>
      <c r="K148" s="22">
        <v>0</v>
      </c>
    </row>
    <row r="149" spans="1:11" s="21" customFormat="1" ht="12" customHeight="1" x14ac:dyDescent="0.2">
      <c r="A149" s="264" t="s">
        <v>173</v>
      </c>
      <c r="B149" s="264"/>
      <c r="C149" s="22">
        <v>40</v>
      </c>
      <c r="D149" s="22">
        <v>37</v>
      </c>
      <c r="E149" s="22">
        <v>3</v>
      </c>
      <c r="F149" s="22">
        <v>2</v>
      </c>
      <c r="G149" s="22">
        <v>1</v>
      </c>
      <c r="H149" s="22">
        <v>0</v>
      </c>
      <c r="I149" s="22">
        <v>0</v>
      </c>
      <c r="J149" s="22">
        <v>0</v>
      </c>
      <c r="K149" s="22">
        <v>0</v>
      </c>
    </row>
    <row r="150" spans="1:11" s="21" customFormat="1" ht="12" customHeight="1" x14ac:dyDescent="0.2">
      <c r="A150" s="264" t="s">
        <v>174</v>
      </c>
      <c r="B150" s="264"/>
      <c r="C150" s="22">
        <v>1142</v>
      </c>
      <c r="D150" s="22">
        <v>974</v>
      </c>
      <c r="E150" s="22">
        <v>168</v>
      </c>
      <c r="F150" s="22">
        <v>127</v>
      </c>
      <c r="G150" s="22">
        <v>40</v>
      </c>
      <c r="H150" s="22">
        <v>1</v>
      </c>
      <c r="I150" s="22">
        <v>0</v>
      </c>
      <c r="J150" s="22">
        <v>0</v>
      </c>
      <c r="K150" s="22">
        <v>0</v>
      </c>
    </row>
    <row r="151" spans="1:11" s="21" customFormat="1" ht="12" customHeight="1" x14ac:dyDescent="0.2">
      <c r="A151" s="264" t="s">
        <v>175</v>
      </c>
      <c r="B151" s="264"/>
      <c r="C151" s="22">
        <v>500</v>
      </c>
      <c r="D151" s="22">
        <v>470</v>
      </c>
      <c r="E151" s="22">
        <v>30</v>
      </c>
      <c r="F151" s="22">
        <v>21</v>
      </c>
      <c r="G151" s="22">
        <v>7</v>
      </c>
      <c r="H151" s="22">
        <v>2</v>
      </c>
      <c r="I151" s="22">
        <v>0</v>
      </c>
      <c r="J151" s="22">
        <v>0</v>
      </c>
      <c r="K151" s="22">
        <v>0</v>
      </c>
    </row>
    <row r="152" spans="1:11" s="21" customFormat="1" ht="12" customHeight="1" x14ac:dyDescent="0.2">
      <c r="A152" s="264" t="s">
        <v>176</v>
      </c>
      <c r="B152" s="264"/>
      <c r="C152" s="22">
        <v>42</v>
      </c>
      <c r="D152" s="22">
        <v>38</v>
      </c>
      <c r="E152" s="22">
        <v>4</v>
      </c>
      <c r="F152" s="22">
        <v>3</v>
      </c>
      <c r="G152" s="22">
        <v>1</v>
      </c>
      <c r="H152" s="22">
        <v>0</v>
      </c>
      <c r="I152" s="22">
        <v>0</v>
      </c>
      <c r="J152" s="22">
        <v>0</v>
      </c>
      <c r="K152" s="22">
        <v>0</v>
      </c>
    </row>
    <row r="153" spans="1:11" s="21" customFormat="1" ht="12" customHeight="1" x14ac:dyDescent="0.2">
      <c r="A153" s="267" t="s">
        <v>177</v>
      </c>
      <c r="B153" s="267"/>
      <c r="C153" s="209">
        <v>2611</v>
      </c>
      <c r="D153" s="209">
        <v>2348</v>
      </c>
      <c r="E153" s="209">
        <v>263</v>
      </c>
      <c r="F153" s="209">
        <v>203</v>
      </c>
      <c r="G153" s="209">
        <v>57</v>
      </c>
      <c r="H153" s="209">
        <v>3</v>
      </c>
      <c r="I153" s="209">
        <v>0</v>
      </c>
      <c r="J153" s="209">
        <v>0</v>
      </c>
      <c r="K153" s="209">
        <v>0</v>
      </c>
    </row>
    <row r="154" spans="1:11" s="21" customFormat="1" ht="12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s="21" customFormat="1" ht="12" customHeight="1" x14ac:dyDescent="0.2">
      <c r="A155" s="263" t="s">
        <v>178</v>
      </c>
      <c r="B155" s="263"/>
      <c r="C155" s="20">
        <v>55906</v>
      </c>
      <c r="D155" s="20">
        <v>41281</v>
      </c>
      <c r="E155" s="20">
        <v>14625</v>
      </c>
      <c r="F155" s="20">
        <v>10556</v>
      </c>
      <c r="G155" s="20">
        <v>3539</v>
      </c>
      <c r="H155" s="20">
        <v>103</v>
      </c>
      <c r="I155" s="20">
        <v>407</v>
      </c>
      <c r="J155" s="20">
        <v>20</v>
      </c>
      <c r="K155" s="20">
        <v>0</v>
      </c>
    </row>
    <row r="156" spans="1:11" s="21" customFormat="1" ht="12" customHeight="1" x14ac:dyDescent="0.2">
      <c r="A156" s="264" t="s">
        <v>179</v>
      </c>
      <c r="B156" s="264"/>
      <c r="C156" s="22">
        <v>5024</v>
      </c>
      <c r="D156" s="22">
        <v>3663</v>
      </c>
      <c r="E156" s="22">
        <v>1361</v>
      </c>
      <c r="F156" s="22">
        <v>1048</v>
      </c>
      <c r="G156" s="22">
        <v>252</v>
      </c>
      <c r="H156" s="22">
        <v>7</v>
      </c>
      <c r="I156" s="22">
        <v>53</v>
      </c>
      <c r="J156" s="22">
        <v>1</v>
      </c>
      <c r="K156" s="22">
        <v>0</v>
      </c>
    </row>
    <row r="157" spans="1:11" s="21" customFormat="1" ht="12" customHeight="1" x14ac:dyDescent="0.2">
      <c r="A157" s="264" t="s">
        <v>180</v>
      </c>
      <c r="B157" s="264"/>
      <c r="C157" s="22">
        <v>43360</v>
      </c>
      <c r="D157" s="22">
        <v>32326</v>
      </c>
      <c r="E157" s="22">
        <v>11034</v>
      </c>
      <c r="F157" s="22">
        <v>7923</v>
      </c>
      <c r="G157" s="22">
        <v>2741</v>
      </c>
      <c r="H157" s="22">
        <v>77</v>
      </c>
      <c r="I157" s="22">
        <v>279</v>
      </c>
      <c r="J157" s="22">
        <v>14</v>
      </c>
      <c r="K157" s="22">
        <v>0</v>
      </c>
    </row>
    <row r="158" spans="1:11" s="21" customFormat="1" ht="12" customHeight="1" x14ac:dyDescent="0.2">
      <c r="A158" s="264" t="s">
        <v>181</v>
      </c>
      <c r="B158" s="264"/>
      <c r="C158" s="22">
        <v>2998</v>
      </c>
      <c r="D158" s="22">
        <v>1762</v>
      </c>
      <c r="E158" s="22">
        <v>1236</v>
      </c>
      <c r="F158" s="22">
        <v>856</v>
      </c>
      <c r="G158" s="22">
        <v>339</v>
      </c>
      <c r="H158" s="22">
        <v>10</v>
      </c>
      <c r="I158" s="22">
        <v>26</v>
      </c>
      <c r="J158" s="22">
        <v>5</v>
      </c>
      <c r="K158" s="22">
        <v>0</v>
      </c>
    </row>
    <row r="159" spans="1:11" s="21" customFormat="1" ht="12" customHeight="1" x14ac:dyDescent="0.2">
      <c r="A159" s="264" t="s">
        <v>187</v>
      </c>
      <c r="B159" s="264"/>
      <c r="C159" s="22">
        <v>395</v>
      </c>
      <c r="D159" s="22">
        <v>356</v>
      </c>
      <c r="E159" s="22">
        <v>39</v>
      </c>
      <c r="F159" s="22">
        <v>25</v>
      </c>
      <c r="G159" s="22">
        <v>13</v>
      </c>
      <c r="H159" s="22">
        <v>1</v>
      </c>
      <c r="I159" s="22">
        <v>0</v>
      </c>
      <c r="J159" s="22">
        <v>0</v>
      </c>
      <c r="K159" s="22">
        <v>0</v>
      </c>
    </row>
    <row r="160" spans="1:11" s="21" customFormat="1" ht="12" customHeight="1" x14ac:dyDescent="0.2">
      <c r="A160" s="264" t="s">
        <v>188</v>
      </c>
      <c r="B160" s="264"/>
      <c r="C160" s="22">
        <v>1587</v>
      </c>
      <c r="D160" s="22">
        <v>1280</v>
      </c>
      <c r="E160" s="22">
        <v>307</v>
      </c>
      <c r="F160" s="22">
        <v>206</v>
      </c>
      <c r="G160" s="22">
        <v>92</v>
      </c>
      <c r="H160" s="22">
        <v>2</v>
      </c>
      <c r="I160" s="22">
        <v>7</v>
      </c>
      <c r="J160" s="22">
        <v>0</v>
      </c>
      <c r="K160" s="22">
        <v>0</v>
      </c>
    </row>
    <row r="161" spans="1:11" s="21" customFormat="1" ht="12" customHeight="1" x14ac:dyDescent="0.2">
      <c r="A161" s="266" t="s">
        <v>194</v>
      </c>
      <c r="B161" s="266"/>
      <c r="C161" s="209">
        <v>2542</v>
      </c>
      <c r="D161" s="209">
        <v>1894</v>
      </c>
      <c r="E161" s="209">
        <v>648</v>
      </c>
      <c r="F161" s="209">
        <v>498</v>
      </c>
      <c r="G161" s="209">
        <v>102</v>
      </c>
      <c r="H161" s="209">
        <v>6</v>
      </c>
      <c r="I161" s="209">
        <v>42</v>
      </c>
      <c r="J161" s="209">
        <v>0</v>
      </c>
      <c r="K161" s="209">
        <v>0</v>
      </c>
    </row>
    <row r="162" spans="1:11" s="21" customFormat="1" ht="12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</row>
    <row r="163" spans="1:11" s="21" customFormat="1" ht="12" customHeight="1" x14ac:dyDescent="0.2">
      <c r="A163" s="263" t="s">
        <v>197</v>
      </c>
      <c r="B163" s="263"/>
      <c r="C163" s="20">
        <v>10346</v>
      </c>
      <c r="D163" s="20">
        <v>7016</v>
      </c>
      <c r="E163" s="20">
        <v>3330</v>
      </c>
      <c r="F163" s="20">
        <v>2603</v>
      </c>
      <c r="G163" s="20">
        <v>654</v>
      </c>
      <c r="H163" s="20">
        <v>16</v>
      </c>
      <c r="I163" s="20">
        <v>57</v>
      </c>
      <c r="J163" s="20">
        <v>0</v>
      </c>
      <c r="K163" s="20">
        <v>0</v>
      </c>
    </row>
    <row r="164" spans="1:11" s="21" customFormat="1" ht="12" customHeight="1" x14ac:dyDescent="0.2">
      <c r="A164" s="264" t="s">
        <v>198</v>
      </c>
      <c r="B164" s="264"/>
      <c r="C164" s="22">
        <v>6094</v>
      </c>
      <c r="D164" s="22">
        <v>4032</v>
      </c>
      <c r="E164" s="22">
        <v>2062</v>
      </c>
      <c r="F164" s="22">
        <v>1611</v>
      </c>
      <c r="G164" s="22">
        <v>385</v>
      </c>
      <c r="H164" s="22">
        <v>11</v>
      </c>
      <c r="I164" s="22">
        <v>55</v>
      </c>
      <c r="J164" s="22">
        <v>0</v>
      </c>
      <c r="K164" s="22">
        <v>0</v>
      </c>
    </row>
    <row r="165" spans="1:11" s="21" customFormat="1" ht="12" customHeight="1" x14ac:dyDescent="0.2">
      <c r="A165" s="266" t="s">
        <v>371</v>
      </c>
      <c r="B165" s="266"/>
      <c r="C165" s="209">
        <v>4252</v>
      </c>
      <c r="D165" s="209">
        <v>2984</v>
      </c>
      <c r="E165" s="209">
        <v>1268</v>
      </c>
      <c r="F165" s="209">
        <v>992</v>
      </c>
      <c r="G165" s="209">
        <v>269</v>
      </c>
      <c r="H165" s="209">
        <v>5</v>
      </c>
      <c r="I165" s="209">
        <v>2</v>
      </c>
      <c r="J165" s="209">
        <v>0</v>
      </c>
      <c r="K165" s="209">
        <v>0</v>
      </c>
    </row>
    <row r="166" spans="1:11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</row>
    <row r="167" spans="1:11" s="21" customFormat="1" ht="12" customHeight="1" x14ac:dyDescent="0.2">
      <c r="A167" s="263" t="s">
        <v>204</v>
      </c>
      <c r="B167" s="263"/>
      <c r="C167" s="20">
        <v>5656</v>
      </c>
      <c r="D167" s="20">
        <v>5109</v>
      </c>
      <c r="E167" s="20">
        <v>547</v>
      </c>
      <c r="F167" s="20">
        <v>387</v>
      </c>
      <c r="G167" s="20">
        <v>154</v>
      </c>
      <c r="H167" s="20">
        <v>2</v>
      </c>
      <c r="I167" s="20">
        <v>4</v>
      </c>
      <c r="J167" s="20">
        <v>0</v>
      </c>
      <c r="K167" s="20">
        <v>0</v>
      </c>
    </row>
    <row r="168" spans="1:11" s="21" customFormat="1" ht="12" customHeight="1" x14ac:dyDescent="0.2">
      <c r="A168" s="264" t="s">
        <v>205</v>
      </c>
      <c r="B168" s="264"/>
      <c r="C168" s="22">
        <v>1807</v>
      </c>
      <c r="D168" s="22">
        <v>1581</v>
      </c>
      <c r="E168" s="22">
        <v>226</v>
      </c>
      <c r="F168" s="22">
        <v>174</v>
      </c>
      <c r="G168" s="22">
        <v>51</v>
      </c>
      <c r="H168" s="22">
        <v>1</v>
      </c>
      <c r="I168" s="22">
        <v>0</v>
      </c>
      <c r="J168" s="22">
        <v>0</v>
      </c>
      <c r="K168" s="22">
        <v>0</v>
      </c>
    </row>
    <row r="169" spans="1:11" s="21" customFormat="1" ht="12" customHeight="1" x14ac:dyDescent="0.2">
      <c r="A169" s="264" t="s">
        <v>206</v>
      </c>
      <c r="B169" s="264"/>
      <c r="C169" s="22">
        <v>1770</v>
      </c>
      <c r="D169" s="22">
        <v>1638</v>
      </c>
      <c r="E169" s="22">
        <v>132</v>
      </c>
      <c r="F169" s="22">
        <v>83</v>
      </c>
      <c r="G169" s="22">
        <v>49</v>
      </c>
      <c r="H169" s="22">
        <v>0</v>
      </c>
      <c r="I169" s="22">
        <v>0</v>
      </c>
      <c r="J169" s="22">
        <v>0</v>
      </c>
      <c r="K169" s="22">
        <v>0</v>
      </c>
    </row>
    <row r="170" spans="1:11" s="21" customFormat="1" ht="12" customHeight="1" x14ac:dyDescent="0.2">
      <c r="A170" s="266" t="s">
        <v>345</v>
      </c>
      <c r="B170" s="266"/>
      <c r="C170" s="44">
        <v>2079</v>
      </c>
      <c r="D170" s="44">
        <v>1890</v>
      </c>
      <c r="E170" s="44">
        <v>189</v>
      </c>
      <c r="F170" s="44">
        <v>130</v>
      </c>
      <c r="G170" s="44">
        <v>54</v>
      </c>
      <c r="H170" s="44">
        <v>1</v>
      </c>
      <c r="I170" s="44">
        <v>4</v>
      </c>
      <c r="J170" s="44">
        <v>0</v>
      </c>
      <c r="K170" s="44">
        <v>0</v>
      </c>
    </row>
    <row r="171" spans="1:11" s="21" customFormat="1" ht="12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</row>
    <row r="172" spans="1:11" s="21" customFormat="1" ht="12" customHeight="1" x14ac:dyDescent="0.2">
      <c r="A172" s="263" t="s">
        <v>210</v>
      </c>
      <c r="B172" s="263"/>
      <c r="C172" s="20">
        <v>8827</v>
      </c>
      <c r="D172" s="20">
        <v>6587</v>
      </c>
      <c r="E172" s="20">
        <v>2240</v>
      </c>
      <c r="F172" s="20">
        <v>1580</v>
      </c>
      <c r="G172" s="20">
        <v>565</v>
      </c>
      <c r="H172" s="20">
        <v>32</v>
      </c>
      <c r="I172" s="20">
        <v>59</v>
      </c>
      <c r="J172" s="20">
        <v>4</v>
      </c>
      <c r="K172" s="20">
        <v>0</v>
      </c>
    </row>
    <row r="173" spans="1:11" s="21" customFormat="1" ht="12" customHeight="1" x14ac:dyDescent="0.2">
      <c r="A173" s="264" t="s">
        <v>211</v>
      </c>
      <c r="B173" s="264"/>
      <c r="C173" s="22">
        <v>1476</v>
      </c>
      <c r="D173" s="22">
        <v>1119</v>
      </c>
      <c r="E173" s="22">
        <v>357</v>
      </c>
      <c r="F173" s="22">
        <v>240</v>
      </c>
      <c r="G173" s="22">
        <v>108</v>
      </c>
      <c r="H173" s="22">
        <v>7</v>
      </c>
      <c r="I173" s="22">
        <v>2</v>
      </c>
      <c r="J173" s="22">
        <v>0</v>
      </c>
      <c r="K173" s="22">
        <v>0</v>
      </c>
    </row>
    <row r="174" spans="1:11" s="21" customFormat="1" ht="12" customHeight="1" x14ac:dyDescent="0.2">
      <c r="A174" s="264" t="s">
        <v>213</v>
      </c>
      <c r="B174" s="264"/>
      <c r="C174" s="22">
        <v>102</v>
      </c>
      <c r="D174" s="22">
        <v>94</v>
      </c>
      <c r="E174" s="22">
        <v>8</v>
      </c>
      <c r="F174" s="22">
        <v>3</v>
      </c>
      <c r="G174" s="22">
        <v>5</v>
      </c>
      <c r="H174" s="22">
        <v>0</v>
      </c>
      <c r="I174" s="22">
        <v>0</v>
      </c>
      <c r="J174" s="22">
        <v>0</v>
      </c>
      <c r="K174" s="22">
        <v>0</v>
      </c>
    </row>
    <row r="175" spans="1:11" s="21" customFormat="1" ht="12" customHeight="1" x14ac:dyDescent="0.2">
      <c r="A175" s="264" t="s">
        <v>214</v>
      </c>
      <c r="B175" s="264"/>
      <c r="C175" s="22">
        <v>937</v>
      </c>
      <c r="D175" s="22">
        <v>515</v>
      </c>
      <c r="E175" s="22">
        <v>422</v>
      </c>
      <c r="F175" s="22">
        <v>274</v>
      </c>
      <c r="G175" s="22">
        <v>123</v>
      </c>
      <c r="H175" s="22">
        <v>1</v>
      </c>
      <c r="I175" s="22">
        <v>24</v>
      </c>
      <c r="J175" s="22">
        <v>0</v>
      </c>
      <c r="K175" s="22">
        <v>0</v>
      </c>
    </row>
    <row r="176" spans="1:11" s="21" customFormat="1" ht="12" customHeight="1" x14ac:dyDescent="0.2">
      <c r="A176" s="264" t="s">
        <v>219</v>
      </c>
      <c r="B176" s="264"/>
      <c r="C176" s="22">
        <v>174</v>
      </c>
      <c r="D176" s="22">
        <v>158</v>
      </c>
      <c r="E176" s="22">
        <v>16</v>
      </c>
      <c r="F176" s="22">
        <v>12</v>
      </c>
      <c r="G176" s="22">
        <v>3</v>
      </c>
      <c r="H176" s="22">
        <v>1</v>
      </c>
      <c r="I176" s="22">
        <v>0</v>
      </c>
      <c r="J176" s="22">
        <v>0</v>
      </c>
      <c r="K176" s="22">
        <v>0</v>
      </c>
    </row>
    <row r="177" spans="1:11" s="21" customFormat="1" ht="12" customHeight="1" x14ac:dyDescent="0.2">
      <c r="A177" s="264" t="s">
        <v>220</v>
      </c>
      <c r="B177" s="264"/>
      <c r="C177" s="22">
        <v>2823</v>
      </c>
      <c r="D177" s="22">
        <v>2248</v>
      </c>
      <c r="E177" s="22">
        <v>575</v>
      </c>
      <c r="F177" s="22">
        <v>450</v>
      </c>
      <c r="G177" s="22">
        <v>120</v>
      </c>
      <c r="H177" s="22">
        <v>5</v>
      </c>
      <c r="I177" s="22">
        <v>0</v>
      </c>
      <c r="J177" s="22">
        <v>0</v>
      </c>
      <c r="K177" s="22">
        <v>0</v>
      </c>
    </row>
    <row r="178" spans="1:11" s="21" customFormat="1" ht="12" customHeight="1" x14ac:dyDescent="0.2">
      <c r="A178" s="264" t="s">
        <v>221</v>
      </c>
      <c r="B178" s="264"/>
      <c r="C178" s="22">
        <v>806</v>
      </c>
      <c r="D178" s="22">
        <v>596</v>
      </c>
      <c r="E178" s="22">
        <v>210</v>
      </c>
      <c r="F178" s="22">
        <v>141</v>
      </c>
      <c r="G178" s="22">
        <v>53</v>
      </c>
      <c r="H178" s="22">
        <v>1</v>
      </c>
      <c r="I178" s="22">
        <v>12</v>
      </c>
      <c r="J178" s="22">
        <v>3</v>
      </c>
      <c r="K178" s="22">
        <v>0</v>
      </c>
    </row>
    <row r="179" spans="1:11" s="21" customFormat="1" ht="12" customHeight="1" x14ac:dyDescent="0.2">
      <c r="A179" s="264" t="s">
        <v>224</v>
      </c>
      <c r="B179" s="264"/>
      <c r="C179" s="22">
        <v>326</v>
      </c>
      <c r="D179" s="22">
        <v>278</v>
      </c>
      <c r="E179" s="22">
        <v>48</v>
      </c>
      <c r="F179" s="22">
        <v>35</v>
      </c>
      <c r="G179" s="22">
        <v>10</v>
      </c>
      <c r="H179" s="22">
        <v>3</v>
      </c>
      <c r="I179" s="22">
        <v>0</v>
      </c>
      <c r="J179" s="22">
        <v>0</v>
      </c>
      <c r="K179" s="22">
        <v>0</v>
      </c>
    </row>
    <row r="180" spans="1:11" s="21" customFormat="1" ht="12" customHeight="1" x14ac:dyDescent="0.2">
      <c r="A180" s="264" t="s">
        <v>225</v>
      </c>
      <c r="B180" s="264"/>
      <c r="C180" s="22">
        <v>800</v>
      </c>
      <c r="D180" s="22">
        <v>518</v>
      </c>
      <c r="E180" s="22">
        <v>282</v>
      </c>
      <c r="F180" s="22">
        <v>222</v>
      </c>
      <c r="G180" s="22">
        <v>54</v>
      </c>
      <c r="H180" s="22">
        <v>1</v>
      </c>
      <c r="I180" s="22">
        <v>5</v>
      </c>
      <c r="J180" s="22">
        <v>0</v>
      </c>
      <c r="K180" s="22">
        <v>0</v>
      </c>
    </row>
    <row r="181" spans="1:11" s="21" customFormat="1" ht="12" customHeight="1" x14ac:dyDescent="0.2">
      <c r="A181" s="264" t="s">
        <v>226</v>
      </c>
      <c r="B181" s="264"/>
      <c r="C181" s="22">
        <v>388</v>
      </c>
      <c r="D181" s="22">
        <v>312</v>
      </c>
      <c r="E181" s="22">
        <v>76</v>
      </c>
      <c r="F181" s="22">
        <v>50</v>
      </c>
      <c r="G181" s="22">
        <v>26</v>
      </c>
      <c r="H181" s="22">
        <v>0</v>
      </c>
      <c r="I181" s="22">
        <v>0</v>
      </c>
      <c r="J181" s="22">
        <v>0</v>
      </c>
      <c r="K181" s="22">
        <v>0</v>
      </c>
    </row>
    <row r="182" spans="1:11" s="21" customFormat="1" ht="12" customHeight="1" x14ac:dyDescent="0.2">
      <c r="A182" s="266" t="s">
        <v>227</v>
      </c>
      <c r="B182" s="266"/>
      <c r="C182" s="209">
        <v>995</v>
      </c>
      <c r="D182" s="209">
        <v>749</v>
      </c>
      <c r="E182" s="209">
        <v>246</v>
      </c>
      <c r="F182" s="209">
        <v>153</v>
      </c>
      <c r="G182" s="209">
        <v>63</v>
      </c>
      <c r="H182" s="209">
        <v>13</v>
      </c>
      <c r="I182" s="209">
        <v>16</v>
      </c>
      <c r="J182" s="209">
        <v>1</v>
      </c>
      <c r="K182" s="209">
        <v>0</v>
      </c>
    </row>
    <row r="183" spans="1:11" s="21" customFormat="1" ht="12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</row>
    <row r="184" spans="1:11" s="21" customFormat="1" ht="12" customHeight="1" x14ac:dyDescent="0.2">
      <c r="A184" s="263" t="s">
        <v>229</v>
      </c>
      <c r="B184" s="263"/>
      <c r="C184" s="20">
        <v>350986</v>
      </c>
      <c r="D184" s="20">
        <v>254109</v>
      </c>
      <c r="E184" s="20">
        <v>96877</v>
      </c>
      <c r="F184" s="20">
        <v>66766</v>
      </c>
      <c r="G184" s="20">
        <v>27763</v>
      </c>
      <c r="H184" s="20">
        <v>572</v>
      </c>
      <c r="I184" s="20">
        <v>1626</v>
      </c>
      <c r="J184" s="20">
        <v>128</v>
      </c>
      <c r="K184" s="20">
        <v>22</v>
      </c>
    </row>
    <row r="185" spans="1:11" s="21" customFormat="1" ht="12" customHeight="1" x14ac:dyDescent="0.2">
      <c r="A185" s="264" t="s">
        <v>230</v>
      </c>
      <c r="B185" s="264"/>
      <c r="C185" s="22">
        <v>49969</v>
      </c>
      <c r="D185" s="22">
        <v>37618</v>
      </c>
      <c r="E185" s="22">
        <v>12351</v>
      </c>
      <c r="F185" s="22">
        <v>7952</v>
      </c>
      <c r="G185" s="22">
        <v>4097</v>
      </c>
      <c r="H185" s="22">
        <v>43</v>
      </c>
      <c r="I185" s="22">
        <v>255</v>
      </c>
      <c r="J185" s="22">
        <v>4</v>
      </c>
      <c r="K185" s="22">
        <v>0</v>
      </c>
    </row>
    <row r="186" spans="1:11" s="21" customFormat="1" ht="12" customHeight="1" x14ac:dyDescent="0.2">
      <c r="A186" s="264" t="s">
        <v>231</v>
      </c>
      <c r="B186" s="264"/>
      <c r="C186" s="22">
        <v>150556</v>
      </c>
      <c r="D186" s="22">
        <v>103104</v>
      </c>
      <c r="E186" s="22">
        <v>47452</v>
      </c>
      <c r="F186" s="22">
        <v>31866</v>
      </c>
      <c r="G186" s="22">
        <v>14594</v>
      </c>
      <c r="H186" s="22">
        <v>265</v>
      </c>
      <c r="I186" s="22">
        <v>619</v>
      </c>
      <c r="J186" s="22">
        <v>86</v>
      </c>
      <c r="K186" s="22">
        <v>22</v>
      </c>
    </row>
    <row r="187" spans="1:11" s="21" customFormat="1" ht="12" customHeight="1" x14ac:dyDescent="0.2">
      <c r="A187" s="264" t="s">
        <v>232</v>
      </c>
      <c r="B187" s="264"/>
      <c r="C187" s="22">
        <v>63774</v>
      </c>
      <c r="D187" s="22">
        <v>48065</v>
      </c>
      <c r="E187" s="22">
        <v>15709</v>
      </c>
      <c r="F187" s="22">
        <v>11342</v>
      </c>
      <c r="G187" s="22">
        <v>4026</v>
      </c>
      <c r="H187" s="22">
        <v>103</v>
      </c>
      <c r="I187" s="22">
        <v>224</v>
      </c>
      <c r="J187" s="22">
        <v>14</v>
      </c>
      <c r="K187" s="22">
        <v>0</v>
      </c>
    </row>
    <row r="188" spans="1:11" s="21" customFormat="1" ht="12" customHeight="1" x14ac:dyDescent="0.2">
      <c r="A188" s="264" t="s">
        <v>233</v>
      </c>
      <c r="B188" s="264"/>
      <c r="C188" s="22">
        <v>5952</v>
      </c>
      <c r="D188" s="22">
        <v>5329</v>
      </c>
      <c r="E188" s="22">
        <v>623</v>
      </c>
      <c r="F188" s="22">
        <v>480</v>
      </c>
      <c r="G188" s="22">
        <v>134</v>
      </c>
      <c r="H188" s="22">
        <v>8</v>
      </c>
      <c r="I188" s="22">
        <v>1</v>
      </c>
      <c r="J188" s="22">
        <v>0</v>
      </c>
      <c r="K188" s="22">
        <v>0</v>
      </c>
    </row>
    <row r="189" spans="1:11" s="21" customFormat="1" ht="12" customHeight="1" x14ac:dyDescent="0.2">
      <c r="A189" s="264" t="s">
        <v>234</v>
      </c>
      <c r="B189" s="264"/>
      <c r="C189" s="22">
        <v>55906</v>
      </c>
      <c r="D189" s="22">
        <v>41281</v>
      </c>
      <c r="E189" s="22">
        <v>14625</v>
      </c>
      <c r="F189" s="22">
        <v>10556</v>
      </c>
      <c r="G189" s="22">
        <v>3539</v>
      </c>
      <c r="H189" s="22">
        <v>103</v>
      </c>
      <c r="I189" s="22">
        <v>407</v>
      </c>
      <c r="J189" s="22">
        <v>20</v>
      </c>
      <c r="K189" s="22">
        <v>0</v>
      </c>
    </row>
    <row r="190" spans="1:11" s="21" customFormat="1" ht="12" customHeight="1" x14ac:dyDescent="0.2">
      <c r="A190" s="264" t="s">
        <v>235</v>
      </c>
      <c r="B190" s="264"/>
      <c r="C190" s="22">
        <v>10346</v>
      </c>
      <c r="D190" s="22">
        <v>7016</v>
      </c>
      <c r="E190" s="22">
        <v>3330</v>
      </c>
      <c r="F190" s="22">
        <v>2603</v>
      </c>
      <c r="G190" s="22">
        <v>654</v>
      </c>
      <c r="H190" s="22">
        <v>16</v>
      </c>
      <c r="I190" s="22">
        <v>57</v>
      </c>
      <c r="J190" s="22">
        <v>0</v>
      </c>
      <c r="K190" s="22">
        <v>0</v>
      </c>
    </row>
    <row r="191" spans="1:11" s="21" customFormat="1" ht="12" customHeight="1" x14ac:dyDescent="0.2">
      <c r="A191" s="264" t="s">
        <v>236</v>
      </c>
      <c r="B191" s="264"/>
      <c r="C191" s="22">
        <v>5656</v>
      </c>
      <c r="D191" s="22">
        <v>5109</v>
      </c>
      <c r="E191" s="22">
        <v>547</v>
      </c>
      <c r="F191" s="22">
        <v>387</v>
      </c>
      <c r="G191" s="22">
        <v>154</v>
      </c>
      <c r="H191" s="22">
        <v>2</v>
      </c>
      <c r="I191" s="22">
        <v>4</v>
      </c>
      <c r="J191" s="22">
        <v>0</v>
      </c>
      <c r="K191" s="22">
        <v>0</v>
      </c>
    </row>
    <row r="192" spans="1:11" s="21" customFormat="1" ht="12" customHeight="1" x14ac:dyDescent="0.2">
      <c r="A192" s="267" t="s">
        <v>237</v>
      </c>
      <c r="B192" s="267"/>
      <c r="C192" s="209">
        <v>8827</v>
      </c>
      <c r="D192" s="209">
        <v>6587</v>
      </c>
      <c r="E192" s="209">
        <v>2240</v>
      </c>
      <c r="F192" s="209">
        <v>1580</v>
      </c>
      <c r="G192" s="209">
        <v>565</v>
      </c>
      <c r="H192" s="209">
        <v>32</v>
      </c>
      <c r="I192" s="209">
        <v>59</v>
      </c>
      <c r="J192" s="209">
        <v>4</v>
      </c>
      <c r="K192" s="209">
        <v>0</v>
      </c>
    </row>
    <row r="193" spans="1:11" s="21" customFormat="1" ht="12" customHeight="1" x14ac:dyDescent="0.2">
      <c r="A193" s="27"/>
      <c r="B193" s="27"/>
      <c r="C193" s="44"/>
      <c r="D193" s="44"/>
      <c r="E193" s="44"/>
      <c r="F193" s="44"/>
      <c r="G193" s="44"/>
      <c r="H193" s="44"/>
      <c r="I193" s="44"/>
      <c r="J193" s="44"/>
      <c r="K193" s="44"/>
    </row>
    <row r="194" spans="1:11" s="21" customFormat="1" ht="12" customHeight="1" x14ac:dyDescent="0.2">
      <c r="A194" s="263" t="s">
        <v>383</v>
      </c>
      <c r="B194" s="263"/>
      <c r="C194" s="20">
        <v>325437</v>
      </c>
      <c r="D194" s="20">
        <v>234084</v>
      </c>
      <c r="E194" s="20">
        <v>91353</v>
      </c>
      <c r="F194" s="20">
        <v>62727</v>
      </c>
      <c r="G194" s="20">
        <v>26457</v>
      </c>
      <c r="H194" s="20">
        <v>518</v>
      </c>
      <c r="I194" s="20">
        <v>1507</v>
      </c>
      <c r="J194" s="20">
        <v>122</v>
      </c>
      <c r="K194" s="20">
        <v>22</v>
      </c>
    </row>
    <row r="195" spans="1:11" s="21" customFormat="1" ht="12" customHeight="1" x14ac:dyDescent="0.2">
      <c r="A195" s="264" t="s">
        <v>356</v>
      </c>
      <c r="B195" s="264"/>
      <c r="C195" s="22">
        <v>52513</v>
      </c>
      <c r="D195" s="22">
        <v>39163</v>
      </c>
      <c r="E195" s="22">
        <v>13350</v>
      </c>
      <c r="F195" s="22">
        <v>9675</v>
      </c>
      <c r="G195" s="22">
        <v>3187</v>
      </c>
      <c r="H195" s="22">
        <v>92</v>
      </c>
      <c r="I195" s="22">
        <v>381</v>
      </c>
      <c r="J195" s="22">
        <v>15</v>
      </c>
      <c r="K195" s="22">
        <v>0</v>
      </c>
    </row>
    <row r="196" spans="1:11" s="21" customFormat="1" ht="12" customHeight="1" x14ac:dyDescent="0.2">
      <c r="A196" s="264" t="s">
        <v>357</v>
      </c>
      <c r="B196" s="264"/>
      <c r="C196" s="24">
        <v>50420</v>
      </c>
      <c r="D196" s="24">
        <v>37968</v>
      </c>
      <c r="E196" s="24">
        <v>12452</v>
      </c>
      <c r="F196" s="24">
        <v>8016</v>
      </c>
      <c r="G196" s="24">
        <v>4134</v>
      </c>
      <c r="H196" s="24">
        <v>43</v>
      </c>
      <c r="I196" s="24">
        <v>255</v>
      </c>
      <c r="J196" s="24">
        <v>4</v>
      </c>
      <c r="K196" s="24">
        <v>0</v>
      </c>
    </row>
    <row r="197" spans="1:11" s="21" customFormat="1" ht="12" customHeight="1" x14ac:dyDescent="0.2">
      <c r="A197" s="264" t="s">
        <v>358</v>
      </c>
      <c r="B197" s="264"/>
      <c r="C197" s="22">
        <v>55566</v>
      </c>
      <c r="D197" s="22">
        <v>41737</v>
      </c>
      <c r="E197" s="22">
        <v>13829</v>
      </c>
      <c r="F197" s="22">
        <v>10088</v>
      </c>
      <c r="G197" s="22">
        <v>3468</v>
      </c>
      <c r="H197" s="22">
        <v>93</v>
      </c>
      <c r="I197" s="22">
        <v>169</v>
      </c>
      <c r="J197" s="22">
        <v>11</v>
      </c>
      <c r="K197" s="22">
        <v>0</v>
      </c>
    </row>
    <row r="198" spans="1:11" s="21" customFormat="1" ht="12" customHeight="1" x14ac:dyDescent="0.2">
      <c r="A198" s="264" t="s">
        <v>359</v>
      </c>
      <c r="B198" s="264"/>
      <c r="C198" s="22">
        <v>150105</v>
      </c>
      <c r="D198" s="22">
        <v>102754</v>
      </c>
      <c r="E198" s="22">
        <v>47351</v>
      </c>
      <c r="F198" s="22">
        <v>31802</v>
      </c>
      <c r="G198" s="22">
        <v>14557</v>
      </c>
      <c r="H198" s="22">
        <v>265</v>
      </c>
      <c r="I198" s="22">
        <v>619</v>
      </c>
      <c r="J198" s="22">
        <v>86</v>
      </c>
      <c r="K198" s="22">
        <v>22</v>
      </c>
    </row>
    <row r="199" spans="1:11" s="21" customFormat="1" ht="12" customHeight="1" x14ac:dyDescent="0.2">
      <c r="A199" s="210" t="s">
        <v>360</v>
      </c>
      <c r="B199" s="210"/>
      <c r="C199" s="209">
        <v>16833</v>
      </c>
      <c r="D199" s="209">
        <v>12462</v>
      </c>
      <c r="E199" s="209">
        <v>4371</v>
      </c>
      <c r="F199" s="209">
        <v>3146</v>
      </c>
      <c r="G199" s="209">
        <v>1111</v>
      </c>
      <c r="H199" s="209">
        <v>25</v>
      </c>
      <c r="I199" s="209">
        <v>83</v>
      </c>
      <c r="J199" s="209">
        <v>6</v>
      </c>
      <c r="K199" s="209">
        <v>0</v>
      </c>
    </row>
    <row r="200" spans="1:11" s="21" customFormat="1" ht="12" customHeight="1" x14ac:dyDescent="0.2">
      <c r="A200" s="31"/>
      <c r="B200" s="31"/>
      <c r="C200" s="32"/>
      <c r="D200" s="32"/>
      <c r="E200" s="32"/>
      <c r="F200" s="32"/>
      <c r="G200" s="32"/>
      <c r="H200" s="32"/>
      <c r="I200" s="32"/>
      <c r="J200" s="32"/>
      <c r="K200" s="32"/>
    </row>
    <row r="201" spans="1:11" s="21" customFormat="1" ht="12" customHeight="1" x14ac:dyDescent="0.2">
      <c r="A201" s="118" t="s">
        <v>382</v>
      </c>
      <c r="B201" s="118"/>
      <c r="C201" s="208">
        <v>25549</v>
      </c>
      <c r="D201" s="208">
        <v>20025</v>
      </c>
      <c r="E201" s="208">
        <v>5524</v>
      </c>
      <c r="F201" s="208">
        <v>4039</v>
      </c>
      <c r="G201" s="208">
        <v>1306</v>
      </c>
      <c r="H201" s="208">
        <v>54</v>
      </c>
      <c r="I201" s="208">
        <v>119</v>
      </c>
      <c r="J201" s="208">
        <v>6</v>
      </c>
      <c r="K201" s="208">
        <v>0</v>
      </c>
    </row>
    <row r="202" spans="1:11" s="34" customFormat="1" ht="12" customHeight="1" x14ac:dyDescent="0.15"/>
    <row r="203" spans="1:11" s="36" customFormat="1" ht="12" customHeight="1" x14ac:dyDescent="0.2">
      <c r="A203" s="285" t="s">
        <v>381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</row>
    <row r="204" spans="1:11" s="34" customFormat="1" ht="11.25" x14ac:dyDescent="0.2">
      <c r="A204" s="286" t="s">
        <v>380</v>
      </c>
      <c r="B204" s="286"/>
      <c r="C204" s="286"/>
      <c r="D204" s="286"/>
      <c r="E204" s="286"/>
      <c r="F204" s="286"/>
      <c r="G204" s="286"/>
      <c r="H204" s="286"/>
      <c r="I204" s="286"/>
      <c r="J204" s="286"/>
      <c r="K204" s="286"/>
    </row>
    <row r="205" spans="1:11" s="34" customFormat="1" ht="11.25" x14ac:dyDescent="0.2">
      <c r="A205" s="286" t="s">
        <v>379</v>
      </c>
      <c r="B205" s="286"/>
      <c r="C205" s="286"/>
      <c r="D205" s="286"/>
      <c r="E205" s="286"/>
      <c r="F205" s="286"/>
      <c r="G205" s="286"/>
      <c r="H205" s="286"/>
      <c r="I205" s="286"/>
      <c r="J205" s="286"/>
      <c r="K205" s="286"/>
    </row>
    <row r="206" spans="1:11" s="203" customFormat="1" ht="12" customHeight="1" x14ac:dyDescent="0.2">
      <c r="A206" s="241" t="s">
        <v>378</v>
      </c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</row>
    <row r="207" spans="1:11" s="204" customFormat="1" ht="12" customHeight="1" x14ac:dyDescent="0.2">
      <c r="A207" s="24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</row>
    <row r="208" spans="1:11" s="202" customFormat="1" ht="12" customHeight="1" x14ac:dyDescent="0.2">
      <c r="A208" s="241" t="s">
        <v>339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</row>
    <row r="209" spans="1:11" s="204" customFormat="1" ht="12" customHeight="1" x14ac:dyDescent="0.2">
      <c r="A209" s="24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</row>
    <row r="210" spans="1:11" s="203" customFormat="1" ht="12" customHeight="1" x14ac:dyDescent="0.2">
      <c r="A210" s="241" t="s">
        <v>388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</row>
    <row r="211" spans="1:11" s="203" customFormat="1" ht="12" customHeight="1" x14ac:dyDescent="0.2">
      <c r="A211" s="244" t="s">
        <v>352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</row>
    <row r="212" spans="1:11" ht="12" customHeight="1" x14ac:dyDescent="0.2"/>
    <row r="213" spans="1:11" ht="12" customHeight="1" x14ac:dyDescent="0.2"/>
    <row r="214" spans="1:11" ht="12" customHeight="1" x14ac:dyDescent="0.2"/>
  </sheetData>
  <mergeCells count="175">
    <mergeCell ref="A23:B23"/>
    <mergeCell ref="A24:B24"/>
    <mergeCell ref="A25:B25"/>
    <mergeCell ref="A26:B26"/>
    <mergeCell ref="A29:B29"/>
    <mergeCell ref="A32:B32"/>
    <mergeCell ref="A1:K1"/>
    <mergeCell ref="A10:B10"/>
    <mergeCell ref="A12:B12"/>
    <mergeCell ref="A13:B13"/>
    <mergeCell ref="A17:B17"/>
    <mergeCell ref="A21:B21"/>
    <mergeCell ref="A2:K2"/>
    <mergeCell ref="A3:K3"/>
    <mergeCell ref="A4:K4"/>
    <mergeCell ref="E5:K5"/>
    <mergeCell ref="E6:K6"/>
    <mergeCell ref="A66:B66"/>
    <mergeCell ref="A67:B67"/>
    <mergeCell ref="A68:B68"/>
    <mergeCell ref="A33:B33"/>
    <mergeCell ref="A38:B38"/>
    <mergeCell ref="A39:B39"/>
    <mergeCell ref="A40:B40"/>
    <mergeCell ref="A42:B42"/>
    <mergeCell ref="A43:B43"/>
    <mergeCell ref="A44:B44"/>
    <mergeCell ref="A47:B47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91:B91"/>
    <mergeCell ref="A92:B92"/>
    <mergeCell ref="A93:B93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15:B115"/>
    <mergeCell ref="A116:B116"/>
    <mergeCell ref="A117:B117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27:B127"/>
    <mergeCell ref="A128:B128"/>
    <mergeCell ref="A129:B129"/>
    <mergeCell ref="A130:B130"/>
    <mergeCell ref="A133:B133"/>
    <mergeCell ref="A134:B134"/>
    <mergeCell ref="A191:B191"/>
    <mergeCell ref="A192:B192"/>
    <mergeCell ref="A194:B194"/>
    <mergeCell ref="A195:B195"/>
    <mergeCell ref="A196:B196"/>
    <mergeCell ref="A206:K206"/>
    <mergeCell ref="A179:B179"/>
    <mergeCell ref="A180:B180"/>
    <mergeCell ref="A181:B181"/>
    <mergeCell ref="A182:B182"/>
    <mergeCell ref="A188:B188"/>
    <mergeCell ref="A189:B189"/>
    <mergeCell ref="A190:B190"/>
    <mergeCell ref="A187:B187"/>
    <mergeCell ref="A184:B184"/>
    <mergeCell ref="A185:B185"/>
    <mergeCell ref="A186:B186"/>
    <mergeCell ref="A207:K207"/>
    <mergeCell ref="A208:K208"/>
    <mergeCell ref="A203:K203"/>
    <mergeCell ref="A204:K204"/>
    <mergeCell ref="A205:K205"/>
    <mergeCell ref="A197:B197"/>
    <mergeCell ref="A209:K209"/>
    <mergeCell ref="A210:K210"/>
    <mergeCell ref="A211:K211"/>
    <mergeCell ref="A198:B198"/>
    <mergeCell ref="A148:B148"/>
    <mergeCell ref="A158:B158"/>
    <mergeCell ref="A170:B170"/>
    <mergeCell ref="A175:B175"/>
    <mergeCell ref="A5:B5"/>
    <mergeCell ref="A172:B172"/>
    <mergeCell ref="A173:B173"/>
    <mergeCell ref="A174:B174"/>
    <mergeCell ref="A176:B176"/>
    <mergeCell ref="A6:B6"/>
    <mergeCell ref="A7:B7"/>
    <mergeCell ref="A8:B8"/>
    <mergeCell ref="A9:B9"/>
    <mergeCell ref="A150:B150"/>
    <mergeCell ref="A151:B151"/>
    <mergeCell ref="A152:B152"/>
    <mergeCell ref="A153:B153"/>
    <mergeCell ref="A155:B155"/>
    <mergeCell ref="A145:B145"/>
    <mergeCell ref="A146:B146"/>
    <mergeCell ref="A147:B147"/>
    <mergeCell ref="A149:B149"/>
    <mergeCell ref="A131:B131"/>
    <mergeCell ref="A132:B132"/>
    <mergeCell ref="A177:B177"/>
    <mergeCell ref="A156:B156"/>
    <mergeCell ref="A157:B157"/>
    <mergeCell ref="A159:B159"/>
    <mergeCell ref="A160:B160"/>
    <mergeCell ref="A161:B161"/>
    <mergeCell ref="A178:B178"/>
    <mergeCell ref="A163:B163"/>
    <mergeCell ref="A164:B164"/>
    <mergeCell ref="A165:B165"/>
    <mergeCell ref="A167:B167"/>
    <mergeCell ref="A168:B168"/>
    <mergeCell ref="A169:B16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13"/>
  <dimension ref="A1:K213"/>
  <sheetViews>
    <sheetView workbookViewId="0">
      <pane ySplit="10" topLeftCell="A11" activePane="bottomLeft" state="frozen"/>
      <selection pane="bottomLeft" activeCell="A11" sqref="A11"/>
    </sheetView>
  </sheetViews>
  <sheetFormatPr defaultColWidth="9.140625" defaultRowHeight="12" x14ac:dyDescent="0.2"/>
  <cols>
    <col min="1" max="1" width="1.7109375" style="205" customWidth="1"/>
    <col min="2" max="2" width="28.140625" style="205" customWidth="1"/>
    <col min="3" max="3" width="11.7109375" style="206" customWidth="1"/>
    <col min="4" max="11" width="11.7109375" style="205" customWidth="1"/>
    <col min="12" max="16384" width="9.140625" style="205"/>
  </cols>
  <sheetData>
    <row r="1" spans="1:11" s="176" customFormat="1" ht="12.75" customHeight="1" x14ac:dyDescent="0.2">
      <c r="A1" s="288"/>
      <c r="B1" s="288"/>
      <c r="C1" s="288"/>
      <c r="D1" s="288"/>
      <c r="E1" s="288"/>
      <c r="F1" s="288"/>
      <c r="G1" s="288"/>
      <c r="H1" s="288"/>
      <c r="I1" s="288"/>
      <c r="J1" s="288"/>
      <c r="K1" s="288"/>
    </row>
    <row r="2" spans="1:11" s="176" customFormat="1" ht="12.75" customHeight="1" x14ac:dyDescent="0.2">
      <c r="A2" s="289" t="s">
        <v>376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</row>
    <row r="3" spans="1:11" s="177" customFormat="1" ht="12.75" customHeight="1" x14ac:dyDescent="0.25">
      <c r="A3" s="249"/>
      <c r="B3" s="249"/>
      <c r="C3" s="249"/>
      <c r="D3" s="249"/>
      <c r="E3" s="249"/>
      <c r="F3" s="249"/>
      <c r="G3" s="249"/>
      <c r="H3" s="249"/>
      <c r="I3" s="249"/>
      <c r="J3" s="249"/>
      <c r="K3" s="249"/>
    </row>
    <row r="4" spans="1:11" s="177" customFormat="1" ht="12.75" customHeight="1" x14ac:dyDescent="0.25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</row>
    <row r="5" spans="1:11" s="178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74"/>
    </row>
    <row r="6" spans="1:11" s="178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</row>
    <row r="7" spans="1:11" s="178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08"/>
    </row>
    <row r="8" spans="1:11" s="178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4</v>
      </c>
    </row>
    <row r="9" spans="1:11" s="178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8</v>
      </c>
    </row>
    <row r="10" spans="1:11" s="180" customFormat="1" ht="12" customHeight="1" x14ac:dyDescent="0.2">
      <c r="A10" s="287" t="s">
        <v>10</v>
      </c>
      <c r="B10" s="287"/>
      <c r="C10" s="179">
        <v>351491</v>
      </c>
      <c r="D10" s="179">
        <v>254633</v>
      </c>
      <c r="E10" s="179">
        <v>96858</v>
      </c>
      <c r="F10" s="179">
        <v>65691</v>
      </c>
      <c r="G10" s="179">
        <v>28882</v>
      </c>
      <c r="H10" s="179">
        <v>555</v>
      </c>
      <c r="I10" s="179">
        <v>1504</v>
      </c>
      <c r="J10" s="179">
        <v>202</v>
      </c>
      <c r="K10" s="179">
        <v>24</v>
      </c>
    </row>
    <row r="11" spans="1:11" s="180" customFormat="1" ht="12" customHeight="1" x14ac:dyDescent="0.2">
      <c r="A11" s="207"/>
      <c r="B11" s="181"/>
      <c r="C11" s="182"/>
      <c r="D11" s="182"/>
      <c r="E11" s="182"/>
      <c r="F11" s="182"/>
      <c r="G11" s="182"/>
      <c r="H11" s="182"/>
      <c r="I11" s="182"/>
      <c r="J11" s="182"/>
      <c r="K11" s="182"/>
    </row>
    <row r="12" spans="1:11" s="184" customFormat="1" ht="12" customHeight="1" x14ac:dyDescent="0.2">
      <c r="A12" s="276" t="s">
        <v>11</v>
      </c>
      <c r="B12" s="276"/>
      <c r="C12" s="183">
        <v>24966</v>
      </c>
      <c r="D12" s="183">
        <v>18737</v>
      </c>
      <c r="E12" s="183">
        <v>6229</v>
      </c>
      <c r="F12" s="183">
        <v>4585</v>
      </c>
      <c r="G12" s="183">
        <v>1463</v>
      </c>
      <c r="H12" s="183">
        <v>33</v>
      </c>
      <c r="I12" s="183">
        <v>133</v>
      </c>
      <c r="J12" s="183">
        <v>15</v>
      </c>
      <c r="K12" s="183">
        <v>0</v>
      </c>
    </row>
    <row r="13" spans="1:11" s="186" customFormat="1" ht="12" customHeight="1" x14ac:dyDescent="0.2">
      <c r="A13" s="275" t="s">
        <v>12</v>
      </c>
      <c r="B13" s="275"/>
      <c r="C13" s="185">
        <v>9007</v>
      </c>
      <c r="D13" s="185">
        <v>6633</v>
      </c>
      <c r="E13" s="185">
        <v>2374</v>
      </c>
      <c r="F13" s="185">
        <v>1601</v>
      </c>
      <c r="G13" s="185">
        <v>672</v>
      </c>
      <c r="H13" s="185">
        <v>18</v>
      </c>
      <c r="I13" s="185">
        <v>68</v>
      </c>
      <c r="J13" s="185">
        <v>15</v>
      </c>
      <c r="K13" s="185">
        <v>0</v>
      </c>
    </row>
    <row r="14" spans="1:11" s="186" customFormat="1" ht="12" customHeight="1" x14ac:dyDescent="0.2">
      <c r="A14" s="187"/>
      <c r="B14" s="188" t="s">
        <v>13</v>
      </c>
      <c r="C14" s="185">
        <v>3187</v>
      </c>
      <c r="D14" s="185">
        <v>2474</v>
      </c>
      <c r="E14" s="185">
        <v>713</v>
      </c>
      <c r="F14" s="185">
        <v>445</v>
      </c>
      <c r="G14" s="185">
        <v>241</v>
      </c>
      <c r="H14" s="185">
        <v>8</v>
      </c>
      <c r="I14" s="185">
        <v>18</v>
      </c>
      <c r="J14" s="185">
        <v>1</v>
      </c>
      <c r="K14" s="185">
        <v>0</v>
      </c>
    </row>
    <row r="15" spans="1:11" s="186" customFormat="1" ht="12" customHeight="1" x14ac:dyDescent="0.2">
      <c r="A15" s="187"/>
      <c r="B15" s="188" t="s">
        <v>14</v>
      </c>
      <c r="C15" s="185">
        <v>2889</v>
      </c>
      <c r="D15" s="185">
        <v>2302</v>
      </c>
      <c r="E15" s="185">
        <v>587</v>
      </c>
      <c r="F15" s="185">
        <v>440</v>
      </c>
      <c r="G15" s="185">
        <v>141</v>
      </c>
      <c r="H15" s="185">
        <v>5</v>
      </c>
      <c r="I15" s="185">
        <v>1</v>
      </c>
      <c r="J15" s="185">
        <v>0</v>
      </c>
      <c r="K15" s="185">
        <v>0</v>
      </c>
    </row>
    <row r="16" spans="1:11" s="186" customFormat="1" ht="12" customHeight="1" x14ac:dyDescent="0.2">
      <c r="A16" s="187"/>
      <c r="B16" s="189" t="s">
        <v>15</v>
      </c>
      <c r="C16" s="185">
        <v>2931</v>
      </c>
      <c r="D16" s="185">
        <v>1857</v>
      </c>
      <c r="E16" s="185">
        <v>1074</v>
      </c>
      <c r="F16" s="185">
        <v>716</v>
      </c>
      <c r="G16" s="185">
        <v>290</v>
      </c>
      <c r="H16" s="185">
        <v>5</v>
      </c>
      <c r="I16" s="185">
        <v>49</v>
      </c>
      <c r="J16" s="185">
        <v>14</v>
      </c>
      <c r="K16" s="185">
        <v>0</v>
      </c>
    </row>
    <row r="17" spans="1:11" s="186" customFormat="1" ht="12" customHeight="1" x14ac:dyDescent="0.2">
      <c r="A17" s="275" t="s">
        <v>16</v>
      </c>
      <c r="B17" s="275"/>
      <c r="C17" s="185">
        <v>5658</v>
      </c>
      <c r="D17" s="185">
        <v>5128</v>
      </c>
      <c r="E17" s="185">
        <v>530</v>
      </c>
      <c r="F17" s="185">
        <v>361</v>
      </c>
      <c r="G17" s="185">
        <v>163</v>
      </c>
      <c r="H17" s="185">
        <v>3</v>
      </c>
      <c r="I17" s="185">
        <v>3</v>
      </c>
      <c r="J17" s="185">
        <v>0</v>
      </c>
      <c r="K17" s="185">
        <v>0</v>
      </c>
    </row>
    <row r="18" spans="1:11" s="186" customFormat="1" ht="12" customHeight="1" x14ac:dyDescent="0.2">
      <c r="A18" s="187"/>
      <c r="B18" s="188" t="s">
        <v>17</v>
      </c>
      <c r="C18" s="185">
        <v>1770</v>
      </c>
      <c r="D18" s="185">
        <v>1643</v>
      </c>
      <c r="E18" s="185">
        <v>127</v>
      </c>
      <c r="F18" s="185">
        <v>71</v>
      </c>
      <c r="G18" s="185">
        <v>55</v>
      </c>
      <c r="H18" s="185">
        <v>1</v>
      </c>
      <c r="I18" s="185">
        <v>0</v>
      </c>
      <c r="J18" s="185">
        <v>0</v>
      </c>
      <c r="K18" s="185">
        <v>0</v>
      </c>
    </row>
    <row r="19" spans="1:11" s="186" customFormat="1" ht="12" customHeight="1" x14ac:dyDescent="0.2">
      <c r="A19" s="187"/>
      <c r="B19" s="188" t="s">
        <v>18</v>
      </c>
      <c r="C19" s="185">
        <v>1813</v>
      </c>
      <c r="D19" s="185">
        <v>1594</v>
      </c>
      <c r="E19" s="185">
        <v>219</v>
      </c>
      <c r="F19" s="185">
        <v>160</v>
      </c>
      <c r="G19" s="185">
        <v>59</v>
      </c>
      <c r="H19" s="185">
        <v>0</v>
      </c>
      <c r="I19" s="185">
        <v>0</v>
      </c>
      <c r="J19" s="185">
        <v>0</v>
      </c>
      <c r="K19" s="185">
        <v>0</v>
      </c>
    </row>
    <row r="20" spans="1:11" s="186" customFormat="1" ht="12" customHeight="1" x14ac:dyDescent="0.2">
      <c r="A20" s="190"/>
      <c r="B20" s="188" t="s">
        <v>19</v>
      </c>
      <c r="C20" s="185">
        <v>2075</v>
      </c>
      <c r="D20" s="185">
        <v>1891</v>
      </c>
      <c r="E20" s="185">
        <v>184</v>
      </c>
      <c r="F20" s="185">
        <v>130</v>
      </c>
      <c r="G20" s="185">
        <v>49</v>
      </c>
      <c r="H20" s="185">
        <v>2</v>
      </c>
      <c r="I20" s="185">
        <v>3</v>
      </c>
      <c r="J20" s="185">
        <v>0</v>
      </c>
      <c r="K20" s="185">
        <v>0</v>
      </c>
    </row>
    <row r="21" spans="1:11" s="186" customFormat="1" ht="12" customHeight="1" x14ac:dyDescent="0.2">
      <c r="A21" s="278" t="s">
        <v>20</v>
      </c>
      <c r="B21" s="278"/>
      <c r="C21" s="191">
        <v>10301</v>
      </c>
      <c r="D21" s="191">
        <v>6976</v>
      </c>
      <c r="E21" s="191">
        <v>3325</v>
      </c>
      <c r="F21" s="191">
        <v>2623</v>
      </c>
      <c r="G21" s="191">
        <v>628</v>
      </c>
      <c r="H21" s="191">
        <v>12</v>
      </c>
      <c r="I21" s="191">
        <v>62</v>
      </c>
      <c r="J21" s="191">
        <v>0</v>
      </c>
      <c r="K21" s="191">
        <v>0</v>
      </c>
    </row>
    <row r="22" spans="1:11" s="186" customFormat="1" ht="12" customHeight="1" x14ac:dyDescent="0.2">
      <c r="A22" s="190"/>
      <c r="B22" s="190"/>
      <c r="C22" s="190"/>
      <c r="D22" s="190"/>
      <c r="E22" s="190"/>
      <c r="F22" s="190"/>
      <c r="G22" s="190"/>
      <c r="H22" s="190"/>
      <c r="I22" s="190"/>
      <c r="J22" s="190"/>
      <c r="K22" s="190"/>
    </row>
    <row r="23" spans="1:11" s="184" customFormat="1" ht="12" customHeight="1" x14ac:dyDescent="0.2">
      <c r="A23" s="276" t="s">
        <v>342</v>
      </c>
      <c r="B23" s="276"/>
      <c r="C23" s="183">
        <v>69794</v>
      </c>
      <c r="D23" s="183">
        <v>53421</v>
      </c>
      <c r="E23" s="183">
        <v>16373</v>
      </c>
      <c r="F23" s="183">
        <v>11700</v>
      </c>
      <c r="G23" s="183">
        <v>4339</v>
      </c>
      <c r="H23" s="183">
        <v>107</v>
      </c>
      <c r="I23" s="183">
        <v>202</v>
      </c>
      <c r="J23" s="183">
        <v>25</v>
      </c>
      <c r="K23" s="183">
        <v>0</v>
      </c>
    </row>
    <row r="24" spans="1:11" s="186" customFormat="1" ht="12" customHeight="1" x14ac:dyDescent="0.2">
      <c r="A24" s="275" t="s">
        <v>22</v>
      </c>
      <c r="B24" s="275"/>
      <c r="C24" s="185">
        <v>41389</v>
      </c>
      <c r="D24" s="185">
        <v>29640</v>
      </c>
      <c r="E24" s="185">
        <v>11749</v>
      </c>
      <c r="F24" s="185">
        <v>8346</v>
      </c>
      <c r="G24" s="185">
        <v>3162</v>
      </c>
      <c r="H24" s="185">
        <v>90</v>
      </c>
      <c r="I24" s="185">
        <v>134</v>
      </c>
      <c r="J24" s="185">
        <v>17</v>
      </c>
      <c r="K24" s="185">
        <v>0</v>
      </c>
    </row>
    <row r="25" spans="1:11" s="186" customFormat="1" ht="12" customHeight="1" x14ac:dyDescent="0.2">
      <c r="A25" s="275" t="s">
        <v>23</v>
      </c>
      <c r="B25" s="275"/>
      <c r="C25" s="185">
        <v>5136</v>
      </c>
      <c r="D25" s="185">
        <v>4030</v>
      </c>
      <c r="E25" s="185">
        <v>1106</v>
      </c>
      <c r="F25" s="185">
        <v>762</v>
      </c>
      <c r="G25" s="185">
        <v>332</v>
      </c>
      <c r="H25" s="185">
        <v>7</v>
      </c>
      <c r="I25" s="185">
        <v>5</v>
      </c>
      <c r="J25" s="185">
        <v>0</v>
      </c>
      <c r="K25" s="185">
        <v>0</v>
      </c>
    </row>
    <row r="26" spans="1:11" s="186" customFormat="1" ht="12" customHeight="1" x14ac:dyDescent="0.2">
      <c r="A26" s="275" t="s">
        <v>24</v>
      </c>
      <c r="B26" s="275"/>
      <c r="C26" s="185">
        <v>12882</v>
      </c>
      <c r="D26" s="185">
        <v>10468</v>
      </c>
      <c r="E26" s="185">
        <v>2414</v>
      </c>
      <c r="F26" s="185">
        <v>1776</v>
      </c>
      <c r="G26" s="185">
        <v>562</v>
      </c>
      <c r="H26" s="185">
        <v>6</v>
      </c>
      <c r="I26" s="185">
        <v>62</v>
      </c>
      <c r="J26" s="185">
        <v>8</v>
      </c>
      <c r="K26" s="185">
        <v>0</v>
      </c>
    </row>
    <row r="27" spans="1:11" s="186" customFormat="1" ht="12" customHeight="1" x14ac:dyDescent="0.2">
      <c r="A27" s="192"/>
      <c r="B27" s="188" t="s">
        <v>25</v>
      </c>
      <c r="C27" s="185">
        <v>849</v>
      </c>
      <c r="D27" s="185">
        <v>792</v>
      </c>
      <c r="E27" s="185">
        <v>57</v>
      </c>
      <c r="F27" s="185">
        <v>41</v>
      </c>
      <c r="G27" s="185">
        <v>16</v>
      </c>
      <c r="H27" s="185">
        <v>0</v>
      </c>
      <c r="I27" s="185">
        <v>0</v>
      </c>
      <c r="J27" s="185">
        <v>0</v>
      </c>
      <c r="K27" s="185">
        <v>0</v>
      </c>
    </row>
    <row r="28" spans="1:11" s="186" customFormat="1" ht="12" customHeight="1" x14ac:dyDescent="0.2">
      <c r="A28" s="190"/>
      <c r="B28" s="188" t="s">
        <v>26</v>
      </c>
      <c r="C28" s="185">
        <v>12033</v>
      </c>
      <c r="D28" s="185">
        <v>9676</v>
      </c>
      <c r="E28" s="185">
        <v>2357</v>
      </c>
      <c r="F28" s="185">
        <v>1735</v>
      </c>
      <c r="G28" s="185">
        <v>546</v>
      </c>
      <c r="H28" s="185">
        <v>6</v>
      </c>
      <c r="I28" s="185">
        <v>62</v>
      </c>
      <c r="J28" s="185">
        <v>8</v>
      </c>
      <c r="K28" s="185">
        <v>0</v>
      </c>
    </row>
    <row r="29" spans="1:11" s="186" customFormat="1" ht="12" customHeight="1" x14ac:dyDescent="0.2">
      <c r="A29" s="275" t="s">
        <v>27</v>
      </c>
      <c r="B29" s="275"/>
      <c r="C29" s="185">
        <v>3759</v>
      </c>
      <c r="D29" s="185">
        <v>3351</v>
      </c>
      <c r="E29" s="185">
        <v>408</v>
      </c>
      <c r="F29" s="185">
        <v>304</v>
      </c>
      <c r="G29" s="185">
        <v>104</v>
      </c>
      <c r="H29" s="185">
        <v>0</v>
      </c>
      <c r="I29" s="185">
        <v>0</v>
      </c>
      <c r="J29" s="185">
        <v>0</v>
      </c>
      <c r="K29" s="185">
        <v>0</v>
      </c>
    </row>
    <row r="30" spans="1:11" s="186" customFormat="1" ht="12" customHeight="1" x14ac:dyDescent="0.2">
      <c r="A30" s="192"/>
      <c r="B30" s="188" t="s">
        <v>28</v>
      </c>
      <c r="C30" s="185">
        <v>1134</v>
      </c>
      <c r="D30" s="185">
        <v>1023</v>
      </c>
      <c r="E30" s="185">
        <v>111</v>
      </c>
      <c r="F30" s="185">
        <v>88</v>
      </c>
      <c r="G30" s="185">
        <v>23</v>
      </c>
      <c r="H30" s="185">
        <v>0</v>
      </c>
      <c r="I30" s="185">
        <v>0</v>
      </c>
      <c r="J30" s="185">
        <v>0</v>
      </c>
      <c r="K30" s="185">
        <v>0</v>
      </c>
    </row>
    <row r="31" spans="1:11" s="186" customFormat="1" ht="12" customHeight="1" x14ac:dyDescent="0.2">
      <c r="A31" s="190"/>
      <c r="B31" s="188" t="s">
        <v>29</v>
      </c>
      <c r="C31" s="185">
        <v>2625</v>
      </c>
      <c r="D31" s="185">
        <v>2328</v>
      </c>
      <c r="E31" s="185">
        <v>297</v>
      </c>
      <c r="F31" s="185">
        <v>216</v>
      </c>
      <c r="G31" s="185">
        <v>81</v>
      </c>
      <c r="H31" s="185">
        <v>0</v>
      </c>
      <c r="I31" s="185">
        <v>0</v>
      </c>
      <c r="J31" s="185">
        <v>0</v>
      </c>
      <c r="K31" s="185">
        <v>0</v>
      </c>
    </row>
    <row r="32" spans="1:11" s="186" customFormat="1" ht="12" customHeight="1" x14ac:dyDescent="0.2">
      <c r="A32" s="275" t="s">
        <v>30</v>
      </c>
      <c r="B32" s="275"/>
      <c r="C32" s="185">
        <v>661</v>
      </c>
      <c r="D32" s="185">
        <v>613</v>
      </c>
      <c r="E32" s="185">
        <v>48</v>
      </c>
      <c r="F32" s="185">
        <v>33</v>
      </c>
      <c r="G32" s="185">
        <v>15</v>
      </c>
      <c r="H32" s="185">
        <v>0</v>
      </c>
      <c r="I32" s="185">
        <v>0</v>
      </c>
      <c r="J32" s="185">
        <v>0</v>
      </c>
      <c r="K32" s="185">
        <v>0</v>
      </c>
    </row>
    <row r="33" spans="1:11" s="186" customFormat="1" ht="12" customHeight="1" x14ac:dyDescent="0.2">
      <c r="A33" s="275" t="s">
        <v>343</v>
      </c>
      <c r="B33" s="275"/>
      <c r="C33" s="185">
        <v>5967</v>
      </c>
      <c r="D33" s="185">
        <v>5319</v>
      </c>
      <c r="E33" s="185">
        <v>648</v>
      </c>
      <c r="F33" s="185">
        <v>479</v>
      </c>
      <c r="G33" s="185">
        <v>164</v>
      </c>
      <c r="H33" s="185">
        <v>4</v>
      </c>
      <c r="I33" s="185">
        <v>1</v>
      </c>
      <c r="J33" s="185">
        <v>0</v>
      </c>
      <c r="K33" s="185">
        <v>0</v>
      </c>
    </row>
    <row r="34" spans="1:11" s="186" customFormat="1" ht="12" customHeight="1" x14ac:dyDescent="0.2">
      <c r="A34" s="192"/>
      <c r="B34" s="188" t="s">
        <v>32</v>
      </c>
      <c r="C34" s="185">
        <v>508</v>
      </c>
      <c r="D34" s="185">
        <v>475</v>
      </c>
      <c r="E34" s="185">
        <v>33</v>
      </c>
      <c r="F34" s="185">
        <v>23</v>
      </c>
      <c r="G34" s="185">
        <v>9</v>
      </c>
      <c r="H34" s="185">
        <v>1</v>
      </c>
      <c r="I34" s="185">
        <v>0</v>
      </c>
      <c r="J34" s="185">
        <v>0</v>
      </c>
      <c r="K34" s="185">
        <v>0</v>
      </c>
    </row>
    <row r="35" spans="1:11" s="186" customFormat="1" ht="12" customHeight="1" x14ac:dyDescent="0.2">
      <c r="A35" s="187"/>
      <c r="B35" s="188" t="s">
        <v>33</v>
      </c>
      <c r="C35" s="185">
        <v>192</v>
      </c>
      <c r="D35" s="185">
        <v>171</v>
      </c>
      <c r="E35" s="185">
        <v>21</v>
      </c>
      <c r="F35" s="185">
        <v>14</v>
      </c>
      <c r="G35" s="185">
        <v>7</v>
      </c>
      <c r="H35" s="185">
        <v>0</v>
      </c>
      <c r="I35" s="185">
        <v>0</v>
      </c>
      <c r="J35" s="185">
        <v>0</v>
      </c>
      <c r="K35" s="185">
        <v>0</v>
      </c>
    </row>
    <row r="36" spans="1:11" s="186" customFormat="1" ht="12" customHeight="1" x14ac:dyDescent="0.2">
      <c r="A36" s="187"/>
      <c r="B36" s="193" t="s">
        <v>344</v>
      </c>
      <c r="C36" s="191">
        <v>5267</v>
      </c>
      <c r="D36" s="191">
        <v>4673</v>
      </c>
      <c r="E36" s="191">
        <v>594</v>
      </c>
      <c r="F36" s="191">
        <v>442</v>
      </c>
      <c r="G36" s="191">
        <v>148</v>
      </c>
      <c r="H36" s="191">
        <v>3</v>
      </c>
      <c r="I36" s="191">
        <v>1</v>
      </c>
      <c r="J36" s="191">
        <v>0</v>
      </c>
      <c r="K36" s="191">
        <v>0</v>
      </c>
    </row>
    <row r="37" spans="1:11" s="186" customFormat="1" ht="12" customHeight="1" x14ac:dyDescent="0.2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</row>
    <row r="38" spans="1:11" s="184" customFormat="1" ht="12" customHeight="1" x14ac:dyDescent="0.2">
      <c r="A38" s="276" t="s">
        <v>35</v>
      </c>
      <c r="B38" s="276"/>
      <c r="C38" s="183">
        <v>55359</v>
      </c>
      <c r="D38" s="183">
        <v>40813</v>
      </c>
      <c r="E38" s="183">
        <v>14546</v>
      </c>
      <c r="F38" s="183">
        <v>10486</v>
      </c>
      <c r="G38" s="183">
        <v>3554</v>
      </c>
      <c r="H38" s="183">
        <v>116</v>
      </c>
      <c r="I38" s="183">
        <v>350</v>
      </c>
      <c r="J38" s="183">
        <v>40</v>
      </c>
      <c r="K38" s="183">
        <v>0</v>
      </c>
    </row>
    <row r="39" spans="1:11" s="186" customFormat="1" ht="12" customHeight="1" x14ac:dyDescent="0.2">
      <c r="A39" s="275" t="s">
        <v>36</v>
      </c>
      <c r="B39" s="275"/>
      <c r="C39" s="185">
        <v>49907</v>
      </c>
      <c r="D39" s="185">
        <v>37207</v>
      </c>
      <c r="E39" s="185">
        <v>12700</v>
      </c>
      <c r="F39" s="185">
        <v>9166</v>
      </c>
      <c r="G39" s="185">
        <v>3112</v>
      </c>
      <c r="H39" s="185">
        <v>102</v>
      </c>
      <c r="I39" s="185">
        <v>285</v>
      </c>
      <c r="J39" s="185">
        <v>35</v>
      </c>
      <c r="K39" s="185">
        <v>0</v>
      </c>
    </row>
    <row r="40" spans="1:11" s="186" customFormat="1" ht="12" customHeight="1" x14ac:dyDescent="0.2">
      <c r="A40" s="278" t="s">
        <v>37</v>
      </c>
      <c r="B40" s="278"/>
      <c r="C40" s="191">
        <v>5452</v>
      </c>
      <c r="D40" s="191">
        <v>3606</v>
      </c>
      <c r="E40" s="191">
        <v>1846</v>
      </c>
      <c r="F40" s="191">
        <v>1320</v>
      </c>
      <c r="G40" s="191">
        <v>442</v>
      </c>
      <c r="H40" s="191">
        <v>14</v>
      </c>
      <c r="I40" s="191">
        <v>65</v>
      </c>
      <c r="J40" s="191">
        <v>5</v>
      </c>
      <c r="K40" s="191">
        <v>0</v>
      </c>
    </row>
    <row r="41" spans="1:11" s="186" customFormat="1" ht="12" customHeight="1" x14ac:dyDescent="0.2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</row>
    <row r="42" spans="1:11" s="184" customFormat="1" ht="12" customHeight="1" x14ac:dyDescent="0.2">
      <c r="A42" s="276" t="s">
        <v>38</v>
      </c>
      <c r="B42" s="276"/>
      <c r="C42" s="183">
        <v>145712</v>
      </c>
      <c r="D42" s="183">
        <v>99822</v>
      </c>
      <c r="E42" s="183">
        <v>45890</v>
      </c>
      <c r="F42" s="183">
        <v>30204</v>
      </c>
      <c r="G42" s="183">
        <v>14743</v>
      </c>
      <c r="H42" s="183">
        <v>245</v>
      </c>
      <c r="I42" s="183">
        <v>562</v>
      </c>
      <c r="J42" s="183">
        <v>112</v>
      </c>
      <c r="K42" s="183">
        <v>24</v>
      </c>
    </row>
    <row r="43" spans="1:11" s="186" customFormat="1" ht="12" customHeight="1" x14ac:dyDescent="0.2">
      <c r="A43" s="275" t="s">
        <v>39</v>
      </c>
      <c r="B43" s="275"/>
      <c r="C43" s="185">
        <v>98396</v>
      </c>
      <c r="D43" s="185">
        <v>61970</v>
      </c>
      <c r="E43" s="185">
        <v>36426</v>
      </c>
      <c r="F43" s="185">
        <v>23269</v>
      </c>
      <c r="G43" s="185">
        <v>12317</v>
      </c>
      <c r="H43" s="185">
        <v>212</v>
      </c>
      <c r="I43" s="185">
        <v>496</v>
      </c>
      <c r="J43" s="185">
        <v>108</v>
      </c>
      <c r="K43" s="185">
        <v>24</v>
      </c>
    </row>
    <row r="44" spans="1:11" s="186" customFormat="1" ht="12" customHeight="1" x14ac:dyDescent="0.2">
      <c r="A44" s="279" t="s">
        <v>40</v>
      </c>
      <c r="B44" s="279"/>
      <c r="C44" s="185">
        <v>23736</v>
      </c>
      <c r="D44" s="185">
        <v>19741</v>
      </c>
      <c r="E44" s="185">
        <v>3995</v>
      </c>
      <c r="F44" s="185">
        <v>2965</v>
      </c>
      <c r="G44" s="185">
        <v>981</v>
      </c>
      <c r="H44" s="185">
        <v>20</v>
      </c>
      <c r="I44" s="185">
        <v>25</v>
      </c>
      <c r="J44" s="185">
        <v>4</v>
      </c>
      <c r="K44" s="185">
        <v>0</v>
      </c>
    </row>
    <row r="45" spans="1:11" s="186" customFormat="1" ht="12" customHeight="1" x14ac:dyDescent="0.2">
      <c r="A45" s="193"/>
      <c r="B45" s="188" t="s">
        <v>41</v>
      </c>
      <c r="C45" s="185">
        <v>13610</v>
      </c>
      <c r="D45" s="185">
        <v>10908</v>
      </c>
      <c r="E45" s="185">
        <v>2702</v>
      </c>
      <c r="F45" s="185">
        <v>2038</v>
      </c>
      <c r="G45" s="185">
        <v>621</v>
      </c>
      <c r="H45" s="185">
        <v>14</v>
      </c>
      <c r="I45" s="185">
        <v>25</v>
      </c>
      <c r="J45" s="185">
        <v>4</v>
      </c>
      <c r="K45" s="185">
        <v>0</v>
      </c>
    </row>
    <row r="46" spans="1:11" s="186" customFormat="1" ht="12" customHeight="1" x14ac:dyDescent="0.2">
      <c r="A46" s="193"/>
      <c r="B46" s="188" t="s">
        <v>42</v>
      </c>
      <c r="C46" s="185">
        <v>10126</v>
      </c>
      <c r="D46" s="185">
        <v>8833</v>
      </c>
      <c r="E46" s="185">
        <v>1293</v>
      </c>
      <c r="F46" s="185">
        <v>927</v>
      </c>
      <c r="G46" s="185">
        <v>360</v>
      </c>
      <c r="H46" s="185">
        <v>6</v>
      </c>
      <c r="I46" s="185">
        <v>0</v>
      </c>
      <c r="J46" s="185">
        <v>0</v>
      </c>
      <c r="K46" s="185">
        <v>0</v>
      </c>
    </row>
    <row r="47" spans="1:11" s="186" customFormat="1" ht="12" customHeight="1" x14ac:dyDescent="0.2">
      <c r="A47" s="275" t="s">
        <v>44</v>
      </c>
      <c r="B47" s="275"/>
      <c r="C47" s="185">
        <v>23580</v>
      </c>
      <c r="D47" s="185">
        <v>18111</v>
      </c>
      <c r="E47" s="185">
        <v>5469</v>
      </c>
      <c r="F47" s="185">
        <v>3970</v>
      </c>
      <c r="G47" s="185">
        <v>1445</v>
      </c>
      <c r="H47" s="185">
        <v>13</v>
      </c>
      <c r="I47" s="185">
        <v>41</v>
      </c>
      <c r="J47" s="185">
        <v>0</v>
      </c>
      <c r="K47" s="185">
        <v>0</v>
      </c>
    </row>
    <row r="48" spans="1:11" s="186" customFormat="1" ht="12" customHeight="1" x14ac:dyDescent="0.2">
      <c r="A48" s="193"/>
      <c r="B48" s="188" t="s">
        <v>45</v>
      </c>
      <c r="C48" s="185">
        <v>2861</v>
      </c>
      <c r="D48" s="185">
        <v>2510</v>
      </c>
      <c r="E48" s="185">
        <v>351</v>
      </c>
      <c r="F48" s="185">
        <v>258</v>
      </c>
      <c r="G48" s="185">
        <v>92</v>
      </c>
      <c r="H48" s="185">
        <v>0</v>
      </c>
      <c r="I48" s="185">
        <v>1</v>
      </c>
      <c r="J48" s="185">
        <v>0</v>
      </c>
      <c r="K48" s="185">
        <v>0</v>
      </c>
    </row>
    <row r="49" spans="1:11" s="186" customFormat="1" ht="12" customHeight="1" x14ac:dyDescent="0.2">
      <c r="A49" s="193"/>
      <c r="B49" s="188" t="s">
        <v>46</v>
      </c>
      <c r="C49" s="185">
        <v>6047</v>
      </c>
      <c r="D49" s="185">
        <v>4980</v>
      </c>
      <c r="E49" s="185">
        <v>1067</v>
      </c>
      <c r="F49" s="185">
        <v>778</v>
      </c>
      <c r="G49" s="185">
        <v>282</v>
      </c>
      <c r="H49" s="185">
        <v>6</v>
      </c>
      <c r="I49" s="185">
        <v>1</v>
      </c>
      <c r="J49" s="185">
        <v>0</v>
      </c>
      <c r="K49" s="185">
        <v>0</v>
      </c>
    </row>
    <row r="50" spans="1:11" s="186" customFormat="1" ht="12" customHeight="1" x14ac:dyDescent="0.2">
      <c r="A50" s="193"/>
      <c r="B50" s="193" t="s">
        <v>47</v>
      </c>
      <c r="C50" s="191">
        <v>14672</v>
      </c>
      <c r="D50" s="191">
        <v>10621</v>
      </c>
      <c r="E50" s="191">
        <v>4051</v>
      </c>
      <c r="F50" s="191">
        <v>2934</v>
      </c>
      <c r="G50" s="191">
        <v>1071</v>
      </c>
      <c r="H50" s="191">
        <v>7</v>
      </c>
      <c r="I50" s="191">
        <v>39</v>
      </c>
      <c r="J50" s="191">
        <v>0</v>
      </c>
      <c r="K50" s="191">
        <v>0</v>
      </c>
    </row>
    <row r="51" spans="1:11" s="186" customFormat="1" ht="12" customHeight="1" x14ac:dyDescent="0.2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</row>
    <row r="52" spans="1:11" s="184" customFormat="1" ht="12" customHeight="1" x14ac:dyDescent="0.2">
      <c r="A52" s="276" t="s">
        <v>48</v>
      </c>
      <c r="B52" s="276"/>
      <c r="C52" s="183">
        <v>55660</v>
      </c>
      <c r="D52" s="183">
        <v>41840</v>
      </c>
      <c r="E52" s="183">
        <v>13820</v>
      </c>
      <c r="F52" s="183">
        <v>8716</v>
      </c>
      <c r="G52" s="183">
        <v>4783</v>
      </c>
      <c r="H52" s="183">
        <v>54</v>
      </c>
      <c r="I52" s="183">
        <v>257</v>
      </c>
      <c r="J52" s="183">
        <v>10</v>
      </c>
      <c r="K52" s="183">
        <v>0</v>
      </c>
    </row>
    <row r="53" spans="1:11" s="186" customFormat="1" ht="12" customHeight="1" x14ac:dyDescent="0.2">
      <c r="A53" s="275" t="s">
        <v>49</v>
      </c>
      <c r="B53" s="275"/>
      <c r="C53" s="185">
        <v>18929</v>
      </c>
      <c r="D53" s="185">
        <v>12807</v>
      </c>
      <c r="E53" s="185">
        <v>6122</v>
      </c>
      <c r="F53" s="185">
        <v>3797</v>
      </c>
      <c r="G53" s="185">
        <v>2095</v>
      </c>
      <c r="H53" s="185">
        <v>16</v>
      </c>
      <c r="I53" s="185">
        <v>204</v>
      </c>
      <c r="J53" s="185">
        <v>10</v>
      </c>
      <c r="K53" s="185">
        <v>0</v>
      </c>
    </row>
    <row r="54" spans="1:11" s="186" customFormat="1" ht="12" customHeight="1" x14ac:dyDescent="0.2">
      <c r="A54" s="275" t="s">
        <v>50</v>
      </c>
      <c r="B54" s="275"/>
      <c r="C54" s="185">
        <v>32601</v>
      </c>
      <c r="D54" s="185">
        <v>25377</v>
      </c>
      <c r="E54" s="185">
        <v>7224</v>
      </c>
      <c r="F54" s="185">
        <v>4579</v>
      </c>
      <c r="G54" s="185">
        <v>2555</v>
      </c>
      <c r="H54" s="185">
        <v>37</v>
      </c>
      <c r="I54" s="185">
        <v>53</v>
      </c>
      <c r="J54" s="185">
        <v>0</v>
      </c>
      <c r="K54" s="185">
        <v>0</v>
      </c>
    </row>
    <row r="55" spans="1:11" s="186" customFormat="1" ht="12" customHeight="1" x14ac:dyDescent="0.2">
      <c r="A55" s="278" t="s">
        <v>51</v>
      </c>
      <c r="B55" s="278"/>
      <c r="C55" s="191">
        <v>4130</v>
      </c>
      <c r="D55" s="191">
        <v>3656</v>
      </c>
      <c r="E55" s="191">
        <v>474</v>
      </c>
      <c r="F55" s="191">
        <v>340</v>
      </c>
      <c r="G55" s="191">
        <v>133</v>
      </c>
      <c r="H55" s="191">
        <v>1</v>
      </c>
      <c r="I55" s="191">
        <v>0</v>
      </c>
      <c r="J55" s="191">
        <v>0</v>
      </c>
      <c r="K55" s="191">
        <v>0</v>
      </c>
    </row>
    <row r="56" spans="1:11" s="186" customFormat="1" ht="12" customHeight="1" x14ac:dyDescent="0.2">
      <c r="A56" s="189"/>
      <c r="B56" s="194"/>
      <c r="C56" s="195"/>
      <c r="D56" s="195"/>
      <c r="E56" s="195"/>
      <c r="F56" s="195"/>
      <c r="G56" s="195"/>
      <c r="H56" s="195"/>
      <c r="I56" s="195"/>
      <c r="J56" s="195"/>
      <c r="K56" s="195"/>
    </row>
    <row r="57" spans="1:11" s="186" customFormat="1" ht="12" customHeight="1" x14ac:dyDescent="0.2">
      <c r="A57" s="280" t="s">
        <v>52</v>
      </c>
      <c r="B57" s="280"/>
      <c r="C57" s="182">
        <v>50342</v>
      </c>
      <c r="D57" s="182">
        <v>37933</v>
      </c>
      <c r="E57" s="182">
        <v>12409</v>
      </c>
      <c r="F57" s="182">
        <v>7818</v>
      </c>
      <c r="G57" s="182">
        <v>4282</v>
      </c>
      <c r="H57" s="182">
        <v>45</v>
      </c>
      <c r="I57" s="182">
        <v>254</v>
      </c>
      <c r="J57" s="182">
        <v>10</v>
      </c>
      <c r="K57" s="182">
        <v>0</v>
      </c>
    </row>
    <row r="58" spans="1:11" s="186" customFormat="1" ht="12" customHeight="1" x14ac:dyDescent="0.2">
      <c r="A58" s="275" t="s">
        <v>53</v>
      </c>
      <c r="B58" s="275"/>
      <c r="C58" s="185">
        <v>3270</v>
      </c>
      <c r="D58" s="185">
        <v>2402</v>
      </c>
      <c r="E58" s="185">
        <v>868</v>
      </c>
      <c r="F58" s="185">
        <v>580</v>
      </c>
      <c r="G58" s="185">
        <v>281</v>
      </c>
      <c r="H58" s="185">
        <v>0</v>
      </c>
      <c r="I58" s="185">
        <v>7</v>
      </c>
      <c r="J58" s="185">
        <v>0</v>
      </c>
      <c r="K58" s="185">
        <v>0</v>
      </c>
    </row>
    <row r="59" spans="1:11" s="186" customFormat="1" ht="12" customHeight="1" x14ac:dyDescent="0.2">
      <c r="A59" s="275" t="s">
        <v>55</v>
      </c>
      <c r="B59" s="275"/>
      <c r="C59" s="185">
        <v>1936</v>
      </c>
      <c r="D59" s="185">
        <v>1727</v>
      </c>
      <c r="E59" s="185">
        <v>209</v>
      </c>
      <c r="F59" s="185">
        <v>155</v>
      </c>
      <c r="G59" s="185">
        <v>54</v>
      </c>
      <c r="H59" s="185">
        <v>0</v>
      </c>
      <c r="I59" s="185">
        <v>0</v>
      </c>
      <c r="J59" s="185">
        <v>0</v>
      </c>
      <c r="K59" s="185">
        <v>0</v>
      </c>
    </row>
    <row r="60" spans="1:11" s="186" customFormat="1" ht="12" customHeight="1" x14ac:dyDescent="0.2">
      <c r="A60" s="275" t="s">
        <v>56</v>
      </c>
      <c r="B60" s="275"/>
      <c r="C60" s="185">
        <v>2194</v>
      </c>
      <c r="D60" s="185">
        <v>1929</v>
      </c>
      <c r="E60" s="185">
        <v>265</v>
      </c>
      <c r="F60" s="185">
        <v>185</v>
      </c>
      <c r="G60" s="185">
        <v>79</v>
      </c>
      <c r="H60" s="185">
        <v>1</v>
      </c>
      <c r="I60" s="185">
        <v>0</v>
      </c>
      <c r="J60" s="185">
        <v>0</v>
      </c>
      <c r="K60" s="185">
        <v>0</v>
      </c>
    </row>
    <row r="61" spans="1:11" s="186" customFormat="1" ht="12" customHeight="1" x14ac:dyDescent="0.2">
      <c r="A61" s="275" t="s">
        <v>57</v>
      </c>
      <c r="B61" s="275"/>
      <c r="C61" s="185">
        <v>7759</v>
      </c>
      <c r="D61" s="185">
        <v>4616</v>
      </c>
      <c r="E61" s="185">
        <v>3143</v>
      </c>
      <c r="F61" s="185">
        <v>1781</v>
      </c>
      <c r="G61" s="185">
        <v>1161</v>
      </c>
      <c r="H61" s="185">
        <v>7</v>
      </c>
      <c r="I61" s="185">
        <v>188</v>
      </c>
      <c r="J61" s="185">
        <v>6</v>
      </c>
      <c r="K61" s="185">
        <v>0</v>
      </c>
    </row>
    <row r="62" spans="1:11" s="186" customFormat="1" ht="12" customHeight="1" x14ac:dyDescent="0.2">
      <c r="A62" s="275" t="s">
        <v>58</v>
      </c>
      <c r="B62" s="275"/>
      <c r="C62" s="185">
        <v>2903</v>
      </c>
      <c r="D62" s="185">
        <v>2314</v>
      </c>
      <c r="E62" s="185">
        <v>589</v>
      </c>
      <c r="F62" s="185">
        <v>402</v>
      </c>
      <c r="G62" s="185">
        <v>183</v>
      </c>
      <c r="H62" s="185">
        <v>3</v>
      </c>
      <c r="I62" s="185">
        <v>1</v>
      </c>
      <c r="J62" s="185">
        <v>0</v>
      </c>
      <c r="K62" s="185">
        <v>0</v>
      </c>
    </row>
    <row r="63" spans="1:11" s="186" customFormat="1" ht="12" customHeight="1" x14ac:dyDescent="0.2">
      <c r="A63" s="275" t="s">
        <v>60</v>
      </c>
      <c r="B63" s="275"/>
      <c r="C63" s="185">
        <v>14870</v>
      </c>
      <c r="D63" s="185">
        <v>11601</v>
      </c>
      <c r="E63" s="185">
        <v>3269</v>
      </c>
      <c r="F63" s="185">
        <v>1942</v>
      </c>
      <c r="G63" s="185">
        <v>1280</v>
      </c>
      <c r="H63" s="185">
        <v>20</v>
      </c>
      <c r="I63" s="185">
        <v>27</v>
      </c>
      <c r="J63" s="185">
        <v>0</v>
      </c>
      <c r="K63" s="185">
        <v>0</v>
      </c>
    </row>
    <row r="64" spans="1:11" s="186" customFormat="1" ht="12" customHeight="1" x14ac:dyDescent="0.2">
      <c r="A64" s="275" t="s">
        <v>62</v>
      </c>
      <c r="B64" s="275"/>
      <c r="C64" s="185">
        <v>4517</v>
      </c>
      <c r="D64" s="185">
        <v>3406</v>
      </c>
      <c r="E64" s="185">
        <v>1111</v>
      </c>
      <c r="F64" s="185">
        <v>786</v>
      </c>
      <c r="G64" s="185">
        <v>317</v>
      </c>
      <c r="H64" s="185">
        <v>3</v>
      </c>
      <c r="I64" s="185">
        <v>5</v>
      </c>
      <c r="J64" s="185">
        <v>0</v>
      </c>
      <c r="K64" s="185">
        <v>0</v>
      </c>
    </row>
    <row r="65" spans="1:11" s="186" customFormat="1" ht="12" customHeight="1" x14ac:dyDescent="0.2">
      <c r="A65" s="275" t="s">
        <v>63</v>
      </c>
      <c r="B65" s="275"/>
      <c r="C65" s="185">
        <v>2346</v>
      </c>
      <c r="D65" s="185">
        <v>1929</v>
      </c>
      <c r="E65" s="185">
        <v>417</v>
      </c>
      <c r="F65" s="185">
        <v>257</v>
      </c>
      <c r="G65" s="185">
        <v>141</v>
      </c>
      <c r="H65" s="185">
        <v>1</v>
      </c>
      <c r="I65" s="185">
        <v>18</v>
      </c>
      <c r="J65" s="185">
        <v>0</v>
      </c>
      <c r="K65" s="185">
        <v>0</v>
      </c>
    </row>
    <row r="66" spans="1:11" s="186" customFormat="1" ht="12" customHeight="1" x14ac:dyDescent="0.2">
      <c r="A66" s="275" t="s">
        <v>64</v>
      </c>
      <c r="B66" s="275"/>
      <c r="C66" s="185">
        <v>2654</v>
      </c>
      <c r="D66" s="185">
        <v>2155</v>
      </c>
      <c r="E66" s="185">
        <v>499</v>
      </c>
      <c r="F66" s="185">
        <v>357</v>
      </c>
      <c r="G66" s="185">
        <v>141</v>
      </c>
      <c r="H66" s="185">
        <v>1</v>
      </c>
      <c r="I66" s="185">
        <v>0</v>
      </c>
      <c r="J66" s="185">
        <v>0</v>
      </c>
      <c r="K66" s="185">
        <v>0</v>
      </c>
    </row>
    <row r="67" spans="1:11" s="186" customFormat="1" ht="12" customHeight="1" x14ac:dyDescent="0.2">
      <c r="A67" s="275" t="s">
        <v>65</v>
      </c>
      <c r="B67" s="275"/>
      <c r="C67" s="185">
        <v>4510</v>
      </c>
      <c r="D67" s="185">
        <v>3471</v>
      </c>
      <c r="E67" s="185">
        <v>1039</v>
      </c>
      <c r="F67" s="185">
        <v>723</v>
      </c>
      <c r="G67" s="185">
        <v>309</v>
      </c>
      <c r="H67" s="185">
        <v>3</v>
      </c>
      <c r="I67" s="185">
        <v>4</v>
      </c>
      <c r="J67" s="185">
        <v>0</v>
      </c>
      <c r="K67" s="185">
        <v>0</v>
      </c>
    </row>
    <row r="68" spans="1:11" s="186" customFormat="1" ht="12" customHeight="1" x14ac:dyDescent="0.2">
      <c r="A68" s="278" t="s">
        <v>66</v>
      </c>
      <c r="B68" s="278"/>
      <c r="C68" s="196">
        <v>3383</v>
      </c>
      <c r="D68" s="196">
        <v>2383</v>
      </c>
      <c r="E68" s="196">
        <v>1000</v>
      </c>
      <c r="F68" s="196">
        <v>650</v>
      </c>
      <c r="G68" s="196">
        <v>336</v>
      </c>
      <c r="H68" s="196">
        <v>6</v>
      </c>
      <c r="I68" s="196">
        <v>4</v>
      </c>
      <c r="J68" s="196">
        <v>4</v>
      </c>
      <c r="K68" s="196">
        <v>0</v>
      </c>
    </row>
    <row r="69" spans="1:11" s="186" customFormat="1" ht="12" customHeight="1" x14ac:dyDescent="0.2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</row>
    <row r="70" spans="1:11" s="186" customFormat="1" ht="12" customHeight="1" x14ac:dyDescent="0.2">
      <c r="A70" s="276" t="s">
        <v>67</v>
      </c>
      <c r="B70" s="276"/>
      <c r="C70" s="183">
        <v>150634</v>
      </c>
      <c r="D70" s="183">
        <v>103371</v>
      </c>
      <c r="E70" s="183">
        <v>47263</v>
      </c>
      <c r="F70" s="183">
        <v>31077</v>
      </c>
      <c r="G70" s="183">
        <v>15231</v>
      </c>
      <c r="H70" s="183">
        <v>254</v>
      </c>
      <c r="I70" s="183">
        <v>565</v>
      </c>
      <c r="J70" s="183">
        <v>112</v>
      </c>
      <c r="K70" s="183">
        <v>24</v>
      </c>
    </row>
    <row r="71" spans="1:11" s="186" customFormat="1" ht="12" customHeight="1" x14ac:dyDescent="0.2">
      <c r="A71" s="275" t="s">
        <v>68</v>
      </c>
      <c r="B71" s="275"/>
      <c r="C71" s="185">
        <v>4403</v>
      </c>
      <c r="D71" s="185">
        <v>2953</v>
      </c>
      <c r="E71" s="185">
        <v>1450</v>
      </c>
      <c r="F71" s="185">
        <v>1079</v>
      </c>
      <c r="G71" s="185">
        <v>363</v>
      </c>
      <c r="H71" s="185">
        <v>0</v>
      </c>
      <c r="I71" s="185">
        <v>8</v>
      </c>
      <c r="J71" s="185">
        <v>0</v>
      </c>
      <c r="K71" s="185">
        <v>0</v>
      </c>
    </row>
    <row r="72" spans="1:11" s="186" customFormat="1" ht="12" customHeight="1" x14ac:dyDescent="0.2">
      <c r="A72" s="275" t="s">
        <v>69</v>
      </c>
      <c r="B72" s="275"/>
      <c r="C72" s="185">
        <v>1392</v>
      </c>
      <c r="D72" s="185">
        <v>1267</v>
      </c>
      <c r="E72" s="185">
        <v>125</v>
      </c>
      <c r="F72" s="185">
        <v>86</v>
      </c>
      <c r="G72" s="185">
        <v>39</v>
      </c>
      <c r="H72" s="185">
        <v>0</v>
      </c>
      <c r="I72" s="185">
        <v>0</v>
      </c>
      <c r="J72" s="185">
        <v>0</v>
      </c>
      <c r="K72" s="185">
        <v>0</v>
      </c>
    </row>
    <row r="73" spans="1:11" s="186" customFormat="1" ht="12" customHeight="1" x14ac:dyDescent="0.2">
      <c r="A73" s="275" t="s">
        <v>70</v>
      </c>
      <c r="B73" s="275"/>
      <c r="C73" s="185">
        <v>376</v>
      </c>
      <c r="D73" s="185">
        <v>334</v>
      </c>
      <c r="E73" s="185">
        <v>42</v>
      </c>
      <c r="F73" s="185">
        <v>35</v>
      </c>
      <c r="G73" s="185">
        <v>7</v>
      </c>
      <c r="H73" s="185">
        <v>0</v>
      </c>
      <c r="I73" s="185">
        <v>0</v>
      </c>
      <c r="J73" s="185">
        <v>0</v>
      </c>
      <c r="K73" s="185">
        <v>0</v>
      </c>
    </row>
    <row r="74" spans="1:11" s="186" customFormat="1" ht="12" customHeight="1" x14ac:dyDescent="0.2">
      <c r="A74" s="275" t="s">
        <v>71</v>
      </c>
      <c r="B74" s="275"/>
      <c r="C74" s="185">
        <v>992</v>
      </c>
      <c r="D74" s="185">
        <v>876</v>
      </c>
      <c r="E74" s="185">
        <v>116</v>
      </c>
      <c r="F74" s="185">
        <v>72</v>
      </c>
      <c r="G74" s="185">
        <v>41</v>
      </c>
      <c r="H74" s="185">
        <v>1</v>
      </c>
      <c r="I74" s="185">
        <v>2</v>
      </c>
      <c r="J74" s="185">
        <v>0</v>
      </c>
      <c r="K74" s="185">
        <v>0</v>
      </c>
    </row>
    <row r="75" spans="1:11" s="186" customFormat="1" ht="12" customHeight="1" x14ac:dyDescent="0.2">
      <c r="A75" s="275" t="s">
        <v>72</v>
      </c>
      <c r="B75" s="275"/>
      <c r="C75" s="185">
        <v>299</v>
      </c>
      <c r="D75" s="185">
        <v>256</v>
      </c>
      <c r="E75" s="185">
        <v>43</v>
      </c>
      <c r="F75" s="185">
        <v>32</v>
      </c>
      <c r="G75" s="185">
        <v>11</v>
      </c>
      <c r="H75" s="185">
        <v>0</v>
      </c>
      <c r="I75" s="185">
        <v>0</v>
      </c>
      <c r="J75" s="185">
        <v>0</v>
      </c>
      <c r="K75" s="185">
        <v>0</v>
      </c>
    </row>
    <row r="76" spans="1:11" s="186" customFormat="1" ht="12" customHeight="1" x14ac:dyDescent="0.2">
      <c r="A76" s="275" t="s">
        <v>73</v>
      </c>
      <c r="B76" s="275"/>
      <c r="C76" s="185">
        <v>1545</v>
      </c>
      <c r="D76" s="185">
        <v>1307</v>
      </c>
      <c r="E76" s="185">
        <v>238</v>
      </c>
      <c r="F76" s="185">
        <v>197</v>
      </c>
      <c r="G76" s="185">
        <v>40</v>
      </c>
      <c r="H76" s="185">
        <v>1</v>
      </c>
      <c r="I76" s="185">
        <v>0</v>
      </c>
      <c r="J76" s="185">
        <v>0</v>
      </c>
      <c r="K76" s="185">
        <v>0</v>
      </c>
    </row>
    <row r="77" spans="1:11" s="186" customFormat="1" ht="12" customHeight="1" x14ac:dyDescent="0.2">
      <c r="A77" s="275" t="s">
        <v>74</v>
      </c>
      <c r="B77" s="275"/>
      <c r="C77" s="185">
        <v>611</v>
      </c>
      <c r="D77" s="185">
        <v>542</v>
      </c>
      <c r="E77" s="185">
        <v>69</v>
      </c>
      <c r="F77" s="185">
        <v>52</v>
      </c>
      <c r="G77" s="185">
        <v>16</v>
      </c>
      <c r="H77" s="185">
        <v>1</v>
      </c>
      <c r="I77" s="185">
        <v>0</v>
      </c>
      <c r="J77" s="185">
        <v>0</v>
      </c>
      <c r="K77" s="185">
        <v>0</v>
      </c>
    </row>
    <row r="78" spans="1:11" s="186" customFormat="1" ht="12" customHeight="1" x14ac:dyDescent="0.2">
      <c r="A78" s="275" t="s">
        <v>75</v>
      </c>
      <c r="B78" s="275"/>
      <c r="C78" s="185">
        <v>2658</v>
      </c>
      <c r="D78" s="185">
        <v>2118</v>
      </c>
      <c r="E78" s="185">
        <v>540</v>
      </c>
      <c r="F78" s="185">
        <v>367</v>
      </c>
      <c r="G78" s="185">
        <v>169</v>
      </c>
      <c r="H78" s="185">
        <v>2</v>
      </c>
      <c r="I78" s="185">
        <v>2</v>
      </c>
      <c r="J78" s="185">
        <v>0</v>
      </c>
      <c r="K78" s="185">
        <v>0</v>
      </c>
    </row>
    <row r="79" spans="1:11" s="186" customFormat="1" ht="12" customHeight="1" x14ac:dyDescent="0.2">
      <c r="A79" s="275" t="s">
        <v>77</v>
      </c>
      <c r="B79" s="275"/>
      <c r="C79" s="185">
        <v>913</v>
      </c>
      <c r="D79" s="185">
        <v>537</v>
      </c>
      <c r="E79" s="185">
        <v>376</v>
      </c>
      <c r="F79" s="185">
        <v>223</v>
      </c>
      <c r="G79" s="185">
        <v>153</v>
      </c>
      <c r="H79" s="185">
        <v>0</v>
      </c>
      <c r="I79" s="185">
        <v>0</v>
      </c>
      <c r="J79" s="185">
        <v>0</v>
      </c>
      <c r="K79" s="185">
        <v>0</v>
      </c>
    </row>
    <row r="80" spans="1:11" s="186" customFormat="1" ht="12" customHeight="1" x14ac:dyDescent="0.2">
      <c r="A80" s="275" t="s">
        <v>79</v>
      </c>
      <c r="B80" s="275"/>
      <c r="C80" s="185">
        <v>459</v>
      </c>
      <c r="D80" s="185">
        <v>354</v>
      </c>
      <c r="E80" s="185">
        <v>105</v>
      </c>
      <c r="F80" s="185">
        <v>58</v>
      </c>
      <c r="G80" s="185">
        <v>47</v>
      </c>
      <c r="H80" s="185">
        <v>0</v>
      </c>
      <c r="I80" s="185">
        <v>0</v>
      </c>
      <c r="J80" s="185">
        <v>0</v>
      </c>
      <c r="K80" s="185">
        <v>0</v>
      </c>
    </row>
    <row r="81" spans="1:11" s="186" customFormat="1" ht="12" customHeight="1" x14ac:dyDescent="0.2">
      <c r="A81" s="275" t="s">
        <v>80</v>
      </c>
      <c r="B81" s="275"/>
      <c r="C81" s="185">
        <v>776</v>
      </c>
      <c r="D81" s="185">
        <v>639</v>
      </c>
      <c r="E81" s="185">
        <v>137</v>
      </c>
      <c r="F81" s="185">
        <v>98</v>
      </c>
      <c r="G81" s="185">
        <v>38</v>
      </c>
      <c r="H81" s="185">
        <v>0</v>
      </c>
      <c r="I81" s="185">
        <v>1</v>
      </c>
      <c r="J81" s="185">
        <v>0</v>
      </c>
      <c r="K81" s="185">
        <v>0</v>
      </c>
    </row>
    <row r="82" spans="1:11" s="186" customFormat="1" ht="12" customHeight="1" x14ac:dyDescent="0.2">
      <c r="A82" s="275" t="s">
        <v>81</v>
      </c>
      <c r="B82" s="275"/>
      <c r="C82" s="185">
        <v>1536</v>
      </c>
      <c r="D82" s="185">
        <v>1084</v>
      </c>
      <c r="E82" s="185">
        <v>452</v>
      </c>
      <c r="F82" s="185">
        <v>364</v>
      </c>
      <c r="G82" s="185">
        <v>86</v>
      </c>
      <c r="H82" s="185">
        <v>1</v>
      </c>
      <c r="I82" s="185">
        <v>1</v>
      </c>
      <c r="J82" s="185">
        <v>0</v>
      </c>
      <c r="K82" s="185">
        <v>0</v>
      </c>
    </row>
    <row r="83" spans="1:11" s="186" customFormat="1" ht="12" customHeight="1" x14ac:dyDescent="0.2">
      <c r="A83" s="275" t="s">
        <v>84</v>
      </c>
      <c r="B83" s="275"/>
      <c r="C83" s="185">
        <v>2316</v>
      </c>
      <c r="D83" s="185">
        <v>1689</v>
      </c>
      <c r="E83" s="185">
        <v>627</v>
      </c>
      <c r="F83" s="185">
        <v>415</v>
      </c>
      <c r="G83" s="185">
        <v>197</v>
      </c>
      <c r="H83" s="185">
        <v>2</v>
      </c>
      <c r="I83" s="185">
        <v>12</v>
      </c>
      <c r="J83" s="185">
        <v>1</v>
      </c>
      <c r="K83" s="185">
        <v>0</v>
      </c>
    </row>
    <row r="84" spans="1:11" s="186" customFormat="1" ht="12" customHeight="1" x14ac:dyDescent="0.2">
      <c r="A84" s="275" t="s">
        <v>85</v>
      </c>
      <c r="B84" s="275"/>
      <c r="C84" s="185">
        <v>6737</v>
      </c>
      <c r="D84" s="185">
        <v>5988</v>
      </c>
      <c r="E84" s="185">
        <v>749</v>
      </c>
      <c r="F84" s="185">
        <v>527</v>
      </c>
      <c r="G84" s="185">
        <v>217</v>
      </c>
      <c r="H84" s="185">
        <v>5</v>
      </c>
      <c r="I84" s="185">
        <v>0</v>
      </c>
      <c r="J84" s="185">
        <v>0</v>
      </c>
      <c r="K84" s="185">
        <v>0</v>
      </c>
    </row>
    <row r="85" spans="1:11" s="186" customFormat="1" ht="12" customHeight="1" x14ac:dyDescent="0.2">
      <c r="A85" s="275" t="s">
        <v>88</v>
      </c>
      <c r="B85" s="275"/>
      <c r="C85" s="185">
        <v>4304</v>
      </c>
      <c r="D85" s="185">
        <v>3014</v>
      </c>
      <c r="E85" s="185">
        <v>1290</v>
      </c>
      <c r="F85" s="185">
        <v>965</v>
      </c>
      <c r="G85" s="185">
        <v>295</v>
      </c>
      <c r="H85" s="185">
        <v>3</v>
      </c>
      <c r="I85" s="185">
        <v>27</v>
      </c>
      <c r="J85" s="185">
        <v>0</v>
      </c>
      <c r="K85" s="185">
        <v>0</v>
      </c>
    </row>
    <row r="86" spans="1:11" s="186" customFormat="1" ht="12" customHeight="1" x14ac:dyDescent="0.2">
      <c r="A86" s="275" t="s">
        <v>91</v>
      </c>
      <c r="B86" s="275"/>
      <c r="C86" s="185">
        <v>4615</v>
      </c>
      <c r="D86" s="185">
        <v>3107</v>
      </c>
      <c r="E86" s="185">
        <v>1508</v>
      </c>
      <c r="F86" s="185">
        <v>917</v>
      </c>
      <c r="G86" s="185">
        <v>576</v>
      </c>
      <c r="H86" s="185">
        <v>15</v>
      </c>
      <c r="I86" s="185">
        <v>0</v>
      </c>
      <c r="J86" s="185">
        <v>0</v>
      </c>
      <c r="K86" s="185">
        <v>0</v>
      </c>
    </row>
    <row r="87" spans="1:11" s="186" customFormat="1" ht="12" customHeight="1" x14ac:dyDescent="0.2">
      <c r="A87" s="275" t="s">
        <v>92</v>
      </c>
      <c r="B87" s="275"/>
      <c r="C87" s="185">
        <v>2047</v>
      </c>
      <c r="D87" s="185">
        <v>1808</v>
      </c>
      <c r="E87" s="185">
        <v>239</v>
      </c>
      <c r="F87" s="185">
        <v>169</v>
      </c>
      <c r="G87" s="185">
        <v>70</v>
      </c>
      <c r="H87" s="185">
        <v>0</v>
      </c>
      <c r="I87" s="185">
        <v>0</v>
      </c>
      <c r="J87" s="185">
        <v>0</v>
      </c>
      <c r="K87" s="185">
        <v>0</v>
      </c>
    </row>
    <row r="88" spans="1:11" s="186" customFormat="1" ht="12" customHeight="1" x14ac:dyDescent="0.2">
      <c r="A88" s="275" t="s">
        <v>93</v>
      </c>
      <c r="B88" s="275"/>
      <c r="C88" s="185">
        <v>858</v>
      </c>
      <c r="D88" s="185">
        <v>702</v>
      </c>
      <c r="E88" s="185">
        <v>156</v>
      </c>
      <c r="F88" s="185">
        <v>121</v>
      </c>
      <c r="G88" s="185">
        <v>31</v>
      </c>
      <c r="H88" s="185">
        <v>4</v>
      </c>
      <c r="I88" s="185">
        <v>0</v>
      </c>
      <c r="J88" s="185">
        <v>0</v>
      </c>
      <c r="K88" s="185">
        <v>0</v>
      </c>
    </row>
    <row r="89" spans="1:11" s="186" customFormat="1" ht="12" customHeight="1" x14ac:dyDescent="0.2">
      <c r="A89" s="275" t="s">
        <v>94</v>
      </c>
      <c r="B89" s="275"/>
      <c r="C89" s="185">
        <v>1422</v>
      </c>
      <c r="D89" s="185">
        <v>1187</v>
      </c>
      <c r="E89" s="185">
        <v>235</v>
      </c>
      <c r="F89" s="185">
        <v>174</v>
      </c>
      <c r="G89" s="185">
        <v>58</v>
      </c>
      <c r="H89" s="185">
        <v>1</v>
      </c>
      <c r="I89" s="185">
        <v>1</v>
      </c>
      <c r="J89" s="185">
        <v>1</v>
      </c>
      <c r="K89" s="185">
        <v>0</v>
      </c>
    </row>
    <row r="90" spans="1:11" s="186" customFormat="1" ht="12" customHeight="1" x14ac:dyDescent="0.2">
      <c r="A90" s="275" t="s">
        <v>95</v>
      </c>
      <c r="B90" s="275"/>
      <c r="C90" s="185">
        <v>565</v>
      </c>
      <c r="D90" s="185">
        <v>474</v>
      </c>
      <c r="E90" s="185">
        <v>91</v>
      </c>
      <c r="F90" s="185">
        <v>63</v>
      </c>
      <c r="G90" s="185">
        <v>28</v>
      </c>
      <c r="H90" s="185">
        <v>0</v>
      </c>
      <c r="I90" s="185">
        <v>0</v>
      </c>
      <c r="J90" s="185">
        <v>0</v>
      </c>
      <c r="K90" s="185">
        <v>0</v>
      </c>
    </row>
    <row r="91" spans="1:11" s="186" customFormat="1" ht="12" customHeight="1" x14ac:dyDescent="0.2">
      <c r="A91" s="275" t="s">
        <v>96</v>
      </c>
      <c r="B91" s="275"/>
      <c r="C91" s="185">
        <v>463</v>
      </c>
      <c r="D91" s="185">
        <v>329</v>
      </c>
      <c r="E91" s="185">
        <v>134</v>
      </c>
      <c r="F91" s="185">
        <v>108</v>
      </c>
      <c r="G91" s="185">
        <v>26</v>
      </c>
      <c r="H91" s="185">
        <v>0</v>
      </c>
      <c r="I91" s="185">
        <v>0</v>
      </c>
      <c r="J91" s="185">
        <v>0</v>
      </c>
      <c r="K91" s="185">
        <v>0</v>
      </c>
    </row>
    <row r="92" spans="1:11" s="186" customFormat="1" ht="12" customHeight="1" x14ac:dyDescent="0.2">
      <c r="A92" s="275" t="s">
        <v>97</v>
      </c>
      <c r="B92" s="275"/>
      <c r="C92" s="185">
        <v>1375</v>
      </c>
      <c r="D92" s="185">
        <v>1098</v>
      </c>
      <c r="E92" s="185">
        <v>277</v>
      </c>
      <c r="F92" s="185">
        <v>207</v>
      </c>
      <c r="G92" s="185">
        <v>70</v>
      </c>
      <c r="H92" s="185">
        <v>0</v>
      </c>
      <c r="I92" s="185">
        <v>0</v>
      </c>
      <c r="J92" s="185">
        <v>0</v>
      </c>
      <c r="K92" s="185">
        <v>0</v>
      </c>
    </row>
    <row r="93" spans="1:11" s="186" customFormat="1" ht="12" customHeight="1" x14ac:dyDescent="0.2">
      <c r="A93" s="275" t="s">
        <v>98</v>
      </c>
      <c r="B93" s="275"/>
      <c r="C93" s="185">
        <v>1727</v>
      </c>
      <c r="D93" s="185">
        <v>1101</v>
      </c>
      <c r="E93" s="185">
        <v>626</v>
      </c>
      <c r="F93" s="185">
        <v>495</v>
      </c>
      <c r="G93" s="185">
        <v>125</v>
      </c>
      <c r="H93" s="185">
        <v>0</v>
      </c>
      <c r="I93" s="185">
        <v>6</v>
      </c>
      <c r="J93" s="185">
        <v>0</v>
      </c>
      <c r="K93" s="185">
        <v>0</v>
      </c>
    </row>
    <row r="94" spans="1:11" s="186" customFormat="1" ht="12" customHeight="1" x14ac:dyDescent="0.2">
      <c r="A94" s="275" t="s">
        <v>99</v>
      </c>
      <c r="B94" s="275"/>
      <c r="C94" s="185">
        <v>62615</v>
      </c>
      <c r="D94" s="185">
        <v>38547</v>
      </c>
      <c r="E94" s="185">
        <v>24068</v>
      </c>
      <c r="F94" s="185">
        <v>15299</v>
      </c>
      <c r="G94" s="185">
        <v>8216</v>
      </c>
      <c r="H94" s="185">
        <v>146</v>
      </c>
      <c r="I94" s="185">
        <v>307</v>
      </c>
      <c r="J94" s="185">
        <v>78</v>
      </c>
      <c r="K94" s="185">
        <v>22</v>
      </c>
    </row>
    <row r="95" spans="1:11" s="186" customFormat="1" ht="12" customHeight="1" x14ac:dyDescent="0.2">
      <c r="A95" s="275" t="s">
        <v>100</v>
      </c>
      <c r="B95" s="275"/>
      <c r="C95" s="185">
        <v>1627</v>
      </c>
      <c r="D95" s="185">
        <v>1263</v>
      </c>
      <c r="E95" s="185">
        <v>364</v>
      </c>
      <c r="F95" s="185">
        <v>256</v>
      </c>
      <c r="G95" s="185">
        <v>108</v>
      </c>
      <c r="H95" s="185">
        <v>0</v>
      </c>
      <c r="I95" s="185">
        <v>0</v>
      </c>
      <c r="J95" s="185">
        <v>0</v>
      </c>
      <c r="K95" s="185">
        <v>0</v>
      </c>
    </row>
    <row r="96" spans="1:11" s="186" customFormat="1" ht="12" customHeight="1" x14ac:dyDescent="0.2">
      <c r="A96" s="275" t="s">
        <v>101</v>
      </c>
      <c r="B96" s="275"/>
      <c r="C96" s="185">
        <v>1305</v>
      </c>
      <c r="D96" s="185">
        <v>1045</v>
      </c>
      <c r="E96" s="185">
        <v>260</v>
      </c>
      <c r="F96" s="185">
        <v>187</v>
      </c>
      <c r="G96" s="185">
        <v>67</v>
      </c>
      <c r="H96" s="185">
        <v>0</v>
      </c>
      <c r="I96" s="185">
        <v>6</v>
      </c>
      <c r="J96" s="185">
        <v>0</v>
      </c>
      <c r="K96" s="185">
        <v>0</v>
      </c>
    </row>
    <row r="97" spans="1:11" s="186" customFormat="1" ht="12" customHeight="1" x14ac:dyDescent="0.2">
      <c r="A97" s="275" t="s">
        <v>102</v>
      </c>
      <c r="B97" s="275"/>
      <c r="C97" s="185">
        <v>700</v>
      </c>
      <c r="D97" s="185">
        <v>452</v>
      </c>
      <c r="E97" s="185">
        <v>248</v>
      </c>
      <c r="F97" s="185">
        <v>138</v>
      </c>
      <c r="G97" s="185">
        <v>107</v>
      </c>
      <c r="H97" s="185">
        <v>2</v>
      </c>
      <c r="I97" s="185">
        <v>1</v>
      </c>
      <c r="J97" s="185">
        <v>0</v>
      </c>
      <c r="K97" s="185">
        <v>0</v>
      </c>
    </row>
    <row r="98" spans="1:11" s="186" customFormat="1" ht="12" customHeight="1" x14ac:dyDescent="0.2">
      <c r="A98" s="275" t="s">
        <v>103</v>
      </c>
      <c r="B98" s="275"/>
      <c r="C98" s="185">
        <v>6153</v>
      </c>
      <c r="D98" s="185">
        <v>3566</v>
      </c>
      <c r="E98" s="185">
        <v>2587</v>
      </c>
      <c r="F98" s="185">
        <v>1684</v>
      </c>
      <c r="G98" s="185">
        <v>814</v>
      </c>
      <c r="H98" s="185">
        <v>12</v>
      </c>
      <c r="I98" s="185">
        <v>75</v>
      </c>
      <c r="J98" s="185">
        <v>2</v>
      </c>
      <c r="K98" s="185">
        <v>0</v>
      </c>
    </row>
    <row r="99" spans="1:11" s="186" customFormat="1" ht="12" customHeight="1" x14ac:dyDescent="0.2">
      <c r="A99" s="275" t="s">
        <v>104</v>
      </c>
      <c r="B99" s="275"/>
      <c r="C99" s="185">
        <v>1437</v>
      </c>
      <c r="D99" s="185">
        <v>1038</v>
      </c>
      <c r="E99" s="185">
        <v>399</v>
      </c>
      <c r="F99" s="185">
        <v>290</v>
      </c>
      <c r="G99" s="185">
        <v>107</v>
      </c>
      <c r="H99" s="185">
        <v>2</v>
      </c>
      <c r="I99" s="185">
        <v>0</v>
      </c>
      <c r="J99" s="185">
        <v>0</v>
      </c>
      <c r="K99" s="185">
        <v>0</v>
      </c>
    </row>
    <row r="100" spans="1:11" s="186" customFormat="1" ht="12" customHeight="1" x14ac:dyDescent="0.2">
      <c r="A100" s="275" t="s">
        <v>105</v>
      </c>
      <c r="B100" s="275"/>
      <c r="C100" s="185">
        <v>1806</v>
      </c>
      <c r="D100" s="185">
        <v>1144</v>
      </c>
      <c r="E100" s="185">
        <v>662</v>
      </c>
      <c r="F100" s="185">
        <v>433</v>
      </c>
      <c r="G100" s="185">
        <v>226</v>
      </c>
      <c r="H100" s="185">
        <v>2</v>
      </c>
      <c r="I100" s="185">
        <v>1</v>
      </c>
      <c r="J100" s="185">
        <v>0</v>
      </c>
      <c r="K100" s="185">
        <v>0</v>
      </c>
    </row>
    <row r="101" spans="1:11" s="186" customFormat="1" ht="12" customHeight="1" x14ac:dyDescent="0.2">
      <c r="A101" s="275" t="s">
        <v>106</v>
      </c>
      <c r="B101" s="275"/>
      <c r="C101" s="185">
        <v>1377</v>
      </c>
      <c r="D101" s="185">
        <v>1187</v>
      </c>
      <c r="E101" s="185">
        <v>190</v>
      </c>
      <c r="F101" s="185">
        <v>152</v>
      </c>
      <c r="G101" s="185">
        <v>36</v>
      </c>
      <c r="H101" s="185">
        <v>1</v>
      </c>
      <c r="I101" s="185">
        <v>1</v>
      </c>
      <c r="J101" s="185">
        <v>0</v>
      </c>
      <c r="K101" s="185">
        <v>0</v>
      </c>
    </row>
    <row r="102" spans="1:11" s="186" customFormat="1" ht="12" customHeight="1" x14ac:dyDescent="0.2">
      <c r="A102" s="275" t="s">
        <v>107</v>
      </c>
      <c r="B102" s="275"/>
      <c r="C102" s="185">
        <v>317</v>
      </c>
      <c r="D102" s="185">
        <v>270</v>
      </c>
      <c r="E102" s="185">
        <v>47</v>
      </c>
      <c r="F102" s="185">
        <v>39</v>
      </c>
      <c r="G102" s="185">
        <v>8</v>
      </c>
      <c r="H102" s="185">
        <v>0</v>
      </c>
      <c r="I102" s="185">
        <v>0</v>
      </c>
      <c r="J102" s="185">
        <v>0</v>
      </c>
      <c r="K102" s="185">
        <v>0</v>
      </c>
    </row>
    <row r="103" spans="1:11" s="186" customFormat="1" ht="12" customHeight="1" x14ac:dyDescent="0.2">
      <c r="A103" s="275" t="s">
        <v>336</v>
      </c>
      <c r="B103" s="275"/>
      <c r="C103" s="185">
        <v>4508</v>
      </c>
      <c r="D103" s="185">
        <v>3658</v>
      </c>
      <c r="E103" s="185">
        <v>850</v>
      </c>
      <c r="F103" s="185">
        <v>619</v>
      </c>
      <c r="G103" s="185">
        <v>218</v>
      </c>
      <c r="H103" s="185">
        <v>11</v>
      </c>
      <c r="I103" s="185">
        <v>2</v>
      </c>
      <c r="J103" s="185">
        <v>0</v>
      </c>
      <c r="K103" s="185">
        <v>0</v>
      </c>
    </row>
    <row r="104" spans="1:11" s="186" customFormat="1" ht="12" customHeight="1" x14ac:dyDescent="0.2">
      <c r="A104" s="275" t="s">
        <v>108</v>
      </c>
      <c r="B104" s="275"/>
      <c r="C104" s="185">
        <v>849</v>
      </c>
      <c r="D104" s="185">
        <v>631</v>
      </c>
      <c r="E104" s="185">
        <v>218</v>
      </c>
      <c r="F104" s="185">
        <v>167</v>
      </c>
      <c r="G104" s="185">
        <v>51</v>
      </c>
      <c r="H104" s="185">
        <v>0</v>
      </c>
      <c r="I104" s="185">
        <v>0</v>
      </c>
      <c r="J104" s="185">
        <v>0</v>
      </c>
      <c r="K104" s="185">
        <v>0</v>
      </c>
    </row>
    <row r="105" spans="1:11" s="186" customFormat="1" ht="12" customHeight="1" x14ac:dyDescent="0.2">
      <c r="A105" s="275" t="s">
        <v>109</v>
      </c>
      <c r="B105" s="275"/>
      <c r="C105" s="185">
        <v>715</v>
      </c>
      <c r="D105" s="185">
        <v>434</v>
      </c>
      <c r="E105" s="185">
        <v>281</v>
      </c>
      <c r="F105" s="185">
        <v>169</v>
      </c>
      <c r="G105" s="185">
        <v>112</v>
      </c>
      <c r="H105" s="185">
        <v>0</v>
      </c>
      <c r="I105" s="185">
        <v>0</v>
      </c>
      <c r="J105" s="185">
        <v>0</v>
      </c>
      <c r="K105" s="185">
        <v>0</v>
      </c>
    </row>
    <row r="106" spans="1:11" s="186" customFormat="1" ht="12" customHeight="1" x14ac:dyDescent="0.2">
      <c r="A106" s="275" t="s">
        <v>110</v>
      </c>
      <c r="B106" s="275"/>
      <c r="C106" s="185">
        <v>810</v>
      </c>
      <c r="D106" s="185">
        <v>621</v>
      </c>
      <c r="E106" s="185">
        <v>189</v>
      </c>
      <c r="F106" s="185">
        <v>133</v>
      </c>
      <c r="G106" s="185">
        <v>53</v>
      </c>
      <c r="H106" s="185">
        <v>2</v>
      </c>
      <c r="I106" s="185">
        <v>1</v>
      </c>
      <c r="J106" s="185">
        <v>0</v>
      </c>
      <c r="K106" s="185">
        <v>0</v>
      </c>
    </row>
    <row r="107" spans="1:11" s="186" customFormat="1" ht="12" customHeight="1" x14ac:dyDescent="0.2">
      <c r="A107" s="275" t="s">
        <v>111</v>
      </c>
      <c r="B107" s="275"/>
      <c r="C107" s="185">
        <v>324</v>
      </c>
      <c r="D107" s="185">
        <v>282</v>
      </c>
      <c r="E107" s="185">
        <v>42</v>
      </c>
      <c r="F107" s="185">
        <v>31</v>
      </c>
      <c r="G107" s="185">
        <v>11</v>
      </c>
      <c r="H107" s="185">
        <v>0</v>
      </c>
      <c r="I107" s="185">
        <v>0</v>
      </c>
      <c r="J107" s="185">
        <v>0</v>
      </c>
      <c r="K107" s="185">
        <v>0</v>
      </c>
    </row>
    <row r="108" spans="1:11" s="186" customFormat="1" ht="12" customHeight="1" x14ac:dyDescent="0.2">
      <c r="A108" s="275" t="s">
        <v>112</v>
      </c>
      <c r="B108" s="275"/>
      <c r="C108" s="185">
        <v>832</v>
      </c>
      <c r="D108" s="185">
        <v>746</v>
      </c>
      <c r="E108" s="185">
        <v>86</v>
      </c>
      <c r="F108" s="185">
        <v>57</v>
      </c>
      <c r="G108" s="185">
        <v>28</v>
      </c>
      <c r="H108" s="185">
        <v>0</v>
      </c>
      <c r="I108" s="185">
        <v>1</v>
      </c>
      <c r="J108" s="185">
        <v>0</v>
      </c>
      <c r="K108" s="185">
        <v>0</v>
      </c>
    </row>
    <row r="109" spans="1:11" s="186" customFormat="1" ht="12" customHeight="1" x14ac:dyDescent="0.2">
      <c r="A109" s="275" t="s">
        <v>113</v>
      </c>
      <c r="B109" s="275"/>
      <c r="C109" s="185">
        <v>1482</v>
      </c>
      <c r="D109" s="185">
        <v>1223</v>
      </c>
      <c r="E109" s="185">
        <v>259</v>
      </c>
      <c r="F109" s="185">
        <v>193</v>
      </c>
      <c r="G109" s="185">
        <v>66</v>
      </c>
      <c r="H109" s="185">
        <v>0</v>
      </c>
      <c r="I109" s="185">
        <v>0</v>
      </c>
      <c r="J109" s="185">
        <v>0</v>
      </c>
      <c r="K109" s="185">
        <v>0</v>
      </c>
    </row>
    <row r="110" spans="1:11" s="186" customFormat="1" ht="12" customHeight="1" x14ac:dyDescent="0.2">
      <c r="A110" s="275" t="s">
        <v>114</v>
      </c>
      <c r="B110" s="275"/>
      <c r="C110" s="185">
        <v>4303</v>
      </c>
      <c r="D110" s="185">
        <v>1817</v>
      </c>
      <c r="E110" s="185">
        <v>2486</v>
      </c>
      <c r="F110" s="185">
        <v>1402</v>
      </c>
      <c r="G110" s="185">
        <v>956</v>
      </c>
      <c r="H110" s="185">
        <v>19</v>
      </c>
      <c r="I110" s="185">
        <v>81</v>
      </c>
      <c r="J110" s="185">
        <v>26</v>
      </c>
      <c r="K110" s="185">
        <v>2</v>
      </c>
    </row>
    <row r="111" spans="1:11" s="186" customFormat="1" ht="12" customHeight="1" x14ac:dyDescent="0.2">
      <c r="A111" s="275" t="s">
        <v>115</v>
      </c>
      <c r="B111" s="275"/>
      <c r="C111" s="185">
        <v>1907</v>
      </c>
      <c r="D111" s="185">
        <v>1622</v>
      </c>
      <c r="E111" s="185">
        <v>285</v>
      </c>
      <c r="F111" s="185">
        <v>207</v>
      </c>
      <c r="G111" s="185">
        <v>77</v>
      </c>
      <c r="H111" s="185">
        <v>1</v>
      </c>
      <c r="I111" s="185">
        <v>0</v>
      </c>
      <c r="J111" s="185">
        <v>0</v>
      </c>
      <c r="K111" s="185">
        <v>0</v>
      </c>
    </row>
    <row r="112" spans="1:11" s="186" customFormat="1" ht="12" customHeight="1" x14ac:dyDescent="0.2">
      <c r="A112" s="275" t="s">
        <v>116</v>
      </c>
      <c r="B112" s="275"/>
      <c r="C112" s="185">
        <v>773</v>
      </c>
      <c r="D112" s="185">
        <v>514</v>
      </c>
      <c r="E112" s="185">
        <v>259</v>
      </c>
      <c r="F112" s="185">
        <v>145</v>
      </c>
      <c r="G112" s="185">
        <v>110</v>
      </c>
      <c r="H112" s="185">
        <v>2</v>
      </c>
      <c r="I112" s="185">
        <v>2</v>
      </c>
      <c r="J112" s="185">
        <v>0</v>
      </c>
      <c r="K112" s="185">
        <v>0</v>
      </c>
    </row>
    <row r="113" spans="1:11" s="186" customFormat="1" ht="12" customHeight="1" x14ac:dyDescent="0.2">
      <c r="A113" s="275" t="s">
        <v>117</v>
      </c>
      <c r="B113" s="275"/>
      <c r="C113" s="185">
        <v>1526</v>
      </c>
      <c r="D113" s="185">
        <v>1180</v>
      </c>
      <c r="E113" s="185">
        <v>346</v>
      </c>
      <c r="F113" s="185">
        <v>240</v>
      </c>
      <c r="G113" s="185">
        <v>105</v>
      </c>
      <c r="H113" s="185">
        <v>0</v>
      </c>
      <c r="I113" s="185">
        <v>1</v>
      </c>
      <c r="J113" s="185">
        <v>0</v>
      </c>
      <c r="K113" s="185">
        <v>0</v>
      </c>
    </row>
    <row r="114" spans="1:11" s="186" customFormat="1" ht="12" customHeight="1" x14ac:dyDescent="0.2">
      <c r="A114" s="275" t="s">
        <v>118</v>
      </c>
      <c r="B114" s="275"/>
      <c r="C114" s="185">
        <v>1348</v>
      </c>
      <c r="D114" s="185">
        <v>1084</v>
      </c>
      <c r="E114" s="185">
        <v>264</v>
      </c>
      <c r="F114" s="185">
        <v>183</v>
      </c>
      <c r="G114" s="185">
        <v>80</v>
      </c>
      <c r="H114" s="185">
        <v>1</v>
      </c>
      <c r="I114" s="185">
        <v>0</v>
      </c>
      <c r="J114" s="185">
        <v>0</v>
      </c>
      <c r="K114" s="185">
        <v>0</v>
      </c>
    </row>
    <row r="115" spans="1:11" s="186" customFormat="1" ht="12" customHeight="1" x14ac:dyDescent="0.2">
      <c r="A115" s="275" t="s">
        <v>120</v>
      </c>
      <c r="B115" s="275"/>
      <c r="C115" s="185">
        <v>817</v>
      </c>
      <c r="D115" s="185">
        <v>650</v>
      </c>
      <c r="E115" s="185">
        <v>167</v>
      </c>
      <c r="F115" s="185">
        <v>117</v>
      </c>
      <c r="G115" s="185">
        <v>46</v>
      </c>
      <c r="H115" s="185">
        <v>4</v>
      </c>
      <c r="I115" s="185">
        <v>0</v>
      </c>
      <c r="J115" s="185">
        <v>0</v>
      </c>
      <c r="K115" s="185">
        <v>0</v>
      </c>
    </row>
    <row r="116" spans="1:11" s="186" customFormat="1" ht="12" customHeight="1" x14ac:dyDescent="0.2">
      <c r="A116" s="275" t="s">
        <v>121</v>
      </c>
      <c r="B116" s="275"/>
      <c r="C116" s="185">
        <v>2199</v>
      </c>
      <c r="D116" s="185">
        <v>1474</v>
      </c>
      <c r="E116" s="185">
        <v>725</v>
      </c>
      <c r="F116" s="185">
        <v>495</v>
      </c>
      <c r="G116" s="185">
        <v>216</v>
      </c>
      <c r="H116" s="185">
        <v>7</v>
      </c>
      <c r="I116" s="185">
        <v>7</v>
      </c>
      <c r="J116" s="185">
        <v>0</v>
      </c>
      <c r="K116" s="185">
        <v>0</v>
      </c>
    </row>
    <row r="117" spans="1:11" s="186" customFormat="1" ht="12" customHeight="1" x14ac:dyDescent="0.2">
      <c r="A117" s="275" t="s">
        <v>122</v>
      </c>
      <c r="B117" s="275"/>
      <c r="C117" s="185">
        <v>685</v>
      </c>
      <c r="D117" s="185">
        <v>545</v>
      </c>
      <c r="E117" s="185">
        <v>140</v>
      </c>
      <c r="F117" s="185">
        <v>103</v>
      </c>
      <c r="G117" s="185">
        <v>37</v>
      </c>
      <c r="H117" s="185">
        <v>0</v>
      </c>
      <c r="I117" s="185">
        <v>0</v>
      </c>
      <c r="J117" s="185">
        <v>0</v>
      </c>
      <c r="K117" s="185">
        <v>0</v>
      </c>
    </row>
    <row r="118" spans="1:11" s="186" customFormat="1" ht="12" customHeight="1" x14ac:dyDescent="0.2">
      <c r="A118" s="275" t="s">
        <v>125</v>
      </c>
      <c r="B118" s="275"/>
      <c r="C118" s="185">
        <v>1835</v>
      </c>
      <c r="D118" s="185">
        <v>1210</v>
      </c>
      <c r="E118" s="185">
        <v>625</v>
      </c>
      <c r="F118" s="185">
        <v>308</v>
      </c>
      <c r="G118" s="185">
        <v>312</v>
      </c>
      <c r="H118" s="185">
        <v>5</v>
      </c>
      <c r="I118" s="185">
        <v>0</v>
      </c>
      <c r="J118" s="185">
        <v>0</v>
      </c>
      <c r="K118" s="185">
        <v>0</v>
      </c>
    </row>
    <row r="119" spans="1:11" s="186" customFormat="1" ht="12" customHeight="1" x14ac:dyDescent="0.2">
      <c r="A119" s="275" t="s">
        <v>126</v>
      </c>
      <c r="B119" s="275"/>
      <c r="C119" s="185">
        <v>3104</v>
      </c>
      <c r="D119" s="185">
        <v>2255</v>
      </c>
      <c r="E119" s="185">
        <v>849</v>
      </c>
      <c r="F119" s="185">
        <v>651</v>
      </c>
      <c r="G119" s="185">
        <v>177</v>
      </c>
      <c r="H119" s="185">
        <v>1</v>
      </c>
      <c r="I119" s="185">
        <v>16</v>
      </c>
      <c r="J119" s="185">
        <v>4</v>
      </c>
      <c r="K119" s="185">
        <v>0</v>
      </c>
    </row>
    <row r="120" spans="1:11" s="186" customFormat="1" ht="12" customHeight="1" x14ac:dyDescent="0.2">
      <c r="A120" s="275" t="s">
        <v>128</v>
      </c>
      <c r="B120" s="275"/>
      <c r="C120" s="185">
        <v>583</v>
      </c>
      <c r="D120" s="185">
        <v>477</v>
      </c>
      <c r="E120" s="185">
        <v>106</v>
      </c>
      <c r="F120" s="185">
        <v>91</v>
      </c>
      <c r="G120" s="185">
        <v>15</v>
      </c>
      <c r="H120" s="185">
        <v>0</v>
      </c>
      <c r="I120" s="185">
        <v>0</v>
      </c>
      <c r="J120" s="185">
        <v>0</v>
      </c>
      <c r="K120" s="185">
        <v>0</v>
      </c>
    </row>
    <row r="121" spans="1:11" s="186" customFormat="1" ht="12" customHeight="1" x14ac:dyDescent="0.2">
      <c r="A121" s="275" t="s">
        <v>129</v>
      </c>
      <c r="B121" s="275"/>
      <c r="C121" s="185">
        <v>1877</v>
      </c>
      <c r="D121" s="185">
        <v>1427</v>
      </c>
      <c r="E121" s="185">
        <v>450</v>
      </c>
      <c r="F121" s="185">
        <v>367</v>
      </c>
      <c r="G121" s="185">
        <v>80</v>
      </c>
      <c r="H121" s="185">
        <v>0</v>
      </c>
      <c r="I121" s="185">
        <v>3</v>
      </c>
      <c r="J121" s="185">
        <v>0</v>
      </c>
      <c r="K121" s="185">
        <v>0</v>
      </c>
    </row>
    <row r="122" spans="1:11" s="186" customFormat="1" ht="12" customHeight="1" x14ac:dyDescent="0.2">
      <c r="A122" s="282" t="s">
        <v>130</v>
      </c>
      <c r="B122" s="282"/>
      <c r="C122" s="196">
        <v>431</v>
      </c>
      <c r="D122" s="196">
        <v>245</v>
      </c>
      <c r="E122" s="196">
        <v>186</v>
      </c>
      <c r="F122" s="196">
        <v>97</v>
      </c>
      <c r="G122" s="196">
        <v>89</v>
      </c>
      <c r="H122" s="196">
        <v>0</v>
      </c>
      <c r="I122" s="196">
        <v>0</v>
      </c>
      <c r="J122" s="196">
        <v>0</v>
      </c>
      <c r="K122" s="196">
        <v>0</v>
      </c>
    </row>
    <row r="123" spans="1:11" s="186" customFormat="1" ht="12" customHeight="1" x14ac:dyDescent="0.2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1:11" s="186" customFormat="1" ht="12" customHeight="1" x14ac:dyDescent="0.2">
      <c r="A124" s="276" t="s">
        <v>131</v>
      </c>
      <c r="B124" s="276"/>
      <c r="C124" s="183">
        <v>63827</v>
      </c>
      <c r="D124" s="183">
        <v>48102</v>
      </c>
      <c r="E124" s="183">
        <v>15725</v>
      </c>
      <c r="F124" s="183">
        <v>11221</v>
      </c>
      <c r="G124" s="183">
        <v>4175</v>
      </c>
      <c r="H124" s="183">
        <v>103</v>
      </c>
      <c r="I124" s="183">
        <v>201</v>
      </c>
      <c r="J124" s="183">
        <v>25</v>
      </c>
      <c r="K124" s="183">
        <v>0</v>
      </c>
    </row>
    <row r="125" spans="1:11" s="186" customFormat="1" ht="12" customHeight="1" x14ac:dyDescent="0.2">
      <c r="A125" s="275" t="s">
        <v>132</v>
      </c>
      <c r="B125" s="275"/>
      <c r="C125" s="185">
        <v>5497</v>
      </c>
      <c r="D125" s="185">
        <v>3967</v>
      </c>
      <c r="E125" s="185">
        <v>1530</v>
      </c>
      <c r="F125" s="185">
        <v>1093</v>
      </c>
      <c r="G125" s="185">
        <v>409</v>
      </c>
      <c r="H125" s="185">
        <v>26</v>
      </c>
      <c r="I125" s="185">
        <v>2</v>
      </c>
      <c r="J125" s="185">
        <v>0</v>
      </c>
      <c r="K125" s="185">
        <v>0</v>
      </c>
    </row>
    <row r="126" spans="1:11" s="186" customFormat="1" ht="12" customHeight="1" x14ac:dyDescent="0.2">
      <c r="A126" s="275" t="s">
        <v>133</v>
      </c>
      <c r="B126" s="275"/>
      <c r="C126" s="185">
        <v>172</v>
      </c>
      <c r="D126" s="185">
        <v>165</v>
      </c>
      <c r="E126" s="185">
        <v>7</v>
      </c>
      <c r="F126" s="185">
        <v>4</v>
      </c>
      <c r="G126" s="185">
        <v>3</v>
      </c>
      <c r="H126" s="185">
        <v>0</v>
      </c>
      <c r="I126" s="185">
        <v>0</v>
      </c>
      <c r="J126" s="185">
        <v>0</v>
      </c>
      <c r="K126" s="185">
        <v>0</v>
      </c>
    </row>
    <row r="127" spans="1:11" s="186" customFormat="1" ht="12" customHeight="1" x14ac:dyDescent="0.2">
      <c r="A127" s="275" t="s">
        <v>134</v>
      </c>
      <c r="B127" s="275"/>
      <c r="C127" s="185">
        <v>480</v>
      </c>
      <c r="D127" s="185">
        <v>375</v>
      </c>
      <c r="E127" s="185">
        <v>105</v>
      </c>
      <c r="F127" s="185">
        <v>79</v>
      </c>
      <c r="G127" s="185">
        <v>26</v>
      </c>
      <c r="H127" s="185">
        <v>0</v>
      </c>
      <c r="I127" s="185">
        <v>0</v>
      </c>
      <c r="J127" s="185">
        <v>0</v>
      </c>
      <c r="K127" s="185">
        <v>0</v>
      </c>
    </row>
    <row r="128" spans="1:11" s="186" customFormat="1" ht="12" customHeight="1" x14ac:dyDescent="0.2">
      <c r="A128" s="275" t="s">
        <v>135</v>
      </c>
      <c r="B128" s="275"/>
      <c r="C128" s="185">
        <v>1695</v>
      </c>
      <c r="D128" s="185">
        <v>1326</v>
      </c>
      <c r="E128" s="185">
        <v>369</v>
      </c>
      <c r="F128" s="185">
        <v>235</v>
      </c>
      <c r="G128" s="185">
        <v>128</v>
      </c>
      <c r="H128" s="185">
        <v>4</v>
      </c>
      <c r="I128" s="185">
        <v>0</v>
      </c>
      <c r="J128" s="185">
        <v>2</v>
      </c>
      <c r="K128" s="185">
        <v>0</v>
      </c>
    </row>
    <row r="129" spans="1:11" s="186" customFormat="1" ht="12" customHeight="1" x14ac:dyDescent="0.2">
      <c r="A129" s="275" t="s">
        <v>138</v>
      </c>
      <c r="B129" s="275"/>
      <c r="C129" s="185">
        <v>1134</v>
      </c>
      <c r="D129" s="185">
        <v>1023</v>
      </c>
      <c r="E129" s="185">
        <v>111</v>
      </c>
      <c r="F129" s="185">
        <v>88</v>
      </c>
      <c r="G129" s="185">
        <v>23</v>
      </c>
      <c r="H129" s="185">
        <v>0</v>
      </c>
      <c r="I129" s="185">
        <v>0</v>
      </c>
      <c r="J129" s="185">
        <v>0</v>
      </c>
      <c r="K129" s="185">
        <v>0</v>
      </c>
    </row>
    <row r="130" spans="1:11" s="186" customFormat="1" ht="12" customHeight="1" x14ac:dyDescent="0.2">
      <c r="A130" s="275" t="s">
        <v>140</v>
      </c>
      <c r="B130" s="275"/>
      <c r="C130" s="185">
        <v>9</v>
      </c>
      <c r="D130" s="185">
        <v>9</v>
      </c>
      <c r="E130" s="185">
        <v>0</v>
      </c>
      <c r="F130" s="185">
        <v>0</v>
      </c>
      <c r="G130" s="185">
        <v>0</v>
      </c>
      <c r="H130" s="185">
        <v>0</v>
      </c>
      <c r="I130" s="185">
        <v>0</v>
      </c>
      <c r="J130" s="185">
        <v>0</v>
      </c>
      <c r="K130" s="185">
        <v>0</v>
      </c>
    </row>
    <row r="131" spans="1:11" s="186" customFormat="1" ht="12" customHeight="1" x14ac:dyDescent="0.2">
      <c r="A131" s="275" t="s">
        <v>141</v>
      </c>
      <c r="B131" s="275"/>
      <c r="C131" s="185">
        <v>2845</v>
      </c>
      <c r="D131" s="185">
        <v>2455</v>
      </c>
      <c r="E131" s="185">
        <v>390</v>
      </c>
      <c r="F131" s="185">
        <v>297</v>
      </c>
      <c r="G131" s="185">
        <v>91</v>
      </c>
      <c r="H131" s="185">
        <v>1</v>
      </c>
      <c r="I131" s="185">
        <v>1</v>
      </c>
      <c r="J131" s="185">
        <v>0</v>
      </c>
      <c r="K131" s="185">
        <v>0</v>
      </c>
    </row>
    <row r="132" spans="1:11" s="186" customFormat="1" ht="12" customHeight="1" x14ac:dyDescent="0.2">
      <c r="A132" s="275" t="s">
        <v>142</v>
      </c>
      <c r="B132" s="275"/>
      <c r="C132" s="185">
        <v>107</v>
      </c>
      <c r="D132" s="185">
        <v>103</v>
      </c>
      <c r="E132" s="185">
        <v>4</v>
      </c>
      <c r="F132" s="185">
        <v>1</v>
      </c>
      <c r="G132" s="185">
        <v>3</v>
      </c>
      <c r="H132" s="185">
        <v>0</v>
      </c>
      <c r="I132" s="185">
        <v>0</v>
      </c>
      <c r="J132" s="185">
        <v>0</v>
      </c>
      <c r="K132" s="185">
        <v>0</v>
      </c>
    </row>
    <row r="133" spans="1:11" s="186" customFormat="1" ht="12" customHeight="1" x14ac:dyDescent="0.2">
      <c r="A133" s="275" t="s">
        <v>337</v>
      </c>
      <c r="B133" s="275"/>
      <c r="C133" s="185">
        <v>5136</v>
      </c>
      <c r="D133" s="185">
        <v>4030</v>
      </c>
      <c r="E133" s="185">
        <v>1106</v>
      </c>
      <c r="F133" s="185">
        <v>762</v>
      </c>
      <c r="G133" s="185">
        <v>332</v>
      </c>
      <c r="H133" s="185">
        <v>7</v>
      </c>
      <c r="I133" s="185">
        <v>5</v>
      </c>
      <c r="J133" s="185">
        <v>0</v>
      </c>
      <c r="K133" s="185">
        <v>0</v>
      </c>
    </row>
    <row r="134" spans="1:11" s="186" customFormat="1" ht="12" customHeight="1" x14ac:dyDescent="0.2">
      <c r="A134" s="275" t="s">
        <v>144</v>
      </c>
      <c r="B134" s="275"/>
      <c r="C134" s="185">
        <v>4666</v>
      </c>
      <c r="D134" s="185">
        <v>3784</v>
      </c>
      <c r="E134" s="185">
        <v>882</v>
      </c>
      <c r="F134" s="185">
        <v>690</v>
      </c>
      <c r="G134" s="185">
        <v>188</v>
      </c>
      <c r="H134" s="185">
        <v>4</v>
      </c>
      <c r="I134" s="185">
        <v>0</v>
      </c>
      <c r="J134" s="185">
        <v>0</v>
      </c>
      <c r="K134" s="185">
        <v>0</v>
      </c>
    </row>
    <row r="135" spans="1:11" s="186" customFormat="1" ht="12" customHeight="1" x14ac:dyDescent="0.2">
      <c r="A135" s="275" t="s">
        <v>148</v>
      </c>
      <c r="B135" s="275"/>
      <c r="C135" s="185">
        <v>1299</v>
      </c>
      <c r="D135" s="185">
        <v>1014</v>
      </c>
      <c r="E135" s="185">
        <v>285</v>
      </c>
      <c r="F135" s="185">
        <v>165</v>
      </c>
      <c r="G135" s="185">
        <v>81</v>
      </c>
      <c r="H135" s="185">
        <v>0</v>
      </c>
      <c r="I135" s="185">
        <v>39</v>
      </c>
      <c r="J135" s="185">
        <v>0</v>
      </c>
      <c r="K135" s="185">
        <v>0</v>
      </c>
    </row>
    <row r="136" spans="1:11" s="186" customFormat="1" ht="12" customHeight="1" x14ac:dyDescent="0.2">
      <c r="A136" s="275" t="s">
        <v>149</v>
      </c>
      <c r="B136" s="275"/>
      <c r="C136" s="185">
        <v>15776</v>
      </c>
      <c r="D136" s="185">
        <v>10373</v>
      </c>
      <c r="E136" s="185">
        <v>5403</v>
      </c>
      <c r="F136" s="185">
        <v>3858</v>
      </c>
      <c r="G136" s="185">
        <v>1435</v>
      </c>
      <c r="H136" s="185">
        <v>24</v>
      </c>
      <c r="I136" s="185">
        <v>80</v>
      </c>
      <c r="J136" s="185">
        <v>6</v>
      </c>
      <c r="K136" s="185">
        <v>0</v>
      </c>
    </row>
    <row r="137" spans="1:11" s="186" customFormat="1" ht="12" customHeight="1" x14ac:dyDescent="0.2">
      <c r="A137" s="275" t="s">
        <v>150</v>
      </c>
      <c r="B137" s="275"/>
      <c r="C137" s="185">
        <v>6695</v>
      </c>
      <c r="D137" s="185">
        <v>5180</v>
      </c>
      <c r="E137" s="185">
        <v>1515</v>
      </c>
      <c r="F137" s="185">
        <v>1128</v>
      </c>
      <c r="G137" s="185">
        <v>361</v>
      </c>
      <c r="H137" s="185">
        <v>16</v>
      </c>
      <c r="I137" s="185">
        <v>9</v>
      </c>
      <c r="J137" s="185">
        <v>1</v>
      </c>
      <c r="K137" s="185">
        <v>0</v>
      </c>
    </row>
    <row r="138" spans="1:11" s="186" customFormat="1" ht="12" customHeight="1" x14ac:dyDescent="0.2">
      <c r="A138" s="275" t="s">
        <v>152</v>
      </c>
      <c r="B138" s="275"/>
      <c r="C138" s="185">
        <v>209</v>
      </c>
      <c r="D138" s="185">
        <v>190</v>
      </c>
      <c r="E138" s="185">
        <v>19</v>
      </c>
      <c r="F138" s="185">
        <v>15</v>
      </c>
      <c r="G138" s="185">
        <v>4</v>
      </c>
      <c r="H138" s="185">
        <v>0</v>
      </c>
      <c r="I138" s="185">
        <v>0</v>
      </c>
      <c r="J138" s="185">
        <v>0</v>
      </c>
      <c r="K138" s="185">
        <v>0</v>
      </c>
    </row>
    <row r="139" spans="1:11" s="186" customFormat="1" ht="12" customHeight="1" x14ac:dyDescent="0.2">
      <c r="A139" s="275" t="s">
        <v>153</v>
      </c>
      <c r="B139" s="275"/>
      <c r="C139" s="185">
        <v>7281</v>
      </c>
      <c r="D139" s="185">
        <v>5503</v>
      </c>
      <c r="E139" s="185">
        <v>1778</v>
      </c>
      <c r="F139" s="185">
        <v>1287</v>
      </c>
      <c r="G139" s="185">
        <v>453</v>
      </c>
      <c r="H139" s="185">
        <v>14</v>
      </c>
      <c r="I139" s="185">
        <v>17</v>
      </c>
      <c r="J139" s="185">
        <v>7</v>
      </c>
      <c r="K139" s="185">
        <v>0</v>
      </c>
    </row>
    <row r="140" spans="1:11" s="186" customFormat="1" ht="12" customHeight="1" x14ac:dyDescent="0.2">
      <c r="A140" s="275" t="s">
        <v>155</v>
      </c>
      <c r="B140" s="275"/>
      <c r="C140" s="185">
        <v>2675</v>
      </c>
      <c r="D140" s="185">
        <v>1904</v>
      </c>
      <c r="E140" s="185">
        <v>771</v>
      </c>
      <c r="F140" s="185">
        <v>460</v>
      </c>
      <c r="G140" s="185">
        <v>280</v>
      </c>
      <c r="H140" s="185">
        <v>4</v>
      </c>
      <c r="I140" s="185">
        <v>26</v>
      </c>
      <c r="J140" s="185">
        <v>1</v>
      </c>
      <c r="K140" s="185">
        <v>0</v>
      </c>
    </row>
    <row r="141" spans="1:11" s="186" customFormat="1" ht="12" customHeight="1" x14ac:dyDescent="0.2">
      <c r="A141" s="275" t="s">
        <v>156</v>
      </c>
      <c r="B141" s="275"/>
      <c r="C141" s="185">
        <v>661</v>
      </c>
      <c r="D141" s="185">
        <v>613</v>
      </c>
      <c r="E141" s="185">
        <v>48</v>
      </c>
      <c r="F141" s="185">
        <v>33</v>
      </c>
      <c r="G141" s="185">
        <v>15</v>
      </c>
      <c r="H141" s="185">
        <v>0</v>
      </c>
      <c r="I141" s="185">
        <v>0</v>
      </c>
      <c r="J141" s="185">
        <v>0</v>
      </c>
      <c r="K141" s="185">
        <v>0</v>
      </c>
    </row>
    <row r="142" spans="1:11" s="186" customFormat="1" ht="12" customHeight="1" x14ac:dyDescent="0.2">
      <c r="A142" s="275" t="s">
        <v>157</v>
      </c>
      <c r="B142" s="275"/>
      <c r="C142" s="185">
        <v>717</v>
      </c>
      <c r="D142" s="185">
        <v>578</v>
      </c>
      <c r="E142" s="185">
        <v>139</v>
      </c>
      <c r="F142" s="185">
        <v>102</v>
      </c>
      <c r="G142" s="185">
        <v>37</v>
      </c>
      <c r="H142" s="185">
        <v>0</v>
      </c>
      <c r="I142" s="185">
        <v>0</v>
      </c>
      <c r="J142" s="185">
        <v>0</v>
      </c>
      <c r="K142" s="185">
        <v>0</v>
      </c>
    </row>
    <row r="143" spans="1:11" s="186" customFormat="1" ht="12" customHeight="1" x14ac:dyDescent="0.2">
      <c r="A143" s="275" t="s">
        <v>159</v>
      </c>
      <c r="B143" s="275"/>
      <c r="C143" s="185">
        <v>573</v>
      </c>
      <c r="D143" s="185">
        <v>434</v>
      </c>
      <c r="E143" s="185">
        <v>139</v>
      </c>
      <c r="F143" s="185">
        <v>104</v>
      </c>
      <c r="G143" s="185">
        <v>33</v>
      </c>
      <c r="H143" s="185">
        <v>2</v>
      </c>
      <c r="I143" s="185">
        <v>0</v>
      </c>
      <c r="J143" s="185">
        <v>0</v>
      </c>
      <c r="K143" s="185">
        <v>0</v>
      </c>
    </row>
    <row r="144" spans="1:11" s="186" customFormat="1" ht="12" customHeight="1" x14ac:dyDescent="0.2">
      <c r="A144" s="275" t="s">
        <v>162</v>
      </c>
      <c r="B144" s="275"/>
      <c r="C144" s="185">
        <v>82</v>
      </c>
      <c r="D144" s="185">
        <v>78</v>
      </c>
      <c r="E144" s="185">
        <v>4</v>
      </c>
      <c r="F144" s="185">
        <v>4</v>
      </c>
      <c r="G144" s="185">
        <v>0</v>
      </c>
      <c r="H144" s="185">
        <v>0</v>
      </c>
      <c r="I144" s="185">
        <v>0</v>
      </c>
      <c r="J144" s="185">
        <v>0</v>
      </c>
      <c r="K144" s="185">
        <v>0</v>
      </c>
    </row>
    <row r="145" spans="1:11" s="186" customFormat="1" ht="12" customHeight="1" x14ac:dyDescent="0.2">
      <c r="A145" s="275" t="s">
        <v>164</v>
      </c>
      <c r="B145" s="275"/>
      <c r="C145" s="185">
        <v>3223</v>
      </c>
      <c r="D145" s="185">
        <v>2423</v>
      </c>
      <c r="E145" s="185">
        <v>800</v>
      </c>
      <c r="F145" s="185">
        <v>583</v>
      </c>
      <c r="G145" s="185">
        <v>186</v>
      </c>
      <c r="H145" s="185">
        <v>1</v>
      </c>
      <c r="I145" s="185">
        <v>22</v>
      </c>
      <c r="J145" s="185">
        <v>8</v>
      </c>
      <c r="K145" s="185">
        <v>0</v>
      </c>
    </row>
    <row r="146" spans="1:11" s="186" customFormat="1" ht="12" customHeight="1" x14ac:dyDescent="0.2">
      <c r="A146" s="275" t="s">
        <v>348</v>
      </c>
      <c r="B146" s="275"/>
      <c r="C146" s="185">
        <v>2625</v>
      </c>
      <c r="D146" s="185">
        <v>2328</v>
      </c>
      <c r="E146" s="185">
        <v>297</v>
      </c>
      <c r="F146" s="185">
        <v>216</v>
      </c>
      <c r="G146" s="185">
        <v>81</v>
      </c>
      <c r="H146" s="185">
        <v>0</v>
      </c>
      <c r="I146" s="185">
        <v>0</v>
      </c>
      <c r="J146" s="185">
        <v>0</v>
      </c>
      <c r="K146" s="185">
        <v>0</v>
      </c>
    </row>
    <row r="147" spans="1:11" s="186" customFormat="1" ht="12" customHeight="1" x14ac:dyDescent="0.2">
      <c r="A147" s="278" t="s">
        <v>168</v>
      </c>
      <c r="B147" s="278"/>
      <c r="C147" s="196">
        <v>270</v>
      </c>
      <c r="D147" s="196">
        <v>247</v>
      </c>
      <c r="E147" s="196">
        <v>23</v>
      </c>
      <c r="F147" s="196">
        <v>17</v>
      </c>
      <c r="G147" s="196">
        <v>6</v>
      </c>
      <c r="H147" s="196">
        <v>0</v>
      </c>
      <c r="I147" s="196">
        <v>0</v>
      </c>
      <c r="J147" s="196">
        <v>0</v>
      </c>
      <c r="K147" s="196">
        <v>0</v>
      </c>
    </row>
    <row r="148" spans="1:11" s="186" customFormat="1" ht="12" customHeight="1" x14ac:dyDescent="0.2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</row>
    <row r="149" spans="1:11" s="186" customFormat="1" ht="12" customHeight="1" x14ac:dyDescent="0.2">
      <c r="A149" s="276" t="s">
        <v>169</v>
      </c>
      <c r="B149" s="276"/>
      <c r="C149" s="183">
        <v>5967</v>
      </c>
      <c r="D149" s="183">
        <v>5319</v>
      </c>
      <c r="E149" s="183">
        <v>648</v>
      </c>
      <c r="F149" s="183">
        <v>479</v>
      </c>
      <c r="G149" s="183">
        <v>164</v>
      </c>
      <c r="H149" s="183">
        <v>4</v>
      </c>
      <c r="I149" s="183">
        <v>1</v>
      </c>
      <c r="J149" s="183">
        <v>0</v>
      </c>
      <c r="K149" s="183">
        <v>0</v>
      </c>
    </row>
    <row r="150" spans="1:11" s="186" customFormat="1" ht="12" customHeight="1" x14ac:dyDescent="0.2">
      <c r="A150" s="275" t="s">
        <v>170</v>
      </c>
      <c r="B150" s="275"/>
      <c r="C150" s="185">
        <v>1512</v>
      </c>
      <c r="D150" s="185">
        <v>1368</v>
      </c>
      <c r="E150" s="185">
        <v>144</v>
      </c>
      <c r="F150" s="185">
        <v>109</v>
      </c>
      <c r="G150" s="185">
        <v>33</v>
      </c>
      <c r="H150" s="185">
        <v>1</v>
      </c>
      <c r="I150" s="185">
        <v>1</v>
      </c>
      <c r="J150" s="185">
        <v>0</v>
      </c>
      <c r="K150" s="185">
        <v>0</v>
      </c>
    </row>
    <row r="151" spans="1:11" s="186" customFormat="1" ht="12" customHeight="1" x14ac:dyDescent="0.2">
      <c r="A151" s="275" t="s">
        <v>171</v>
      </c>
      <c r="B151" s="275"/>
      <c r="C151" s="185">
        <v>49</v>
      </c>
      <c r="D151" s="185">
        <v>45</v>
      </c>
      <c r="E151" s="185">
        <v>4</v>
      </c>
      <c r="F151" s="185">
        <v>2</v>
      </c>
      <c r="G151" s="185">
        <v>2</v>
      </c>
      <c r="H151" s="185">
        <v>0</v>
      </c>
      <c r="I151" s="185">
        <v>0</v>
      </c>
      <c r="J151" s="185">
        <v>0</v>
      </c>
      <c r="K151" s="185">
        <v>0</v>
      </c>
    </row>
    <row r="152" spans="1:11" s="186" customFormat="1" ht="12" customHeight="1" x14ac:dyDescent="0.2">
      <c r="A152" s="275" t="s">
        <v>172</v>
      </c>
      <c r="B152" s="275"/>
      <c r="C152" s="185">
        <v>51</v>
      </c>
      <c r="D152" s="185">
        <v>42</v>
      </c>
      <c r="E152" s="185">
        <v>9</v>
      </c>
      <c r="F152" s="185">
        <v>6</v>
      </c>
      <c r="G152" s="185">
        <v>3</v>
      </c>
      <c r="H152" s="185">
        <v>0</v>
      </c>
      <c r="I152" s="185">
        <v>0</v>
      </c>
      <c r="J152" s="185">
        <v>0</v>
      </c>
      <c r="K152" s="185">
        <v>0</v>
      </c>
    </row>
    <row r="153" spans="1:11" s="186" customFormat="1" ht="12" customHeight="1" x14ac:dyDescent="0.2">
      <c r="A153" s="275" t="s">
        <v>173</v>
      </c>
      <c r="B153" s="275"/>
      <c r="C153" s="185">
        <v>45</v>
      </c>
      <c r="D153" s="185">
        <v>42</v>
      </c>
      <c r="E153" s="185">
        <v>3</v>
      </c>
      <c r="F153" s="185">
        <v>2</v>
      </c>
      <c r="G153" s="185">
        <v>1</v>
      </c>
      <c r="H153" s="185">
        <v>0</v>
      </c>
      <c r="I153" s="185">
        <v>0</v>
      </c>
      <c r="J153" s="185">
        <v>0</v>
      </c>
      <c r="K153" s="185">
        <v>0</v>
      </c>
    </row>
    <row r="154" spans="1:11" s="186" customFormat="1" ht="12" customHeight="1" x14ac:dyDescent="0.2">
      <c r="A154" s="275" t="s">
        <v>174</v>
      </c>
      <c r="B154" s="275"/>
      <c r="C154" s="185">
        <v>1146</v>
      </c>
      <c r="D154" s="185">
        <v>967</v>
      </c>
      <c r="E154" s="185">
        <v>179</v>
      </c>
      <c r="F154" s="185">
        <v>131</v>
      </c>
      <c r="G154" s="185">
        <v>46</v>
      </c>
      <c r="H154" s="185">
        <v>2</v>
      </c>
      <c r="I154" s="185">
        <v>0</v>
      </c>
      <c r="J154" s="185">
        <v>0</v>
      </c>
      <c r="K154" s="185">
        <v>0</v>
      </c>
    </row>
    <row r="155" spans="1:11" s="186" customFormat="1" ht="12" customHeight="1" x14ac:dyDescent="0.2">
      <c r="A155" s="275" t="s">
        <v>175</v>
      </c>
      <c r="B155" s="275"/>
      <c r="C155" s="185">
        <v>508</v>
      </c>
      <c r="D155" s="185">
        <v>475</v>
      </c>
      <c r="E155" s="185">
        <v>33</v>
      </c>
      <c r="F155" s="185">
        <v>23</v>
      </c>
      <c r="G155" s="185">
        <v>9</v>
      </c>
      <c r="H155" s="185">
        <v>1</v>
      </c>
      <c r="I155" s="185">
        <v>0</v>
      </c>
      <c r="J155" s="185">
        <v>0</v>
      </c>
      <c r="K155" s="185">
        <v>0</v>
      </c>
    </row>
    <row r="156" spans="1:11" s="186" customFormat="1" ht="12" customHeight="1" x14ac:dyDescent="0.2">
      <c r="A156" s="275" t="s">
        <v>176</v>
      </c>
      <c r="B156" s="275"/>
      <c r="C156" s="185">
        <v>47</v>
      </c>
      <c r="D156" s="185">
        <v>42</v>
      </c>
      <c r="E156" s="185">
        <v>5</v>
      </c>
      <c r="F156" s="185">
        <v>4</v>
      </c>
      <c r="G156" s="185">
        <v>1</v>
      </c>
      <c r="H156" s="185">
        <v>0</v>
      </c>
      <c r="I156" s="185">
        <v>0</v>
      </c>
      <c r="J156" s="185">
        <v>0</v>
      </c>
      <c r="K156" s="185">
        <v>0</v>
      </c>
    </row>
    <row r="157" spans="1:11" s="186" customFormat="1" ht="12" customHeight="1" x14ac:dyDescent="0.2">
      <c r="A157" s="278" t="s">
        <v>177</v>
      </c>
      <c r="B157" s="278"/>
      <c r="C157" s="196">
        <v>2609</v>
      </c>
      <c r="D157" s="196">
        <v>2338</v>
      </c>
      <c r="E157" s="196">
        <v>271</v>
      </c>
      <c r="F157" s="196">
        <v>202</v>
      </c>
      <c r="G157" s="196">
        <v>69</v>
      </c>
      <c r="H157" s="196">
        <v>0</v>
      </c>
      <c r="I157" s="196">
        <v>0</v>
      </c>
      <c r="J157" s="196">
        <v>0</v>
      </c>
      <c r="K157" s="196">
        <v>0</v>
      </c>
    </row>
    <row r="158" spans="1:11" s="186" customFormat="1" ht="12" customHeight="1" x14ac:dyDescent="0.2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</row>
    <row r="159" spans="1:11" s="186" customFormat="1" ht="12" customHeight="1" x14ac:dyDescent="0.2">
      <c r="A159" s="276" t="s">
        <v>178</v>
      </c>
      <c r="B159" s="276"/>
      <c r="C159" s="183">
        <v>55755</v>
      </c>
      <c r="D159" s="183">
        <v>41171</v>
      </c>
      <c r="E159" s="183">
        <v>14584</v>
      </c>
      <c r="F159" s="183">
        <v>10511</v>
      </c>
      <c r="G159" s="183">
        <v>3567</v>
      </c>
      <c r="H159" s="183">
        <v>116</v>
      </c>
      <c r="I159" s="183">
        <v>350</v>
      </c>
      <c r="J159" s="183">
        <v>40</v>
      </c>
      <c r="K159" s="183">
        <v>0</v>
      </c>
    </row>
    <row r="160" spans="1:11" s="186" customFormat="1" ht="12" customHeight="1" x14ac:dyDescent="0.2">
      <c r="A160" s="275" t="s">
        <v>179</v>
      </c>
      <c r="B160" s="275"/>
      <c r="C160" s="185">
        <v>5057</v>
      </c>
      <c r="D160" s="185">
        <v>3663</v>
      </c>
      <c r="E160" s="185">
        <v>1394</v>
      </c>
      <c r="F160" s="185">
        <v>1074</v>
      </c>
      <c r="G160" s="185">
        <v>271</v>
      </c>
      <c r="H160" s="185">
        <v>6</v>
      </c>
      <c r="I160" s="185">
        <v>38</v>
      </c>
      <c r="J160" s="185">
        <v>5</v>
      </c>
      <c r="K160" s="185">
        <v>0</v>
      </c>
    </row>
    <row r="161" spans="1:11" s="186" customFormat="1" ht="12" customHeight="1" x14ac:dyDescent="0.2">
      <c r="A161" s="275" t="s">
        <v>180</v>
      </c>
      <c r="B161" s="275"/>
      <c r="C161" s="185">
        <v>43279</v>
      </c>
      <c r="D161" s="185">
        <v>32262</v>
      </c>
      <c r="E161" s="185">
        <v>11017</v>
      </c>
      <c r="F161" s="185">
        <v>7892</v>
      </c>
      <c r="G161" s="185">
        <v>2764</v>
      </c>
      <c r="H161" s="185">
        <v>92</v>
      </c>
      <c r="I161" s="185">
        <v>240</v>
      </c>
      <c r="J161" s="185">
        <v>29</v>
      </c>
      <c r="K161" s="185">
        <v>0</v>
      </c>
    </row>
    <row r="162" spans="1:11" s="186" customFormat="1" ht="12" customHeight="1" x14ac:dyDescent="0.2">
      <c r="A162" s="275" t="s">
        <v>181</v>
      </c>
      <c r="B162" s="275"/>
      <c r="C162" s="185">
        <v>2942</v>
      </c>
      <c r="D162" s="185">
        <v>1734</v>
      </c>
      <c r="E162" s="185">
        <v>1208</v>
      </c>
      <c r="F162" s="185">
        <v>828</v>
      </c>
      <c r="G162" s="185">
        <v>342</v>
      </c>
      <c r="H162" s="185">
        <v>8</v>
      </c>
      <c r="I162" s="185">
        <v>25</v>
      </c>
      <c r="J162" s="185">
        <v>5</v>
      </c>
      <c r="K162" s="185">
        <v>0</v>
      </c>
    </row>
    <row r="163" spans="1:11" s="186" customFormat="1" ht="12" customHeight="1" x14ac:dyDescent="0.2">
      <c r="A163" s="275" t="s">
        <v>187</v>
      </c>
      <c r="B163" s="275"/>
      <c r="C163" s="185">
        <v>396</v>
      </c>
      <c r="D163" s="185">
        <v>358</v>
      </c>
      <c r="E163" s="185">
        <v>38</v>
      </c>
      <c r="F163" s="185">
        <v>25</v>
      </c>
      <c r="G163" s="185">
        <v>13</v>
      </c>
      <c r="H163" s="185">
        <v>0</v>
      </c>
      <c r="I163" s="185">
        <v>0</v>
      </c>
      <c r="J163" s="185">
        <v>0</v>
      </c>
      <c r="K163" s="185">
        <v>0</v>
      </c>
    </row>
    <row r="164" spans="1:11" s="186" customFormat="1" ht="12" customHeight="1" x14ac:dyDescent="0.2">
      <c r="A164" s="275" t="s">
        <v>188</v>
      </c>
      <c r="B164" s="275"/>
      <c r="C164" s="185">
        <v>1571</v>
      </c>
      <c r="D164" s="185">
        <v>1282</v>
      </c>
      <c r="E164" s="185">
        <v>289</v>
      </c>
      <c r="F164" s="185">
        <v>200</v>
      </c>
      <c r="G164" s="185">
        <v>77</v>
      </c>
      <c r="H164" s="185">
        <v>4</v>
      </c>
      <c r="I164" s="185">
        <v>7</v>
      </c>
      <c r="J164" s="185">
        <v>1</v>
      </c>
      <c r="K164" s="185">
        <v>0</v>
      </c>
    </row>
    <row r="165" spans="1:11" s="186" customFormat="1" ht="12" customHeight="1" x14ac:dyDescent="0.2">
      <c r="A165" s="282" t="s">
        <v>194</v>
      </c>
      <c r="B165" s="282"/>
      <c r="C165" s="196">
        <v>2510</v>
      </c>
      <c r="D165" s="196">
        <v>1872</v>
      </c>
      <c r="E165" s="196">
        <v>638</v>
      </c>
      <c r="F165" s="196">
        <v>492</v>
      </c>
      <c r="G165" s="196">
        <v>100</v>
      </c>
      <c r="H165" s="196">
        <v>6</v>
      </c>
      <c r="I165" s="196">
        <v>40</v>
      </c>
      <c r="J165" s="196">
        <v>0</v>
      </c>
      <c r="K165" s="196">
        <v>0</v>
      </c>
    </row>
    <row r="166" spans="1:11" s="186" customFormat="1" ht="12" customHeight="1" x14ac:dyDescent="0.2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</row>
    <row r="167" spans="1:11" s="186" customFormat="1" ht="12" customHeight="1" x14ac:dyDescent="0.2">
      <c r="A167" s="276" t="s">
        <v>197</v>
      </c>
      <c r="B167" s="276"/>
      <c r="C167" s="183">
        <v>10301</v>
      </c>
      <c r="D167" s="183">
        <v>6976</v>
      </c>
      <c r="E167" s="183">
        <v>3325</v>
      </c>
      <c r="F167" s="183">
        <v>2623</v>
      </c>
      <c r="G167" s="183">
        <v>628</v>
      </c>
      <c r="H167" s="183">
        <v>12</v>
      </c>
      <c r="I167" s="183">
        <v>62</v>
      </c>
      <c r="J167" s="183">
        <v>0</v>
      </c>
      <c r="K167" s="183">
        <v>0</v>
      </c>
    </row>
    <row r="168" spans="1:11" s="186" customFormat="1" ht="12" customHeight="1" x14ac:dyDescent="0.2">
      <c r="A168" s="275" t="s">
        <v>198</v>
      </c>
      <c r="B168" s="275"/>
      <c r="C168" s="185">
        <v>6092</v>
      </c>
      <c r="D168" s="185">
        <v>4019</v>
      </c>
      <c r="E168" s="185">
        <v>2073</v>
      </c>
      <c r="F168" s="185">
        <v>1626</v>
      </c>
      <c r="G168" s="185">
        <v>381</v>
      </c>
      <c r="H168" s="185">
        <v>5</v>
      </c>
      <c r="I168" s="185">
        <v>61</v>
      </c>
      <c r="J168" s="185">
        <v>0</v>
      </c>
      <c r="K168" s="185">
        <v>0</v>
      </c>
    </row>
    <row r="169" spans="1:11" s="186" customFormat="1" ht="12" customHeight="1" x14ac:dyDescent="0.2">
      <c r="A169" s="282" t="s">
        <v>371</v>
      </c>
      <c r="B169" s="282"/>
      <c r="C169" s="196">
        <v>4209</v>
      </c>
      <c r="D169" s="196">
        <v>2957</v>
      </c>
      <c r="E169" s="196">
        <v>1252</v>
      </c>
      <c r="F169" s="196">
        <v>997</v>
      </c>
      <c r="G169" s="196">
        <v>247</v>
      </c>
      <c r="H169" s="196">
        <v>7</v>
      </c>
      <c r="I169" s="196">
        <v>1</v>
      </c>
      <c r="J169" s="196">
        <v>0</v>
      </c>
      <c r="K169" s="196">
        <v>0</v>
      </c>
    </row>
    <row r="170" spans="1:11" s="186" customFormat="1" ht="12" customHeight="1" x14ac:dyDescent="0.2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</row>
    <row r="171" spans="1:11" s="186" customFormat="1" ht="12" customHeight="1" x14ac:dyDescent="0.2">
      <c r="A171" s="276" t="s">
        <v>204</v>
      </c>
      <c r="B171" s="276"/>
      <c r="C171" s="183">
        <v>5658</v>
      </c>
      <c r="D171" s="183">
        <v>5128</v>
      </c>
      <c r="E171" s="183">
        <v>530</v>
      </c>
      <c r="F171" s="183">
        <v>361</v>
      </c>
      <c r="G171" s="183">
        <v>163</v>
      </c>
      <c r="H171" s="183">
        <v>3</v>
      </c>
      <c r="I171" s="183">
        <v>3</v>
      </c>
      <c r="J171" s="183">
        <v>0</v>
      </c>
      <c r="K171" s="183">
        <v>0</v>
      </c>
    </row>
    <row r="172" spans="1:11" s="186" customFormat="1" ht="12" customHeight="1" x14ac:dyDescent="0.2">
      <c r="A172" s="275" t="s">
        <v>205</v>
      </c>
      <c r="B172" s="275"/>
      <c r="C172" s="185">
        <v>1813</v>
      </c>
      <c r="D172" s="185">
        <v>1594</v>
      </c>
      <c r="E172" s="185">
        <v>219</v>
      </c>
      <c r="F172" s="185">
        <v>160</v>
      </c>
      <c r="G172" s="185">
        <v>59</v>
      </c>
      <c r="H172" s="185">
        <v>0</v>
      </c>
      <c r="I172" s="185">
        <v>0</v>
      </c>
      <c r="J172" s="185">
        <v>0</v>
      </c>
      <c r="K172" s="185">
        <v>0</v>
      </c>
    </row>
    <row r="173" spans="1:11" s="186" customFormat="1" ht="12" customHeight="1" x14ac:dyDescent="0.2">
      <c r="A173" s="275" t="s">
        <v>206</v>
      </c>
      <c r="B173" s="275"/>
      <c r="C173" s="185">
        <v>1770</v>
      </c>
      <c r="D173" s="185">
        <v>1643</v>
      </c>
      <c r="E173" s="185">
        <v>127</v>
      </c>
      <c r="F173" s="185">
        <v>71</v>
      </c>
      <c r="G173" s="185">
        <v>55</v>
      </c>
      <c r="H173" s="185">
        <v>1</v>
      </c>
      <c r="I173" s="185">
        <v>0</v>
      </c>
      <c r="J173" s="185">
        <v>0</v>
      </c>
      <c r="K173" s="185">
        <v>0</v>
      </c>
    </row>
    <row r="174" spans="1:11" s="186" customFormat="1" ht="12" customHeight="1" x14ac:dyDescent="0.2">
      <c r="A174" s="282" t="s">
        <v>345</v>
      </c>
      <c r="B174" s="282"/>
      <c r="C174" s="197">
        <v>2075</v>
      </c>
      <c r="D174" s="197">
        <v>1891</v>
      </c>
      <c r="E174" s="197">
        <v>184</v>
      </c>
      <c r="F174" s="197">
        <v>130</v>
      </c>
      <c r="G174" s="197">
        <v>49</v>
      </c>
      <c r="H174" s="197">
        <v>2</v>
      </c>
      <c r="I174" s="197">
        <v>3</v>
      </c>
      <c r="J174" s="197">
        <v>0</v>
      </c>
      <c r="K174" s="197">
        <v>0</v>
      </c>
    </row>
    <row r="175" spans="1:11" s="186" customFormat="1" ht="12" customHeight="1" x14ac:dyDescent="0.2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</row>
    <row r="176" spans="1:11" s="186" customFormat="1" ht="12" customHeight="1" x14ac:dyDescent="0.2">
      <c r="A176" s="276" t="s">
        <v>210</v>
      </c>
      <c r="B176" s="276"/>
      <c r="C176" s="183">
        <v>9007</v>
      </c>
      <c r="D176" s="183">
        <v>6633</v>
      </c>
      <c r="E176" s="183">
        <v>2374</v>
      </c>
      <c r="F176" s="183">
        <v>1601</v>
      </c>
      <c r="G176" s="183">
        <v>672</v>
      </c>
      <c r="H176" s="183">
        <v>18</v>
      </c>
      <c r="I176" s="183">
        <v>68</v>
      </c>
      <c r="J176" s="183">
        <v>15</v>
      </c>
      <c r="K176" s="183">
        <v>0</v>
      </c>
    </row>
    <row r="177" spans="1:11" s="186" customFormat="1" ht="12" customHeight="1" x14ac:dyDescent="0.2">
      <c r="A177" s="275" t="s">
        <v>211</v>
      </c>
      <c r="B177" s="275"/>
      <c r="C177" s="185">
        <v>1481</v>
      </c>
      <c r="D177" s="185">
        <v>1127</v>
      </c>
      <c r="E177" s="185">
        <v>354</v>
      </c>
      <c r="F177" s="185">
        <v>228</v>
      </c>
      <c r="G177" s="185">
        <v>118</v>
      </c>
      <c r="H177" s="185">
        <v>6</v>
      </c>
      <c r="I177" s="185">
        <v>2</v>
      </c>
      <c r="J177" s="185">
        <v>0</v>
      </c>
      <c r="K177" s="185">
        <v>0</v>
      </c>
    </row>
    <row r="178" spans="1:11" s="186" customFormat="1" ht="12" customHeight="1" x14ac:dyDescent="0.2">
      <c r="A178" s="275" t="s">
        <v>213</v>
      </c>
      <c r="B178" s="275"/>
      <c r="C178" s="185">
        <v>106</v>
      </c>
      <c r="D178" s="185">
        <v>93</v>
      </c>
      <c r="E178" s="185">
        <v>13</v>
      </c>
      <c r="F178" s="185">
        <v>6</v>
      </c>
      <c r="G178" s="185">
        <v>6</v>
      </c>
      <c r="H178" s="185">
        <v>1</v>
      </c>
      <c r="I178" s="185">
        <v>0</v>
      </c>
      <c r="J178" s="185">
        <v>0</v>
      </c>
      <c r="K178" s="185">
        <v>0</v>
      </c>
    </row>
    <row r="179" spans="1:11" s="186" customFormat="1" ht="12" customHeight="1" x14ac:dyDescent="0.2">
      <c r="A179" s="275" t="s">
        <v>214</v>
      </c>
      <c r="B179" s="275"/>
      <c r="C179" s="185">
        <v>968</v>
      </c>
      <c r="D179" s="185">
        <v>498</v>
      </c>
      <c r="E179" s="185">
        <v>470</v>
      </c>
      <c r="F179" s="185">
        <v>291</v>
      </c>
      <c r="G179" s="185">
        <v>145</v>
      </c>
      <c r="H179" s="185">
        <v>3</v>
      </c>
      <c r="I179" s="185">
        <v>24</v>
      </c>
      <c r="J179" s="185">
        <v>7</v>
      </c>
      <c r="K179" s="185">
        <v>0</v>
      </c>
    </row>
    <row r="180" spans="1:11" s="186" customFormat="1" ht="12" customHeight="1" x14ac:dyDescent="0.2">
      <c r="A180" s="275" t="s">
        <v>219</v>
      </c>
      <c r="B180" s="275"/>
      <c r="C180" s="185">
        <v>171</v>
      </c>
      <c r="D180" s="185">
        <v>157</v>
      </c>
      <c r="E180" s="185">
        <v>14</v>
      </c>
      <c r="F180" s="185">
        <v>10</v>
      </c>
      <c r="G180" s="185">
        <v>4</v>
      </c>
      <c r="H180" s="185">
        <v>0</v>
      </c>
      <c r="I180" s="185">
        <v>0</v>
      </c>
      <c r="J180" s="185">
        <v>0</v>
      </c>
      <c r="K180" s="185">
        <v>0</v>
      </c>
    </row>
    <row r="181" spans="1:11" s="186" customFormat="1" ht="12" customHeight="1" x14ac:dyDescent="0.2">
      <c r="A181" s="275" t="s">
        <v>220</v>
      </c>
      <c r="B181" s="275"/>
      <c r="C181" s="185">
        <v>2889</v>
      </c>
      <c r="D181" s="185">
        <v>2302</v>
      </c>
      <c r="E181" s="185">
        <v>587</v>
      </c>
      <c r="F181" s="185">
        <v>440</v>
      </c>
      <c r="G181" s="185">
        <v>141</v>
      </c>
      <c r="H181" s="185">
        <v>5</v>
      </c>
      <c r="I181" s="185">
        <v>1</v>
      </c>
      <c r="J181" s="185">
        <v>0</v>
      </c>
      <c r="K181" s="185">
        <v>0</v>
      </c>
    </row>
    <row r="182" spans="1:11" s="186" customFormat="1" ht="12" customHeight="1" x14ac:dyDescent="0.2">
      <c r="A182" s="275" t="s">
        <v>221</v>
      </c>
      <c r="B182" s="275"/>
      <c r="C182" s="185">
        <v>833</v>
      </c>
      <c r="D182" s="185">
        <v>594</v>
      </c>
      <c r="E182" s="185">
        <v>239</v>
      </c>
      <c r="F182" s="185">
        <v>153</v>
      </c>
      <c r="G182" s="185">
        <v>60</v>
      </c>
      <c r="H182" s="185">
        <v>0</v>
      </c>
      <c r="I182" s="185">
        <v>19</v>
      </c>
      <c r="J182" s="185">
        <v>7</v>
      </c>
      <c r="K182" s="185">
        <v>0</v>
      </c>
    </row>
    <row r="183" spans="1:11" s="186" customFormat="1" ht="12" customHeight="1" x14ac:dyDescent="0.2">
      <c r="A183" s="275" t="s">
        <v>224</v>
      </c>
      <c r="B183" s="275"/>
      <c r="C183" s="185">
        <v>331</v>
      </c>
      <c r="D183" s="185">
        <v>272</v>
      </c>
      <c r="E183" s="185">
        <v>59</v>
      </c>
      <c r="F183" s="185">
        <v>43</v>
      </c>
      <c r="G183" s="185">
        <v>15</v>
      </c>
      <c r="H183" s="185">
        <v>1</v>
      </c>
      <c r="I183" s="185">
        <v>0</v>
      </c>
      <c r="J183" s="185">
        <v>0</v>
      </c>
      <c r="K183" s="185">
        <v>0</v>
      </c>
    </row>
    <row r="184" spans="1:11" s="186" customFormat="1" ht="12" customHeight="1" x14ac:dyDescent="0.2">
      <c r="A184" s="275" t="s">
        <v>225</v>
      </c>
      <c r="B184" s="275"/>
      <c r="C184" s="185">
        <v>799</v>
      </c>
      <c r="D184" s="185">
        <v>493</v>
      </c>
      <c r="E184" s="185">
        <v>306</v>
      </c>
      <c r="F184" s="185">
        <v>229</v>
      </c>
      <c r="G184" s="185">
        <v>70</v>
      </c>
      <c r="H184" s="185">
        <v>1</v>
      </c>
      <c r="I184" s="185">
        <v>6</v>
      </c>
      <c r="J184" s="185">
        <v>0</v>
      </c>
      <c r="K184" s="185">
        <v>0</v>
      </c>
    </row>
    <row r="185" spans="1:11" s="186" customFormat="1" ht="12" customHeight="1" x14ac:dyDescent="0.2">
      <c r="A185" s="275" t="s">
        <v>226</v>
      </c>
      <c r="B185" s="275"/>
      <c r="C185" s="185">
        <v>409</v>
      </c>
      <c r="D185" s="185">
        <v>320</v>
      </c>
      <c r="E185" s="185">
        <v>89</v>
      </c>
      <c r="F185" s="185">
        <v>49</v>
      </c>
      <c r="G185" s="185">
        <v>40</v>
      </c>
      <c r="H185" s="185">
        <v>0</v>
      </c>
      <c r="I185" s="185">
        <v>0</v>
      </c>
      <c r="J185" s="185">
        <v>0</v>
      </c>
      <c r="K185" s="185">
        <v>0</v>
      </c>
    </row>
    <row r="186" spans="1:11" s="186" customFormat="1" ht="12" customHeight="1" x14ac:dyDescent="0.2">
      <c r="A186" s="282" t="s">
        <v>227</v>
      </c>
      <c r="B186" s="282"/>
      <c r="C186" s="196">
        <v>1020</v>
      </c>
      <c r="D186" s="196">
        <v>777</v>
      </c>
      <c r="E186" s="196">
        <v>243</v>
      </c>
      <c r="F186" s="196">
        <v>152</v>
      </c>
      <c r="G186" s="196">
        <v>73</v>
      </c>
      <c r="H186" s="196">
        <v>1</v>
      </c>
      <c r="I186" s="196">
        <v>16</v>
      </c>
      <c r="J186" s="196">
        <v>1</v>
      </c>
      <c r="K186" s="196">
        <v>0</v>
      </c>
    </row>
    <row r="187" spans="1:11" s="186" customFormat="1" ht="12" customHeight="1" x14ac:dyDescent="0.2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</row>
    <row r="188" spans="1:11" s="186" customFormat="1" ht="12" customHeight="1" x14ac:dyDescent="0.2">
      <c r="A188" s="276" t="s">
        <v>229</v>
      </c>
      <c r="B188" s="276"/>
      <c r="C188" s="183">
        <v>351491</v>
      </c>
      <c r="D188" s="183">
        <v>254633</v>
      </c>
      <c r="E188" s="183">
        <v>96858</v>
      </c>
      <c r="F188" s="183">
        <v>65691</v>
      </c>
      <c r="G188" s="183">
        <v>28882</v>
      </c>
      <c r="H188" s="183">
        <v>555</v>
      </c>
      <c r="I188" s="183">
        <v>1504</v>
      </c>
      <c r="J188" s="183">
        <v>202</v>
      </c>
      <c r="K188" s="183">
        <v>24</v>
      </c>
    </row>
    <row r="189" spans="1:11" s="186" customFormat="1" ht="12" customHeight="1" x14ac:dyDescent="0.2">
      <c r="A189" s="275" t="s">
        <v>230</v>
      </c>
      <c r="B189" s="275"/>
      <c r="C189" s="185">
        <v>50342</v>
      </c>
      <c r="D189" s="185">
        <v>37933</v>
      </c>
      <c r="E189" s="185">
        <v>12409</v>
      </c>
      <c r="F189" s="185">
        <v>7818</v>
      </c>
      <c r="G189" s="185">
        <v>4282</v>
      </c>
      <c r="H189" s="185">
        <v>45</v>
      </c>
      <c r="I189" s="185">
        <v>254</v>
      </c>
      <c r="J189" s="185">
        <v>10</v>
      </c>
      <c r="K189" s="185">
        <v>0</v>
      </c>
    </row>
    <row r="190" spans="1:11" s="186" customFormat="1" ht="12" customHeight="1" x14ac:dyDescent="0.2">
      <c r="A190" s="275" t="s">
        <v>231</v>
      </c>
      <c r="B190" s="275"/>
      <c r="C190" s="185">
        <v>150634</v>
      </c>
      <c r="D190" s="185">
        <v>103371</v>
      </c>
      <c r="E190" s="185">
        <v>47263</v>
      </c>
      <c r="F190" s="185">
        <v>31077</v>
      </c>
      <c r="G190" s="185">
        <v>15231</v>
      </c>
      <c r="H190" s="185">
        <v>254</v>
      </c>
      <c r="I190" s="185">
        <v>565</v>
      </c>
      <c r="J190" s="185">
        <v>112</v>
      </c>
      <c r="K190" s="185">
        <v>24</v>
      </c>
    </row>
    <row r="191" spans="1:11" s="186" customFormat="1" ht="12" customHeight="1" x14ac:dyDescent="0.2">
      <c r="A191" s="275" t="s">
        <v>232</v>
      </c>
      <c r="B191" s="275"/>
      <c r="C191" s="185">
        <v>63827</v>
      </c>
      <c r="D191" s="185">
        <v>48102</v>
      </c>
      <c r="E191" s="185">
        <v>15725</v>
      </c>
      <c r="F191" s="185">
        <v>11221</v>
      </c>
      <c r="G191" s="185">
        <v>4175</v>
      </c>
      <c r="H191" s="185">
        <v>103</v>
      </c>
      <c r="I191" s="185">
        <v>201</v>
      </c>
      <c r="J191" s="185">
        <v>25</v>
      </c>
      <c r="K191" s="185">
        <v>0</v>
      </c>
    </row>
    <row r="192" spans="1:11" s="186" customFormat="1" ht="12" customHeight="1" x14ac:dyDescent="0.2">
      <c r="A192" s="275" t="s">
        <v>233</v>
      </c>
      <c r="B192" s="275"/>
      <c r="C192" s="185">
        <v>5967</v>
      </c>
      <c r="D192" s="185">
        <v>5319</v>
      </c>
      <c r="E192" s="185">
        <v>648</v>
      </c>
      <c r="F192" s="185">
        <v>479</v>
      </c>
      <c r="G192" s="185">
        <v>164</v>
      </c>
      <c r="H192" s="185">
        <v>4</v>
      </c>
      <c r="I192" s="185">
        <v>1</v>
      </c>
      <c r="J192" s="185">
        <v>0</v>
      </c>
      <c r="K192" s="185">
        <v>0</v>
      </c>
    </row>
    <row r="193" spans="1:11" s="186" customFormat="1" ht="12" customHeight="1" x14ac:dyDescent="0.2">
      <c r="A193" s="275" t="s">
        <v>234</v>
      </c>
      <c r="B193" s="275"/>
      <c r="C193" s="185">
        <v>55755</v>
      </c>
      <c r="D193" s="185">
        <v>41171</v>
      </c>
      <c r="E193" s="185">
        <v>14584</v>
      </c>
      <c r="F193" s="185">
        <v>10511</v>
      </c>
      <c r="G193" s="185">
        <v>3567</v>
      </c>
      <c r="H193" s="185">
        <v>116</v>
      </c>
      <c r="I193" s="185">
        <v>350</v>
      </c>
      <c r="J193" s="185">
        <v>40</v>
      </c>
      <c r="K193" s="185">
        <v>0</v>
      </c>
    </row>
    <row r="194" spans="1:11" s="186" customFormat="1" ht="12" customHeight="1" x14ac:dyDescent="0.2">
      <c r="A194" s="275" t="s">
        <v>235</v>
      </c>
      <c r="B194" s="275"/>
      <c r="C194" s="185">
        <v>10301</v>
      </c>
      <c r="D194" s="185">
        <v>6976</v>
      </c>
      <c r="E194" s="185">
        <v>3325</v>
      </c>
      <c r="F194" s="185">
        <v>2623</v>
      </c>
      <c r="G194" s="185">
        <v>628</v>
      </c>
      <c r="H194" s="185">
        <v>12</v>
      </c>
      <c r="I194" s="185">
        <v>62</v>
      </c>
      <c r="J194" s="185">
        <v>0</v>
      </c>
      <c r="K194" s="185">
        <v>0</v>
      </c>
    </row>
    <row r="195" spans="1:11" s="186" customFormat="1" ht="12" customHeight="1" x14ac:dyDescent="0.2">
      <c r="A195" s="275" t="s">
        <v>236</v>
      </c>
      <c r="B195" s="275"/>
      <c r="C195" s="185">
        <v>5658</v>
      </c>
      <c r="D195" s="185">
        <v>5128</v>
      </c>
      <c r="E195" s="185">
        <v>530</v>
      </c>
      <c r="F195" s="185">
        <v>361</v>
      </c>
      <c r="G195" s="185">
        <v>163</v>
      </c>
      <c r="H195" s="185">
        <v>3</v>
      </c>
      <c r="I195" s="185">
        <v>3</v>
      </c>
      <c r="J195" s="185">
        <v>0</v>
      </c>
      <c r="K195" s="185">
        <v>0</v>
      </c>
    </row>
    <row r="196" spans="1:11" s="186" customFormat="1" ht="12" customHeight="1" x14ac:dyDescent="0.2">
      <c r="A196" s="278" t="s">
        <v>237</v>
      </c>
      <c r="B196" s="278"/>
      <c r="C196" s="196">
        <v>9007</v>
      </c>
      <c r="D196" s="196">
        <v>6633</v>
      </c>
      <c r="E196" s="196">
        <v>2374</v>
      </c>
      <c r="F196" s="196">
        <v>1601</v>
      </c>
      <c r="G196" s="196">
        <v>672</v>
      </c>
      <c r="H196" s="196">
        <v>18</v>
      </c>
      <c r="I196" s="196">
        <v>68</v>
      </c>
      <c r="J196" s="196">
        <v>15</v>
      </c>
      <c r="K196" s="196">
        <v>0</v>
      </c>
    </row>
    <row r="197" spans="1:11" s="186" customFormat="1" ht="12" customHeight="1" x14ac:dyDescent="0.2">
      <c r="A197" s="198"/>
      <c r="B197" s="198"/>
      <c r="C197" s="197"/>
      <c r="D197" s="197"/>
      <c r="E197" s="197"/>
      <c r="F197" s="197"/>
      <c r="G197" s="197"/>
      <c r="H197" s="197"/>
      <c r="I197" s="197"/>
      <c r="J197" s="197"/>
      <c r="K197" s="197"/>
    </row>
    <row r="198" spans="1:11" s="186" customFormat="1" ht="12" customHeight="1" x14ac:dyDescent="0.2">
      <c r="A198" s="276" t="s">
        <v>355</v>
      </c>
      <c r="B198" s="276"/>
      <c r="C198" s="183">
        <v>326171</v>
      </c>
      <c r="D198" s="183">
        <v>234955</v>
      </c>
      <c r="E198" s="183">
        <v>91216</v>
      </c>
      <c r="F198" s="183">
        <v>61658</v>
      </c>
      <c r="G198" s="183">
        <v>27455</v>
      </c>
      <c r="H198" s="183">
        <v>522</v>
      </c>
      <c r="I198" s="183">
        <v>1372</v>
      </c>
      <c r="J198" s="183">
        <v>185</v>
      </c>
      <c r="K198" s="183">
        <v>24</v>
      </c>
    </row>
    <row r="199" spans="1:11" s="186" customFormat="1" ht="12" customHeight="1" x14ac:dyDescent="0.2">
      <c r="A199" s="275" t="s">
        <v>356</v>
      </c>
      <c r="B199" s="275"/>
      <c r="C199" s="185">
        <v>52417</v>
      </c>
      <c r="D199" s="185">
        <v>39079</v>
      </c>
      <c r="E199" s="185">
        <v>13338</v>
      </c>
      <c r="F199" s="185">
        <v>9658</v>
      </c>
      <c r="G199" s="185">
        <v>3212</v>
      </c>
      <c r="H199" s="185">
        <v>108</v>
      </c>
      <c r="I199" s="185">
        <v>325</v>
      </c>
      <c r="J199" s="185">
        <v>35</v>
      </c>
      <c r="K199" s="185">
        <v>0</v>
      </c>
    </row>
    <row r="200" spans="1:11" s="186" customFormat="1" ht="12" customHeight="1" x14ac:dyDescent="0.2">
      <c r="A200" s="275" t="s">
        <v>357</v>
      </c>
      <c r="B200" s="275"/>
      <c r="C200" s="188">
        <v>50801</v>
      </c>
      <c r="D200" s="188">
        <v>38287</v>
      </c>
      <c r="E200" s="188">
        <v>12514</v>
      </c>
      <c r="F200" s="188">
        <v>7876</v>
      </c>
      <c r="G200" s="188">
        <v>4329</v>
      </c>
      <c r="H200" s="188">
        <v>45</v>
      </c>
      <c r="I200" s="188">
        <v>254</v>
      </c>
      <c r="J200" s="188">
        <v>10</v>
      </c>
      <c r="K200" s="188">
        <v>0</v>
      </c>
    </row>
    <row r="201" spans="1:11" s="186" customFormat="1" ht="12" customHeight="1" x14ac:dyDescent="0.2">
      <c r="A201" s="275" t="s">
        <v>358</v>
      </c>
      <c r="B201" s="275"/>
      <c r="C201" s="185">
        <v>55681</v>
      </c>
      <c r="D201" s="185">
        <v>41777</v>
      </c>
      <c r="E201" s="185">
        <v>13904</v>
      </c>
      <c r="F201" s="185">
        <v>10014</v>
      </c>
      <c r="G201" s="185">
        <v>3618</v>
      </c>
      <c r="H201" s="185">
        <v>92</v>
      </c>
      <c r="I201" s="185">
        <v>157</v>
      </c>
      <c r="J201" s="185">
        <v>23</v>
      </c>
      <c r="K201" s="185">
        <v>0</v>
      </c>
    </row>
    <row r="202" spans="1:11" s="186" customFormat="1" ht="12" customHeight="1" x14ac:dyDescent="0.2">
      <c r="A202" s="275" t="s">
        <v>359</v>
      </c>
      <c r="B202" s="275"/>
      <c r="C202" s="185">
        <v>150175</v>
      </c>
      <c r="D202" s="185">
        <v>103017</v>
      </c>
      <c r="E202" s="185">
        <v>47158</v>
      </c>
      <c r="F202" s="185">
        <v>31019</v>
      </c>
      <c r="G202" s="185">
        <v>15184</v>
      </c>
      <c r="H202" s="185">
        <v>254</v>
      </c>
      <c r="I202" s="185">
        <v>565</v>
      </c>
      <c r="J202" s="185">
        <v>112</v>
      </c>
      <c r="K202" s="185">
        <v>24</v>
      </c>
    </row>
    <row r="203" spans="1:11" s="186" customFormat="1" ht="12" customHeight="1" x14ac:dyDescent="0.2">
      <c r="A203" s="199" t="s">
        <v>360</v>
      </c>
      <c r="B203" s="199"/>
      <c r="C203" s="196">
        <v>17097</v>
      </c>
      <c r="D203" s="196">
        <v>12795</v>
      </c>
      <c r="E203" s="196">
        <v>4302</v>
      </c>
      <c r="F203" s="196">
        <v>3091</v>
      </c>
      <c r="G203" s="196">
        <v>1112</v>
      </c>
      <c r="H203" s="196">
        <v>23</v>
      </c>
      <c r="I203" s="196">
        <v>71</v>
      </c>
      <c r="J203" s="196">
        <v>5</v>
      </c>
      <c r="K203" s="196">
        <v>0</v>
      </c>
    </row>
    <row r="204" spans="1:11" s="186" customFormat="1" ht="12" customHeight="1" x14ac:dyDescent="0.2">
      <c r="A204" s="194"/>
      <c r="B204" s="194"/>
      <c r="C204" s="195"/>
      <c r="D204" s="195"/>
      <c r="E204" s="195"/>
      <c r="F204" s="195"/>
      <c r="G204" s="195"/>
      <c r="H204" s="195"/>
      <c r="I204" s="195"/>
      <c r="J204" s="195"/>
      <c r="K204" s="195"/>
    </row>
    <row r="205" spans="1:11" s="186" customFormat="1" ht="12" customHeight="1" x14ac:dyDescent="0.2">
      <c r="A205" s="200" t="s">
        <v>361</v>
      </c>
      <c r="B205" s="200"/>
      <c r="C205" s="201">
        <v>25320</v>
      </c>
      <c r="D205" s="201">
        <v>19678</v>
      </c>
      <c r="E205" s="201">
        <v>5642</v>
      </c>
      <c r="F205" s="201">
        <v>4033</v>
      </c>
      <c r="G205" s="201">
        <v>1427</v>
      </c>
      <c r="H205" s="201">
        <v>33</v>
      </c>
      <c r="I205" s="201">
        <v>132</v>
      </c>
      <c r="J205" s="201">
        <v>17</v>
      </c>
      <c r="K205" s="201">
        <v>0</v>
      </c>
    </row>
    <row r="206" spans="1:11" s="202" customFormat="1" ht="12" customHeight="1" x14ac:dyDescent="0.15"/>
    <row r="207" spans="1:11" s="203" customFormat="1" ht="12" customHeight="1" x14ac:dyDescent="0.2">
      <c r="A207" s="241" t="s">
        <v>372</v>
      </c>
      <c r="B207" s="241"/>
      <c r="C207" s="241"/>
      <c r="D207" s="241"/>
      <c r="E207" s="241"/>
      <c r="F207" s="241"/>
      <c r="G207" s="241"/>
      <c r="H207" s="241"/>
      <c r="I207" s="241"/>
      <c r="J207" s="241"/>
      <c r="K207" s="241"/>
    </row>
    <row r="208" spans="1:11" s="204" customFormat="1" ht="12" customHeight="1" x14ac:dyDescent="0.2">
      <c r="A208" s="241" t="s">
        <v>362</v>
      </c>
      <c r="B208" s="241"/>
      <c r="C208" s="241"/>
      <c r="D208" s="241"/>
      <c r="E208" s="241"/>
      <c r="F208" s="241"/>
      <c r="G208" s="241"/>
      <c r="H208" s="241"/>
      <c r="I208" s="241"/>
      <c r="J208" s="241"/>
      <c r="K208" s="241"/>
    </row>
    <row r="209" spans="1:11" s="204" customFormat="1" ht="12" customHeight="1" x14ac:dyDescent="0.15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</row>
    <row r="210" spans="1:11" s="202" customFormat="1" ht="12" customHeight="1" x14ac:dyDescent="0.2">
      <c r="A210" s="241" t="s">
        <v>339</v>
      </c>
      <c r="B210" s="241"/>
      <c r="C210" s="241"/>
      <c r="D210" s="241"/>
      <c r="E210" s="241"/>
      <c r="F210" s="241"/>
      <c r="G210" s="241"/>
      <c r="H210" s="241"/>
      <c r="I210" s="241"/>
      <c r="J210" s="241"/>
      <c r="K210" s="241"/>
    </row>
    <row r="211" spans="1:11" s="204" customFormat="1" ht="12" customHeight="1" x14ac:dyDescent="0.2">
      <c r="A211" s="243"/>
      <c r="B211" s="243"/>
      <c r="C211" s="243"/>
      <c r="D211" s="243"/>
      <c r="E211" s="243"/>
      <c r="F211" s="243"/>
      <c r="G211" s="243"/>
      <c r="H211" s="243"/>
      <c r="I211" s="243"/>
      <c r="J211" s="243"/>
      <c r="K211" s="243"/>
    </row>
    <row r="212" spans="1:11" s="203" customFormat="1" ht="12" customHeight="1" x14ac:dyDescent="0.2">
      <c r="A212" s="241" t="s">
        <v>377</v>
      </c>
      <c r="B212" s="241"/>
      <c r="C212" s="241"/>
      <c r="D212" s="241"/>
      <c r="E212" s="241"/>
      <c r="F212" s="241"/>
      <c r="G212" s="241"/>
      <c r="H212" s="241"/>
      <c r="I212" s="241"/>
      <c r="J212" s="241"/>
      <c r="K212" s="241"/>
    </row>
    <row r="213" spans="1:11" s="203" customFormat="1" ht="12" customHeight="1" x14ac:dyDescent="0.2">
      <c r="A213" s="241" t="s">
        <v>352</v>
      </c>
      <c r="B213" s="241"/>
      <c r="C213" s="241"/>
      <c r="D213" s="241"/>
      <c r="E213" s="241"/>
      <c r="F213" s="241"/>
      <c r="G213" s="241"/>
      <c r="H213" s="241"/>
      <c r="I213" s="241"/>
      <c r="J213" s="241"/>
      <c r="K213" s="241"/>
    </row>
  </sheetData>
  <mergeCells count="178">
    <mergeCell ref="A6:B6"/>
    <mergeCell ref="E6:K6"/>
    <mergeCell ref="A7:B7"/>
    <mergeCell ref="A8:B8"/>
    <mergeCell ref="A9:B9"/>
    <mergeCell ref="A10:B10"/>
    <mergeCell ref="A1:K1"/>
    <mergeCell ref="A2:K2"/>
    <mergeCell ref="A3:K3"/>
    <mergeCell ref="A4:K4"/>
    <mergeCell ref="A5:B5"/>
    <mergeCell ref="E5:K5"/>
    <mergeCell ref="A25:B25"/>
    <mergeCell ref="A26:B26"/>
    <mergeCell ref="A29:B29"/>
    <mergeCell ref="A32:B32"/>
    <mergeCell ref="A33:B33"/>
    <mergeCell ref="A38:B38"/>
    <mergeCell ref="A12:B12"/>
    <mergeCell ref="A13:B13"/>
    <mergeCell ref="A17:B17"/>
    <mergeCell ref="A21:B21"/>
    <mergeCell ref="A23:B23"/>
    <mergeCell ref="A24:B24"/>
    <mergeCell ref="A52:B52"/>
    <mergeCell ref="A53:B53"/>
    <mergeCell ref="A54:B54"/>
    <mergeCell ref="A55:B55"/>
    <mergeCell ref="A57:B57"/>
    <mergeCell ref="A58:B58"/>
    <mergeCell ref="A39:B39"/>
    <mergeCell ref="A40:B40"/>
    <mergeCell ref="A42:B42"/>
    <mergeCell ref="A43:B43"/>
    <mergeCell ref="A44:B44"/>
    <mergeCell ref="A47:B47"/>
    <mergeCell ref="A65:B65"/>
    <mergeCell ref="A66:B66"/>
    <mergeCell ref="A67:B67"/>
    <mergeCell ref="A68:B68"/>
    <mergeCell ref="A70:B70"/>
    <mergeCell ref="A71:B71"/>
    <mergeCell ref="A59:B59"/>
    <mergeCell ref="A60:B60"/>
    <mergeCell ref="A61:B61"/>
    <mergeCell ref="A62:B62"/>
    <mergeCell ref="A63:B63"/>
    <mergeCell ref="A64:B64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2:B122"/>
    <mergeCell ref="A124:B124"/>
    <mergeCell ref="A125:B125"/>
    <mergeCell ref="A126:B126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52:B152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9:B149"/>
    <mergeCell ref="A150:B150"/>
    <mergeCell ref="A151:B151"/>
    <mergeCell ref="A165:B165"/>
    <mergeCell ref="A167:B167"/>
    <mergeCell ref="A168:B168"/>
    <mergeCell ref="A169:B169"/>
    <mergeCell ref="A171:B171"/>
    <mergeCell ref="A172:B172"/>
    <mergeCell ref="A159:B159"/>
    <mergeCell ref="A160:B160"/>
    <mergeCell ref="A161:B161"/>
    <mergeCell ref="A162:B162"/>
    <mergeCell ref="A163:B163"/>
    <mergeCell ref="A164:B164"/>
    <mergeCell ref="A180:B180"/>
    <mergeCell ref="A181:B181"/>
    <mergeCell ref="A182:B182"/>
    <mergeCell ref="A183:B183"/>
    <mergeCell ref="A184:B184"/>
    <mergeCell ref="A185:B185"/>
    <mergeCell ref="A173:B173"/>
    <mergeCell ref="A174:B174"/>
    <mergeCell ref="A176:B176"/>
    <mergeCell ref="A177:B177"/>
    <mergeCell ref="A178:B178"/>
    <mergeCell ref="A179:B179"/>
    <mergeCell ref="A193:B193"/>
    <mergeCell ref="A194:B194"/>
    <mergeCell ref="A195:B195"/>
    <mergeCell ref="A196:B196"/>
    <mergeCell ref="A198:B198"/>
    <mergeCell ref="A199:B199"/>
    <mergeCell ref="A186:B186"/>
    <mergeCell ref="A188:B188"/>
    <mergeCell ref="A189:B189"/>
    <mergeCell ref="A190:B190"/>
    <mergeCell ref="A191:B191"/>
    <mergeCell ref="A192:B192"/>
    <mergeCell ref="A210:K210"/>
    <mergeCell ref="A211:K211"/>
    <mergeCell ref="A212:K212"/>
    <mergeCell ref="A213:K213"/>
    <mergeCell ref="A200:B200"/>
    <mergeCell ref="A201:B201"/>
    <mergeCell ref="A202:B202"/>
    <mergeCell ref="A207:K207"/>
    <mergeCell ref="A208:K208"/>
    <mergeCell ref="A209:K209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14"/>
  <dimension ref="A1:K213"/>
  <sheetViews>
    <sheetView workbookViewId="0">
      <pane ySplit="10" topLeftCell="A11" activePane="bottomLeft" state="frozen"/>
      <selection pane="bottomLeft" sqref="A1:K1"/>
    </sheetView>
  </sheetViews>
  <sheetFormatPr defaultRowHeight="12" x14ac:dyDescent="0.2"/>
  <cols>
    <col min="1" max="1" width="1.7109375" style="174" customWidth="1"/>
    <col min="2" max="2" width="28.140625" style="174" customWidth="1"/>
    <col min="3" max="8" width="11.7109375" style="175" customWidth="1"/>
    <col min="9" max="11" width="11.7109375" style="174" customWidth="1"/>
    <col min="12" max="16384" width="9.140625" style="174"/>
  </cols>
  <sheetData>
    <row r="1" spans="1:11" s="147" customFormat="1" ht="12.75" customHeight="1" x14ac:dyDescent="0.2">
      <c r="A1" s="300"/>
      <c r="B1" s="300"/>
      <c r="C1" s="300"/>
      <c r="D1" s="300"/>
      <c r="E1" s="300"/>
      <c r="F1" s="300"/>
      <c r="G1" s="300"/>
      <c r="H1" s="300"/>
      <c r="I1" s="300"/>
      <c r="J1" s="300"/>
      <c r="K1" s="300"/>
    </row>
    <row r="2" spans="1:11" s="147" customFormat="1" ht="12.75" customHeight="1" x14ac:dyDescent="0.2">
      <c r="A2" s="289" t="s">
        <v>374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</row>
    <row r="3" spans="1:11" s="148" customFormat="1" ht="12.75" customHeight="1" x14ac:dyDescent="0.25">
      <c r="A3" s="301"/>
      <c r="B3" s="301"/>
      <c r="C3" s="301"/>
      <c r="D3" s="301"/>
      <c r="E3" s="301"/>
      <c r="F3" s="301"/>
      <c r="G3" s="301"/>
      <c r="H3" s="301"/>
      <c r="I3" s="301"/>
      <c r="J3" s="301"/>
      <c r="K3" s="301"/>
    </row>
    <row r="4" spans="1:11" s="148" customFormat="1" ht="12.75" customHeight="1" x14ac:dyDescent="0.25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01"/>
    </row>
    <row r="5" spans="1:11" s="149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74"/>
    </row>
    <row r="6" spans="1:11" s="149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</row>
    <row r="7" spans="1:11" s="149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08"/>
    </row>
    <row r="8" spans="1:11" s="149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4</v>
      </c>
    </row>
    <row r="9" spans="1:11" s="149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8</v>
      </c>
    </row>
    <row r="10" spans="1:11" s="151" customFormat="1" ht="12" customHeight="1" x14ac:dyDescent="0.2">
      <c r="A10" s="299" t="s">
        <v>10</v>
      </c>
      <c r="B10" s="299"/>
      <c r="C10" s="150">
        <v>353343</v>
      </c>
      <c r="D10" s="150">
        <v>255116</v>
      </c>
      <c r="E10" s="150">
        <v>98227</v>
      </c>
      <c r="F10" s="150">
        <v>60880</v>
      </c>
      <c r="G10" s="150">
        <v>35082</v>
      </c>
      <c r="H10" s="150">
        <v>577</v>
      </c>
      <c r="I10" s="150">
        <v>1481</v>
      </c>
      <c r="J10" s="150">
        <v>186</v>
      </c>
      <c r="K10" s="150">
        <v>21</v>
      </c>
    </row>
    <row r="11" spans="1:11" s="151" customFormat="1" ht="12" customHeight="1" x14ac:dyDescent="0.2">
      <c r="A11" s="152"/>
      <c r="B11" s="152"/>
      <c r="C11" s="153"/>
      <c r="D11" s="153"/>
      <c r="E11" s="153"/>
      <c r="F11" s="153"/>
      <c r="G11" s="153"/>
      <c r="H11" s="153"/>
      <c r="I11" s="153"/>
      <c r="J11" s="153"/>
      <c r="K11" s="153"/>
    </row>
    <row r="12" spans="1:11" s="155" customFormat="1" ht="12" customHeight="1" x14ac:dyDescent="0.2">
      <c r="A12" s="294" t="s">
        <v>11</v>
      </c>
      <c r="B12" s="294"/>
      <c r="C12" s="154">
        <v>25130</v>
      </c>
      <c r="D12" s="154">
        <v>18743</v>
      </c>
      <c r="E12" s="154">
        <v>6387</v>
      </c>
      <c r="F12" s="154">
        <v>4391</v>
      </c>
      <c r="G12" s="154">
        <v>1815</v>
      </c>
      <c r="H12" s="154">
        <v>34</v>
      </c>
      <c r="I12" s="154">
        <v>138</v>
      </c>
      <c r="J12" s="154">
        <v>9</v>
      </c>
      <c r="K12" s="154">
        <v>0</v>
      </c>
    </row>
    <row r="13" spans="1:11" s="157" customFormat="1" ht="12" customHeight="1" x14ac:dyDescent="0.2">
      <c r="A13" s="291" t="s">
        <v>12</v>
      </c>
      <c r="B13" s="291"/>
      <c r="C13" s="156">
        <v>9113</v>
      </c>
      <c r="D13" s="156">
        <v>6648</v>
      </c>
      <c r="E13" s="156">
        <v>2465</v>
      </c>
      <c r="F13" s="156">
        <v>1534</v>
      </c>
      <c r="G13" s="156">
        <v>821</v>
      </c>
      <c r="H13" s="156">
        <v>22</v>
      </c>
      <c r="I13" s="156">
        <v>80</v>
      </c>
      <c r="J13" s="156">
        <v>8</v>
      </c>
      <c r="K13" s="156">
        <v>0</v>
      </c>
    </row>
    <row r="14" spans="1:11" s="157" customFormat="1" ht="12" customHeight="1" x14ac:dyDescent="0.2">
      <c r="A14" s="158"/>
      <c r="B14" s="159" t="s">
        <v>13</v>
      </c>
      <c r="C14" s="156">
        <v>3225</v>
      </c>
      <c r="D14" s="156">
        <v>2484</v>
      </c>
      <c r="E14" s="156">
        <v>741</v>
      </c>
      <c r="F14" s="156">
        <v>409</v>
      </c>
      <c r="G14" s="156">
        <v>299</v>
      </c>
      <c r="H14" s="156">
        <v>12</v>
      </c>
      <c r="I14" s="156">
        <v>19</v>
      </c>
      <c r="J14" s="156">
        <v>2</v>
      </c>
      <c r="K14" s="156">
        <v>0</v>
      </c>
    </row>
    <row r="15" spans="1:11" s="157" customFormat="1" ht="12" customHeight="1" x14ac:dyDescent="0.2">
      <c r="A15" s="158"/>
      <c r="B15" s="159" t="s">
        <v>14</v>
      </c>
      <c r="C15" s="156">
        <v>2903</v>
      </c>
      <c r="D15" s="156">
        <v>2305</v>
      </c>
      <c r="E15" s="156">
        <v>598</v>
      </c>
      <c r="F15" s="156">
        <v>431</v>
      </c>
      <c r="G15" s="156">
        <v>163</v>
      </c>
      <c r="H15" s="156">
        <v>4</v>
      </c>
      <c r="I15" s="156">
        <v>0</v>
      </c>
      <c r="J15" s="156">
        <v>0</v>
      </c>
      <c r="K15" s="156">
        <v>0</v>
      </c>
    </row>
    <row r="16" spans="1:11" s="157" customFormat="1" ht="12" customHeight="1" x14ac:dyDescent="0.2">
      <c r="A16" s="158"/>
      <c r="B16" s="160" t="s">
        <v>15</v>
      </c>
      <c r="C16" s="156">
        <v>2985</v>
      </c>
      <c r="D16" s="156">
        <v>1859</v>
      </c>
      <c r="E16" s="156">
        <v>1126</v>
      </c>
      <c r="F16" s="156">
        <v>694</v>
      </c>
      <c r="G16" s="156">
        <v>359</v>
      </c>
      <c r="H16" s="156">
        <v>6</v>
      </c>
      <c r="I16" s="156">
        <v>61</v>
      </c>
      <c r="J16" s="156">
        <v>6</v>
      </c>
      <c r="K16" s="156">
        <v>0</v>
      </c>
    </row>
    <row r="17" spans="1:11" s="157" customFormat="1" ht="12" customHeight="1" x14ac:dyDescent="0.2">
      <c r="A17" s="291" t="s">
        <v>16</v>
      </c>
      <c r="B17" s="291"/>
      <c r="C17" s="156">
        <v>5682</v>
      </c>
      <c r="D17" s="156">
        <v>5132</v>
      </c>
      <c r="E17" s="156">
        <v>550</v>
      </c>
      <c r="F17" s="156">
        <v>344</v>
      </c>
      <c r="G17" s="156">
        <v>203</v>
      </c>
      <c r="H17" s="156">
        <v>2</v>
      </c>
      <c r="I17" s="156">
        <v>0</v>
      </c>
      <c r="J17" s="156">
        <v>1</v>
      </c>
      <c r="K17" s="156">
        <v>0</v>
      </c>
    </row>
    <row r="18" spans="1:11" s="157" customFormat="1" ht="12" customHeight="1" x14ac:dyDescent="0.2">
      <c r="A18" s="158"/>
      <c r="B18" s="159" t="s">
        <v>17</v>
      </c>
      <c r="C18" s="156">
        <v>1803</v>
      </c>
      <c r="D18" s="156">
        <v>1661</v>
      </c>
      <c r="E18" s="156">
        <v>142</v>
      </c>
      <c r="F18" s="156">
        <v>74</v>
      </c>
      <c r="G18" s="156">
        <v>66</v>
      </c>
      <c r="H18" s="156">
        <v>2</v>
      </c>
      <c r="I18" s="156">
        <v>0</v>
      </c>
      <c r="J18" s="156">
        <v>0</v>
      </c>
      <c r="K18" s="156">
        <v>0</v>
      </c>
    </row>
    <row r="19" spans="1:11" s="157" customFormat="1" ht="12" customHeight="1" x14ac:dyDescent="0.2">
      <c r="A19" s="158"/>
      <c r="B19" s="159" t="s">
        <v>18</v>
      </c>
      <c r="C19" s="156">
        <v>1808</v>
      </c>
      <c r="D19" s="156">
        <v>1590</v>
      </c>
      <c r="E19" s="156">
        <v>218</v>
      </c>
      <c r="F19" s="156">
        <v>148</v>
      </c>
      <c r="G19" s="156">
        <v>70</v>
      </c>
      <c r="H19" s="156">
        <v>0</v>
      </c>
      <c r="I19" s="156">
        <v>0</v>
      </c>
      <c r="J19" s="156">
        <v>0</v>
      </c>
      <c r="K19" s="156">
        <v>0</v>
      </c>
    </row>
    <row r="20" spans="1:11" s="157" customFormat="1" ht="12" customHeight="1" x14ac:dyDescent="0.2">
      <c r="A20" s="161"/>
      <c r="B20" s="159" t="s">
        <v>19</v>
      </c>
      <c r="C20" s="156">
        <v>2071</v>
      </c>
      <c r="D20" s="156">
        <v>1881</v>
      </c>
      <c r="E20" s="156">
        <v>190</v>
      </c>
      <c r="F20" s="156">
        <v>122</v>
      </c>
      <c r="G20" s="156">
        <v>67</v>
      </c>
      <c r="H20" s="156">
        <v>0</v>
      </c>
      <c r="I20" s="156">
        <v>0</v>
      </c>
      <c r="J20" s="156">
        <v>1</v>
      </c>
      <c r="K20" s="156">
        <v>0</v>
      </c>
    </row>
    <row r="21" spans="1:11" s="157" customFormat="1" ht="12" customHeight="1" x14ac:dyDescent="0.2">
      <c r="A21" s="293" t="s">
        <v>20</v>
      </c>
      <c r="B21" s="293"/>
      <c r="C21" s="163">
        <v>10335</v>
      </c>
      <c r="D21" s="163">
        <v>6963</v>
      </c>
      <c r="E21" s="163">
        <v>3372</v>
      </c>
      <c r="F21" s="163">
        <v>2513</v>
      </c>
      <c r="G21" s="163">
        <v>791</v>
      </c>
      <c r="H21" s="163">
        <v>10</v>
      </c>
      <c r="I21" s="163">
        <v>58</v>
      </c>
      <c r="J21" s="163">
        <v>0</v>
      </c>
      <c r="K21" s="163">
        <v>0</v>
      </c>
    </row>
    <row r="22" spans="1:11" s="157" customFormat="1" ht="12" customHeight="1" x14ac:dyDescent="0.2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55" customFormat="1" ht="12" customHeight="1" x14ac:dyDescent="0.2">
      <c r="A23" s="294" t="s">
        <v>342</v>
      </c>
      <c r="B23" s="294"/>
      <c r="C23" s="154">
        <v>70045</v>
      </c>
      <c r="D23" s="154">
        <v>53594</v>
      </c>
      <c r="E23" s="154">
        <v>16451</v>
      </c>
      <c r="F23" s="154">
        <v>11144</v>
      </c>
      <c r="G23" s="154">
        <v>4973</v>
      </c>
      <c r="H23" s="154">
        <v>122</v>
      </c>
      <c r="I23" s="154">
        <v>191</v>
      </c>
      <c r="J23" s="154">
        <v>21</v>
      </c>
      <c r="K23" s="154">
        <v>0</v>
      </c>
    </row>
    <row r="24" spans="1:11" s="157" customFormat="1" ht="12" customHeight="1" x14ac:dyDescent="0.2">
      <c r="A24" s="291" t="s">
        <v>22</v>
      </c>
      <c r="B24" s="291"/>
      <c r="C24" s="156">
        <v>41528</v>
      </c>
      <c r="D24" s="156">
        <v>29779</v>
      </c>
      <c r="E24" s="156">
        <v>11749</v>
      </c>
      <c r="F24" s="156">
        <v>7906</v>
      </c>
      <c r="G24" s="156">
        <v>3594</v>
      </c>
      <c r="H24" s="156">
        <v>102</v>
      </c>
      <c r="I24" s="156">
        <v>131</v>
      </c>
      <c r="J24" s="156">
        <v>16</v>
      </c>
      <c r="K24" s="156">
        <v>0</v>
      </c>
    </row>
    <row r="25" spans="1:11" s="157" customFormat="1" ht="12" customHeight="1" x14ac:dyDescent="0.2">
      <c r="A25" s="291" t="s">
        <v>23</v>
      </c>
      <c r="B25" s="291"/>
      <c r="C25" s="156">
        <v>5192</v>
      </c>
      <c r="D25" s="156">
        <v>4092</v>
      </c>
      <c r="E25" s="156">
        <v>1100</v>
      </c>
      <c r="F25" s="156">
        <v>714</v>
      </c>
      <c r="G25" s="156">
        <v>375</v>
      </c>
      <c r="H25" s="156">
        <v>5</v>
      </c>
      <c r="I25" s="156">
        <v>6</v>
      </c>
      <c r="J25" s="156">
        <v>0</v>
      </c>
      <c r="K25" s="156">
        <v>0</v>
      </c>
    </row>
    <row r="26" spans="1:11" s="157" customFormat="1" ht="12" customHeight="1" x14ac:dyDescent="0.2">
      <c r="A26" s="291" t="s">
        <v>24</v>
      </c>
      <c r="B26" s="291"/>
      <c r="C26" s="156">
        <v>12937</v>
      </c>
      <c r="D26" s="156">
        <v>10458</v>
      </c>
      <c r="E26" s="156">
        <v>2479</v>
      </c>
      <c r="F26" s="156">
        <v>1749</v>
      </c>
      <c r="G26" s="156">
        <v>662</v>
      </c>
      <c r="H26" s="156">
        <v>10</v>
      </c>
      <c r="I26" s="156">
        <v>53</v>
      </c>
      <c r="J26" s="156">
        <v>5</v>
      </c>
      <c r="K26" s="156">
        <v>0</v>
      </c>
    </row>
    <row r="27" spans="1:11" s="157" customFormat="1" ht="12" customHeight="1" x14ac:dyDescent="0.2">
      <c r="A27" s="164"/>
      <c r="B27" s="159" t="s">
        <v>25</v>
      </c>
      <c r="C27" s="156">
        <v>881</v>
      </c>
      <c r="D27" s="156">
        <v>823</v>
      </c>
      <c r="E27" s="156">
        <v>58</v>
      </c>
      <c r="F27" s="156">
        <v>37</v>
      </c>
      <c r="G27" s="156">
        <v>21</v>
      </c>
      <c r="H27" s="156">
        <v>0</v>
      </c>
      <c r="I27" s="156">
        <v>0</v>
      </c>
      <c r="J27" s="156">
        <v>0</v>
      </c>
      <c r="K27" s="156">
        <v>0</v>
      </c>
    </row>
    <row r="28" spans="1:11" s="157" customFormat="1" ht="12" customHeight="1" x14ac:dyDescent="0.2">
      <c r="A28" s="161"/>
      <c r="B28" s="159" t="s">
        <v>26</v>
      </c>
      <c r="C28" s="156">
        <v>12056</v>
      </c>
      <c r="D28" s="156">
        <v>9635</v>
      </c>
      <c r="E28" s="156">
        <v>2421</v>
      </c>
      <c r="F28" s="156">
        <v>1712</v>
      </c>
      <c r="G28" s="156">
        <v>641</v>
      </c>
      <c r="H28" s="156">
        <v>10</v>
      </c>
      <c r="I28" s="156">
        <v>53</v>
      </c>
      <c r="J28" s="156">
        <v>5</v>
      </c>
      <c r="K28" s="156">
        <v>0</v>
      </c>
    </row>
    <row r="29" spans="1:11" s="157" customFormat="1" ht="12" customHeight="1" x14ac:dyDescent="0.2">
      <c r="A29" s="291" t="s">
        <v>27</v>
      </c>
      <c r="B29" s="291"/>
      <c r="C29" s="156">
        <v>3736</v>
      </c>
      <c r="D29" s="156">
        <v>3321</v>
      </c>
      <c r="E29" s="156">
        <v>415</v>
      </c>
      <c r="F29" s="156">
        <v>286</v>
      </c>
      <c r="G29" s="156">
        <v>129</v>
      </c>
      <c r="H29" s="156">
        <v>0</v>
      </c>
      <c r="I29" s="156">
        <v>0</v>
      </c>
      <c r="J29" s="156">
        <v>0</v>
      </c>
      <c r="K29" s="156">
        <v>0</v>
      </c>
    </row>
    <row r="30" spans="1:11" s="157" customFormat="1" ht="12" customHeight="1" x14ac:dyDescent="0.2">
      <c r="A30" s="164"/>
      <c r="B30" s="159" t="s">
        <v>28</v>
      </c>
      <c r="C30" s="156">
        <v>1147</v>
      </c>
      <c r="D30" s="156">
        <v>1037</v>
      </c>
      <c r="E30" s="156">
        <v>110</v>
      </c>
      <c r="F30" s="156">
        <v>82</v>
      </c>
      <c r="G30" s="156">
        <v>28</v>
      </c>
      <c r="H30" s="156">
        <v>0</v>
      </c>
      <c r="I30" s="156">
        <v>0</v>
      </c>
      <c r="J30" s="156">
        <v>0</v>
      </c>
      <c r="K30" s="156">
        <v>0</v>
      </c>
    </row>
    <row r="31" spans="1:11" s="157" customFormat="1" ht="12" customHeight="1" x14ac:dyDescent="0.2">
      <c r="A31" s="161"/>
      <c r="B31" s="159" t="s">
        <v>29</v>
      </c>
      <c r="C31" s="156">
        <v>2589</v>
      </c>
      <c r="D31" s="156">
        <v>2284</v>
      </c>
      <c r="E31" s="156">
        <v>305</v>
      </c>
      <c r="F31" s="156">
        <v>204</v>
      </c>
      <c r="G31" s="156">
        <v>101</v>
      </c>
      <c r="H31" s="156">
        <v>0</v>
      </c>
      <c r="I31" s="156">
        <v>0</v>
      </c>
      <c r="J31" s="156">
        <v>0</v>
      </c>
      <c r="K31" s="156">
        <v>0</v>
      </c>
    </row>
    <row r="32" spans="1:11" s="157" customFormat="1" ht="12" customHeight="1" x14ac:dyDescent="0.2">
      <c r="A32" s="291" t="s">
        <v>30</v>
      </c>
      <c r="B32" s="291"/>
      <c r="C32" s="156">
        <v>682</v>
      </c>
      <c r="D32" s="156">
        <v>631</v>
      </c>
      <c r="E32" s="156">
        <v>51</v>
      </c>
      <c r="F32" s="156">
        <v>31</v>
      </c>
      <c r="G32" s="156">
        <v>20</v>
      </c>
      <c r="H32" s="156">
        <v>0</v>
      </c>
      <c r="I32" s="156">
        <v>0</v>
      </c>
      <c r="J32" s="156">
        <v>0</v>
      </c>
      <c r="K32" s="156">
        <v>0</v>
      </c>
    </row>
    <row r="33" spans="1:11" s="157" customFormat="1" ht="12" customHeight="1" x14ac:dyDescent="0.2">
      <c r="A33" s="291" t="s">
        <v>343</v>
      </c>
      <c r="B33" s="291"/>
      <c r="C33" s="156">
        <v>5970</v>
      </c>
      <c r="D33" s="156">
        <v>5313</v>
      </c>
      <c r="E33" s="156">
        <v>657</v>
      </c>
      <c r="F33" s="156">
        <v>458</v>
      </c>
      <c r="G33" s="156">
        <v>193</v>
      </c>
      <c r="H33" s="156">
        <v>5</v>
      </c>
      <c r="I33" s="156">
        <v>1</v>
      </c>
      <c r="J33" s="156">
        <v>0</v>
      </c>
      <c r="K33" s="156">
        <v>0</v>
      </c>
    </row>
    <row r="34" spans="1:11" s="157" customFormat="1" ht="12" customHeight="1" x14ac:dyDescent="0.2">
      <c r="A34" s="164"/>
      <c r="B34" s="159" t="s">
        <v>32</v>
      </c>
      <c r="C34" s="156">
        <v>509</v>
      </c>
      <c r="D34" s="156">
        <v>478</v>
      </c>
      <c r="E34" s="156">
        <v>31</v>
      </c>
      <c r="F34" s="156">
        <v>19</v>
      </c>
      <c r="G34" s="156">
        <v>11</v>
      </c>
      <c r="H34" s="156">
        <v>1</v>
      </c>
      <c r="I34" s="156">
        <v>0</v>
      </c>
      <c r="J34" s="156">
        <v>0</v>
      </c>
      <c r="K34" s="156">
        <v>0</v>
      </c>
    </row>
    <row r="35" spans="1:11" s="157" customFormat="1" ht="12" customHeight="1" x14ac:dyDescent="0.2">
      <c r="A35" s="158"/>
      <c r="B35" s="159" t="s">
        <v>33</v>
      </c>
      <c r="C35" s="156">
        <v>192</v>
      </c>
      <c r="D35" s="156">
        <v>169</v>
      </c>
      <c r="E35" s="156">
        <v>23</v>
      </c>
      <c r="F35" s="156">
        <v>17</v>
      </c>
      <c r="G35" s="156">
        <v>6</v>
      </c>
      <c r="H35" s="156">
        <v>0</v>
      </c>
      <c r="I35" s="156">
        <v>0</v>
      </c>
      <c r="J35" s="156">
        <v>0</v>
      </c>
      <c r="K35" s="156">
        <v>0</v>
      </c>
    </row>
    <row r="36" spans="1:11" s="157" customFormat="1" ht="12" customHeight="1" x14ac:dyDescent="0.2">
      <c r="A36" s="158"/>
      <c r="B36" s="165" t="s">
        <v>344</v>
      </c>
      <c r="C36" s="163">
        <v>5269</v>
      </c>
      <c r="D36" s="163">
        <v>4666</v>
      </c>
      <c r="E36" s="163">
        <v>603</v>
      </c>
      <c r="F36" s="163">
        <v>422</v>
      </c>
      <c r="G36" s="163">
        <v>176</v>
      </c>
      <c r="H36" s="163">
        <v>4</v>
      </c>
      <c r="I36" s="163">
        <v>1</v>
      </c>
      <c r="J36" s="163">
        <v>0</v>
      </c>
      <c r="K36" s="163">
        <v>0</v>
      </c>
    </row>
    <row r="37" spans="1:11" s="157" customFormat="1" ht="12" customHeight="1" x14ac:dyDescent="0.2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</row>
    <row r="38" spans="1:11" s="155" customFormat="1" ht="12" customHeight="1" x14ac:dyDescent="0.2">
      <c r="A38" s="294" t="s">
        <v>35</v>
      </c>
      <c r="B38" s="294"/>
      <c r="C38" s="154">
        <v>55313</v>
      </c>
      <c r="D38" s="154">
        <v>40697</v>
      </c>
      <c r="E38" s="154">
        <v>14616</v>
      </c>
      <c r="F38" s="154">
        <v>9986</v>
      </c>
      <c r="G38" s="154">
        <v>4134</v>
      </c>
      <c r="H38" s="154">
        <v>94</v>
      </c>
      <c r="I38" s="154">
        <v>360</v>
      </c>
      <c r="J38" s="154">
        <v>42</v>
      </c>
      <c r="K38" s="154">
        <v>0</v>
      </c>
    </row>
    <row r="39" spans="1:11" s="157" customFormat="1" ht="12" customHeight="1" x14ac:dyDescent="0.2">
      <c r="A39" s="291" t="s">
        <v>36</v>
      </c>
      <c r="B39" s="291"/>
      <c r="C39" s="156">
        <v>49836</v>
      </c>
      <c r="D39" s="156">
        <v>37088</v>
      </c>
      <c r="E39" s="156">
        <v>12748</v>
      </c>
      <c r="F39" s="156">
        <v>8735</v>
      </c>
      <c r="G39" s="156">
        <v>3598</v>
      </c>
      <c r="H39" s="156">
        <v>76</v>
      </c>
      <c r="I39" s="156">
        <v>298</v>
      </c>
      <c r="J39" s="156">
        <v>41</v>
      </c>
      <c r="K39" s="156">
        <v>0</v>
      </c>
    </row>
    <row r="40" spans="1:11" s="157" customFormat="1" ht="12" customHeight="1" x14ac:dyDescent="0.2">
      <c r="A40" s="293" t="s">
        <v>37</v>
      </c>
      <c r="B40" s="293"/>
      <c r="C40" s="163">
        <v>5477</v>
      </c>
      <c r="D40" s="163">
        <v>3609</v>
      </c>
      <c r="E40" s="163">
        <v>1868</v>
      </c>
      <c r="F40" s="163">
        <v>1251</v>
      </c>
      <c r="G40" s="163">
        <v>536</v>
      </c>
      <c r="H40" s="163">
        <v>18</v>
      </c>
      <c r="I40" s="163">
        <v>62</v>
      </c>
      <c r="J40" s="163">
        <v>1</v>
      </c>
      <c r="K40" s="163">
        <v>0</v>
      </c>
    </row>
    <row r="41" spans="1:11" s="157" customFormat="1" ht="12" customHeight="1" x14ac:dyDescent="0.2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</row>
    <row r="42" spans="1:11" s="155" customFormat="1" ht="12" customHeight="1" x14ac:dyDescent="0.2">
      <c r="A42" s="294" t="s">
        <v>38</v>
      </c>
      <c r="B42" s="294"/>
      <c r="C42" s="154">
        <v>146650</v>
      </c>
      <c r="D42" s="154">
        <v>100057</v>
      </c>
      <c r="E42" s="154">
        <v>46593</v>
      </c>
      <c r="F42" s="154">
        <v>27549</v>
      </c>
      <c r="G42" s="154">
        <v>18142</v>
      </c>
      <c r="H42" s="154">
        <v>259</v>
      </c>
      <c r="I42" s="154">
        <v>526</v>
      </c>
      <c r="J42" s="154">
        <v>96</v>
      </c>
      <c r="K42" s="154">
        <v>21</v>
      </c>
    </row>
    <row r="43" spans="1:11" s="157" customFormat="1" ht="12" customHeight="1" x14ac:dyDescent="0.2">
      <c r="A43" s="291" t="s">
        <v>39</v>
      </c>
      <c r="B43" s="291"/>
      <c r="C43" s="156">
        <v>99214</v>
      </c>
      <c r="D43" s="156">
        <v>62172</v>
      </c>
      <c r="E43" s="156">
        <v>37042</v>
      </c>
      <c r="F43" s="156">
        <v>21059</v>
      </c>
      <c r="G43" s="156">
        <v>15167</v>
      </c>
      <c r="H43" s="156">
        <v>232</v>
      </c>
      <c r="I43" s="156">
        <v>470</v>
      </c>
      <c r="J43" s="156">
        <v>93</v>
      </c>
      <c r="K43" s="156">
        <v>21</v>
      </c>
    </row>
    <row r="44" spans="1:11" s="157" customFormat="1" ht="12" customHeight="1" x14ac:dyDescent="0.2">
      <c r="A44" s="297" t="s">
        <v>40</v>
      </c>
      <c r="B44" s="297"/>
      <c r="C44" s="156">
        <v>23704</v>
      </c>
      <c r="D44" s="156">
        <v>19709</v>
      </c>
      <c r="E44" s="156">
        <v>3995</v>
      </c>
      <c r="F44" s="156">
        <v>2824</v>
      </c>
      <c r="G44" s="156">
        <v>1135</v>
      </c>
      <c r="H44" s="156">
        <v>18</v>
      </c>
      <c r="I44" s="156">
        <v>18</v>
      </c>
      <c r="J44" s="156">
        <v>0</v>
      </c>
      <c r="K44" s="156">
        <v>0</v>
      </c>
    </row>
    <row r="45" spans="1:11" s="157" customFormat="1" ht="12" customHeight="1" x14ac:dyDescent="0.2">
      <c r="A45" s="165"/>
      <c r="B45" s="159" t="s">
        <v>41</v>
      </c>
      <c r="C45" s="156">
        <v>13637</v>
      </c>
      <c r="D45" s="156">
        <v>10882</v>
      </c>
      <c r="E45" s="156">
        <v>2755</v>
      </c>
      <c r="F45" s="156">
        <v>1984</v>
      </c>
      <c r="G45" s="156">
        <v>739</v>
      </c>
      <c r="H45" s="156">
        <v>14</v>
      </c>
      <c r="I45" s="156">
        <v>18</v>
      </c>
      <c r="J45" s="156">
        <v>0</v>
      </c>
      <c r="K45" s="156">
        <v>0</v>
      </c>
    </row>
    <row r="46" spans="1:11" s="157" customFormat="1" ht="12" customHeight="1" x14ac:dyDescent="0.2">
      <c r="A46" s="165"/>
      <c r="B46" s="159" t="s">
        <v>42</v>
      </c>
      <c r="C46" s="156">
        <v>10067</v>
      </c>
      <c r="D46" s="156">
        <v>8827</v>
      </c>
      <c r="E46" s="156">
        <v>1240</v>
      </c>
      <c r="F46" s="156">
        <v>840</v>
      </c>
      <c r="G46" s="156">
        <v>396</v>
      </c>
      <c r="H46" s="156">
        <v>4</v>
      </c>
      <c r="I46" s="156">
        <v>0</v>
      </c>
      <c r="J46" s="156">
        <v>0</v>
      </c>
      <c r="K46" s="156">
        <v>0</v>
      </c>
    </row>
    <row r="47" spans="1:11" s="157" customFormat="1" ht="12" customHeight="1" x14ac:dyDescent="0.2">
      <c r="A47" s="291" t="s">
        <v>44</v>
      </c>
      <c r="B47" s="291"/>
      <c r="C47" s="156">
        <v>23732</v>
      </c>
      <c r="D47" s="156">
        <v>18176</v>
      </c>
      <c r="E47" s="156">
        <v>5556</v>
      </c>
      <c r="F47" s="156">
        <v>3666</v>
      </c>
      <c r="G47" s="156">
        <v>1840</v>
      </c>
      <c r="H47" s="156">
        <v>9</v>
      </c>
      <c r="I47" s="156">
        <v>38</v>
      </c>
      <c r="J47" s="156">
        <v>3</v>
      </c>
      <c r="K47" s="156">
        <v>0</v>
      </c>
    </row>
    <row r="48" spans="1:11" s="157" customFormat="1" ht="12" customHeight="1" x14ac:dyDescent="0.2">
      <c r="A48" s="165"/>
      <c r="B48" s="159" t="s">
        <v>45</v>
      </c>
      <c r="C48" s="156">
        <v>2873</v>
      </c>
      <c r="D48" s="156">
        <v>2514</v>
      </c>
      <c r="E48" s="156">
        <v>359</v>
      </c>
      <c r="F48" s="156">
        <v>236</v>
      </c>
      <c r="G48" s="156">
        <v>121</v>
      </c>
      <c r="H48" s="156">
        <v>2</v>
      </c>
      <c r="I48" s="156">
        <v>0</v>
      </c>
      <c r="J48" s="156">
        <v>0</v>
      </c>
      <c r="K48" s="156">
        <v>0</v>
      </c>
    </row>
    <row r="49" spans="1:11" s="157" customFormat="1" ht="12" customHeight="1" x14ac:dyDescent="0.2">
      <c r="A49" s="165"/>
      <c r="B49" s="159" t="s">
        <v>46</v>
      </c>
      <c r="C49" s="156">
        <v>6091</v>
      </c>
      <c r="D49" s="156">
        <v>5014</v>
      </c>
      <c r="E49" s="156">
        <v>1077</v>
      </c>
      <c r="F49" s="156">
        <v>708</v>
      </c>
      <c r="G49" s="156">
        <v>360</v>
      </c>
      <c r="H49" s="156">
        <v>3</v>
      </c>
      <c r="I49" s="156">
        <v>6</v>
      </c>
      <c r="J49" s="156">
        <v>0</v>
      </c>
      <c r="K49" s="156">
        <v>0</v>
      </c>
    </row>
    <row r="50" spans="1:11" s="157" customFormat="1" ht="12" customHeight="1" x14ac:dyDescent="0.2">
      <c r="A50" s="165"/>
      <c r="B50" s="165" t="s">
        <v>47</v>
      </c>
      <c r="C50" s="163">
        <v>14768</v>
      </c>
      <c r="D50" s="163">
        <v>10648</v>
      </c>
      <c r="E50" s="163">
        <v>4120</v>
      </c>
      <c r="F50" s="163">
        <v>2722</v>
      </c>
      <c r="G50" s="163">
        <v>1359</v>
      </c>
      <c r="H50" s="163">
        <v>4</v>
      </c>
      <c r="I50" s="163">
        <v>32</v>
      </c>
      <c r="J50" s="163">
        <v>3</v>
      </c>
      <c r="K50" s="163">
        <v>0</v>
      </c>
    </row>
    <row r="51" spans="1:11" s="157" customFormat="1" ht="12" customHeight="1" x14ac:dyDescent="0.2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</row>
    <row r="52" spans="1:11" s="155" customFormat="1" ht="12" customHeight="1" x14ac:dyDescent="0.2">
      <c r="A52" s="294" t="s">
        <v>48</v>
      </c>
      <c r="B52" s="294"/>
      <c r="C52" s="154">
        <v>56205</v>
      </c>
      <c r="D52" s="154">
        <v>42025</v>
      </c>
      <c r="E52" s="154">
        <v>14180</v>
      </c>
      <c r="F52" s="154">
        <v>7810</v>
      </c>
      <c r="G52" s="154">
        <v>6018</v>
      </c>
      <c r="H52" s="154">
        <v>68</v>
      </c>
      <c r="I52" s="154">
        <v>266</v>
      </c>
      <c r="J52" s="154">
        <v>18</v>
      </c>
      <c r="K52" s="154">
        <v>0</v>
      </c>
    </row>
    <row r="53" spans="1:11" s="157" customFormat="1" ht="12" customHeight="1" x14ac:dyDescent="0.2">
      <c r="A53" s="291" t="s">
        <v>49</v>
      </c>
      <c r="B53" s="291"/>
      <c r="C53" s="156">
        <v>19220</v>
      </c>
      <c r="D53" s="156">
        <v>12935</v>
      </c>
      <c r="E53" s="156">
        <v>6285</v>
      </c>
      <c r="F53" s="156">
        <v>3402</v>
      </c>
      <c r="G53" s="156">
        <v>2647</v>
      </c>
      <c r="H53" s="156">
        <v>13</v>
      </c>
      <c r="I53" s="156">
        <v>209</v>
      </c>
      <c r="J53" s="156">
        <v>14</v>
      </c>
      <c r="K53" s="156">
        <v>0</v>
      </c>
    </row>
    <row r="54" spans="1:11" s="157" customFormat="1" ht="12" customHeight="1" x14ac:dyDescent="0.2">
      <c r="A54" s="291" t="s">
        <v>50</v>
      </c>
      <c r="B54" s="291"/>
      <c r="C54" s="156">
        <v>32838</v>
      </c>
      <c r="D54" s="156">
        <v>25434</v>
      </c>
      <c r="E54" s="156">
        <v>7404</v>
      </c>
      <c r="F54" s="156">
        <v>4112</v>
      </c>
      <c r="G54" s="156">
        <v>3177</v>
      </c>
      <c r="H54" s="156">
        <v>54</v>
      </c>
      <c r="I54" s="156">
        <v>57</v>
      </c>
      <c r="J54" s="156">
        <v>4</v>
      </c>
      <c r="K54" s="156">
        <v>0</v>
      </c>
    </row>
    <row r="55" spans="1:11" s="157" customFormat="1" ht="12" customHeight="1" x14ac:dyDescent="0.2">
      <c r="A55" s="293" t="s">
        <v>51</v>
      </c>
      <c r="B55" s="293"/>
      <c r="C55" s="163">
        <v>4147</v>
      </c>
      <c r="D55" s="163">
        <v>3656</v>
      </c>
      <c r="E55" s="163">
        <v>491</v>
      </c>
      <c r="F55" s="163">
        <v>296</v>
      </c>
      <c r="G55" s="163">
        <v>194</v>
      </c>
      <c r="H55" s="163">
        <v>1</v>
      </c>
      <c r="I55" s="163">
        <v>0</v>
      </c>
      <c r="J55" s="163">
        <v>0</v>
      </c>
      <c r="K55" s="163">
        <v>0</v>
      </c>
    </row>
    <row r="56" spans="1:11" s="157" customFormat="1" ht="12" customHeight="1" x14ac:dyDescent="0.2">
      <c r="A56" s="160"/>
      <c r="B56" s="166"/>
      <c r="C56" s="167"/>
      <c r="D56" s="167"/>
      <c r="E56" s="167"/>
      <c r="F56" s="167"/>
      <c r="G56" s="167"/>
      <c r="H56" s="167"/>
      <c r="I56" s="167"/>
      <c r="J56" s="167"/>
      <c r="K56" s="167"/>
    </row>
    <row r="57" spans="1:11" s="157" customFormat="1" ht="12" customHeight="1" x14ac:dyDescent="0.2">
      <c r="A57" s="298" t="s">
        <v>52</v>
      </c>
      <c r="B57" s="298"/>
      <c r="C57" s="153">
        <v>50865</v>
      </c>
      <c r="D57" s="153">
        <v>38164</v>
      </c>
      <c r="E57" s="153">
        <v>12701</v>
      </c>
      <c r="F57" s="153">
        <v>7017</v>
      </c>
      <c r="G57" s="153">
        <v>5348</v>
      </c>
      <c r="H57" s="153">
        <v>54</v>
      </c>
      <c r="I57" s="153">
        <v>264</v>
      </c>
      <c r="J57" s="153">
        <v>18</v>
      </c>
      <c r="K57" s="153">
        <v>0</v>
      </c>
    </row>
    <row r="58" spans="1:11" s="157" customFormat="1" ht="12" customHeight="1" x14ac:dyDescent="0.2">
      <c r="A58" s="291" t="s">
        <v>53</v>
      </c>
      <c r="B58" s="291"/>
      <c r="C58" s="156">
        <v>3267</v>
      </c>
      <c r="D58" s="156">
        <v>2413</v>
      </c>
      <c r="E58" s="156">
        <v>854</v>
      </c>
      <c r="F58" s="156">
        <v>515</v>
      </c>
      <c r="G58" s="156">
        <v>336</v>
      </c>
      <c r="H58" s="156">
        <v>0</v>
      </c>
      <c r="I58" s="156">
        <v>3</v>
      </c>
      <c r="J58" s="156">
        <v>0</v>
      </c>
      <c r="K58" s="156">
        <v>0</v>
      </c>
    </row>
    <row r="59" spans="1:11" s="157" customFormat="1" ht="12" customHeight="1" x14ac:dyDescent="0.2">
      <c r="A59" s="291" t="s">
        <v>55</v>
      </c>
      <c r="B59" s="291"/>
      <c r="C59" s="156">
        <v>1988</v>
      </c>
      <c r="D59" s="156">
        <v>1759</v>
      </c>
      <c r="E59" s="156">
        <v>229</v>
      </c>
      <c r="F59" s="156">
        <v>140</v>
      </c>
      <c r="G59" s="156">
        <v>89</v>
      </c>
      <c r="H59" s="156">
        <v>0</v>
      </c>
      <c r="I59" s="156">
        <v>0</v>
      </c>
      <c r="J59" s="156">
        <v>0</v>
      </c>
      <c r="K59" s="156">
        <v>0</v>
      </c>
    </row>
    <row r="60" spans="1:11" s="157" customFormat="1" ht="12" customHeight="1" x14ac:dyDescent="0.2">
      <c r="A60" s="291" t="s">
        <v>56</v>
      </c>
      <c r="B60" s="291"/>
      <c r="C60" s="156">
        <v>2159</v>
      </c>
      <c r="D60" s="156">
        <v>1897</v>
      </c>
      <c r="E60" s="156">
        <v>262</v>
      </c>
      <c r="F60" s="156">
        <v>156</v>
      </c>
      <c r="G60" s="156">
        <v>105</v>
      </c>
      <c r="H60" s="156">
        <v>1</v>
      </c>
      <c r="I60" s="156">
        <v>0</v>
      </c>
      <c r="J60" s="156">
        <v>0</v>
      </c>
      <c r="K60" s="156">
        <v>0</v>
      </c>
    </row>
    <row r="61" spans="1:11" s="157" customFormat="1" ht="12" customHeight="1" x14ac:dyDescent="0.2">
      <c r="A61" s="291" t="s">
        <v>57</v>
      </c>
      <c r="B61" s="291"/>
      <c r="C61" s="156">
        <v>7979</v>
      </c>
      <c r="D61" s="156">
        <v>4653</v>
      </c>
      <c r="E61" s="156">
        <v>3326</v>
      </c>
      <c r="F61" s="156">
        <v>1657</v>
      </c>
      <c r="G61" s="156">
        <v>1453</v>
      </c>
      <c r="H61" s="156">
        <v>10</v>
      </c>
      <c r="I61" s="156">
        <v>197</v>
      </c>
      <c r="J61" s="156">
        <v>9</v>
      </c>
      <c r="K61" s="156">
        <v>0</v>
      </c>
    </row>
    <row r="62" spans="1:11" s="157" customFormat="1" ht="12" customHeight="1" x14ac:dyDescent="0.2">
      <c r="A62" s="291" t="s">
        <v>58</v>
      </c>
      <c r="B62" s="291"/>
      <c r="C62" s="156">
        <v>2939</v>
      </c>
      <c r="D62" s="156">
        <v>2325</v>
      </c>
      <c r="E62" s="156">
        <v>614</v>
      </c>
      <c r="F62" s="156">
        <v>386</v>
      </c>
      <c r="G62" s="156">
        <v>221</v>
      </c>
      <c r="H62" s="156">
        <v>6</v>
      </c>
      <c r="I62" s="156">
        <v>1</v>
      </c>
      <c r="J62" s="156">
        <v>0</v>
      </c>
      <c r="K62" s="156">
        <v>0</v>
      </c>
    </row>
    <row r="63" spans="1:11" s="157" customFormat="1" ht="12" customHeight="1" x14ac:dyDescent="0.2">
      <c r="A63" s="291" t="s">
        <v>60</v>
      </c>
      <c r="B63" s="291"/>
      <c r="C63" s="156">
        <v>14942</v>
      </c>
      <c r="D63" s="156">
        <v>11619</v>
      </c>
      <c r="E63" s="156">
        <v>3323</v>
      </c>
      <c r="F63" s="156">
        <v>1740</v>
      </c>
      <c r="G63" s="156">
        <v>1528</v>
      </c>
      <c r="H63" s="156">
        <v>24</v>
      </c>
      <c r="I63" s="156">
        <v>30</v>
      </c>
      <c r="J63" s="156">
        <v>1</v>
      </c>
      <c r="K63" s="156">
        <v>0</v>
      </c>
    </row>
    <row r="64" spans="1:11" s="157" customFormat="1" ht="12" customHeight="1" x14ac:dyDescent="0.2">
      <c r="A64" s="291" t="s">
        <v>62</v>
      </c>
      <c r="B64" s="291"/>
      <c r="C64" s="156">
        <v>4576</v>
      </c>
      <c r="D64" s="156">
        <v>3469</v>
      </c>
      <c r="E64" s="156">
        <v>1107</v>
      </c>
      <c r="F64" s="156">
        <v>699</v>
      </c>
      <c r="G64" s="156">
        <v>402</v>
      </c>
      <c r="H64" s="156">
        <v>2</v>
      </c>
      <c r="I64" s="156">
        <v>4</v>
      </c>
      <c r="J64" s="156">
        <v>0</v>
      </c>
      <c r="K64" s="156">
        <v>0</v>
      </c>
    </row>
    <row r="65" spans="1:11" s="157" customFormat="1" ht="12" customHeight="1" x14ac:dyDescent="0.2">
      <c r="A65" s="291" t="s">
        <v>63</v>
      </c>
      <c r="B65" s="291"/>
      <c r="C65" s="156">
        <v>2380</v>
      </c>
      <c r="D65" s="156">
        <v>1964</v>
      </c>
      <c r="E65" s="156">
        <v>416</v>
      </c>
      <c r="F65" s="156">
        <v>229</v>
      </c>
      <c r="G65" s="156">
        <v>163</v>
      </c>
      <c r="H65" s="156">
        <v>1</v>
      </c>
      <c r="I65" s="156">
        <v>20</v>
      </c>
      <c r="J65" s="156">
        <v>3</v>
      </c>
      <c r="K65" s="156">
        <v>0</v>
      </c>
    </row>
    <row r="66" spans="1:11" s="157" customFormat="1" ht="12" customHeight="1" x14ac:dyDescent="0.2">
      <c r="A66" s="291" t="s">
        <v>64</v>
      </c>
      <c r="B66" s="291"/>
      <c r="C66" s="156">
        <v>2646</v>
      </c>
      <c r="D66" s="156">
        <v>2163</v>
      </c>
      <c r="E66" s="156">
        <v>483</v>
      </c>
      <c r="F66" s="156">
        <v>301</v>
      </c>
      <c r="G66" s="156">
        <v>180</v>
      </c>
      <c r="H66" s="156">
        <v>2</v>
      </c>
      <c r="I66" s="156">
        <v>0</v>
      </c>
      <c r="J66" s="156">
        <v>0</v>
      </c>
      <c r="K66" s="156">
        <v>0</v>
      </c>
    </row>
    <row r="67" spans="1:11" s="157" customFormat="1" ht="12" customHeight="1" x14ac:dyDescent="0.2">
      <c r="A67" s="291" t="s">
        <v>65</v>
      </c>
      <c r="B67" s="291"/>
      <c r="C67" s="156">
        <v>4591</v>
      </c>
      <c r="D67" s="156">
        <v>3502</v>
      </c>
      <c r="E67" s="156">
        <v>1089</v>
      </c>
      <c r="F67" s="156">
        <v>663</v>
      </c>
      <c r="G67" s="156">
        <v>415</v>
      </c>
      <c r="H67" s="156">
        <v>7</v>
      </c>
      <c r="I67" s="156">
        <v>4</v>
      </c>
      <c r="J67" s="156">
        <v>0</v>
      </c>
      <c r="K67" s="156">
        <v>0</v>
      </c>
    </row>
    <row r="68" spans="1:11" s="157" customFormat="1" ht="12" customHeight="1" x14ac:dyDescent="0.2">
      <c r="A68" s="293" t="s">
        <v>66</v>
      </c>
      <c r="B68" s="293"/>
      <c r="C68" s="163">
        <v>3398</v>
      </c>
      <c r="D68" s="163">
        <v>2400</v>
      </c>
      <c r="E68" s="163">
        <v>998</v>
      </c>
      <c r="F68" s="163">
        <v>531</v>
      </c>
      <c r="G68" s="163">
        <v>456</v>
      </c>
      <c r="H68" s="163">
        <v>1</v>
      </c>
      <c r="I68" s="163">
        <v>5</v>
      </c>
      <c r="J68" s="163">
        <v>5</v>
      </c>
      <c r="K68" s="163">
        <v>0</v>
      </c>
    </row>
    <row r="69" spans="1:11" s="157" customFormat="1" ht="12" customHeight="1" x14ac:dyDescent="0.2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</row>
    <row r="70" spans="1:11" s="157" customFormat="1" ht="12" customHeight="1" x14ac:dyDescent="0.2">
      <c r="A70" s="294" t="s">
        <v>67</v>
      </c>
      <c r="B70" s="294"/>
      <c r="C70" s="154">
        <v>151592</v>
      </c>
      <c r="D70" s="154">
        <v>103558</v>
      </c>
      <c r="E70" s="154">
        <v>48034</v>
      </c>
      <c r="F70" s="154">
        <v>28317</v>
      </c>
      <c r="G70" s="154">
        <v>18799</v>
      </c>
      <c r="H70" s="154">
        <v>273</v>
      </c>
      <c r="I70" s="154">
        <v>528</v>
      </c>
      <c r="J70" s="154">
        <v>96</v>
      </c>
      <c r="K70" s="154">
        <v>21</v>
      </c>
    </row>
    <row r="71" spans="1:11" s="157" customFormat="1" ht="12" customHeight="1" x14ac:dyDescent="0.2">
      <c r="A71" s="291" t="s">
        <v>68</v>
      </c>
      <c r="B71" s="291"/>
      <c r="C71" s="156">
        <v>4445</v>
      </c>
      <c r="D71" s="156">
        <v>2955</v>
      </c>
      <c r="E71" s="156">
        <v>1490</v>
      </c>
      <c r="F71" s="156">
        <v>1024</v>
      </c>
      <c r="G71" s="156">
        <v>458</v>
      </c>
      <c r="H71" s="156">
        <v>0</v>
      </c>
      <c r="I71" s="156">
        <v>5</v>
      </c>
      <c r="J71" s="156">
        <v>3</v>
      </c>
      <c r="K71" s="156">
        <v>0</v>
      </c>
    </row>
    <row r="72" spans="1:11" s="157" customFormat="1" ht="12" customHeight="1" x14ac:dyDescent="0.2">
      <c r="A72" s="291" t="s">
        <v>69</v>
      </c>
      <c r="B72" s="291"/>
      <c r="C72" s="156">
        <v>1405</v>
      </c>
      <c r="D72" s="156">
        <v>1275</v>
      </c>
      <c r="E72" s="156">
        <v>130</v>
      </c>
      <c r="F72" s="156">
        <v>80</v>
      </c>
      <c r="G72" s="156">
        <v>50</v>
      </c>
      <c r="H72" s="156">
        <v>0</v>
      </c>
      <c r="I72" s="156">
        <v>0</v>
      </c>
      <c r="J72" s="156">
        <v>0</v>
      </c>
      <c r="K72" s="156">
        <v>0</v>
      </c>
    </row>
    <row r="73" spans="1:11" s="157" customFormat="1" ht="12" customHeight="1" x14ac:dyDescent="0.2">
      <c r="A73" s="291" t="s">
        <v>70</v>
      </c>
      <c r="B73" s="291"/>
      <c r="C73" s="156">
        <v>374</v>
      </c>
      <c r="D73" s="156">
        <v>328</v>
      </c>
      <c r="E73" s="156">
        <v>46</v>
      </c>
      <c r="F73" s="156">
        <v>28</v>
      </c>
      <c r="G73" s="156">
        <v>18</v>
      </c>
      <c r="H73" s="156">
        <v>0</v>
      </c>
      <c r="I73" s="156">
        <v>0</v>
      </c>
      <c r="J73" s="156">
        <v>0</v>
      </c>
      <c r="K73" s="156">
        <v>0</v>
      </c>
    </row>
    <row r="74" spans="1:11" s="157" customFormat="1" ht="12" customHeight="1" x14ac:dyDescent="0.2">
      <c r="A74" s="291" t="s">
        <v>71</v>
      </c>
      <c r="B74" s="291"/>
      <c r="C74" s="156">
        <v>982</v>
      </c>
      <c r="D74" s="156">
        <v>858</v>
      </c>
      <c r="E74" s="156">
        <v>124</v>
      </c>
      <c r="F74" s="156">
        <v>80</v>
      </c>
      <c r="G74" s="156">
        <v>42</v>
      </c>
      <c r="H74" s="156">
        <v>1</v>
      </c>
      <c r="I74" s="156">
        <v>1</v>
      </c>
      <c r="J74" s="156">
        <v>0</v>
      </c>
      <c r="K74" s="156">
        <v>0</v>
      </c>
    </row>
    <row r="75" spans="1:11" s="157" customFormat="1" ht="12" customHeight="1" x14ac:dyDescent="0.2">
      <c r="A75" s="291" t="s">
        <v>72</v>
      </c>
      <c r="B75" s="291"/>
      <c r="C75" s="156">
        <v>308</v>
      </c>
      <c r="D75" s="156">
        <v>265</v>
      </c>
      <c r="E75" s="156">
        <v>43</v>
      </c>
      <c r="F75" s="156">
        <v>31</v>
      </c>
      <c r="G75" s="156">
        <v>12</v>
      </c>
      <c r="H75" s="156">
        <v>0</v>
      </c>
      <c r="I75" s="156">
        <v>0</v>
      </c>
      <c r="J75" s="156">
        <v>0</v>
      </c>
      <c r="K75" s="156">
        <v>0</v>
      </c>
    </row>
    <row r="76" spans="1:11" s="157" customFormat="1" ht="12" customHeight="1" x14ac:dyDescent="0.2">
      <c r="A76" s="291" t="s">
        <v>73</v>
      </c>
      <c r="B76" s="291"/>
      <c r="C76" s="156">
        <v>1551</v>
      </c>
      <c r="D76" s="156">
        <v>1291</v>
      </c>
      <c r="E76" s="156">
        <v>260</v>
      </c>
      <c r="F76" s="156">
        <v>199</v>
      </c>
      <c r="G76" s="156">
        <v>58</v>
      </c>
      <c r="H76" s="156">
        <v>2</v>
      </c>
      <c r="I76" s="156">
        <v>1</v>
      </c>
      <c r="J76" s="156">
        <v>0</v>
      </c>
      <c r="K76" s="156">
        <v>0</v>
      </c>
    </row>
    <row r="77" spans="1:11" s="157" customFormat="1" ht="12" customHeight="1" x14ac:dyDescent="0.2">
      <c r="A77" s="291" t="s">
        <v>74</v>
      </c>
      <c r="B77" s="291"/>
      <c r="C77" s="156">
        <v>625</v>
      </c>
      <c r="D77" s="156">
        <v>551</v>
      </c>
      <c r="E77" s="156">
        <v>74</v>
      </c>
      <c r="F77" s="156">
        <v>55</v>
      </c>
      <c r="G77" s="156">
        <v>18</v>
      </c>
      <c r="H77" s="156">
        <v>1</v>
      </c>
      <c r="I77" s="156">
        <v>0</v>
      </c>
      <c r="J77" s="156">
        <v>0</v>
      </c>
      <c r="K77" s="156">
        <v>0</v>
      </c>
    </row>
    <row r="78" spans="1:11" s="157" customFormat="1" ht="12" customHeight="1" x14ac:dyDescent="0.2">
      <c r="A78" s="291" t="s">
        <v>75</v>
      </c>
      <c r="B78" s="291"/>
      <c r="C78" s="156">
        <v>2626</v>
      </c>
      <c r="D78" s="156">
        <v>2074</v>
      </c>
      <c r="E78" s="156">
        <v>552</v>
      </c>
      <c r="F78" s="156">
        <v>319</v>
      </c>
      <c r="G78" s="156">
        <v>231</v>
      </c>
      <c r="H78" s="156">
        <v>0</v>
      </c>
      <c r="I78" s="156">
        <v>2</v>
      </c>
      <c r="J78" s="156">
        <v>0</v>
      </c>
      <c r="K78" s="156">
        <v>0</v>
      </c>
    </row>
    <row r="79" spans="1:11" s="157" customFormat="1" ht="12" customHeight="1" x14ac:dyDescent="0.2">
      <c r="A79" s="291" t="s">
        <v>77</v>
      </c>
      <c r="B79" s="291"/>
      <c r="C79" s="156">
        <v>924</v>
      </c>
      <c r="D79" s="156">
        <v>528</v>
      </c>
      <c r="E79" s="156">
        <v>396</v>
      </c>
      <c r="F79" s="156">
        <v>190</v>
      </c>
      <c r="G79" s="156">
        <v>204</v>
      </c>
      <c r="H79" s="156">
        <v>2</v>
      </c>
      <c r="I79" s="156">
        <v>0</v>
      </c>
      <c r="J79" s="156">
        <v>0</v>
      </c>
      <c r="K79" s="156">
        <v>0</v>
      </c>
    </row>
    <row r="80" spans="1:11" s="157" customFormat="1" ht="12" customHeight="1" x14ac:dyDescent="0.2">
      <c r="A80" s="291" t="s">
        <v>79</v>
      </c>
      <c r="B80" s="291"/>
      <c r="C80" s="156">
        <v>470</v>
      </c>
      <c r="D80" s="156">
        <v>368</v>
      </c>
      <c r="E80" s="156">
        <v>102</v>
      </c>
      <c r="F80" s="156">
        <v>43</v>
      </c>
      <c r="G80" s="156">
        <v>58</v>
      </c>
      <c r="H80" s="156">
        <v>1</v>
      </c>
      <c r="I80" s="156">
        <v>0</v>
      </c>
      <c r="J80" s="156">
        <v>0</v>
      </c>
      <c r="K80" s="156">
        <v>0</v>
      </c>
    </row>
    <row r="81" spans="1:11" s="157" customFormat="1" ht="12" customHeight="1" x14ac:dyDescent="0.2">
      <c r="A81" s="291" t="s">
        <v>80</v>
      </c>
      <c r="B81" s="291"/>
      <c r="C81" s="156">
        <v>775</v>
      </c>
      <c r="D81" s="156">
        <v>641</v>
      </c>
      <c r="E81" s="156">
        <v>134</v>
      </c>
      <c r="F81" s="156">
        <v>92</v>
      </c>
      <c r="G81" s="156">
        <v>40</v>
      </c>
      <c r="H81" s="156">
        <v>2</v>
      </c>
      <c r="I81" s="156">
        <v>0</v>
      </c>
      <c r="J81" s="156">
        <v>0</v>
      </c>
      <c r="K81" s="156">
        <v>0</v>
      </c>
    </row>
    <row r="82" spans="1:11" s="157" customFormat="1" ht="12" customHeight="1" x14ac:dyDescent="0.2">
      <c r="A82" s="291" t="s">
        <v>81</v>
      </c>
      <c r="B82" s="291"/>
      <c r="C82" s="156">
        <v>1530</v>
      </c>
      <c r="D82" s="156">
        <v>1081</v>
      </c>
      <c r="E82" s="156">
        <v>449</v>
      </c>
      <c r="F82" s="156">
        <v>333</v>
      </c>
      <c r="G82" s="156">
        <v>113</v>
      </c>
      <c r="H82" s="156">
        <v>2</v>
      </c>
      <c r="I82" s="156">
        <v>1</v>
      </c>
      <c r="J82" s="156">
        <v>0</v>
      </c>
      <c r="K82" s="156">
        <v>0</v>
      </c>
    </row>
    <row r="83" spans="1:11" s="157" customFormat="1" ht="12" customHeight="1" x14ac:dyDescent="0.2">
      <c r="A83" s="291" t="s">
        <v>84</v>
      </c>
      <c r="B83" s="291"/>
      <c r="C83" s="156">
        <v>2249</v>
      </c>
      <c r="D83" s="156">
        <v>1663</v>
      </c>
      <c r="E83" s="156">
        <v>586</v>
      </c>
      <c r="F83" s="156">
        <v>336</v>
      </c>
      <c r="G83" s="156">
        <v>241</v>
      </c>
      <c r="H83" s="156">
        <v>0</v>
      </c>
      <c r="I83" s="156">
        <v>8</v>
      </c>
      <c r="J83" s="156">
        <v>1</v>
      </c>
      <c r="K83" s="156">
        <v>0</v>
      </c>
    </row>
    <row r="84" spans="1:11" s="157" customFormat="1" ht="12" customHeight="1" x14ac:dyDescent="0.2">
      <c r="A84" s="291" t="s">
        <v>85</v>
      </c>
      <c r="B84" s="291"/>
      <c r="C84" s="156">
        <v>6707</v>
      </c>
      <c r="D84" s="156">
        <v>6003</v>
      </c>
      <c r="E84" s="156">
        <v>704</v>
      </c>
      <c r="F84" s="156">
        <v>483</v>
      </c>
      <c r="G84" s="156">
        <v>218</v>
      </c>
      <c r="H84" s="156">
        <v>3</v>
      </c>
      <c r="I84" s="156">
        <v>0</v>
      </c>
      <c r="J84" s="156">
        <v>0</v>
      </c>
      <c r="K84" s="156">
        <v>0</v>
      </c>
    </row>
    <row r="85" spans="1:11" s="157" customFormat="1" ht="12" customHeight="1" x14ac:dyDescent="0.2">
      <c r="A85" s="291" t="s">
        <v>88</v>
      </c>
      <c r="B85" s="291"/>
      <c r="C85" s="156">
        <v>4356</v>
      </c>
      <c r="D85" s="156">
        <v>3059</v>
      </c>
      <c r="E85" s="156">
        <v>1297</v>
      </c>
      <c r="F85" s="156">
        <v>890</v>
      </c>
      <c r="G85" s="156">
        <v>382</v>
      </c>
      <c r="H85" s="156">
        <v>2</v>
      </c>
      <c r="I85" s="156">
        <v>23</v>
      </c>
      <c r="J85" s="156">
        <v>0</v>
      </c>
      <c r="K85" s="156">
        <v>0</v>
      </c>
    </row>
    <row r="86" spans="1:11" s="157" customFormat="1" ht="12" customHeight="1" x14ac:dyDescent="0.2">
      <c r="A86" s="291" t="s">
        <v>91</v>
      </c>
      <c r="B86" s="291"/>
      <c r="C86" s="156">
        <v>4895</v>
      </c>
      <c r="D86" s="156">
        <v>3133</v>
      </c>
      <c r="E86" s="156">
        <v>1762</v>
      </c>
      <c r="F86" s="156">
        <v>808</v>
      </c>
      <c r="G86" s="156">
        <v>931</v>
      </c>
      <c r="H86" s="156">
        <v>23</v>
      </c>
      <c r="I86" s="156">
        <v>0</v>
      </c>
      <c r="J86" s="156">
        <v>0</v>
      </c>
      <c r="K86" s="156">
        <v>0</v>
      </c>
    </row>
    <row r="87" spans="1:11" s="157" customFormat="1" ht="12" customHeight="1" x14ac:dyDescent="0.2">
      <c r="A87" s="291" t="s">
        <v>92</v>
      </c>
      <c r="B87" s="291"/>
      <c r="C87" s="156">
        <v>2035</v>
      </c>
      <c r="D87" s="156">
        <v>1788</v>
      </c>
      <c r="E87" s="156">
        <v>247</v>
      </c>
      <c r="F87" s="156">
        <v>165</v>
      </c>
      <c r="G87" s="156">
        <v>82</v>
      </c>
      <c r="H87" s="156">
        <v>0</v>
      </c>
      <c r="I87" s="156">
        <v>0</v>
      </c>
      <c r="J87" s="156">
        <v>0</v>
      </c>
      <c r="K87" s="156">
        <v>0</v>
      </c>
    </row>
    <row r="88" spans="1:11" s="157" customFormat="1" ht="12" customHeight="1" x14ac:dyDescent="0.2">
      <c r="A88" s="291" t="s">
        <v>93</v>
      </c>
      <c r="B88" s="291"/>
      <c r="C88" s="156">
        <v>849</v>
      </c>
      <c r="D88" s="156">
        <v>704</v>
      </c>
      <c r="E88" s="156">
        <v>145</v>
      </c>
      <c r="F88" s="156">
        <v>93</v>
      </c>
      <c r="G88" s="156">
        <v>50</v>
      </c>
      <c r="H88" s="156">
        <v>2</v>
      </c>
      <c r="I88" s="156">
        <v>0</v>
      </c>
      <c r="J88" s="156">
        <v>0</v>
      </c>
      <c r="K88" s="156">
        <v>0</v>
      </c>
    </row>
    <row r="89" spans="1:11" s="157" customFormat="1" ht="12" customHeight="1" x14ac:dyDescent="0.2">
      <c r="A89" s="291" t="s">
        <v>94</v>
      </c>
      <c r="B89" s="291"/>
      <c r="C89" s="156">
        <v>1385</v>
      </c>
      <c r="D89" s="156">
        <v>1154</v>
      </c>
      <c r="E89" s="156">
        <v>231</v>
      </c>
      <c r="F89" s="156">
        <v>144</v>
      </c>
      <c r="G89" s="156">
        <v>85</v>
      </c>
      <c r="H89" s="156">
        <v>0</v>
      </c>
      <c r="I89" s="156">
        <v>1</v>
      </c>
      <c r="J89" s="156">
        <v>1</v>
      </c>
      <c r="K89" s="156">
        <v>0</v>
      </c>
    </row>
    <row r="90" spans="1:11" s="157" customFormat="1" ht="12" customHeight="1" x14ac:dyDescent="0.2">
      <c r="A90" s="291" t="s">
        <v>95</v>
      </c>
      <c r="B90" s="291"/>
      <c r="C90" s="156">
        <v>559</v>
      </c>
      <c r="D90" s="156">
        <v>468</v>
      </c>
      <c r="E90" s="156">
        <v>91</v>
      </c>
      <c r="F90" s="156">
        <v>49</v>
      </c>
      <c r="G90" s="156">
        <v>37</v>
      </c>
      <c r="H90" s="156">
        <v>0</v>
      </c>
      <c r="I90" s="156">
        <v>5</v>
      </c>
      <c r="J90" s="156">
        <v>0</v>
      </c>
      <c r="K90" s="156">
        <v>0</v>
      </c>
    </row>
    <row r="91" spans="1:11" s="157" customFormat="1" ht="12" customHeight="1" x14ac:dyDescent="0.2">
      <c r="A91" s="291" t="s">
        <v>96</v>
      </c>
      <c r="B91" s="291"/>
      <c r="C91" s="156">
        <v>492</v>
      </c>
      <c r="D91" s="156">
        <v>349</v>
      </c>
      <c r="E91" s="156">
        <v>143</v>
      </c>
      <c r="F91" s="156">
        <v>109</v>
      </c>
      <c r="G91" s="156">
        <v>34</v>
      </c>
      <c r="H91" s="156">
        <v>0</v>
      </c>
      <c r="I91" s="156">
        <v>0</v>
      </c>
      <c r="J91" s="156">
        <v>0</v>
      </c>
      <c r="K91" s="156">
        <v>0</v>
      </c>
    </row>
    <row r="92" spans="1:11" s="157" customFormat="1" ht="12" customHeight="1" x14ac:dyDescent="0.2">
      <c r="A92" s="291" t="s">
        <v>97</v>
      </c>
      <c r="B92" s="291"/>
      <c r="C92" s="156">
        <v>1386</v>
      </c>
      <c r="D92" s="156">
        <v>1115</v>
      </c>
      <c r="E92" s="156">
        <v>271</v>
      </c>
      <c r="F92" s="156">
        <v>186</v>
      </c>
      <c r="G92" s="156">
        <v>84</v>
      </c>
      <c r="H92" s="156">
        <v>1</v>
      </c>
      <c r="I92" s="156">
        <v>0</v>
      </c>
      <c r="J92" s="156">
        <v>0</v>
      </c>
      <c r="K92" s="156">
        <v>0</v>
      </c>
    </row>
    <row r="93" spans="1:11" s="157" customFormat="1" ht="12" customHeight="1" x14ac:dyDescent="0.2">
      <c r="A93" s="291" t="s">
        <v>98</v>
      </c>
      <c r="B93" s="291"/>
      <c r="C93" s="156">
        <v>1741</v>
      </c>
      <c r="D93" s="156">
        <v>1101</v>
      </c>
      <c r="E93" s="156">
        <v>640</v>
      </c>
      <c r="F93" s="156">
        <v>463</v>
      </c>
      <c r="G93" s="156">
        <v>157</v>
      </c>
      <c r="H93" s="156">
        <v>1</v>
      </c>
      <c r="I93" s="156">
        <v>19</v>
      </c>
      <c r="J93" s="156">
        <v>0</v>
      </c>
      <c r="K93" s="156">
        <v>0</v>
      </c>
    </row>
    <row r="94" spans="1:11" s="157" customFormat="1" ht="12" customHeight="1" x14ac:dyDescent="0.2">
      <c r="A94" s="291" t="s">
        <v>99</v>
      </c>
      <c r="B94" s="291"/>
      <c r="C94" s="156">
        <v>63185</v>
      </c>
      <c r="D94" s="156">
        <v>38759</v>
      </c>
      <c r="E94" s="156">
        <v>24426</v>
      </c>
      <c r="F94" s="156">
        <v>13909</v>
      </c>
      <c r="G94" s="156">
        <v>10012</v>
      </c>
      <c r="H94" s="156">
        <v>145</v>
      </c>
      <c r="I94" s="156">
        <v>277</v>
      </c>
      <c r="J94" s="156">
        <v>64</v>
      </c>
      <c r="K94" s="156">
        <v>19</v>
      </c>
    </row>
    <row r="95" spans="1:11" s="157" customFormat="1" ht="12" customHeight="1" x14ac:dyDescent="0.2">
      <c r="A95" s="291" t="s">
        <v>100</v>
      </c>
      <c r="B95" s="291"/>
      <c r="C95" s="156">
        <v>1620</v>
      </c>
      <c r="D95" s="156">
        <v>1248</v>
      </c>
      <c r="E95" s="156">
        <v>372</v>
      </c>
      <c r="F95" s="156">
        <v>248</v>
      </c>
      <c r="G95" s="156">
        <v>124</v>
      </c>
      <c r="H95" s="156">
        <v>0</v>
      </c>
      <c r="I95" s="156">
        <v>0</v>
      </c>
      <c r="J95" s="156">
        <v>0</v>
      </c>
      <c r="K95" s="156">
        <v>0</v>
      </c>
    </row>
    <row r="96" spans="1:11" s="157" customFormat="1" ht="12" customHeight="1" x14ac:dyDescent="0.2">
      <c r="A96" s="291" t="s">
        <v>101</v>
      </c>
      <c r="B96" s="291"/>
      <c r="C96" s="156">
        <v>1324</v>
      </c>
      <c r="D96" s="156">
        <v>1065</v>
      </c>
      <c r="E96" s="156">
        <v>259</v>
      </c>
      <c r="F96" s="156">
        <v>172</v>
      </c>
      <c r="G96" s="156">
        <v>80</v>
      </c>
      <c r="H96" s="156">
        <v>2</v>
      </c>
      <c r="I96" s="156">
        <v>5</v>
      </c>
      <c r="J96" s="156">
        <v>0</v>
      </c>
      <c r="K96" s="156">
        <v>0</v>
      </c>
    </row>
    <row r="97" spans="1:11" s="157" customFormat="1" ht="12" customHeight="1" x14ac:dyDescent="0.2">
      <c r="A97" s="291" t="s">
        <v>102</v>
      </c>
      <c r="B97" s="291"/>
      <c r="C97" s="156">
        <v>686</v>
      </c>
      <c r="D97" s="156">
        <v>434</v>
      </c>
      <c r="E97" s="156">
        <v>252</v>
      </c>
      <c r="F97" s="156">
        <v>116</v>
      </c>
      <c r="G97" s="156">
        <v>133</v>
      </c>
      <c r="H97" s="156">
        <v>2</v>
      </c>
      <c r="I97" s="156">
        <v>1</v>
      </c>
      <c r="J97" s="156">
        <v>0</v>
      </c>
      <c r="K97" s="156">
        <v>0</v>
      </c>
    </row>
    <row r="98" spans="1:11" s="157" customFormat="1" ht="12" customHeight="1" x14ac:dyDescent="0.2">
      <c r="A98" s="291" t="s">
        <v>103</v>
      </c>
      <c r="B98" s="291"/>
      <c r="C98" s="156">
        <v>6226</v>
      </c>
      <c r="D98" s="156">
        <v>3600</v>
      </c>
      <c r="E98" s="156">
        <v>2626</v>
      </c>
      <c r="F98" s="156">
        <v>1541</v>
      </c>
      <c r="G98" s="156">
        <v>992</v>
      </c>
      <c r="H98" s="156">
        <v>17</v>
      </c>
      <c r="I98" s="156">
        <v>70</v>
      </c>
      <c r="J98" s="156">
        <v>6</v>
      </c>
      <c r="K98" s="156">
        <v>0</v>
      </c>
    </row>
    <row r="99" spans="1:11" s="157" customFormat="1" ht="12" customHeight="1" x14ac:dyDescent="0.2">
      <c r="A99" s="291" t="s">
        <v>104</v>
      </c>
      <c r="B99" s="291"/>
      <c r="C99" s="156">
        <v>1439</v>
      </c>
      <c r="D99" s="156">
        <v>1020</v>
      </c>
      <c r="E99" s="156">
        <v>419</v>
      </c>
      <c r="F99" s="156">
        <v>264</v>
      </c>
      <c r="G99" s="156">
        <v>155</v>
      </c>
      <c r="H99" s="156">
        <v>0</v>
      </c>
      <c r="I99" s="156">
        <v>0</v>
      </c>
      <c r="J99" s="156">
        <v>0</v>
      </c>
      <c r="K99" s="156">
        <v>0</v>
      </c>
    </row>
    <row r="100" spans="1:11" s="157" customFormat="1" ht="12" customHeight="1" x14ac:dyDescent="0.2">
      <c r="A100" s="291" t="s">
        <v>105</v>
      </c>
      <c r="B100" s="291"/>
      <c r="C100" s="156">
        <v>1802</v>
      </c>
      <c r="D100" s="156">
        <v>1121</v>
      </c>
      <c r="E100" s="156">
        <v>681</v>
      </c>
      <c r="F100" s="156">
        <v>396</v>
      </c>
      <c r="G100" s="156">
        <v>279</v>
      </c>
      <c r="H100" s="156">
        <v>5</v>
      </c>
      <c r="I100" s="156">
        <v>1</v>
      </c>
      <c r="J100" s="156">
        <v>0</v>
      </c>
      <c r="K100" s="156">
        <v>0</v>
      </c>
    </row>
    <row r="101" spans="1:11" s="157" customFormat="1" ht="12" customHeight="1" x14ac:dyDescent="0.2">
      <c r="A101" s="291" t="s">
        <v>106</v>
      </c>
      <c r="B101" s="291"/>
      <c r="C101" s="156">
        <v>1371</v>
      </c>
      <c r="D101" s="156">
        <v>1167</v>
      </c>
      <c r="E101" s="156">
        <v>204</v>
      </c>
      <c r="F101" s="156">
        <v>155</v>
      </c>
      <c r="G101" s="156">
        <v>47</v>
      </c>
      <c r="H101" s="156">
        <v>1</v>
      </c>
      <c r="I101" s="156">
        <v>1</v>
      </c>
      <c r="J101" s="156">
        <v>0</v>
      </c>
      <c r="K101" s="156">
        <v>0</v>
      </c>
    </row>
    <row r="102" spans="1:11" s="157" customFormat="1" ht="12" customHeight="1" x14ac:dyDescent="0.2">
      <c r="A102" s="291" t="s">
        <v>107</v>
      </c>
      <c r="B102" s="291"/>
      <c r="C102" s="156">
        <v>319</v>
      </c>
      <c r="D102" s="156">
        <v>270</v>
      </c>
      <c r="E102" s="156">
        <v>49</v>
      </c>
      <c r="F102" s="156">
        <v>36</v>
      </c>
      <c r="G102" s="156">
        <v>13</v>
      </c>
      <c r="H102" s="156">
        <v>0</v>
      </c>
      <c r="I102" s="156">
        <v>0</v>
      </c>
      <c r="J102" s="156">
        <v>0</v>
      </c>
      <c r="K102" s="156">
        <v>0</v>
      </c>
    </row>
    <row r="103" spans="1:11" s="157" customFormat="1" ht="12" customHeight="1" x14ac:dyDescent="0.2">
      <c r="A103" s="291" t="s">
        <v>336</v>
      </c>
      <c r="B103" s="291"/>
      <c r="C103" s="156">
        <v>4520</v>
      </c>
      <c r="D103" s="156">
        <v>3631</v>
      </c>
      <c r="E103" s="156">
        <v>889</v>
      </c>
      <c r="F103" s="156">
        <v>603</v>
      </c>
      <c r="G103" s="156">
        <v>276</v>
      </c>
      <c r="H103" s="156">
        <v>8</v>
      </c>
      <c r="I103" s="156">
        <v>2</v>
      </c>
      <c r="J103" s="156">
        <v>0</v>
      </c>
      <c r="K103" s="156">
        <v>0</v>
      </c>
    </row>
    <row r="104" spans="1:11" s="157" customFormat="1" ht="12" customHeight="1" x14ac:dyDescent="0.2">
      <c r="A104" s="291" t="s">
        <v>108</v>
      </c>
      <c r="B104" s="291"/>
      <c r="C104" s="156">
        <v>870</v>
      </c>
      <c r="D104" s="156">
        <v>660</v>
      </c>
      <c r="E104" s="156">
        <v>210</v>
      </c>
      <c r="F104" s="156">
        <v>143</v>
      </c>
      <c r="G104" s="156">
        <v>67</v>
      </c>
      <c r="H104" s="156">
        <v>0</v>
      </c>
      <c r="I104" s="156">
        <v>0</v>
      </c>
      <c r="J104" s="156">
        <v>0</v>
      </c>
      <c r="K104" s="156">
        <v>0</v>
      </c>
    </row>
    <row r="105" spans="1:11" s="157" customFormat="1" ht="12" customHeight="1" x14ac:dyDescent="0.2">
      <c r="A105" s="291" t="s">
        <v>109</v>
      </c>
      <c r="B105" s="291"/>
      <c r="C105" s="156">
        <v>723</v>
      </c>
      <c r="D105" s="156">
        <v>432</v>
      </c>
      <c r="E105" s="156">
        <v>291</v>
      </c>
      <c r="F105" s="156">
        <v>149</v>
      </c>
      <c r="G105" s="156">
        <v>141</v>
      </c>
      <c r="H105" s="156">
        <v>1</v>
      </c>
      <c r="I105" s="156">
        <v>0</v>
      </c>
      <c r="J105" s="156">
        <v>0</v>
      </c>
      <c r="K105" s="156">
        <v>0</v>
      </c>
    </row>
    <row r="106" spans="1:11" s="157" customFormat="1" ht="12" customHeight="1" x14ac:dyDescent="0.2">
      <c r="A106" s="291" t="s">
        <v>110</v>
      </c>
      <c r="B106" s="291"/>
      <c r="C106" s="156">
        <v>819</v>
      </c>
      <c r="D106" s="156">
        <v>634</v>
      </c>
      <c r="E106" s="156">
        <v>185</v>
      </c>
      <c r="F106" s="156">
        <v>105</v>
      </c>
      <c r="G106" s="156">
        <v>77</v>
      </c>
      <c r="H106" s="156">
        <v>2</v>
      </c>
      <c r="I106" s="156">
        <v>1</v>
      </c>
      <c r="J106" s="156">
        <v>0</v>
      </c>
      <c r="K106" s="156">
        <v>0</v>
      </c>
    </row>
    <row r="107" spans="1:11" s="157" customFormat="1" ht="12" customHeight="1" x14ac:dyDescent="0.2">
      <c r="A107" s="291" t="s">
        <v>111</v>
      </c>
      <c r="B107" s="291"/>
      <c r="C107" s="156">
        <v>329</v>
      </c>
      <c r="D107" s="156">
        <v>287</v>
      </c>
      <c r="E107" s="156">
        <v>42</v>
      </c>
      <c r="F107" s="156">
        <v>26</v>
      </c>
      <c r="G107" s="156">
        <v>16</v>
      </c>
      <c r="H107" s="156">
        <v>0</v>
      </c>
      <c r="I107" s="156">
        <v>0</v>
      </c>
      <c r="J107" s="156">
        <v>0</v>
      </c>
      <c r="K107" s="156">
        <v>0</v>
      </c>
    </row>
    <row r="108" spans="1:11" s="157" customFormat="1" ht="12" customHeight="1" x14ac:dyDescent="0.2">
      <c r="A108" s="291" t="s">
        <v>112</v>
      </c>
      <c r="B108" s="291"/>
      <c r="C108" s="156">
        <v>852</v>
      </c>
      <c r="D108" s="156">
        <v>746</v>
      </c>
      <c r="E108" s="156">
        <v>106</v>
      </c>
      <c r="F108" s="156">
        <v>60</v>
      </c>
      <c r="G108" s="156">
        <v>45</v>
      </c>
      <c r="H108" s="156">
        <v>0</v>
      </c>
      <c r="I108" s="156">
        <v>1</v>
      </c>
      <c r="J108" s="156">
        <v>0</v>
      </c>
      <c r="K108" s="156">
        <v>0</v>
      </c>
    </row>
    <row r="109" spans="1:11" s="157" customFormat="1" ht="12" customHeight="1" x14ac:dyDescent="0.2">
      <c r="A109" s="291" t="s">
        <v>113</v>
      </c>
      <c r="B109" s="291"/>
      <c r="C109" s="156">
        <v>1458</v>
      </c>
      <c r="D109" s="156">
        <v>1197</v>
      </c>
      <c r="E109" s="156">
        <v>261</v>
      </c>
      <c r="F109" s="156">
        <v>169</v>
      </c>
      <c r="G109" s="156">
        <v>91</v>
      </c>
      <c r="H109" s="156">
        <v>1</v>
      </c>
      <c r="I109" s="156">
        <v>0</v>
      </c>
      <c r="J109" s="156">
        <v>0</v>
      </c>
      <c r="K109" s="156">
        <v>0</v>
      </c>
    </row>
    <row r="110" spans="1:11" s="157" customFormat="1" ht="12" customHeight="1" x14ac:dyDescent="0.2">
      <c r="A110" s="291" t="s">
        <v>114</v>
      </c>
      <c r="B110" s="291"/>
      <c r="C110" s="156">
        <v>4247</v>
      </c>
      <c r="D110" s="156">
        <v>1798</v>
      </c>
      <c r="E110" s="156">
        <v>2449</v>
      </c>
      <c r="F110" s="156">
        <v>1198</v>
      </c>
      <c r="G110" s="156">
        <v>1122</v>
      </c>
      <c r="H110" s="156">
        <v>24</v>
      </c>
      <c r="I110" s="156">
        <v>82</v>
      </c>
      <c r="J110" s="156">
        <v>21</v>
      </c>
      <c r="K110" s="156">
        <v>2</v>
      </c>
    </row>
    <row r="111" spans="1:11" s="157" customFormat="1" ht="12" customHeight="1" x14ac:dyDescent="0.2">
      <c r="A111" s="291" t="s">
        <v>115</v>
      </c>
      <c r="B111" s="291"/>
      <c r="C111" s="156">
        <v>1902</v>
      </c>
      <c r="D111" s="156">
        <v>1627</v>
      </c>
      <c r="E111" s="156">
        <v>275</v>
      </c>
      <c r="F111" s="156">
        <v>188</v>
      </c>
      <c r="G111" s="156">
        <v>87</v>
      </c>
      <c r="H111" s="156">
        <v>0</v>
      </c>
      <c r="I111" s="156">
        <v>0</v>
      </c>
      <c r="J111" s="156">
        <v>0</v>
      </c>
      <c r="K111" s="156">
        <v>0</v>
      </c>
    </row>
    <row r="112" spans="1:11" s="157" customFormat="1" ht="12" customHeight="1" x14ac:dyDescent="0.2">
      <c r="A112" s="291" t="s">
        <v>116</v>
      </c>
      <c r="B112" s="291"/>
      <c r="C112" s="156">
        <v>800</v>
      </c>
      <c r="D112" s="156">
        <v>540</v>
      </c>
      <c r="E112" s="156">
        <v>260</v>
      </c>
      <c r="F112" s="156">
        <v>143</v>
      </c>
      <c r="G112" s="156">
        <v>114</v>
      </c>
      <c r="H112" s="156">
        <v>1</v>
      </c>
      <c r="I112" s="156">
        <v>2</v>
      </c>
      <c r="J112" s="156">
        <v>0</v>
      </c>
      <c r="K112" s="156">
        <v>0</v>
      </c>
    </row>
    <row r="113" spans="1:11" s="157" customFormat="1" ht="12" customHeight="1" x14ac:dyDescent="0.2">
      <c r="A113" s="291" t="s">
        <v>117</v>
      </c>
      <c r="B113" s="291"/>
      <c r="C113" s="156">
        <v>1579</v>
      </c>
      <c r="D113" s="156">
        <v>1211</v>
      </c>
      <c r="E113" s="156">
        <v>368</v>
      </c>
      <c r="F113" s="156">
        <v>236</v>
      </c>
      <c r="G113" s="156">
        <v>131</v>
      </c>
      <c r="H113" s="156">
        <v>0</v>
      </c>
      <c r="I113" s="156">
        <v>1</v>
      </c>
      <c r="J113" s="156">
        <v>0</v>
      </c>
      <c r="K113" s="156">
        <v>0</v>
      </c>
    </row>
    <row r="114" spans="1:11" s="157" customFormat="1" ht="12" customHeight="1" x14ac:dyDescent="0.2">
      <c r="A114" s="291" t="s">
        <v>118</v>
      </c>
      <c r="B114" s="291"/>
      <c r="C114" s="156">
        <v>1341</v>
      </c>
      <c r="D114" s="156">
        <v>1081</v>
      </c>
      <c r="E114" s="156">
        <v>260</v>
      </c>
      <c r="F114" s="156">
        <v>174</v>
      </c>
      <c r="G114" s="156">
        <v>86</v>
      </c>
      <c r="H114" s="156">
        <v>0</v>
      </c>
      <c r="I114" s="156">
        <v>0</v>
      </c>
      <c r="J114" s="156">
        <v>0</v>
      </c>
      <c r="K114" s="156">
        <v>0</v>
      </c>
    </row>
    <row r="115" spans="1:11" s="157" customFormat="1" ht="12" customHeight="1" x14ac:dyDescent="0.2">
      <c r="A115" s="291" t="s">
        <v>120</v>
      </c>
      <c r="B115" s="291"/>
      <c r="C115" s="156">
        <v>839</v>
      </c>
      <c r="D115" s="156">
        <v>653</v>
      </c>
      <c r="E115" s="156">
        <v>186</v>
      </c>
      <c r="F115" s="156">
        <v>100</v>
      </c>
      <c r="G115" s="156">
        <v>78</v>
      </c>
      <c r="H115" s="156">
        <v>8</v>
      </c>
      <c r="I115" s="156">
        <v>0</v>
      </c>
      <c r="J115" s="156">
        <v>0</v>
      </c>
      <c r="K115" s="156">
        <v>0</v>
      </c>
    </row>
    <row r="116" spans="1:11" s="157" customFormat="1" ht="12" customHeight="1" x14ac:dyDescent="0.2">
      <c r="A116" s="291" t="s">
        <v>121</v>
      </c>
      <c r="B116" s="291"/>
      <c r="C116" s="156">
        <v>2213</v>
      </c>
      <c r="D116" s="156">
        <v>1491</v>
      </c>
      <c r="E116" s="156">
        <v>722</v>
      </c>
      <c r="F116" s="156">
        <v>455</v>
      </c>
      <c r="G116" s="156">
        <v>254</v>
      </c>
      <c r="H116" s="156">
        <v>7</v>
      </c>
      <c r="I116" s="156">
        <v>6</v>
      </c>
      <c r="J116" s="156">
        <v>0</v>
      </c>
      <c r="K116" s="156">
        <v>0</v>
      </c>
    </row>
    <row r="117" spans="1:11" s="157" customFormat="1" ht="12" customHeight="1" x14ac:dyDescent="0.2">
      <c r="A117" s="291" t="s">
        <v>122</v>
      </c>
      <c r="B117" s="291"/>
      <c r="C117" s="156">
        <v>687</v>
      </c>
      <c r="D117" s="156">
        <v>539</v>
      </c>
      <c r="E117" s="156">
        <v>148</v>
      </c>
      <c r="F117" s="156">
        <v>103</v>
      </c>
      <c r="G117" s="156">
        <v>45</v>
      </c>
      <c r="H117" s="156">
        <v>0</v>
      </c>
      <c r="I117" s="156">
        <v>0</v>
      </c>
      <c r="J117" s="156">
        <v>0</v>
      </c>
      <c r="K117" s="156">
        <v>0</v>
      </c>
    </row>
    <row r="118" spans="1:11" s="157" customFormat="1" ht="12" customHeight="1" x14ac:dyDescent="0.2">
      <c r="A118" s="291" t="s">
        <v>125</v>
      </c>
      <c r="B118" s="291"/>
      <c r="C118" s="156">
        <v>1774</v>
      </c>
      <c r="D118" s="156">
        <v>1192</v>
      </c>
      <c r="E118" s="156">
        <v>582</v>
      </c>
      <c r="F118" s="156">
        <v>273</v>
      </c>
      <c r="G118" s="156">
        <v>304</v>
      </c>
      <c r="H118" s="156">
        <v>3</v>
      </c>
      <c r="I118" s="156">
        <v>2</v>
      </c>
      <c r="J118" s="156">
        <v>0</v>
      </c>
      <c r="K118" s="156">
        <v>0</v>
      </c>
    </row>
    <row r="119" spans="1:11" s="157" customFormat="1" ht="12" customHeight="1" x14ac:dyDescent="0.2">
      <c r="A119" s="291" t="s">
        <v>126</v>
      </c>
      <c r="B119" s="291"/>
      <c r="C119" s="156">
        <v>3087</v>
      </c>
      <c r="D119" s="156">
        <v>2253</v>
      </c>
      <c r="E119" s="156">
        <v>834</v>
      </c>
      <c r="F119" s="156">
        <v>644</v>
      </c>
      <c r="G119" s="156">
        <v>181</v>
      </c>
      <c r="H119" s="156">
        <v>0</v>
      </c>
      <c r="I119" s="156">
        <v>9</v>
      </c>
      <c r="J119" s="156">
        <v>0</v>
      </c>
      <c r="K119" s="156">
        <v>0</v>
      </c>
    </row>
    <row r="120" spans="1:11" s="157" customFormat="1" ht="12" customHeight="1" x14ac:dyDescent="0.2">
      <c r="A120" s="291" t="s">
        <v>128</v>
      </c>
      <c r="B120" s="291"/>
      <c r="C120" s="156">
        <v>592</v>
      </c>
      <c r="D120" s="156">
        <v>485</v>
      </c>
      <c r="E120" s="156">
        <v>107</v>
      </c>
      <c r="F120" s="156">
        <v>72</v>
      </c>
      <c r="G120" s="156">
        <v>34</v>
      </c>
      <c r="H120" s="156">
        <v>1</v>
      </c>
      <c r="I120" s="156">
        <v>0</v>
      </c>
      <c r="J120" s="156">
        <v>0</v>
      </c>
      <c r="K120" s="156">
        <v>0</v>
      </c>
    </row>
    <row r="121" spans="1:11" s="157" customFormat="1" ht="12" customHeight="1" x14ac:dyDescent="0.2">
      <c r="A121" s="291" t="s">
        <v>129</v>
      </c>
      <c r="B121" s="291"/>
      <c r="C121" s="156">
        <v>1914</v>
      </c>
      <c r="D121" s="156">
        <v>1446</v>
      </c>
      <c r="E121" s="156">
        <v>468</v>
      </c>
      <c r="F121" s="156">
        <v>346</v>
      </c>
      <c r="G121" s="156">
        <v>121</v>
      </c>
      <c r="H121" s="156">
        <v>0</v>
      </c>
      <c r="I121" s="156">
        <v>1</v>
      </c>
      <c r="J121" s="156">
        <v>0</v>
      </c>
      <c r="K121" s="156">
        <v>0</v>
      </c>
    </row>
    <row r="122" spans="1:11" s="157" customFormat="1" ht="12" customHeight="1" x14ac:dyDescent="0.2">
      <c r="A122" s="296" t="s">
        <v>130</v>
      </c>
      <c r="B122" s="296"/>
      <c r="C122" s="163">
        <v>405</v>
      </c>
      <c r="D122" s="163">
        <v>219</v>
      </c>
      <c r="E122" s="163">
        <v>186</v>
      </c>
      <c r="F122" s="163">
        <v>93</v>
      </c>
      <c r="G122" s="163">
        <v>91</v>
      </c>
      <c r="H122" s="163">
        <v>2</v>
      </c>
      <c r="I122" s="163">
        <v>0</v>
      </c>
      <c r="J122" s="163">
        <v>0</v>
      </c>
      <c r="K122" s="163">
        <v>0</v>
      </c>
    </row>
    <row r="123" spans="1:11" s="157" customFormat="1" ht="12" customHeight="1" x14ac:dyDescent="0.2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</row>
    <row r="124" spans="1:11" s="157" customFormat="1" ht="12" customHeight="1" x14ac:dyDescent="0.2">
      <c r="A124" s="294" t="s">
        <v>131</v>
      </c>
      <c r="B124" s="294"/>
      <c r="C124" s="154">
        <v>64075</v>
      </c>
      <c r="D124" s="154">
        <v>48281</v>
      </c>
      <c r="E124" s="154">
        <v>15794</v>
      </c>
      <c r="F124" s="154">
        <v>10686</v>
      </c>
      <c r="G124" s="154">
        <v>4780</v>
      </c>
      <c r="H124" s="154">
        <v>117</v>
      </c>
      <c r="I124" s="154">
        <v>190</v>
      </c>
      <c r="J124" s="154">
        <v>21</v>
      </c>
      <c r="K124" s="154">
        <v>0</v>
      </c>
    </row>
    <row r="125" spans="1:11" s="157" customFormat="1" ht="12" customHeight="1" x14ac:dyDescent="0.2">
      <c r="A125" s="291" t="s">
        <v>132</v>
      </c>
      <c r="B125" s="291"/>
      <c r="C125" s="156">
        <v>5481</v>
      </c>
      <c r="D125" s="156">
        <v>3942</v>
      </c>
      <c r="E125" s="156">
        <v>1539</v>
      </c>
      <c r="F125" s="156">
        <v>1017</v>
      </c>
      <c r="G125" s="156">
        <v>497</v>
      </c>
      <c r="H125" s="156">
        <v>25</v>
      </c>
      <c r="I125" s="156">
        <v>0</v>
      </c>
      <c r="J125" s="156">
        <v>0</v>
      </c>
      <c r="K125" s="156">
        <v>0</v>
      </c>
    </row>
    <row r="126" spans="1:11" s="157" customFormat="1" ht="12" customHeight="1" x14ac:dyDescent="0.2">
      <c r="A126" s="291" t="s">
        <v>133</v>
      </c>
      <c r="B126" s="291"/>
      <c r="C126" s="156">
        <v>177</v>
      </c>
      <c r="D126" s="156">
        <v>170</v>
      </c>
      <c r="E126" s="156">
        <v>7</v>
      </c>
      <c r="F126" s="156">
        <v>4</v>
      </c>
      <c r="G126" s="156">
        <v>3</v>
      </c>
      <c r="H126" s="156">
        <v>0</v>
      </c>
      <c r="I126" s="156">
        <v>0</v>
      </c>
      <c r="J126" s="156">
        <v>0</v>
      </c>
      <c r="K126" s="156">
        <v>0</v>
      </c>
    </row>
    <row r="127" spans="1:11" s="157" customFormat="1" ht="12" customHeight="1" x14ac:dyDescent="0.2">
      <c r="A127" s="291" t="s">
        <v>134</v>
      </c>
      <c r="B127" s="291"/>
      <c r="C127" s="156">
        <v>485</v>
      </c>
      <c r="D127" s="156">
        <v>380</v>
      </c>
      <c r="E127" s="156">
        <v>105</v>
      </c>
      <c r="F127" s="156">
        <v>76</v>
      </c>
      <c r="G127" s="156">
        <v>29</v>
      </c>
      <c r="H127" s="156">
        <v>0</v>
      </c>
      <c r="I127" s="156">
        <v>0</v>
      </c>
      <c r="J127" s="156">
        <v>0</v>
      </c>
      <c r="K127" s="156">
        <v>0</v>
      </c>
    </row>
    <row r="128" spans="1:11" s="157" customFormat="1" ht="12" customHeight="1" x14ac:dyDescent="0.2">
      <c r="A128" s="291" t="s">
        <v>135</v>
      </c>
      <c r="B128" s="291"/>
      <c r="C128" s="156">
        <v>1737</v>
      </c>
      <c r="D128" s="156">
        <v>1356</v>
      </c>
      <c r="E128" s="156">
        <v>381</v>
      </c>
      <c r="F128" s="156">
        <v>232</v>
      </c>
      <c r="G128" s="156">
        <v>141</v>
      </c>
      <c r="H128" s="156">
        <v>5</v>
      </c>
      <c r="I128" s="156">
        <v>0</v>
      </c>
      <c r="J128" s="156">
        <v>3</v>
      </c>
      <c r="K128" s="156">
        <v>0</v>
      </c>
    </row>
    <row r="129" spans="1:11" s="157" customFormat="1" ht="12" customHeight="1" x14ac:dyDescent="0.2">
      <c r="A129" s="291" t="s">
        <v>138</v>
      </c>
      <c r="B129" s="291"/>
      <c r="C129" s="156">
        <v>1147</v>
      </c>
      <c r="D129" s="156">
        <v>1037</v>
      </c>
      <c r="E129" s="156">
        <v>110</v>
      </c>
      <c r="F129" s="156">
        <v>82</v>
      </c>
      <c r="G129" s="156">
        <v>28</v>
      </c>
      <c r="H129" s="156">
        <v>0</v>
      </c>
      <c r="I129" s="156">
        <v>0</v>
      </c>
      <c r="J129" s="156">
        <v>0</v>
      </c>
      <c r="K129" s="156">
        <v>0</v>
      </c>
    </row>
    <row r="130" spans="1:11" s="157" customFormat="1" ht="12" customHeight="1" x14ac:dyDescent="0.2">
      <c r="A130" s="291" t="s">
        <v>140</v>
      </c>
      <c r="B130" s="291"/>
      <c r="C130" s="156">
        <v>11</v>
      </c>
      <c r="D130" s="156">
        <v>10</v>
      </c>
      <c r="E130" s="156">
        <v>1</v>
      </c>
      <c r="F130" s="156">
        <v>1</v>
      </c>
      <c r="G130" s="156">
        <v>0</v>
      </c>
      <c r="H130" s="156">
        <v>0</v>
      </c>
      <c r="I130" s="156">
        <v>0</v>
      </c>
      <c r="J130" s="156">
        <v>0</v>
      </c>
      <c r="K130" s="156">
        <v>0</v>
      </c>
    </row>
    <row r="131" spans="1:11" s="157" customFormat="1" ht="12" customHeight="1" x14ac:dyDescent="0.2">
      <c r="A131" s="291" t="s">
        <v>141</v>
      </c>
      <c r="B131" s="291"/>
      <c r="C131" s="156">
        <v>2861</v>
      </c>
      <c r="D131" s="156">
        <v>2464</v>
      </c>
      <c r="E131" s="156">
        <v>397</v>
      </c>
      <c r="F131" s="156">
        <v>305</v>
      </c>
      <c r="G131" s="156">
        <v>90</v>
      </c>
      <c r="H131" s="156">
        <v>1</v>
      </c>
      <c r="I131" s="156">
        <v>1</v>
      </c>
      <c r="J131" s="156">
        <v>0</v>
      </c>
      <c r="K131" s="156">
        <v>0</v>
      </c>
    </row>
    <row r="132" spans="1:11" s="157" customFormat="1" ht="12" customHeight="1" x14ac:dyDescent="0.2">
      <c r="A132" s="291" t="s">
        <v>142</v>
      </c>
      <c r="B132" s="291"/>
      <c r="C132" s="156">
        <v>112</v>
      </c>
      <c r="D132" s="156">
        <v>108</v>
      </c>
      <c r="E132" s="156">
        <v>4</v>
      </c>
      <c r="F132" s="156">
        <v>1</v>
      </c>
      <c r="G132" s="156">
        <v>3</v>
      </c>
      <c r="H132" s="156">
        <v>0</v>
      </c>
      <c r="I132" s="156">
        <v>0</v>
      </c>
      <c r="J132" s="156">
        <v>0</v>
      </c>
      <c r="K132" s="156">
        <v>0</v>
      </c>
    </row>
    <row r="133" spans="1:11" s="157" customFormat="1" ht="12" customHeight="1" x14ac:dyDescent="0.2">
      <c r="A133" s="291" t="s">
        <v>337</v>
      </c>
      <c r="B133" s="291"/>
      <c r="C133" s="156">
        <v>5192</v>
      </c>
      <c r="D133" s="156">
        <v>4092</v>
      </c>
      <c r="E133" s="156">
        <v>1100</v>
      </c>
      <c r="F133" s="156">
        <v>714</v>
      </c>
      <c r="G133" s="156">
        <v>375</v>
      </c>
      <c r="H133" s="156">
        <v>5</v>
      </c>
      <c r="I133" s="156">
        <v>6</v>
      </c>
      <c r="J133" s="156">
        <v>0</v>
      </c>
      <c r="K133" s="156">
        <v>0</v>
      </c>
    </row>
    <row r="134" spans="1:11" s="157" customFormat="1" ht="12" customHeight="1" x14ac:dyDescent="0.2">
      <c r="A134" s="291" t="s">
        <v>144</v>
      </c>
      <c r="B134" s="291"/>
      <c r="C134" s="156">
        <v>4698</v>
      </c>
      <c r="D134" s="156">
        <v>3784</v>
      </c>
      <c r="E134" s="156">
        <v>914</v>
      </c>
      <c r="F134" s="156">
        <v>679</v>
      </c>
      <c r="G134" s="156">
        <v>231</v>
      </c>
      <c r="H134" s="156">
        <v>4</v>
      </c>
      <c r="I134" s="156">
        <v>0</v>
      </c>
      <c r="J134" s="156">
        <v>0</v>
      </c>
      <c r="K134" s="156">
        <v>0</v>
      </c>
    </row>
    <row r="135" spans="1:11" s="157" customFormat="1" ht="12" customHeight="1" x14ac:dyDescent="0.2">
      <c r="A135" s="291" t="s">
        <v>148</v>
      </c>
      <c r="B135" s="291"/>
      <c r="C135" s="156">
        <v>1303</v>
      </c>
      <c r="D135" s="156">
        <v>1008</v>
      </c>
      <c r="E135" s="156">
        <v>295</v>
      </c>
      <c r="F135" s="156">
        <v>163</v>
      </c>
      <c r="G135" s="156">
        <v>103</v>
      </c>
      <c r="H135" s="156">
        <v>0</v>
      </c>
      <c r="I135" s="156">
        <v>29</v>
      </c>
      <c r="J135" s="156">
        <v>0</v>
      </c>
      <c r="K135" s="156">
        <v>0</v>
      </c>
    </row>
    <row r="136" spans="1:11" s="157" customFormat="1" ht="12" customHeight="1" x14ac:dyDescent="0.2">
      <c r="A136" s="291" t="s">
        <v>149</v>
      </c>
      <c r="B136" s="291"/>
      <c r="C136" s="156">
        <v>15826</v>
      </c>
      <c r="D136" s="156">
        <v>10389</v>
      </c>
      <c r="E136" s="156">
        <v>5437</v>
      </c>
      <c r="F136" s="156">
        <v>3688</v>
      </c>
      <c r="G136" s="156">
        <v>1619</v>
      </c>
      <c r="H136" s="156">
        <v>32</v>
      </c>
      <c r="I136" s="156">
        <v>89</v>
      </c>
      <c r="J136" s="156">
        <v>9</v>
      </c>
      <c r="K136" s="156">
        <v>0</v>
      </c>
    </row>
    <row r="137" spans="1:11" s="157" customFormat="1" ht="12" customHeight="1" x14ac:dyDescent="0.2">
      <c r="A137" s="291" t="s">
        <v>150</v>
      </c>
      <c r="B137" s="291"/>
      <c r="C137" s="156">
        <v>6701</v>
      </c>
      <c r="D137" s="156">
        <v>5211</v>
      </c>
      <c r="E137" s="156">
        <v>1490</v>
      </c>
      <c r="F137" s="156">
        <v>1059</v>
      </c>
      <c r="G137" s="156">
        <v>400</v>
      </c>
      <c r="H137" s="156">
        <v>19</v>
      </c>
      <c r="I137" s="156">
        <v>11</v>
      </c>
      <c r="J137" s="156">
        <v>1</v>
      </c>
      <c r="K137" s="156">
        <v>0</v>
      </c>
    </row>
    <row r="138" spans="1:11" s="157" customFormat="1" ht="12" customHeight="1" x14ac:dyDescent="0.2">
      <c r="A138" s="291" t="s">
        <v>152</v>
      </c>
      <c r="B138" s="291"/>
      <c r="C138" s="156">
        <v>213</v>
      </c>
      <c r="D138" s="156">
        <v>195</v>
      </c>
      <c r="E138" s="156">
        <v>18</v>
      </c>
      <c r="F138" s="156">
        <v>10</v>
      </c>
      <c r="G138" s="156">
        <v>8</v>
      </c>
      <c r="H138" s="156">
        <v>0</v>
      </c>
      <c r="I138" s="156">
        <v>0</v>
      </c>
      <c r="J138" s="156">
        <v>0</v>
      </c>
      <c r="K138" s="156">
        <v>0</v>
      </c>
    </row>
    <row r="139" spans="1:11" s="157" customFormat="1" ht="12" customHeight="1" x14ac:dyDescent="0.2">
      <c r="A139" s="291" t="s">
        <v>153</v>
      </c>
      <c r="B139" s="291"/>
      <c r="C139" s="156">
        <v>7302</v>
      </c>
      <c r="D139" s="156">
        <v>5563</v>
      </c>
      <c r="E139" s="156">
        <v>1739</v>
      </c>
      <c r="F139" s="156">
        <v>1215</v>
      </c>
      <c r="G139" s="156">
        <v>495</v>
      </c>
      <c r="H139" s="156">
        <v>14</v>
      </c>
      <c r="I139" s="156">
        <v>12</v>
      </c>
      <c r="J139" s="156">
        <v>3</v>
      </c>
      <c r="K139" s="156">
        <v>0</v>
      </c>
    </row>
    <row r="140" spans="1:11" s="157" customFormat="1" ht="12" customHeight="1" x14ac:dyDescent="0.2">
      <c r="A140" s="291" t="s">
        <v>155</v>
      </c>
      <c r="B140" s="291"/>
      <c r="C140" s="156">
        <v>2682</v>
      </c>
      <c r="D140" s="156">
        <v>1902</v>
      </c>
      <c r="E140" s="156">
        <v>780</v>
      </c>
      <c r="F140" s="156">
        <v>426</v>
      </c>
      <c r="G140" s="156">
        <v>330</v>
      </c>
      <c r="H140" s="156">
        <v>5</v>
      </c>
      <c r="I140" s="156">
        <v>19</v>
      </c>
      <c r="J140" s="156">
        <v>0</v>
      </c>
      <c r="K140" s="156">
        <v>0</v>
      </c>
    </row>
    <row r="141" spans="1:11" s="157" customFormat="1" ht="12" customHeight="1" x14ac:dyDescent="0.2">
      <c r="A141" s="291" t="s">
        <v>156</v>
      </c>
      <c r="B141" s="291"/>
      <c r="C141" s="156">
        <v>682</v>
      </c>
      <c r="D141" s="156">
        <v>631</v>
      </c>
      <c r="E141" s="156">
        <v>51</v>
      </c>
      <c r="F141" s="156">
        <v>31</v>
      </c>
      <c r="G141" s="156">
        <v>20</v>
      </c>
      <c r="H141" s="156">
        <v>0</v>
      </c>
      <c r="I141" s="156">
        <v>0</v>
      </c>
      <c r="J141" s="156">
        <v>0</v>
      </c>
      <c r="K141" s="156">
        <v>0</v>
      </c>
    </row>
    <row r="142" spans="1:11" s="157" customFormat="1" ht="12" customHeight="1" x14ac:dyDescent="0.2">
      <c r="A142" s="291" t="s">
        <v>157</v>
      </c>
      <c r="B142" s="291"/>
      <c r="C142" s="156">
        <v>727</v>
      </c>
      <c r="D142" s="156">
        <v>590</v>
      </c>
      <c r="E142" s="156">
        <v>137</v>
      </c>
      <c r="F142" s="156">
        <v>94</v>
      </c>
      <c r="G142" s="156">
        <v>43</v>
      </c>
      <c r="H142" s="156">
        <v>0</v>
      </c>
      <c r="I142" s="156">
        <v>0</v>
      </c>
      <c r="J142" s="156">
        <v>0</v>
      </c>
      <c r="K142" s="156">
        <v>0</v>
      </c>
    </row>
    <row r="143" spans="1:11" s="157" customFormat="1" ht="12" customHeight="1" x14ac:dyDescent="0.2">
      <c r="A143" s="291" t="s">
        <v>159</v>
      </c>
      <c r="B143" s="291"/>
      <c r="C143" s="156">
        <v>587</v>
      </c>
      <c r="D143" s="156">
        <v>446</v>
      </c>
      <c r="E143" s="156">
        <v>141</v>
      </c>
      <c r="F143" s="156">
        <v>99</v>
      </c>
      <c r="G143" s="156">
        <v>40</v>
      </c>
      <c r="H143" s="156">
        <v>2</v>
      </c>
      <c r="I143" s="156">
        <v>0</v>
      </c>
      <c r="J143" s="156">
        <v>0</v>
      </c>
      <c r="K143" s="156">
        <v>0</v>
      </c>
    </row>
    <row r="144" spans="1:11" s="157" customFormat="1" ht="12" customHeight="1" x14ac:dyDescent="0.2">
      <c r="A144" s="291" t="s">
        <v>162</v>
      </c>
      <c r="B144" s="291"/>
      <c r="C144" s="156">
        <v>86</v>
      </c>
      <c r="D144" s="156">
        <v>81</v>
      </c>
      <c r="E144" s="156">
        <v>5</v>
      </c>
      <c r="F144" s="156">
        <v>4</v>
      </c>
      <c r="G144" s="156">
        <v>1</v>
      </c>
      <c r="H144" s="156">
        <v>0</v>
      </c>
      <c r="I144" s="156">
        <v>0</v>
      </c>
      <c r="J144" s="156">
        <v>0</v>
      </c>
      <c r="K144" s="156">
        <v>0</v>
      </c>
    </row>
    <row r="145" spans="1:11" s="157" customFormat="1" ht="12" customHeight="1" x14ac:dyDescent="0.2">
      <c r="A145" s="291" t="s">
        <v>164</v>
      </c>
      <c r="B145" s="291"/>
      <c r="C145" s="156">
        <v>3194</v>
      </c>
      <c r="D145" s="156">
        <v>2379</v>
      </c>
      <c r="E145" s="156">
        <v>815</v>
      </c>
      <c r="F145" s="156">
        <v>565</v>
      </c>
      <c r="G145" s="156">
        <v>217</v>
      </c>
      <c r="H145" s="156">
        <v>5</v>
      </c>
      <c r="I145" s="156">
        <v>23</v>
      </c>
      <c r="J145" s="156">
        <v>5</v>
      </c>
      <c r="K145" s="156">
        <v>0</v>
      </c>
    </row>
    <row r="146" spans="1:11" s="157" customFormat="1" ht="12" customHeight="1" x14ac:dyDescent="0.2">
      <c r="A146" s="291" t="s">
        <v>348</v>
      </c>
      <c r="B146" s="291"/>
      <c r="C146" s="156">
        <v>2589</v>
      </c>
      <c r="D146" s="156">
        <v>2284</v>
      </c>
      <c r="E146" s="156">
        <v>305</v>
      </c>
      <c r="F146" s="156">
        <v>204</v>
      </c>
      <c r="G146" s="156">
        <v>101</v>
      </c>
      <c r="H146" s="156">
        <v>0</v>
      </c>
      <c r="I146" s="156">
        <v>0</v>
      </c>
      <c r="J146" s="156">
        <v>0</v>
      </c>
      <c r="K146" s="156">
        <v>0</v>
      </c>
    </row>
    <row r="147" spans="1:11" s="157" customFormat="1" ht="12" customHeight="1" x14ac:dyDescent="0.2">
      <c r="A147" s="293" t="s">
        <v>168</v>
      </c>
      <c r="B147" s="293"/>
      <c r="C147" s="163">
        <v>282</v>
      </c>
      <c r="D147" s="163">
        <v>259</v>
      </c>
      <c r="E147" s="163">
        <v>23</v>
      </c>
      <c r="F147" s="163">
        <v>17</v>
      </c>
      <c r="G147" s="163">
        <v>6</v>
      </c>
      <c r="H147" s="163">
        <v>0</v>
      </c>
      <c r="I147" s="163">
        <v>0</v>
      </c>
      <c r="J147" s="163">
        <v>0</v>
      </c>
      <c r="K147" s="163">
        <v>0</v>
      </c>
    </row>
    <row r="148" spans="1:11" s="157" customFormat="1" ht="12" customHeight="1" x14ac:dyDescent="0.2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</row>
    <row r="149" spans="1:11" s="157" customFormat="1" ht="12" customHeight="1" x14ac:dyDescent="0.2">
      <c r="A149" s="294" t="s">
        <v>169</v>
      </c>
      <c r="B149" s="294"/>
      <c r="C149" s="154">
        <v>5970</v>
      </c>
      <c r="D149" s="154">
        <v>5313</v>
      </c>
      <c r="E149" s="154">
        <v>657</v>
      </c>
      <c r="F149" s="154">
        <v>458</v>
      </c>
      <c r="G149" s="154">
        <v>193</v>
      </c>
      <c r="H149" s="154">
        <v>5</v>
      </c>
      <c r="I149" s="154">
        <v>1</v>
      </c>
      <c r="J149" s="154">
        <v>0</v>
      </c>
      <c r="K149" s="154">
        <v>0</v>
      </c>
    </row>
    <row r="150" spans="1:11" s="157" customFormat="1" ht="12" customHeight="1" x14ac:dyDescent="0.2">
      <c r="A150" s="291" t="s">
        <v>170</v>
      </c>
      <c r="B150" s="291"/>
      <c r="C150" s="156">
        <v>1518</v>
      </c>
      <c r="D150" s="156">
        <v>1370</v>
      </c>
      <c r="E150" s="156">
        <v>148</v>
      </c>
      <c r="F150" s="156">
        <v>111</v>
      </c>
      <c r="G150" s="156">
        <v>35</v>
      </c>
      <c r="H150" s="156">
        <v>1</v>
      </c>
      <c r="I150" s="156">
        <v>1</v>
      </c>
      <c r="J150" s="156">
        <v>0</v>
      </c>
      <c r="K150" s="156">
        <v>0</v>
      </c>
    </row>
    <row r="151" spans="1:11" s="157" customFormat="1" ht="12" customHeight="1" x14ac:dyDescent="0.2">
      <c r="A151" s="291" t="s">
        <v>171</v>
      </c>
      <c r="B151" s="291"/>
      <c r="C151" s="156">
        <v>46</v>
      </c>
      <c r="D151" s="156">
        <v>42</v>
      </c>
      <c r="E151" s="156">
        <v>4</v>
      </c>
      <c r="F151" s="156">
        <v>2</v>
      </c>
      <c r="G151" s="156">
        <v>2</v>
      </c>
      <c r="H151" s="156">
        <v>0</v>
      </c>
      <c r="I151" s="156">
        <v>0</v>
      </c>
      <c r="J151" s="156">
        <v>0</v>
      </c>
      <c r="K151" s="156">
        <v>0</v>
      </c>
    </row>
    <row r="152" spans="1:11" s="157" customFormat="1" ht="12" customHeight="1" x14ac:dyDescent="0.2">
      <c r="A152" s="291" t="s">
        <v>172</v>
      </c>
      <c r="B152" s="291"/>
      <c r="C152" s="156">
        <v>53</v>
      </c>
      <c r="D152" s="156">
        <v>43</v>
      </c>
      <c r="E152" s="156">
        <v>10</v>
      </c>
      <c r="F152" s="156">
        <v>7</v>
      </c>
      <c r="G152" s="156">
        <v>3</v>
      </c>
      <c r="H152" s="156">
        <v>0</v>
      </c>
      <c r="I152" s="156">
        <v>0</v>
      </c>
      <c r="J152" s="156">
        <v>0</v>
      </c>
      <c r="K152" s="156">
        <v>0</v>
      </c>
    </row>
    <row r="153" spans="1:11" s="157" customFormat="1" ht="12" customHeight="1" x14ac:dyDescent="0.2">
      <c r="A153" s="291" t="s">
        <v>173</v>
      </c>
      <c r="B153" s="291"/>
      <c r="C153" s="156">
        <v>45</v>
      </c>
      <c r="D153" s="156">
        <v>41</v>
      </c>
      <c r="E153" s="156">
        <v>4</v>
      </c>
      <c r="F153" s="156">
        <v>4</v>
      </c>
      <c r="G153" s="156">
        <v>0</v>
      </c>
      <c r="H153" s="156">
        <v>0</v>
      </c>
      <c r="I153" s="156">
        <v>0</v>
      </c>
      <c r="J153" s="156">
        <v>0</v>
      </c>
      <c r="K153" s="156">
        <v>0</v>
      </c>
    </row>
    <row r="154" spans="1:11" s="157" customFormat="1" ht="12" customHeight="1" x14ac:dyDescent="0.2">
      <c r="A154" s="291" t="s">
        <v>174</v>
      </c>
      <c r="B154" s="291"/>
      <c r="C154" s="156">
        <v>1159</v>
      </c>
      <c r="D154" s="156">
        <v>983</v>
      </c>
      <c r="E154" s="156">
        <v>176</v>
      </c>
      <c r="F154" s="156">
        <v>123</v>
      </c>
      <c r="G154" s="156">
        <v>52</v>
      </c>
      <c r="H154" s="156">
        <v>1</v>
      </c>
      <c r="I154" s="156">
        <v>0</v>
      </c>
      <c r="J154" s="156">
        <v>0</v>
      </c>
      <c r="K154" s="156">
        <v>0</v>
      </c>
    </row>
    <row r="155" spans="1:11" s="157" customFormat="1" ht="12" customHeight="1" x14ac:dyDescent="0.2">
      <c r="A155" s="291" t="s">
        <v>175</v>
      </c>
      <c r="B155" s="291"/>
      <c r="C155" s="156">
        <v>509</v>
      </c>
      <c r="D155" s="156">
        <v>478</v>
      </c>
      <c r="E155" s="156">
        <v>31</v>
      </c>
      <c r="F155" s="156">
        <v>19</v>
      </c>
      <c r="G155" s="156">
        <v>11</v>
      </c>
      <c r="H155" s="156">
        <v>1</v>
      </c>
      <c r="I155" s="156">
        <v>0</v>
      </c>
      <c r="J155" s="156">
        <v>0</v>
      </c>
      <c r="K155" s="156">
        <v>0</v>
      </c>
    </row>
    <row r="156" spans="1:11" s="157" customFormat="1" ht="12" customHeight="1" x14ac:dyDescent="0.2">
      <c r="A156" s="291" t="s">
        <v>176</v>
      </c>
      <c r="B156" s="291"/>
      <c r="C156" s="156">
        <v>48</v>
      </c>
      <c r="D156" s="156">
        <v>43</v>
      </c>
      <c r="E156" s="156">
        <v>5</v>
      </c>
      <c r="F156" s="156">
        <v>4</v>
      </c>
      <c r="G156" s="156">
        <v>1</v>
      </c>
      <c r="H156" s="156">
        <v>0</v>
      </c>
      <c r="I156" s="156">
        <v>0</v>
      </c>
      <c r="J156" s="156">
        <v>0</v>
      </c>
      <c r="K156" s="156">
        <v>0</v>
      </c>
    </row>
    <row r="157" spans="1:11" s="157" customFormat="1" ht="12" customHeight="1" x14ac:dyDescent="0.2">
      <c r="A157" s="293" t="s">
        <v>177</v>
      </c>
      <c r="B157" s="293"/>
      <c r="C157" s="163">
        <v>2592</v>
      </c>
      <c r="D157" s="163">
        <v>2313</v>
      </c>
      <c r="E157" s="163">
        <v>279</v>
      </c>
      <c r="F157" s="163">
        <v>188</v>
      </c>
      <c r="G157" s="163">
        <v>89</v>
      </c>
      <c r="H157" s="163">
        <v>2</v>
      </c>
      <c r="I157" s="163">
        <v>0</v>
      </c>
      <c r="J157" s="163">
        <v>0</v>
      </c>
      <c r="K157" s="163">
        <v>0</v>
      </c>
    </row>
    <row r="158" spans="1:11" s="157" customFormat="1" ht="12" customHeight="1" x14ac:dyDescent="0.2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</row>
    <row r="159" spans="1:11" s="157" customFormat="1" ht="12" customHeight="1" x14ac:dyDescent="0.2">
      <c r="A159" s="294" t="s">
        <v>178</v>
      </c>
      <c r="B159" s="294"/>
      <c r="C159" s="154">
        <v>55711</v>
      </c>
      <c r="D159" s="154">
        <v>41057</v>
      </c>
      <c r="E159" s="154">
        <v>14654</v>
      </c>
      <c r="F159" s="154">
        <v>10011</v>
      </c>
      <c r="G159" s="154">
        <v>4147</v>
      </c>
      <c r="H159" s="154">
        <v>94</v>
      </c>
      <c r="I159" s="154">
        <v>360</v>
      </c>
      <c r="J159" s="154">
        <v>42</v>
      </c>
      <c r="K159" s="154">
        <v>0</v>
      </c>
    </row>
    <row r="160" spans="1:11" s="157" customFormat="1" ht="12" customHeight="1" x14ac:dyDescent="0.2">
      <c r="A160" s="291" t="s">
        <v>179</v>
      </c>
      <c r="B160" s="291"/>
      <c r="C160" s="156">
        <v>5103</v>
      </c>
      <c r="D160" s="156">
        <v>3653</v>
      </c>
      <c r="E160" s="156">
        <v>1450</v>
      </c>
      <c r="F160" s="156">
        <v>1010</v>
      </c>
      <c r="G160" s="156">
        <v>386</v>
      </c>
      <c r="H160" s="156">
        <v>6</v>
      </c>
      <c r="I160" s="156">
        <v>46</v>
      </c>
      <c r="J160" s="156">
        <v>2</v>
      </c>
      <c r="K160" s="156">
        <v>0</v>
      </c>
    </row>
    <row r="161" spans="1:11" s="157" customFormat="1" ht="12" customHeight="1" x14ac:dyDescent="0.2">
      <c r="A161" s="291" t="s">
        <v>180</v>
      </c>
      <c r="B161" s="291"/>
      <c r="C161" s="156">
        <v>43220</v>
      </c>
      <c r="D161" s="156">
        <v>32194</v>
      </c>
      <c r="E161" s="156">
        <v>11026</v>
      </c>
      <c r="F161" s="156">
        <v>7550</v>
      </c>
      <c r="G161" s="156">
        <v>3123</v>
      </c>
      <c r="H161" s="156">
        <v>68</v>
      </c>
      <c r="I161" s="156">
        <v>246</v>
      </c>
      <c r="J161" s="156">
        <v>39</v>
      </c>
      <c r="K161" s="156">
        <v>0</v>
      </c>
    </row>
    <row r="162" spans="1:11" s="157" customFormat="1" ht="12" customHeight="1" x14ac:dyDescent="0.2">
      <c r="A162" s="291" t="s">
        <v>181</v>
      </c>
      <c r="B162" s="291"/>
      <c r="C162" s="156">
        <v>2952</v>
      </c>
      <c r="D162" s="156">
        <v>1745</v>
      </c>
      <c r="E162" s="156">
        <v>1207</v>
      </c>
      <c r="F162" s="156">
        <v>753</v>
      </c>
      <c r="G162" s="156">
        <v>412</v>
      </c>
      <c r="H162" s="156">
        <v>10</v>
      </c>
      <c r="I162" s="156">
        <v>31</v>
      </c>
      <c r="J162" s="156">
        <v>1</v>
      </c>
      <c r="K162" s="156">
        <v>0</v>
      </c>
    </row>
    <row r="163" spans="1:11" s="157" customFormat="1" ht="12" customHeight="1" x14ac:dyDescent="0.2">
      <c r="A163" s="291" t="s">
        <v>187</v>
      </c>
      <c r="B163" s="291"/>
      <c r="C163" s="156">
        <v>398</v>
      </c>
      <c r="D163" s="156">
        <v>360</v>
      </c>
      <c r="E163" s="156">
        <v>38</v>
      </c>
      <c r="F163" s="156">
        <v>25</v>
      </c>
      <c r="G163" s="156">
        <v>13</v>
      </c>
      <c r="H163" s="156">
        <v>0</v>
      </c>
      <c r="I163" s="156">
        <v>0</v>
      </c>
      <c r="J163" s="156">
        <v>0</v>
      </c>
      <c r="K163" s="156">
        <v>0</v>
      </c>
    </row>
    <row r="164" spans="1:11" s="157" customFormat="1" ht="12" customHeight="1" x14ac:dyDescent="0.2">
      <c r="A164" s="291" t="s">
        <v>188</v>
      </c>
      <c r="B164" s="291"/>
      <c r="C164" s="156">
        <v>1513</v>
      </c>
      <c r="D164" s="156">
        <v>1241</v>
      </c>
      <c r="E164" s="156">
        <v>272</v>
      </c>
      <c r="F164" s="156">
        <v>175</v>
      </c>
      <c r="G164" s="156">
        <v>89</v>
      </c>
      <c r="H164" s="156">
        <v>2</v>
      </c>
      <c r="I164" s="156">
        <v>6</v>
      </c>
      <c r="J164" s="156">
        <v>0</v>
      </c>
      <c r="K164" s="156">
        <v>0</v>
      </c>
    </row>
    <row r="165" spans="1:11" s="157" customFormat="1" ht="12" customHeight="1" x14ac:dyDescent="0.2">
      <c r="A165" s="296" t="s">
        <v>194</v>
      </c>
      <c r="B165" s="296"/>
      <c r="C165" s="163">
        <v>2525</v>
      </c>
      <c r="D165" s="163">
        <v>1864</v>
      </c>
      <c r="E165" s="163">
        <v>661</v>
      </c>
      <c r="F165" s="163">
        <v>498</v>
      </c>
      <c r="G165" s="163">
        <v>124</v>
      </c>
      <c r="H165" s="163">
        <v>8</v>
      </c>
      <c r="I165" s="163">
        <v>31</v>
      </c>
      <c r="J165" s="163">
        <v>0</v>
      </c>
      <c r="K165" s="163">
        <v>0</v>
      </c>
    </row>
    <row r="166" spans="1:11" s="157" customFormat="1" ht="12" customHeight="1" x14ac:dyDescent="0.2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</row>
    <row r="167" spans="1:11" s="157" customFormat="1" ht="12" customHeight="1" x14ac:dyDescent="0.2">
      <c r="A167" s="294" t="s">
        <v>197</v>
      </c>
      <c r="B167" s="294"/>
      <c r="C167" s="154">
        <v>10335</v>
      </c>
      <c r="D167" s="154">
        <v>6963</v>
      </c>
      <c r="E167" s="154">
        <v>3372</v>
      </c>
      <c r="F167" s="154">
        <v>2513</v>
      </c>
      <c r="G167" s="154">
        <v>791</v>
      </c>
      <c r="H167" s="154">
        <v>10</v>
      </c>
      <c r="I167" s="154">
        <v>58</v>
      </c>
      <c r="J167" s="154">
        <v>0</v>
      </c>
      <c r="K167" s="154">
        <v>0</v>
      </c>
    </row>
    <row r="168" spans="1:11" s="157" customFormat="1" ht="12" customHeight="1" x14ac:dyDescent="0.2">
      <c r="A168" s="291" t="s">
        <v>198</v>
      </c>
      <c r="B168" s="291"/>
      <c r="C168" s="156">
        <v>6115</v>
      </c>
      <c r="D168" s="156">
        <v>4023</v>
      </c>
      <c r="E168" s="156">
        <v>2092</v>
      </c>
      <c r="F168" s="156">
        <v>1568</v>
      </c>
      <c r="G168" s="156">
        <v>463</v>
      </c>
      <c r="H168" s="156">
        <v>4</v>
      </c>
      <c r="I168" s="156">
        <v>57</v>
      </c>
      <c r="J168" s="156">
        <v>0</v>
      </c>
      <c r="K168" s="156">
        <v>0</v>
      </c>
    </row>
    <row r="169" spans="1:11" s="157" customFormat="1" ht="12" customHeight="1" x14ac:dyDescent="0.2">
      <c r="A169" s="296" t="s">
        <v>371</v>
      </c>
      <c r="B169" s="296"/>
      <c r="C169" s="163">
        <v>4220</v>
      </c>
      <c r="D169" s="163">
        <v>2940</v>
      </c>
      <c r="E169" s="163">
        <v>1280</v>
      </c>
      <c r="F169" s="163">
        <v>945</v>
      </c>
      <c r="G169" s="163">
        <v>328</v>
      </c>
      <c r="H169" s="163">
        <v>6</v>
      </c>
      <c r="I169" s="163">
        <v>1</v>
      </c>
      <c r="J169" s="163">
        <v>0</v>
      </c>
      <c r="K169" s="163">
        <v>0</v>
      </c>
    </row>
    <row r="170" spans="1:11" s="157" customFormat="1" ht="12" customHeight="1" x14ac:dyDescent="0.2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</row>
    <row r="171" spans="1:11" s="157" customFormat="1" ht="12" customHeight="1" x14ac:dyDescent="0.2">
      <c r="A171" s="294" t="s">
        <v>204</v>
      </c>
      <c r="B171" s="294"/>
      <c r="C171" s="154">
        <v>5682</v>
      </c>
      <c r="D171" s="154">
        <v>5132</v>
      </c>
      <c r="E171" s="154">
        <v>550</v>
      </c>
      <c r="F171" s="154">
        <v>344</v>
      </c>
      <c r="G171" s="154">
        <v>203</v>
      </c>
      <c r="H171" s="154">
        <v>2</v>
      </c>
      <c r="I171" s="154">
        <v>0</v>
      </c>
      <c r="J171" s="154">
        <v>1</v>
      </c>
      <c r="K171" s="154">
        <v>0</v>
      </c>
    </row>
    <row r="172" spans="1:11" s="157" customFormat="1" ht="12" customHeight="1" x14ac:dyDescent="0.2">
      <c r="A172" s="291" t="s">
        <v>205</v>
      </c>
      <c r="B172" s="291"/>
      <c r="C172" s="156">
        <v>1808</v>
      </c>
      <c r="D172" s="156">
        <v>1590</v>
      </c>
      <c r="E172" s="156">
        <v>218</v>
      </c>
      <c r="F172" s="156">
        <v>148</v>
      </c>
      <c r="G172" s="156">
        <v>70</v>
      </c>
      <c r="H172" s="156">
        <v>0</v>
      </c>
      <c r="I172" s="156">
        <v>0</v>
      </c>
      <c r="J172" s="156">
        <v>0</v>
      </c>
      <c r="K172" s="156">
        <v>0</v>
      </c>
    </row>
    <row r="173" spans="1:11" s="157" customFormat="1" ht="12" customHeight="1" x14ac:dyDescent="0.2">
      <c r="A173" s="291" t="s">
        <v>206</v>
      </c>
      <c r="B173" s="291"/>
      <c r="C173" s="156">
        <v>1803</v>
      </c>
      <c r="D173" s="156">
        <v>1661</v>
      </c>
      <c r="E173" s="156">
        <v>142</v>
      </c>
      <c r="F173" s="156">
        <v>74</v>
      </c>
      <c r="G173" s="156">
        <v>66</v>
      </c>
      <c r="H173" s="156">
        <v>2</v>
      </c>
      <c r="I173" s="156">
        <v>0</v>
      </c>
      <c r="J173" s="156">
        <v>0</v>
      </c>
      <c r="K173" s="156">
        <v>0</v>
      </c>
    </row>
    <row r="174" spans="1:11" s="157" customFormat="1" ht="12" customHeight="1" x14ac:dyDescent="0.2">
      <c r="A174" s="296" t="s">
        <v>345</v>
      </c>
      <c r="B174" s="296"/>
      <c r="C174" s="169">
        <v>2071</v>
      </c>
      <c r="D174" s="169">
        <v>1881</v>
      </c>
      <c r="E174" s="169">
        <v>190</v>
      </c>
      <c r="F174" s="169">
        <v>122</v>
      </c>
      <c r="G174" s="169">
        <v>67</v>
      </c>
      <c r="H174" s="169">
        <v>0</v>
      </c>
      <c r="I174" s="169">
        <v>0</v>
      </c>
      <c r="J174" s="169">
        <v>1</v>
      </c>
      <c r="K174" s="169">
        <v>0</v>
      </c>
    </row>
    <row r="175" spans="1:11" s="157" customFormat="1" ht="12" customHeight="1" x14ac:dyDescent="0.2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</row>
    <row r="176" spans="1:11" s="157" customFormat="1" ht="12" customHeight="1" x14ac:dyDescent="0.2">
      <c r="A176" s="294" t="s">
        <v>210</v>
      </c>
      <c r="B176" s="294"/>
      <c r="C176" s="154">
        <v>9113</v>
      </c>
      <c r="D176" s="154">
        <v>6648</v>
      </c>
      <c r="E176" s="154">
        <v>2465</v>
      </c>
      <c r="F176" s="154">
        <v>1534</v>
      </c>
      <c r="G176" s="154">
        <v>821</v>
      </c>
      <c r="H176" s="154">
        <v>22</v>
      </c>
      <c r="I176" s="154">
        <v>80</v>
      </c>
      <c r="J176" s="154">
        <v>8</v>
      </c>
      <c r="K176" s="154">
        <v>0</v>
      </c>
    </row>
    <row r="177" spans="1:11" s="157" customFormat="1" ht="12" customHeight="1" x14ac:dyDescent="0.2">
      <c r="A177" s="291" t="s">
        <v>211</v>
      </c>
      <c r="B177" s="291"/>
      <c r="C177" s="156">
        <v>1501</v>
      </c>
      <c r="D177" s="156">
        <v>1122</v>
      </c>
      <c r="E177" s="156">
        <v>379</v>
      </c>
      <c r="F177" s="156">
        <v>213</v>
      </c>
      <c r="G177" s="156">
        <v>156</v>
      </c>
      <c r="H177" s="156">
        <v>5</v>
      </c>
      <c r="I177" s="156">
        <v>4</v>
      </c>
      <c r="J177" s="156">
        <v>1</v>
      </c>
      <c r="K177" s="156">
        <v>0</v>
      </c>
    </row>
    <row r="178" spans="1:11" s="157" customFormat="1" ht="12" customHeight="1" x14ac:dyDescent="0.2">
      <c r="A178" s="291" t="s">
        <v>213</v>
      </c>
      <c r="B178" s="291"/>
      <c r="C178" s="156">
        <v>110</v>
      </c>
      <c r="D178" s="156">
        <v>94</v>
      </c>
      <c r="E178" s="156">
        <v>16</v>
      </c>
      <c r="F178" s="156">
        <v>5</v>
      </c>
      <c r="G178" s="156">
        <v>10</v>
      </c>
      <c r="H178" s="156">
        <v>1</v>
      </c>
      <c r="I178" s="156">
        <v>0</v>
      </c>
      <c r="J178" s="156">
        <v>0</v>
      </c>
      <c r="K178" s="156">
        <v>0</v>
      </c>
    </row>
    <row r="179" spans="1:11" s="157" customFormat="1" ht="12" customHeight="1" x14ac:dyDescent="0.2">
      <c r="A179" s="291" t="s">
        <v>214</v>
      </c>
      <c r="B179" s="291"/>
      <c r="C179" s="156">
        <v>992</v>
      </c>
      <c r="D179" s="156">
        <v>507</v>
      </c>
      <c r="E179" s="156">
        <v>485</v>
      </c>
      <c r="F179" s="156">
        <v>290</v>
      </c>
      <c r="G179" s="156">
        <v>160</v>
      </c>
      <c r="H179" s="156">
        <v>4</v>
      </c>
      <c r="I179" s="156">
        <v>27</v>
      </c>
      <c r="J179" s="156">
        <v>4</v>
      </c>
      <c r="K179" s="156">
        <v>0</v>
      </c>
    </row>
    <row r="180" spans="1:11" s="157" customFormat="1" ht="12" customHeight="1" x14ac:dyDescent="0.2">
      <c r="A180" s="291" t="s">
        <v>219</v>
      </c>
      <c r="B180" s="291"/>
      <c r="C180" s="156">
        <v>182</v>
      </c>
      <c r="D180" s="156">
        <v>163</v>
      </c>
      <c r="E180" s="156">
        <v>19</v>
      </c>
      <c r="F180" s="156">
        <v>11</v>
      </c>
      <c r="G180" s="156">
        <v>8</v>
      </c>
      <c r="H180" s="156">
        <v>0</v>
      </c>
      <c r="I180" s="156">
        <v>0</v>
      </c>
      <c r="J180" s="156">
        <v>0</v>
      </c>
      <c r="K180" s="156">
        <v>0</v>
      </c>
    </row>
    <row r="181" spans="1:11" s="157" customFormat="1" ht="12" customHeight="1" x14ac:dyDescent="0.2">
      <c r="A181" s="291" t="s">
        <v>220</v>
      </c>
      <c r="B181" s="291"/>
      <c r="C181" s="156">
        <v>2903</v>
      </c>
      <c r="D181" s="156">
        <v>2305</v>
      </c>
      <c r="E181" s="156">
        <v>598</v>
      </c>
      <c r="F181" s="156">
        <v>431</v>
      </c>
      <c r="G181" s="156">
        <v>163</v>
      </c>
      <c r="H181" s="156">
        <v>4</v>
      </c>
      <c r="I181" s="156">
        <v>0</v>
      </c>
      <c r="J181" s="156">
        <v>0</v>
      </c>
      <c r="K181" s="156">
        <v>0</v>
      </c>
    </row>
    <row r="182" spans="1:11" s="157" customFormat="1" ht="12" customHeight="1" x14ac:dyDescent="0.2">
      <c r="A182" s="291" t="s">
        <v>221</v>
      </c>
      <c r="B182" s="291"/>
      <c r="C182" s="156">
        <v>858</v>
      </c>
      <c r="D182" s="156">
        <v>588</v>
      </c>
      <c r="E182" s="156">
        <v>270</v>
      </c>
      <c r="F182" s="156">
        <v>149</v>
      </c>
      <c r="G182" s="156">
        <v>94</v>
      </c>
      <c r="H182" s="156">
        <v>1</v>
      </c>
      <c r="I182" s="156">
        <v>24</v>
      </c>
      <c r="J182" s="156">
        <v>2</v>
      </c>
      <c r="K182" s="156">
        <v>0</v>
      </c>
    </row>
    <row r="183" spans="1:11" s="157" customFormat="1" ht="12" customHeight="1" x14ac:dyDescent="0.2">
      <c r="A183" s="291" t="s">
        <v>224</v>
      </c>
      <c r="B183" s="291"/>
      <c r="C183" s="156">
        <v>335</v>
      </c>
      <c r="D183" s="156">
        <v>274</v>
      </c>
      <c r="E183" s="156">
        <v>61</v>
      </c>
      <c r="F183" s="156">
        <v>45</v>
      </c>
      <c r="G183" s="156">
        <v>16</v>
      </c>
      <c r="H183" s="156">
        <v>0</v>
      </c>
      <c r="I183" s="156">
        <v>0</v>
      </c>
      <c r="J183" s="156">
        <v>0</v>
      </c>
      <c r="K183" s="156">
        <v>0</v>
      </c>
    </row>
    <row r="184" spans="1:11" s="157" customFormat="1" ht="12" customHeight="1" x14ac:dyDescent="0.2">
      <c r="A184" s="291" t="s">
        <v>225</v>
      </c>
      <c r="B184" s="291"/>
      <c r="C184" s="156">
        <v>800</v>
      </c>
      <c r="D184" s="156">
        <v>490</v>
      </c>
      <c r="E184" s="156">
        <v>310</v>
      </c>
      <c r="F184" s="156">
        <v>210</v>
      </c>
      <c r="G184" s="156">
        <v>89</v>
      </c>
      <c r="H184" s="156">
        <v>1</v>
      </c>
      <c r="I184" s="156">
        <v>10</v>
      </c>
      <c r="J184" s="156">
        <v>0</v>
      </c>
      <c r="K184" s="156">
        <v>0</v>
      </c>
    </row>
    <row r="185" spans="1:11" s="157" customFormat="1" ht="12" customHeight="1" x14ac:dyDescent="0.2">
      <c r="A185" s="291" t="s">
        <v>226</v>
      </c>
      <c r="B185" s="291"/>
      <c r="C185" s="156">
        <v>406</v>
      </c>
      <c r="D185" s="156">
        <v>315</v>
      </c>
      <c r="E185" s="156">
        <v>91</v>
      </c>
      <c r="F185" s="156">
        <v>45</v>
      </c>
      <c r="G185" s="156">
        <v>45</v>
      </c>
      <c r="H185" s="156">
        <v>1</v>
      </c>
      <c r="I185" s="156">
        <v>0</v>
      </c>
      <c r="J185" s="156">
        <v>0</v>
      </c>
      <c r="K185" s="156">
        <v>0</v>
      </c>
    </row>
    <row r="186" spans="1:11" s="157" customFormat="1" ht="12" customHeight="1" x14ac:dyDescent="0.2">
      <c r="A186" s="296" t="s">
        <v>227</v>
      </c>
      <c r="B186" s="296"/>
      <c r="C186" s="163">
        <v>1026</v>
      </c>
      <c r="D186" s="163">
        <v>790</v>
      </c>
      <c r="E186" s="163">
        <v>236</v>
      </c>
      <c r="F186" s="163">
        <v>135</v>
      </c>
      <c r="G186" s="163">
        <v>80</v>
      </c>
      <c r="H186" s="163">
        <v>5</v>
      </c>
      <c r="I186" s="163">
        <v>15</v>
      </c>
      <c r="J186" s="163">
        <v>1</v>
      </c>
      <c r="K186" s="163">
        <v>0</v>
      </c>
    </row>
    <row r="187" spans="1:11" s="157" customFormat="1" ht="12" customHeight="1" x14ac:dyDescent="0.2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</row>
    <row r="188" spans="1:11" s="157" customFormat="1" ht="12" customHeight="1" x14ac:dyDescent="0.2">
      <c r="A188" s="294" t="s">
        <v>229</v>
      </c>
      <c r="B188" s="294"/>
      <c r="C188" s="154">
        <v>353343</v>
      </c>
      <c r="D188" s="154">
        <v>255116</v>
      </c>
      <c r="E188" s="154">
        <v>98227</v>
      </c>
      <c r="F188" s="154">
        <v>60880</v>
      </c>
      <c r="G188" s="154">
        <v>35082</v>
      </c>
      <c r="H188" s="154">
        <v>577</v>
      </c>
      <c r="I188" s="154">
        <v>1481</v>
      </c>
      <c r="J188" s="154">
        <v>186</v>
      </c>
      <c r="K188" s="154">
        <v>21</v>
      </c>
    </row>
    <row r="189" spans="1:11" s="157" customFormat="1" ht="12" customHeight="1" x14ac:dyDescent="0.2">
      <c r="A189" s="291" t="s">
        <v>230</v>
      </c>
      <c r="B189" s="291"/>
      <c r="C189" s="156">
        <v>50865</v>
      </c>
      <c r="D189" s="156">
        <v>38164</v>
      </c>
      <c r="E189" s="156">
        <v>12701</v>
      </c>
      <c r="F189" s="156">
        <v>7017</v>
      </c>
      <c r="G189" s="156">
        <v>5348</v>
      </c>
      <c r="H189" s="156">
        <v>54</v>
      </c>
      <c r="I189" s="156">
        <v>264</v>
      </c>
      <c r="J189" s="156">
        <v>18</v>
      </c>
      <c r="K189" s="156">
        <v>0</v>
      </c>
    </row>
    <row r="190" spans="1:11" s="157" customFormat="1" ht="12" customHeight="1" x14ac:dyDescent="0.2">
      <c r="A190" s="291" t="s">
        <v>231</v>
      </c>
      <c r="B190" s="291"/>
      <c r="C190" s="156">
        <v>151592</v>
      </c>
      <c r="D190" s="156">
        <v>103558</v>
      </c>
      <c r="E190" s="156">
        <v>48034</v>
      </c>
      <c r="F190" s="156">
        <v>28317</v>
      </c>
      <c r="G190" s="156">
        <v>18799</v>
      </c>
      <c r="H190" s="156">
        <v>273</v>
      </c>
      <c r="I190" s="156">
        <v>528</v>
      </c>
      <c r="J190" s="156">
        <v>96</v>
      </c>
      <c r="K190" s="156">
        <v>21</v>
      </c>
    </row>
    <row r="191" spans="1:11" s="157" customFormat="1" ht="12" customHeight="1" x14ac:dyDescent="0.2">
      <c r="A191" s="291" t="s">
        <v>232</v>
      </c>
      <c r="B191" s="291"/>
      <c r="C191" s="156">
        <v>64075</v>
      </c>
      <c r="D191" s="156">
        <v>48281</v>
      </c>
      <c r="E191" s="156">
        <v>15794</v>
      </c>
      <c r="F191" s="156">
        <v>10686</v>
      </c>
      <c r="G191" s="156">
        <v>4780</v>
      </c>
      <c r="H191" s="156">
        <v>117</v>
      </c>
      <c r="I191" s="156">
        <v>190</v>
      </c>
      <c r="J191" s="156">
        <v>21</v>
      </c>
      <c r="K191" s="156">
        <v>0</v>
      </c>
    </row>
    <row r="192" spans="1:11" s="157" customFormat="1" ht="12" customHeight="1" x14ac:dyDescent="0.2">
      <c r="A192" s="291" t="s">
        <v>233</v>
      </c>
      <c r="B192" s="291"/>
      <c r="C192" s="156">
        <v>5970</v>
      </c>
      <c r="D192" s="156">
        <v>5313</v>
      </c>
      <c r="E192" s="156">
        <v>657</v>
      </c>
      <c r="F192" s="156">
        <v>458</v>
      </c>
      <c r="G192" s="156">
        <v>193</v>
      </c>
      <c r="H192" s="156">
        <v>5</v>
      </c>
      <c r="I192" s="156">
        <v>1</v>
      </c>
      <c r="J192" s="156">
        <v>0</v>
      </c>
      <c r="K192" s="156">
        <v>0</v>
      </c>
    </row>
    <row r="193" spans="1:11" s="157" customFormat="1" ht="12" customHeight="1" x14ac:dyDescent="0.2">
      <c r="A193" s="291" t="s">
        <v>234</v>
      </c>
      <c r="B193" s="291"/>
      <c r="C193" s="156">
        <v>55711</v>
      </c>
      <c r="D193" s="156">
        <v>41057</v>
      </c>
      <c r="E193" s="156">
        <v>14654</v>
      </c>
      <c r="F193" s="156">
        <v>10011</v>
      </c>
      <c r="G193" s="156">
        <v>4147</v>
      </c>
      <c r="H193" s="156">
        <v>94</v>
      </c>
      <c r="I193" s="156">
        <v>360</v>
      </c>
      <c r="J193" s="156">
        <v>42</v>
      </c>
      <c r="K193" s="156">
        <v>0</v>
      </c>
    </row>
    <row r="194" spans="1:11" s="157" customFormat="1" ht="12" customHeight="1" x14ac:dyDescent="0.2">
      <c r="A194" s="291" t="s">
        <v>235</v>
      </c>
      <c r="B194" s="291"/>
      <c r="C194" s="156">
        <v>10335</v>
      </c>
      <c r="D194" s="156">
        <v>6963</v>
      </c>
      <c r="E194" s="156">
        <v>3372</v>
      </c>
      <c r="F194" s="156">
        <v>2513</v>
      </c>
      <c r="G194" s="156">
        <v>791</v>
      </c>
      <c r="H194" s="156">
        <v>10</v>
      </c>
      <c r="I194" s="156">
        <v>58</v>
      </c>
      <c r="J194" s="156">
        <v>0</v>
      </c>
      <c r="K194" s="156">
        <v>0</v>
      </c>
    </row>
    <row r="195" spans="1:11" s="157" customFormat="1" ht="12" customHeight="1" x14ac:dyDescent="0.2">
      <c r="A195" s="291" t="s">
        <v>236</v>
      </c>
      <c r="B195" s="291"/>
      <c r="C195" s="156">
        <v>5682</v>
      </c>
      <c r="D195" s="156">
        <v>5132</v>
      </c>
      <c r="E195" s="156">
        <v>550</v>
      </c>
      <c r="F195" s="156">
        <v>344</v>
      </c>
      <c r="G195" s="156">
        <v>203</v>
      </c>
      <c r="H195" s="156">
        <v>2</v>
      </c>
      <c r="I195" s="156">
        <v>0</v>
      </c>
      <c r="J195" s="156">
        <v>1</v>
      </c>
      <c r="K195" s="156">
        <v>0</v>
      </c>
    </row>
    <row r="196" spans="1:11" s="157" customFormat="1" ht="12" customHeight="1" x14ac:dyDescent="0.2">
      <c r="A196" s="293" t="s">
        <v>237</v>
      </c>
      <c r="B196" s="293"/>
      <c r="C196" s="163">
        <v>9113</v>
      </c>
      <c r="D196" s="163">
        <v>6648</v>
      </c>
      <c r="E196" s="163">
        <v>2465</v>
      </c>
      <c r="F196" s="163">
        <v>1534</v>
      </c>
      <c r="G196" s="163">
        <v>821</v>
      </c>
      <c r="H196" s="163">
        <v>22</v>
      </c>
      <c r="I196" s="163">
        <v>80</v>
      </c>
      <c r="J196" s="163">
        <v>8</v>
      </c>
      <c r="K196" s="163">
        <v>0</v>
      </c>
    </row>
    <row r="197" spans="1:11" s="157" customFormat="1" ht="12" customHeight="1" x14ac:dyDescent="0.2">
      <c r="A197" s="162"/>
      <c r="B197" s="162"/>
      <c r="C197" s="169"/>
      <c r="D197" s="169"/>
      <c r="E197" s="169"/>
      <c r="F197" s="169"/>
      <c r="G197" s="169"/>
      <c r="H197" s="169"/>
      <c r="I197" s="169"/>
      <c r="J197" s="169"/>
      <c r="K197" s="169"/>
    </row>
    <row r="198" spans="1:11" s="157" customFormat="1" ht="12" customHeight="1" x14ac:dyDescent="0.2">
      <c r="A198" s="294" t="s">
        <v>355</v>
      </c>
      <c r="B198" s="294"/>
      <c r="C198" s="154">
        <f>+C199+C200+C201+C202+C203</f>
        <v>327779</v>
      </c>
      <c r="D198" s="154">
        <f t="shared" ref="D198:K198" si="0">+D199+D200+D201+D202+D203</f>
        <v>235337</v>
      </c>
      <c r="E198" s="154">
        <f t="shared" si="0"/>
        <v>92442</v>
      </c>
      <c r="F198" s="154">
        <f t="shared" si="0"/>
        <v>57003</v>
      </c>
      <c r="G198" s="154">
        <f t="shared" si="0"/>
        <v>33358</v>
      </c>
      <c r="H198" s="154">
        <f t="shared" si="0"/>
        <v>542</v>
      </c>
      <c r="I198" s="154">
        <f t="shared" si="0"/>
        <v>1344</v>
      </c>
      <c r="J198" s="154">
        <f t="shared" si="0"/>
        <v>174</v>
      </c>
      <c r="K198" s="154">
        <f t="shared" si="0"/>
        <v>21</v>
      </c>
    </row>
    <row r="199" spans="1:11" s="157" customFormat="1" ht="12" customHeight="1" x14ac:dyDescent="0.2">
      <c r="A199" s="291" t="s">
        <v>356</v>
      </c>
      <c r="B199" s="291"/>
      <c r="C199" s="156">
        <f>+C160+C161+C164+C165</f>
        <v>52361</v>
      </c>
      <c r="D199" s="156">
        <f t="shared" ref="D199:K199" si="1">+D160+D161+D164+D165</f>
        <v>38952</v>
      </c>
      <c r="E199" s="156">
        <f t="shared" si="1"/>
        <v>13409</v>
      </c>
      <c r="F199" s="156">
        <f t="shared" si="1"/>
        <v>9233</v>
      </c>
      <c r="G199" s="156">
        <f t="shared" si="1"/>
        <v>3722</v>
      </c>
      <c r="H199" s="156">
        <f t="shared" si="1"/>
        <v>84</v>
      </c>
      <c r="I199" s="156">
        <f t="shared" si="1"/>
        <v>329</v>
      </c>
      <c r="J199" s="156">
        <f t="shared" si="1"/>
        <v>41</v>
      </c>
      <c r="K199" s="156">
        <f t="shared" si="1"/>
        <v>0</v>
      </c>
    </row>
    <row r="200" spans="1:11" s="157" customFormat="1" ht="12" customHeight="1" x14ac:dyDescent="0.2">
      <c r="A200" s="291" t="s">
        <v>357</v>
      </c>
      <c r="B200" s="291"/>
      <c r="C200" s="159">
        <f>+C58+C59+C80+C60+C61+C62+C63+C64+C65+C66+C67+C68</f>
        <v>51335</v>
      </c>
      <c r="D200" s="159">
        <f t="shared" ref="D200:K200" si="2">+D58+D59+D80+D60+D61+D62+D63+D64+D65+D66+D67+D68</f>
        <v>38532</v>
      </c>
      <c r="E200" s="159">
        <f t="shared" si="2"/>
        <v>12803</v>
      </c>
      <c r="F200" s="159">
        <f t="shared" si="2"/>
        <v>7060</v>
      </c>
      <c r="G200" s="159">
        <f t="shared" si="2"/>
        <v>5406</v>
      </c>
      <c r="H200" s="159">
        <f t="shared" si="2"/>
        <v>55</v>
      </c>
      <c r="I200" s="159">
        <f t="shared" si="2"/>
        <v>264</v>
      </c>
      <c r="J200" s="159">
        <f t="shared" si="2"/>
        <v>18</v>
      </c>
      <c r="K200" s="159">
        <f t="shared" si="2"/>
        <v>0</v>
      </c>
    </row>
    <row r="201" spans="1:11" s="157" customFormat="1" ht="12" customHeight="1" x14ac:dyDescent="0.2">
      <c r="A201" s="291" t="s">
        <v>358</v>
      </c>
      <c r="B201" s="291"/>
      <c r="C201" s="156">
        <f>+C125+C150+C127+C129+C130+C134+C136+C137+C157+C138+C139+C140+C142+C143+C145+C146</f>
        <v>55753</v>
      </c>
      <c r="D201" s="156">
        <f t="shared" ref="D201:K201" si="3">+D125+D150+D127+D129+D130+D134+D136+D137+D157+D138+D139+D140+D142+D143+D145+D146</f>
        <v>41795</v>
      </c>
      <c r="E201" s="156">
        <f t="shared" si="3"/>
        <v>13958</v>
      </c>
      <c r="F201" s="156">
        <f t="shared" si="3"/>
        <v>9514</v>
      </c>
      <c r="G201" s="156">
        <f t="shared" si="3"/>
        <v>4162</v>
      </c>
      <c r="H201" s="156">
        <f t="shared" si="3"/>
        <v>109</v>
      </c>
      <c r="I201" s="156">
        <f t="shared" si="3"/>
        <v>155</v>
      </c>
      <c r="J201" s="156">
        <f t="shared" si="3"/>
        <v>18</v>
      </c>
      <c r="K201" s="156">
        <f t="shared" si="3"/>
        <v>0</v>
      </c>
    </row>
    <row r="202" spans="1:11" s="157" customFormat="1" ht="12" customHeight="1" x14ac:dyDescent="0.2">
      <c r="A202" s="291" t="s">
        <v>359</v>
      </c>
      <c r="B202" s="291"/>
      <c r="C202" s="156">
        <f>+C71+C72+C73+C74+C75+C76+C77+C78+C79+C81+C82+C83+C84+C85+C86+C87+C88+C89+C90+C91+C92+C93+C94+C95+C96+C97+C98+C99+C100+C101+C102+C103+C104+C105+C106+C107+C108+C109+C110+C111+C112+C113+C114+C115+C116+C117+C118+C119+C120+C121+C122</f>
        <v>151122</v>
      </c>
      <c r="D202" s="156">
        <f t="shared" ref="D202:K202" si="4">+D71+D72+D73+D74+D75+D76+D77+D78+D79+D81+D82+D83+D84+D85+D86+D87+D88+D89+D90+D91+D92+D93+D94+D95+D96+D97+D98+D99+D100+D101+D102+D103+D104+D105+D106+D107+D108+D109+D110+D111+D112+D113+D114+D115+D116+D117+D118+D119+D120+D121+D122</f>
        <v>103190</v>
      </c>
      <c r="E202" s="156">
        <f t="shared" si="4"/>
        <v>47932</v>
      </c>
      <c r="F202" s="156">
        <f t="shared" si="4"/>
        <v>28274</v>
      </c>
      <c r="G202" s="156">
        <f t="shared" si="4"/>
        <v>18741</v>
      </c>
      <c r="H202" s="156">
        <f t="shared" si="4"/>
        <v>272</v>
      </c>
      <c r="I202" s="156">
        <f t="shared" si="4"/>
        <v>528</v>
      </c>
      <c r="J202" s="156">
        <f t="shared" si="4"/>
        <v>96</v>
      </c>
      <c r="K202" s="156">
        <f t="shared" si="4"/>
        <v>21</v>
      </c>
    </row>
    <row r="203" spans="1:11" s="157" customFormat="1" ht="12" customHeight="1" x14ac:dyDescent="0.2">
      <c r="A203" s="168" t="s">
        <v>360</v>
      </c>
      <c r="B203" s="168"/>
      <c r="C203" s="163">
        <f>+C162+C131+C133+C163+C169+C135+C147</f>
        <v>17208</v>
      </c>
      <c r="D203" s="163">
        <f t="shared" ref="D203:K203" si="5">+D162+D131+D133+D163+D169+D135+D147</f>
        <v>12868</v>
      </c>
      <c r="E203" s="163">
        <f t="shared" si="5"/>
        <v>4340</v>
      </c>
      <c r="F203" s="163">
        <f t="shared" si="5"/>
        <v>2922</v>
      </c>
      <c r="G203" s="163">
        <f t="shared" si="5"/>
        <v>1327</v>
      </c>
      <c r="H203" s="163">
        <f t="shared" si="5"/>
        <v>22</v>
      </c>
      <c r="I203" s="163">
        <f t="shared" si="5"/>
        <v>68</v>
      </c>
      <c r="J203" s="163">
        <f t="shared" si="5"/>
        <v>1</v>
      </c>
      <c r="K203" s="163">
        <f t="shared" si="5"/>
        <v>0</v>
      </c>
    </row>
    <row r="204" spans="1:11" s="157" customFormat="1" ht="12" customHeight="1" x14ac:dyDescent="0.2">
      <c r="A204" s="166"/>
      <c r="B204" s="166"/>
      <c r="C204" s="167"/>
      <c r="D204" s="167"/>
      <c r="E204" s="167"/>
      <c r="F204" s="167"/>
      <c r="G204" s="167"/>
      <c r="H204" s="167"/>
      <c r="I204" s="167"/>
      <c r="J204" s="167"/>
      <c r="K204" s="167"/>
    </row>
    <row r="205" spans="1:11" s="157" customFormat="1" ht="12" customHeight="1" x14ac:dyDescent="0.2">
      <c r="A205" s="170" t="s">
        <v>361</v>
      </c>
      <c r="B205" s="170"/>
      <c r="C205" s="171">
        <f>+C188-C198</f>
        <v>25564</v>
      </c>
      <c r="D205" s="171">
        <f t="shared" ref="D205:K205" si="6">+D188-D198</f>
        <v>19779</v>
      </c>
      <c r="E205" s="171">
        <f t="shared" si="6"/>
        <v>5785</v>
      </c>
      <c r="F205" s="171">
        <f t="shared" si="6"/>
        <v>3877</v>
      </c>
      <c r="G205" s="171">
        <f t="shared" si="6"/>
        <v>1724</v>
      </c>
      <c r="H205" s="171">
        <f t="shared" si="6"/>
        <v>35</v>
      </c>
      <c r="I205" s="171">
        <f t="shared" si="6"/>
        <v>137</v>
      </c>
      <c r="J205" s="171">
        <f t="shared" si="6"/>
        <v>12</v>
      </c>
      <c r="K205" s="171">
        <f t="shared" si="6"/>
        <v>0</v>
      </c>
    </row>
    <row r="206" spans="1:11" s="172" customFormat="1" ht="12" customHeight="1" x14ac:dyDescent="0.15"/>
    <row r="207" spans="1:11" s="173" customFormat="1" ht="12" customHeight="1" x14ac:dyDescent="0.2">
      <c r="A207" s="290" t="s">
        <v>372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</row>
    <row r="208" spans="1:11" s="143" customFormat="1" ht="12" customHeight="1" x14ac:dyDescent="0.2">
      <c r="A208" s="290" t="s">
        <v>362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</row>
    <row r="209" spans="1:11" s="143" customFormat="1" ht="12" customHeight="1" x14ac:dyDescent="0.1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</row>
    <row r="210" spans="1:11" s="142" customFormat="1" ht="12" customHeight="1" x14ac:dyDescent="0.2">
      <c r="A210" s="290" t="s">
        <v>339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</row>
    <row r="211" spans="1:11" s="143" customFormat="1" ht="12" customHeight="1" x14ac:dyDescent="0.2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</row>
    <row r="212" spans="1:11" s="144" customFormat="1" ht="12" customHeight="1" x14ac:dyDescent="0.2">
      <c r="A212" s="290" t="s">
        <v>375</v>
      </c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</row>
    <row r="213" spans="1:11" s="144" customFormat="1" ht="12" customHeight="1" x14ac:dyDescent="0.2">
      <c r="A213" s="290" t="s">
        <v>352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</row>
  </sheetData>
  <mergeCells count="178">
    <mergeCell ref="A1:K1"/>
    <mergeCell ref="A2:K2"/>
    <mergeCell ref="A3:K3"/>
    <mergeCell ref="A4:K4"/>
    <mergeCell ref="A5:B5"/>
    <mergeCell ref="E5:K5"/>
    <mergeCell ref="A6:B6"/>
    <mergeCell ref="E6:K6"/>
    <mergeCell ref="A7:B7"/>
    <mergeCell ref="A8:B8"/>
    <mergeCell ref="A9:B9"/>
    <mergeCell ref="A10:B10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A160:B160"/>
    <mergeCell ref="A161:B161"/>
    <mergeCell ref="A162:B162"/>
    <mergeCell ref="A163:B163"/>
    <mergeCell ref="A164:B164"/>
    <mergeCell ref="A165:B165"/>
    <mergeCell ref="A167:B167"/>
    <mergeCell ref="A168:B168"/>
    <mergeCell ref="A169:B169"/>
    <mergeCell ref="A171:B171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8:B188"/>
    <mergeCell ref="A189:B189"/>
    <mergeCell ref="A190:B190"/>
    <mergeCell ref="A191:B191"/>
    <mergeCell ref="A192:B192"/>
    <mergeCell ref="A213:K213"/>
    <mergeCell ref="A200:B200"/>
    <mergeCell ref="A201:B201"/>
    <mergeCell ref="A202:B202"/>
    <mergeCell ref="A207:K207"/>
    <mergeCell ref="A208:K208"/>
    <mergeCell ref="A209:K209"/>
    <mergeCell ref="A193:B193"/>
    <mergeCell ref="A194:B194"/>
    <mergeCell ref="A195:B195"/>
    <mergeCell ref="A196:B196"/>
    <mergeCell ref="A198:B198"/>
    <mergeCell ref="A199:B199"/>
    <mergeCell ref="A210:K210"/>
    <mergeCell ref="A211:K211"/>
    <mergeCell ref="A212:K212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5"/>
  <dimension ref="A1:K213"/>
  <sheetViews>
    <sheetView workbookViewId="0">
      <selection sqref="A1:K1"/>
    </sheetView>
  </sheetViews>
  <sheetFormatPr defaultRowHeight="12" x14ac:dyDescent="0.2"/>
  <cols>
    <col min="1" max="1" width="1.7109375" style="174" customWidth="1"/>
    <col min="2" max="2" width="28.140625" style="174" customWidth="1"/>
    <col min="3" max="8" width="11.7109375" style="175" customWidth="1"/>
    <col min="9" max="11" width="11.7109375" style="174" customWidth="1"/>
    <col min="12" max="16384" width="9.140625" style="174"/>
  </cols>
  <sheetData>
    <row r="1" spans="1:11" s="147" customFormat="1" ht="12.75" customHeight="1" x14ac:dyDescent="0.2">
      <c r="A1" s="300"/>
      <c r="B1" s="300"/>
      <c r="C1" s="300"/>
      <c r="D1" s="300"/>
      <c r="E1" s="300"/>
      <c r="F1" s="300"/>
      <c r="G1" s="300"/>
      <c r="H1" s="300"/>
      <c r="I1" s="300"/>
      <c r="J1" s="300"/>
      <c r="K1" s="300"/>
    </row>
    <row r="2" spans="1:11" s="147" customFormat="1" ht="12.75" customHeight="1" x14ac:dyDescent="0.2">
      <c r="A2" s="289" t="s">
        <v>368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</row>
    <row r="3" spans="1:11" s="148" customFormat="1" ht="12.75" customHeight="1" x14ac:dyDescent="0.25">
      <c r="A3" s="301"/>
      <c r="B3" s="301"/>
      <c r="C3" s="301"/>
      <c r="D3" s="301"/>
      <c r="E3" s="301"/>
      <c r="F3" s="301"/>
      <c r="G3" s="301"/>
      <c r="H3" s="301"/>
      <c r="I3" s="301"/>
      <c r="J3" s="301"/>
      <c r="K3" s="301"/>
    </row>
    <row r="4" spans="1:11" s="148" customFormat="1" ht="12.75" customHeight="1" x14ac:dyDescent="0.25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01"/>
    </row>
    <row r="5" spans="1:11" s="149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  <c r="K5" s="274"/>
    </row>
    <row r="6" spans="1:11" s="149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  <c r="K6" s="254"/>
    </row>
    <row r="7" spans="1:11" s="149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  <c r="K7" s="108"/>
    </row>
    <row r="8" spans="1:11" s="149" customFormat="1" ht="12" customHeight="1" x14ac:dyDescent="0.2">
      <c r="A8" s="254"/>
      <c r="B8" s="254"/>
      <c r="C8" s="108"/>
      <c r="D8" s="108"/>
      <c r="E8" s="114"/>
      <c r="F8" s="114"/>
      <c r="G8" s="114"/>
      <c r="H8" s="114" t="s">
        <v>369</v>
      </c>
      <c r="I8" s="114"/>
      <c r="J8" s="114" t="s">
        <v>333</v>
      </c>
      <c r="K8" s="114" t="s">
        <v>4</v>
      </c>
    </row>
    <row r="9" spans="1:11" s="149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370</v>
      </c>
      <c r="I9" s="116" t="s">
        <v>334</v>
      </c>
      <c r="J9" s="116" t="s">
        <v>335</v>
      </c>
      <c r="K9" s="116" t="s">
        <v>8</v>
      </c>
    </row>
    <row r="10" spans="1:11" s="151" customFormat="1" ht="12" customHeight="1" x14ac:dyDescent="0.2">
      <c r="A10" s="299" t="s">
        <v>10</v>
      </c>
      <c r="B10" s="299"/>
      <c r="C10" s="150">
        <v>353709</v>
      </c>
      <c r="D10" s="150">
        <v>255122</v>
      </c>
      <c r="E10" s="150">
        <v>98587</v>
      </c>
      <c r="F10" s="150">
        <v>59941</v>
      </c>
      <c r="G10" s="150">
        <v>36349</v>
      </c>
      <c r="H10" s="150">
        <v>603</v>
      </c>
      <c r="I10" s="150">
        <v>1361</v>
      </c>
      <c r="J10" s="150">
        <v>307</v>
      </c>
      <c r="K10" s="150">
        <v>26</v>
      </c>
    </row>
    <row r="11" spans="1:11" s="151" customFormat="1" ht="12" customHeight="1" x14ac:dyDescent="0.2">
      <c r="A11" s="152"/>
      <c r="B11" s="152"/>
      <c r="C11" s="153"/>
      <c r="D11" s="153"/>
      <c r="E11" s="153"/>
      <c r="F11" s="153"/>
      <c r="G11" s="153"/>
      <c r="H11" s="153"/>
      <c r="I11" s="153"/>
      <c r="J11" s="153"/>
      <c r="K11" s="153"/>
    </row>
    <row r="12" spans="1:11" s="155" customFormat="1" ht="12" customHeight="1" x14ac:dyDescent="0.2">
      <c r="A12" s="294" t="s">
        <v>11</v>
      </c>
      <c r="B12" s="294"/>
      <c r="C12" s="154">
        <v>25298</v>
      </c>
      <c r="D12" s="154">
        <v>18733</v>
      </c>
      <c r="E12" s="154">
        <v>6565</v>
      </c>
      <c r="F12" s="154">
        <v>4412</v>
      </c>
      <c r="G12" s="154">
        <v>1894</v>
      </c>
      <c r="H12" s="154">
        <v>62</v>
      </c>
      <c r="I12" s="154">
        <v>172</v>
      </c>
      <c r="J12" s="154">
        <v>25</v>
      </c>
      <c r="K12" s="154">
        <v>0</v>
      </c>
    </row>
    <row r="13" spans="1:11" s="157" customFormat="1" ht="12" customHeight="1" x14ac:dyDescent="0.2">
      <c r="A13" s="291" t="s">
        <v>12</v>
      </c>
      <c r="B13" s="291"/>
      <c r="C13" s="156">
        <v>9233</v>
      </c>
      <c r="D13" s="156">
        <v>6678</v>
      </c>
      <c r="E13" s="156">
        <v>2555</v>
      </c>
      <c r="F13" s="156">
        <v>1538</v>
      </c>
      <c r="G13" s="156">
        <v>846</v>
      </c>
      <c r="H13" s="156">
        <v>41</v>
      </c>
      <c r="I13" s="156">
        <v>112</v>
      </c>
      <c r="J13" s="156">
        <v>18</v>
      </c>
      <c r="K13" s="156">
        <v>0</v>
      </c>
    </row>
    <row r="14" spans="1:11" s="157" customFormat="1" ht="12" customHeight="1" x14ac:dyDescent="0.2">
      <c r="A14" s="158"/>
      <c r="B14" s="159" t="s">
        <v>13</v>
      </c>
      <c r="C14" s="156">
        <v>3279</v>
      </c>
      <c r="D14" s="156">
        <v>2514</v>
      </c>
      <c r="E14" s="156">
        <v>765</v>
      </c>
      <c r="F14" s="156">
        <v>395</v>
      </c>
      <c r="G14" s="156">
        <v>314</v>
      </c>
      <c r="H14" s="156">
        <v>25</v>
      </c>
      <c r="I14" s="156">
        <v>24</v>
      </c>
      <c r="J14" s="156">
        <v>7</v>
      </c>
      <c r="K14" s="156">
        <v>0</v>
      </c>
    </row>
    <row r="15" spans="1:11" s="157" customFormat="1" ht="12" customHeight="1" x14ac:dyDescent="0.2">
      <c r="A15" s="158"/>
      <c r="B15" s="159" t="s">
        <v>14</v>
      </c>
      <c r="C15" s="156">
        <v>2949</v>
      </c>
      <c r="D15" s="156">
        <v>2321</v>
      </c>
      <c r="E15" s="156">
        <v>628</v>
      </c>
      <c r="F15" s="156">
        <v>453</v>
      </c>
      <c r="G15" s="156">
        <v>168</v>
      </c>
      <c r="H15" s="156">
        <v>7</v>
      </c>
      <c r="I15" s="156">
        <v>0</v>
      </c>
      <c r="J15" s="156">
        <v>0</v>
      </c>
      <c r="K15" s="156">
        <v>0</v>
      </c>
    </row>
    <row r="16" spans="1:11" s="157" customFormat="1" ht="12" customHeight="1" x14ac:dyDescent="0.2">
      <c r="A16" s="158"/>
      <c r="B16" s="160" t="s">
        <v>15</v>
      </c>
      <c r="C16" s="156">
        <v>3005</v>
      </c>
      <c r="D16" s="156">
        <v>1843</v>
      </c>
      <c r="E16" s="156">
        <v>1162</v>
      </c>
      <c r="F16" s="156">
        <v>690</v>
      </c>
      <c r="G16" s="156">
        <v>364</v>
      </c>
      <c r="H16" s="156">
        <v>9</v>
      </c>
      <c r="I16" s="156">
        <v>88</v>
      </c>
      <c r="J16" s="156">
        <v>11</v>
      </c>
      <c r="K16" s="156">
        <v>0</v>
      </c>
    </row>
    <row r="17" spans="1:11" s="157" customFormat="1" ht="12" customHeight="1" x14ac:dyDescent="0.2">
      <c r="A17" s="291" t="s">
        <v>16</v>
      </c>
      <c r="B17" s="291"/>
      <c r="C17" s="156">
        <v>5747</v>
      </c>
      <c r="D17" s="156">
        <v>5193</v>
      </c>
      <c r="E17" s="156">
        <v>554</v>
      </c>
      <c r="F17" s="156">
        <v>338</v>
      </c>
      <c r="G17" s="156">
        <v>210</v>
      </c>
      <c r="H17" s="156">
        <v>4</v>
      </c>
      <c r="I17" s="156">
        <v>0</v>
      </c>
      <c r="J17" s="156">
        <v>2</v>
      </c>
      <c r="K17" s="156">
        <v>0</v>
      </c>
    </row>
    <row r="18" spans="1:11" s="157" customFormat="1" ht="12" customHeight="1" x14ac:dyDescent="0.2">
      <c r="A18" s="158"/>
      <c r="B18" s="159" t="s">
        <v>17</v>
      </c>
      <c r="C18" s="156">
        <v>1826</v>
      </c>
      <c r="D18" s="156">
        <v>1675</v>
      </c>
      <c r="E18" s="156">
        <v>151</v>
      </c>
      <c r="F18" s="156">
        <v>65</v>
      </c>
      <c r="G18" s="156">
        <v>84</v>
      </c>
      <c r="H18" s="156">
        <v>2</v>
      </c>
      <c r="I18" s="156">
        <v>0</v>
      </c>
      <c r="J18" s="156">
        <v>0</v>
      </c>
      <c r="K18" s="156">
        <v>0</v>
      </c>
    </row>
    <row r="19" spans="1:11" s="157" customFormat="1" ht="12" customHeight="1" x14ac:dyDescent="0.2">
      <c r="A19" s="158"/>
      <c r="B19" s="159" t="s">
        <v>18</v>
      </c>
      <c r="C19" s="156">
        <v>1850</v>
      </c>
      <c r="D19" s="156">
        <v>1626</v>
      </c>
      <c r="E19" s="156">
        <v>224</v>
      </c>
      <c r="F19" s="156">
        <v>151</v>
      </c>
      <c r="G19" s="156">
        <v>71</v>
      </c>
      <c r="H19" s="156">
        <v>2</v>
      </c>
      <c r="I19" s="156">
        <v>0</v>
      </c>
      <c r="J19" s="156">
        <v>0</v>
      </c>
      <c r="K19" s="156">
        <v>0</v>
      </c>
    </row>
    <row r="20" spans="1:11" s="157" customFormat="1" ht="12" customHeight="1" x14ac:dyDescent="0.2">
      <c r="A20" s="161"/>
      <c r="B20" s="159" t="s">
        <v>19</v>
      </c>
      <c r="C20" s="156">
        <v>2071</v>
      </c>
      <c r="D20" s="156">
        <v>1892</v>
      </c>
      <c r="E20" s="156">
        <v>179</v>
      </c>
      <c r="F20" s="156">
        <v>122</v>
      </c>
      <c r="G20" s="156">
        <v>55</v>
      </c>
      <c r="H20" s="156">
        <v>0</v>
      </c>
      <c r="I20" s="156">
        <v>0</v>
      </c>
      <c r="J20" s="156">
        <v>2</v>
      </c>
      <c r="K20" s="156">
        <v>0</v>
      </c>
    </row>
    <row r="21" spans="1:11" s="157" customFormat="1" ht="12" customHeight="1" x14ac:dyDescent="0.2">
      <c r="A21" s="293" t="s">
        <v>20</v>
      </c>
      <c r="B21" s="293"/>
      <c r="C21" s="163">
        <v>10318</v>
      </c>
      <c r="D21" s="163">
        <v>6862</v>
      </c>
      <c r="E21" s="163">
        <v>3456</v>
      </c>
      <c r="F21" s="163">
        <v>2536</v>
      </c>
      <c r="G21" s="163">
        <v>838</v>
      </c>
      <c r="H21" s="163">
        <v>17</v>
      </c>
      <c r="I21" s="163">
        <v>60</v>
      </c>
      <c r="J21" s="163">
        <v>5</v>
      </c>
      <c r="K21" s="163">
        <v>0</v>
      </c>
    </row>
    <row r="22" spans="1:11" s="157" customFormat="1" ht="12" customHeight="1" x14ac:dyDescent="0.2">
      <c r="A22" s="161"/>
      <c r="B22" s="161"/>
      <c r="C22" s="161"/>
      <c r="D22" s="161"/>
      <c r="E22" s="161"/>
      <c r="F22" s="161"/>
      <c r="G22" s="161"/>
      <c r="H22" s="161"/>
      <c r="I22" s="161"/>
      <c r="J22" s="161"/>
      <c r="K22" s="161"/>
    </row>
    <row r="23" spans="1:11" s="155" customFormat="1" ht="12" customHeight="1" x14ac:dyDescent="0.2">
      <c r="A23" s="294" t="s">
        <v>342</v>
      </c>
      <c r="B23" s="294"/>
      <c r="C23" s="154">
        <v>70122</v>
      </c>
      <c r="D23" s="154">
        <v>53551</v>
      </c>
      <c r="E23" s="154">
        <v>16571</v>
      </c>
      <c r="F23" s="154">
        <v>11024</v>
      </c>
      <c r="G23" s="154">
        <v>5202</v>
      </c>
      <c r="H23" s="154">
        <v>121</v>
      </c>
      <c r="I23" s="154">
        <v>176</v>
      </c>
      <c r="J23" s="154">
        <v>48</v>
      </c>
      <c r="K23" s="154">
        <v>0</v>
      </c>
    </row>
    <row r="24" spans="1:11" s="157" customFormat="1" ht="12" customHeight="1" x14ac:dyDescent="0.2">
      <c r="A24" s="291" t="s">
        <v>22</v>
      </c>
      <c r="B24" s="291"/>
      <c r="C24" s="156">
        <v>41696</v>
      </c>
      <c r="D24" s="156">
        <v>29856</v>
      </c>
      <c r="E24" s="156">
        <v>11840</v>
      </c>
      <c r="F24" s="156">
        <v>7834</v>
      </c>
      <c r="G24" s="156">
        <v>3760</v>
      </c>
      <c r="H24" s="156">
        <v>98</v>
      </c>
      <c r="I24" s="156">
        <v>114</v>
      </c>
      <c r="J24" s="156">
        <v>34</v>
      </c>
      <c r="K24" s="156">
        <v>0</v>
      </c>
    </row>
    <row r="25" spans="1:11" s="157" customFormat="1" ht="12" customHeight="1" x14ac:dyDescent="0.2">
      <c r="A25" s="291" t="s">
        <v>23</v>
      </c>
      <c r="B25" s="291"/>
      <c r="C25" s="156">
        <v>5137</v>
      </c>
      <c r="D25" s="156">
        <v>4053</v>
      </c>
      <c r="E25" s="156">
        <v>1084</v>
      </c>
      <c r="F25" s="156">
        <v>708</v>
      </c>
      <c r="G25" s="156">
        <v>365</v>
      </c>
      <c r="H25" s="156">
        <v>5</v>
      </c>
      <c r="I25" s="156">
        <v>5</v>
      </c>
      <c r="J25" s="156">
        <v>1</v>
      </c>
      <c r="K25" s="156">
        <v>0</v>
      </c>
    </row>
    <row r="26" spans="1:11" s="157" customFormat="1" ht="12" customHeight="1" x14ac:dyDescent="0.2">
      <c r="A26" s="291" t="s">
        <v>24</v>
      </c>
      <c r="B26" s="291"/>
      <c r="C26" s="156">
        <v>12879</v>
      </c>
      <c r="D26" s="156">
        <v>10382</v>
      </c>
      <c r="E26" s="156">
        <v>2497</v>
      </c>
      <c r="F26" s="156">
        <v>1717</v>
      </c>
      <c r="G26" s="156">
        <v>700</v>
      </c>
      <c r="H26" s="156">
        <v>16</v>
      </c>
      <c r="I26" s="156">
        <v>56</v>
      </c>
      <c r="J26" s="156">
        <v>8</v>
      </c>
      <c r="K26" s="156">
        <v>0</v>
      </c>
    </row>
    <row r="27" spans="1:11" s="157" customFormat="1" ht="12" customHeight="1" x14ac:dyDescent="0.2">
      <c r="A27" s="164"/>
      <c r="B27" s="159" t="s">
        <v>25</v>
      </c>
      <c r="C27" s="156">
        <v>892</v>
      </c>
      <c r="D27" s="156">
        <v>826</v>
      </c>
      <c r="E27" s="156">
        <v>66</v>
      </c>
      <c r="F27" s="156">
        <v>42</v>
      </c>
      <c r="G27" s="156">
        <v>24</v>
      </c>
      <c r="H27" s="156">
        <v>0</v>
      </c>
      <c r="I27" s="156">
        <v>0</v>
      </c>
      <c r="J27" s="156">
        <v>0</v>
      </c>
      <c r="K27" s="156">
        <v>0</v>
      </c>
    </row>
    <row r="28" spans="1:11" s="157" customFormat="1" ht="12" customHeight="1" x14ac:dyDescent="0.2">
      <c r="A28" s="161"/>
      <c r="B28" s="159" t="s">
        <v>26</v>
      </c>
      <c r="C28" s="156">
        <v>11987</v>
      </c>
      <c r="D28" s="156">
        <v>9556</v>
      </c>
      <c r="E28" s="156">
        <v>2431</v>
      </c>
      <c r="F28" s="156">
        <v>1675</v>
      </c>
      <c r="G28" s="156">
        <v>676</v>
      </c>
      <c r="H28" s="156">
        <v>16</v>
      </c>
      <c r="I28" s="156">
        <v>56</v>
      </c>
      <c r="J28" s="156">
        <v>8</v>
      </c>
      <c r="K28" s="156">
        <v>0</v>
      </c>
    </row>
    <row r="29" spans="1:11" s="157" customFormat="1" ht="12" customHeight="1" x14ac:dyDescent="0.2">
      <c r="A29" s="291" t="s">
        <v>27</v>
      </c>
      <c r="B29" s="291"/>
      <c r="C29" s="156">
        <v>3749</v>
      </c>
      <c r="D29" s="156">
        <v>3318</v>
      </c>
      <c r="E29" s="156">
        <v>431</v>
      </c>
      <c r="F29" s="156">
        <v>289</v>
      </c>
      <c r="G29" s="156">
        <v>142</v>
      </c>
      <c r="H29" s="156">
        <v>0</v>
      </c>
      <c r="I29" s="156">
        <v>0</v>
      </c>
      <c r="J29" s="156">
        <v>0</v>
      </c>
      <c r="K29" s="156">
        <v>0</v>
      </c>
    </row>
    <row r="30" spans="1:11" s="157" customFormat="1" ht="12" customHeight="1" x14ac:dyDescent="0.2">
      <c r="A30" s="164"/>
      <c r="B30" s="159" t="s">
        <v>28</v>
      </c>
      <c r="C30" s="156">
        <v>1151</v>
      </c>
      <c r="D30" s="156">
        <v>1038</v>
      </c>
      <c r="E30" s="156">
        <v>113</v>
      </c>
      <c r="F30" s="156">
        <v>87</v>
      </c>
      <c r="G30" s="156">
        <v>26</v>
      </c>
      <c r="H30" s="156">
        <v>0</v>
      </c>
      <c r="I30" s="156">
        <v>0</v>
      </c>
      <c r="J30" s="156">
        <v>0</v>
      </c>
      <c r="K30" s="156">
        <v>0</v>
      </c>
    </row>
    <row r="31" spans="1:11" s="157" customFormat="1" ht="12" customHeight="1" x14ac:dyDescent="0.2">
      <c r="A31" s="161"/>
      <c r="B31" s="159" t="s">
        <v>29</v>
      </c>
      <c r="C31" s="156">
        <v>2598</v>
      </c>
      <c r="D31" s="156">
        <v>2280</v>
      </c>
      <c r="E31" s="156">
        <v>318</v>
      </c>
      <c r="F31" s="156">
        <v>202</v>
      </c>
      <c r="G31" s="156">
        <v>116</v>
      </c>
      <c r="H31" s="156">
        <v>0</v>
      </c>
      <c r="I31" s="156">
        <v>0</v>
      </c>
      <c r="J31" s="156">
        <v>0</v>
      </c>
      <c r="K31" s="156">
        <v>0</v>
      </c>
    </row>
    <row r="32" spans="1:11" s="157" customFormat="1" ht="12" customHeight="1" x14ac:dyDescent="0.2">
      <c r="A32" s="291" t="s">
        <v>30</v>
      </c>
      <c r="B32" s="291"/>
      <c r="C32" s="156">
        <v>693</v>
      </c>
      <c r="D32" s="156">
        <v>641</v>
      </c>
      <c r="E32" s="156">
        <v>52</v>
      </c>
      <c r="F32" s="156">
        <v>34</v>
      </c>
      <c r="G32" s="156">
        <v>18</v>
      </c>
      <c r="H32" s="156">
        <v>0</v>
      </c>
      <c r="I32" s="156">
        <v>0</v>
      </c>
      <c r="J32" s="156">
        <v>0</v>
      </c>
      <c r="K32" s="156">
        <v>0</v>
      </c>
    </row>
    <row r="33" spans="1:11" s="157" customFormat="1" ht="12" customHeight="1" x14ac:dyDescent="0.2">
      <c r="A33" s="291" t="s">
        <v>343</v>
      </c>
      <c r="B33" s="291"/>
      <c r="C33" s="156">
        <v>5968</v>
      </c>
      <c r="D33" s="156">
        <v>5301</v>
      </c>
      <c r="E33" s="156">
        <v>667</v>
      </c>
      <c r="F33" s="156">
        <v>442</v>
      </c>
      <c r="G33" s="156">
        <v>217</v>
      </c>
      <c r="H33" s="156">
        <v>2</v>
      </c>
      <c r="I33" s="156">
        <v>1</v>
      </c>
      <c r="J33" s="156">
        <v>5</v>
      </c>
      <c r="K33" s="156">
        <v>0</v>
      </c>
    </row>
    <row r="34" spans="1:11" s="157" customFormat="1" ht="12" customHeight="1" x14ac:dyDescent="0.2">
      <c r="A34" s="164"/>
      <c r="B34" s="159" t="s">
        <v>32</v>
      </c>
      <c r="C34" s="156">
        <v>526</v>
      </c>
      <c r="D34" s="156">
        <v>491</v>
      </c>
      <c r="E34" s="156">
        <v>35</v>
      </c>
      <c r="F34" s="156">
        <v>17</v>
      </c>
      <c r="G34" s="156">
        <v>11</v>
      </c>
      <c r="H34" s="156">
        <v>2</v>
      </c>
      <c r="I34" s="156">
        <v>0</v>
      </c>
      <c r="J34" s="156">
        <v>5</v>
      </c>
      <c r="K34" s="156">
        <v>0</v>
      </c>
    </row>
    <row r="35" spans="1:11" s="157" customFormat="1" ht="12" customHeight="1" x14ac:dyDescent="0.2">
      <c r="A35" s="158"/>
      <c r="B35" s="159" t="s">
        <v>33</v>
      </c>
      <c r="C35" s="156">
        <v>200</v>
      </c>
      <c r="D35" s="156">
        <v>172</v>
      </c>
      <c r="E35" s="156">
        <v>28</v>
      </c>
      <c r="F35" s="156">
        <v>16</v>
      </c>
      <c r="G35" s="156">
        <v>12</v>
      </c>
      <c r="H35" s="156">
        <v>0</v>
      </c>
      <c r="I35" s="156">
        <v>0</v>
      </c>
      <c r="J35" s="156">
        <v>0</v>
      </c>
      <c r="K35" s="156">
        <v>0</v>
      </c>
    </row>
    <row r="36" spans="1:11" s="157" customFormat="1" ht="12" customHeight="1" x14ac:dyDescent="0.2">
      <c r="A36" s="158"/>
      <c r="B36" s="165" t="s">
        <v>344</v>
      </c>
      <c r="C36" s="163">
        <v>5242</v>
      </c>
      <c r="D36" s="163">
        <v>4638</v>
      </c>
      <c r="E36" s="163">
        <v>604</v>
      </c>
      <c r="F36" s="163">
        <v>409</v>
      </c>
      <c r="G36" s="163">
        <v>194</v>
      </c>
      <c r="H36" s="163">
        <v>0</v>
      </c>
      <c r="I36" s="163">
        <v>1</v>
      </c>
      <c r="J36" s="163">
        <v>0</v>
      </c>
      <c r="K36" s="163">
        <v>0</v>
      </c>
    </row>
    <row r="37" spans="1:11" s="157" customFormat="1" ht="12" customHeight="1" x14ac:dyDescent="0.2">
      <c r="A37" s="161"/>
      <c r="B37" s="161"/>
      <c r="C37" s="161"/>
      <c r="D37" s="161"/>
      <c r="E37" s="161"/>
      <c r="F37" s="161"/>
      <c r="G37" s="161"/>
      <c r="H37" s="161"/>
      <c r="I37" s="161"/>
      <c r="J37" s="161"/>
      <c r="K37" s="161"/>
    </row>
    <row r="38" spans="1:11" s="155" customFormat="1" ht="12" customHeight="1" x14ac:dyDescent="0.2">
      <c r="A38" s="294" t="s">
        <v>35</v>
      </c>
      <c r="B38" s="294"/>
      <c r="C38" s="154">
        <v>55135</v>
      </c>
      <c r="D38" s="154">
        <v>40616</v>
      </c>
      <c r="E38" s="154">
        <v>14519</v>
      </c>
      <c r="F38" s="154">
        <v>9937</v>
      </c>
      <c r="G38" s="154">
        <v>4129</v>
      </c>
      <c r="H38" s="154">
        <v>86</v>
      </c>
      <c r="I38" s="154">
        <v>276</v>
      </c>
      <c r="J38" s="154">
        <v>91</v>
      </c>
      <c r="K38" s="154">
        <v>0</v>
      </c>
    </row>
    <row r="39" spans="1:11" s="157" customFormat="1" ht="12" customHeight="1" x14ac:dyDescent="0.2">
      <c r="A39" s="291" t="s">
        <v>36</v>
      </c>
      <c r="B39" s="291"/>
      <c r="C39" s="156">
        <v>49690</v>
      </c>
      <c r="D39" s="156">
        <v>37042</v>
      </c>
      <c r="E39" s="156">
        <v>12648</v>
      </c>
      <c r="F39" s="156">
        <v>8683</v>
      </c>
      <c r="G39" s="156">
        <v>3594</v>
      </c>
      <c r="H39" s="156">
        <v>68</v>
      </c>
      <c r="I39" s="156">
        <v>225</v>
      </c>
      <c r="J39" s="156">
        <v>78</v>
      </c>
      <c r="K39" s="156">
        <v>0</v>
      </c>
    </row>
    <row r="40" spans="1:11" s="157" customFormat="1" ht="12" customHeight="1" x14ac:dyDescent="0.2">
      <c r="A40" s="293" t="s">
        <v>37</v>
      </c>
      <c r="B40" s="293"/>
      <c r="C40" s="163">
        <v>5445</v>
      </c>
      <c r="D40" s="163">
        <v>3574</v>
      </c>
      <c r="E40" s="163">
        <v>1871</v>
      </c>
      <c r="F40" s="163">
        <v>1254</v>
      </c>
      <c r="G40" s="163">
        <v>535</v>
      </c>
      <c r="H40" s="163">
        <v>18</v>
      </c>
      <c r="I40" s="163">
        <v>51</v>
      </c>
      <c r="J40" s="163">
        <v>13</v>
      </c>
      <c r="K40" s="163">
        <v>0</v>
      </c>
    </row>
    <row r="41" spans="1:11" s="157" customFormat="1" ht="12" customHeight="1" x14ac:dyDescent="0.2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</row>
    <row r="42" spans="1:11" s="155" customFormat="1" ht="12" customHeight="1" x14ac:dyDescent="0.2">
      <c r="A42" s="294" t="s">
        <v>38</v>
      </c>
      <c r="B42" s="294"/>
      <c r="C42" s="154">
        <v>146682</v>
      </c>
      <c r="D42" s="154">
        <v>100023</v>
      </c>
      <c r="E42" s="154">
        <v>46659</v>
      </c>
      <c r="F42" s="154">
        <v>26923</v>
      </c>
      <c r="G42" s="154">
        <v>18842</v>
      </c>
      <c r="H42" s="154">
        <v>268</v>
      </c>
      <c r="I42" s="154">
        <v>481</v>
      </c>
      <c r="J42" s="154">
        <v>119</v>
      </c>
      <c r="K42" s="154">
        <v>26</v>
      </c>
    </row>
    <row r="43" spans="1:11" s="157" customFormat="1" ht="12" customHeight="1" x14ac:dyDescent="0.2">
      <c r="A43" s="291" t="s">
        <v>39</v>
      </c>
      <c r="B43" s="291"/>
      <c r="C43" s="156">
        <v>99425</v>
      </c>
      <c r="D43" s="156">
        <v>62347</v>
      </c>
      <c r="E43" s="156">
        <v>37078</v>
      </c>
      <c r="F43" s="156">
        <v>20533</v>
      </c>
      <c r="G43" s="156">
        <v>15754</v>
      </c>
      <c r="H43" s="156">
        <v>232</v>
      </c>
      <c r="I43" s="156">
        <v>427</v>
      </c>
      <c r="J43" s="156">
        <v>106</v>
      </c>
      <c r="K43" s="156">
        <v>26</v>
      </c>
    </row>
    <row r="44" spans="1:11" s="157" customFormat="1" ht="12" customHeight="1" x14ac:dyDescent="0.2">
      <c r="A44" s="297" t="s">
        <v>40</v>
      </c>
      <c r="B44" s="297"/>
      <c r="C44" s="156">
        <v>23510</v>
      </c>
      <c r="D44" s="156">
        <v>19523</v>
      </c>
      <c r="E44" s="156">
        <v>3987</v>
      </c>
      <c r="F44" s="156">
        <v>2791</v>
      </c>
      <c r="G44" s="156">
        <v>1148</v>
      </c>
      <c r="H44" s="156">
        <v>25</v>
      </c>
      <c r="I44" s="156">
        <v>19</v>
      </c>
      <c r="J44" s="156">
        <v>4</v>
      </c>
      <c r="K44" s="156">
        <v>0</v>
      </c>
    </row>
    <row r="45" spans="1:11" s="157" customFormat="1" ht="12" customHeight="1" x14ac:dyDescent="0.2">
      <c r="A45" s="165"/>
      <c r="B45" s="159" t="s">
        <v>41</v>
      </c>
      <c r="C45" s="156">
        <v>13490</v>
      </c>
      <c r="D45" s="156">
        <v>10755</v>
      </c>
      <c r="E45" s="156">
        <v>2735</v>
      </c>
      <c r="F45" s="156">
        <v>1957</v>
      </c>
      <c r="G45" s="156">
        <v>738</v>
      </c>
      <c r="H45" s="156">
        <v>17</v>
      </c>
      <c r="I45" s="156">
        <v>19</v>
      </c>
      <c r="J45" s="156">
        <v>4</v>
      </c>
      <c r="K45" s="156">
        <v>0</v>
      </c>
    </row>
    <row r="46" spans="1:11" s="157" customFormat="1" ht="12" customHeight="1" x14ac:dyDescent="0.2">
      <c r="A46" s="165"/>
      <c r="B46" s="159" t="s">
        <v>42</v>
      </c>
      <c r="C46" s="156">
        <v>10020</v>
      </c>
      <c r="D46" s="156">
        <v>8768</v>
      </c>
      <c r="E46" s="156">
        <v>1252</v>
      </c>
      <c r="F46" s="156">
        <v>834</v>
      </c>
      <c r="G46" s="156">
        <v>410</v>
      </c>
      <c r="H46" s="156">
        <v>8</v>
      </c>
      <c r="I46" s="156">
        <v>0</v>
      </c>
      <c r="J46" s="156">
        <v>0</v>
      </c>
      <c r="K46" s="156">
        <v>0</v>
      </c>
    </row>
    <row r="47" spans="1:11" s="157" customFormat="1" ht="12" customHeight="1" x14ac:dyDescent="0.2">
      <c r="A47" s="291" t="s">
        <v>44</v>
      </c>
      <c r="B47" s="291"/>
      <c r="C47" s="156">
        <v>23747</v>
      </c>
      <c r="D47" s="156">
        <v>18153</v>
      </c>
      <c r="E47" s="156">
        <v>5594</v>
      </c>
      <c r="F47" s="156">
        <v>3599</v>
      </c>
      <c r="G47" s="156">
        <v>1940</v>
      </c>
      <c r="H47" s="156">
        <v>11</v>
      </c>
      <c r="I47" s="156">
        <v>35</v>
      </c>
      <c r="J47" s="156">
        <v>9</v>
      </c>
      <c r="K47" s="156">
        <v>0</v>
      </c>
    </row>
    <row r="48" spans="1:11" s="157" customFormat="1" ht="12" customHeight="1" x14ac:dyDescent="0.2">
      <c r="A48" s="165"/>
      <c r="B48" s="159" t="s">
        <v>45</v>
      </c>
      <c r="C48" s="156">
        <v>2887</v>
      </c>
      <c r="D48" s="156">
        <v>2516</v>
      </c>
      <c r="E48" s="156">
        <v>371</v>
      </c>
      <c r="F48" s="156">
        <v>221</v>
      </c>
      <c r="G48" s="156">
        <v>145</v>
      </c>
      <c r="H48" s="156">
        <v>5</v>
      </c>
      <c r="I48" s="156">
        <v>0</v>
      </c>
      <c r="J48" s="156">
        <v>0</v>
      </c>
      <c r="K48" s="156">
        <v>0</v>
      </c>
    </row>
    <row r="49" spans="1:11" s="157" customFormat="1" ht="12" customHeight="1" x14ac:dyDescent="0.2">
      <c r="A49" s="165"/>
      <c r="B49" s="159" t="s">
        <v>46</v>
      </c>
      <c r="C49" s="156">
        <v>6101</v>
      </c>
      <c r="D49" s="156">
        <v>5015</v>
      </c>
      <c r="E49" s="156">
        <v>1086</v>
      </c>
      <c r="F49" s="156">
        <v>708</v>
      </c>
      <c r="G49" s="156">
        <v>369</v>
      </c>
      <c r="H49" s="156">
        <v>3</v>
      </c>
      <c r="I49" s="156">
        <v>6</v>
      </c>
      <c r="J49" s="156">
        <v>0</v>
      </c>
      <c r="K49" s="156">
        <v>0</v>
      </c>
    </row>
    <row r="50" spans="1:11" s="157" customFormat="1" ht="12" customHeight="1" x14ac:dyDescent="0.2">
      <c r="A50" s="165"/>
      <c r="B50" s="165" t="s">
        <v>47</v>
      </c>
      <c r="C50" s="163">
        <v>14759</v>
      </c>
      <c r="D50" s="163">
        <v>10622</v>
      </c>
      <c r="E50" s="163">
        <v>4137</v>
      </c>
      <c r="F50" s="163">
        <v>2670</v>
      </c>
      <c r="G50" s="163">
        <v>1426</v>
      </c>
      <c r="H50" s="163">
        <v>3</v>
      </c>
      <c r="I50" s="163">
        <v>29</v>
      </c>
      <c r="J50" s="163">
        <v>9</v>
      </c>
      <c r="K50" s="163">
        <v>0</v>
      </c>
    </row>
    <row r="51" spans="1:11" s="157" customFormat="1" ht="12" customHeight="1" x14ac:dyDescent="0.2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</row>
    <row r="52" spans="1:11" s="155" customFormat="1" ht="12" customHeight="1" x14ac:dyDescent="0.2">
      <c r="A52" s="294" t="s">
        <v>48</v>
      </c>
      <c r="B52" s="294"/>
      <c r="C52" s="154">
        <v>56472</v>
      </c>
      <c r="D52" s="154">
        <v>42199</v>
      </c>
      <c r="E52" s="154">
        <v>14273</v>
      </c>
      <c r="F52" s="154">
        <v>7645</v>
      </c>
      <c r="G52" s="154">
        <v>6282</v>
      </c>
      <c r="H52" s="154">
        <v>66</v>
      </c>
      <c r="I52" s="154">
        <v>256</v>
      </c>
      <c r="J52" s="154">
        <v>24</v>
      </c>
      <c r="K52" s="154">
        <v>0</v>
      </c>
    </row>
    <row r="53" spans="1:11" s="157" customFormat="1" ht="12" customHeight="1" x14ac:dyDescent="0.2">
      <c r="A53" s="291" t="s">
        <v>49</v>
      </c>
      <c r="B53" s="291"/>
      <c r="C53" s="156">
        <v>19482</v>
      </c>
      <c r="D53" s="156">
        <v>13098</v>
      </c>
      <c r="E53" s="156">
        <v>6384</v>
      </c>
      <c r="F53" s="156">
        <v>3390</v>
      </c>
      <c r="G53" s="156">
        <v>2747</v>
      </c>
      <c r="H53" s="156">
        <v>19</v>
      </c>
      <c r="I53" s="156">
        <v>204</v>
      </c>
      <c r="J53" s="156">
        <v>24</v>
      </c>
      <c r="K53" s="156">
        <v>0</v>
      </c>
    </row>
    <row r="54" spans="1:11" s="157" customFormat="1" ht="12" customHeight="1" x14ac:dyDescent="0.2">
      <c r="A54" s="291" t="s">
        <v>50</v>
      </c>
      <c r="B54" s="291"/>
      <c r="C54" s="156">
        <v>32827</v>
      </c>
      <c r="D54" s="156">
        <v>25435</v>
      </c>
      <c r="E54" s="156">
        <v>7392</v>
      </c>
      <c r="F54" s="156">
        <v>3969</v>
      </c>
      <c r="G54" s="156">
        <v>3325</v>
      </c>
      <c r="H54" s="156">
        <v>46</v>
      </c>
      <c r="I54" s="156">
        <v>52</v>
      </c>
      <c r="J54" s="156">
        <v>0</v>
      </c>
      <c r="K54" s="156">
        <v>0</v>
      </c>
    </row>
    <row r="55" spans="1:11" s="157" customFormat="1" ht="12" customHeight="1" x14ac:dyDescent="0.2">
      <c r="A55" s="293" t="s">
        <v>51</v>
      </c>
      <c r="B55" s="293"/>
      <c r="C55" s="163">
        <v>4163</v>
      </c>
      <c r="D55" s="163">
        <v>3666</v>
      </c>
      <c r="E55" s="163">
        <v>497</v>
      </c>
      <c r="F55" s="163">
        <v>286</v>
      </c>
      <c r="G55" s="163">
        <v>210</v>
      </c>
      <c r="H55" s="163">
        <v>1</v>
      </c>
      <c r="I55" s="163">
        <v>0</v>
      </c>
      <c r="J55" s="163">
        <v>0</v>
      </c>
      <c r="K55" s="163">
        <v>0</v>
      </c>
    </row>
    <row r="56" spans="1:11" s="157" customFormat="1" ht="12" customHeight="1" x14ac:dyDescent="0.2">
      <c r="A56" s="160"/>
      <c r="B56" s="166"/>
      <c r="C56" s="167"/>
      <c r="D56" s="167"/>
      <c r="E56" s="167"/>
      <c r="F56" s="167"/>
      <c r="G56" s="167"/>
      <c r="H56" s="167"/>
      <c r="I56" s="167"/>
      <c r="J56" s="167"/>
      <c r="K56" s="167"/>
    </row>
    <row r="57" spans="1:11" s="157" customFormat="1" ht="12" customHeight="1" x14ac:dyDescent="0.2">
      <c r="A57" s="298" t="s">
        <v>52</v>
      </c>
      <c r="B57" s="298"/>
      <c r="C57" s="153">
        <v>51084</v>
      </c>
      <c r="D57" s="153">
        <v>38300</v>
      </c>
      <c r="E57" s="153">
        <v>12784</v>
      </c>
      <c r="F57" s="153">
        <v>6889</v>
      </c>
      <c r="G57" s="153">
        <v>5562</v>
      </c>
      <c r="H57" s="153">
        <v>55</v>
      </c>
      <c r="I57" s="153">
        <v>254</v>
      </c>
      <c r="J57" s="153">
        <v>24</v>
      </c>
      <c r="K57" s="153">
        <v>0</v>
      </c>
    </row>
    <row r="58" spans="1:11" s="157" customFormat="1" ht="12" customHeight="1" x14ac:dyDescent="0.2">
      <c r="A58" s="291" t="s">
        <v>53</v>
      </c>
      <c r="B58" s="291"/>
      <c r="C58" s="156">
        <v>3345</v>
      </c>
      <c r="D58" s="156">
        <v>2487</v>
      </c>
      <c r="E58" s="156">
        <v>858</v>
      </c>
      <c r="F58" s="156">
        <v>508</v>
      </c>
      <c r="G58" s="156">
        <v>347</v>
      </c>
      <c r="H58" s="156">
        <v>0</v>
      </c>
      <c r="I58" s="156">
        <v>3</v>
      </c>
      <c r="J58" s="156">
        <v>0</v>
      </c>
      <c r="K58" s="156">
        <v>0</v>
      </c>
    </row>
    <row r="59" spans="1:11" s="157" customFormat="1" ht="12" customHeight="1" x14ac:dyDescent="0.2">
      <c r="A59" s="291" t="s">
        <v>55</v>
      </c>
      <c r="B59" s="291"/>
      <c r="C59" s="156">
        <v>2033</v>
      </c>
      <c r="D59" s="156">
        <v>1780</v>
      </c>
      <c r="E59" s="156">
        <v>253</v>
      </c>
      <c r="F59" s="156">
        <v>145</v>
      </c>
      <c r="G59" s="156">
        <v>108</v>
      </c>
      <c r="H59" s="156">
        <v>0</v>
      </c>
      <c r="I59" s="156">
        <v>0</v>
      </c>
      <c r="J59" s="156">
        <v>0</v>
      </c>
      <c r="K59" s="156">
        <v>0</v>
      </c>
    </row>
    <row r="60" spans="1:11" s="157" customFormat="1" ht="12" customHeight="1" x14ac:dyDescent="0.2">
      <c r="A60" s="291" t="s">
        <v>56</v>
      </c>
      <c r="B60" s="291"/>
      <c r="C60" s="156">
        <v>2130</v>
      </c>
      <c r="D60" s="156">
        <v>1886</v>
      </c>
      <c r="E60" s="156">
        <v>244</v>
      </c>
      <c r="F60" s="156">
        <v>141</v>
      </c>
      <c r="G60" s="156">
        <v>102</v>
      </c>
      <c r="H60" s="156">
        <v>1</v>
      </c>
      <c r="I60" s="156">
        <v>0</v>
      </c>
      <c r="J60" s="156">
        <v>0</v>
      </c>
      <c r="K60" s="156">
        <v>0</v>
      </c>
    </row>
    <row r="61" spans="1:11" s="157" customFormat="1" ht="12" customHeight="1" x14ac:dyDescent="0.2">
      <c r="A61" s="291" t="s">
        <v>57</v>
      </c>
      <c r="B61" s="291"/>
      <c r="C61" s="156">
        <v>8182</v>
      </c>
      <c r="D61" s="156">
        <v>4780</v>
      </c>
      <c r="E61" s="156">
        <v>3402</v>
      </c>
      <c r="F61" s="156">
        <v>1637</v>
      </c>
      <c r="G61" s="156">
        <v>1546</v>
      </c>
      <c r="H61" s="156">
        <v>12</v>
      </c>
      <c r="I61" s="156">
        <v>189</v>
      </c>
      <c r="J61" s="156">
        <v>18</v>
      </c>
      <c r="K61" s="156">
        <v>0</v>
      </c>
    </row>
    <row r="62" spans="1:11" s="157" customFormat="1" ht="12" customHeight="1" x14ac:dyDescent="0.2">
      <c r="A62" s="291" t="s">
        <v>58</v>
      </c>
      <c r="B62" s="291"/>
      <c r="C62" s="156">
        <v>2927</v>
      </c>
      <c r="D62" s="156">
        <v>2319</v>
      </c>
      <c r="E62" s="156">
        <v>608</v>
      </c>
      <c r="F62" s="156">
        <v>363</v>
      </c>
      <c r="G62" s="156">
        <v>241</v>
      </c>
      <c r="H62" s="156">
        <v>4</v>
      </c>
      <c r="I62" s="156">
        <v>0</v>
      </c>
      <c r="J62" s="156">
        <v>0</v>
      </c>
      <c r="K62" s="156">
        <v>0</v>
      </c>
    </row>
    <row r="63" spans="1:11" s="157" customFormat="1" ht="12" customHeight="1" x14ac:dyDescent="0.2">
      <c r="A63" s="291" t="s">
        <v>60</v>
      </c>
      <c r="B63" s="291"/>
      <c r="C63" s="156">
        <v>14914</v>
      </c>
      <c r="D63" s="156">
        <v>11586</v>
      </c>
      <c r="E63" s="156">
        <v>3328</v>
      </c>
      <c r="F63" s="156">
        <v>1691</v>
      </c>
      <c r="G63" s="156">
        <v>1588</v>
      </c>
      <c r="H63" s="156">
        <v>24</v>
      </c>
      <c r="I63" s="156">
        <v>25</v>
      </c>
      <c r="J63" s="156">
        <v>0</v>
      </c>
      <c r="K63" s="156">
        <v>0</v>
      </c>
    </row>
    <row r="64" spans="1:11" s="157" customFormat="1" ht="12" customHeight="1" x14ac:dyDescent="0.2">
      <c r="A64" s="291" t="s">
        <v>62</v>
      </c>
      <c r="B64" s="291"/>
      <c r="C64" s="156">
        <v>4572</v>
      </c>
      <c r="D64" s="156">
        <v>3460</v>
      </c>
      <c r="E64" s="156">
        <v>1112</v>
      </c>
      <c r="F64" s="156">
        <v>716</v>
      </c>
      <c r="G64" s="156">
        <v>389</v>
      </c>
      <c r="H64" s="156">
        <v>3</v>
      </c>
      <c r="I64" s="156">
        <v>4</v>
      </c>
      <c r="J64" s="156">
        <v>0</v>
      </c>
      <c r="K64" s="156">
        <v>0</v>
      </c>
    </row>
    <row r="65" spans="1:11" s="157" customFormat="1" ht="12" customHeight="1" x14ac:dyDescent="0.2">
      <c r="A65" s="291" t="s">
        <v>63</v>
      </c>
      <c r="B65" s="291"/>
      <c r="C65" s="156">
        <v>2365</v>
      </c>
      <c r="D65" s="156">
        <v>1968</v>
      </c>
      <c r="E65" s="156">
        <v>397</v>
      </c>
      <c r="F65" s="156">
        <v>234</v>
      </c>
      <c r="G65" s="156">
        <v>143</v>
      </c>
      <c r="H65" s="156">
        <v>0</v>
      </c>
      <c r="I65" s="156">
        <v>20</v>
      </c>
      <c r="J65" s="156">
        <v>0</v>
      </c>
      <c r="K65" s="156">
        <v>0</v>
      </c>
    </row>
    <row r="66" spans="1:11" s="157" customFormat="1" ht="12" customHeight="1" x14ac:dyDescent="0.2">
      <c r="A66" s="291" t="s">
        <v>64</v>
      </c>
      <c r="B66" s="291"/>
      <c r="C66" s="156">
        <v>2617</v>
      </c>
      <c r="D66" s="156">
        <v>2144</v>
      </c>
      <c r="E66" s="156">
        <v>473</v>
      </c>
      <c r="F66" s="156">
        <v>288</v>
      </c>
      <c r="G66" s="156">
        <v>184</v>
      </c>
      <c r="H66" s="156">
        <v>1</v>
      </c>
      <c r="I66" s="156">
        <v>0</v>
      </c>
      <c r="J66" s="156">
        <v>0</v>
      </c>
      <c r="K66" s="156">
        <v>0</v>
      </c>
    </row>
    <row r="67" spans="1:11" s="157" customFormat="1" ht="12" customHeight="1" x14ac:dyDescent="0.2">
      <c r="A67" s="291" t="s">
        <v>65</v>
      </c>
      <c r="B67" s="291"/>
      <c r="C67" s="156">
        <v>4616</v>
      </c>
      <c r="D67" s="156">
        <v>3519</v>
      </c>
      <c r="E67" s="156">
        <v>1097</v>
      </c>
      <c r="F67" s="156">
        <v>637</v>
      </c>
      <c r="G67" s="156">
        <v>449</v>
      </c>
      <c r="H67" s="156">
        <v>6</v>
      </c>
      <c r="I67" s="156">
        <v>5</v>
      </c>
      <c r="J67" s="156">
        <v>0</v>
      </c>
      <c r="K67" s="156">
        <v>0</v>
      </c>
    </row>
    <row r="68" spans="1:11" s="157" customFormat="1" ht="12" customHeight="1" x14ac:dyDescent="0.2">
      <c r="A68" s="293" t="s">
        <v>66</v>
      </c>
      <c r="B68" s="293"/>
      <c r="C68" s="163">
        <v>3383</v>
      </c>
      <c r="D68" s="163">
        <v>2371</v>
      </c>
      <c r="E68" s="163">
        <v>1012</v>
      </c>
      <c r="F68" s="163">
        <v>529</v>
      </c>
      <c r="G68" s="163">
        <v>465</v>
      </c>
      <c r="H68" s="163">
        <v>4</v>
      </c>
      <c r="I68" s="163">
        <v>8</v>
      </c>
      <c r="J68" s="163">
        <v>6</v>
      </c>
      <c r="K68" s="163">
        <v>0</v>
      </c>
    </row>
    <row r="69" spans="1:11" s="157" customFormat="1" ht="12" customHeight="1" x14ac:dyDescent="0.2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</row>
    <row r="70" spans="1:11" s="157" customFormat="1" ht="12" customHeight="1" x14ac:dyDescent="0.2">
      <c r="A70" s="294" t="s">
        <v>67</v>
      </c>
      <c r="B70" s="294"/>
      <c r="C70" s="154">
        <v>151692</v>
      </c>
      <c r="D70" s="154">
        <v>103572</v>
      </c>
      <c r="E70" s="154">
        <v>48120</v>
      </c>
      <c r="F70" s="154">
        <v>27654</v>
      </c>
      <c r="G70" s="154">
        <v>19559</v>
      </c>
      <c r="H70" s="154">
        <v>279</v>
      </c>
      <c r="I70" s="154">
        <v>483</v>
      </c>
      <c r="J70" s="154">
        <v>119</v>
      </c>
      <c r="K70" s="154">
        <v>26</v>
      </c>
    </row>
    <row r="71" spans="1:11" s="157" customFormat="1" ht="12" customHeight="1" x14ac:dyDescent="0.2">
      <c r="A71" s="291" t="s">
        <v>68</v>
      </c>
      <c r="B71" s="291"/>
      <c r="C71" s="156">
        <v>4480</v>
      </c>
      <c r="D71" s="156">
        <v>2975</v>
      </c>
      <c r="E71" s="156">
        <v>1505</v>
      </c>
      <c r="F71" s="156">
        <v>1029</v>
      </c>
      <c r="G71" s="156">
        <v>467</v>
      </c>
      <c r="H71" s="156">
        <v>1</v>
      </c>
      <c r="I71" s="156">
        <v>5</v>
      </c>
      <c r="J71" s="156">
        <v>3</v>
      </c>
      <c r="K71" s="156">
        <v>0</v>
      </c>
    </row>
    <row r="72" spans="1:11" s="157" customFormat="1" ht="12" customHeight="1" x14ac:dyDescent="0.2">
      <c r="A72" s="291" t="s">
        <v>69</v>
      </c>
      <c r="B72" s="291"/>
      <c r="C72" s="156">
        <v>1405</v>
      </c>
      <c r="D72" s="156">
        <v>1281</v>
      </c>
      <c r="E72" s="156">
        <v>124</v>
      </c>
      <c r="F72" s="156">
        <v>73</v>
      </c>
      <c r="G72" s="156">
        <v>51</v>
      </c>
      <c r="H72" s="156">
        <v>0</v>
      </c>
      <c r="I72" s="156">
        <v>0</v>
      </c>
      <c r="J72" s="156">
        <v>0</v>
      </c>
      <c r="K72" s="156">
        <v>0</v>
      </c>
    </row>
    <row r="73" spans="1:11" s="157" customFormat="1" ht="12" customHeight="1" x14ac:dyDescent="0.2">
      <c r="A73" s="291" t="s">
        <v>70</v>
      </c>
      <c r="B73" s="291"/>
      <c r="C73" s="156">
        <v>375</v>
      </c>
      <c r="D73" s="156">
        <v>325</v>
      </c>
      <c r="E73" s="156">
        <v>50</v>
      </c>
      <c r="F73" s="156">
        <v>30</v>
      </c>
      <c r="G73" s="156">
        <v>20</v>
      </c>
      <c r="H73" s="156">
        <v>0</v>
      </c>
      <c r="I73" s="156">
        <v>0</v>
      </c>
      <c r="J73" s="156">
        <v>0</v>
      </c>
      <c r="K73" s="156">
        <v>0</v>
      </c>
    </row>
    <row r="74" spans="1:11" s="157" customFormat="1" ht="12" customHeight="1" x14ac:dyDescent="0.2">
      <c r="A74" s="291" t="s">
        <v>71</v>
      </c>
      <c r="B74" s="291"/>
      <c r="C74" s="156">
        <v>1011</v>
      </c>
      <c r="D74" s="156">
        <v>876</v>
      </c>
      <c r="E74" s="156">
        <v>135</v>
      </c>
      <c r="F74" s="156">
        <v>74</v>
      </c>
      <c r="G74" s="156">
        <v>59</v>
      </c>
      <c r="H74" s="156">
        <v>1</v>
      </c>
      <c r="I74" s="156">
        <v>1</v>
      </c>
      <c r="J74" s="156">
        <v>0</v>
      </c>
      <c r="K74" s="156">
        <v>0</v>
      </c>
    </row>
    <row r="75" spans="1:11" s="157" customFormat="1" ht="12" customHeight="1" x14ac:dyDescent="0.2">
      <c r="A75" s="291" t="s">
        <v>72</v>
      </c>
      <c r="B75" s="291"/>
      <c r="C75" s="156">
        <v>303</v>
      </c>
      <c r="D75" s="156">
        <v>267</v>
      </c>
      <c r="E75" s="156">
        <v>36</v>
      </c>
      <c r="F75" s="156">
        <v>28</v>
      </c>
      <c r="G75" s="156">
        <v>8</v>
      </c>
      <c r="H75" s="156">
        <v>0</v>
      </c>
      <c r="I75" s="156">
        <v>0</v>
      </c>
      <c r="J75" s="156">
        <v>0</v>
      </c>
      <c r="K75" s="156">
        <v>0</v>
      </c>
    </row>
    <row r="76" spans="1:11" s="157" customFormat="1" ht="12" customHeight="1" x14ac:dyDescent="0.2">
      <c r="A76" s="291" t="s">
        <v>73</v>
      </c>
      <c r="B76" s="291"/>
      <c r="C76" s="156">
        <v>1542</v>
      </c>
      <c r="D76" s="156">
        <v>1276</v>
      </c>
      <c r="E76" s="156">
        <v>266</v>
      </c>
      <c r="F76" s="156">
        <v>204</v>
      </c>
      <c r="G76" s="156">
        <v>61</v>
      </c>
      <c r="H76" s="156">
        <v>1</v>
      </c>
      <c r="I76" s="156">
        <v>0</v>
      </c>
      <c r="J76" s="156">
        <v>0</v>
      </c>
      <c r="K76" s="156">
        <v>0</v>
      </c>
    </row>
    <row r="77" spans="1:11" s="157" customFormat="1" ht="12" customHeight="1" x14ac:dyDescent="0.2">
      <c r="A77" s="291" t="s">
        <v>74</v>
      </c>
      <c r="B77" s="291"/>
      <c r="C77" s="156">
        <v>634</v>
      </c>
      <c r="D77" s="156">
        <v>552</v>
      </c>
      <c r="E77" s="156">
        <v>82</v>
      </c>
      <c r="F77" s="156">
        <v>53</v>
      </c>
      <c r="G77" s="156">
        <v>29</v>
      </c>
      <c r="H77" s="156">
        <v>0</v>
      </c>
      <c r="I77" s="156">
        <v>0</v>
      </c>
      <c r="J77" s="156">
        <v>0</v>
      </c>
      <c r="K77" s="156">
        <v>0</v>
      </c>
    </row>
    <row r="78" spans="1:11" s="157" customFormat="1" ht="12" customHeight="1" x14ac:dyDescent="0.2">
      <c r="A78" s="291" t="s">
        <v>75</v>
      </c>
      <c r="B78" s="291"/>
      <c r="C78" s="156">
        <v>2647</v>
      </c>
      <c r="D78" s="156">
        <v>2077</v>
      </c>
      <c r="E78" s="156">
        <v>570</v>
      </c>
      <c r="F78" s="156">
        <v>322</v>
      </c>
      <c r="G78" s="156">
        <v>244</v>
      </c>
      <c r="H78" s="156">
        <v>0</v>
      </c>
      <c r="I78" s="156">
        <v>4</v>
      </c>
      <c r="J78" s="156">
        <v>0</v>
      </c>
      <c r="K78" s="156">
        <v>0</v>
      </c>
    </row>
    <row r="79" spans="1:11" s="157" customFormat="1" ht="12" customHeight="1" x14ac:dyDescent="0.2">
      <c r="A79" s="291" t="s">
        <v>77</v>
      </c>
      <c r="B79" s="291"/>
      <c r="C79" s="156">
        <v>926</v>
      </c>
      <c r="D79" s="156">
        <v>532</v>
      </c>
      <c r="E79" s="156">
        <v>394</v>
      </c>
      <c r="F79" s="156">
        <v>180</v>
      </c>
      <c r="G79" s="156">
        <v>213</v>
      </c>
      <c r="H79" s="156">
        <v>1</v>
      </c>
      <c r="I79" s="156">
        <v>0</v>
      </c>
      <c r="J79" s="156">
        <v>0</v>
      </c>
      <c r="K79" s="156">
        <v>0</v>
      </c>
    </row>
    <row r="80" spans="1:11" s="157" customFormat="1" ht="12" customHeight="1" x14ac:dyDescent="0.2">
      <c r="A80" s="291" t="s">
        <v>79</v>
      </c>
      <c r="B80" s="291"/>
      <c r="C80" s="156">
        <v>485</v>
      </c>
      <c r="D80" s="156">
        <v>373</v>
      </c>
      <c r="E80" s="156">
        <v>112</v>
      </c>
      <c r="F80" s="156">
        <v>48</v>
      </c>
      <c r="G80" s="156">
        <v>63</v>
      </c>
      <c r="H80" s="156">
        <v>1</v>
      </c>
      <c r="I80" s="156">
        <v>0</v>
      </c>
      <c r="J80" s="156">
        <v>0</v>
      </c>
      <c r="K80" s="156">
        <v>0</v>
      </c>
    </row>
    <row r="81" spans="1:11" s="157" customFormat="1" ht="12" customHeight="1" x14ac:dyDescent="0.2">
      <c r="A81" s="291" t="s">
        <v>80</v>
      </c>
      <c r="B81" s="291"/>
      <c r="C81" s="156">
        <v>796</v>
      </c>
      <c r="D81" s="156">
        <v>651</v>
      </c>
      <c r="E81" s="156">
        <v>145</v>
      </c>
      <c r="F81" s="156">
        <v>84</v>
      </c>
      <c r="G81" s="156">
        <v>56</v>
      </c>
      <c r="H81" s="156">
        <v>5</v>
      </c>
      <c r="I81" s="156">
        <v>0</v>
      </c>
      <c r="J81" s="156">
        <v>0</v>
      </c>
      <c r="K81" s="156">
        <v>0</v>
      </c>
    </row>
    <row r="82" spans="1:11" s="157" customFormat="1" ht="12" customHeight="1" x14ac:dyDescent="0.2">
      <c r="A82" s="291" t="s">
        <v>81</v>
      </c>
      <c r="B82" s="291"/>
      <c r="C82" s="156">
        <v>1507</v>
      </c>
      <c r="D82" s="156">
        <v>1070</v>
      </c>
      <c r="E82" s="156">
        <v>437</v>
      </c>
      <c r="F82" s="156">
        <v>330</v>
      </c>
      <c r="G82" s="156">
        <v>101</v>
      </c>
      <c r="H82" s="156">
        <v>4</v>
      </c>
      <c r="I82" s="156">
        <v>2</v>
      </c>
      <c r="J82" s="156">
        <v>0</v>
      </c>
      <c r="K82" s="156">
        <v>0</v>
      </c>
    </row>
    <row r="83" spans="1:11" s="157" customFormat="1" ht="12" customHeight="1" x14ac:dyDescent="0.2">
      <c r="A83" s="291" t="s">
        <v>84</v>
      </c>
      <c r="B83" s="291"/>
      <c r="C83" s="156">
        <v>2116</v>
      </c>
      <c r="D83" s="156">
        <v>1620</v>
      </c>
      <c r="E83" s="156">
        <v>496</v>
      </c>
      <c r="F83" s="156">
        <v>278</v>
      </c>
      <c r="G83" s="156">
        <v>212</v>
      </c>
      <c r="H83" s="156">
        <v>1</v>
      </c>
      <c r="I83" s="156">
        <v>5</v>
      </c>
      <c r="J83" s="156">
        <v>0</v>
      </c>
      <c r="K83" s="156">
        <v>0</v>
      </c>
    </row>
    <row r="84" spans="1:11" s="157" customFormat="1" ht="12" customHeight="1" x14ac:dyDescent="0.2">
      <c r="A84" s="291" t="s">
        <v>85</v>
      </c>
      <c r="B84" s="291"/>
      <c r="C84" s="156">
        <v>6660</v>
      </c>
      <c r="D84" s="156">
        <v>5954</v>
      </c>
      <c r="E84" s="156">
        <v>706</v>
      </c>
      <c r="F84" s="156">
        <v>487</v>
      </c>
      <c r="G84" s="156">
        <v>214</v>
      </c>
      <c r="H84" s="156">
        <v>5</v>
      </c>
      <c r="I84" s="156">
        <v>0</v>
      </c>
      <c r="J84" s="156">
        <v>0</v>
      </c>
      <c r="K84" s="156">
        <v>0</v>
      </c>
    </row>
    <row r="85" spans="1:11" s="157" customFormat="1" ht="12" customHeight="1" x14ac:dyDescent="0.2">
      <c r="A85" s="291" t="s">
        <v>88</v>
      </c>
      <c r="B85" s="291"/>
      <c r="C85" s="156">
        <v>4330</v>
      </c>
      <c r="D85" s="156">
        <v>3044</v>
      </c>
      <c r="E85" s="156">
        <v>1286</v>
      </c>
      <c r="F85" s="156">
        <v>858</v>
      </c>
      <c r="G85" s="156">
        <v>403</v>
      </c>
      <c r="H85" s="156">
        <v>1</v>
      </c>
      <c r="I85" s="156">
        <v>18</v>
      </c>
      <c r="J85" s="156">
        <v>6</v>
      </c>
      <c r="K85" s="156">
        <v>0</v>
      </c>
    </row>
    <row r="86" spans="1:11" s="157" customFormat="1" ht="12" customHeight="1" x14ac:dyDescent="0.2">
      <c r="A86" s="291" t="s">
        <v>91</v>
      </c>
      <c r="B86" s="291"/>
      <c r="C86" s="156">
        <v>4911</v>
      </c>
      <c r="D86" s="156">
        <v>3152</v>
      </c>
      <c r="E86" s="156">
        <v>1759</v>
      </c>
      <c r="F86" s="156">
        <v>755</v>
      </c>
      <c r="G86" s="156">
        <v>981</v>
      </c>
      <c r="H86" s="156">
        <v>23</v>
      </c>
      <c r="I86" s="156">
        <v>0</v>
      </c>
      <c r="J86" s="156">
        <v>0</v>
      </c>
      <c r="K86" s="156">
        <v>0</v>
      </c>
    </row>
    <row r="87" spans="1:11" s="157" customFormat="1" ht="12" customHeight="1" x14ac:dyDescent="0.2">
      <c r="A87" s="291" t="s">
        <v>92</v>
      </c>
      <c r="B87" s="291"/>
      <c r="C87" s="156">
        <v>2032</v>
      </c>
      <c r="D87" s="156">
        <v>1789</v>
      </c>
      <c r="E87" s="156">
        <v>243</v>
      </c>
      <c r="F87" s="156">
        <v>151</v>
      </c>
      <c r="G87" s="156">
        <v>92</v>
      </c>
      <c r="H87" s="156">
        <v>0</v>
      </c>
      <c r="I87" s="156">
        <v>0</v>
      </c>
      <c r="J87" s="156">
        <v>0</v>
      </c>
      <c r="K87" s="156">
        <v>0</v>
      </c>
    </row>
    <row r="88" spans="1:11" s="157" customFormat="1" ht="12" customHeight="1" x14ac:dyDescent="0.2">
      <c r="A88" s="291" t="s">
        <v>93</v>
      </c>
      <c r="B88" s="291"/>
      <c r="C88" s="156">
        <v>854</v>
      </c>
      <c r="D88" s="156">
        <v>704</v>
      </c>
      <c r="E88" s="156">
        <v>150</v>
      </c>
      <c r="F88" s="156">
        <v>97</v>
      </c>
      <c r="G88" s="156">
        <v>51</v>
      </c>
      <c r="H88" s="156">
        <v>2</v>
      </c>
      <c r="I88" s="156">
        <v>0</v>
      </c>
      <c r="J88" s="156">
        <v>0</v>
      </c>
      <c r="K88" s="156">
        <v>0</v>
      </c>
    </row>
    <row r="89" spans="1:11" s="157" customFormat="1" ht="12" customHeight="1" x14ac:dyDescent="0.2">
      <c r="A89" s="291" t="s">
        <v>94</v>
      </c>
      <c r="B89" s="291"/>
      <c r="C89" s="156">
        <v>1387</v>
      </c>
      <c r="D89" s="156">
        <v>1149</v>
      </c>
      <c r="E89" s="156">
        <v>238</v>
      </c>
      <c r="F89" s="156">
        <v>123</v>
      </c>
      <c r="G89" s="156">
        <v>114</v>
      </c>
      <c r="H89" s="156">
        <v>0</v>
      </c>
      <c r="I89" s="156">
        <v>1</v>
      </c>
      <c r="J89" s="156">
        <v>0</v>
      </c>
      <c r="K89" s="156">
        <v>0</v>
      </c>
    </row>
    <row r="90" spans="1:11" s="157" customFormat="1" ht="12" customHeight="1" x14ac:dyDescent="0.2">
      <c r="A90" s="291" t="s">
        <v>95</v>
      </c>
      <c r="B90" s="291"/>
      <c r="C90" s="156">
        <v>544</v>
      </c>
      <c r="D90" s="156">
        <v>459</v>
      </c>
      <c r="E90" s="156">
        <v>85</v>
      </c>
      <c r="F90" s="156">
        <v>48</v>
      </c>
      <c r="G90" s="156">
        <v>32</v>
      </c>
      <c r="H90" s="156">
        <v>0</v>
      </c>
      <c r="I90" s="156">
        <v>5</v>
      </c>
      <c r="J90" s="156">
        <v>0</v>
      </c>
      <c r="K90" s="156">
        <v>0</v>
      </c>
    </row>
    <row r="91" spans="1:11" s="157" customFormat="1" ht="12" customHeight="1" x14ac:dyDescent="0.2">
      <c r="A91" s="291" t="s">
        <v>96</v>
      </c>
      <c r="B91" s="291"/>
      <c r="C91" s="156">
        <v>515</v>
      </c>
      <c r="D91" s="156">
        <v>350</v>
      </c>
      <c r="E91" s="156">
        <v>165</v>
      </c>
      <c r="F91" s="156">
        <v>117</v>
      </c>
      <c r="G91" s="156">
        <v>48</v>
      </c>
      <c r="H91" s="156">
        <v>0</v>
      </c>
      <c r="I91" s="156">
        <v>0</v>
      </c>
      <c r="J91" s="156">
        <v>0</v>
      </c>
      <c r="K91" s="156">
        <v>0</v>
      </c>
    </row>
    <row r="92" spans="1:11" s="157" customFormat="1" ht="12" customHeight="1" x14ac:dyDescent="0.2">
      <c r="A92" s="291" t="s">
        <v>97</v>
      </c>
      <c r="B92" s="291"/>
      <c r="C92" s="156">
        <v>1321</v>
      </c>
      <c r="D92" s="156">
        <v>1064</v>
      </c>
      <c r="E92" s="156">
        <v>257</v>
      </c>
      <c r="F92" s="156">
        <v>178</v>
      </c>
      <c r="G92" s="156">
        <v>79</v>
      </c>
      <c r="H92" s="156">
        <v>0</v>
      </c>
      <c r="I92" s="156">
        <v>0</v>
      </c>
      <c r="J92" s="156">
        <v>0</v>
      </c>
      <c r="K92" s="156">
        <v>0</v>
      </c>
    </row>
    <row r="93" spans="1:11" s="157" customFormat="1" ht="12" customHeight="1" x14ac:dyDescent="0.2">
      <c r="A93" s="291" t="s">
        <v>98</v>
      </c>
      <c r="B93" s="291"/>
      <c r="C93" s="156">
        <v>1780</v>
      </c>
      <c r="D93" s="156">
        <v>1099</v>
      </c>
      <c r="E93" s="156">
        <v>681</v>
      </c>
      <c r="F93" s="156">
        <v>490</v>
      </c>
      <c r="G93" s="156">
        <v>163</v>
      </c>
      <c r="H93" s="156">
        <v>2</v>
      </c>
      <c r="I93" s="156">
        <v>26</v>
      </c>
      <c r="J93" s="156">
        <v>0</v>
      </c>
      <c r="K93" s="156">
        <v>0</v>
      </c>
    </row>
    <row r="94" spans="1:11" s="157" customFormat="1" ht="12" customHeight="1" x14ac:dyDescent="0.2">
      <c r="A94" s="291" t="s">
        <v>99</v>
      </c>
      <c r="B94" s="291"/>
      <c r="C94" s="156">
        <v>63494</v>
      </c>
      <c r="D94" s="156">
        <v>39067</v>
      </c>
      <c r="E94" s="156">
        <v>24427</v>
      </c>
      <c r="F94" s="156">
        <v>13596</v>
      </c>
      <c r="G94" s="156">
        <v>10341</v>
      </c>
      <c r="H94" s="156">
        <v>153</v>
      </c>
      <c r="I94" s="156">
        <v>247</v>
      </c>
      <c r="J94" s="156">
        <v>66</v>
      </c>
      <c r="K94" s="156">
        <v>24</v>
      </c>
    </row>
    <row r="95" spans="1:11" s="157" customFormat="1" ht="12" customHeight="1" x14ac:dyDescent="0.2">
      <c r="A95" s="291" t="s">
        <v>100</v>
      </c>
      <c r="B95" s="291"/>
      <c r="C95" s="156">
        <v>1607</v>
      </c>
      <c r="D95" s="156">
        <v>1223</v>
      </c>
      <c r="E95" s="156">
        <v>384</v>
      </c>
      <c r="F95" s="156">
        <v>229</v>
      </c>
      <c r="G95" s="156">
        <v>155</v>
      </c>
      <c r="H95" s="156">
        <v>0</v>
      </c>
      <c r="I95" s="156">
        <v>0</v>
      </c>
      <c r="J95" s="156">
        <v>0</v>
      </c>
      <c r="K95" s="156">
        <v>0</v>
      </c>
    </row>
    <row r="96" spans="1:11" s="157" customFormat="1" ht="12" customHeight="1" x14ac:dyDescent="0.2">
      <c r="A96" s="291" t="s">
        <v>101</v>
      </c>
      <c r="B96" s="291"/>
      <c r="C96" s="156">
        <v>1338</v>
      </c>
      <c r="D96" s="156">
        <v>1087</v>
      </c>
      <c r="E96" s="156">
        <v>251</v>
      </c>
      <c r="F96" s="156">
        <v>159</v>
      </c>
      <c r="G96" s="156">
        <v>86</v>
      </c>
      <c r="H96" s="156">
        <v>1</v>
      </c>
      <c r="I96" s="156">
        <v>5</v>
      </c>
      <c r="J96" s="156">
        <v>0</v>
      </c>
      <c r="K96" s="156">
        <v>0</v>
      </c>
    </row>
    <row r="97" spans="1:11" s="157" customFormat="1" ht="12" customHeight="1" x14ac:dyDescent="0.2">
      <c r="A97" s="291" t="s">
        <v>102</v>
      </c>
      <c r="B97" s="291"/>
      <c r="C97" s="156">
        <v>683</v>
      </c>
      <c r="D97" s="156">
        <v>442</v>
      </c>
      <c r="E97" s="156">
        <v>241</v>
      </c>
      <c r="F97" s="156">
        <v>103</v>
      </c>
      <c r="G97" s="156">
        <v>134</v>
      </c>
      <c r="H97" s="156">
        <v>3</v>
      </c>
      <c r="I97" s="156">
        <v>1</v>
      </c>
      <c r="J97" s="156">
        <v>0</v>
      </c>
      <c r="K97" s="156">
        <v>0</v>
      </c>
    </row>
    <row r="98" spans="1:11" s="157" customFormat="1" ht="12" customHeight="1" x14ac:dyDescent="0.2">
      <c r="A98" s="291" t="s">
        <v>103</v>
      </c>
      <c r="B98" s="291"/>
      <c r="C98" s="156">
        <v>6268</v>
      </c>
      <c r="D98" s="156">
        <v>3561</v>
      </c>
      <c r="E98" s="156">
        <v>2707</v>
      </c>
      <c r="F98" s="156">
        <v>1567</v>
      </c>
      <c r="G98" s="156">
        <v>1050</v>
      </c>
      <c r="H98" s="156">
        <v>14</v>
      </c>
      <c r="I98" s="156">
        <v>65</v>
      </c>
      <c r="J98" s="156">
        <v>11</v>
      </c>
      <c r="K98" s="156">
        <v>0</v>
      </c>
    </row>
    <row r="99" spans="1:11" s="157" customFormat="1" ht="12" customHeight="1" x14ac:dyDescent="0.2">
      <c r="A99" s="291" t="s">
        <v>104</v>
      </c>
      <c r="B99" s="291"/>
      <c r="C99" s="156">
        <v>1445</v>
      </c>
      <c r="D99" s="156">
        <v>1021</v>
      </c>
      <c r="E99" s="156">
        <v>424</v>
      </c>
      <c r="F99" s="156">
        <v>256</v>
      </c>
      <c r="G99" s="156">
        <v>168</v>
      </c>
      <c r="H99" s="156">
        <v>0</v>
      </c>
      <c r="I99" s="156">
        <v>0</v>
      </c>
      <c r="J99" s="156">
        <v>0</v>
      </c>
      <c r="K99" s="156">
        <v>0</v>
      </c>
    </row>
    <row r="100" spans="1:11" s="157" customFormat="1" ht="12" customHeight="1" x14ac:dyDescent="0.2">
      <c r="A100" s="291" t="s">
        <v>105</v>
      </c>
      <c r="B100" s="291"/>
      <c r="C100" s="156">
        <v>1816</v>
      </c>
      <c r="D100" s="156">
        <v>1101</v>
      </c>
      <c r="E100" s="156">
        <v>715</v>
      </c>
      <c r="F100" s="156">
        <v>396</v>
      </c>
      <c r="G100" s="156">
        <v>316</v>
      </c>
      <c r="H100" s="156">
        <v>2</v>
      </c>
      <c r="I100" s="156">
        <v>1</v>
      </c>
      <c r="J100" s="156">
        <v>0</v>
      </c>
      <c r="K100" s="156">
        <v>0</v>
      </c>
    </row>
    <row r="101" spans="1:11" s="157" customFormat="1" ht="12" customHeight="1" x14ac:dyDescent="0.2">
      <c r="A101" s="291" t="s">
        <v>106</v>
      </c>
      <c r="B101" s="291"/>
      <c r="C101" s="156">
        <v>1356</v>
      </c>
      <c r="D101" s="156">
        <v>1146</v>
      </c>
      <c r="E101" s="156">
        <v>210</v>
      </c>
      <c r="F101" s="156">
        <v>153</v>
      </c>
      <c r="G101" s="156">
        <v>51</v>
      </c>
      <c r="H101" s="156">
        <v>3</v>
      </c>
      <c r="I101" s="156">
        <v>0</v>
      </c>
      <c r="J101" s="156">
        <v>3</v>
      </c>
      <c r="K101" s="156">
        <v>0</v>
      </c>
    </row>
    <row r="102" spans="1:11" s="157" customFormat="1" ht="12" customHeight="1" x14ac:dyDescent="0.2">
      <c r="A102" s="291" t="s">
        <v>107</v>
      </c>
      <c r="B102" s="291"/>
      <c r="C102" s="156">
        <v>311</v>
      </c>
      <c r="D102" s="156">
        <v>259</v>
      </c>
      <c r="E102" s="156">
        <v>52</v>
      </c>
      <c r="F102" s="156">
        <v>34</v>
      </c>
      <c r="G102" s="156">
        <v>18</v>
      </c>
      <c r="H102" s="156">
        <v>0</v>
      </c>
      <c r="I102" s="156">
        <v>0</v>
      </c>
      <c r="J102" s="156">
        <v>0</v>
      </c>
      <c r="K102" s="156">
        <v>0</v>
      </c>
    </row>
    <row r="103" spans="1:11" s="157" customFormat="1" ht="12" customHeight="1" x14ac:dyDescent="0.2">
      <c r="A103" s="291" t="s">
        <v>336</v>
      </c>
      <c r="B103" s="291"/>
      <c r="C103" s="156">
        <v>4502</v>
      </c>
      <c r="D103" s="156">
        <v>3619</v>
      </c>
      <c r="E103" s="156">
        <v>883</v>
      </c>
      <c r="F103" s="156">
        <v>595</v>
      </c>
      <c r="G103" s="156">
        <v>275</v>
      </c>
      <c r="H103" s="156">
        <v>11</v>
      </c>
      <c r="I103" s="156">
        <v>1</v>
      </c>
      <c r="J103" s="156">
        <v>1</v>
      </c>
      <c r="K103" s="156">
        <v>0</v>
      </c>
    </row>
    <row r="104" spans="1:11" s="157" customFormat="1" ht="12" customHeight="1" x14ac:dyDescent="0.2">
      <c r="A104" s="291" t="s">
        <v>108</v>
      </c>
      <c r="B104" s="291"/>
      <c r="C104" s="156">
        <v>891</v>
      </c>
      <c r="D104" s="156">
        <v>684</v>
      </c>
      <c r="E104" s="156">
        <v>207</v>
      </c>
      <c r="F104" s="156">
        <v>144</v>
      </c>
      <c r="G104" s="156">
        <v>63</v>
      </c>
      <c r="H104" s="156">
        <v>0</v>
      </c>
      <c r="I104" s="156">
        <v>0</v>
      </c>
      <c r="J104" s="156">
        <v>0</v>
      </c>
      <c r="K104" s="156">
        <v>0</v>
      </c>
    </row>
    <row r="105" spans="1:11" s="157" customFormat="1" ht="12" customHeight="1" x14ac:dyDescent="0.2">
      <c r="A105" s="291" t="s">
        <v>109</v>
      </c>
      <c r="B105" s="291"/>
      <c r="C105" s="156">
        <v>725</v>
      </c>
      <c r="D105" s="156">
        <v>438</v>
      </c>
      <c r="E105" s="156">
        <v>287</v>
      </c>
      <c r="F105" s="156">
        <v>139</v>
      </c>
      <c r="G105" s="156">
        <v>148</v>
      </c>
      <c r="H105" s="156">
        <v>0</v>
      </c>
      <c r="I105" s="156">
        <v>0</v>
      </c>
      <c r="J105" s="156">
        <v>0</v>
      </c>
      <c r="K105" s="156">
        <v>0</v>
      </c>
    </row>
    <row r="106" spans="1:11" s="157" customFormat="1" ht="12" customHeight="1" x14ac:dyDescent="0.2">
      <c r="A106" s="291" t="s">
        <v>110</v>
      </c>
      <c r="B106" s="291"/>
      <c r="C106" s="156">
        <v>812</v>
      </c>
      <c r="D106" s="156">
        <v>636</v>
      </c>
      <c r="E106" s="156">
        <v>176</v>
      </c>
      <c r="F106" s="156">
        <v>91</v>
      </c>
      <c r="G106" s="156">
        <v>82</v>
      </c>
      <c r="H106" s="156">
        <v>2</v>
      </c>
      <c r="I106" s="156">
        <v>1</v>
      </c>
      <c r="J106" s="156">
        <v>0</v>
      </c>
      <c r="K106" s="156">
        <v>0</v>
      </c>
    </row>
    <row r="107" spans="1:11" s="157" customFormat="1" ht="12" customHeight="1" x14ac:dyDescent="0.2">
      <c r="A107" s="291" t="s">
        <v>111</v>
      </c>
      <c r="B107" s="291"/>
      <c r="C107" s="156">
        <v>317</v>
      </c>
      <c r="D107" s="156">
        <v>279</v>
      </c>
      <c r="E107" s="156">
        <v>38</v>
      </c>
      <c r="F107" s="156">
        <v>29</v>
      </c>
      <c r="G107" s="156">
        <v>9</v>
      </c>
      <c r="H107" s="156">
        <v>0</v>
      </c>
      <c r="I107" s="156">
        <v>0</v>
      </c>
      <c r="J107" s="156">
        <v>0</v>
      </c>
      <c r="K107" s="156">
        <v>0</v>
      </c>
    </row>
    <row r="108" spans="1:11" s="157" customFormat="1" ht="12" customHeight="1" x14ac:dyDescent="0.2">
      <c r="A108" s="291" t="s">
        <v>112</v>
      </c>
      <c r="B108" s="291"/>
      <c r="C108" s="156">
        <v>829</v>
      </c>
      <c r="D108" s="156">
        <v>717</v>
      </c>
      <c r="E108" s="156">
        <v>112</v>
      </c>
      <c r="F108" s="156">
        <v>62</v>
      </c>
      <c r="G108" s="156">
        <v>49</v>
      </c>
      <c r="H108" s="156">
        <v>0</v>
      </c>
      <c r="I108" s="156">
        <v>1</v>
      </c>
      <c r="J108" s="156">
        <v>0</v>
      </c>
      <c r="K108" s="156">
        <v>0</v>
      </c>
    </row>
    <row r="109" spans="1:11" s="157" customFormat="1" ht="12" customHeight="1" x14ac:dyDescent="0.2">
      <c r="A109" s="291" t="s">
        <v>113</v>
      </c>
      <c r="B109" s="291"/>
      <c r="C109" s="156">
        <v>1471</v>
      </c>
      <c r="D109" s="156">
        <v>1202</v>
      </c>
      <c r="E109" s="156">
        <v>269</v>
      </c>
      <c r="F109" s="156">
        <v>163</v>
      </c>
      <c r="G109" s="156">
        <v>106</v>
      </c>
      <c r="H109" s="156">
        <v>0</v>
      </c>
      <c r="I109" s="156">
        <v>0</v>
      </c>
      <c r="J109" s="156">
        <v>0</v>
      </c>
      <c r="K109" s="156">
        <v>0</v>
      </c>
    </row>
    <row r="110" spans="1:11" s="157" customFormat="1" ht="12" customHeight="1" x14ac:dyDescent="0.2">
      <c r="A110" s="291" t="s">
        <v>114</v>
      </c>
      <c r="B110" s="291"/>
      <c r="C110" s="156">
        <v>4144</v>
      </c>
      <c r="D110" s="156">
        <v>1767</v>
      </c>
      <c r="E110" s="156">
        <v>2377</v>
      </c>
      <c r="F110" s="156">
        <v>1147</v>
      </c>
      <c r="G110" s="156">
        <v>1112</v>
      </c>
      <c r="H110" s="156">
        <v>19</v>
      </c>
      <c r="I110" s="156">
        <v>71</v>
      </c>
      <c r="J110" s="156">
        <v>26</v>
      </c>
      <c r="K110" s="156">
        <v>2</v>
      </c>
    </row>
    <row r="111" spans="1:11" s="157" customFormat="1" ht="12" customHeight="1" x14ac:dyDescent="0.2">
      <c r="A111" s="291" t="s">
        <v>115</v>
      </c>
      <c r="B111" s="291"/>
      <c r="C111" s="156">
        <v>1889</v>
      </c>
      <c r="D111" s="156">
        <v>1612</v>
      </c>
      <c r="E111" s="156">
        <v>277</v>
      </c>
      <c r="F111" s="156">
        <v>184</v>
      </c>
      <c r="G111" s="156">
        <v>90</v>
      </c>
      <c r="H111" s="156">
        <v>3</v>
      </c>
      <c r="I111" s="156">
        <v>0</v>
      </c>
      <c r="J111" s="156">
        <v>0</v>
      </c>
      <c r="K111" s="156">
        <v>0</v>
      </c>
    </row>
    <row r="112" spans="1:11" s="157" customFormat="1" ht="12" customHeight="1" x14ac:dyDescent="0.2">
      <c r="A112" s="291" t="s">
        <v>116</v>
      </c>
      <c r="B112" s="291"/>
      <c r="C112" s="156">
        <v>795</v>
      </c>
      <c r="D112" s="156">
        <v>539</v>
      </c>
      <c r="E112" s="156">
        <v>256</v>
      </c>
      <c r="F112" s="156">
        <v>138</v>
      </c>
      <c r="G112" s="156">
        <v>115</v>
      </c>
      <c r="H112" s="156">
        <v>1</v>
      </c>
      <c r="I112" s="156">
        <v>2</v>
      </c>
      <c r="J112" s="156">
        <v>0</v>
      </c>
      <c r="K112" s="156">
        <v>0</v>
      </c>
    </row>
    <row r="113" spans="1:11" s="157" customFormat="1" ht="12" customHeight="1" x14ac:dyDescent="0.2">
      <c r="A113" s="291" t="s">
        <v>117</v>
      </c>
      <c r="B113" s="291"/>
      <c r="C113" s="156">
        <v>1580</v>
      </c>
      <c r="D113" s="156">
        <v>1201</v>
      </c>
      <c r="E113" s="156">
        <v>379</v>
      </c>
      <c r="F113" s="156">
        <v>239</v>
      </c>
      <c r="G113" s="156">
        <v>139</v>
      </c>
      <c r="H113" s="156">
        <v>0</v>
      </c>
      <c r="I113" s="156">
        <v>1</v>
      </c>
      <c r="J113" s="156">
        <v>0</v>
      </c>
      <c r="K113" s="156">
        <v>0</v>
      </c>
    </row>
    <row r="114" spans="1:11" s="157" customFormat="1" ht="12" customHeight="1" x14ac:dyDescent="0.2">
      <c r="A114" s="291" t="s">
        <v>118</v>
      </c>
      <c r="B114" s="291"/>
      <c r="C114" s="156">
        <v>1364</v>
      </c>
      <c r="D114" s="156">
        <v>1085</v>
      </c>
      <c r="E114" s="156">
        <v>279</v>
      </c>
      <c r="F114" s="156">
        <v>179</v>
      </c>
      <c r="G114" s="156">
        <v>100</v>
      </c>
      <c r="H114" s="156">
        <v>0</v>
      </c>
      <c r="I114" s="156">
        <v>0</v>
      </c>
      <c r="J114" s="156">
        <v>0</v>
      </c>
      <c r="K114" s="156">
        <v>0</v>
      </c>
    </row>
    <row r="115" spans="1:11" s="157" customFormat="1" ht="12" customHeight="1" x14ac:dyDescent="0.2">
      <c r="A115" s="291" t="s">
        <v>120</v>
      </c>
      <c r="B115" s="291"/>
      <c r="C115" s="156">
        <v>838</v>
      </c>
      <c r="D115" s="156">
        <v>655</v>
      </c>
      <c r="E115" s="156">
        <v>183</v>
      </c>
      <c r="F115" s="156">
        <v>95</v>
      </c>
      <c r="G115" s="156">
        <v>83</v>
      </c>
      <c r="H115" s="156">
        <v>5</v>
      </c>
      <c r="I115" s="156">
        <v>0</v>
      </c>
      <c r="J115" s="156">
        <v>0</v>
      </c>
      <c r="K115" s="156">
        <v>0</v>
      </c>
    </row>
    <row r="116" spans="1:11" s="157" customFormat="1" ht="12" customHeight="1" x14ac:dyDescent="0.2">
      <c r="A116" s="291" t="s">
        <v>121</v>
      </c>
      <c r="B116" s="291"/>
      <c r="C116" s="156">
        <v>2230</v>
      </c>
      <c r="D116" s="156">
        <v>1486</v>
      </c>
      <c r="E116" s="156">
        <v>744</v>
      </c>
      <c r="F116" s="156">
        <v>442</v>
      </c>
      <c r="G116" s="156">
        <v>287</v>
      </c>
      <c r="H116" s="156">
        <v>10</v>
      </c>
      <c r="I116" s="156">
        <v>5</v>
      </c>
      <c r="J116" s="156">
        <v>0</v>
      </c>
      <c r="K116" s="156">
        <v>0</v>
      </c>
    </row>
    <row r="117" spans="1:11" s="157" customFormat="1" ht="12" customHeight="1" x14ac:dyDescent="0.2">
      <c r="A117" s="291" t="s">
        <v>122</v>
      </c>
      <c r="B117" s="291"/>
      <c r="C117" s="156">
        <v>682</v>
      </c>
      <c r="D117" s="156">
        <v>547</v>
      </c>
      <c r="E117" s="156">
        <v>135</v>
      </c>
      <c r="F117" s="156">
        <v>97</v>
      </c>
      <c r="G117" s="156">
        <v>37</v>
      </c>
      <c r="H117" s="156">
        <v>1</v>
      </c>
      <c r="I117" s="156">
        <v>0</v>
      </c>
      <c r="J117" s="156">
        <v>0</v>
      </c>
      <c r="K117" s="156">
        <v>0</v>
      </c>
    </row>
    <row r="118" spans="1:11" s="157" customFormat="1" ht="12" customHeight="1" x14ac:dyDescent="0.2">
      <c r="A118" s="291" t="s">
        <v>125</v>
      </c>
      <c r="B118" s="291"/>
      <c r="C118" s="156">
        <v>1779</v>
      </c>
      <c r="D118" s="156">
        <v>1183</v>
      </c>
      <c r="E118" s="156">
        <v>596</v>
      </c>
      <c r="F118" s="156">
        <v>251</v>
      </c>
      <c r="G118" s="156">
        <v>342</v>
      </c>
      <c r="H118" s="156">
        <v>1</v>
      </c>
      <c r="I118" s="156">
        <v>0</v>
      </c>
      <c r="J118" s="156">
        <v>2</v>
      </c>
      <c r="K118" s="156">
        <v>0</v>
      </c>
    </row>
    <row r="119" spans="1:11" s="157" customFormat="1" ht="12" customHeight="1" x14ac:dyDescent="0.2">
      <c r="A119" s="291" t="s">
        <v>126</v>
      </c>
      <c r="B119" s="291"/>
      <c r="C119" s="156">
        <v>3053</v>
      </c>
      <c r="D119" s="156">
        <v>2213</v>
      </c>
      <c r="E119" s="156">
        <v>840</v>
      </c>
      <c r="F119" s="156">
        <v>643</v>
      </c>
      <c r="G119" s="156">
        <v>183</v>
      </c>
      <c r="H119" s="156">
        <v>1</v>
      </c>
      <c r="I119" s="156">
        <v>13</v>
      </c>
      <c r="J119" s="156">
        <v>0</v>
      </c>
      <c r="K119" s="156">
        <v>0</v>
      </c>
    </row>
    <row r="120" spans="1:11" s="157" customFormat="1" ht="12" customHeight="1" x14ac:dyDescent="0.2">
      <c r="A120" s="291" t="s">
        <v>128</v>
      </c>
      <c r="B120" s="291"/>
      <c r="C120" s="156">
        <v>583</v>
      </c>
      <c r="D120" s="156">
        <v>485</v>
      </c>
      <c r="E120" s="156">
        <v>98</v>
      </c>
      <c r="F120" s="156">
        <v>65</v>
      </c>
      <c r="G120" s="156">
        <v>33</v>
      </c>
      <c r="H120" s="156">
        <v>0</v>
      </c>
      <c r="I120" s="156">
        <v>0</v>
      </c>
      <c r="J120" s="156">
        <v>0</v>
      </c>
      <c r="K120" s="156">
        <v>0</v>
      </c>
    </row>
    <row r="121" spans="1:11" s="157" customFormat="1" ht="12" customHeight="1" x14ac:dyDescent="0.2">
      <c r="A121" s="291" t="s">
        <v>129</v>
      </c>
      <c r="B121" s="291"/>
      <c r="C121" s="156">
        <v>1947</v>
      </c>
      <c r="D121" s="156">
        <v>1466</v>
      </c>
      <c r="E121" s="156">
        <v>481</v>
      </c>
      <c r="F121" s="156">
        <v>334</v>
      </c>
      <c r="G121" s="156">
        <v>143</v>
      </c>
      <c r="H121" s="156">
        <v>1</v>
      </c>
      <c r="I121" s="156">
        <v>2</v>
      </c>
      <c r="J121" s="156">
        <v>1</v>
      </c>
      <c r="K121" s="156">
        <v>0</v>
      </c>
    </row>
    <row r="122" spans="1:11" s="157" customFormat="1" ht="12" customHeight="1" x14ac:dyDescent="0.2">
      <c r="A122" s="296" t="s">
        <v>130</v>
      </c>
      <c r="B122" s="296"/>
      <c r="C122" s="163">
        <v>382</v>
      </c>
      <c r="D122" s="163">
        <v>212</v>
      </c>
      <c r="E122" s="163">
        <v>170</v>
      </c>
      <c r="F122" s="163">
        <v>87</v>
      </c>
      <c r="G122" s="163">
        <v>83</v>
      </c>
      <c r="H122" s="163">
        <v>0</v>
      </c>
      <c r="I122" s="163">
        <v>0</v>
      </c>
      <c r="J122" s="163">
        <v>0</v>
      </c>
      <c r="K122" s="163">
        <v>0</v>
      </c>
    </row>
    <row r="123" spans="1:11" s="157" customFormat="1" ht="12" customHeight="1" x14ac:dyDescent="0.2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</row>
    <row r="124" spans="1:11" s="157" customFormat="1" ht="12" customHeight="1" x14ac:dyDescent="0.2">
      <c r="A124" s="294" t="s">
        <v>131</v>
      </c>
      <c r="B124" s="294"/>
      <c r="C124" s="154">
        <v>64154</v>
      </c>
      <c r="D124" s="154">
        <v>48250</v>
      </c>
      <c r="E124" s="154">
        <v>15904</v>
      </c>
      <c r="F124" s="154">
        <v>10582</v>
      </c>
      <c r="G124" s="154">
        <v>4985</v>
      </c>
      <c r="H124" s="154">
        <v>119</v>
      </c>
      <c r="I124" s="154">
        <v>175</v>
      </c>
      <c r="J124" s="154">
        <v>43</v>
      </c>
      <c r="K124" s="154">
        <v>0</v>
      </c>
    </row>
    <row r="125" spans="1:11" s="157" customFormat="1" ht="12" customHeight="1" x14ac:dyDescent="0.2">
      <c r="A125" s="291" t="s">
        <v>132</v>
      </c>
      <c r="B125" s="291"/>
      <c r="C125" s="156">
        <v>5534</v>
      </c>
      <c r="D125" s="156">
        <v>3979</v>
      </c>
      <c r="E125" s="156">
        <v>1555</v>
      </c>
      <c r="F125" s="156">
        <v>1009</v>
      </c>
      <c r="G125" s="156">
        <v>520</v>
      </c>
      <c r="H125" s="156">
        <v>26</v>
      </c>
      <c r="I125" s="156">
        <v>0</v>
      </c>
      <c r="J125" s="156">
        <v>0</v>
      </c>
      <c r="K125" s="156">
        <v>0</v>
      </c>
    </row>
    <row r="126" spans="1:11" s="157" customFormat="1" ht="12" customHeight="1" x14ac:dyDescent="0.2">
      <c r="A126" s="291" t="s">
        <v>133</v>
      </c>
      <c r="B126" s="291"/>
      <c r="C126" s="156">
        <v>190</v>
      </c>
      <c r="D126" s="156">
        <v>182</v>
      </c>
      <c r="E126" s="156">
        <v>8</v>
      </c>
      <c r="F126" s="156">
        <v>6</v>
      </c>
      <c r="G126" s="156">
        <v>2</v>
      </c>
      <c r="H126" s="156">
        <v>0</v>
      </c>
      <c r="I126" s="156">
        <v>0</v>
      </c>
      <c r="J126" s="156">
        <v>0</v>
      </c>
      <c r="K126" s="156">
        <v>0</v>
      </c>
    </row>
    <row r="127" spans="1:11" s="157" customFormat="1" ht="12" customHeight="1" x14ac:dyDescent="0.2">
      <c r="A127" s="291" t="s">
        <v>134</v>
      </c>
      <c r="B127" s="291"/>
      <c r="C127" s="156">
        <v>488</v>
      </c>
      <c r="D127" s="156">
        <v>387</v>
      </c>
      <c r="E127" s="156">
        <v>101</v>
      </c>
      <c r="F127" s="156">
        <v>76</v>
      </c>
      <c r="G127" s="156">
        <v>25</v>
      </c>
      <c r="H127" s="156">
        <v>0</v>
      </c>
      <c r="I127" s="156">
        <v>0</v>
      </c>
      <c r="J127" s="156">
        <v>0</v>
      </c>
      <c r="K127" s="156">
        <v>0</v>
      </c>
    </row>
    <row r="128" spans="1:11" s="157" customFormat="1" ht="12" customHeight="1" x14ac:dyDescent="0.2">
      <c r="A128" s="291" t="s">
        <v>135</v>
      </c>
      <c r="B128" s="291"/>
      <c r="C128" s="156">
        <v>1758</v>
      </c>
      <c r="D128" s="156">
        <v>1368</v>
      </c>
      <c r="E128" s="156">
        <v>390</v>
      </c>
      <c r="F128" s="156">
        <v>231</v>
      </c>
      <c r="G128" s="156">
        <v>149</v>
      </c>
      <c r="H128" s="156">
        <v>4</v>
      </c>
      <c r="I128" s="156">
        <v>0</v>
      </c>
      <c r="J128" s="156">
        <v>6</v>
      </c>
      <c r="K128" s="156">
        <v>0</v>
      </c>
    </row>
    <row r="129" spans="1:11" s="157" customFormat="1" ht="12" customHeight="1" x14ac:dyDescent="0.2">
      <c r="A129" s="291" t="s">
        <v>138</v>
      </c>
      <c r="B129" s="291"/>
      <c r="C129" s="156">
        <v>1151</v>
      </c>
      <c r="D129" s="156">
        <v>1038</v>
      </c>
      <c r="E129" s="156">
        <v>113</v>
      </c>
      <c r="F129" s="156">
        <v>87</v>
      </c>
      <c r="G129" s="156">
        <v>26</v>
      </c>
      <c r="H129" s="156">
        <v>0</v>
      </c>
      <c r="I129" s="156">
        <v>0</v>
      </c>
      <c r="J129" s="156">
        <v>0</v>
      </c>
      <c r="K129" s="156">
        <v>0</v>
      </c>
    </row>
    <row r="130" spans="1:11" s="157" customFormat="1" ht="12" customHeight="1" x14ac:dyDescent="0.2">
      <c r="A130" s="291" t="s">
        <v>140</v>
      </c>
      <c r="B130" s="291"/>
      <c r="C130" s="156">
        <v>12</v>
      </c>
      <c r="D130" s="156">
        <v>11</v>
      </c>
      <c r="E130" s="156">
        <v>1</v>
      </c>
      <c r="F130" s="156">
        <v>1</v>
      </c>
      <c r="G130" s="156">
        <v>0</v>
      </c>
      <c r="H130" s="156">
        <v>0</v>
      </c>
      <c r="I130" s="156">
        <v>0</v>
      </c>
      <c r="J130" s="156">
        <v>0</v>
      </c>
      <c r="K130" s="156">
        <v>0</v>
      </c>
    </row>
    <row r="131" spans="1:11" s="157" customFormat="1" ht="12" customHeight="1" x14ac:dyDescent="0.2">
      <c r="A131" s="291" t="s">
        <v>141</v>
      </c>
      <c r="B131" s="291"/>
      <c r="C131" s="156">
        <v>2877</v>
      </c>
      <c r="D131" s="156">
        <v>2465</v>
      </c>
      <c r="E131" s="156">
        <v>412</v>
      </c>
      <c r="F131" s="156">
        <v>304</v>
      </c>
      <c r="G131" s="156">
        <v>98</v>
      </c>
      <c r="H131" s="156">
        <v>3</v>
      </c>
      <c r="I131" s="156">
        <v>1</v>
      </c>
      <c r="J131" s="156">
        <v>6</v>
      </c>
      <c r="K131" s="156">
        <v>0</v>
      </c>
    </row>
    <row r="132" spans="1:11" s="157" customFormat="1" ht="12" customHeight="1" x14ac:dyDescent="0.2">
      <c r="A132" s="291" t="s">
        <v>142</v>
      </c>
      <c r="B132" s="291"/>
      <c r="C132" s="156">
        <v>107</v>
      </c>
      <c r="D132" s="156">
        <v>104</v>
      </c>
      <c r="E132" s="156">
        <v>3</v>
      </c>
      <c r="F132" s="156">
        <v>2</v>
      </c>
      <c r="G132" s="156">
        <v>1</v>
      </c>
      <c r="H132" s="156">
        <v>0</v>
      </c>
      <c r="I132" s="156">
        <v>0</v>
      </c>
      <c r="J132" s="156">
        <v>0</v>
      </c>
      <c r="K132" s="156">
        <v>0</v>
      </c>
    </row>
    <row r="133" spans="1:11" s="157" customFormat="1" ht="12" customHeight="1" x14ac:dyDescent="0.2">
      <c r="A133" s="291" t="s">
        <v>337</v>
      </c>
      <c r="B133" s="291"/>
      <c r="C133" s="156">
        <v>5137</v>
      </c>
      <c r="D133" s="156">
        <v>4053</v>
      </c>
      <c r="E133" s="156">
        <v>1084</v>
      </c>
      <c r="F133" s="156">
        <v>708</v>
      </c>
      <c r="G133" s="156">
        <v>365</v>
      </c>
      <c r="H133" s="156">
        <v>5</v>
      </c>
      <c r="I133" s="156">
        <v>5</v>
      </c>
      <c r="J133" s="156">
        <v>1</v>
      </c>
      <c r="K133" s="156">
        <v>0</v>
      </c>
    </row>
    <row r="134" spans="1:11" s="157" customFormat="1" ht="12" customHeight="1" x14ac:dyDescent="0.2">
      <c r="A134" s="291" t="s">
        <v>144</v>
      </c>
      <c r="B134" s="291"/>
      <c r="C134" s="156">
        <v>4673</v>
      </c>
      <c r="D134" s="156">
        <v>3766</v>
      </c>
      <c r="E134" s="156">
        <v>907</v>
      </c>
      <c r="F134" s="156">
        <v>665</v>
      </c>
      <c r="G134" s="156">
        <v>237</v>
      </c>
      <c r="H134" s="156">
        <v>5</v>
      </c>
      <c r="I134" s="156">
        <v>0</v>
      </c>
      <c r="J134" s="156">
        <v>0</v>
      </c>
      <c r="K134" s="156">
        <v>0</v>
      </c>
    </row>
    <row r="135" spans="1:11" s="157" customFormat="1" ht="12" customHeight="1" x14ac:dyDescent="0.2">
      <c r="A135" s="291" t="s">
        <v>148</v>
      </c>
      <c r="B135" s="291"/>
      <c r="C135" s="156">
        <v>1329</v>
      </c>
      <c r="D135" s="156">
        <v>1017</v>
      </c>
      <c r="E135" s="156">
        <v>312</v>
      </c>
      <c r="F135" s="156">
        <v>176</v>
      </c>
      <c r="G135" s="156">
        <v>103</v>
      </c>
      <c r="H135" s="156">
        <v>1</v>
      </c>
      <c r="I135" s="156">
        <v>32</v>
      </c>
      <c r="J135" s="156">
        <v>0</v>
      </c>
      <c r="K135" s="156">
        <v>0</v>
      </c>
    </row>
    <row r="136" spans="1:11" s="157" customFormat="1" ht="12" customHeight="1" x14ac:dyDescent="0.2">
      <c r="A136" s="291" t="s">
        <v>149</v>
      </c>
      <c r="B136" s="291"/>
      <c r="C136" s="156">
        <v>16012</v>
      </c>
      <c r="D136" s="156">
        <v>10462</v>
      </c>
      <c r="E136" s="156">
        <v>5550</v>
      </c>
      <c r="F136" s="156">
        <v>3687</v>
      </c>
      <c r="G136" s="156">
        <v>1723</v>
      </c>
      <c r="H136" s="156">
        <v>42</v>
      </c>
      <c r="I136" s="156">
        <v>80</v>
      </c>
      <c r="J136" s="156">
        <v>18</v>
      </c>
      <c r="K136" s="156">
        <v>0</v>
      </c>
    </row>
    <row r="137" spans="1:11" s="157" customFormat="1" ht="12" customHeight="1" x14ac:dyDescent="0.2">
      <c r="A137" s="291" t="s">
        <v>150</v>
      </c>
      <c r="B137" s="291"/>
      <c r="C137" s="156">
        <v>6622</v>
      </c>
      <c r="D137" s="156">
        <v>5141</v>
      </c>
      <c r="E137" s="156">
        <v>1481</v>
      </c>
      <c r="F137" s="156">
        <v>1032</v>
      </c>
      <c r="G137" s="156">
        <v>421</v>
      </c>
      <c r="H137" s="156">
        <v>14</v>
      </c>
      <c r="I137" s="156">
        <v>10</v>
      </c>
      <c r="J137" s="156">
        <v>4</v>
      </c>
      <c r="K137" s="156">
        <v>0</v>
      </c>
    </row>
    <row r="138" spans="1:11" s="157" customFormat="1" ht="12" customHeight="1" x14ac:dyDescent="0.2">
      <c r="A138" s="291" t="s">
        <v>152</v>
      </c>
      <c r="B138" s="291"/>
      <c r="C138" s="156">
        <v>216</v>
      </c>
      <c r="D138" s="156">
        <v>198</v>
      </c>
      <c r="E138" s="156">
        <v>18</v>
      </c>
      <c r="F138" s="156">
        <v>11</v>
      </c>
      <c r="G138" s="156">
        <v>7</v>
      </c>
      <c r="H138" s="156">
        <v>0</v>
      </c>
      <c r="I138" s="156">
        <v>0</v>
      </c>
      <c r="J138" s="156">
        <v>0</v>
      </c>
      <c r="K138" s="156">
        <v>0</v>
      </c>
    </row>
    <row r="139" spans="1:11" s="157" customFormat="1" ht="12" customHeight="1" x14ac:dyDescent="0.2">
      <c r="A139" s="291" t="s">
        <v>153</v>
      </c>
      <c r="B139" s="291"/>
      <c r="C139" s="156">
        <v>7226</v>
      </c>
      <c r="D139" s="156">
        <v>5532</v>
      </c>
      <c r="E139" s="156">
        <v>1694</v>
      </c>
      <c r="F139" s="156">
        <v>1183</v>
      </c>
      <c r="G139" s="156">
        <v>497</v>
      </c>
      <c r="H139" s="156">
        <v>5</v>
      </c>
      <c r="I139" s="156">
        <v>9</v>
      </c>
      <c r="J139" s="156">
        <v>0</v>
      </c>
      <c r="K139" s="156">
        <v>0</v>
      </c>
    </row>
    <row r="140" spans="1:11" s="157" customFormat="1" ht="12" customHeight="1" x14ac:dyDescent="0.2">
      <c r="A140" s="291" t="s">
        <v>155</v>
      </c>
      <c r="B140" s="291"/>
      <c r="C140" s="156">
        <v>2713</v>
      </c>
      <c r="D140" s="156">
        <v>1944</v>
      </c>
      <c r="E140" s="156">
        <v>769</v>
      </c>
      <c r="F140" s="156">
        <v>413</v>
      </c>
      <c r="G140" s="156">
        <v>329</v>
      </c>
      <c r="H140" s="156">
        <v>6</v>
      </c>
      <c r="I140" s="156">
        <v>15</v>
      </c>
      <c r="J140" s="156">
        <v>6</v>
      </c>
      <c r="K140" s="156">
        <v>0</v>
      </c>
    </row>
    <row r="141" spans="1:11" s="157" customFormat="1" ht="12" customHeight="1" x14ac:dyDescent="0.2">
      <c r="A141" s="291" t="s">
        <v>156</v>
      </c>
      <c r="B141" s="291"/>
      <c r="C141" s="156">
        <v>693</v>
      </c>
      <c r="D141" s="156">
        <v>641</v>
      </c>
      <c r="E141" s="156">
        <v>52</v>
      </c>
      <c r="F141" s="156">
        <v>34</v>
      </c>
      <c r="G141" s="156">
        <v>18</v>
      </c>
      <c r="H141" s="156">
        <v>0</v>
      </c>
      <c r="I141" s="156">
        <v>0</v>
      </c>
      <c r="J141" s="156">
        <v>0</v>
      </c>
      <c r="K141" s="156">
        <v>0</v>
      </c>
    </row>
    <row r="142" spans="1:11" s="157" customFormat="1" ht="12" customHeight="1" x14ac:dyDescent="0.2">
      <c r="A142" s="291" t="s">
        <v>157</v>
      </c>
      <c r="B142" s="291"/>
      <c r="C142" s="156">
        <v>735</v>
      </c>
      <c r="D142" s="156">
        <v>590</v>
      </c>
      <c r="E142" s="156">
        <v>145</v>
      </c>
      <c r="F142" s="156">
        <v>96</v>
      </c>
      <c r="G142" s="156">
        <v>49</v>
      </c>
      <c r="H142" s="156">
        <v>0</v>
      </c>
      <c r="I142" s="156">
        <v>0</v>
      </c>
      <c r="J142" s="156">
        <v>0</v>
      </c>
      <c r="K142" s="156">
        <v>0</v>
      </c>
    </row>
    <row r="143" spans="1:11" s="157" customFormat="1" ht="12" customHeight="1" x14ac:dyDescent="0.2">
      <c r="A143" s="291" t="s">
        <v>159</v>
      </c>
      <c r="B143" s="291"/>
      <c r="C143" s="156">
        <v>608</v>
      </c>
      <c r="D143" s="156">
        <v>453</v>
      </c>
      <c r="E143" s="156">
        <v>155</v>
      </c>
      <c r="F143" s="156">
        <v>107</v>
      </c>
      <c r="G143" s="156">
        <v>47</v>
      </c>
      <c r="H143" s="156">
        <v>1</v>
      </c>
      <c r="I143" s="156">
        <v>0</v>
      </c>
      <c r="J143" s="156">
        <v>0</v>
      </c>
      <c r="K143" s="156">
        <v>0</v>
      </c>
    </row>
    <row r="144" spans="1:11" s="157" customFormat="1" ht="12" customHeight="1" x14ac:dyDescent="0.2">
      <c r="A144" s="291" t="s">
        <v>162</v>
      </c>
      <c r="B144" s="291"/>
      <c r="C144" s="156">
        <v>88</v>
      </c>
      <c r="D144" s="156">
        <v>81</v>
      </c>
      <c r="E144" s="156">
        <v>7</v>
      </c>
      <c r="F144" s="156">
        <v>4</v>
      </c>
      <c r="G144" s="156">
        <v>3</v>
      </c>
      <c r="H144" s="156">
        <v>0</v>
      </c>
      <c r="I144" s="156">
        <v>0</v>
      </c>
      <c r="J144" s="156">
        <v>0</v>
      </c>
      <c r="K144" s="156">
        <v>0</v>
      </c>
    </row>
    <row r="145" spans="1:11" s="157" customFormat="1" ht="12" customHeight="1" x14ac:dyDescent="0.2">
      <c r="A145" s="291" t="s">
        <v>164</v>
      </c>
      <c r="B145" s="291"/>
      <c r="C145" s="156">
        <v>3108</v>
      </c>
      <c r="D145" s="156">
        <v>2308</v>
      </c>
      <c r="E145" s="156">
        <v>800</v>
      </c>
      <c r="F145" s="156">
        <v>530</v>
      </c>
      <c r="G145" s="156">
        <v>238</v>
      </c>
      <c r="H145" s="156">
        <v>7</v>
      </c>
      <c r="I145" s="156">
        <v>23</v>
      </c>
      <c r="J145" s="156">
        <v>2</v>
      </c>
      <c r="K145" s="156">
        <v>0</v>
      </c>
    </row>
    <row r="146" spans="1:11" s="157" customFormat="1" ht="12" customHeight="1" x14ac:dyDescent="0.2">
      <c r="A146" s="291" t="s">
        <v>348</v>
      </c>
      <c r="B146" s="291"/>
      <c r="C146" s="156">
        <v>2598</v>
      </c>
      <c r="D146" s="156">
        <v>2280</v>
      </c>
      <c r="E146" s="156">
        <v>318</v>
      </c>
      <c r="F146" s="156">
        <v>202</v>
      </c>
      <c r="G146" s="156">
        <v>116</v>
      </c>
      <c r="H146" s="156">
        <v>0</v>
      </c>
      <c r="I146" s="156">
        <v>0</v>
      </c>
      <c r="J146" s="156">
        <v>0</v>
      </c>
      <c r="K146" s="156">
        <v>0</v>
      </c>
    </row>
    <row r="147" spans="1:11" s="157" customFormat="1" ht="12" customHeight="1" x14ac:dyDescent="0.2">
      <c r="A147" s="293" t="s">
        <v>168</v>
      </c>
      <c r="B147" s="293"/>
      <c r="C147" s="163">
        <v>279</v>
      </c>
      <c r="D147" s="163">
        <v>250</v>
      </c>
      <c r="E147" s="163">
        <v>29</v>
      </c>
      <c r="F147" s="163">
        <v>18</v>
      </c>
      <c r="G147" s="163">
        <v>11</v>
      </c>
      <c r="H147" s="163">
        <v>0</v>
      </c>
      <c r="I147" s="163">
        <v>0</v>
      </c>
      <c r="J147" s="163">
        <v>0</v>
      </c>
      <c r="K147" s="163">
        <v>0</v>
      </c>
    </row>
    <row r="148" spans="1:11" s="157" customFormat="1" ht="12" customHeight="1" x14ac:dyDescent="0.2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</row>
    <row r="149" spans="1:11" s="157" customFormat="1" ht="12" customHeight="1" x14ac:dyDescent="0.2">
      <c r="A149" s="294" t="s">
        <v>169</v>
      </c>
      <c r="B149" s="294"/>
      <c r="C149" s="154">
        <v>5968</v>
      </c>
      <c r="D149" s="154">
        <v>5301</v>
      </c>
      <c r="E149" s="154">
        <v>667</v>
      </c>
      <c r="F149" s="154">
        <v>442</v>
      </c>
      <c r="G149" s="154">
        <v>217</v>
      </c>
      <c r="H149" s="154">
        <v>2</v>
      </c>
      <c r="I149" s="154">
        <v>1</v>
      </c>
      <c r="J149" s="154">
        <v>5</v>
      </c>
      <c r="K149" s="154">
        <v>0</v>
      </c>
    </row>
    <row r="150" spans="1:11" s="157" customFormat="1" ht="12" customHeight="1" x14ac:dyDescent="0.2">
      <c r="A150" s="291" t="s">
        <v>170</v>
      </c>
      <c r="B150" s="291"/>
      <c r="C150" s="156">
        <v>1479</v>
      </c>
      <c r="D150" s="156">
        <v>1336</v>
      </c>
      <c r="E150" s="156">
        <v>143</v>
      </c>
      <c r="F150" s="156">
        <v>97</v>
      </c>
      <c r="G150" s="156">
        <v>45</v>
      </c>
      <c r="H150" s="156">
        <v>0</v>
      </c>
      <c r="I150" s="156">
        <v>1</v>
      </c>
      <c r="J150" s="156">
        <v>0</v>
      </c>
      <c r="K150" s="156">
        <v>0</v>
      </c>
    </row>
    <row r="151" spans="1:11" s="157" customFormat="1" ht="12" customHeight="1" x14ac:dyDescent="0.2">
      <c r="A151" s="291" t="s">
        <v>171</v>
      </c>
      <c r="B151" s="291"/>
      <c r="C151" s="156">
        <v>50</v>
      </c>
      <c r="D151" s="156">
        <v>45</v>
      </c>
      <c r="E151" s="156">
        <v>5</v>
      </c>
      <c r="F151" s="156">
        <v>2</v>
      </c>
      <c r="G151" s="156">
        <v>3</v>
      </c>
      <c r="H151" s="156">
        <v>0</v>
      </c>
      <c r="I151" s="156">
        <v>0</v>
      </c>
      <c r="J151" s="156">
        <v>0</v>
      </c>
      <c r="K151" s="156">
        <v>0</v>
      </c>
    </row>
    <row r="152" spans="1:11" s="157" customFormat="1" ht="12" customHeight="1" x14ac:dyDescent="0.2">
      <c r="A152" s="291" t="s">
        <v>172</v>
      </c>
      <c r="B152" s="291"/>
      <c r="C152" s="156">
        <v>53</v>
      </c>
      <c r="D152" s="156">
        <v>42</v>
      </c>
      <c r="E152" s="156">
        <v>11</v>
      </c>
      <c r="F152" s="156">
        <v>6</v>
      </c>
      <c r="G152" s="156">
        <v>5</v>
      </c>
      <c r="H152" s="156">
        <v>0</v>
      </c>
      <c r="I152" s="156">
        <v>0</v>
      </c>
      <c r="J152" s="156">
        <v>0</v>
      </c>
      <c r="K152" s="156">
        <v>0</v>
      </c>
    </row>
    <row r="153" spans="1:11" s="157" customFormat="1" ht="12" customHeight="1" x14ac:dyDescent="0.2">
      <c r="A153" s="291" t="s">
        <v>173</v>
      </c>
      <c r="B153" s="291"/>
      <c r="C153" s="156">
        <v>49</v>
      </c>
      <c r="D153" s="156">
        <v>43</v>
      </c>
      <c r="E153" s="156">
        <v>6</v>
      </c>
      <c r="F153" s="156">
        <v>3</v>
      </c>
      <c r="G153" s="156">
        <v>3</v>
      </c>
      <c r="H153" s="156">
        <v>0</v>
      </c>
      <c r="I153" s="156">
        <v>0</v>
      </c>
      <c r="J153" s="156">
        <v>0</v>
      </c>
      <c r="K153" s="156">
        <v>0</v>
      </c>
    </row>
    <row r="154" spans="1:11" s="157" customFormat="1" ht="12" customHeight="1" x14ac:dyDescent="0.2">
      <c r="A154" s="291" t="s">
        <v>174</v>
      </c>
      <c r="B154" s="291"/>
      <c r="C154" s="156">
        <v>1177</v>
      </c>
      <c r="D154" s="156">
        <v>994</v>
      </c>
      <c r="E154" s="156">
        <v>183</v>
      </c>
      <c r="F154" s="156">
        <v>126</v>
      </c>
      <c r="G154" s="156">
        <v>57</v>
      </c>
      <c r="H154" s="156">
        <v>0</v>
      </c>
      <c r="I154" s="156">
        <v>0</v>
      </c>
      <c r="J154" s="156">
        <v>0</v>
      </c>
      <c r="K154" s="156">
        <v>0</v>
      </c>
    </row>
    <row r="155" spans="1:11" s="157" customFormat="1" ht="12" customHeight="1" x14ac:dyDescent="0.2">
      <c r="A155" s="291" t="s">
        <v>175</v>
      </c>
      <c r="B155" s="291"/>
      <c r="C155" s="156">
        <v>526</v>
      </c>
      <c r="D155" s="156">
        <v>491</v>
      </c>
      <c r="E155" s="156">
        <v>35</v>
      </c>
      <c r="F155" s="156">
        <v>17</v>
      </c>
      <c r="G155" s="156">
        <v>11</v>
      </c>
      <c r="H155" s="156">
        <v>2</v>
      </c>
      <c r="I155" s="156">
        <v>0</v>
      </c>
      <c r="J155" s="156">
        <v>5</v>
      </c>
      <c r="K155" s="156">
        <v>0</v>
      </c>
    </row>
    <row r="156" spans="1:11" s="157" customFormat="1" ht="12" customHeight="1" x14ac:dyDescent="0.2">
      <c r="A156" s="291" t="s">
        <v>176</v>
      </c>
      <c r="B156" s="291"/>
      <c r="C156" s="156">
        <v>48</v>
      </c>
      <c r="D156" s="156">
        <v>42</v>
      </c>
      <c r="E156" s="156">
        <v>6</v>
      </c>
      <c r="F156" s="156">
        <v>5</v>
      </c>
      <c r="G156" s="156">
        <v>1</v>
      </c>
      <c r="H156" s="156">
        <v>0</v>
      </c>
      <c r="I156" s="156">
        <v>0</v>
      </c>
      <c r="J156" s="156">
        <v>0</v>
      </c>
      <c r="K156" s="156">
        <v>0</v>
      </c>
    </row>
    <row r="157" spans="1:11" s="157" customFormat="1" ht="12" customHeight="1" x14ac:dyDescent="0.2">
      <c r="A157" s="293" t="s">
        <v>177</v>
      </c>
      <c r="B157" s="293"/>
      <c r="C157" s="163">
        <v>2586</v>
      </c>
      <c r="D157" s="163">
        <v>2308</v>
      </c>
      <c r="E157" s="163">
        <v>278</v>
      </c>
      <c r="F157" s="163">
        <v>186</v>
      </c>
      <c r="G157" s="163">
        <v>92</v>
      </c>
      <c r="H157" s="163">
        <v>0</v>
      </c>
      <c r="I157" s="163">
        <v>0</v>
      </c>
      <c r="J157" s="163">
        <v>0</v>
      </c>
      <c r="K157" s="163">
        <v>0</v>
      </c>
    </row>
    <row r="158" spans="1:11" s="157" customFormat="1" ht="12" customHeight="1" x14ac:dyDescent="0.2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</row>
    <row r="159" spans="1:11" s="157" customFormat="1" ht="12" customHeight="1" x14ac:dyDescent="0.2">
      <c r="A159" s="294" t="s">
        <v>178</v>
      </c>
      <c r="B159" s="294"/>
      <c r="C159" s="154">
        <v>55513</v>
      </c>
      <c r="D159" s="154">
        <v>40966</v>
      </c>
      <c r="E159" s="154">
        <v>14547</v>
      </c>
      <c r="F159" s="154">
        <v>9962</v>
      </c>
      <c r="G159" s="154">
        <v>4132</v>
      </c>
      <c r="H159" s="154">
        <v>86</v>
      </c>
      <c r="I159" s="154">
        <v>276</v>
      </c>
      <c r="J159" s="154">
        <v>91</v>
      </c>
      <c r="K159" s="154">
        <v>0</v>
      </c>
    </row>
    <row r="160" spans="1:11" s="157" customFormat="1" ht="12" customHeight="1" x14ac:dyDescent="0.2">
      <c r="A160" s="291" t="s">
        <v>179</v>
      </c>
      <c r="B160" s="291"/>
      <c r="C160" s="156">
        <v>5039</v>
      </c>
      <c r="D160" s="156">
        <v>3575</v>
      </c>
      <c r="E160" s="156">
        <v>1464</v>
      </c>
      <c r="F160" s="156">
        <v>1019</v>
      </c>
      <c r="G160" s="156">
        <v>400</v>
      </c>
      <c r="H160" s="156">
        <v>4</v>
      </c>
      <c r="I160" s="156">
        <v>38</v>
      </c>
      <c r="J160" s="156">
        <v>3</v>
      </c>
      <c r="K160" s="156">
        <v>0</v>
      </c>
    </row>
    <row r="161" spans="1:11" s="157" customFormat="1" ht="12" customHeight="1" x14ac:dyDescent="0.2">
      <c r="A161" s="291" t="s">
        <v>180</v>
      </c>
      <c r="B161" s="291"/>
      <c r="C161" s="156">
        <v>43181</v>
      </c>
      <c r="D161" s="156">
        <v>32232</v>
      </c>
      <c r="E161" s="156">
        <v>10949</v>
      </c>
      <c r="F161" s="156">
        <v>7514</v>
      </c>
      <c r="G161" s="156">
        <v>3123</v>
      </c>
      <c r="H161" s="156">
        <v>63</v>
      </c>
      <c r="I161" s="156">
        <v>179</v>
      </c>
      <c r="J161" s="156">
        <v>70</v>
      </c>
      <c r="K161" s="156">
        <v>0</v>
      </c>
    </row>
    <row r="162" spans="1:11" s="157" customFormat="1" ht="12" customHeight="1" x14ac:dyDescent="0.2">
      <c r="A162" s="291" t="s">
        <v>181</v>
      </c>
      <c r="B162" s="291"/>
      <c r="C162" s="156">
        <v>2932</v>
      </c>
      <c r="D162" s="156">
        <v>1736</v>
      </c>
      <c r="E162" s="156">
        <v>1196</v>
      </c>
      <c r="F162" s="156">
        <v>742</v>
      </c>
      <c r="G162" s="156">
        <v>403</v>
      </c>
      <c r="H162" s="156">
        <v>17</v>
      </c>
      <c r="I162" s="156">
        <v>28</v>
      </c>
      <c r="J162" s="156">
        <v>6</v>
      </c>
      <c r="K162" s="156">
        <v>0</v>
      </c>
    </row>
    <row r="163" spans="1:11" s="157" customFormat="1" ht="12" customHeight="1" x14ac:dyDescent="0.2">
      <c r="A163" s="291" t="s">
        <v>187</v>
      </c>
      <c r="B163" s="291"/>
      <c r="C163" s="156">
        <v>378</v>
      </c>
      <c r="D163" s="156">
        <v>350</v>
      </c>
      <c r="E163" s="156">
        <v>28</v>
      </c>
      <c r="F163" s="156">
        <v>25</v>
      </c>
      <c r="G163" s="156">
        <v>3</v>
      </c>
      <c r="H163" s="156">
        <v>0</v>
      </c>
      <c r="I163" s="156">
        <v>0</v>
      </c>
      <c r="J163" s="156">
        <v>0</v>
      </c>
      <c r="K163" s="156">
        <v>0</v>
      </c>
    </row>
    <row r="164" spans="1:11" s="157" customFormat="1" ht="12" customHeight="1" x14ac:dyDescent="0.2">
      <c r="A164" s="291" t="s">
        <v>188</v>
      </c>
      <c r="B164" s="291"/>
      <c r="C164" s="156">
        <v>1470</v>
      </c>
      <c r="D164" s="156">
        <v>1235</v>
      </c>
      <c r="E164" s="156">
        <v>235</v>
      </c>
      <c r="F164" s="156">
        <v>150</v>
      </c>
      <c r="G164" s="156">
        <v>71</v>
      </c>
      <c r="H164" s="156">
        <v>1</v>
      </c>
      <c r="I164" s="156">
        <v>8</v>
      </c>
      <c r="J164" s="156">
        <v>5</v>
      </c>
      <c r="K164" s="156">
        <v>0</v>
      </c>
    </row>
    <row r="165" spans="1:11" s="157" customFormat="1" ht="12" customHeight="1" x14ac:dyDescent="0.2">
      <c r="A165" s="296" t="s">
        <v>194</v>
      </c>
      <c r="B165" s="296"/>
      <c r="C165" s="163">
        <v>2513</v>
      </c>
      <c r="D165" s="163">
        <v>1838</v>
      </c>
      <c r="E165" s="163">
        <v>675</v>
      </c>
      <c r="F165" s="163">
        <v>512</v>
      </c>
      <c r="G165" s="163">
        <v>132</v>
      </c>
      <c r="H165" s="163">
        <v>1</v>
      </c>
      <c r="I165" s="163">
        <v>23</v>
      </c>
      <c r="J165" s="163">
        <v>7</v>
      </c>
      <c r="K165" s="163">
        <v>0</v>
      </c>
    </row>
    <row r="166" spans="1:11" s="157" customFormat="1" ht="12" customHeight="1" x14ac:dyDescent="0.2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</row>
    <row r="167" spans="1:11" s="157" customFormat="1" ht="12" customHeight="1" x14ac:dyDescent="0.2">
      <c r="A167" s="294" t="s">
        <v>197</v>
      </c>
      <c r="B167" s="294"/>
      <c r="C167" s="154">
        <v>10318</v>
      </c>
      <c r="D167" s="154">
        <v>6862</v>
      </c>
      <c r="E167" s="154">
        <v>3456</v>
      </c>
      <c r="F167" s="154">
        <v>2536</v>
      </c>
      <c r="G167" s="154">
        <v>838</v>
      </c>
      <c r="H167" s="154">
        <v>17</v>
      </c>
      <c r="I167" s="154">
        <v>60</v>
      </c>
      <c r="J167" s="154">
        <v>5</v>
      </c>
      <c r="K167" s="154">
        <v>0</v>
      </c>
    </row>
    <row r="168" spans="1:11" s="157" customFormat="1" ht="12" customHeight="1" x14ac:dyDescent="0.2">
      <c r="A168" s="291" t="s">
        <v>198</v>
      </c>
      <c r="B168" s="291"/>
      <c r="C168" s="156">
        <v>6126</v>
      </c>
      <c r="D168" s="156">
        <v>3981</v>
      </c>
      <c r="E168" s="156">
        <v>2145</v>
      </c>
      <c r="F168" s="156">
        <v>1572</v>
      </c>
      <c r="G168" s="156">
        <v>503</v>
      </c>
      <c r="H168" s="156">
        <v>5</v>
      </c>
      <c r="I168" s="156">
        <v>60</v>
      </c>
      <c r="J168" s="156">
        <v>5</v>
      </c>
      <c r="K168" s="156">
        <v>0</v>
      </c>
    </row>
    <row r="169" spans="1:11" s="157" customFormat="1" ht="12" customHeight="1" x14ac:dyDescent="0.2">
      <c r="A169" s="296" t="s">
        <v>371</v>
      </c>
      <c r="B169" s="296"/>
      <c r="C169" s="163">
        <v>4192</v>
      </c>
      <c r="D169" s="163">
        <v>2881</v>
      </c>
      <c r="E169" s="163">
        <v>1311</v>
      </c>
      <c r="F169" s="163">
        <v>964</v>
      </c>
      <c r="G169" s="163">
        <v>335</v>
      </c>
      <c r="H169" s="163">
        <v>12</v>
      </c>
      <c r="I169" s="163">
        <v>0</v>
      </c>
      <c r="J169" s="163">
        <v>0</v>
      </c>
      <c r="K169" s="163">
        <v>0</v>
      </c>
    </row>
    <row r="170" spans="1:11" s="157" customFormat="1" ht="12" customHeight="1" x14ac:dyDescent="0.2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</row>
    <row r="171" spans="1:11" s="157" customFormat="1" ht="12" customHeight="1" x14ac:dyDescent="0.2">
      <c r="A171" s="294" t="s">
        <v>204</v>
      </c>
      <c r="B171" s="294"/>
      <c r="C171" s="154">
        <v>5747</v>
      </c>
      <c r="D171" s="154">
        <v>5193</v>
      </c>
      <c r="E171" s="154">
        <v>554</v>
      </c>
      <c r="F171" s="154">
        <v>338</v>
      </c>
      <c r="G171" s="154">
        <v>210</v>
      </c>
      <c r="H171" s="154">
        <v>4</v>
      </c>
      <c r="I171" s="154">
        <v>0</v>
      </c>
      <c r="J171" s="154">
        <v>2</v>
      </c>
      <c r="K171" s="154">
        <v>0</v>
      </c>
    </row>
    <row r="172" spans="1:11" s="157" customFormat="1" ht="12" customHeight="1" x14ac:dyDescent="0.2">
      <c r="A172" s="291" t="s">
        <v>205</v>
      </c>
      <c r="B172" s="291"/>
      <c r="C172" s="156">
        <v>1850</v>
      </c>
      <c r="D172" s="156">
        <v>1626</v>
      </c>
      <c r="E172" s="156">
        <v>224</v>
      </c>
      <c r="F172" s="156">
        <v>151</v>
      </c>
      <c r="G172" s="156">
        <v>71</v>
      </c>
      <c r="H172" s="156">
        <v>2</v>
      </c>
      <c r="I172" s="156">
        <v>0</v>
      </c>
      <c r="J172" s="156">
        <v>0</v>
      </c>
      <c r="K172" s="156">
        <v>0</v>
      </c>
    </row>
    <row r="173" spans="1:11" s="157" customFormat="1" ht="12" customHeight="1" x14ac:dyDescent="0.2">
      <c r="A173" s="291" t="s">
        <v>206</v>
      </c>
      <c r="B173" s="291"/>
      <c r="C173" s="156">
        <v>1826</v>
      </c>
      <c r="D173" s="156">
        <v>1675</v>
      </c>
      <c r="E173" s="156">
        <v>151</v>
      </c>
      <c r="F173" s="156">
        <v>65</v>
      </c>
      <c r="G173" s="156">
        <v>84</v>
      </c>
      <c r="H173" s="156">
        <v>2</v>
      </c>
      <c r="I173" s="156">
        <v>0</v>
      </c>
      <c r="J173" s="156">
        <v>0</v>
      </c>
      <c r="K173" s="156">
        <v>0</v>
      </c>
    </row>
    <row r="174" spans="1:11" s="157" customFormat="1" ht="12" customHeight="1" x14ac:dyDescent="0.2">
      <c r="A174" s="296" t="s">
        <v>345</v>
      </c>
      <c r="B174" s="296"/>
      <c r="C174" s="169">
        <v>2071</v>
      </c>
      <c r="D174" s="169">
        <v>1892</v>
      </c>
      <c r="E174" s="169">
        <v>179</v>
      </c>
      <c r="F174" s="169">
        <v>122</v>
      </c>
      <c r="G174" s="169">
        <v>55</v>
      </c>
      <c r="H174" s="169">
        <v>0</v>
      </c>
      <c r="I174" s="169">
        <v>0</v>
      </c>
      <c r="J174" s="169">
        <v>2</v>
      </c>
      <c r="K174" s="169">
        <v>0</v>
      </c>
    </row>
    <row r="175" spans="1:11" s="157" customFormat="1" ht="12" customHeight="1" x14ac:dyDescent="0.2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</row>
    <row r="176" spans="1:11" s="157" customFormat="1" ht="12" customHeight="1" x14ac:dyDescent="0.2">
      <c r="A176" s="294" t="s">
        <v>210</v>
      </c>
      <c r="B176" s="294"/>
      <c r="C176" s="154">
        <v>9233</v>
      </c>
      <c r="D176" s="154">
        <v>6678</v>
      </c>
      <c r="E176" s="154">
        <v>2555</v>
      </c>
      <c r="F176" s="154">
        <v>1538</v>
      </c>
      <c r="G176" s="154">
        <v>846</v>
      </c>
      <c r="H176" s="154">
        <v>41</v>
      </c>
      <c r="I176" s="154">
        <v>112</v>
      </c>
      <c r="J176" s="154">
        <v>18</v>
      </c>
      <c r="K176" s="154">
        <v>0</v>
      </c>
    </row>
    <row r="177" spans="1:11" s="157" customFormat="1" ht="12" customHeight="1" x14ac:dyDescent="0.2">
      <c r="A177" s="291" t="s">
        <v>211</v>
      </c>
      <c r="B177" s="291"/>
      <c r="C177" s="156">
        <v>1527</v>
      </c>
      <c r="D177" s="156">
        <v>1144</v>
      </c>
      <c r="E177" s="156">
        <v>383</v>
      </c>
      <c r="F177" s="156">
        <v>197</v>
      </c>
      <c r="G177" s="156">
        <v>162</v>
      </c>
      <c r="H177" s="156">
        <v>18</v>
      </c>
      <c r="I177" s="156">
        <v>4</v>
      </c>
      <c r="J177" s="156">
        <v>2</v>
      </c>
      <c r="K177" s="156">
        <v>0</v>
      </c>
    </row>
    <row r="178" spans="1:11" s="157" customFormat="1" ht="12" customHeight="1" x14ac:dyDescent="0.2">
      <c r="A178" s="291" t="s">
        <v>213</v>
      </c>
      <c r="B178" s="291"/>
      <c r="C178" s="156">
        <v>109</v>
      </c>
      <c r="D178" s="156">
        <v>95</v>
      </c>
      <c r="E178" s="156">
        <v>14</v>
      </c>
      <c r="F178" s="156">
        <v>5</v>
      </c>
      <c r="G178" s="156">
        <v>9</v>
      </c>
      <c r="H178" s="156">
        <v>0</v>
      </c>
      <c r="I178" s="156">
        <v>0</v>
      </c>
      <c r="J178" s="156">
        <v>0</v>
      </c>
      <c r="K178" s="156">
        <v>0</v>
      </c>
    </row>
    <row r="179" spans="1:11" s="157" customFormat="1" ht="12" customHeight="1" x14ac:dyDescent="0.2">
      <c r="A179" s="291" t="s">
        <v>214</v>
      </c>
      <c r="B179" s="291"/>
      <c r="C179" s="156">
        <v>1031</v>
      </c>
      <c r="D179" s="156">
        <v>504</v>
      </c>
      <c r="E179" s="156">
        <v>527</v>
      </c>
      <c r="F179" s="156">
        <v>298</v>
      </c>
      <c r="G179" s="156">
        <v>165</v>
      </c>
      <c r="H179" s="156">
        <v>6</v>
      </c>
      <c r="I179" s="156">
        <v>56</v>
      </c>
      <c r="J179" s="156">
        <v>2</v>
      </c>
      <c r="K179" s="156">
        <v>0</v>
      </c>
    </row>
    <row r="180" spans="1:11" s="157" customFormat="1" ht="12" customHeight="1" x14ac:dyDescent="0.2">
      <c r="A180" s="291" t="s">
        <v>219</v>
      </c>
      <c r="B180" s="291"/>
      <c r="C180" s="156">
        <v>186</v>
      </c>
      <c r="D180" s="156">
        <v>167</v>
      </c>
      <c r="E180" s="156">
        <v>19</v>
      </c>
      <c r="F180" s="156">
        <v>11</v>
      </c>
      <c r="G180" s="156">
        <v>8</v>
      </c>
      <c r="H180" s="156">
        <v>0</v>
      </c>
      <c r="I180" s="156">
        <v>0</v>
      </c>
      <c r="J180" s="156">
        <v>0</v>
      </c>
      <c r="K180" s="156">
        <v>0</v>
      </c>
    </row>
    <row r="181" spans="1:11" s="157" customFormat="1" ht="12" customHeight="1" x14ac:dyDescent="0.2">
      <c r="A181" s="291" t="s">
        <v>220</v>
      </c>
      <c r="B181" s="291"/>
      <c r="C181" s="156">
        <v>2949</v>
      </c>
      <c r="D181" s="156">
        <v>2321</v>
      </c>
      <c r="E181" s="156">
        <v>628</v>
      </c>
      <c r="F181" s="156">
        <v>453</v>
      </c>
      <c r="G181" s="156">
        <v>168</v>
      </c>
      <c r="H181" s="156">
        <v>7</v>
      </c>
      <c r="I181" s="156">
        <v>0</v>
      </c>
      <c r="J181" s="156">
        <v>0</v>
      </c>
      <c r="K181" s="156">
        <v>0</v>
      </c>
    </row>
    <row r="182" spans="1:11" s="157" customFormat="1" ht="12" customHeight="1" x14ac:dyDescent="0.2">
      <c r="A182" s="291" t="s">
        <v>221</v>
      </c>
      <c r="B182" s="291"/>
      <c r="C182" s="156">
        <v>873</v>
      </c>
      <c r="D182" s="156">
        <v>595</v>
      </c>
      <c r="E182" s="156">
        <v>278</v>
      </c>
      <c r="F182" s="156">
        <v>143</v>
      </c>
      <c r="G182" s="156">
        <v>100</v>
      </c>
      <c r="H182" s="156">
        <v>1</v>
      </c>
      <c r="I182" s="156">
        <v>25</v>
      </c>
      <c r="J182" s="156">
        <v>9</v>
      </c>
      <c r="K182" s="156">
        <v>0</v>
      </c>
    </row>
    <row r="183" spans="1:11" s="157" customFormat="1" ht="12" customHeight="1" x14ac:dyDescent="0.2">
      <c r="A183" s="291" t="s">
        <v>224</v>
      </c>
      <c r="B183" s="291"/>
      <c r="C183" s="156">
        <v>344</v>
      </c>
      <c r="D183" s="156">
        <v>273</v>
      </c>
      <c r="E183" s="156">
        <v>71</v>
      </c>
      <c r="F183" s="156">
        <v>50</v>
      </c>
      <c r="G183" s="156">
        <v>20</v>
      </c>
      <c r="H183" s="156">
        <v>1</v>
      </c>
      <c r="I183" s="156">
        <v>0</v>
      </c>
      <c r="J183" s="156">
        <v>0</v>
      </c>
      <c r="K183" s="156">
        <v>0</v>
      </c>
    </row>
    <row r="184" spans="1:11" s="157" customFormat="1" ht="12" customHeight="1" x14ac:dyDescent="0.2">
      <c r="A184" s="291" t="s">
        <v>225</v>
      </c>
      <c r="B184" s="291"/>
      <c r="C184" s="156">
        <v>757</v>
      </c>
      <c r="D184" s="156">
        <v>471</v>
      </c>
      <c r="E184" s="156">
        <v>286</v>
      </c>
      <c r="F184" s="156">
        <v>199</v>
      </c>
      <c r="G184" s="156">
        <v>79</v>
      </c>
      <c r="H184" s="156">
        <v>1</v>
      </c>
      <c r="I184" s="156">
        <v>7</v>
      </c>
      <c r="J184" s="156">
        <v>0</v>
      </c>
      <c r="K184" s="156">
        <v>0</v>
      </c>
    </row>
    <row r="185" spans="1:11" s="157" customFormat="1" ht="12" customHeight="1" x14ac:dyDescent="0.2">
      <c r="A185" s="291" t="s">
        <v>226</v>
      </c>
      <c r="B185" s="291"/>
      <c r="C185" s="156">
        <v>413</v>
      </c>
      <c r="D185" s="156">
        <v>317</v>
      </c>
      <c r="E185" s="156">
        <v>96</v>
      </c>
      <c r="F185" s="156">
        <v>49</v>
      </c>
      <c r="G185" s="156">
        <v>45</v>
      </c>
      <c r="H185" s="156">
        <v>2</v>
      </c>
      <c r="I185" s="156">
        <v>0</v>
      </c>
      <c r="J185" s="156">
        <v>0</v>
      </c>
      <c r="K185" s="156">
        <v>0</v>
      </c>
    </row>
    <row r="186" spans="1:11" s="157" customFormat="1" ht="12" customHeight="1" x14ac:dyDescent="0.2">
      <c r="A186" s="296" t="s">
        <v>227</v>
      </c>
      <c r="B186" s="296"/>
      <c r="C186" s="163">
        <v>1044</v>
      </c>
      <c r="D186" s="163">
        <v>791</v>
      </c>
      <c r="E186" s="163">
        <v>253</v>
      </c>
      <c r="F186" s="163">
        <v>133</v>
      </c>
      <c r="G186" s="163">
        <v>90</v>
      </c>
      <c r="H186" s="163">
        <v>5</v>
      </c>
      <c r="I186" s="163">
        <v>20</v>
      </c>
      <c r="J186" s="163">
        <v>5</v>
      </c>
      <c r="K186" s="163">
        <v>0</v>
      </c>
    </row>
    <row r="187" spans="1:11" s="157" customFormat="1" ht="12" customHeight="1" x14ac:dyDescent="0.2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</row>
    <row r="188" spans="1:11" s="157" customFormat="1" ht="12" customHeight="1" x14ac:dyDescent="0.2">
      <c r="A188" s="294" t="s">
        <v>229</v>
      </c>
      <c r="B188" s="294"/>
      <c r="C188" s="154">
        <v>353709</v>
      </c>
      <c r="D188" s="154">
        <v>255122</v>
      </c>
      <c r="E188" s="154">
        <v>98587</v>
      </c>
      <c r="F188" s="154">
        <v>59941</v>
      </c>
      <c r="G188" s="154">
        <v>36349</v>
      </c>
      <c r="H188" s="154">
        <v>603</v>
      </c>
      <c r="I188" s="154">
        <v>1361</v>
      </c>
      <c r="J188" s="154">
        <v>307</v>
      </c>
      <c r="K188" s="154">
        <v>26</v>
      </c>
    </row>
    <row r="189" spans="1:11" s="157" customFormat="1" ht="12" customHeight="1" x14ac:dyDescent="0.2">
      <c r="A189" s="291" t="s">
        <v>230</v>
      </c>
      <c r="B189" s="291"/>
      <c r="C189" s="156">
        <v>51084</v>
      </c>
      <c r="D189" s="156">
        <v>38300</v>
      </c>
      <c r="E189" s="156">
        <v>12784</v>
      </c>
      <c r="F189" s="156">
        <v>6889</v>
      </c>
      <c r="G189" s="156">
        <v>5562</v>
      </c>
      <c r="H189" s="156">
        <v>55</v>
      </c>
      <c r="I189" s="156">
        <v>254</v>
      </c>
      <c r="J189" s="156">
        <v>24</v>
      </c>
      <c r="K189" s="156">
        <v>0</v>
      </c>
    </row>
    <row r="190" spans="1:11" s="157" customFormat="1" ht="12" customHeight="1" x14ac:dyDescent="0.2">
      <c r="A190" s="291" t="s">
        <v>231</v>
      </c>
      <c r="B190" s="291"/>
      <c r="C190" s="156">
        <v>151692</v>
      </c>
      <c r="D190" s="156">
        <v>103572</v>
      </c>
      <c r="E190" s="156">
        <v>48120</v>
      </c>
      <c r="F190" s="156">
        <v>27654</v>
      </c>
      <c r="G190" s="156">
        <v>19559</v>
      </c>
      <c r="H190" s="156">
        <v>279</v>
      </c>
      <c r="I190" s="156">
        <v>483</v>
      </c>
      <c r="J190" s="156">
        <v>119</v>
      </c>
      <c r="K190" s="156">
        <v>26</v>
      </c>
    </row>
    <row r="191" spans="1:11" s="157" customFormat="1" ht="12" customHeight="1" x14ac:dyDescent="0.2">
      <c r="A191" s="291" t="s">
        <v>232</v>
      </c>
      <c r="B191" s="291"/>
      <c r="C191" s="156">
        <v>64154</v>
      </c>
      <c r="D191" s="156">
        <v>48250</v>
      </c>
      <c r="E191" s="156">
        <v>15904</v>
      </c>
      <c r="F191" s="156">
        <v>10582</v>
      </c>
      <c r="G191" s="156">
        <v>4985</v>
      </c>
      <c r="H191" s="156">
        <v>119</v>
      </c>
      <c r="I191" s="156">
        <v>175</v>
      </c>
      <c r="J191" s="156">
        <v>43</v>
      </c>
      <c r="K191" s="156">
        <v>0</v>
      </c>
    </row>
    <row r="192" spans="1:11" s="157" customFormat="1" ht="12" customHeight="1" x14ac:dyDescent="0.2">
      <c r="A192" s="291" t="s">
        <v>233</v>
      </c>
      <c r="B192" s="291"/>
      <c r="C192" s="156">
        <v>5968</v>
      </c>
      <c r="D192" s="156">
        <v>5301</v>
      </c>
      <c r="E192" s="156">
        <v>667</v>
      </c>
      <c r="F192" s="156">
        <v>442</v>
      </c>
      <c r="G192" s="156">
        <v>217</v>
      </c>
      <c r="H192" s="156">
        <v>2</v>
      </c>
      <c r="I192" s="156">
        <v>1</v>
      </c>
      <c r="J192" s="156">
        <v>5</v>
      </c>
      <c r="K192" s="156">
        <v>0</v>
      </c>
    </row>
    <row r="193" spans="1:11" s="157" customFormat="1" ht="12" customHeight="1" x14ac:dyDescent="0.2">
      <c r="A193" s="291" t="s">
        <v>234</v>
      </c>
      <c r="B193" s="291"/>
      <c r="C193" s="156">
        <v>55513</v>
      </c>
      <c r="D193" s="156">
        <v>40966</v>
      </c>
      <c r="E193" s="156">
        <v>14547</v>
      </c>
      <c r="F193" s="156">
        <v>9962</v>
      </c>
      <c r="G193" s="156">
        <v>4132</v>
      </c>
      <c r="H193" s="156">
        <v>86</v>
      </c>
      <c r="I193" s="156">
        <v>276</v>
      </c>
      <c r="J193" s="156">
        <v>91</v>
      </c>
      <c r="K193" s="156">
        <v>0</v>
      </c>
    </row>
    <row r="194" spans="1:11" s="157" customFormat="1" ht="12" customHeight="1" x14ac:dyDescent="0.2">
      <c r="A194" s="291" t="s">
        <v>235</v>
      </c>
      <c r="B194" s="291"/>
      <c r="C194" s="156">
        <v>10318</v>
      </c>
      <c r="D194" s="156">
        <v>6862</v>
      </c>
      <c r="E194" s="156">
        <v>3456</v>
      </c>
      <c r="F194" s="156">
        <v>2536</v>
      </c>
      <c r="G194" s="156">
        <v>838</v>
      </c>
      <c r="H194" s="156">
        <v>17</v>
      </c>
      <c r="I194" s="156">
        <v>60</v>
      </c>
      <c r="J194" s="156">
        <v>5</v>
      </c>
      <c r="K194" s="156">
        <v>0</v>
      </c>
    </row>
    <row r="195" spans="1:11" s="157" customFormat="1" ht="12" customHeight="1" x14ac:dyDescent="0.2">
      <c r="A195" s="291" t="s">
        <v>236</v>
      </c>
      <c r="B195" s="291"/>
      <c r="C195" s="156">
        <v>5747</v>
      </c>
      <c r="D195" s="156">
        <v>5193</v>
      </c>
      <c r="E195" s="156">
        <v>554</v>
      </c>
      <c r="F195" s="156">
        <v>338</v>
      </c>
      <c r="G195" s="156">
        <v>210</v>
      </c>
      <c r="H195" s="156">
        <v>4</v>
      </c>
      <c r="I195" s="156">
        <v>0</v>
      </c>
      <c r="J195" s="156">
        <v>2</v>
      </c>
      <c r="K195" s="156">
        <v>0</v>
      </c>
    </row>
    <row r="196" spans="1:11" s="157" customFormat="1" ht="12" customHeight="1" x14ac:dyDescent="0.2">
      <c r="A196" s="293" t="s">
        <v>237</v>
      </c>
      <c r="B196" s="293"/>
      <c r="C196" s="163">
        <v>9233</v>
      </c>
      <c r="D196" s="163">
        <v>6678</v>
      </c>
      <c r="E196" s="163">
        <v>2555</v>
      </c>
      <c r="F196" s="163">
        <v>1538</v>
      </c>
      <c r="G196" s="163">
        <v>846</v>
      </c>
      <c r="H196" s="163">
        <v>41</v>
      </c>
      <c r="I196" s="163">
        <v>112</v>
      </c>
      <c r="J196" s="163">
        <v>18</v>
      </c>
      <c r="K196" s="163">
        <v>0</v>
      </c>
    </row>
    <row r="197" spans="1:11" s="157" customFormat="1" ht="12" customHeight="1" x14ac:dyDescent="0.2">
      <c r="A197" s="162"/>
      <c r="B197" s="162"/>
      <c r="C197" s="169"/>
      <c r="D197" s="169"/>
      <c r="E197" s="169"/>
      <c r="F197" s="169"/>
      <c r="G197" s="169"/>
      <c r="H197" s="169"/>
      <c r="I197" s="169"/>
      <c r="J197" s="169"/>
      <c r="K197" s="169"/>
    </row>
    <row r="198" spans="1:11" s="157" customFormat="1" ht="12" customHeight="1" x14ac:dyDescent="0.2">
      <c r="A198" s="294" t="s">
        <v>355</v>
      </c>
      <c r="B198" s="294"/>
      <c r="C198" s="154">
        <f>+C199+C200+C201+C202+C203</f>
        <v>327864</v>
      </c>
      <c r="D198" s="154">
        <f t="shared" ref="D198:K198" si="0">+D199+D200+D201+D202+D203</f>
        <v>235237</v>
      </c>
      <c r="E198" s="154">
        <f t="shared" si="0"/>
        <v>92627</v>
      </c>
      <c r="F198" s="154">
        <f t="shared" si="0"/>
        <v>56057</v>
      </c>
      <c r="G198" s="154">
        <f t="shared" si="0"/>
        <v>34537</v>
      </c>
      <c r="H198" s="154">
        <f t="shared" si="0"/>
        <v>547</v>
      </c>
      <c r="I198" s="154">
        <f t="shared" si="0"/>
        <v>1189</v>
      </c>
      <c r="J198" s="154">
        <f t="shared" si="0"/>
        <v>271</v>
      </c>
      <c r="K198" s="154">
        <f t="shared" si="0"/>
        <v>26</v>
      </c>
    </row>
    <row r="199" spans="1:11" s="157" customFormat="1" ht="12" customHeight="1" x14ac:dyDescent="0.2">
      <c r="A199" s="291" t="s">
        <v>356</v>
      </c>
      <c r="B199" s="291"/>
      <c r="C199" s="156">
        <f>+C160+C161+C164+C165</f>
        <v>52203</v>
      </c>
      <c r="D199" s="156">
        <f t="shared" ref="D199:K199" si="1">+D160+D161+D164+D165</f>
        <v>38880</v>
      </c>
      <c r="E199" s="156">
        <f t="shared" si="1"/>
        <v>13323</v>
      </c>
      <c r="F199" s="156">
        <f t="shared" si="1"/>
        <v>9195</v>
      </c>
      <c r="G199" s="156">
        <f t="shared" si="1"/>
        <v>3726</v>
      </c>
      <c r="H199" s="156">
        <f t="shared" si="1"/>
        <v>69</v>
      </c>
      <c r="I199" s="156">
        <f t="shared" si="1"/>
        <v>248</v>
      </c>
      <c r="J199" s="156">
        <f t="shared" si="1"/>
        <v>85</v>
      </c>
      <c r="K199" s="156">
        <f t="shared" si="1"/>
        <v>0</v>
      </c>
    </row>
    <row r="200" spans="1:11" s="157" customFormat="1" ht="12" customHeight="1" x14ac:dyDescent="0.2">
      <c r="A200" s="291" t="s">
        <v>357</v>
      </c>
      <c r="B200" s="291"/>
      <c r="C200" s="159">
        <f>+C58+C59+C80+C60+C61+C62+C63+C64+C65+C66+C67+C68</f>
        <v>51569</v>
      </c>
      <c r="D200" s="159">
        <f t="shared" ref="D200:K200" si="2">+D58+D59+D80+D60+D61+D62+D63+D64+D65+D66+D67+D68</f>
        <v>38673</v>
      </c>
      <c r="E200" s="159">
        <f t="shared" si="2"/>
        <v>12896</v>
      </c>
      <c r="F200" s="159">
        <f t="shared" si="2"/>
        <v>6937</v>
      </c>
      <c r="G200" s="159">
        <f t="shared" si="2"/>
        <v>5625</v>
      </c>
      <c r="H200" s="159">
        <f t="shared" si="2"/>
        <v>56</v>
      </c>
      <c r="I200" s="159">
        <f t="shared" si="2"/>
        <v>254</v>
      </c>
      <c r="J200" s="159">
        <f t="shared" si="2"/>
        <v>24</v>
      </c>
      <c r="K200" s="159">
        <f t="shared" si="2"/>
        <v>0</v>
      </c>
    </row>
    <row r="201" spans="1:11" s="157" customFormat="1" ht="12" customHeight="1" x14ac:dyDescent="0.2">
      <c r="A201" s="291" t="s">
        <v>358</v>
      </c>
      <c r="B201" s="291"/>
      <c r="C201" s="156">
        <f>+C125+C150+C127+C129+C130+C134+C136+C137+C157+C138+C139+C140+C142+C143+C145+C146</f>
        <v>55761</v>
      </c>
      <c r="D201" s="156">
        <f t="shared" ref="D201:K201" si="3">+D125+D150+D127+D129+D130+D134+D136+D137+D157+D138+D139+D140+D142+D143+D145+D146</f>
        <v>41733</v>
      </c>
      <c r="E201" s="156">
        <f t="shared" si="3"/>
        <v>14028</v>
      </c>
      <c r="F201" s="156">
        <f t="shared" si="3"/>
        <v>9382</v>
      </c>
      <c r="G201" s="156">
        <f t="shared" si="3"/>
        <v>4372</v>
      </c>
      <c r="H201" s="156">
        <f t="shared" si="3"/>
        <v>106</v>
      </c>
      <c r="I201" s="156">
        <f t="shared" si="3"/>
        <v>138</v>
      </c>
      <c r="J201" s="156">
        <f t="shared" si="3"/>
        <v>30</v>
      </c>
      <c r="K201" s="156">
        <f t="shared" si="3"/>
        <v>0</v>
      </c>
    </row>
    <row r="202" spans="1:11" s="157" customFormat="1" ht="12" customHeight="1" x14ac:dyDescent="0.2">
      <c r="A202" s="291" t="s">
        <v>359</v>
      </c>
      <c r="B202" s="291"/>
      <c r="C202" s="156">
        <f>+C71+C72+C73+C74+C75+C76+C77+C78+C79+C81+C82+C83+C84+C85+C86+C87+C88+C89+C90+C91+C92+C93+C94+C95+C96+C97+C98+C99+C100+C101+C102+C103+C104+C105+C106+C107+C108+C109+C110+C111+C112+C113+C114+C115+C116+C117+C118+C119+C120+C121+C122</f>
        <v>151207</v>
      </c>
      <c r="D202" s="156">
        <f t="shared" ref="D202:K202" si="4">+D71+D72+D73+D74+D75+D76+D77+D78+D79+D81+D82+D83+D84+D85+D86+D87+D88+D89+D90+D91+D92+D93+D94+D95+D96+D97+D98+D99+D100+D101+D102+D103+D104+D105+D106+D107+D108+D109+D110+D111+D112+D113+D114+D115+D116+D117+D118+D119+D120+D121+D122</f>
        <v>103199</v>
      </c>
      <c r="E202" s="156">
        <f t="shared" si="4"/>
        <v>48008</v>
      </c>
      <c r="F202" s="156">
        <f t="shared" si="4"/>
        <v>27606</v>
      </c>
      <c r="G202" s="156">
        <f t="shared" si="4"/>
        <v>19496</v>
      </c>
      <c r="H202" s="156">
        <f t="shared" si="4"/>
        <v>278</v>
      </c>
      <c r="I202" s="156">
        <f t="shared" si="4"/>
        <v>483</v>
      </c>
      <c r="J202" s="156">
        <f t="shared" si="4"/>
        <v>119</v>
      </c>
      <c r="K202" s="156">
        <f t="shared" si="4"/>
        <v>26</v>
      </c>
    </row>
    <row r="203" spans="1:11" s="157" customFormat="1" ht="12" customHeight="1" x14ac:dyDescent="0.2">
      <c r="A203" s="168" t="s">
        <v>360</v>
      </c>
      <c r="B203" s="168"/>
      <c r="C203" s="163">
        <f>+C162+C131+C133+C163+C169+C135+C147</f>
        <v>17124</v>
      </c>
      <c r="D203" s="163">
        <f t="shared" ref="D203:K203" si="5">+D162+D131+D133+D163+D169+D135+D147</f>
        <v>12752</v>
      </c>
      <c r="E203" s="163">
        <f t="shared" si="5"/>
        <v>4372</v>
      </c>
      <c r="F203" s="163">
        <f t="shared" si="5"/>
        <v>2937</v>
      </c>
      <c r="G203" s="163">
        <f t="shared" si="5"/>
        <v>1318</v>
      </c>
      <c r="H203" s="163">
        <f t="shared" si="5"/>
        <v>38</v>
      </c>
      <c r="I203" s="163">
        <f t="shared" si="5"/>
        <v>66</v>
      </c>
      <c r="J203" s="163">
        <f t="shared" si="5"/>
        <v>13</v>
      </c>
      <c r="K203" s="163">
        <f t="shared" si="5"/>
        <v>0</v>
      </c>
    </row>
    <row r="204" spans="1:11" s="157" customFormat="1" ht="12" customHeight="1" x14ac:dyDescent="0.2">
      <c r="A204" s="166"/>
      <c r="B204" s="166"/>
      <c r="C204" s="167"/>
      <c r="D204" s="167"/>
      <c r="E204" s="167"/>
      <c r="F204" s="167"/>
      <c r="G204" s="167"/>
      <c r="H204" s="167"/>
      <c r="I204" s="167"/>
      <c r="J204" s="167"/>
      <c r="K204" s="167"/>
    </row>
    <row r="205" spans="1:11" s="157" customFormat="1" ht="12" customHeight="1" x14ac:dyDescent="0.2">
      <c r="A205" s="170" t="s">
        <v>361</v>
      </c>
      <c r="B205" s="170"/>
      <c r="C205" s="171">
        <f>+C188-C198</f>
        <v>25845</v>
      </c>
      <c r="D205" s="171">
        <f t="shared" ref="D205:K205" si="6">+D188-D198</f>
        <v>19885</v>
      </c>
      <c r="E205" s="171">
        <f t="shared" si="6"/>
        <v>5960</v>
      </c>
      <c r="F205" s="171">
        <f t="shared" si="6"/>
        <v>3884</v>
      </c>
      <c r="G205" s="171">
        <f t="shared" si="6"/>
        <v>1812</v>
      </c>
      <c r="H205" s="171">
        <f t="shared" si="6"/>
        <v>56</v>
      </c>
      <c r="I205" s="171">
        <f t="shared" si="6"/>
        <v>172</v>
      </c>
      <c r="J205" s="171">
        <f t="shared" si="6"/>
        <v>36</v>
      </c>
      <c r="K205" s="171">
        <f t="shared" si="6"/>
        <v>0</v>
      </c>
    </row>
    <row r="206" spans="1:11" s="172" customFormat="1" ht="12" customHeight="1" x14ac:dyDescent="0.15"/>
    <row r="207" spans="1:11" s="173" customFormat="1" ht="12" customHeight="1" x14ac:dyDescent="0.2">
      <c r="A207" s="290" t="s">
        <v>372</v>
      </c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</row>
    <row r="208" spans="1:11" s="143" customFormat="1" ht="12" customHeight="1" x14ac:dyDescent="0.2">
      <c r="A208" s="290" t="s">
        <v>362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</row>
    <row r="209" spans="1:11" s="143" customFormat="1" ht="12" customHeight="1" x14ac:dyDescent="0.15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</row>
    <row r="210" spans="1:11" s="142" customFormat="1" ht="12" customHeight="1" x14ac:dyDescent="0.2">
      <c r="A210" s="290" t="s">
        <v>339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</row>
    <row r="211" spans="1:11" s="143" customFormat="1" ht="12" customHeight="1" x14ac:dyDescent="0.2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</row>
    <row r="212" spans="1:11" s="144" customFormat="1" ht="12" customHeight="1" x14ac:dyDescent="0.2">
      <c r="A212" s="290" t="s">
        <v>373</v>
      </c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</row>
    <row r="213" spans="1:11" s="144" customFormat="1" ht="12" customHeight="1" x14ac:dyDescent="0.2">
      <c r="A213" s="290" t="s">
        <v>352</v>
      </c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</row>
  </sheetData>
  <mergeCells count="178">
    <mergeCell ref="A177:B177"/>
    <mergeCell ref="A185:B185"/>
    <mergeCell ref="A190:B190"/>
    <mergeCell ref="A198:B198"/>
    <mergeCell ref="A199:B199"/>
    <mergeCell ref="A200:B200"/>
    <mergeCell ref="A201:B201"/>
    <mergeCell ref="A184:B184"/>
    <mergeCell ref="A186:B186"/>
    <mergeCell ref="A188:B188"/>
    <mergeCell ref="A189:B189"/>
    <mergeCell ref="A191:B191"/>
    <mergeCell ref="A178:B178"/>
    <mergeCell ref="A179:B179"/>
    <mergeCell ref="A180:B180"/>
    <mergeCell ref="A181:B181"/>
    <mergeCell ref="A182:B182"/>
    <mergeCell ref="A183:B183"/>
    <mergeCell ref="A211:K211"/>
    <mergeCell ref="A212:K212"/>
    <mergeCell ref="A213:K213"/>
    <mergeCell ref="A208:K208"/>
    <mergeCell ref="A209:K209"/>
    <mergeCell ref="A210:K210"/>
    <mergeCell ref="A202:B202"/>
    <mergeCell ref="A192:B192"/>
    <mergeCell ref="A193:B193"/>
    <mergeCell ref="A194:B194"/>
    <mergeCell ref="A195:B195"/>
    <mergeCell ref="A196:B196"/>
    <mergeCell ref="A207:K207"/>
    <mergeCell ref="A174:B174"/>
    <mergeCell ref="A176:B176"/>
    <mergeCell ref="A168:B168"/>
    <mergeCell ref="A169:B169"/>
    <mergeCell ref="A159:B159"/>
    <mergeCell ref="A160:B160"/>
    <mergeCell ref="A161:B161"/>
    <mergeCell ref="A162:B162"/>
    <mergeCell ref="A163:B163"/>
    <mergeCell ref="A164:B164"/>
    <mergeCell ref="A171:B171"/>
    <mergeCell ref="A172:B172"/>
    <mergeCell ref="A173:B173"/>
    <mergeCell ref="A154:B154"/>
    <mergeCell ref="A155:B155"/>
    <mergeCell ref="A156:B156"/>
    <mergeCell ref="A157:B157"/>
    <mergeCell ref="A165:B165"/>
    <mergeCell ref="A167:B167"/>
    <mergeCell ref="A147:B147"/>
    <mergeCell ref="A149:B149"/>
    <mergeCell ref="A150:B150"/>
    <mergeCell ref="A151:B151"/>
    <mergeCell ref="A152:B152"/>
    <mergeCell ref="A153:B153"/>
    <mergeCell ref="A141:B141"/>
    <mergeCell ref="A142:B142"/>
    <mergeCell ref="A143:B143"/>
    <mergeCell ref="A144:B144"/>
    <mergeCell ref="A145:B145"/>
    <mergeCell ref="A146:B146"/>
    <mergeCell ref="A135:B135"/>
    <mergeCell ref="A136:B136"/>
    <mergeCell ref="A137:B137"/>
    <mergeCell ref="A138:B138"/>
    <mergeCell ref="A139:B139"/>
    <mergeCell ref="A140:B140"/>
    <mergeCell ref="A129:B129"/>
    <mergeCell ref="A130:B130"/>
    <mergeCell ref="A131:B131"/>
    <mergeCell ref="A132:B132"/>
    <mergeCell ref="A133:B133"/>
    <mergeCell ref="A134:B134"/>
    <mergeCell ref="A122:B122"/>
    <mergeCell ref="A124:B124"/>
    <mergeCell ref="A125:B125"/>
    <mergeCell ref="A126:B126"/>
    <mergeCell ref="A127:B127"/>
    <mergeCell ref="A128:B128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7:B67"/>
    <mergeCell ref="A68:B68"/>
    <mergeCell ref="A70:B70"/>
    <mergeCell ref="A71:B71"/>
    <mergeCell ref="A72:B72"/>
    <mergeCell ref="A73:B73"/>
    <mergeCell ref="A61:B61"/>
    <mergeCell ref="A62:B62"/>
    <mergeCell ref="A63:B63"/>
    <mergeCell ref="A64:B64"/>
    <mergeCell ref="A65:B65"/>
    <mergeCell ref="A66:B66"/>
    <mergeCell ref="A54:B54"/>
    <mergeCell ref="A55:B55"/>
    <mergeCell ref="A57:B57"/>
    <mergeCell ref="A58:B58"/>
    <mergeCell ref="A59:B59"/>
    <mergeCell ref="A60:B60"/>
    <mergeCell ref="A42:B42"/>
    <mergeCell ref="A43:B43"/>
    <mergeCell ref="A44:B44"/>
    <mergeCell ref="A47:B47"/>
    <mergeCell ref="A52:B52"/>
    <mergeCell ref="A53:B53"/>
    <mergeCell ref="A29:B29"/>
    <mergeCell ref="A32:B32"/>
    <mergeCell ref="A33:B33"/>
    <mergeCell ref="A38:B38"/>
    <mergeCell ref="A39:B39"/>
    <mergeCell ref="A40:B40"/>
    <mergeCell ref="A17:B17"/>
    <mergeCell ref="A21:B21"/>
    <mergeCell ref="A23:B23"/>
    <mergeCell ref="A24:B24"/>
    <mergeCell ref="A25:B25"/>
    <mergeCell ref="A26:B26"/>
    <mergeCell ref="A8:B8"/>
    <mergeCell ref="A9:B9"/>
    <mergeCell ref="A10:B10"/>
    <mergeCell ref="A5:B5"/>
    <mergeCell ref="A12:B12"/>
    <mergeCell ref="A13:B13"/>
    <mergeCell ref="A1:K1"/>
    <mergeCell ref="A2:K2"/>
    <mergeCell ref="A3:K3"/>
    <mergeCell ref="A4:K4"/>
    <mergeCell ref="A6:B6"/>
    <mergeCell ref="A7:B7"/>
    <mergeCell ref="E5:K5"/>
    <mergeCell ref="E6:K6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16"/>
  <dimension ref="A1:J228"/>
  <sheetViews>
    <sheetView workbookViewId="0">
      <selection sqref="A1:J1"/>
    </sheetView>
  </sheetViews>
  <sheetFormatPr defaultRowHeight="12" customHeight="1" x14ac:dyDescent="0.2"/>
  <cols>
    <col min="1" max="1" width="1.7109375" style="145" customWidth="1"/>
    <col min="2" max="2" width="28.140625" style="145" customWidth="1"/>
    <col min="3" max="10" width="11.7109375" style="146" customWidth="1"/>
    <col min="11" max="16384" width="9.140625" style="145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117" customFormat="1" ht="12.75" customHeight="1" x14ac:dyDescent="0.2">
      <c r="A2" s="289" t="s">
        <v>366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20" customFormat="1" ht="12" customHeight="1" x14ac:dyDescent="0.2">
      <c r="A10" s="305" t="s">
        <v>10</v>
      </c>
      <c r="B10" s="305"/>
      <c r="C10" s="119">
        <f t="shared" ref="C10:J10" si="0">C12+C23+C38+C42+C52</f>
        <v>354375</v>
      </c>
      <c r="D10" s="119">
        <f t="shared" si="0"/>
        <v>254828</v>
      </c>
      <c r="E10" s="119">
        <f t="shared" si="0"/>
        <v>99547</v>
      </c>
      <c r="F10" s="119">
        <f t="shared" si="0"/>
        <v>60292</v>
      </c>
      <c r="G10" s="119">
        <f t="shared" si="0"/>
        <v>37618</v>
      </c>
      <c r="H10" s="119">
        <f t="shared" si="0"/>
        <v>1195</v>
      </c>
      <c r="I10" s="119">
        <f t="shared" si="0"/>
        <v>414</v>
      </c>
      <c r="J10" s="119">
        <f t="shared" si="0"/>
        <v>28</v>
      </c>
    </row>
    <row r="11" spans="1:10" s="120" customFormat="1" ht="12" customHeight="1" x14ac:dyDescent="0.2">
      <c r="A11" s="121"/>
      <c r="B11" s="121"/>
      <c r="C11" s="122"/>
      <c r="D11" s="122"/>
      <c r="E11" s="122"/>
      <c r="F11" s="122"/>
      <c r="G11" s="122"/>
      <c r="H11" s="122"/>
      <c r="I11" s="122"/>
      <c r="J11" s="122"/>
    </row>
    <row r="12" spans="1:10" s="124" customFormat="1" ht="12" customHeight="1" x14ac:dyDescent="0.2">
      <c r="A12" s="303" t="s">
        <v>11</v>
      </c>
      <c r="B12" s="303"/>
      <c r="C12" s="123">
        <f t="shared" ref="C12:J12" si="1">C13+C17+C21</f>
        <v>29820</v>
      </c>
      <c r="D12" s="123">
        <f t="shared" si="1"/>
        <v>22423</v>
      </c>
      <c r="E12" s="123">
        <f t="shared" si="1"/>
        <v>7397</v>
      </c>
      <c r="F12" s="123">
        <f t="shared" si="1"/>
        <v>4994</v>
      </c>
      <c r="G12" s="123">
        <f t="shared" si="1"/>
        <v>2185</v>
      </c>
      <c r="H12" s="123">
        <f t="shared" si="1"/>
        <v>156</v>
      </c>
      <c r="I12" s="123">
        <f t="shared" si="1"/>
        <v>62</v>
      </c>
      <c r="J12" s="123">
        <f t="shared" si="1"/>
        <v>0</v>
      </c>
    </row>
    <row r="13" spans="1:10" s="126" customFormat="1" ht="12" customHeight="1" x14ac:dyDescent="0.2">
      <c r="A13" s="302" t="s">
        <v>12</v>
      </c>
      <c r="B13" s="302"/>
      <c r="C13" s="125">
        <f t="shared" ref="C13:J13" si="2">C14+C15+C16</f>
        <v>9335</v>
      </c>
      <c r="D13" s="125">
        <f t="shared" si="2"/>
        <v>6725</v>
      </c>
      <c r="E13" s="125">
        <f t="shared" si="2"/>
        <v>2610</v>
      </c>
      <c r="F13" s="125">
        <f t="shared" si="2"/>
        <v>1571</v>
      </c>
      <c r="G13" s="125">
        <f t="shared" si="2"/>
        <v>908</v>
      </c>
      <c r="H13" s="125">
        <f t="shared" si="2"/>
        <v>93</v>
      </c>
      <c r="I13" s="125">
        <f t="shared" si="2"/>
        <v>38</v>
      </c>
      <c r="J13" s="125">
        <f t="shared" si="2"/>
        <v>0</v>
      </c>
    </row>
    <row r="14" spans="1:10" s="126" customFormat="1" ht="12" customHeight="1" x14ac:dyDescent="0.2">
      <c r="A14" s="127"/>
      <c r="B14" s="128" t="s">
        <v>13</v>
      </c>
      <c r="C14" s="125">
        <f t="shared" ref="C14:J14" si="3">C192+C193+C195+C200+C201</f>
        <v>3320</v>
      </c>
      <c r="D14" s="125">
        <f t="shared" si="3"/>
        <v>2518</v>
      </c>
      <c r="E14" s="125">
        <f t="shared" si="3"/>
        <v>802</v>
      </c>
      <c r="F14" s="125">
        <f t="shared" si="3"/>
        <v>427</v>
      </c>
      <c r="G14" s="125">
        <f t="shared" si="3"/>
        <v>343</v>
      </c>
      <c r="H14" s="125">
        <f t="shared" si="3"/>
        <v>24</v>
      </c>
      <c r="I14" s="125">
        <f t="shared" si="3"/>
        <v>8</v>
      </c>
      <c r="J14" s="125">
        <f t="shared" si="3"/>
        <v>0</v>
      </c>
    </row>
    <row r="15" spans="1:10" s="126" customFormat="1" ht="12" customHeight="1" x14ac:dyDescent="0.2">
      <c r="A15" s="127"/>
      <c r="B15" s="128" t="s">
        <v>14</v>
      </c>
      <c r="C15" s="125">
        <f t="shared" ref="C15:J15" si="4">+C196</f>
        <v>2978</v>
      </c>
      <c r="D15" s="125">
        <f t="shared" si="4"/>
        <v>2342</v>
      </c>
      <c r="E15" s="125">
        <f t="shared" si="4"/>
        <v>636</v>
      </c>
      <c r="F15" s="125">
        <f t="shared" si="4"/>
        <v>454</v>
      </c>
      <c r="G15" s="125">
        <f t="shared" si="4"/>
        <v>180</v>
      </c>
      <c r="H15" s="125">
        <f t="shared" si="4"/>
        <v>1</v>
      </c>
      <c r="I15" s="125">
        <f t="shared" si="4"/>
        <v>1</v>
      </c>
      <c r="J15" s="125">
        <f t="shared" si="4"/>
        <v>0</v>
      </c>
    </row>
    <row r="16" spans="1:10" s="126" customFormat="1" ht="12" customHeight="1" x14ac:dyDescent="0.2">
      <c r="A16" s="127"/>
      <c r="B16" s="129" t="s">
        <v>15</v>
      </c>
      <c r="C16" s="125">
        <f t="shared" ref="C16:J16" si="5">C194+C197+C198+C199</f>
        <v>3037</v>
      </c>
      <c r="D16" s="125">
        <f t="shared" si="5"/>
        <v>1865</v>
      </c>
      <c r="E16" s="125">
        <f t="shared" si="5"/>
        <v>1172</v>
      </c>
      <c r="F16" s="125">
        <f t="shared" si="5"/>
        <v>690</v>
      </c>
      <c r="G16" s="125">
        <f t="shared" si="5"/>
        <v>385</v>
      </c>
      <c r="H16" s="125">
        <f t="shared" si="5"/>
        <v>68</v>
      </c>
      <c r="I16" s="125">
        <f t="shared" si="5"/>
        <v>29</v>
      </c>
      <c r="J16" s="125">
        <f t="shared" si="5"/>
        <v>0</v>
      </c>
    </row>
    <row r="17" spans="1:10" s="126" customFormat="1" ht="12" customHeight="1" x14ac:dyDescent="0.2">
      <c r="A17" s="302" t="s">
        <v>16</v>
      </c>
      <c r="B17" s="302"/>
      <c r="C17" s="125">
        <f t="shared" ref="C17:J17" si="6">C18+C19+C20</f>
        <v>5767</v>
      </c>
      <c r="D17" s="125">
        <f t="shared" si="6"/>
        <v>5199</v>
      </c>
      <c r="E17" s="125">
        <f t="shared" si="6"/>
        <v>568</v>
      </c>
      <c r="F17" s="125">
        <f t="shared" si="6"/>
        <v>345</v>
      </c>
      <c r="G17" s="125">
        <f t="shared" si="6"/>
        <v>219</v>
      </c>
      <c r="H17" s="125">
        <f t="shared" si="6"/>
        <v>3</v>
      </c>
      <c r="I17" s="125">
        <f t="shared" si="6"/>
        <v>1</v>
      </c>
      <c r="J17" s="125">
        <f t="shared" si="6"/>
        <v>0</v>
      </c>
    </row>
    <row r="18" spans="1:10" s="126" customFormat="1" ht="12" customHeight="1" x14ac:dyDescent="0.2">
      <c r="A18" s="127"/>
      <c r="B18" s="128" t="s">
        <v>17</v>
      </c>
      <c r="C18" s="125">
        <f t="shared" ref="C18:J18" si="7">+C188</f>
        <v>1816</v>
      </c>
      <c r="D18" s="125">
        <f t="shared" si="7"/>
        <v>1663</v>
      </c>
      <c r="E18" s="125">
        <f t="shared" si="7"/>
        <v>153</v>
      </c>
      <c r="F18" s="125">
        <f t="shared" si="7"/>
        <v>72</v>
      </c>
      <c r="G18" s="125">
        <f t="shared" si="7"/>
        <v>81</v>
      </c>
      <c r="H18" s="125">
        <f t="shared" si="7"/>
        <v>0</v>
      </c>
      <c r="I18" s="125">
        <f t="shared" si="7"/>
        <v>0</v>
      </c>
      <c r="J18" s="125">
        <f t="shared" si="7"/>
        <v>0</v>
      </c>
    </row>
    <row r="19" spans="1:10" s="126" customFormat="1" ht="12" customHeight="1" x14ac:dyDescent="0.2">
      <c r="A19" s="127"/>
      <c r="B19" s="128" t="s">
        <v>18</v>
      </c>
      <c r="C19" s="125">
        <f t="shared" ref="C19:J19" si="8">+C187</f>
        <v>1850</v>
      </c>
      <c r="D19" s="125">
        <f t="shared" si="8"/>
        <v>1626</v>
      </c>
      <c r="E19" s="125">
        <f t="shared" si="8"/>
        <v>224</v>
      </c>
      <c r="F19" s="125">
        <f t="shared" si="8"/>
        <v>153</v>
      </c>
      <c r="G19" s="125">
        <f t="shared" si="8"/>
        <v>71</v>
      </c>
      <c r="H19" s="125">
        <f t="shared" si="8"/>
        <v>0</v>
      </c>
      <c r="I19" s="125">
        <f t="shared" si="8"/>
        <v>0</v>
      </c>
      <c r="J19" s="125">
        <f t="shared" si="8"/>
        <v>0</v>
      </c>
    </row>
    <row r="20" spans="1:10" s="126" customFormat="1" ht="12" customHeight="1" x14ac:dyDescent="0.2">
      <c r="A20" s="130"/>
      <c r="B20" s="128" t="s">
        <v>19</v>
      </c>
      <c r="C20" s="125">
        <f t="shared" ref="C20:J20" si="9">C189</f>
        <v>2101</v>
      </c>
      <c r="D20" s="125">
        <f t="shared" si="9"/>
        <v>1910</v>
      </c>
      <c r="E20" s="125">
        <f t="shared" si="9"/>
        <v>191</v>
      </c>
      <c r="F20" s="125">
        <f t="shared" si="9"/>
        <v>120</v>
      </c>
      <c r="G20" s="125">
        <f t="shared" si="9"/>
        <v>67</v>
      </c>
      <c r="H20" s="125">
        <f t="shared" si="9"/>
        <v>3</v>
      </c>
      <c r="I20" s="125">
        <f t="shared" si="9"/>
        <v>1</v>
      </c>
      <c r="J20" s="125">
        <f t="shared" si="9"/>
        <v>0</v>
      </c>
    </row>
    <row r="21" spans="1:10" s="126" customFormat="1" ht="12" customHeight="1" x14ac:dyDescent="0.2">
      <c r="A21" s="304" t="s">
        <v>20</v>
      </c>
      <c r="B21" s="304"/>
      <c r="C21" s="132">
        <f t="shared" ref="C21:J21" si="10">C179+C180+C181+C165+C182+C183+C170+C184+C173</f>
        <v>14718</v>
      </c>
      <c r="D21" s="132">
        <f t="shared" si="10"/>
        <v>10499</v>
      </c>
      <c r="E21" s="132">
        <f t="shared" si="10"/>
        <v>4219</v>
      </c>
      <c r="F21" s="132">
        <f t="shared" si="10"/>
        <v>3078</v>
      </c>
      <c r="G21" s="132">
        <f t="shared" si="10"/>
        <v>1058</v>
      </c>
      <c r="H21" s="132">
        <f t="shared" si="10"/>
        <v>60</v>
      </c>
      <c r="I21" s="132">
        <f t="shared" si="10"/>
        <v>23</v>
      </c>
      <c r="J21" s="132">
        <f t="shared" si="10"/>
        <v>0</v>
      </c>
    </row>
    <row r="22" spans="1:10" s="126" customFormat="1" ht="12" customHeight="1" x14ac:dyDescent="0.2">
      <c r="A22" s="130"/>
      <c r="B22" s="130"/>
      <c r="C22" s="130"/>
      <c r="D22" s="130"/>
      <c r="E22" s="130"/>
      <c r="F22" s="130"/>
      <c r="G22" s="130"/>
      <c r="H22" s="130"/>
      <c r="I22" s="130"/>
      <c r="J22" s="130"/>
    </row>
    <row r="23" spans="1:10" s="124" customFormat="1" ht="12" customHeight="1" x14ac:dyDescent="0.2">
      <c r="A23" s="303" t="s">
        <v>342</v>
      </c>
      <c r="B23" s="303"/>
      <c r="C23" s="123">
        <f t="shared" ref="C23:J23" si="11">C24+C25+C26+C29+C32+C33</f>
        <v>70214</v>
      </c>
      <c r="D23" s="123">
        <f t="shared" si="11"/>
        <v>53479</v>
      </c>
      <c r="E23" s="123">
        <f t="shared" si="11"/>
        <v>16735</v>
      </c>
      <c r="F23" s="123">
        <f t="shared" si="11"/>
        <v>11130</v>
      </c>
      <c r="G23" s="123">
        <f t="shared" si="11"/>
        <v>5348</v>
      </c>
      <c r="H23" s="123">
        <f t="shared" si="11"/>
        <v>157</v>
      </c>
      <c r="I23" s="123">
        <f t="shared" si="11"/>
        <v>100</v>
      </c>
      <c r="J23" s="123">
        <f t="shared" si="11"/>
        <v>0</v>
      </c>
    </row>
    <row r="24" spans="1:10" s="126" customFormat="1" ht="12" customHeight="1" x14ac:dyDescent="0.2">
      <c r="A24" s="302" t="s">
        <v>22</v>
      </c>
      <c r="B24" s="302"/>
      <c r="C24" s="125">
        <f t="shared" ref="C24:J24" si="12">C125+C127+C128+C136+C137+C139+C140+C142+C143</f>
        <v>41841</v>
      </c>
      <c r="D24" s="125">
        <f t="shared" si="12"/>
        <v>29908</v>
      </c>
      <c r="E24" s="125">
        <f t="shared" si="12"/>
        <v>11933</v>
      </c>
      <c r="F24" s="125">
        <f t="shared" si="12"/>
        <v>7921</v>
      </c>
      <c r="G24" s="125">
        <f t="shared" si="12"/>
        <v>3853</v>
      </c>
      <c r="H24" s="125">
        <f t="shared" si="12"/>
        <v>111</v>
      </c>
      <c r="I24" s="125">
        <f t="shared" si="12"/>
        <v>48</v>
      </c>
      <c r="J24" s="125">
        <f t="shared" si="12"/>
        <v>0</v>
      </c>
    </row>
    <row r="25" spans="1:10" s="126" customFormat="1" ht="12" customHeight="1" x14ac:dyDescent="0.2">
      <c r="A25" s="302" t="s">
        <v>23</v>
      </c>
      <c r="B25" s="302"/>
      <c r="C25" s="125">
        <f t="shared" ref="C25:J25" si="13">C133</f>
        <v>5154</v>
      </c>
      <c r="D25" s="125">
        <f t="shared" si="13"/>
        <v>4047</v>
      </c>
      <c r="E25" s="125">
        <f t="shared" si="13"/>
        <v>1107</v>
      </c>
      <c r="F25" s="125">
        <f t="shared" si="13"/>
        <v>708</v>
      </c>
      <c r="G25" s="125">
        <f t="shared" si="13"/>
        <v>398</v>
      </c>
      <c r="H25" s="125">
        <f t="shared" si="13"/>
        <v>1</v>
      </c>
      <c r="I25" s="125">
        <f t="shared" si="13"/>
        <v>0</v>
      </c>
      <c r="J25" s="125">
        <f t="shared" si="13"/>
        <v>0</v>
      </c>
    </row>
    <row r="26" spans="1:10" s="126" customFormat="1" ht="12" customHeight="1" x14ac:dyDescent="0.2">
      <c r="A26" s="302" t="s">
        <v>24</v>
      </c>
      <c r="B26" s="302"/>
      <c r="C26" s="125">
        <f t="shared" ref="C26:J26" si="14">C27+C28</f>
        <v>12706</v>
      </c>
      <c r="D26" s="125">
        <f t="shared" si="14"/>
        <v>10233</v>
      </c>
      <c r="E26" s="125">
        <f t="shared" si="14"/>
        <v>2473</v>
      </c>
      <c r="F26" s="125">
        <f t="shared" si="14"/>
        <v>1718</v>
      </c>
      <c r="G26" s="125">
        <f t="shared" si="14"/>
        <v>689</v>
      </c>
      <c r="H26" s="125">
        <f t="shared" si="14"/>
        <v>40</v>
      </c>
      <c r="I26" s="125">
        <f t="shared" si="14"/>
        <v>26</v>
      </c>
      <c r="J26" s="125">
        <f t="shared" si="14"/>
        <v>0</v>
      </c>
    </row>
    <row r="27" spans="1:10" s="126" customFormat="1" ht="12" customHeight="1" x14ac:dyDescent="0.2">
      <c r="A27" s="133"/>
      <c r="B27" s="128" t="s">
        <v>25</v>
      </c>
      <c r="C27" s="125">
        <f t="shared" ref="C27:J27" si="15">C126+C130+C132+C138+C144+C147</f>
        <v>871</v>
      </c>
      <c r="D27" s="125">
        <f t="shared" si="15"/>
        <v>805</v>
      </c>
      <c r="E27" s="125">
        <f t="shared" si="15"/>
        <v>66</v>
      </c>
      <c r="F27" s="125">
        <f t="shared" si="15"/>
        <v>40</v>
      </c>
      <c r="G27" s="125">
        <f t="shared" si="15"/>
        <v>26</v>
      </c>
      <c r="H27" s="125">
        <f t="shared" si="15"/>
        <v>0</v>
      </c>
      <c r="I27" s="125">
        <f t="shared" si="15"/>
        <v>0</v>
      </c>
      <c r="J27" s="125">
        <f t="shared" si="15"/>
        <v>0</v>
      </c>
    </row>
    <row r="28" spans="1:10" s="126" customFormat="1" ht="12" customHeight="1" x14ac:dyDescent="0.2">
      <c r="A28" s="130"/>
      <c r="B28" s="128" t="s">
        <v>26</v>
      </c>
      <c r="C28" s="125">
        <f t="shared" ref="C28:J28" si="16">C131+C134+C135+C145</f>
        <v>11835</v>
      </c>
      <c r="D28" s="125">
        <f t="shared" si="16"/>
        <v>9428</v>
      </c>
      <c r="E28" s="125">
        <f t="shared" si="16"/>
        <v>2407</v>
      </c>
      <c r="F28" s="125">
        <f t="shared" si="16"/>
        <v>1678</v>
      </c>
      <c r="G28" s="125">
        <f t="shared" si="16"/>
        <v>663</v>
      </c>
      <c r="H28" s="125">
        <f t="shared" si="16"/>
        <v>40</v>
      </c>
      <c r="I28" s="125">
        <f t="shared" si="16"/>
        <v>26</v>
      </c>
      <c r="J28" s="125">
        <f t="shared" si="16"/>
        <v>0</v>
      </c>
    </row>
    <row r="29" spans="1:10" s="126" customFormat="1" ht="12" customHeight="1" x14ac:dyDescent="0.2">
      <c r="A29" s="302" t="s">
        <v>27</v>
      </c>
      <c r="B29" s="302"/>
      <c r="C29" s="125">
        <f t="shared" ref="C29:J29" si="17">C30+C31</f>
        <v>3791</v>
      </c>
      <c r="D29" s="125">
        <f t="shared" si="17"/>
        <v>3338</v>
      </c>
      <c r="E29" s="125">
        <f t="shared" si="17"/>
        <v>453</v>
      </c>
      <c r="F29" s="125">
        <f t="shared" si="17"/>
        <v>293</v>
      </c>
      <c r="G29" s="125">
        <f t="shared" si="17"/>
        <v>160</v>
      </c>
      <c r="H29" s="125">
        <f t="shared" si="17"/>
        <v>0</v>
      </c>
      <c r="I29" s="125">
        <f t="shared" si="17"/>
        <v>0</v>
      </c>
      <c r="J29" s="125">
        <f t="shared" si="17"/>
        <v>0</v>
      </c>
    </row>
    <row r="30" spans="1:10" s="126" customFormat="1" ht="12" customHeight="1" x14ac:dyDescent="0.2">
      <c r="A30" s="133"/>
      <c r="B30" s="128" t="s">
        <v>28</v>
      </c>
      <c r="C30" s="125">
        <f t="shared" ref="C30:J30" si="18">+C129</f>
        <v>1183</v>
      </c>
      <c r="D30" s="125">
        <f t="shared" si="18"/>
        <v>1058</v>
      </c>
      <c r="E30" s="125">
        <f t="shared" si="18"/>
        <v>125</v>
      </c>
      <c r="F30" s="125">
        <f t="shared" si="18"/>
        <v>93</v>
      </c>
      <c r="G30" s="125">
        <f t="shared" si="18"/>
        <v>32</v>
      </c>
      <c r="H30" s="125">
        <f t="shared" si="18"/>
        <v>0</v>
      </c>
      <c r="I30" s="125">
        <f t="shared" si="18"/>
        <v>0</v>
      </c>
      <c r="J30" s="125">
        <f t="shared" si="18"/>
        <v>0</v>
      </c>
    </row>
    <row r="31" spans="1:10" s="126" customFormat="1" ht="12" customHeight="1" x14ac:dyDescent="0.2">
      <c r="A31" s="130"/>
      <c r="B31" s="128" t="s">
        <v>29</v>
      </c>
      <c r="C31" s="125">
        <f t="shared" ref="C31:J31" si="19">C146</f>
        <v>2608</v>
      </c>
      <c r="D31" s="125">
        <f t="shared" si="19"/>
        <v>2280</v>
      </c>
      <c r="E31" s="125">
        <f t="shared" si="19"/>
        <v>328</v>
      </c>
      <c r="F31" s="125">
        <f t="shared" si="19"/>
        <v>200</v>
      </c>
      <c r="G31" s="125">
        <f t="shared" si="19"/>
        <v>128</v>
      </c>
      <c r="H31" s="125">
        <f t="shared" si="19"/>
        <v>0</v>
      </c>
      <c r="I31" s="125">
        <f t="shared" si="19"/>
        <v>0</v>
      </c>
      <c r="J31" s="125">
        <f t="shared" si="19"/>
        <v>0</v>
      </c>
    </row>
    <row r="32" spans="1:10" s="126" customFormat="1" ht="12" customHeight="1" x14ac:dyDescent="0.2">
      <c r="A32" s="302" t="s">
        <v>30</v>
      </c>
      <c r="B32" s="302"/>
      <c r="C32" s="125">
        <f t="shared" ref="C32:J32" si="20">C141</f>
        <v>698</v>
      </c>
      <c r="D32" s="125">
        <f t="shared" si="20"/>
        <v>648</v>
      </c>
      <c r="E32" s="125">
        <f t="shared" si="20"/>
        <v>50</v>
      </c>
      <c r="F32" s="125">
        <f t="shared" si="20"/>
        <v>37</v>
      </c>
      <c r="G32" s="125">
        <f t="shared" si="20"/>
        <v>13</v>
      </c>
      <c r="H32" s="125">
        <f t="shared" si="20"/>
        <v>0</v>
      </c>
      <c r="I32" s="125">
        <f t="shared" si="20"/>
        <v>0</v>
      </c>
      <c r="J32" s="125">
        <f t="shared" si="20"/>
        <v>0</v>
      </c>
    </row>
    <row r="33" spans="1:10" s="126" customFormat="1" ht="12" customHeight="1" x14ac:dyDescent="0.2">
      <c r="A33" s="302" t="s">
        <v>343</v>
      </c>
      <c r="B33" s="302"/>
      <c r="C33" s="125">
        <f t="shared" ref="C33:J33" si="21">C34+C35+C36</f>
        <v>6024</v>
      </c>
      <c r="D33" s="125">
        <f t="shared" si="21"/>
        <v>5305</v>
      </c>
      <c r="E33" s="125">
        <f t="shared" si="21"/>
        <v>719</v>
      </c>
      <c r="F33" s="125">
        <f t="shared" si="21"/>
        <v>453</v>
      </c>
      <c r="G33" s="125">
        <f t="shared" si="21"/>
        <v>235</v>
      </c>
      <c r="H33" s="125">
        <f t="shared" si="21"/>
        <v>5</v>
      </c>
      <c r="I33" s="125">
        <f t="shared" si="21"/>
        <v>26</v>
      </c>
      <c r="J33" s="125">
        <f t="shared" si="21"/>
        <v>0</v>
      </c>
    </row>
    <row r="34" spans="1:10" s="126" customFormat="1" ht="12" customHeight="1" x14ac:dyDescent="0.2">
      <c r="A34" s="133"/>
      <c r="B34" s="128" t="s">
        <v>32</v>
      </c>
      <c r="C34" s="125">
        <f t="shared" ref="C34:J34" si="22">C155</f>
        <v>569</v>
      </c>
      <c r="D34" s="125">
        <f t="shared" si="22"/>
        <v>510</v>
      </c>
      <c r="E34" s="125">
        <f t="shared" si="22"/>
        <v>59</v>
      </c>
      <c r="F34" s="125">
        <f t="shared" si="22"/>
        <v>18</v>
      </c>
      <c r="G34" s="125">
        <f t="shared" si="22"/>
        <v>20</v>
      </c>
      <c r="H34" s="125">
        <f t="shared" si="22"/>
        <v>4</v>
      </c>
      <c r="I34" s="125">
        <f t="shared" si="22"/>
        <v>17</v>
      </c>
      <c r="J34" s="125">
        <f t="shared" si="22"/>
        <v>0</v>
      </c>
    </row>
    <row r="35" spans="1:10" s="126" customFormat="1" ht="12" customHeight="1" x14ac:dyDescent="0.2">
      <c r="A35" s="127"/>
      <c r="B35" s="128" t="s">
        <v>33</v>
      </c>
      <c r="C35" s="125">
        <f t="shared" ref="C35:J35" si="23">C151+C152+C153+C156</f>
        <v>207</v>
      </c>
      <c r="D35" s="125">
        <f t="shared" si="23"/>
        <v>174</v>
      </c>
      <c r="E35" s="125">
        <f t="shared" si="23"/>
        <v>33</v>
      </c>
      <c r="F35" s="125">
        <f t="shared" si="23"/>
        <v>19</v>
      </c>
      <c r="G35" s="125">
        <f t="shared" si="23"/>
        <v>10</v>
      </c>
      <c r="H35" s="125">
        <f t="shared" si="23"/>
        <v>1</v>
      </c>
      <c r="I35" s="125">
        <f t="shared" si="23"/>
        <v>3</v>
      </c>
      <c r="J35" s="125">
        <f t="shared" si="23"/>
        <v>0</v>
      </c>
    </row>
    <row r="36" spans="1:10" s="126" customFormat="1" ht="12" customHeight="1" x14ac:dyDescent="0.2">
      <c r="A36" s="127"/>
      <c r="B36" s="134" t="s">
        <v>344</v>
      </c>
      <c r="C36" s="132">
        <f t="shared" ref="C36:J36" si="24">C150+C154+C157</f>
        <v>5248</v>
      </c>
      <c r="D36" s="132">
        <f t="shared" si="24"/>
        <v>4621</v>
      </c>
      <c r="E36" s="132">
        <f t="shared" si="24"/>
        <v>627</v>
      </c>
      <c r="F36" s="132">
        <f t="shared" si="24"/>
        <v>416</v>
      </c>
      <c r="G36" s="132">
        <f t="shared" si="24"/>
        <v>205</v>
      </c>
      <c r="H36" s="132">
        <f t="shared" si="24"/>
        <v>0</v>
      </c>
      <c r="I36" s="132">
        <f t="shared" si="24"/>
        <v>6</v>
      </c>
      <c r="J36" s="132">
        <f t="shared" si="24"/>
        <v>0</v>
      </c>
    </row>
    <row r="37" spans="1:10" s="126" customFormat="1" ht="12" customHeight="1" x14ac:dyDescent="0.2">
      <c r="A37" s="130"/>
      <c r="B37" s="130"/>
      <c r="C37" s="130"/>
      <c r="D37" s="130"/>
      <c r="E37" s="130"/>
      <c r="F37" s="130"/>
      <c r="G37" s="130"/>
      <c r="H37" s="130"/>
      <c r="I37" s="130"/>
      <c r="J37" s="130"/>
    </row>
    <row r="38" spans="1:10" s="124" customFormat="1" ht="12" customHeight="1" x14ac:dyDescent="0.2">
      <c r="A38" s="303" t="s">
        <v>35</v>
      </c>
      <c r="B38" s="303"/>
      <c r="C38" s="123">
        <f t="shared" ref="C38:J38" si="25">C39+C40</f>
        <v>50190</v>
      </c>
      <c r="D38" s="123">
        <f t="shared" si="25"/>
        <v>36426</v>
      </c>
      <c r="E38" s="123">
        <f t="shared" si="25"/>
        <v>13764</v>
      </c>
      <c r="F38" s="123">
        <f t="shared" si="25"/>
        <v>9447</v>
      </c>
      <c r="G38" s="123">
        <f t="shared" si="25"/>
        <v>4017</v>
      </c>
      <c r="H38" s="123">
        <f t="shared" si="25"/>
        <v>188</v>
      </c>
      <c r="I38" s="123">
        <f t="shared" si="25"/>
        <v>112</v>
      </c>
      <c r="J38" s="123">
        <f t="shared" si="25"/>
        <v>0</v>
      </c>
    </row>
    <row r="39" spans="1:10" s="126" customFormat="1" ht="12" customHeight="1" x14ac:dyDescent="0.2">
      <c r="A39" s="302" t="s">
        <v>36</v>
      </c>
      <c r="B39" s="302"/>
      <c r="C39" s="125">
        <f t="shared" ref="C39:J39" si="26">C160+C161+C163+C164+C166+C169+C171+C172+C175+C176</f>
        <v>44044</v>
      </c>
      <c r="D39" s="125">
        <f t="shared" si="26"/>
        <v>32240</v>
      </c>
      <c r="E39" s="125">
        <f t="shared" si="26"/>
        <v>11804</v>
      </c>
      <c r="F39" s="125">
        <f t="shared" si="26"/>
        <v>8090</v>
      </c>
      <c r="G39" s="125">
        <f t="shared" si="26"/>
        <v>3465</v>
      </c>
      <c r="H39" s="125">
        <f t="shared" si="26"/>
        <v>153</v>
      </c>
      <c r="I39" s="125">
        <f t="shared" si="26"/>
        <v>96</v>
      </c>
      <c r="J39" s="125">
        <f t="shared" si="26"/>
        <v>0</v>
      </c>
    </row>
    <row r="40" spans="1:10" s="126" customFormat="1" ht="12" customHeight="1" x14ac:dyDescent="0.2">
      <c r="A40" s="304" t="s">
        <v>37</v>
      </c>
      <c r="B40" s="304"/>
      <c r="C40" s="132">
        <f t="shared" ref="C40:J40" si="27">+C162+C167+C174</f>
        <v>6146</v>
      </c>
      <c r="D40" s="132">
        <f t="shared" si="27"/>
        <v>4186</v>
      </c>
      <c r="E40" s="132">
        <f t="shared" si="27"/>
        <v>1960</v>
      </c>
      <c r="F40" s="132">
        <f t="shared" si="27"/>
        <v>1357</v>
      </c>
      <c r="G40" s="132">
        <f t="shared" si="27"/>
        <v>552</v>
      </c>
      <c r="H40" s="132">
        <f t="shared" si="27"/>
        <v>35</v>
      </c>
      <c r="I40" s="132">
        <f t="shared" si="27"/>
        <v>16</v>
      </c>
      <c r="J40" s="132">
        <f t="shared" si="27"/>
        <v>0</v>
      </c>
    </row>
    <row r="41" spans="1:10" s="126" customFormat="1" ht="12" customHeight="1" x14ac:dyDescent="0.2">
      <c r="A41" s="130"/>
      <c r="B41" s="130"/>
      <c r="C41" s="130"/>
      <c r="D41" s="130"/>
      <c r="E41" s="130"/>
      <c r="F41" s="130"/>
      <c r="G41" s="130"/>
      <c r="H41" s="130"/>
      <c r="I41" s="130"/>
      <c r="J41" s="130"/>
    </row>
    <row r="42" spans="1:10" s="124" customFormat="1" ht="12" customHeight="1" x14ac:dyDescent="0.2">
      <c r="A42" s="303" t="s">
        <v>38</v>
      </c>
      <c r="B42" s="303"/>
      <c r="C42" s="123">
        <f t="shared" ref="C42:J42" si="28">C43+C44+C47</f>
        <v>147228</v>
      </c>
      <c r="D42" s="123">
        <f t="shared" si="28"/>
        <v>100147</v>
      </c>
      <c r="E42" s="123">
        <f t="shared" si="28"/>
        <v>47081</v>
      </c>
      <c r="F42" s="123">
        <f t="shared" si="28"/>
        <v>26988</v>
      </c>
      <c r="G42" s="123">
        <f t="shared" si="28"/>
        <v>19508</v>
      </c>
      <c r="H42" s="123">
        <f t="shared" si="28"/>
        <v>472</v>
      </c>
      <c r="I42" s="123">
        <f t="shared" si="28"/>
        <v>86</v>
      </c>
      <c r="J42" s="123">
        <f t="shared" si="28"/>
        <v>27</v>
      </c>
    </row>
    <row r="43" spans="1:10" s="126" customFormat="1" ht="12" customHeight="1" x14ac:dyDescent="0.2">
      <c r="A43" s="302" t="s">
        <v>39</v>
      </c>
      <c r="B43" s="302"/>
      <c r="C43" s="125">
        <f t="shared" ref="C43:J43" si="29">C82+C83+C86+C87+C89+C91+C93+C94+C98+C100+C105+C106+C110+C113+C116+C118+C121+C122</f>
        <v>99654</v>
      </c>
      <c r="D43" s="125">
        <f t="shared" si="29"/>
        <v>62487</v>
      </c>
      <c r="E43" s="125">
        <f t="shared" si="29"/>
        <v>37167</v>
      </c>
      <c r="F43" s="125">
        <f t="shared" si="29"/>
        <v>20534</v>
      </c>
      <c r="G43" s="125">
        <f t="shared" si="29"/>
        <v>16124</v>
      </c>
      <c r="H43" s="125">
        <f t="shared" si="29"/>
        <v>413</v>
      </c>
      <c r="I43" s="125">
        <f t="shared" si="29"/>
        <v>69</v>
      </c>
      <c r="J43" s="125">
        <f t="shared" si="29"/>
        <v>27</v>
      </c>
    </row>
    <row r="44" spans="1:10" s="126" customFormat="1" ht="12" customHeight="1" x14ac:dyDescent="0.2">
      <c r="A44" s="307" t="s">
        <v>40</v>
      </c>
      <c r="B44" s="307"/>
      <c r="C44" s="125">
        <f t="shared" ref="C44:J44" si="30">C45+C46</f>
        <v>23624</v>
      </c>
      <c r="D44" s="125">
        <f t="shared" si="30"/>
        <v>19438</v>
      </c>
      <c r="E44" s="125">
        <f t="shared" si="30"/>
        <v>4186</v>
      </c>
      <c r="F44" s="125">
        <f t="shared" si="30"/>
        <v>2832</v>
      </c>
      <c r="G44" s="125">
        <f t="shared" si="30"/>
        <v>1332</v>
      </c>
      <c r="H44" s="125">
        <f t="shared" si="30"/>
        <v>21</v>
      </c>
      <c r="I44" s="125">
        <f t="shared" si="30"/>
        <v>1</v>
      </c>
      <c r="J44" s="125">
        <f t="shared" si="30"/>
        <v>0</v>
      </c>
    </row>
    <row r="45" spans="1:10" s="126" customFormat="1" ht="12" customHeight="1" x14ac:dyDescent="0.2">
      <c r="A45" s="134"/>
      <c r="B45" s="128" t="s">
        <v>41</v>
      </c>
      <c r="C45" s="125">
        <f t="shared" ref="C45:J45" si="31">C76+C103+C92+C168+C96+C101+C119</f>
        <v>13671</v>
      </c>
      <c r="D45" s="125">
        <f t="shared" si="31"/>
        <v>10771</v>
      </c>
      <c r="E45" s="125">
        <f t="shared" si="31"/>
        <v>2900</v>
      </c>
      <c r="F45" s="125">
        <f t="shared" si="31"/>
        <v>1973</v>
      </c>
      <c r="G45" s="125">
        <f t="shared" si="31"/>
        <v>906</v>
      </c>
      <c r="H45" s="125">
        <f t="shared" si="31"/>
        <v>20</v>
      </c>
      <c r="I45" s="125">
        <f t="shared" si="31"/>
        <v>1</v>
      </c>
      <c r="J45" s="125">
        <f t="shared" si="31"/>
        <v>0</v>
      </c>
    </row>
    <row r="46" spans="1:10" s="126" customFormat="1" ht="12" customHeight="1" x14ac:dyDescent="0.2">
      <c r="A46" s="134"/>
      <c r="B46" s="128" t="s">
        <v>42</v>
      </c>
      <c r="C46" s="125">
        <f t="shared" ref="C46:J46" si="32">C84+C109+C111</f>
        <v>9953</v>
      </c>
      <c r="D46" s="125">
        <f t="shared" si="32"/>
        <v>8667</v>
      </c>
      <c r="E46" s="125">
        <f t="shared" si="32"/>
        <v>1286</v>
      </c>
      <c r="F46" s="125">
        <f t="shared" si="32"/>
        <v>859</v>
      </c>
      <c r="G46" s="125">
        <f t="shared" si="32"/>
        <v>426</v>
      </c>
      <c r="H46" s="125">
        <f t="shared" si="32"/>
        <v>1</v>
      </c>
      <c r="I46" s="125">
        <f t="shared" si="32"/>
        <v>0</v>
      </c>
      <c r="J46" s="125">
        <f t="shared" si="32"/>
        <v>0</v>
      </c>
    </row>
    <row r="47" spans="1:10" s="126" customFormat="1" ht="12" customHeight="1" x14ac:dyDescent="0.2">
      <c r="A47" s="302" t="s">
        <v>44</v>
      </c>
      <c r="B47" s="302"/>
      <c r="C47" s="125">
        <f t="shared" ref="C47:J47" si="33">C48+C49+C50</f>
        <v>23950</v>
      </c>
      <c r="D47" s="125">
        <f t="shared" si="33"/>
        <v>18222</v>
      </c>
      <c r="E47" s="125">
        <f t="shared" si="33"/>
        <v>5728</v>
      </c>
      <c r="F47" s="125">
        <f t="shared" si="33"/>
        <v>3622</v>
      </c>
      <c r="G47" s="125">
        <f t="shared" si="33"/>
        <v>2052</v>
      </c>
      <c r="H47" s="125">
        <f t="shared" si="33"/>
        <v>38</v>
      </c>
      <c r="I47" s="125">
        <f t="shared" si="33"/>
        <v>16</v>
      </c>
      <c r="J47" s="125">
        <f t="shared" si="33"/>
        <v>0</v>
      </c>
    </row>
    <row r="48" spans="1:10" s="126" customFormat="1" ht="12" customHeight="1" x14ac:dyDescent="0.2">
      <c r="A48" s="134"/>
      <c r="B48" s="128" t="s">
        <v>45</v>
      </c>
      <c r="C48" s="125">
        <f t="shared" ref="C48:J48" si="34">+C72+C73+C81+C102</f>
        <v>2881</v>
      </c>
      <c r="D48" s="125">
        <f t="shared" si="34"/>
        <v>2523</v>
      </c>
      <c r="E48" s="125">
        <f t="shared" si="34"/>
        <v>358</v>
      </c>
      <c r="F48" s="125">
        <f t="shared" si="34"/>
        <v>218</v>
      </c>
      <c r="G48" s="125">
        <f t="shared" si="34"/>
        <v>140</v>
      </c>
      <c r="H48" s="125">
        <f t="shared" si="34"/>
        <v>0</v>
      </c>
      <c r="I48" s="125">
        <f t="shared" si="34"/>
        <v>0</v>
      </c>
      <c r="J48" s="125">
        <f t="shared" si="34"/>
        <v>0</v>
      </c>
    </row>
    <row r="49" spans="1:10" s="126" customFormat="1" ht="12" customHeight="1" x14ac:dyDescent="0.2">
      <c r="A49" s="134"/>
      <c r="B49" s="128" t="s">
        <v>46</v>
      </c>
      <c r="C49" s="125">
        <f t="shared" ref="C49:J49" si="35">C75+C77+C88+C90+C104+C108+C114+C117</f>
        <v>6210</v>
      </c>
      <c r="D49" s="125">
        <f t="shared" si="35"/>
        <v>5063</v>
      </c>
      <c r="E49" s="125">
        <f t="shared" si="35"/>
        <v>1147</v>
      </c>
      <c r="F49" s="125">
        <f t="shared" si="35"/>
        <v>719</v>
      </c>
      <c r="G49" s="125">
        <f t="shared" si="35"/>
        <v>420</v>
      </c>
      <c r="H49" s="125">
        <f t="shared" si="35"/>
        <v>6</v>
      </c>
      <c r="I49" s="125">
        <f t="shared" si="35"/>
        <v>2</v>
      </c>
      <c r="J49" s="125">
        <f t="shared" si="35"/>
        <v>0</v>
      </c>
    </row>
    <row r="50" spans="1:10" s="126" customFormat="1" ht="12" customHeight="1" x14ac:dyDescent="0.2">
      <c r="A50" s="134"/>
      <c r="B50" s="134" t="s">
        <v>47</v>
      </c>
      <c r="C50" s="132">
        <f t="shared" ref="C50:J50" si="36">C71+C78+C85+C95+C107+C112+C120</f>
        <v>14859</v>
      </c>
      <c r="D50" s="132">
        <f t="shared" si="36"/>
        <v>10636</v>
      </c>
      <c r="E50" s="132">
        <f t="shared" si="36"/>
        <v>4223</v>
      </c>
      <c r="F50" s="132">
        <f t="shared" si="36"/>
        <v>2685</v>
      </c>
      <c r="G50" s="132">
        <f t="shared" si="36"/>
        <v>1492</v>
      </c>
      <c r="H50" s="132">
        <f t="shared" si="36"/>
        <v>32</v>
      </c>
      <c r="I50" s="132">
        <f t="shared" si="36"/>
        <v>14</v>
      </c>
      <c r="J50" s="132">
        <f t="shared" si="36"/>
        <v>0</v>
      </c>
    </row>
    <row r="51" spans="1:10" s="126" customFormat="1" ht="12" customHeight="1" x14ac:dyDescent="0.2">
      <c r="A51" s="129"/>
      <c r="B51" s="129"/>
      <c r="C51" s="129"/>
      <c r="D51" s="129"/>
      <c r="E51" s="129"/>
      <c r="F51" s="129"/>
      <c r="G51" s="129"/>
      <c r="H51" s="129"/>
      <c r="I51" s="129"/>
      <c r="J51" s="129"/>
    </row>
    <row r="52" spans="1:10" s="124" customFormat="1" ht="12" customHeight="1" x14ac:dyDescent="0.2">
      <c r="A52" s="303" t="s">
        <v>48</v>
      </c>
      <c r="B52" s="303"/>
      <c r="C52" s="123">
        <f t="shared" ref="C52:J52" si="37">C53+C54+C55</f>
        <v>56923</v>
      </c>
      <c r="D52" s="123">
        <f t="shared" si="37"/>
        <v>42353</v>
      </c>
      <c r="E52" s="123">
        <f t="shared" si="37"/>
        <v>14570</v>
      </c>
      <c r="F52" s="123">
        <f t="shared" si="37"/>
        <v>7733</v>
      </c>
      <c r="G52" s="123">
        <f t="shared" si="37"/>
        <v>6560</v>
      </c>
      <c r="H52" s="123">
        <f t="shared" si="37"/>
        <v>222</v>
      </c>
      <c r="I52" s="123">
        <f t="shared" si="37"/>
        <v>54</v>
      </c>
      <c r="J52" s="123">
        <f t="shared" si="37"/>
        <v>1</v>
      </c>
    </row>
    <row r="53" spans="1:10" s="126" customFormat="1" ht="12" customHeight="1" x14ac:dyDescent="0.2">
      <c r="A53" s="302" t="s">
        <v>49</v>
      </c>
      <c r="B53" s="302"/>
      <c r="C53" s="125">
        <f t="shared" ref="C53:J53" si="38">C58+C61+C64+C68</f>
        <v>19720</v>
      </c>
      <c r="D53" s="125">
        <f t="shared" si="38"/>
        <v>13178</v>
      </c>
      <c r="E53" s="125">
        <f t="shared" si="38"/>
        <v>6542</v>
      </c>
      <c r="F53" s="125">
        <f t="shared" si="38"/>
        <v>3456</v>
      </c>
      <c r="G53" s="125">
        <f t="shared" si="38"/>
        <v>2875</v>
      </c>
      <c r="H53" s="125">
        <f t="shared" si="38"/>
        <v>176</v>
      </c>
      <c r="I53" s="125">
        <f t="shared" si="38"/>
        <v>35</v>
      </c>
      <c r="J53" s="125">
        <f t="shared" si="38"/>
        <v>0</v>
      </c>
    </row>
    <row r="54" spans="1:10" s="126" customFormat="1" ht="12" customHeight="1" x14ac:dyDescent="0.2">
      <c r="A54" s="302" t="s">
        <v>50</v>
      </c>
      <c r="B54" s="302"/>
      <c r="C54" s="125">
        <f t="shared" ref="C54:J54" si="39">C74+C79+C80+C62+C63+C97+C99+C65+C66+C115+C67</f>
        <v>33013</v>
      </c>
      <c r="D54" s="125">
        <f t="shared" si="39"/>
        <v>25512</v>
      </c>
      <c r="E54" s="125">
        <f t="shared" si="39"/>
        <v>7501</v>
      </c>
      <c r="F54" s="125">
        <f t="shared" si="39"/>
        <v>3979</v>
      </c>
      <c r="G54" s="125">
        <f t="shared" si="39"/>
        <v>3456</v>
      </c>
      <c r="H54" s="125">
        <f t="shared" si="39"/>
        <v>46</v>
      </c>
      <c r="I54" s="125">
        <f t="shared" si="39"/>
        <v>19</v>
      </c>
      <c r="J54" s="125">
        <f t="shared" si="39"/>
        <v>1</v>
      </c>
    </row>
    <row r="55" spans="1:10" s="126" customFormat="1" ht="12" customHeight="1" x14ac:dyDescent="0.2">
      <c r="A55" s="304" t="s">
        <v>51</v>
      </c>
      <c r="B55" s="304"/>
      <c r="C55" s="132">
        <f t="shared" ref="C55:J55" si="40">C60+C59</f>
        <v>4190</v>
      </c>
      <c r="D55" s="132">
        <f t="shared" si="40"/>
        <v>3663</v>
      </c>
      <c r="E55" s="132">
        <f t="shared" si="40"/>
        <v>527</v>
      </c>
      <c r="F55" s="132">
        <f t="shared" si="40"/>
        <v>298</v>
      </c>
      <c r="G55" s="132">
        <f t="shared" si="40"/>
        <v>229</v>
      </c>
      <c r="H55" s="132">
        <f t="shared" si="40"/>
        <v>0</v>
      </c>
      <c r="I55" s="132">
        <f t="shared" si="40"/>
        <v>0</v>
      </c>
      <c r="J55" s="132">
        <f t="shared" si="40"/>
        <v>0</v>
      </c>
    </row>
    <row r="56" spans="1:10" s="126" customFormat="1" ht="12" customHeight="1" x14ac:dyDescent="0.2">
      <c r="A56" s="129"/>
      <c r="B56" s="135"/>
      <c r="C56" s="136"/>
      <c r="D56" s="136"/>
      <c r="E56" s="136"/>
      <c r="F56" s="136"/>
      <c r="G56" s="136"/>
      <c r="H56" s="136"/>
      <c r="I56" s="136"/>
      <c r="J56" s="136"/>
    </row>
    <row r="57" spans="1:10" s="126" customFormat="1" ht="12" customHeight="1" x14ac:dyDescent="0.2">
      <c r="A57" s="306" t="s">
        <v>52</v>
      </c>
      <c r="B57" s="306"/>
      <c r="C57" s="122">
        <f t="shared" ref="C57:J57" si="41">SUM(C58:C68)</f>
        <v>51564</v>
      </c>
      <c r="D57" s="122">
        <f t="shared" si="41"/>
        <v>38457</v>
      </c>
      <c r="E57" s="122">
        <f t="shared" si="41"/>
        <v>13107</v>
      </c>
      <c r="F57" s="122">
        <f t="shared" si="41"/>
        <v>7002</v>
      </c>
      <c r="G57" s="122">
        <f t="shared" si="41"/>
        <v>5831</v>
      </c>
      <c r="H57" s="122">
        <f t="shared" si="41"/>
        <v>221</v>
      </c>
      <c r="I57" s="122">
        <f t="shared" si="41"/>
        <v>53</v>
      </c>
      <c r="J57" s="122">
        <f t="shared" si="41"/>
        <v>0</v>
      </c>
    </row>
    <row r="58" spans="1:10" s="126" customFormat="1" ht="12" customHeight="1" x14ac:dyDescent="0.2">
      <c r="A58" s="302" t="s">
        <v>53</v>
      </c>
      <c r="B58" s="302"/>
      <c r="C58" s="125">
        <v>3385</v>
      </c>
      <c r="D58" s="125">
        <v>2524</v>
      </c>
      <c r="E58" s="125">
        <v>861</v>
      </c>
      <c r="F58" s="125">
        <v>514</v>
      </c>
      <c r="G58" s="125">
        <v>345</v>
      </c>
      <c r="H58" s="125">
        <v>2</v>
      </c>
      <c r="I58" s="125">
        <v>0</v>
      </c>
      <c r="J58" s="125">
        <v>0</v>
      </c>
    </row>
    <row r="59" spans="1:10" s="126" customFormat="1" ht="12" customHeight="1" x14ac:dyDescent="0.2">
      <c r="A59" s="302" t="s">
        <v>55</v>
      </c>
      <c r="B59" s="302"/>
      <c r="C59" s="125">
        <v>2059</v>
      </c>
      <c r="D59" s="125">
        <v>1797</v>
      </c>
      <c r="E59" s="125">
        <v>262</v>
      </c>
      <c r="F59" s="125">
        <v>142</v>
      </c>
      <c r="G59" s="125">
        <v>120</v>
      </c>
      <c r="H59" s="125">
        <v>0</v>
      </c>
      <c r="I59" s="125">
        <v>0</v>
      </c>
      <c r="J59" s="125">
        <v>0</v>
      </c>
    </row>
    <row r="60" spans="1:10" s="126" customFormat="1" ht="12" customHeight="1" x14ac:dyDescent="0.2">
      <c r="A60" s="302" t="s">
        <v>56</v>
      </c>
      <c r="B60" s="302"/>
      <c r="C60" s="125">
        <v>2131</v>
      </c>
      <c r="D60" s="125">
        <v>1866</v>
      </c>
      <c r="E60" s="125">
        <v>265</v>
      </c>
      <c r="F60" s="125">
        <v>156</v>
      </c>
      <c r="G60" s="125">
        <v>109</v>
      </c>
      <c r="H60" s="125">
        <v>0</v>
      </c>
      <c r="I60" s="125">
        <v>0</v>
      </c>
      <c r="J60" s="125">
        <v>0</v>
      </c>
    </row>
    <row r="61" spans="1:10" s="126" customFormat="1" ht="12" customHeight="1" x14ac:dyDescent="0.2">
      <c r="A61" s="302" t="s">
        <v>57</v>
      </c>
      <c r="B61" s="302"/>
      <c r="C61" s="125">
        <v>8331</v>
      </c>
      <c r="D61" s="125">
        <v>4815</v>
      </c>
      <c r="E61" s="125">
        <v>3516</v>
      </c>
      <c r="F61" s="125">
        <v>1694</v>
      </c>
      <c r="G61" s="125">
        <v>1629</v>
      </c>
      <c r="H61" s="125">
        <v>164</v>
      </c>
      <c r="I61" s="125">
        <v>29</v>
      </c>
      <c r="J61" s="125">
        <v>0</v>
      </c>
    </row>
    <row r="62" spans="1:10" s="126" customFormat="1" ht="12" customHeight="1" x14ac:dyDescent="0.2">
      <c r="A62" s="302" t="s">
        <v>58</v>
      </c>
      <c r="B62" s="302"/>
      <c r="C62" s="125">
        <v>2892</v>
      </c>
      <c r="D62" s="125">
        <v>2288</v>
      </c>
      <c r="E62" s="125">
        <v>604</v>
      </c>
      <c r="F62" s="125">
        <v>352</v>
      </c>
      <c r="G62" s="125">
        <v>250</v>
      </c>
      <c r="H62" s="125">
        <v>0</v>
      </c>
      <c r="I62" s="125">
        <v>2</v>
      </c>
      <c r="J62" s="125">
        <v>0</v>
      </c>
    </row>
    <row r="63" spans="1:10" s="126" customFormat="1" ht="12" customHeight="1" x14ac:dyDescent="0.2">
      <c r="A63" s="302" t="s">
        <v>60</v>
      </c>
      <c r="B63" s="302"/>
      <c r="C63" s="125">
        <v>15110</v>
      </c>
      <c r="D63" s="125">
        <v>11654</v>
      </c>
      <c r="E63" s="125">
        <v>3456</v>
      </c>
      <c r="F63" s="125">
        <v>1741</v>
      </c>
      <c r="G63" s="125">
        <v>1693</v>
      </c>
      <c r="H63" s="125">
        <v>22</v>
      </c>
      <c r="I63" s="125">
        <v>0</v>
      </c>
      <c r="J63" s="125">
        <v>0</v>
      </c>
    </row>
    <row r="64" spans="1:10" s="126" customFormat="1" ht="12" customHeight="1" x14ac:dyDescent="0.2">
      <c r="A64" s="302" t="s">
        <v>62</v>
      </c>
      <c r="B64" s="302"/>
      <c r="C64" s="125">
        <v>4597</v>
      </c>
      <c r="D64" s="125">
        <v>3461</v>
      </c>
      <c r="E64" s="125">
        <v>1136</v>
      </c>
      <c r="F64" s="125">
        <v>717</v>
      </c>
      <c r="G64" s="125">
        <v>416</v>
      </c>
      <c r="H64" s="125">
        <v>3</v>
      </c>
      <c r="I64" s="125">
        <v>0</v>
      </c>
      <c r="J64" s="125">
        <v>0</v>
      </c>
    </row>
    <row r="65" spans="1:10" s="126" customFormat="1" ht="12" customHeight="1" x14ac:dyDescent="0.2">
      <c r="A65" s="302" t="s">
        <v>63</v>
      </c>
      <c r="B65" s="302"/>
      <c r="C65" s="125">
        <v>2398</v>
      </c>
      <c r="D65" s="125">
        <v>1993</v>
      </c>
      <c r="E65" s="125">
        <v>405</v>
      </c>
      <c r="F65" s="125">
        <v>242</v>
      </c>
      <c r="G65" s="125">
        <v>131</v>
      </c>
      <c r="H65" s="125">
        <v>16</v>
      </c>
      <c r="I65" s="125">
        <v>16</v>
      </c>
      <c r="J65" s="125">
        <v>0</v>
      </c>
    </row>
    <row r="66" spans="1:10" s="126" customFormat="1" ht="12" customHeight="1" x14ac:dyDescent="0.2">
      <c r="A66" s="302" t="s">
        <v>64</v>
      </c>
      <c r="B66" s="302"/>
      <c r="C66" s="125">
        <v>2627</v>
      </c>
      <c r="D66" s="125">
        <v>2155</v>
      </c>
      <c r="E66" s="125">
        <v>472</v>
      </c>
      <c r="F66" s="125">
        <v>297</v>
      </c>
      <c r="G66" s="125">
        <v>175</v>
      </c>
      <c r="H66" s="125">
        <v>0</v>
      </c>
      <c r="I66" s="125">
        <v>0</v>
      </c>
      <c r="J66" s="125">
        <v>0</v>
      </c>
    </row>
    <row r="67" spans="1:10" s="126" customFormat="1" ht="12" customHeight="1" x14ac:dyDescent="0.2">
      <c r="A67" s="302" t="s">
        <v>65</v>
      </c>
      <c r="B67" s="302"/>
      <c r="C67" s="125">
        <v>4627</v>
      </c>
      <c r="D67" s="125">
        <v>3526</v>
      </c>
      <c r="E67" s="125">
        <v>1101</v>
      </c>
      <c r="F67" s="125">
        <v>616</v>
      </c>
      <c r="G67" s="125">
        <v>478</v>
      </c>
      <c r="H67" s="125">
        <v>7</v>
      </c>
      <c r="I67" s="125">
        <v>0</v>
      </c>
      <c r="J67" s="125">
        <v>0</v>
      </c>
    </row>
    <row r="68" spans="1:10" s="126" customFormat="1" ht="12" customHeight="1" x14ac:dyDescent="0.2">
      <c r="A68" s="304" t="s">
        <v>66</v>
      </c>
      <c r="B68" s="304"/>
      <c r="C68" s="132">
        <v>3407</v>
      </c>
      <c r="D68" s="132">
        <v>2378</v>
      </c>
      <c r="E68" s="132">
        <v>1029</v>
      </c>
      <c r="F68" s="132">
        <v>531</v>
      </c>
      <c r="G68" s="132">
        <v>485</v>
      </c>
      <c r="H68" s="132">
        <v>7</v>
      </c>
      <c r="I68" s="132">
        <v>6</v>
      </c>
      <c r="J68" s="132">
        <v>0</v>
      </c>
    </row>
    <row r="69" spans="1:10" s="126" customFormat="1" ht="12" customHeight="1" x14ac:dyDescent="0.2">
      <c r="A69" s="129"/>
      <c r="B69" s="129"/>
      <c r="C69" s="129"/>
      <c r="D69" s="129"/>
      <c r="E69" s="129"/>
      <c r="F69" s="129"/>
      <c r="G69" s="129"/>
      <c r="H69" s="129"/>
      <c r="I69" s="129"/>
      <c r="J69" s="129"/>
    </row>
    <row r="70" spans="1:10" s="126" customFormat="1" ht="12" customHeight="1" x14ac:dyDescent="0.2">
      <c r="A70" s="303" t="s">
        <v>67</v>
      </c>
      <c r="B70" s="303"/>
      <c r="C70" s="123">
        <f t="shared" ref="C70:J70" si="42">SUM(C71:C122)</f>
        <v>152203</v>
      </c>
      <c r="D70" s="123">
        <f t="shared" si="42"/>
        <v>103688</v>
      </c>
      <c r="E70" s="123">
        <f t="shared" si="42"/>
        <v>48515</v>
      </c>
      <c r="F70" s="123">
        <f t="shared" si="42"/>
        <v>27701</v>
      </c>
      <c r="G70" s="123">
        <f t="shared" si="42"/>
        <v>20226</v>
      </c>
      <c r="H70" s="123">
        <f t="shared" si="42"/>
        <v>473</v>
      </c>
      <c r="I70" s="123">
        <f t="shared" si="42"/>
        <v>87</v>
      </c>
      <c r="J70" s="123">
        <f t="shared" si="42"/>
        <v>28</v>
      </c>
    </row>
    <row r="71" spans="1:10" s="126" customFormat="1" ht="12" customHeight="1" x14ac:dyDescent="0.2">
      <c r="A71" s="302" t="s">
        <v>68</v>
      </c>
      <c r="B71" s="302"/>
      <c r="C71" s="125">
        <v>4518</v>
      </c>
      <c r="D71" s="125">
        <v>2989</v>
      </c>
      <c r="E71" s="125">
        <v>1529</v>
      </c>
      <c r="F71" s="125">
        <v>1037</v>
      </c>
      <c r="G71" s="125">
        <v>483</v>
      </c>
      <c r="H71" s="125">
        <v>6</v>
      </c>
      <c r="I71" s="125">
        <v>3</v>
      </c>
      <c r="J71" s="125">
        <v>0</v>
      </c>
    </row>
    <row r="72" spans="1:10" s="126" customFormat="1" ht="12" customHeight="1" x14ac:dyDescent="0.2">
      <c r="A72" s="302" t="s">
        <v>69</v>
      </c>
      <c r="B72" s="302"/>
      <c r="C72" s="125">
        <v>1414</v>
      </c>
      <c r="D72" s="125">
        <v>1294</v>
      </c>
      <c r="E72" s="125">
        <v>120</v>
      </c>
      <c r="F72" s="125">
        <v>76</v>
      </c>
      <c r="G72" s="125">
        <v>44</v>
      </c>
      <c r="H72" s="125">
        <v>0</v>
      </c>
      <c r="I72" s="125">
        <v>0</v>
      </c>
      <c r="J72" s="125">
        <v>0</v>
      </c>
    </row>
    <row r="73" spans="1:10" s="126" customFormat="1" ht="12" customHeight="1" x14ac:dyDescent="0.2">
      <c r="A73" s="302" t="s">
        <v>70</v>
      </c>
      <c r="B73" s="302"/>
      <c r="C73" s="125">
        <v>368</v>
      </c>
      <c r="D73" s="125">
        <v>318</v>
      </c>
      <c r="E73" s="125">
        <v>50</v>
      </c>
      <c r="F73" s="125">
        <v>34</v>
      </c>
      <c r="G73" s="125">
        <v>16</v>
      </c>
      <c r="H73" s="125">
        <v>0</v>
      </c>
      <c r="I73" s="125">
        <v>0</v>
      </c>
      <c r="J73" s="125">
        <v>0</v>
      </c>
    </row>
    <row r="74" spans="1:10" s="126" customFormat="1" ht="12" customHeight="1" x14ac:dyDescent="0.2">
      <c r="A74" s="302" t="s">
        <v>71</v>
      </c>
      <c r="B74" s="302"/>
      <c r="C74" s="125">
        <v>1004</v>
      </c>
      <c r="D74" s="125">
        <v>869</v>
      </c>
      <c r="E74" s="125">
        <v>135</v>
      </c>
      <c r="F74" s="125">
        <v>76</v>
      </c>
      <c r="G74" s="125">
        <v>58</v>
      </c>
      <c r="H74" s="125">
        <v>0</v>
      </c>
      <c r="I74" s="125">
        <v>1</v>
      </c>
      <c r="J74" s="125">
        <v>0</v>
      </c>
    </row>
    <row r="75" spans="1:10" s="126" customFormat="1" ht="12" customHeight="1" x14ac:dyDescent="0.2">
      <c r="A75" s="302" t="s">
        <v>72</v>
      </c>
      <c r="B75" s="302"/>
      <c r="C75" s="125">
        <v>305</v>
      </c>
      <c r="D75" s="125">
        <v>261</v>
      </c>
      <c r="E75" s="125">
        <v>44</v>
      </c>
      <c r="F75" s="125">
        <v>34</v>
      </c>
      <c r="G75" s="125">
        <v>8</v>
      </c>
      <c r="H75" s="125">
        <v>0</v>
      </c>
      <c r="I75" s="125">
        <v>2</v>
      </c>
      <c r="J75" s="125">
        <v>0</v>
      </c>
    </row>
    <row r="76" spans="1:10" s="126" customFormat="1" ht="12" customHeight="1" x14ac:dyDescent="0.2">
      <c r="A76" s="302" t="s">
        <v>73</v>
      </c>
      <c r="B76" s="302"/>
      <c r="C76" s="125">
        <v>1574</v>
      </c>
      <c r="D76" s="125">
        <v>1292</v>
      </c>
      <c r="E76" s="125">
        <v>282</v>
      </c>
      <c r="F76" s="125">
        <v>209</v>
      </c>
      <c r="G76" s="125">
        <v>73</v>
      </c>
      <c r="H76" s="125">
        <v>0</v>
      </c>
      <c r="I76" s="125">
        <v>0</v>
      </c>
      <c r="J76" s="125">
        <v>0</v>
      </c>
    </row>
    <row r="77" spans="1:10" s="126" customFormat="1" ht="12" customHeight="1" x14ac:dyDescent="0.2">
      <c r="A77" s="302" t="s">
        <v>74</v>
      </c>
      <c r="B77" s="302"/>
      <c r="C77" s="125">
        <v>644</v>
      </c>
      <c r="D77" s="125">
        <v>554</v>
      </c>
      <c r="E77" s="125">
        <v>90</v>
      </c>
      <c r="F77" s="125">
        <v>57</v>
      </c>
      <c r="G77" s="125">
        <v>33</v>
      </c>
      <c r="H77" s="125">
        <v>0</v>
      </c>
      <c r="I77" s="125">
        <v>0</v>
      </c>
      <c r="J77" s="125">
        <v>0</v>
      </c>
    </row>
    <row r="78" spans="1:10" s="126" customFormat="1" ht="12" customHeight="1" x14ac:dyDescent="0.2">
      <c r="A78" s="302" t="s">
        <v>75</v>
      </c>
      <c r="B78" s="302"/>
      <c r="C78" s="125">
        <v>2648</v>
      </c>
      <c r="D78" s="125">
        <v>2074</v>
      </c>
      <c r="E78" s="125">
        <v>574</v>
      </c>
      <c r="F78" s="125">
        <v>302</v>
      </c>
      <c r="G78" s="125">
        <v>267</v>
      </c>
      <c r="H78" s="125">
        <v>5</v>
      </c>
      <c r="I78" s="125">
        <v>0</v>
      </c>
      <c r="J78" s="125">
        <v>0</v>
      </c>
    </row>
    <row r="79" spans="1:10" s="126" customFormat="1" ht="12" customHeight="1" x14ac:dyDescent="0.2">
      <c r="A79" s="302" t="s">
        <v>77</v>
      </c>
      <c r="B79" s="302"/>
      <c r="C79" s="125">
        <v>905</v>
      </c>
      <c r="D79" s="125">
        <v>536</v>
      </c>
      <c r="E79" s="125">
        <v>369</v>
      </c>
      <c r="F79" s="125">
        <v>161</v>
      </c>
      <c r="G79" s="125">
        <v>207</v>
      </c>
      <c r="H79" s="125">
        <v>0</v>
      </c>
      <c r="I79" s="125">
        <v>0</v>
      </c>
      <c r="J79" s="125">
        <v>1</v>
      </c>
    </row>
    <row r="80" spans="1:10" s="126" customFormat="1" ht="12" customHeight="1" x14ac:dyDescent="0.2">
      <c r="A80" s="302" t="s">
        <v>79</v>
      </c>
      <c r="B80" s="302"/>
      <c r="C80" s="125">
        <v>495</v>
      </c>
      <c r="D80" s="125">
        <v>384</v>
      </c>
      <c r="E80" s="125">
        <v>111</v>
      </c>
      <c r="F80" s="125">
        <v>45</v>
      </c>
      <c r="G80" s="125">
        <v>66</v>
      </c>
      <c r="H80" s="125">
        <v>0</v>
      </c>
      <c r="I80" s="125">
        <v>0</v>
      </c>
      <c r="J80" s="125">
        <v>0</v>
      </c>
    </row>
    <row r="81" spans="1:10" s="126" customFormat="1" ht="12" customHeight="1" x14ac:dyDescent="0.2">
      <c r="A81" s="302" t="s">
        <v>80</v>
      </c>
      <c r="B81" s="302"/>
      <c r="C81" s="125">
        <v>791</v>
      </c>
      <c r="D81" s="125">
        <v>651</v>
      </c>
      <c r="E81" s="125">
        <v>140</v>
      </c>
      <c r="F81" s="125">
        <v>78</v>
      </c>
      <c r="G81" s="125">
        <v>62</v>
      </c>
      <c r="H81" s="125">
        <v>0</v>
      </c>
      <c r="I81" s="125">
        <v>0</v>
      </c>
      <c r="J81" s="125">
        <v>0</v>
      </c>
    </row>
    <row r="82" spans="1:10" s="126" customFormat="1" ht="12" customHeight="1" x14ac:dyDescent="0.2">
      <c r="A82" s="302" t="s">
        <v>81</v>
      </c>
      <c r="B82" s="302"/>
      <c r="C82" s="125">
        <v>1520</v>
      </c>
      <c r="D82" s="125">
        <v>1103</v>
      </c>
      <c r="E82" s="125">
        <v>417</v>
      </c>
      <c r="F82" s="125">
        <v>321</v>
      </c>
      <c r="G82" s="125">
        <v>94</v>
      </c>
      <c r="H82" s="125">
        <v>2</v>
      </c>
      <c r="I82" s="125">
        <v>0</v>
      </c>
      <c r="J82" s="125">
        <v>0</v>
      </c>
    </row>
    <row r="83" spans="1:10" s="126" customFormat="1" ht="12" customHeight="1" x14ac:dyDescent="0.2">
      <c r="A83" s="302" t="s">
        <v>84</v>
      </c>
      <c r="B83" s="302"/>
      <c r="C83" s="125">
        <v>2121</v>
      </c>
      <c r="D83" s="125">
        <v>1609</v>
      </c>
      <c r="E83" s="125">
        <v>512</v>
      </c>
      <c r="F83" s="125">
        <v>284</v>
      </c>
      <c r="G83" s="125">
        <v>223</v>
      </c>
      <c r="H83" s="125">
        <v>5</v>
      </c>
      <c r="I83" s="125">
        <v>0</v>
      </c>
      <c r="J83" s="125">
        <v>0</v>
      </c>
    </row>
    <row r="84" spans="1:10" s="126" customFormat="1" ht="12" customHeight="1" x14ac:dyDescent="0.2">
      <c r="A84" s="302" t="s">
        <v>85</v>
      </c>
      <c r="B84" s="302"/>
      <c r="C84" s="125">
        <v>6603</v>
      </c>
      <c r="D84" s="125">
        <v>5876</v>
      </c>
      <c r="E84" s="125">
        <v>727</v>
      </c>
      <c r="F84" s="125">
        <v>501</v>
      </c>
      <c r="G84" s="125">
        <v>225</v>
      </c>
      <c r="H84" s="125">
        <v>1</v>
      </c>
      <c r="I84" s="125">
        <v>0</v>
      </c>
      <c r="J84" s="125">
        <v>0</v>
      </c>
    </row>
    <row r="85" spans="1:10" s="126" customFormat="1" ht="12" customHeight="1" x14ac:dyDescent="0.2">
      <c r="A85" s="302" t="s">
        <v>88</v>
      </c>
      <c r="B85" s="302"/>
      <c r="C85" s="125">
        <v>4373</v>
      </c>
      <c r="D85" s="125">
        <v>3045</v>
      </c>
      <c r="E85" s="125">
        <v>1328</v>
      </c>
      <c r="F85" s="125">
        <v>880</v>
      </c>
      <c r="G85" s="125">
        <v>418</v>
      </c>
      <c r="H85" s="125">
        <v>20</v>
      </c>
      <c r="I85" s="125">
        <v>10</v>
      </c>
      <c r="J85" s="125">
        <v>0</v>
      </c>
    </row>
    <row r="86" spans="1:10" s="126" customFormat="1" ht="12" customHeight="1" x14ac:dyDescent="0.2">
      <c r="A86" s="302" t="s">
        <v>91</v>
      </c>
      <c r="B86" s="302"/>
      <c r="C86" s="125">
        <v>4656</v>
      </c>
      <c r="D86" s="125">
        <v>3158</v>
      </c>
      <c r="E86" s="125">
        <v>1498</v>
      </c>
      <c r="F86" s="125">
        <v>730</v>
      </c>
      <c r="G86" s="125">
        <v>768</v>
      </c>
      <c r="H86" s="125">
        <v>0</v>
      </c>
      <c r="I86" s="125">
        <v>0</v>
      </c>
      <c r="J86" s="125">
        <v>0</v>
      </c>
    </row>
    <row r="87" spans="1:10" s="126" customFormat="1" ht="12" customHeight="1" x14ac:dyDescent="0.2">
      <c r="A87" s="302" t="s">
        <v>92</v>
      </c>
      <c r="B87" s="302"/>
      <c r="C87" s="125">
        <v>2083</v>
      </c>
      <c r="D87" s="125">
        <v>1814</v>
      </c>
      <c r="E87" s="125">
        <v>269</v>
      </c>
      <c r="F87" s="125">
        <v>174</v>
      </c>
      <c r="G87" s="125">
        <v>95</v>
      </c>
      <c r="H87" s="125">
        <v>0</v>
      </c>
      <c r="I87" s="125">
        <v>0</v>
      </c>
      <c r="J87" s="125">
        <v>0</v>
      </c>
    </row>
    <row r="88" spans="1:10" s="126" customFormat="1" ht="12" customHeight="1" x14ac:dyDescent="0.2">
      <c r="A88" s="302" t="s">
        <v>93</v>
      </c>
      <c r="B88" s="302"/>
      <c r="C88" s="125">
        <v>875</v>
      </c>
      <c r="D88" s="125">
        <v>708</v>
      </c>
      <c r="E88" s="125">
        <v>167</v>
      </c>
      <c r="F88" s="125">
        <v>96</v>
      </c>
      <c r="G88" s="125">
        <v>71</v>
      </c>
      <c r="H88" s="125">
        <v>0</v>
      </c>
      <c r="I88" s="125">
        <v>0</v>
      </c>
      <c r="J88" s="125">
        <v>0</v>
      </c>
    </row>
    <row r="89" spans="1:10" s="126" customFormat="1" ht="12" customHeight="1" x14ac:dyDescent="0.2">
      <c r="A89" s="302" t="s">
        <v>94</v>
      </c>
      <c r="B89" s="302"/>
      <c r="C89" s="125">
        <v>1359</v>
      </c>
      <c r="D89" s="125">
        <v>1134</v>
      </c>
      <c r="E89" s="125">
        <v>225</v>
      </c>
      <c r="F89" s="125">
        <v>117</v>
      </c>
      <c r="G89" s="125">
        <v>107</v>
      </c>
      <c r="H89" s="125">
        <v>1</v>
      </c>
      <c r="I89" s="125">
        <v>0</v>
      </c>
      <c r="J89" s="125">
        <v>0</v>
      </c>
    </row>
    <row r="90" spans="1:10" s="126" customFormat="1" ht="12" customHeight="1" x14ac:dyDescent="0.2">
      <c r="A90" s="302" t="s">
        <v>95</v>
      </c>
      <c r="B90" s="302"/>
      <c r="C90" s="125">
        <v>546</v>
      </c>
      <c r="D90" s="125">
        <v>463</v>
      </c>
      <c r="E90" s="125">
        <v>83</v>
      </c>
      <c r="F90" s="125">
        <v>50</v>
      </c>
      <c r="G90" s="125">
        <v>28</v>
      </c>
      <c r="H90" s="125">
        <v>5</v>
      </c>
      <c r="I90" s="125">
        <v>0</v>
      </c>
      <c r="J90" s="125">
        <v>0</v>
      </c>
    </row>
    <row r="91" spans="1:10" s="126" customFormat="1" ht="12" customHeight="1" x14ac:dyDescent="0.2">
      <c r="A91" s="302" t="s">
        <v>96</v>
      </c>
      <c r="B91" s="302"/>
      <c r="C91" s="125">
        <v>526</v>
      </c>
      <c r="D91" s="125">
        <v>343</v>
      </c>
      <c r="E91" s="125">
        <v>183</v>
      </c>
      <c r="F91" s="125">
        <v>123</v>
      </c>
      <c r="G91" s="125">
        <v>60</v>
      </c>
      <c r="H91" s="125">
        <v>0</v>
      </c>
      <c r="I91" s="125">
        <v>0</v>
      </c>
      <c r="J91" s="125">
        <v>0</v>
      </c>
    </row>
    <row r="92" spans="1:10" s="126" customFormat="1" ht="12" customHeight="1" x14ac:dyDescent="0.2">
      <c r="A92" s="302" t="s">
        <v>97</v>
      </c>
      <c r="B92" s="302"/>
      <c r="C92" s="125">
        <v>1299</v>
      </c>
      <c r="D92" s="125">
        <v>1046</v>
      </c>
      <c r="E92" s="125">
        <v>253</v>
      </c>
      <c r="F92" s="125">
        <v>168</v>
      </c>
      <c r="G92" s="125">
        <v>85</v>
      </c>
      <c r="H92" s="125">
        <v>0</v>
      </c>
      <c r="I92" s="125">
        <v>0</v>
      </c>
      <c r="J92" s="125">
        <v>0</v>
      </c>
    </row>
    <row r="93" spans="1:10" s="126" customFormat="1" ht="12" customHeight="1" x14ac:dyDescent="0.2">
      <c r="A93" s="302" t="s">
        <v>98</v>
      </c>
      <c r="B93" s="302"/>
      <c r="C93" s="125">
        <v>1785</v>
      </c>
      <c r="D93" s="125">
        <v>1086</v>
      </c>
      <c r="E93" s="125">
        <v>699</v>
      </c>
      <c r="F93" s="125">
        <v>520</v>
      </c>
      <c r="G93" s="125">
        <v>153</v>
      </c>
      <c r="H93" s="125">
        <v>26</v>
      </c>
      <c r="I93" s="125">
        <v>0</v>
      </c>
      <c r="J93" s="125">
        <v>0</v>
      </c>
    </row>
    <row r="94" spans="1:10" s="126" customFormat="1" ht="12" customHeight="1" x14ac:dyDescent="0.2">
      <c r="A94" s="302" t="s">
        <v>99</v>
      </c>
      <c r="B94" s="302"/>
      <c r="C94" s="125">
        <v>63932</v>
      </c>
      <c r="D94" s="125">
        <v>39180</v>
      </c>
      <c r="E94" s="125">
        <v>24752</v>
      </c>
      <c r="F94" s="125">
        <v>13611</v>
      </c>
      <c r="G94" s="125">
        <v>10842</v>
      </c>
      <c r="H94" s="125">
        <v>243</v>
      </c>
      <c r="I94" s="125">
        <v>29</v>
      </c>
      <c r="J94" s="125">
        <v>27</v>
      </c>
    </row>
    <row r="95" spans="1:10" s="126" customFormat="1" ht="12" customHeight="1" x14ac:dyDescent="0.2">
      <c r="A95" s="302" t="s">
        <v>100</v>
      </c>
      <c r="B95" s="302"/>
      <c r="C95" s="125">
        <v>1594</v>
      </c>
      <c r="D95" s="125">
        <v>1215</v>
      </c>
      <c r="E95" s="125">
        <v>379</v>
      </c>
      <c r="F95" s="125">
        <v>226</v>
      </c>
      <c r="G95" s="125">
        <v>152</v>
      </c>
      <c r="H95" s="125">
        <v>0</v>
      </c>
      <c r="I95" s="125">
        <v>1</v>
      </c>
      <c r="J95" s="125">
        <v>0</v>
      </c>
    </row>
    <row r="96" spans="1:10" s="126" customFormat="1" ht="12" customHeight="1" x14ac:dyDescent="0.2">
      <c r="A96" s="302" t="s">
        <v>101</v>
      </c>
      <c r="B96" s="302"/>
      <c r="C96" s="125">
        <v>1318</v>
      </c>
      <c r="D96" s="125">
        <v>1074</v>
      </c>
      <c r="E96" s="125">
        <v>244</v>
      </c>
      <c r="F96" s="125">
        <v>150</v>
      </c>
      <c r="G96" s="125">
        <v>90</v>
      </c>
      <c r="H96" s="125">
        <v>4</v>
      </c>
      <c r="I96" s="125">
        <v>0</v>
      </c>
      <c r="J96" s="125">
        <v>0</v>
      </c>
    </row>
    <row r="97" spans="1:10" s="126" customFormat="1" ht="12" customHeight="1" x14ac:dyDescent="0.2">
      <c r="A97" s="302" t="s">
        <v>102</v>
      </c>
      <c r="B97" s="302"/>
      <c r="C97" s="125">
        <v>664</v>
      </c>
      <c r="D97" s="125">
        <v>424</v>
      </c>
      <c r="E97" s="125">
        <v>240</v>
      </c>
      <c r="F97" s="125">
        <v>105</v>
      </c>
      <c r="G97" s="125">
        <v>134</v>
      </c>
      <c r="H97" s="125">
        <v>1</v>
      </c>
      <c r="I97" s="125">
        <v>0</v>
      </c>
      <c r="J97" s="125">
        <v>0</v>
      </c>
    </row>
    <row r="98" spans="1:10" s="126" customFormat="1" ht="12" customHeight="1" x14ac:dyDescent="0.2">
      <c r="A98" s="302" t="s">
        <v>103</v>
      </c>
      <c r="B98" s="302"/>
      <c r="C98" s="125">
        <v>6195</v>
      </c>
      <c r="D98" s="125">
        <v>3532</v>
      </c>
      <c r="E98" s="125">
        <v>2663</v>
      </c>
      <c r="F98" s="125">
        <v>1547</v>
      </c>
      <c r="G98" s="125">
        <v>1052</v>
      </c>
      <c r="H98" s="125">
        <v>51</v>
      </c>
      <c r="I98" s="125">
        <v>13</v>
      </c>
      <c r="J98" s="125">
        <v>0</v>
      </c>
    </row>
    <row r="99" spans="1:10" s="126" customFormat="1" ht="12" customHeight="1" x14ac:dyDescent="0.2">
      <c r="A99" s="302" t="s">
        <v>104</v>
      </c>
      <c r="B99" s="302"/>
      <c r="C99" s="125">
        <v>1457</v>
      </c>
      <c r="D99" s="125">
        <v>1021</v>
      </c>
      <c r="E99" s="125">
        <v>436</v>
      </c>
      <c r="F99" s="125">
        <v>262</v>
      </c>
      <c r="G99" s="125">
        <v>174</v>
      </c>
      <c r="H99" s="125">
        <v>0</v>
      </c>
      <c r="I99" s="125">
        <v>0</v>
      </c>
      <c r="J99" s="125">
        <v>0</v>
      </c>
    </row>
    <row r="100" spans="1:10" s="126" customFormat="1" ht="12" customHeight="1" x14ac:dyDescent="0.2">
      <c r="A100" s="302" t="s">
        <v>105</v>
      </c>
      <c r="B100" s="302"/>
      <c r="C100" s="125">
        <v>1806</v>
      </c>
      <c r="D100" s="125">
        <v>1120</v>
      </c>
      <c r="E100" s="125">
        <v>686</v>
      </c>
      <c r="F100" s="125">
        <v>380</v>
      </c>
      <c r="G100" s="125">
        <v>305</v>
      </c>
      <c r="H100" s="125">
        <v>1</v>
      </c>
      <c r="I100" s="125">
        <v>0</v>
      </c>
      <c r="J100" s="125">
        <v>0</v>
      </c>
    </row>
    <row r="101" spans="1:10" s="126" customFormat="1" ht="12" customHeight="1" x14ac:dyDescent="0.2">
      <c r="A101" s="302" t="s">
        <v>106</v>
      </c>
      <c r="B101" s="302"/>
      <c r="C101" s="125">
        <v>1375</v>
      </c>
      <c r="D101" s="125">
        <v>1154</v>
      </c>
      <c r="E101" s="125">
        <v>221</v>
      </c>
      <c r="F101" s="125">
        <v>156</v>
      </c>
      <c r="G101" s="125">
        <v>65</v>
      </c>
      <c r="H101" s="125">
        <v>0</v>
      </c>
      <c r="I101" s="125">
        <v>0</v>
      </c>
      <c r="J101" s="125">
        <v>0</v>
      </c>
    </row>
    <row r="102" spans="1:10" s="126" customFormat="1" ht="12" customHeight="1" x14ac:dyDescent="0.2">
      <c r="A102" s="302" t="s">
        <v>107</v>
      </c>
      <c r="B102" s="302"/>
      <c r="C102" s="125">
        <v>308</v>
      </c>
      <c r="D102" s="125">
        <v>260</v>
      </c>
      <c r="E102" s="125">
        <v>48</v>
      </c>
      <c r="F102" s="125">
        <v>30</v>
      </c>
      <c r="G102" s="125">
        <v>18</v>
      </c>
      <c r="H102" s="125">
        <v>0</v>
      </c>
      <c r="I102" s="125">
        <v>0</v>
      </c>
      <c r="J102" s="125">
        <v>0</v>
      </c>
    </row>
    <row r="103" spans="1:10" s="126" customFormat="1" ht="12" customHeight="1" x14ac:dyDescent="0.2">
      <c r="A103" s="302" t="s">
        <v>336</v>
      </c>
      <c r="B103" s="302"/>
      <c r="C103" s="125">
        <v>4655</v>
      </c>
      <c r="D103" s="125">
        <v>3640</v>
      </c>
      <c r="E103" s="125">
        <v>1015</v>
      </c>
      <c r="F103" s="125">
        <v>614</v>
      </c>
      <c r="G103" s="125">
        <v>400</v>
      </c>
      <c r="H103" s="125">
        <v>1</v>
      </c>
      <c r="I103" s="125">
        <v>0</v>
      </c>
      <c r="J103" s="125">
        <v>0</v>
      </c>
    </row>
    <row r="104" spans="1:10" s="126" customFormat="1" ht="12" customHeight="1" x14ac:dyDescent="0.2">
      <c r="A104" s="302" t="s">
        <v>108</v>
      </c>
      <c r="B104" s="302"/>
      <c r="C104" s="125">
        <v>896</v>
      </c>
      <c r="D104" s="125">
        <v>689</v>
      </c>
      <c r="E104" s="125">
        <v>207</v>
      </c>
      <c r="F104" s="125">
        <v>137</v>
      </c>
      <c r="G104" s="125">
        <v>70</v>
      </c>
      <c r="H104" s="125">
        <v>0</v>
      </c>
      <c r="I104" s="125">
        <v>0</v>
      </c>
      <c r="J104" s="125">
        <v>0</v>
      </c>
    </row>
    <row r="105" spans="1:10" s="126" customFormat="1" ht="12" customHeight="1" x14ac:dyDescent="0.2">
      <c r="A105" s="302" t="s">
        <v>109</v>
      </c>
      <c r="B105" s="302"/>
      <c r="C105" s="125">
        <v>755</v>
      </c>
      <c r="D105" s="125">
        <v>435</v>
      </c>
      <c r="E105" s="125">
        <v>320</v>
      </c>
      <c r="F105" s="125">
        <v>156</v>
      </c>
      <c r="G105" s="125">
        <v>164</v>
      </c>
      <c r="H105" s="125">
        <v>0</v>
      </c>
      <c r="I105" s="125">
        <v>0</v>
      </c>
      <c r="J105" s="125">
        <v>0</v>
      </c>
    </row>
    <row r="106" spans="1:10" s="126" customFormat="1" ht="12" customHeight="1" x14ac:dyDescent="0.2">
      <c r="A106" s="302" t="s">
        <v>110</v>
      </c>
      <c r="B106" s="302"/>
      <c r="C106" s="125">
        <v>804</v>
      </c>
      <c r="D106" s="125">
        <v>641</v>
      </c>
      <c r="E106" s="125">
        <v>163</v>
      </c>
      <c r="F106" s="125">
        <v>91</v>
      </c>
      <c r="G106" s="125">
        <v>71</v>
      </c>
      <c r="H106" s="125">
        <v>0</v>
      </c>
      <c r="I106" s="125">
        <v>1</v>
      </c>
      <c r="J106" s="125">
        <v>0</v>
      </c>
    </row>
    <row r="107" spans="1:10" s="126" customFormat="1" ht="12" customHeight="1" x14ac:dyDescent="0.2">
      <c r="A107" s="302" t="s">
        <v>111</v>
      </c>
      <c r="B107" s="302"/>
      <c r="C107" s="125">
        <v>331</v>
      </c>
      <c r="D107" s="125">
        <v>290</v>
      </c>
      <c r="E107" s="125">
        <v>41</v>
      </c>
      <c r="F107" s="125">
        <v>32</v>
      </c>
      <c r="G107" s="125">
        <v>9</v>
      </c>
      <c r="H107" s="125">
        <v>0</v>
      </c>
      <c r="I107" s="125">
        <v>0</v>
      </c>
      <c r="J107" s="125">
        <v>0</v>
      </c>
    </row>
    <row r="108" spans="1:10" s="126" customFormat="1" ht="12" customHeight="1" x14ac:dyDescent="0.2">
      <c r="A108" s="302" t="s">
        <v>112</v>
      </c>
      <c r="B108" s="302"/>
      <c r="C108" s="125">
        <v>843</v>
      </c>
      <c r="D108" s="125">
        <v>729</v>
      </c>
      <c r="E108" s="125">
        <v>114</v>
      </c>
      <c r="F108" s="125">
        <v>67</v>
      </c>
      <c r="G108" s="125">
        <v>46</v>
      </c>
      <c r="H108" s="125">
        <v>1</v>
      </c>
      <c r="I108" s="125">
        <v>0</v>
      </c>
      <c r="J108" s="125">
        <v>0</v>
      </c>
    </row>
    <row r="109" spans="1:10" s="126" customFormat="1" ht="12" customHeight="1" x14ac:dyDescent="0.2">
      <c r="A109" s="302" t="s">
        <v>113</v>
      </c>
      <c r="B109" s="302"/>
      <c r="C109" s="125">
        <v>1466</v>
      </c>
      <c r="D109" s="125">
        <v>1181</v>
      </c>
      <c r="E109" s="125">
        <v>285</v>
      </c>
      <c r="F109" s="125">
        <v>169</v>
      </c>
      <c r="G109" s="125">
        <v>116</v>
      </c>
      <c r="H109" s="125">
        <v>0</v>
      </c>
      <c r="I109" s="125">
        <v>0</v>
      </c>
      <c r="J109" s="125">
        <v>0</v>
      </c>
    </row>
    <row r="110" spans="1:10" s="126" customFormat="1" ht="12" customHeight="1" x14ac:dyDescent="0.2">
      <c r="A110" s="302" t="s">
        <v>114</v>
      </c>
      <c r="B110" s="302"/>
      <c r="C110" s="125">
        <v>4152</v>
      </c>
      <c r="D110" s="125">
        <v>1785</v>
      </c>
      <c r="E110" s="125">
        <v>2367</v>
      </c>
      <c r="F110" s="125">
        <v>1117</v>
      </c>
      <c r="G110" s="125">
        <v>1152</v>
      </c>
      <c r="H110" s="125">
        <v>76</v>
      </c>
      <c r="I110" s="125">
        <v>22</v>
      </c>
      <c r="J110" s="125">
        <v>0</v>
      </c>
    </row>
    <row r="111" spans="1:10" s="126" customFormat="1" ht="12" customHeight="1" x14ac:dyDescent="0.2">
      <c r="A111" s="302" t="s">
        <v>115</v>
      </c>
      <c r="B111" s="302"/>
      <c r="C111" s="125">
        <v>1884</v>
      </c>
      <c r="D111" s="125">
        <v>1610</v>
      </c>
      <c r="E111" s="125">
        <v>274</v>
      </c>
      <c r="F111" s="125">
        <v>189</v>
      </c>
      <c r="G111" s="125">
        <v>85</v>
      </c>
      <c r="H111" s="125">
        <v>0</v>
      </c>
      <c r="I111" s="125">
        <v>0</v>
      </c>
      <c r="J111" s="125">
        <v>0</v>
      </c>
    </row>
    <row r="112" spans="1:10" s="126" customFormat="1" ht="12" customHeight="1" x14ac:dyDescent="0.2">
      <c r="A112" s="302" t="s">
        <v>116</v>
      </c>
      <c r="B112" s="302"/>
      <c r="C112" s="125">
        <v>813</v>
      </c>
      <c r="D112" s="125">
        <v>550</v>
      </c>
      <c r="E112" s="125">
        <v>263</v>
      </c>
      <c r="F112" s="125">
        <v>141</v>
      </c>
      <c r="G112" s="125">
        <v>121</v>
      </c>
      <c r="H112" s="125">
        <v>1</v>
      </c>
      <c r="I112" s="125">
        <v>0</v>
      </c>
      <c r="J112" s="125">
        <v>0</v>
      </c>
    </row>
    <row r="113" spans="1:10" s="126" customFormat="1" ht="12" customHeight="1" x14ac:dyDescent="0.2">
      <c r="A113" s="302" t="s">
        <v>117</v>
      </c>
      <c r="B113" s="302"/>
      <c r="C113" s="125">
        <v>1612</v>
      </c>
      <c r="D113" s="125">
        <v>1212</v>
      </c>
      <c r="E113" s="125">
        <v>400</v>
      </c>
      <c r="F113" s="125">
        <v>234</v>
      </c>
      <c r="G113" s="125">
        <v>165</v>
      </c>
      <c r="H113" s="125">
        <v>1</v>
      </c>
      <c r="I113" s="125">
        <v>0</v>
      </c>
      <c r="J113" s="125">
        <v>0</v>
      </c>
    </row>
    <row r="114" spans="1:10" s="126" customFormat="1" ht="12" customHeight="1" x14ac:dyDescent="0.2">
      <c r="A114" s="302" t="s">
        <v>118</v>
      </c>
      <c r="B114" s="302"/>
      <c r="C114" s="125">
        <v>1398</v>
      </c>
      <c r="D114" s="125">
        <v>1108</v>
      </c>
      <c r="E114" s="125">
        <v>290</v>
      </c>
      <c r="F114" s="125">
        <v>177</v>
      </c>
      <c r="G114" s="125">
        <v>113</v>
      </c>
      <c r="H114" s="125">
        <v>0</v>
      </c>
      <c r="I114" s="125">
        <v>0</v>
      </c>
      <c r="J114" s="125">
        <v>0</v>
      </c>
    </row>
    <row r="115" spans="1:10" s="126" customFormat="1" ht="12" customHeight="1" x14ac:dyDescent="0.2">
      <c r="A115" s="302" t="s">
        <v>120</v>
      </c>
      <c r="B115" s="302"/>
      <c r="C115" s="125">
        <v>834</v>
      </c>
      <c r="D115" s="125">
        <v>662</v>
      </c>
      <c r="E115" s="125">
        <v>172</v>
      </c>
      <c r="F115" s="125">
        <v>82</v>
      </c>
      <c r="G115" s="125">
        <v>90</v>
      </c>
      <c r="H115" s="125">
        <v>0</v>
      </c>
      <c r="I115" s="125">
        <v>0</v>
      </c>
      <c r="J115" s="125">
        <v>0</v>
      </c>
    </row>
    <row r="116" spans="1:10" s="126" customFormat="1" ht="12" customHeight="1" x14ac:dyDescent="0.2">
      <c r="A116" s="302" t="s">
        <v>121</v>
      </c>
      <c r="B116" s="302"/>
      <c r="C116" s="125">
        <v>2212</v>
      </c>
      <c r="D116" s="125">
        <v>1471</v>
      </c>
      <c r="E116" s="125">
        <v>741</v>
      </c>
      <c r="F116" s="125">
        <v>451</v>
      </c>
      <c r="G116" s="125">
        <v>285</v>
      </c>
      <c r="H116" s="125">
        <v>5</v>
      </c>
      <c r="I116" s="125">
        <v>0</v>
      </c>
      <c r="J116" s="125">
        <v>0</v>
      </c>
    </row>
    <row r="117" spans="1:10" s="126" customFormat="1" ht="12" customHeight="1" x14ac:dyDescent="0.2">
      <c r="A117" s="302" t="s">
        <v>122</v>
      </c>
      <c r="B117" s="302"/>
      <c r="C117" s="125">
        <v>703</v>
      </c>
      <c r="D117" s="125">
        <v>551</v>
      </c>
      <c r="E117" s="125">
        <v>152</v>
      </c>
      <c r="F117" s="125">
        <v>101</v>
      </c>
      <c r="G117" s="125">
        <v>51</v>
      </c>
      <c r="H117" s="125">
        <v>0</v>
      </c>
      <c r="I117" s="125">
        <v>0</v>
      </c>
      <c r="J117" s="125">
        <v>0</v>
      </c>
    </row>
    <row r="118" spans="1:10" s="126" customFormat="1" ht="12" customHeight="1" x14ac:dyDescent="0.2">
      <c r="A118" s="302" t="s">
        <v>125</v>
      </c>
      <c r="B118" s="302"/>
      <c r="C118" s="125">
        <v>1783</v>
      </c>
      <c r="D118" s="125">
        <v>1172</v>
      </c>
      <c r="E118" s="125">
        <v>611</v>
      </c>
      <c r="F118" s="125">
        <v>251</v>
      </c>
      <c r="G118" s="125">
        <v>357</v>
      </c>
      <c r="H118" s="125">
        <v>0</v>
      </c>
      <c r="I118" s="125">
        <v>3</v>
      </c>
      <c r="J118" s="125">
        <v>0</v>
      </c>
    </row>
    <row r="119" spans="1:10" s="126" customFormat="1" ht="12" customHeight="1" x14ac:dyDescent="0.2">
      <c r="A119" s="302" t="s">
        <v>126</v>
      </c>
      <c r="B119" s="302"/>
      <c r="C119" s="125">
        <v>3066</v>
      </c>
      <c r="D119" s="125">
        <v>2210</v>
      </c>
      <c r="E119" s="125">
        <v>856</v>
      </c>
      <c r="F119" s="125">
        <v>658</v>
      </c>
      <c r="G119" s="125">
        <v>182</v>
      </c>
      <c r="H119" s="125">
        <v>15</v>
      </c>
      <c r="I119" s="125">
        <v>1</v>
      </c>
      <c r="J119" s="125">
        <v>0</v>
      </c>
    </row>
    <row r="120" spans="1:10" s="126" customFormat="1" ht="12" customHeight="1" x14ac:dyDescent="0.2">
      <c r="A120" s="302" t="s">
        <v>128</v>
      </c>
      <c r="B120" s="302"/>
      <c r="C120" s="125">
        <v>582</v>
      </c>
      <c r="D120" s="125">
        <v>473</v>
      </c>
      <c r="E120" s="125">
        <v>109</v>
      </c>
      <c r="F120" s="125">
        <v>67</v>
      </c>
      <c r="G120" s="125">
        <v>42</v>
      </c>
      <c r="H120" s="125">
        <v>0</v>
      </c>
      <c r="I120" s="125">
        <v>0</v>
      </c>
      <c r="J120" s="125">
        <v>0</v>
      </c>
    </row>
    <row r="121" spans="1:10" s="126" customFormat="1" ht="12" customHeight="1" x14ac:dyDescent="0.2">
      <c r="A121" s="302" t="s">
        <v>129</v>
      </c>
      <c r="B121" s="302"/>
      <c r="C121" s="125">
        <v>1971</v>
      </c>
      <c r="D121" s="125">
        <v>1479</v>
      </c>
      <c r="E121" s="125">
        <v>492</v>
      </c>
      <c r="F121" s="125">
        <v>348</v>
      </c>
      <c r="G121" s="125">
        <v>141</v>
      </c>
      <c r="H121" s="125">
        <v>2</v>
      </c>
      <c r="I121" s="125">
        <v>1</v>
      </c>
      <c r="J121" s="125">
        <v>0</v>
      </c>
    </row>
    <row r="122" spans="1:10" s="126" customFormat="1" ht="12" customHeight="1" x14ac:dyDescent="0.2">
      <c r="A122" s="308" t="s">
        <v>130</v>
      </c>
      <c r="B122" s="308"/>
      <c r="C122" s="132">
        <v>382</v>
      </c>
      <c r="D122" s="132">
        <v>213</v>
      </c>
      <c r="E122" s="132">
        <v>169</v>
      </c>
      <c r="F122" s="132">
        <v>79</v>
      </c>
      <c r="G122" s="132">
        <v>90</v>
      </c>
      <c r="H122" s="132">
        <v>0</v>
      </c>
      <c r="I122" s="132">
        <v>0</v>
      </c>
      <c r="J122" s="132">
        <v>0</v>
      </c>
    </row>
    <row r="123" spans="1:10" s="126" customFormat="1" ht="12" customHeight="1" x14ac:dyDescent="0.2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</row>
    <row r="124" spans="1:10" s="126" customFormat="1" ht="12" customHeight="1" x14ac:dyDescent="0.2">
      <c r="A124" s="303" t="s">
        <v>131</v>
      </c>
      <c r="B124" s="303"/>
      <c r="C124" s="123">
        <f t="shared" ref="C124:J124" si="43">SUM(C125:C147)</f>
        <v>64190</v>
      </c>
      <c r="D124" s="123">
        <f t="shared" si="43"/>
        <v>48174</v>
      </c>
      <c r="E124" s="123">
        <f t="shared" si="43"/>
        <v>16016</v>
      </c>
      <c r="F124" s="123">
        <f t="shared" si="43"/>
        <v>10677</v>
      </c>
      <c r="G124" s="123">
        <f t="shared" si="43"/>
        <v>5113</v>
      </c>
      <c r="H124" s="123">
        <f t="shared" si="43"/>
        <v>152</v>
      </c>
      <c r="I124" s="123">
        <f t="shared" si="43"/>
        <v>74</v>
      </c>
      <c r="J124" s="123">
        <f t="shared" si="43"/>
        <v>0</v>
      </c>
    </row>
    <row r="125" spans="1:10" s="126" customFormat="1" ht="12" customHeight="1" x14ac:dyDescent="0.2">
      <c r="A125" s="302" t="s">
        <v>132</v>
      </c>
      <c r="B125" s="302"/>
      <c r="C125" s="125">
        <v>5515</v>
      </c>
      <c r="D125" s="125">
        <v>3946</v>
      </c>
      <c r="E125" s="125">
        <v>1569</v>
      </c>
      <c r="F125" s="125">
        <v>1021</v>
      </c>
      <c r="G125" s="125">
        <v>544</v>
      </c>
      <c r="H125" s="125">
        <v>1</v>
      </c>
      <c r="I125" s="125">
        <v>3</v>
      </c>
      <c r="J125" s="125">
        <v>0</v>
      </c>
    </row>
    <row r="126" spans="1:10" s="126" customFormat="1" ht="12" customHeight="1" x14ac:dyDescent="0.2">
      <c r="A126" s="302" t="s">
        <v>133</v>
      </c>
      <c r="B126" s="302"/>
      <c r="C126" s="125">
        <v>175</v>
      </c>
      <c r="D126" s="125">
        <v>166</v>
      </c>
      <c r="E126" s="125">
        <v>9</v>
      </c>
      <c r="F126" s="125">
        <v>5</v>
      </c>
      <c r="G126" s="125">
        <v>4</v>
      </c>
      <c r="H126" s="125">
        <v>0</v>
      </c>
      <c r="I126" s="125">
        <v>0</v>
      </c>
      <c r="J126" s="125">
        <v>0</v>
      </c>
    </row>
    <row r="127" spans="1:10" s="126" customFormat="1" ht="12" customHeight="1" x14ac:dyDescent="0.2">
      <c r="A127" s="302" t="s">
        <v>134</v>
      </c>
      <c r="B127" s="302"/>
      <c r="C127" s="125">
        <v>495</v>
      </c>
      <c r="D127" s="125">
        <v>397</v>
      </c>
      <c r="E127" s="125">
        <v>98</v>
      </c>
      <c r="F127" s="125">
        <v>71</v>
      </c>
      <c r="G127" s="125">
        <v>27</v>
      </c>
      <c r="H127" s="125">
        <v>0</v>
      </c>
      <c r="I127" s="125">
        <v>0</v>
      </c>
      <c r="J127" s="125">
        <v>0</v>
      </c>
    </row>
    <row r="128" spans="1:10" s="126" customFormat="1" ht="12" customHeight="1" x14ac:dyDescent="0.2">
      <c r="A128" s="302" t="s">
        <v>135</v>
      </c>
      <c r="B128" s="302"/>
      <c r="C128" s="125">
        <v>1773</v>
      </c>
      <c r="D128" s="125">
        <v>1383</v>
      </c>
      <c r="E128" s="125">
        <v>390</v>
      </c>
      <c r="F128" s="125">
        <v>229</v>
      </c>
      <c r="G128" s="125">
        <v>153</v>
      </c>
      <c r="H128" s="125">
        <v>4</v>
      </c>
      <c r="I128" s="125">
        <v>4</v>
      </c>
      <c r="J128" s="125">
        <v>0</v>
      </c>
    </row>
    <row r="129" spans="1:10" s="126" customFormat="1" ht="12" customHeight="1" x14ac:dyDescent="0.2">
      <c r="A129" s="302" t="s">
        <v>138</v>
      </c>
      <c r="B129" s="302"/>
      <c r="C129" s="125">
        <v>1183</v>
      </c>
      <c r="D129" s="125">
        <v>1058</v>
      </c>
      <c r="E129" s="125">
        <v>125</v>
      </c>
      <c r="F129" s="125">
        <v>93</v>
      </c>
      <c r="G129" s="125">
        <v>32</v>
      </c>
      <c r="H129" s="125">
        <v>0</v>
      </c>
      <c r="I129" s="125">
        <v>0</v>
      </c>
      <c r="J129" s="125">
        <v>0</v>
      </c>
    </row>
    <row r="130" spans="1:10" s="126" customFormat="1" ht="12" customHeight="1" x14ac:dyDescent="0.2">
      <c r="A130" s="302" t="s">
        <v>140</v>
      </c>
      <c r="B130" s="302"/>
      <c r="C130" s="125">
        <v>14</v>
      </c>
      <c r="D130" s="125">
        <v>13</v>
      </c>
      <c r="E130" s="125">
        <v>1</v>
      </c>
      <c r="F130" s="125">
        <v>1</v>
      </c>
      <c r="G130" s="125">
        <v>0</v>
      </c>
      <c r="H130" s="125">
        <v>0</v>
      </c>
      <c r="I130" s="125">
        <v>0</v>
      </c>
      <c r="J130" s="125">
        <v>0</v>
      </c>
    </row>
    <row r="131" spans="1:10" s="126" customFormat="1" ht="12" customHeight="1" x14ac:dyDescent="0.2">
      <c r="A131" s="302" t="s">
        <v>141</v>
      </c>
      <c r="B131" s="302"/>
      <c r="C131" s="125">
        <v>2909</v>
      </c>
      <c r="D131" s="125">
        <v>2464</v>
      </c>
      <c r="E131" s="125">
        <v>445</v>
      </c>
      <c r="F131" s="125">
        <v>328</v>
      </c>
      <c r="G131" s="125">
        <v>111</v>
      </c>
      <c r="H131" s="125">
        <v>2</v>
      </c>
      <c r="I131" s="125">
        <v>4</v>
      </c>
      <c r="J131" s="125">
        <v>0</v>
      </c>
    </row>
    <row r="132" spans="1:10" s="126" customFormat="1" ht="12" customHeight="1" x14ac:dyDescent="0.2">
      <c r="A132" s="302" t="s">
        <v>142</v>
      </c>
      <c r="B132" s="302"/>
      <c r="C132" s="125">
        <v>107</v>
      </c>
      <c r="D132" s="125">
        <v>100</v>
      </c>
      <c r="E132" s="125">
        <v>7</v>
      </c>
      <c r="F132" s="125">
        <v>1</v>
      </c>
      <c r="G132" s="125">
        <v>6</v>
      </c>
      <c r="H132" s="125">
        <v>0</v>
      </c>
      <c r="I132" s="125">
        <v>0</v>
      </c>
      <c r="J132" s="125">
        <v>0</v>
      </c>
    </row>
    <row r="133" spans="1:10" s="138" customFormat="1" ht="12" customHeight="1" x14ac:dyDescent="0.2">
      <c r="A133" s="309" t="s">
        <v>337</v>
      </c>
      <c r="B133" s="309"/>
      <c r="C133" s="137">
        <v>5154</v>
      </c>
      <c r="D133" s="137">
        <v>4047</v>
      </c>
      <c r="E133" s="137">
        <v>1107</v>
      </c>
      <c r="F133" s="137">
        <v>708</v>
      </c>
      <c r="G133" s="137">
        <v>398</v>
      </c>
      <c r="H133" s="137">
        <v>1</v>
      </c>
      <c r="I133" s="137">
        <v>0</v>
      </c>
      <c r="J133" s="137">
        <v>0</v>
      </c>
    </row>
    <row r="134" spans="1:10" s="126" customFormat="1" ht="12" customHeight="1" x14ac:dyDescent="0.2">
      <c r="A134" s="302" t="s">
        <v>144</v>
      </c>
      <c r="B134" s="302"/>
      <c r="C134" s="125">
        <v>4568</v>
      </c>
      <c r="D134" s="125">
        <v>3683</v>
      </c>
      <c r="E134" s="125">
        <v>885</v>
      </c>
      <c r="F134" s="125">
        <v>644</v>
      </c>
      <c r="G134" s="125">
        <v>236</v>
      </c>
      <c r="H134" s="125">
        <v>1</v>
      </c>
      <c r="I134" s="125">
        <v>4</v>
      </c>
      <c r="J134" s="125">
        <v>0</v>
      </c>
    </row>
    <row r="135" spans="1:10" s="126" customFormat="1" ht="12" customHeight="1" x14ac:dyDescent="0.2">
      <c r="A135" s="302" t="s">
        <v>148</v>
      </c>
      <c r="B135" s="302"/>
      <c r="C135" s="125">
        <v>1318</v>
      </c>
      <c r="D135" s="125">
        <v>1028</v>
      </c>
      <c r="E135" s="125">
        <v>290</v>
      </c>
      <c r="F135" s="125">
        <v>171</v>
      </c>
      <c r="G135" s="125">
        <v>90</v>
      </c>
      <c r="H135" s="125">
        <v>29</v>
      </c>
      <c r="I135" s="125">
        <v>0</v>
      </c>
      <c r="J135" s="125">
        <v>0</v>
      </c>
    </row>
    <row r="136" spans="1:10" s="126" customFormat="1" ht="12" customHeight="1" x14ac:dyDescent="0.2">
      <c r="A136" s="302" t="s">
        <v>149</v>
      </c>
      <c r="B136" s="302"/>
      <c r="C136" s="125">
        <v>16122</v>
      </c>
      <c r="D136" s="125">
        <v>10542</v>
      </c>
      <c r="E136" s="125">
        <v>5580</v>
      </c>
      <c r="F136" s="125">
        <v>3711</v>
      </c>
      <c r="G136" s="125">
        <v>1776</v>
      </c>
      <c r="H136" s="125">
        <v>72</v>
      </c>
      <c r="I136" s="125">
        <v>21</v>
      </c>
      <c r="J136" s="125">
        <v>0</v>
      </c>
    </row>
    <row r="137" spans="1:10" s="126" customFormat="1" ht="12" customHeight="1" x14ac:dyDescent="0.2">
      <c r="A137" s="302" t="s">
        <v>150</v>
      </c>
      <c r="B137" s="302"/>
      <c r="C137" s="125">
        <v>6612</v>
      </c>
      <c r="D137" s="125">
        <v>5124</v>
      </c>
      <c r="E137" s="125">
        <v>1488</v>
      </c>
      <c r="F137" s="125">
        <v>1053</v>
      </c>
      <c r="G137" s="125">
        <v>417</v>
      </c>
      <c r="H137" s="125">
        <v>8</v>
      </c>
      <c r="I137" s="125">
        <v>10</v>
      </c>
      <c r="J137" s="125">
        <v>0</v>
      </c>
    </row>
    <row r="138" spans="1:10" s="126" customFormat="1" ht="12" customHeight="1" x14ac:dyDescent="0.2">
      <c r="A138" s="302" t="s">
        <v>152</v>
      </c>
      <c r="B138" s="302"/>
      <c r="C138" s="125">
        <v>216</v>
      </c>
      <c r="D138" s="125">
        <v>194</v>
      </c>
      <c r="E138" s="125">
        <v>22</v>
      </c>
      <c r="F138" s="125">
        <v>14</v>
      </c>
      <c r="G138" s="125">
        <v>8</v>
      </c>
      <c r="H138" s="125">
        <v>0</v>
      </c>
      <c r="I138" s="125">
        <v>0</v>
      </c>
      <c r="J138" s="125">
        <v>0</v>
      </c>
    </row>
    <row r="139" spans="1:10" s="126" customFormat="1" ht="12" customHeight="1" x14ac:dyDescent="0.2">
      <c r="A139" s="302" t="s">
        <v>153</v>
      </c>
      <c r="B139" s="302"/>
      <c r="C139" s="125">
        <v>7268</v>
      </c>
      <c r="D139" s="125">
        <v>5543</v>
      </c>
      <c r="E139" s="125">
        <v>1725</v>
      </c>
      <c r="F139" s="125">
        <v>1190</v>
      </c>
      <c r="G139" s="125">
        <v>522</v>
      </c>
      <c r="H139" s="125">
        <v>3</v>
      </c>
      <c r="I139" s="125">
        <v>10</v>
      </c>
      <c r="J139" s="125">
        <v>0</v>
      </c>
    </row>
    <row r="140" spans="1:10" s="126" customFormat="1" ht="12" customHeight="1" x14ac:dyDescent="0.2">
      <c r="A140" s="302" t="s">
        <v>155</v>
      </c>
      <c r="B140" s="302"/>
      <c r="C140" s="125">
        <v>2686</v>
      </c>
      <c r="D140" s="125">
        <v>1920</v>
      </c>
      <c r="E140" s="125">
        <v>766</v>
      </c>
      <c r="F140" s="125">
        <v>434</v>
      </c>
      <c r="G140" s="125">
        <v>309</v>
      </c>
      <c r="H140" s="125">
        <v>23</v>
      </c>
      <c r="I140" s="125">
        <v>0</v>
      </c>
      <c r="J140" s="125">
        <v>0</v>
      </c>
    </row>
    <row r="141" spans="1:10" s="126" customFormat="1" ht="12" customHeight="1" x14ac:dyDescent="0.2">
      <c r="A141" s="302" t="s">
        <v>156</v>
      </c>
      <c r="B141" s="302"/>
      <c r="C141" s="125">
        <v>698</v>
      </c>
      <c r="D141" s="125">
        <v>648</v>
      </c>
      <c r="E141" s="125">
        <v>50</v>
      </c>
      <c r="F141" s="125">
        <v>37</v>
      </c>
      <c r="G141" s="125">
        <v>13</v>
      </c>
      <c r="H141" s="125">
        <v>0</v>
      </c>
      <c r="I141" s="125">
        <v>0</v>
      </c>
      <c r="J141" s="125">
        <v>0</v>
      </c>
    </row>
    <row r="142" spans="1:10" s="126" customFormat="1" ht="12" customHeight="1" x14ac:dyDescent="0.2">
      <c r="A142" s="302" t="s">
        <v>157</v>
      </c>
      <c r="B142" s="302"/>
      <c r="C142" s="125">
        <v>767</v>
      </c>
      <c r="D142" s="125">
        <v>602</v>
      </c>
      <c r="E142" s="125">
        <v>165</v>
      </c>
      <c r="F142" s="125">
        <v>102</v>
      </c>
      <c r="G142" s="125">
        <v>63</v>
      </c>
      <c r="H142" s="125">
        <v>0</v>
      </c>
      <c r="I142" s="125">
        <v>0</v>
      </c>
      <c r="J142" s="125">
        <v>0</v>
      </c>
    </row>
    <row r="143" spans="1:10" s="126" customFormat="1" ht="12" customHeight="1" x14ac:dyDescent="0.2">
      <c r="A143" s="302" t="s">
        <v>159</v>
      </c>
      <c r="B143" s="302"/>
      <c r="C143" s="125">
        <v>603</v>
      </c>
      <c r="D143" s="125">
        <v>451</v>
      </c>
      <c r="E143" s="125">
        <v>152</v>
      </c>
      <c r="F143" s="125">
        <v>110</v>
      </c>
      <c r="G143" s="125">
        <v>42</v>
      </c>
      <c r="H143" s="125">
        <v>0</v>
      </c>
      <c r="I143" s="125">
        <v>0</v>
      </c>
      <c r="J143" s="125">
        <v>0</v>
      </c>
    </row>
    <row r="144" spans="1:10" s="126" customFormat="1" ht="12" customHeight="1" x14ac:dyDescent="0.2">
      <c r="A144" s="302" t="s">
        <v>162</v>
      </c>
      <c r="B144" s="302"/>
      <c r="C144" s="125">
        <v>87</v>
      </c>
      <c r="D144" s="125">
        <v>82</v>
      </c>
      <c r="E144" s="125">
        <v>5</v>
      </c>
      <c r="F144" s="125">
        <v>3</v>
      </c>
      <c r="G144" s="125">
        <v>2</v>
      </c>
      <c r="H144" s="125">
        <v>0</v>
      </c>
      <c r="I144" s="125">
        <v>0</v>
      </c>
      <c r="J144" s="125">
        <v>0</v>
      </c>
    </row>
    <row r="145" spans="1:10" s="126" customFormat="1" ht="12" customHeight="1" x14ac:dyDescent="0.2">
      <c r="A145" s="302" t="s">
        <v>164</v>
      </c>
      <c r="B145" s="302"/>
      <c r="C145" s="125">
        <v>3040</v>
      </c>
      <c r="D145" s="125">
        <v>2253</v>
      </c>
      <c r="E145" s="125">
        <v>787</v>
      </c>
      <c r="F145" s="125">
        <v>535</v>
      </c>
      <c r="G145" s="125">
        <v>226</v>
      </c>
      <c r="H145" s="125">
        <v>8</v>
      </c>
      <c r="I145" s="125">
        <v>18</v>
      </c>
      <c r="J145" s="125">
        <v>0</v>
      </c>
    </row>
    <row r="146" spans="1:10" s="126" customFormat="1" ht="12" customHeight="1" x14ac:dyDescent="0.2">
      <c r="A146" s="302" t="s">
        <v>348</v>
      </c>
      <c r="B146" s="302"/>
      <c r="C146" s="125">
        <v>2608</v>
      </c>
      <c r="D146" s="125">
        <v>2280</v>
      </c>
      <c r="E146" s="125">
        <v>328</v>
      </c>
      <c r="F146" s="125">
        <v>200</v>
      </c>
      <c r="G146" s="125">
        <v>128</v>
      </c>
      <c r="H146" s="125">
        <v>0</v>
      </c>
      <c r="I146" s="125">
        <v>0</v>
      </c>
      <c r="J146" s="125">
        <v>0</v>
      </c>
    </row>
    <row r="147" spans="1:10" s="126" customFormat="1" ht="12" customHeight="1" x14ac:dyDescent="0.2">
      <c r="A147" s="304" t="s">
        <v>168</v>
      </c>
      <c r="B147" s="304"/>
      <c r="C147" s="132">
        <v>272</v>
      </c>
      <c r="D147" s="132">
        <v>250</v>
      </c>
      <c r="E147" s="132">
        <v>22</v>
      </c>
      <c r="F147" s="132">
        <v>16</v>
      </c>
      <c r="G147" s="132">
        <v>6</v>
      </c>
      <c r="H147" s="132">
        <v>0</v>
      </c>
      <c r="I147" s="132">
        <v>0</v>
      </c>
      <c r="J147" s="132">
        <v>0</v>
      </c>
    </row>
    <row r="148" spans="1:10" s="126" customFormat="1" ht="12" customHeight="1" x14ac:dyDescent="0.2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</row>
    <row r="149" spans="1:10" s="126" customFormat="1" ht="12" customHeight="1" x14ac:dyDescent="0.2">
      <c r="A149" s="303" t="s">
        <v>169</v>
      </c>
      <c r="B149" s="303"/>
      <c r="C149" s="123">
        <f t="shared" ref="C149:J149" si="44">SUM(C150:C157)</f>
        <v>6024</v>
      </c>
      <c r="D149" s="123">
        <f t="shared" si="44"/>
        <v>5305</v>
      </c>
      <c r="E149" s="123">
        <f t="shared" si="44"/>
        <v>719</v>
      </c>
      <c r="F149" s="123">
        <f t="shared" si="44"/>
        <v>453</v>
      </c>
      <c r="G149" s="123">
        <f t="shared" si="44"/>
        <v>235</v>
      </c>
      <c r="H149" s="123">
        <f t="shared" si="44"/>
        <v>5</v>
      </c>
      <c r="I149" s="123">
        <f t="shared" si="44"/>
        <v>26</v>
      </c>
      <c r="J149" s="123">
        <f t="shared" si="44"/>
        <v>0</v>
      </c>
    </row>
    <row r="150" spans="1:10" s="126" customFormat="1" ht="12" customHeight="1" x14ac:dyDescent="0.2">
      <c r="A150" s="302" t="s">
        <v>170</v>
      </c>
      <c r="B150" s="302"/>
      <c r="C150" s="125">
        <v>1479</v>
      </c>
      <c r="D150" s="125">
        <v>1333</v>
      </c>
      <c r="E150" s="125">
        <v>146</v>
      </c>
      <c r="F150" s="125">
        <v>91</v>
      </c>
      <c r="G150" s="125">
        <v>55</v>
      </c>
      <c r="H150" s="125">
        <v>0</v>
      </c>
      <c r="I150" s="125">
        <v>0</v>
      </c>
      <c r="J150" s="125">
        <v>0</v>
      </c>
    </row>
    <row r="151" spans="1:10" s="126" customFormat="1" ht="12" customHeight="1" x14ac:dyDescent="0.2">
      <c r="A151" s="302" t="s">
        <v>171</v>
      </c>
      <c r="B151" s="302"/>
      <c r="C151" s="125">
        <v>55</v>
      </c>
      <c r="D151" s="125">
        <v>45</v>
      </c>
      <c r="E151" s="125">
        <v>10</v>
      </c>
      <c r="F151" s="125">
        <v>2</v>
      </c>
      <c r="G151" s="125">
        <v>4</v>
      </c>
      <c r="H151" s="125">
        <v>1</v>
      </c>
      <c r="I151" s="125">
        <v>3</v>
      </c>
      <c r="J151" s="125">
        <v>0</v>
      </c>
    </row>
    <row r="152" spans="1:10" s="126" customFormat="1" ht="12" customHeight="1" x14ac:dyDescent="0.2">
      <c r="A152" s="302" t="s">
        <v>172</v>
      </c>
      <c r="B152" s="302"/>
      <c r="C152" s="125">
        <v>56</v>
      </c>
      <c r="D152" s="125">
        <v>46</v>
      </c>
      <c r="E152" s="125">
        <v>10</v>
      </c>
      <c r="F152" s="125">
        <v>8</v>
      </c>
      <c r="G152" s="125">
        <v>2</v>
      </c>
      <c r="H152" s="125">
        <v>0</v>
      </c>
      <c r="I152" s="125">
        <v>0</v>
      </c>
      <c r="J152" s="125">
        <v>0</v>
      </c>
    </row>
    <row r="153" spans="1:10" s="126" customFormat="1" ht="12" customHeight="1" x14ac:dyDescent="0.2">
      <c r="A153" s="302" t="s">
        <v>173</v>
      </c>
      <c r="B153" s="302"/>
      <c r="C153" s="125">
        <v>51</v>
      </c>
      <c r="D153" s="125">
        <v>44</v>
      </c>
      <c r="E153" s="125">
        <v>7</v>
      </c>
      <c r="F153" s="125">
        <v>4</v>
      </c>
      <c r="G153" s="125">
        <v>3</v>
      </c>
      <c r="H153" s="125">
        <v>0</v>
      </c>
      <c r="I153" s="125">
        <v>0</v>
      </c>
      <c r="J153" s="125">
        <v>0</v>
      </c>
    </row>
    <row r="154" spans="1:10" s="126" customFormat="1" ht="12" customHeight="1" x14ac:dyDescent="0.2">
      <c r="A154" s="302" t="s">
        <v>174</v>
      </c>
      <c r="B154" s="302"/>
      <c r="C154" s="125">
        <v>1177</v>
      </c>
      <c r="D154" s="125">
        <v>985</v>
      </c>
      <c r="E154" s="125">
        <v>192</v>
      </c>
      <c r="F154" s="125">
        <v>127</v>
      </c>
      <c r="G154" s="125">
        <v>62</v>
      </c>
      <c r="H154" s="125">
        <v>0</v>
      </c>
      <c r="I154" s="125">
        <v>3</v>
      </c>
      <c r="J154" s="125">
        <v>0</v>
      </c>
    </row>
    <row r="155" spans="1:10" s="126" customFormat="1" ht="12" customHeight="1" x14ac:dyDescent="0.2">
      <c r="A155" s="302" t="s">
        <v>175</v>
      </c>
      <c r="B155" s="302"/>
      <c r="C155" s="125">
        <v>569</v>
      </c>
      <c r="D155" s="125">
        <v>510</v>
      </c>
      <c r="E155" s="125">
        <v>59</v>
      </c>
      <c r="F155" s="125">
        <v>18</v>
      </c>
      <c r="G155" s="125">
        <v>20</v>
      </c>
      <c r="H155" s="125">
        <v>4</v>
      </c>
      <c r="I155" s="125">
        <v>17</v>
      </c>
      <c r="J155" s="125">
        <v>0</v>
      </c>
    </row>
    <row r="156" spans="1:10" s="126" customFormat="1" ht="12" customHeight="1" x14ac:dyDescent="0.2">
      <c r="A156" s="302" t="s">
        <v>176</v>
      </c>
      <c r="B156" s="302"/>
      <c r="C156" s="125">
        <v>45</v>
      </c>
      <c r="D156" s="125">
        <v>39</v>
      </c>
      <c r="E156" s="125">
        <v>6</v>
      </c>
      <c r="F156" s="125">
        <v>5</v>
      </c>
      <c r="G156" s="125">
        <v>1</v>
      </c>
      <c r="H156" s="125">
        <v>0</v>
      </c>
      <c r="I156" s="125">
        <v>0</v>
      </c>
      <c r="J156" s="125">
        <v>0</v>
      </c>
    </row>
    <row r="157" spans="1:10" s="126" customFormat="1" ht="12" customHeight="1" x14ac:dyDescent="0.2">
      <c r="A157" s="304" t="s">
        <v>177</v>
      </c>
      <c r="B157" s="304"/>
      <c r="C157" s="132">
        <v>2592</v>
      </c>
      <c r="D157" s="132">
        <v>2303</v>
      </c>
      <c r="E157" s="132">
        <v>289</v>
      </c>
      <c r="F157" s="132">
        <v>198</v>
      </c>
      <c r="G157" s="132">
        <v>88</v>
      </c>
      <c r="H157" s="132">
        <v>0</v>
      </c>
      <c r="I157" s="132">
        <v>3</v>
      </c>
      <c r="J157" s="132">
        <v>0</v>
      </c>
    </row>
    <row r="158" spans="1:10" s="126" customFormat="1" ht="12" customHeight="1" x14ac:dyDescent="0.2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</row>
    <row r="159" spans="1:10" s="126" customFormat="1" ht="12" customHeight="1" x14ac:dyDescent="0.2">
      <c r="A159" s="303" t="s">
        <v>178</v>
      </c>
      <c r="B159" s="303"/>
      <c r="C159" s="123">
        <f t="shared" ref="C159:J159" si="45">SUM(C160:C176)</f>
        <v>52063</v>
      </c>
      <c r="D159" s="123">
        <f t="shared" si="45"/>
        <v>38094</v>
      </c>
      <c r="E159" s="123">
        <f t="shared" si="45"/>
        <v>13969</v>
      </c>
      <c r="F159" s="123">
        <f t="shared" si="45"/>
        <v>9576</v>
      </c>
      <c r="G159" s="123">
        <f t="shared" si="45"/>
        <v>4093</v>
      </c>
      <c r="H159" s="123">
        <f t="shared" si="45"/>
        <v>188</v>
      </c>
      <c r="I159" s="123">
        <f t="shared" si="45"/>
        <v>112</v>
      </c>
      <c r="J159" s="123">
        <f t="shared" si="45"/>
        <v>0</v>
      </c>
    </row>
    <row r="160" spans="1:10" s="126" customFormat="1" ht="12" customHeight="1" x14ac:dyDescent="0.2">
      <c r="A160" s="302" t="s">
        <v>179</v>
      </c>
      <c r="B160" s="302"/>
      <c r="C160" s="125">
        <v>4944</v>
      </c>
      <c r="D160" s="125">
        <v>3530</v>
      </c>
      <c r="E160" s="125">
        <v>1414</v>
      </c>
      <c r="F160" s="125">
        <v>1004</v>
      </c>
      <c r="G160" s="125">
        <v>386</v>
      </c>
      <c r="H160" s="125">
        <v>11</v>
      </c>
      <c r="I160" s="125">
        <v>13</v>
      </c>
      <c r="J160" s="125">
        <v>0</v>
      </c>
    </row>
    <row r="161" spans="1:10" s="126" customFormat="1" ht="12" customHeight="1" x14ac:dyDescent="0.2">
      <c r="A161" s="302" t="s">
        <v>180</v>
      </c>
      <c r="B161" s="302"/>
      <c r="C161" s="125">
        <v>18347</v>
      </c>
      <c r="D161" s="125">
        <v>12717</v>
      </c>
      <c r="E161" s="125">
        <v>5630</v>
      </c>
      <c r="F161" s="125">
        <v>3762</v>
      </c>
      <c r="G161" s="125">
        <v>1752</v>
      </c>
      <c r="H161" s="125">
        <v>91</v>
      </c>
      <c r="I161" s="125">
        <v>25</v>
      </c>
      <c r="J161" s="125">
        <v>0</v>
      </c>
    </row>
    <row r="162" spans="1:10" s="126" customFormat="1" ht="12" customHeight="1" x14ac:dyDescent="0.2">
      <c r="A162" s="302" t="s">
        <v>181</v>
      </c>
      <c r="B162" s="302"/>
      <c r="C162" s="125">
        <v>2855</v>
      </c>
      <c r="D162" s="125">
        <v>1730</v>
      </c>
      <c r="E162" s="125">
        <v>1125</v>
      </c>
      <c r="F162" s="125">
        <v>742</v>
      </c>
      <c r="G162" s="125">
        <v>356</v>
      </c>
      <c r="H162" s="125">
        <v>23</v>
      </c>
      <c r="I162" s="125">
        <v>4</v>
      </c>
      <c r="J162" s="125">
        <v>0</v>
      </c>
    </row>
    <row r="163" spans="1:10" s="126" customFormat="1" ht="12" customHeight="1" x14ac:dyDescent="0.2">
      <c r="A163" s="302" t="s">
        <v>182</v>
      </c>
      <c r="B163" s="302"/>
      <c r="C163" s="125">
        <v>2809</v>
      </c>
      <c r="D163" s="125">
        <v>2305</v>
      </c>
      <c r="E163" s="125">
        <v>504</v>
      </c>
      <c r="F163" s="125">
        <v>345</v>
      </c>
      <c r="G163" s="125">
        <v>135</v>
      </c>
      <c r="H163" s="125">
        <v>7</v>
      </c>
      <c r="I163" s="125">
        <v>17</v>
      </c>
      <c r="J163" s="125">
        <v>0</v>
      </c>
    </row>
    <row r="164" spans="1:10" s="126" customFormat="1" ht="12" customHeight="1" x14ac:dyDescent="0.2">
      <c r="A164" s="302" t="s">
        <v>183</v>
      </c>
      <c r="B164" s="302"/>
      <c r="C164" s="125">
        <v>8751</v>
      </c>
      <c r="D164" s="125">
        <v>6383</v>
      </c>
      <c r="E164" s="125">
        <v>2368</v>
      </c>
      <c r="F164" s="125">
        <v>1698</v>
      </c>
      <c r="G164" s="125">
        <v>621</v>
      </c>
      <c r="H164" s="125">
        <v>30</v>
      </c>
      <c r="I164" s="125">
        <v>19</v>
      </c>
      <c r="J164" s="125">
        <v>0</v>
      </c>
    </row>
    <row r="165" spans="1:10" s="126" customFormat="1" ht="12" customHeight="1" x14ac:dyDescent="0.2">
      <c r="A165" s="302" t="s">
        <v>184</v>
      </c>
      <c r="B165" s="302"/>
      <c r="C165" s="125">
        <v>752</v>
      </c>
      <c r="D165" s="125">
        <v>658</v>
      </c>
      <c r="E165" s="125">
        <v>94</v>
      </c>
      <c r="F165" s="125">
        <v>57</v>
      </c>
      <c r="G165" s="125">
        <v>37</v>
      </c>
      <c r="H165" s="125">
        <v>0</v>
      </c>
      <c r="I165" s="125">
        <v>0</v>
      </c>
      <c r="J165" s="125">
        <v>0</v>
      </c>
    </row>
    <row r="166" spans="1:10" s="126" customFormat="1" ht="12" customHeight="1" x14ac:dyDescent="0.2">
      <c r="A166" s="302" t="s">
        <v>185</v>
      </c>
      <c r="B166" s="302"/>
      <c r="C166" s="125">
        <v>817</v>
      </c>
      <c r="D166" s="125">
        <v>672</v>
      </c>
      <c r="E166" s="125">
        <v>145</v>
      </c>
      <c r="F166" s="125">
        <v>109</v>
      </c>
      <c r="G166" s="125">
        <v>35</v>
      </c>
      <c r="H166" s="125">
        <v>1</v>
      </c>
      <c r="I166" s="125">
        <v>0</v>
      </c>
      <c r="J166" s="125">
        <v>0</v>
      </c>
    </row>
    <row r="167" spans="1:10" s="126" customFormat="1" ht="12" customHeight="1" x14ac:dyDescent="0.2">
      <c r="A167" s="302" t="s">
        <v>186</v>
      </c>
      <c r="B167" s="302"/>
      <c r="C167" s="125">
        <v>839</v>
      </c>
      <c r="D167" s="125">
        <v>694</v>
      </c>
      <c r="E167" s="125">
        <v>145</v>
      </c>
      <c r="F167" s="125">
        <v>107</v>
      </c>
      <c r="G167" s="125">
        <v>36</v>
      </c>
      <c r="H167" s="125">
        <v>2</v>
      </c>
      <c r="I167" s="125">
        <v>0</v>
      </c>
      <c r="J167" s="125">
        <v>0</v>
      </c>
    </row>
    <row r="168" spans="1:10" s="126" customFormat="1" ht="12" customHeight="1" x14ac:dyDescent="0.2">
      <c r="A168" s="302" t="s">
        <v>187</v>
      </c>
      <c r="B168" s="302"/>
      <c r="C168" s="125">
        <v>384</v>
      </c>
      <c r="D168" s="125">
        <v>355</v>
      </c>
      <c r="E168" s="125">
        <v>29</v>
      </c>
      <c r="F168" s="125">
        <v>18</v>
      </c>
      <c r="G168" s="125">
        <v>11</v>
      </c>
      <c r="H168" s="125">
        <v>0</v>
      </c>
      <c r="I168" s="125">
        <v>0</v>
      </c>
      <c r="J168" s="125">
        <v>0</v>
      </c>
    </row>
    <row r="169" spans="1:10" s="126" customFormat="1" ht="12" customHeight="1" x14ac:dyDescent="0.2">
      <c r="A169" s="302" t="s">
        <v>188</v>
      </c>
      <c r="B169" s="302"/>
      <c r="C169" s="125">
        <v>1448</v>
      </c>
      <c r="D169" s="125">
        <v>1205</v>
      </c>
      <c r="E169" s="125">
        <v>243</v>
      </c>
      <c r="F169" s="125">
        <v>150</v>
      </c>
      <c r="G169" s="125">
        <v>75</v>
      </c>
      <c r="H169" s="125">
        <v>4</v>
      </c>
      <c r="I169" s="125">
        <v>14</v>
      </c>
      <c r="J169" s="125">
        <v>0</v>
      </c>
    </row>
    <row r="170" spans="1:10" s="126" customFormat="1" ht="12" customHeight="1" x14ac:dyDescent="0.2">
      <c r="A170" s="302" t="s">
        <v>190</v>
      </c>
      <c r="B170" s="302"/>
      <c r="C170" s="125">
        <v>123</v>
      </c>
      <c r="D170" s="125">
        <v>102</v>
      </c>
      <c r="E170" s="125">
        <v>21</v>
      </c>
      <c r="F170" s="125">
        <v>16</v>
      </c>
      <c r="G170" s="125">
        <v>5</v>
      </c>
      <c r="H170" s="125">
        <v>0</v>
      </c>
      <c r="I170" s="125">
        <v>0</v>
      </c>
      <c r="J170" s="125">
        <v>0</v>
      </c>
    </row>
    <row r="171" spans="1:10" s="126" customFormat="1" ht="12" customHeight="1" x14ac:dyDescent="0.2">
      <c r="A171" s="302" t="s">
        <v>191</v>
      </c>
      <c r="B171" s="302"/>
      <c r="C171" s="125">
        <v>2872</v>
      </c>
      <c r="D171" s="125">
        <v>2263</v>
      </c>
      <c r="E171" s="125">
        <v>609</v>
      </c>
      <c r="F171" s="125">
        <v>412</v>
      </c>
      <c r="G171" s="125">
        <v>184</v>
      </c>
      <c r="H171" s="125">
        <v>8</v>
      </c>
      <c r="I171" s="125">
        <v>5</v>
      </c>
      <c r="J171" s="125">
        <v>0</v>
      </c>
    </row>
    <row r="172" spans="1:10" s="126" customFormat="1" ht="12" customHeight="1" x14ac:dyDescent="0.2">
      <c r="A172" s="302" t="s">
        <v>192</v>
      </c>
      <c r="B172" s="302"/>
      <c r="C172" s="125">
        <v>605</v>
      </c>
      <c r="D172" s="125">
        <v>539</v>
      </c>
      <c r="E172" s="125">
        <v>66</v>
      </c>
      <c r="F172" s="125">
        <v>41</v>
      </c>
      <c r="G172" s="125">
        <v>25</v>
      </c>
      <c r="H172" s="125">
        <v>0</v>
      </c>
      <c r="I172" s="125">
        <v>0</v>
      </c>
      <c r="J172" s="125">
        <v>0</v>
      </c>
    </row>
    <row r="173" spans="1:10" s="126" customFormat="1" ht="12" customHeight="1" x14ac:dyDescent="0.2">
      <c r="A173" s="302" t="s">
        <v>193</v>
      </c>
      <c r="B173" s="302"/>
      <c r="C173" s="125">
        <v>614</v>
      </c>
      <c r="D173" s="125">
        <v>553</v>
      </c>
      <c r="E173" s="125">
        <v>61</v>
      </c>
      <c r="F173" s="125">
        <v>38</v>
      </c>
      <c r="G173" s="125">
        <v>23</v>
      </c>
      <c r="H173" s="125">
        <v>0</v>
      </c>
      <c r="I173" s="125">
        <v>0</v>
      </c>
      <c r="J173" s="125">
        <v>0</v>
      </c>
    </row>
    <row r="174" spans="1:10" s="126" customFormat="1" ht="12" customHeight="1" x14ac:dyDescent="0.2">
      <c r="A174" s="302" t="s">
        <v>194</v>
      </c>
      <c r="B174" s="302"/>
      <c r="C174" s="125">
        <v>2452</v>
      </c>
      <c r="D174" s="125">
        <v>1762</v>
      </c>
      <c r="E174" s="125">
        <v>690</v>
      </c>
      <c r="F174" s="125">
        <v>508</v>
      </c>
      <c r="G174" s="125">
        <v>160</v>
      </c>
      <c r="H174" s="125">
        <v>10</v>
      </c>
      <c r="I174" s="125">
        <v>12</v>
      </c>
      <c r="J174" s="125">
        <v>0</v>
      </c>
    </row>
    <row r="175" spans="1:10" s="126" customFormat="1" ht="12" customHeight="1" x14ac:dyDescent="0.2">
      <c r="A175" s="302" t="s">
        <v>195</v>
      </c>
      <c r="B175" s="302"/>
      <c r="C175" s="125">
        <v>234</v>
      </c>
      <c r="D175" s="125">
        <v>210</v>
      </c>
      <c r="E175" s="125">
        <v>24</v>
      </c>
      <c r="F175" s="125">
        <v>18</v>
      </c>
      <c r="G175" s="125">
        <v>6</v>
      </c>
      <c r="H175" s="125">
        <v>0</v>
      </c>
      <c r="I175" s="125">
        <v>0</v>
      </c>
      <c r="J175" s="125">
        <v>0</v>
      </c>
    </row>
    <row r="176" spans="1:10" s="126" customFormat="1" ht="12" customHeight="1" x14ac:dyDescent="0.2">
      <c r="A176" s="304" t="s">
        <v>196</v>
      </c>
      <c r="B176" s="304"/>
      <c r="C176" s="132">
        <v>3217</v>
      </c>
      <c r="D176" s="132">
        <v>2416</v>
      </c>
      <c r="E176" s="132">
        <v>801</v>
      </c>
      <c r="F176" s="132">
        <v>551</v>
      </c>
      <c r="G176" s="132">
        <v>246</v>
      </c>
      <c r="H176" s="132">
        <v>1</v>
      </c>
      <c r="I176" s="132">
        <v>3</v>
      </c>
      <c r="J176" s="132">
        <v>0</v>
      </c>
    </row>
    <row r="177" spans="1:10" s="126" customFormat="1" ht="12" customHeight="1" x14ac:dyDescent="0.2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</row>
    <row r="178" spans="1:10" s="126" customFormat="1" ht="12" customHeight="1" x14ac:dyDescent="0.2">
      <c r="A178" s="303" t="s">
        <v>197</v>
      </c>
      <c r="B178" s="303"/>
      <c r="C178" s="123">
        <f t="shared" ref="C178:J178" si="46">SUM(C179:C184)</f>
        <v>13229</v>
      </c>
      <c r="D178" s="123">
        <f t="shared" si="46"/>
        <v>9186</v>
      </c>
      <c r="E178" s="123">
        <f t="shared" si="46"/>
        <v>4043</v>
      </c>
      <c r="F178" s="123">
        <f t="shared" si="46"/>
        <v>2967</v>
      </c>
      <c r="G178" s="123">
        <f t="shared" si="46"/>
        <v>993</v>
      </c>
      <c r="H178" s="123">
        <f t="shared" si="46"/>
        <v>60</v>
      </c>
      <c r="I178" s="123">
        <f t="shared" si="46"/>
        <v>23</v>
      </c>
      <c r="J178" s="123">
        <f t="shared" si="46"/>
        <v>0</v>
      </c>
    </row>
    <row r="179" spans="1:10" s="126" customFormat="1" ht="12" customHeight="1" x14ac:dyDescent="0.2">
      <c r="A179" s="302" t="s">
        <v>198</v>
      </c>
      <c r="B179" s="302"/>
      <c r="C179" s="125">
        <v>6176</v>
      </c>
      <c r="D179" s="125">
        <v>3999</v>
      </c>
      <c r="E179" s="125">
        <v>2177</v>
      </c>
      <c r="F179" s="125">
        <v>1580</v>
      </c>
      <c r="G179" s="125">
        <v>518</v>
      </c>
      <c r="H179" s="125">
        <v>56</v>
      </c>
      <c r="I179" s="125">
        <v>23</v>
      </c>
      <c r="J179" s="125">
        <v>0</v>
      </c>
    </row>
    <row r="180" spans="1:10" s="126" customFormat="1" ht="12" customHeight="1" x14ac:dyDescent="0.2">
      <c r="A180" s="302" t="s">
        <v>199</v>
      </c>
      <c r="B180" s="302"/>
      <c r="C180" s="125">
        <v>2921</v>
      </c>
      <c r="D180" s="125">
        <v>2359</v>
      </c>
      <c r="E180" s="125">
        <v>562</v>
      </c>
      <c r="F180" s="125">
        <v>403</v>
      </c>
      <c r="G180" s="125">
        <v>155</v>
      </c>
      <c r="H180" s="125">
        <v>4</v>
      </c>
      <c r="I180" s="125">
        <v>0</v>
      </c>
      <c r="J180" s="125">
        <v>0</v>
      </c>
    </row>
    <row r="181" spans="1:10" s="126" customFormat="1" ht="12" customHeight="1" x14ac:dyDescent="0.2">
      <c r="A181" s="302" t="s">
        <v>200</v>
      </c>
      <c r="B181" s="302"/>
      <c r="C181" s="125">
        <v>723</v>
      </c>
      <c r="D181" s="125">
        <v>450</v>
      </c>
      <c r="E181" s="125">
        <v>273</v>
      </c>
      <c r="F181" s="125">
        <v>214</v>
      </c>
      <c r="G181" s="125">
        <v>59</v>
      </c>
      <c r="H181" s="125">
        <v>0</v>
      </c>
      <c r="I181" s="125">
        <v>0</v>
      </c>
      <c r="J181" s="125">
        <v>0</v>
      </c>
    </row>
    <row r="182" spans="1:10" s="126" customFormat="1" ht="12" customHeight="1" x14ac:dyDescent="0.2">
      <c r="A182" s="302" t="s">
        <v>201</v>
      </c>
      <c r="B182" s="302"/>
      <c r="C182" s="125">
        <v>561</v>
      </c>
      <c r="D182" s="125">
        <v>431</v>
      </c>
      <c r="E182" s="125">
        <v>130</v>
      </c>
      <c r="F182" s="125">
        <v>93</v>
      </c>
      <c r="G182" s="125">
        <v>37</v>
      </c>
      <c r="H182" s="125">
        <v>0</v>
      </c>
      <c r="I182" s="125">
        <v>0</v>
      </c>
      <c r="J182" s="125">
        <v>0</v>
      </c>
    </row>
    <row r="183" spans="1:10" s="126" customFormat="1" ht="12" customHeight="1" x14ac:dyDescent="0.2">
      <c r="A183" s="302" t="s">
        <v>202</v>
      </c>
      <c r="B183" s="302"/>
      <c r="C183" s="125">
        <v>1779</v>
      </c>
      <c r="D183" s="125">
        <v>1234</v>
      </c>
      <c r="E183" s="125">
        <v>545</v>
      </c>
      <c r="F183" s="125">
        <v>400</v>
      </c>
      <c r="G183" s="125">
        <v>145</v>
      </c>
      <c r="H183" s="125">
        <v>0</v>
      </c>
      <c r="I183" s="125">
        <v>0</v>
      </c>
      <c r="J183" s="125">
        <v>0</v>
      </c>
    </row>
    <row r="184" spans="1:10" s="126" customFormat="1" ht="12" customHeight="1" x14ac:dyDescent="0.2">
      <c r="A184" s="304" t="s">
        <v>203</v>
      </c>
      <c r="B184" s="304"/>
      <c r="C184" s="132">
        <v>1069</v>
      </c>
      <c r="D184" s="132">
        <v>713</v>
      </c>
      <c r="E184" s="132">
        <v>356</v>
      </c>
      <c r="F184" s="132">
        <v>277</v>
      </c>
      <c r="G184" s="132">
        <v>79</v>
      </c>
      <c r="H184" s="132">
        <v>0</v>
      </c>
      <c r="I184" s="132">
        <v>0</v>
      </c>
      <c r="J184" s="132">
        <v>0</v>
      </c>
    </row>
    <row r="185" spans="1:10" s="126" customFormat="1" ht="12" customHeight="1" x14ac:dyDescent="0.2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</row>
    <row r="186" spans="1:10" s="126" customFormat="1" ht="12" customHeight="1" x14ac:dyDescent="0.2">
      <c r="A186" s="303" t="s">
        <v>204</v>
      </c>
      <c r="B186" s="303"/>
      <c r="C186" s="123">
        <f t="shared" ref="C186:J186" si="47">SUM(C187:C189)</f>
        <v>5767</v>
      </c>
      <c r="D186" s="123">
        <f t="shared" si="47"/>
        <v>5199</v>
      </c>
      <c r="E186" s="123">
        <f t="shared" si="47"/>
        <v>568</v>
      </c>
      <c r="F186" s="123">
        <f t="shared" si="47"/>
        <v>345</v>
      </c>
      <c r="G186" s="123">
        <f t="shared" si="47"/>
        <v>219</v>
      </c>
      <c r="H186" s="123">
        <f t="shared" si="47"/>
        <v>3</v>
      </c>
      <c r="I186" s="123">
        <f t="shared" si="47"/>
        <v>1</v>
      </c>
      <c r="J186" s="123">
        <f t="shared" si="47"/>
        <v>0</v>
      </c>
    </row>
    <row r="187" spans="1:10" s="126" customFormat="1" ht="12" customHeight="1" x14ac:dyDescent="0.2">
      <c r="A187" s="302" t="s">
        <v>205</v>
      </c>
      <c r="B187" s="302"/>
      <c r="C187" s="125">
        <v>1850</v>
      </c>
      <c r="D187" s="125">
        <v>1626</v>
      </c>
      <c r="E187" s="125">
        <v>224</v>
      </c>
      <c r="F187" s="125">
        <v>153</v>
      </c>
      <c r="G187" s="125">
        <v>71</v>
      </c>
      <c r="H187" s="125">
        <v>0</v>
      </c>
      <c r="I187" s="125">
        <v>0</v>
      </c>
      <c r="J187" s="125">
        <v>0</v>
      </c>
    </row>
    <row r="188" spans="1:10" s="126" customFormat="1" ht="12" customHeight="1" x14ac:dyDescent="0.2">
      <c r="A188" s="302" t="s">
        <v>206</v>
      </c>
      <c r="B188" s="302"/>
      <c r="C188" s="125">
        <v>1816</v>
      </c>
      <c r="D188" s="125">
        <v>1663</v>
      </c>
      <c r="E188" s="125">
        <v>153</v>
      </c>
      <c r="F188" s="125">
        <v>72</v>
      </c>
      <c r="G188" s="125">
        <v>81</v>
      </c>
      <c r="H188" s="125">
        <v>0</v>
      </c>
      <c r="I188" s="125">
        <v>0</v>
      </c>
      <c r="J188" s="125">
        <v>0</v>
      </c>
    </row>
    <row r="189" spans="1:10" s="126" customFormat="1" ht="12" customHeight="1" x14ac:dyDescent="0.2">
      <c r="A189" s="308" t="s">
        <v>345</v>
      </c>
      <c r="B189" s="308"/>
      <c r="C189" s="139">
        <v>2101</v>
      </c>
      <c r="D189" s="139">
        <v>1910</v>
      </c>
      <c r="E189" s="139">
        <v>191</v>
      </c>
      <c r="F189" s="139">
        <v>120</v>
      </c>
      <c r="G189" s="139">
        <v>67</v>
      </c>
      <c r="H189" s="139">
        <v>3</v>
      </c>
      <c r="I189" s="139">
        <v>1</v>
      </c>
      <c r="J189" s="139">
        <v>0</v>
      </c>
    </row>
    <row r="190" spans="1:10" s="126" customFormat="1" ht="12" customHeight="1" x14ac:dyDescent="0.2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</row>
    <row r="191" spans="1:10" s="126" customFormat="1" ht="12" customHeight="1" x14ac:dyDescent="0.2">
      <c r="A191" s="303" t="s">
        <v>210</v>
      </c>
      <c r="B191" s="303"/>
      <c r="C191" s="123">
        <f t="shared" ref="C191:J191" si="48">SUM(C192:C201)</f>
        <v>9335</v>
      </c>
      <c r="D191" s="123">
        <f t="shared" si="48"/>
        <v>6725</v>
      </c>
      <c r="E191" s="123">
        <f t="shared" si="48"/>
        <v>2610</v>
      </c>
      <c r="F191" s="123">
        <f t="shared" si="48"/>
        <v>1571</v>
      </c>
      <c r="G191" s="123">
        <f t="shared" si="48"/>
        <v>908</v>
      </c>
      <c r="H191" s="123">
        <f t="shared" si="48"/>
        <v>93</v>
      </c>
      <c r="I191" s="123">
        <f t="shared" si="48"/>
        <v>38</v>
      </c>
      <c r="J191" s="123">
        <f t="shared" si="48"/>
        <v>0</v>
      </c>
    </row>
    <row r="192" spans="1:10" s="126" customFormat="1" ht="12" customHeight="1" x14ac:dyDescent="0.2">
      <c r="A192" s="302" t="s">
        <v>211</v>
      </c>
      <c r="B192" s="302"/>
      <c r="C192" s="125">
        <v>1526</v>
      </c>
      <c r="D192" s="125">
        <v>1139</v>
      </c>
      <c r="E192" s="125">
        <v>387</v>
      </c>
      <c r="F192" s="125">
        <v>204</v>
      </c>
      <c r="G192" s="125">
        <v>178</v>
      </c>
      <c r="H192" s="125">
        <v>2</v>
      </c>
      <c r="I192" s="125">
        <v>3</v>
      </c>
      <c r="J192" s="125">
        <v>0</v>
      </c>
    </row>
    <row r="193" spans="1:10" s="126" customFormat="1" ht="12" customHeight="1" x14ac:dyDescent="0.2">
      <c r="A193" s="302" t="s">
        <v>213</v>
      </c>
      <c r="B193" s="302"/>
      <c r="C193" s="125">
        <v>109</v>
      </c>
      <c r="D193" s="125">
        <v>91</v>
      </c>
      <c r="E193" s="125">
        <v>18</v>
      </c>
      <c r="F193" s="125">
        <v>8</v>
      </c>
      <c r="G193" s="125">
        <v>10</v>
      </c>
      <c r="H193" s="125">
        <v>0</v>
      </c>
      <c r="I193" s="125">
        <v>0</v>
      </c>
      <c r="J193" s="125">
        <v>0</v>
      </c>
    </row>
    <row r="194" spans="1:10" s="126" customFormat="1" ht="12" customHeight="1" x14ac:dyDescent="0.2">
      <c r="A194" s="302" t="s">
        <v>214</v>
      </c>
      <c r="B194" s="302"/>
      <c r="C194" s="125">
        <v>1038</v>
      </c>
      <c r="D194" s="125">
        <v>507</v>
      </c>
      <c r="E194" s="125">
        <v>531</v>
      </c>
      <c r="F194" s="125">
        <v>294</v>
      </c>
      <c r="G194" s="125">
        <v>183</v>
      </c>
      <c r="H194" s="125">
        <v>44</v>
      </c>
      <c r="I194" s="125">
        <v>10</v>
      </c>
      <c r="J194" s="125">
        <v>0</v>
      </c>
    </row>
    <row r="195" spans="1:10" s="126" customFormat="1" ht="12" customHeight="1" x14ac:dyDescent="0.2">
      <c r="A195" s="302" t="s">
        <v>219</v>
      </c>
      <c r="B195" s="302"/>
      <c r="C195" s="125">
        <v>192</v>
      </c>
      <c r="D195" s="125">
        <v>172</v>
      </c>
      <c r="E195" s="125">
        <v>20</v>
      </c>
      <c r="F195" s="125">
        <v>12</v>
      </c>
      <c r="G195" s="125">
        <v>8</v>
      </c>
      <c r="H195" s="125">
        <v>0</v>
      </c>
      <c r="I195" s="125">
        <v>0</v>
      </c>
      <c r="J195" s="125">
        <v>0</v>
      </c>
    </row>
    <row r="196" spans="1:10" s="126" customFormat="1" ht="12" customHeight="1" x14ac:dyDescent="0.2">
      <c r="A196" s="302" t="s">
        <v>220</v>
      </c>
      <c r="B196" s="302"/>
      <c r="C196" s="125">
        <v>2978</v>
      </c>
      <c r="D196" s="125">
        <v>2342</v>
      </c>
      <c r="E196" s="125">
        <v>636</v>
      </c>
      <c r="F196" s="125">
        <v>454</v>
      </c>
      <c r="G196" s="125">
        <v>180</v>
      </c>
      <c r="H196" s="125">
        <v>1</v>
      </c>
      <c r="I196" s="125">
        <v>1</v>
      </c>
      <c r="J196" s="125">
        <v>0</v>
      </c>
    </row>
    <row r="197" spans="1:10" s="126" customFormat="1" ht="12" customHeight="1" x14ac:dyDescent="0.2">
      <c r="A197" s="302" t="s">
        <v>221</v>
      </c>
      <c r="B197" s="302"/>
      <c r="C197" s="125">
        <v>879</v>
      </c>
      <c r="D197" s="125">
        <v>602</v>
      </c>
      <c r="E197" s="125">
        <v>277</v>
      </c>
      <c r="F197" s="125">
        <v>147</v>
      </c>
      <c r="G197" s="125">
        <v>95</v>
      </c>
      <c r="H197" s="125">
        <v>21</v>
      </c>
      <c r="I197" s="125">
        <v>14</v>
      </c>
      <c r="J197" s="125">
        <v>0</v>
      </c>
    </row>
    <row r="198" spans="1:10" s="126" customFormat="1" ht="12" customHeight="1" x14ac:dyDescent="0.2">
      <c r="A198" s="302" t="s">
        <v>224</v>
      </c>
      <c r="B198" s="302"/>
      <c r="C198" s="125">
        <v>340</v>
      </c>
      <c r="D198" s="125">
        <v>273</v>
      </c>
      <c r="E198" s="125">
        <v>67</v>
      </c>
      <c r="F198" s="125">
        <v>46</v>
      </c>
      <c r="G198" s="125">
        <v>21</v>
      </c>
      <c r="H198" s="125">
        <v>0</v>
      </c>
      <c r="I198" s="125">
        <v>0</v>
      </c>
      <c r="J198" s="125">
        <v>0</v>
      </c>
    </row>
    <row r="199" spans="1:10" s="126" customFormat="1" ht="12" customHeight="1" x14ac:dyDescent="0.2">
      <c r="A199" s="302" t="s">
        <v>225</v>
      </c>
      <c r="B199" s="302"/>
      <c r="C199" s="125">
        <v>780</v>
      </c>
      <c r="D199" s="125">
        <v>483</v>
      </c>
      <c r="E199" s="125">
        <v>297</v>
      </c>
      <c r="F199" s="125">
        <v>203</v>
      </c>
      <c r="G199" s="125">
        <v>86</v>
      </c>
      <c r="H199" s="125">
        <v>3</v>
      </c>
      <c r="I199" s="125">
        <v>5</v>
      </c>
      <c r="J199" s="125">
        <v>0</v>
      </c>
    </row>
    <row r="200" spans="1:10" s="126" customFormat="1" ht="12" customHeight="1" x14ac:dyDescent="0.2">
      <c r="A200" s="302" t="s">
        <v>226</v>
      </c>
      <c r="B200" s="302"/>
      <c r="C200" s="125">
        <v>424</v>
      </c>
      <c r="D200" s="125">
        <v>315</v>
      </c>
      <c r="E200" s="125">
        <v>109</v>
      </c>
      <c r="F200" s="125">
        <v>62</v>
      </c>
      <c r="G200" s="125">
        <v>47</v>
      </c>
      <c r="H200" s="125">
        <v>0</v>
      </c>
      <c r="I200" s="125">
        <v>0</v>
      </c>
      <c r="J200" s="125">
        <v>0</v>
      </c>
    </row>
    <row r="201" spans="1:10" s="126" customFormat="1" ht="12" customHeight="1" x14ac:dyDescent="0.2">
      <c r="A201" s="308" t="s">
        <v>227</v>
      </c>
      <c r="B201" s="308"/>
      <c r="C201" s="132">
        <v>1069</v>
      </c>
      <c r="D201" s="132">
        <v>801</v>
      </c>
      <c r="E201" s="132">
        <v>268</v>
      </c>
      <c r="F201" s="132">
        <v>141</v>
      </c>
      <c r="G201" s="132">
        <v>100</v>
      </c>
      <c r="H201" s="132">
        <v>22</v>
      </c>
      <c r="I201" s="132">
        <v>5</v>
      </c>
      <c r="J201" s="132">
        <v>0</v>
      </c>
    </row>
    <row r="202" spans="1:10" s="126" customFormat="1" ht="12" customHeight="1" x14ac:dyDescent="0.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</row>
    <row r="203" spans="1:10" s="126" customFormat="1" ht="12" customHeight="1" x14ac:dyDescent="0.2">
      <c r="A203" s="303" t="s">
        <v>229</v>
      </c>
      <c r="B203" s="303"/>
      <c r="C203" s="123">
        <f t="shared" ref="C203:J203" si="49">SUM(C204:C211)</f>
        <v>354375</v>
      </c>
      <c r="D203" s="123">
        <f t="shared" si="49"/>
        <v>254828</v>
      </c>
      <c r="E203" s="123">
        <f t="shared" si="49"/>
        <v>99547</v>
      </c>
      <c r="F203" s="123">
        <f t="shared" si="49"/>
        <v>60292</v>
      </c>
      <c r="G203" s="123">
        <f t="shared" si="49"/>
        <v>37618</v>
      </c>
      <c r="H203" s="123">
        <f t="shared" si="49"/>
        <v>1195</v>
      </c>
      <c r="I203" s="123">
        <f t="shared" si="49"/>
        <v>414</v>
      </c>
      <c r="J203" s="123">
        <f t="shared" si="49"/>
        <v>28</v>
      </c>
    </row>
    <row r="204" spans="1:10" s="126" customFormat="1" ht="12" customHeight="1" x14ac:dyDescent="0.2">
      <c r="A204" s="302" t="s">
        <v>230</v>
      </c>
      <c r="B204" s="302"/>
      <c r="C204" s="125">
        <f t="shared" ref="C204:J204" si="50">SUM(C58:C68)</f>
        <v>51564</v>
      </c>
      <c r="D204" s="125">
        <f t="shared" si="50"/>
        <v>38457</v>
      </c>
      <c r="E204" s="125">
        <f t="shared" si="50"/>
        <v>13107</v>
      </c>
      <c r="F204" s="125">
        <f t="shared" si="50"/>
        <v>7002</v>
      </c>
      <c r="G204" s="125">
        <f t="shared" si="50"/>
        <v>5831</v>
      </c>
      <c r="H204" s="125">
        <f t="shared" si="50"/>
        <v>221</v>
      </c>
      <c r="I204" s="125">
        <f t="shared" si="50"/>
        <v>53</v>
      </c>
      <c r="J204" s="125">
        <f t="shared" si="50"/>
        <v>0</v>
      </c>
    </row>
    <row r="205" spans="1:10" s="126" customFormat="1" ht="12" customHeight="1" x14ac:dyDescent="0.2">
      <c r="A205" s="302" t="s">
        <v>231</v>
      </c>
      <c r="B205" s="302"/>
      <c r="C205" s="125">
        <f t="shared" ref="C205:J205" si="51">SUM(C71:C122)</f>
        <v>152203</v>
      </c>
      <c r="D205" s="125">
        <f t="shared" si="51"/>
        <v>103688</v>
      </c>
      <c r="E205" s="125">
        <f t="shared" si="51"/>
        <v>48515</v>
      </c>
      <c r="F205" s="125">
        <f t="shared" si="51"/>
        <v>27701</v>
      </c>
      <c r="G205" s="125">
        <f t="shared" si="51"/>
        <v>20226</v>
      </c>
      <c r="H205" s="125">
        <f t="shared" si="51"/>
        <v>473</v>
      </c>
      <c r="I205" s="125">
        <f t="shared" si="51"/>
        <v>87</v>
      </c>
      <c r="J205" s="125">
        <f t="shared" si="51"/>
        <v>28</v>
      </c>
    </row>
    <row r="206" spans="1:10" s="126" customFormat="1" ht="12" customHeight="1" x14ac:dyDescent="0.2">
      <c r="A206" s="302" t="s">
        <v>232</v>
      </c>
      <c r="B206" s="302"/>
      <c r="C206" s="125">
        <f t="shared" ref="C206:J206" si="52">SUM(C125:C147)</f>
        <v>64190</v>
      </c>
      <c r="D206" s="125">
        <f t="shared" si="52"/>
        <v>48174</v>
      </c>
      <c r="E206" s="125">
        <f t="shared" si="52"/>
        <v>16016</v>
      </c>
      <c r="F206" s="125">
        <f t="shared" si="52"/>
        <v>10677</v>
      </c>
      <c r="G206" s="125">
        <f t="shared" si="52"/>
        <v>5113</v>
      </c>
      <c r="H206" s="125">
        <f t="shared" si="52"/>
        <v>152</v>
      </c>
      <c r="I206" s="125">
        <f t="shared" si="52"/>
        <v>74</v>
      </c>
      <c r="J206" s="125">
        <f t="shared" si="52"/>
        <v>0</v>
      </c>
    </row>
    <row r="207" spans="1:10" s="126" customFormat="1" ht="12" customHeight="1" x14ac:dyDescent="0.2">
      <c r="A207" s="302" t="s">
        <v>233</v>
      </c>
      <c r="B207" s="302"/>
      <c r="C207" s="125">
        <f t="shared" ref="C207:J207" si="53">SUM(C150:C157)</f>
        <v>6024</v>
      </c>
      <c r="D207" s="125">
        <f t="shared" si="53"/>
        <v>5305</v>
      </c>
      <c r="E207" s="125">
        <f t="shared" si="53"/>
        <v>719</v>
      </c>
      <c r="F207" s="125">
        <f t="shared" si="53"/>
        <v>453</v>
      </c>
      <c r="G207" s="125">
        <f t="shared" si="53"/>
        <v>235</v>
      </c>
      <c r="H207" s="125">
        <f t="shared" si="53"/>
        <v>5</v>
      </c>
      <c r="I207" s="125">
        <f t="shared" si="53"/>
        <v>26</v>
      </c>
      <c r="J207" s="125">
        <f t="shared" si="53"/>
        <v>0</v>
      </c>
    </row>
    <row r="208" spans="1:10" s="126" customFormat="1" ht="12" customHeight="1" x14ac:dyDescent="0.2">
      <c r="A208" s="302" t="s">
        <v>234</v>
      </c>
      <c r="B208" s="302"/>
      <c r="C208" s="125">
        <f t="shared" ref="C208:J208" si="54">SUM(C160:C176)</f>
        <v>52063</v>
      </c>
      <c r="D208" s="125">
        <f t="shared" si="54"/>
        <v>38094</v>
      </c>
      <c r="E208" s="125">
        <f t="shared" si="54"/>
        <v>13969</v>
      </c>
      <c r="F208" s="125">
        <f t="shared" si="54"/>
        <v>9576</v>
      </c>
      <c r="G208" s="125">
        <f t="shared" si="54"/>
        <v>4093</v>
      </c>
      <c r="H208" s="125">
        <f t="shared" si="54"/>
        <v>188</v>
      </c>
      <c r="I208" s="125">
        <f t="shared" si="54"/>
        <v>112</v>
      </c>
      <c r="J208" s="125">
        <f t="shared" si="54"/>
        <v>0</v>
      </c>
    </row>
    <row r="209" spans="1:10" s="126" customFormat="1" ht="12" customHeight="1" x14ac:dyDescent="0.2">
      <c r="A209" s="302" t="s">
        <v>235</v>
      </c>
      <c r="B209" s="302"/>
      <c r="C209" s="125">
        <f t="shared" ref="C209:J209" si="55">SUM(C179:C184)</f>
        <v>13229</v>
      </c>
      <c r="D209" s="125">
        <f t="shared" si="55"/>
        <v>9186</v>
      </c>
      <c r="E209" s="125">
        <f t="shared" si="55"/>
        <v>4043</v>
      </c>
      <c r="F209" s="125">
        <f t="shared" si="55"/>
        <v>2967</v>
      </c>
      <c r="G209" s="125">
        <f t="shared" si="55"/>
        <v>993</v>
      </c>
      <c r="H209" s="125">
        <f t="shared" si="55"/>
        <v>60</v>
      </c>
      <c r="I209" s="125">
        <f t="shared" si="55"/>
        <v>23</v>
      </c>
      <c r="J209" s="125">
        <f t="shared" si="55"/>
        <v>0</v>
      </c>
    </row>
    <row r="210" spans="1:10" s="126" customFormat="1" ht="12" customHeight="1" x14ac:dyDescent="0.2">
      <c r="A210" s="302" t="s">
        <v>236</v>
      </c>
      <c r="B210" s="302"/>
      <c r="C210" s="125">
        <f t="shared" ref="C210:J210" si="56">SUM(C187:C189)</f>
        <v>5767</v>
      </c>
      <c r="D210" s="125">
        <f t="shared" si="56"/>
        <v>5199</v>
      </c>
      <c r="E210" s="125">
        <f t="shared" si="56"/>
        <v>568</v>
      </c>
      <c r="F210" s="125">
        <f t="shared" si="56"/>
        <v>345</v>
      </c>
      <c r="G210" s="125">
        <f t="shared" si="56"/>
        <v>219</v>
      </c>
      <c r="H210" s="125">
        <f t="shared" si="56"/>
        <v>3</v>
      </c>
      <c r="I210" s="125">
        <f t="shared" si="56"/>
        <v>1</v>
      </c>
      <c r="J210" s="125">
        <f t="shared" si="56"/>
        <v>0</v>
      </c>
    </row>
    <row r="211" spans="1:10" s="126" customFormat="1" ht="12" customHeight="1" x14ac:dyDescent="0.2">
      <c r="A211" s="304" t="s">
        <v>237</v>
      </c>
      <c r="B211" s="304"/>
      <c r="C211" s="132">
        <f t="shared" ref="C211:J211" si="57">SUM(C192:C201)</f>
        <v>9335</v>
      </c>
      <c r="D211" s="132">
        <f t="shared" si="57"/>
        <v>6725</v>
      </c>
      <c r="E211" s="132">
        <f t="shared" si="57"/>
        <v>2610</v>
      </c>
      <c r="F211" s="132">
        <f t="shared" si="57"/>
        <v>1571</v>
      </c>
      <c r="G211" s="132">
        <f t="shared" si="57"/>
        <v>908</v>
      </c>
      <c r="H211" s="132">
        <f t="shared" si="57"/>
        <v>93</v>
      </c>
      <c r="I211" s="132">
        <f t="shared" si="57"/>
        <v>38</v>
      </c>
      <c r="J211" s="132">
        <f t="shared" si="57"/>
        <v>0</v>
      </c>
    </row>
    <row r="212" spans="1:10" s="126" customFormat="1" ht="12" customHeight="1" x14ac:dyDescent="0.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</row>
    <row r="213" spans="1:10" s="126" customFormat="1" ht="12" customHeight="1" x14ac:dyDescent="0.2">
      <c r="A213" s="303" t="s">
        <v>355</v>
      </c>
      <c r="B213" s="303"/>
      <c r="C213" s="123">
        <f t="shared" ref="C213:J213" si="58">SUM(C214:C218)</f>
        <v>325964</v>
      </c>
      <c r="D213" s="123">
        <f t="shared" si="58"/>
        <v>233192</v>
      </c>
      <c r="E213" s="123">
        <f t="shared" si="58"/>
        <v>92772</v>
      </c>
      <c r="F213" s="123">
        <f t="shared" si="58"/>
        <v>55864</v>
      </c>
      <c r="G213" s="123">
        <f t="shared" si="58"/>
        <v>35521</v>
      </c>
      <c r="H213" s="123">
        <f t="shared" si="58"/>
        <v>1034</v>
      </c>
      <c r="I213" s="123">
        <f t="shared" si="58"/>
        <v>325</v>
      </c>
      <c r="J213" s="123">
        <f t="shared" si="58"/>
        <v>28</v>
      </c>
    </row>
    <row r="214" spans="1:10" s="126" customFormat="1" ht="12" customHeight="1" x14ac:dyDescent="0.2">
      <c r="A214" s="302" t="s">
        <v>356</v>
      </c>
      <c r="B214" s="302"/>
      <c r="C214" s="125">
        <f t="shared" ref="C214:J214" si="59">+C160+C161+C163+C164+C165+C166+C167+C169+C170+C171+C172+C173+C174+C175+C176+C180</f>
        <v>51745</v>
      </c>
      <c r="D214" s="125">
        <f t="shared" si="59"/>
        <v>38368</v>
      </c>
      <c r="E214" s="125">
        <f t="shared" si="59"/>
        <v>13377</v>
      </c>
      <c r="F214" s="125">
        <f t="shared" si="59"/>
        <v>9219</v>
      </c>
      <c r="G214" s="125">
        <f t="shared" si="59"/>
        <v>3881</v>
      </c>
      <c r="H214" s="125">
        <f t="shared" si="59"/>
        <v>169</v>
      </c>
      <c r="I214" s="125">
        <f t="shared" si="59"/>
        <v>108</v>
      </c>
      <c r="J214" s="125">
        <f t="shared" si="59"/>
        <v>0</v>
      </c>
    </row>
    <row r="215" spans="1:10" s="126" customFormat="1" ht="12" customHeight="1" x14ac:dyDescent="0.2">
      <c r="A215" s="302" t="s">
        <v>357</v>
      </c>
      <c r="B215" s="302"/>
      <c r="C215" s="125">
        <f t="shared" ref="C215:J215" si="60">+C58+C59+C60+C61+C62+C63+C64+C65+C66+C67+C68+C80</f>
        <v>52059</v>
      </c>
      <c r="D215" s="125">
        <f t="shared" si="60"/>
        <v>38841</v>
      </c>
      <c r="E215" s="125">
        <f t="shared" si="60"/>
        <v>13218</v>
      </c>
      <c r="F215" s="125">
        <f t="shared" si="60"/>
        <v>7047</v>
      </c>
      <c r="G215" s="125">
        <f t="shared" si="60"/>
        <v>5897</v>
      </c>
      <c r="H215" s="125">
        <f t="shared" si="60"/>
        <v>221</v>
      </c>
      <c r="I215" s="125">
        <f t="shared" si="60"/>
        <v>53</v>
      </c>
      <c r="J215" s="125">
        <f t="shared" si="60"/>
        <v>0</v>
      </c>
    </row>
    <row r="216" spans="1:10" s="126" customFormat="1" ht="12" customHeight="1" x14ac:dyDescent="0.2">
      <c r="A216" s="302" t="s">
        <v>358</v>
      </c>
      <c r="B216" s="302"/>
      <c r="C216" s="125">
        <f t="shared" ref="C216:J216" si="61">+C125+C127+C129+C130+C134+C136+C137+C138+C139+C140+C142+C143+C145+C146+C150+C157</f>
        <v>55768</v>
      </c>
      <c r="D216" s="125">
        <f t="shared" si="61"/>
        <v>41642</v>
      </c>
      <c r="E216" s="125">
        <f t="shared" si="61"/>
        <v>14126</v>
      </c>
      <c r="F216" s="125">
        <f t="shared" si="61"/>
        <v>9468</v>
      </c>
      <c r="G216" s="125">
        <f t="shared" si="61"/>
        <v>4473</v>
      </c>
      <c r="H216" s="125">
        <f t="shared" si="61"/>
        <v>116</v>
      </c>
      <c r="I216" s="125">
        <f t="shared" si="61"/>
        <v>69</v>
      </c>
      <c r="J216" s="125">
        <f t="shared" si="61"/>
        <v>0</v>
      </c>
    </row>
    <row r="217" spans="1:10" s="126" customFormat="1" ht="12" customHeight="1" x14ac:dyDescent="0.2">
      <c r="A217" s="302" t="s">
        <v>359</v>
      </c>
      <c r="B217" s="302"/>
      <c r="C217" s="125">
        <f t="shared" ref="C217:J217" si="62">+C71+C72+C73+C74+C75+C76+C77+C78+C79+C81+C82+C83+C84+C85+C86+C87+C88+C89+C90+C91+C92+C93+C94+C95+C96+C97+C98+C99+C100+C101+C102+C103+C104+C105+C106+C107+C108+C109+C110+C111+C112+C113+C114+C115+C116+C117+C118+C119+C120+C121+C122</f>
        <v>151708</v>
      </c>
      <c r="D217" s="125">
        <f t="shared" si="62"/>
        <v>103304</v>
      </c>
      <c r="E217" s="125">
        <f t="shared" si="62"/>
        <v>48404</v>
      </c>
      <c r="F217" s="125">
        <f t="shared" si="62"/>
        <v>27656</v>
      </c>
      <c r="G217" s="125">
        <f t="shared" si="62"/>
        <v>20160</v>
      </c>
      <c r="H217" s="125">
        <f t="shared" si="62"/>
        <v>473</v>
      </c>
      <c r="I217" s="125">
        <f t="shared" si="62"/>
        <v>87</v>
      </c>
      <c r="J217" s="125">
        <f t="shared" si="62"/>
        <v>28</v>
      </c>
    </row>
    <row r="218" spans="1:10" s="126" customFormat="1" ht="12" customHeight="1" x14ac:dyDescent="0.2">
      <c r="A218" s="131" t="s">
        <v>360</v>
      </c>
      <c r="B218" s="131"/>
      <c r="C218" s="139">
        <f t="shared" ref="C218:J218" si="63">+C131+C133+C135+C147+C162+C168+C181+C184</f>
        <v>14684</v>
      </c>
      <c r="D218" s="139">
        <f t="shared" si="63"/>
        <v>11037</v>
      </c>
      <c r="E218" s="139">
        <f t="shared" si="63"/>
        <v>3647</v>
      </c>
      <c r="F218" s="139">
        <f t="shared" si="63"/>
        <v>2474</v>
      </c>
      <c r="G218" s="139">
        <f t="shared" si="63"/>
        <v>1110</v>
      </c>
      <c r="H218" s="139">
        <f t="shared" si="63"/>
        <v>55</v>
      </c>
      <c r="I218" s="139">
        <f t="shared" si="63"/>
        <v>8</v>
      </c>
      <c r="J218" s="139">
        <f t="shared" si="63"/>
        <v>0</v>
      </c>
    </row>
    <row r="219" spans="1:10" s="126" customFormat="1" ht="12" customHeight="1" x14ac:dyDescent="0.2">
      <c r="A219" s="135"/>
      <c r="B219" s="135"/>
      <c r="C219" s="136"/>
      <c r="D219" s="136"/>
      <c r="E219" s="136"/>
      <c r="F219" s="136"/>
      <c r="G219" s="136"/>
      <c r="H219" s="136"/>
      <c r="I219" s="136"/>
      <c r="J219" s="136"/>
    </row>
    <row r="220" spans="1:10" s="126" customFormat="1" ht="12" customHeight="1" x14ac:dyDescent="0.2">
      <c r="A220" s="140" t="s">
        <v>361</v>
      </c>
      <c r="B220" s="140"/>
      <c r="C220" s="119">
        <f t="shared" ref="C220:J220" si="64">+C203-C213</f>
        <v>28411</v>
      </c>
      <c r="D220" s="119">
        <f t="shared" si="64"/>
        <v>21636</v>
      </c>
      <c r="E220" s="119">
        <f t="shared" si="64"/>
        <v>6775</v>
      </c>
      <c r="F220" s="119">
        <f t="shared" si="64"/>
        <v>4428</v>
      </c>
      <c r="G220" s="119">
        <f t="shared" si="64"/>
        <v>2097</v>
      </c>
      <c r="H220" s="119">
        <f t="shared" si="64"/>
        <v>161</v>
      </c>
      <c r="I220" s="119">
        <f t="shared" si="64"/>
        <v>89</v>
      </c>
      <c r="J220" s="119">
        <f t="shared" si="64"/>
        <v>0</v>
      </c>
    </row>
    <row r="221" spans="1:10" s="141" customFormat="1" ht="12" customHeight="1" x14ac:dyDescent="0.2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</row>
    <row r="222" spans="1:10" s="142" customFormat="1" ht="12" customHeight="1" x14ac:dyDescent="0.2">
      <c r="A222" s="312" t="s">
        <v>365</v>
      </c>
      <c r="B222" s="312"/>
      <c r="C222" s="312"/>
      <c r="D222" s="312"/>
      <c r="E222" s="312"/>
      <c r="F222" s="312"/>
      <c r="G222" s="312"/>
      <c r="H222" s="312"/>
      <c r="I222" s="312"/>
      <c r="J222" s="312"/>
    </row>
    <row r="223" spans="1:10" s="143" customFormat="1" ht="12" customHeight="1" x14ac:dyDescent="0.2">
      <c r="A223" s="286" t="s">
        <v>362</v>
      </c>
      <c r="B223" s="286"/>
      <c r="C223" s="286"/>
      <c r="D223" s="286"/>
      <c r="E223" s="286"/>
      <c r="F223" s="286"/>
      <c r="G223" s="286"/>
      <c r="H223" s="286"/>
      <c r="I223" s="286"/>
      <c r="J223" s="286"/>
    </row>
    <row r="224" spans="1:10" s="143" customFormat="1" ht="12" customHeight="1" x14ac:dyDescent="0.15">
      <c r="A224" s="313"/>
      <c r="B224" s="313"/>
      <c r="C224" s="313"/>
      <c r="D224" s="313"/>
      <c r="E224" s="313"/>
      <c r="F224" s="313"/>
      <c r="G224" s="313"/>
      <c r="H224" s="313"/>
      <c r="I224" s="313"/>
      <c r="J224" s="313"/>
    </row>
    <row r="225" spans="1:10" s="142" customFormat="1" ht="12" customHeight="1" x14ac:dyDescent="0.2">
      <c r="A225" s="286" t="s">
        <v>339</v>
      </c>
      <c r="B225" s="286"/>
      <c r="C225" s="286"/>
      <c r="D225" s="286"/>
      <c r="E225" s="286"/>
      <c r="F225" s="286"/>
      <c r="G225" s="286"/>
      <c r="H225" s="286"/>
      <c r="I225" s="286"/>
      <c r="J225" s="286"/>
    </row>
    <row r="226" spans="1:10" s="143" customFormat="1" ht="12" customHeight="1" x14ac:dyDescent="0.2">
      <c r="A226" s="314"/>
      <c r="B226" s="314"/>
      <c r="C226" s="314"/>
      <c r="D226" s="314"/>
      <c r="E226" s="314"/>
      <c r="F226" s="314"/>
      <c r="G226" s="314"/>
      <c r="H226" s="314"/>
      <c r="I226" s="314"/>
      <c r="J226" s="314"/>
    </row>
    <row r="227" spans="1:10" s="144" customFormat="1" ht="12" customHeight="1" x14ac:dyDescent="0.2">
      <c r="A227" s="286" t="s">
        <v>367</v>
      </c>
      <c r="B227" s="286"/>
      <c r="C227" s="286"/>
      <c r="D227" s="286"/>
      <c r="E227" s="286"/>
      <c r="F227" s="286"/>
      <c r="G227" s="286"/>
      <c r="H227" s="286"/>
      <c r="I227" s="286"/>
      <c r="J227" s="286"/>
    </row>
    <row r="228" spans="1:10" s="144" customFormat="1" ht="12" customHeight="1" x14ac:dyDescent="0.2">
      <c r="A228" s="286" t="s">
        <v>352</v>
      </c>
      <c r="B228" s="286"/>
      <c r="C228" s="286"/>
      <c r="D228" s="286"/>
      <c r="E228" s="286"/>
      <c r="F228" s="286"/>
      <c r="G228" s="286"/>
      <c r="H228" s="286"/>
      <c r="I228" s="286"/>
      <c r="J228" s="286"/>
    </row>
  </sheetData>
  <mergeCells count="193">
    <mergeCell ref="A222:J222"/>
    <mergeCell ref="A223:J223"/>
    <mergeCell ref="A224:J224"/>
    <mergeCell ref="A225:J225"/>
    <mergeCell ref="A226:J226"/>
    <mergeCell ref="A227:J227"/>
    <mergeCell ref="A228:J228"/>
    <mergeCell ref="A216:B216"/>
    <mergeCell ref="A217:B217"/>
    <mergeCell ref="A1:J1"/>
    <mergeCell ref="A2:J2"/>
    <mergeCell ref="A3:J3"/>
    <mergeCell ref="A4:J4"/>
    <mergeCell ref="A5:B5"/>
    <mergeCell ref="E5:J5"/>
    <mergeCell ref="A6:B6"/>
    <mergeCell ref="E6:J6"/>
    <mergeCell ref="A209:B209"/>
    <mergeCell ref="A196:B196"/>
    <mergeCell ref="A197:B197"/>
    <mergeCell ref="A198:B198"/>
    <mergeCell ref="A199:B199"/>
    <mergeCell ref="A200:B200"/>
    <mergeCell ref="A201:B201"/>
    <mergeCell ref="A189:B189"/>
    <mergeCell ref="A191:B191"/>
    <mergeCell ref="A192:B192"/>
    <mergeCell ref="A193:B193"/>
    <mergeCell ref="A194:B194"/>
    <mergeCell ref="A195:B195"/>
    <mergeCell ref="A182:B182"/>
    <mergeCell ref="A183:B183"/>
    <mergeCell ref="A184:B184"/>
    <mergeCell ref="A210:B210"/>
    <mergeCell ref="A211:B211"/>
    <mergeCell ref="A213:B213"/>
    <mergeCell ref="A214:B214"/>
    <mergeCell ref="A215:B215"/>
    <mergeCell ref="A203:B203"/>
    <mergeCell ref="A204:B204"/>
    <mergeCell ref="A205:B205"/>
    <mergeCell ref="A206:B206"/>
    <mergeCell ref="A207:B207"/>
    <mergeCell ref="A208:B208"/>
    <mergeCell ref="A186:B186"/>
    <mergeCell ref="A187:B187"/>
    <mergeCell ref="A188:B188"/>
    <mergeCell ref="A175:B175"/>
    <mergeCell ref="A176:B176"/>
    <mergeCell ref="A178:B178"/>
    <mergeCell ref="A179:B179"/>
    <mergeCell ref="A180:B180"/>
    <mergeCell ref="A181:B181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6:B156"/>
    <mergeCell ref="A157:B157"/>
    <mergeCell ref="A159:B159"/>
    <mergeCell ref="A160:B160"/>
    <mergeCell ref="A161:B161"/>
    <mergeCell ref="A162:B162"/>
    <mergeCell ref="A150:B150"/>
    <mergeCell ref="A151:B151"/>
    <mergeCell ref="A152:B152"/>
    <mergeCell ref="A153:B153"/>
    <mergeCell ref="A154:B154"/>
    <mergeCell ref="A155:B155"/>
    <mergeCell ref="A143:B143"/>
    <mergeCell ref="A144:B144"/>
    <mergeCell ref="A145:B145"/>
    <mergeCell ref="A146:B146"/>
    <mergeCell ref="A147:B147"/>
    <mergeCell ref="A149:B149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0:B120"/>
    <mergeCell ref="A121:B121"/>
    <mergeCell ref="A122:B122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7:B7"/>
    <mergeCell ref="A8:B8"/>
    <mergeCell ref="A9:B9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</mergeCells>
  <pageMargins left="0" right="0" top="0" bottom="0" header="0" footer="0"/>
  <pageSetup paperSize="9" scale="80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7"/>
  <dimension ref="A1:J233"/>
  <sheetViews>
    <sheetView workbookViewId="0">
      <selection sqref="A1:J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117" customFormat="1" ht="12.75" customHeight="1" x14ac:dyDescent="0.2">
      <c r="A2" s="289" t="s">
        <v>353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C12+C23+C38+C42+C52</f>
        <v>351946</v>
      </c>
      <c r="D10" s="16">
        <f t="shared" si="0"/>
        <v>254288</v>
      </c>
      <c r="E10" s="16">
        <f t="shared" si="0"/>
        <v>97658</v>
      </c>
      <c r="F10" s="16">
        <f t="shared" si="0"/>
        <v>60050</v>
      </c>
      <c r="G10" s="16">
        <f>G12+G23+G38+G42+G52</f>
        <v>36323</v>
      </c>
      <c r="H10" s="16">
        <f t="shared" si="0"/>
        <v>1038</v>
      </c>
      <c r="I10" s="16">
        <f t="shared" si="0"/>
        <v>212</v>
      </c>
      <c r="J10" s="16">
        <f t="shared" si="0"/>
        <v>35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29623</v>
      </c>
      <c r="D12" s="20">
        <f t="shared" si="1"/>
        <v>22328</v>
      </c>
      <c r="E12" s="20">
        <f t="shared" si="1"/>
        <v>7295</v>
      </c>
      <c r="F12" s="20">
        <f t="shared" si="1"/>
        <v>5005</v>
      </c>
      <c r="G12" s="20">
        <f t="shared" si="1"/>
        <v>2130</v>
      </c>
      <c r="H12" s="20">
        <f t="shared" si="1"/>
        <v>132</v>
      </c>
      <c r="I12" s="20">
        <f t="shared" si="1"/>
        <v>28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9343</v>
      </c>
      <c r="D13" s="22">
        <f t="shared" si="2"/>
        <v>6755</v>
      </c>
      <c r="E13" s="22">
        <f t="shared" si="2"/>
        <v>2588</v>
      </c>
      <c r="F13" s="22">
        <f t="shared" si="2"/>
        <v>1596</v>
      </c>
      <c r="G13" s="22">
        <f t="shared" si="2"/>
        <v>900</v>
      </c>
      <c r="H13" s="22">
        <f t="shared" si="2"/>
        <v>72</v>
      </c>
      <c r="I13" s="22">
        <f t="shared" si="2"/>
        <v>20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C196+C197+C199+C204+C205</f>
        <v>3356</v>
      </c>
      <c r="D14" s="22">
        <f t="shared" si="3"/>
        <v>2549</v>
      </c>
      <c r="E14" s="22">
        <f t="shared" si="3"/>
        <v>807</v>
      </c>
      <c r="F14" s="22">
        <f t="shared" si="3"/>
        <v>425</v>
      </c>
      <c r="G14" s="22">
        <f t="shared" si="3"/>
        <v>355</v>
      </c>
      <c r="H14" s="22">
        <f t="shared" si="3"/>
        <v>25</v>
      </c>
      <c r="I14" s="22">
        <f t="shared" si="3"/>
        <v>2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+C200+C206</f>
        <v>2986</v>
      </c>
      <c r="D15" s="22">
        <f t="shared" si="4"/>
        <v>2352</v>
      </c>
      <c r="E15" s="22">
        <f t="shared" si="4"/>
        <v>634</v>
      </c>
      <c r="F15" s="22">
        <f t="shared" si="4"/>
        <v>473</v>
      </c>
      <c r="G15" s="22">
        <f t="shared" si="4"/>
        <v>159</v>
      </c>
      <c r="H15" s="22">
        <f t="shared" si="4"/>
        <v>2</v>
      </c>
      <c r="I15" s="22">
        <f t="shared" si="4"/>
        <v>0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C198+C201+C202+C203</f>
        <v>3001</v>
      </c>
      <c r="D16" s="22">
        <f t="shared" si="5"/>
        <v>1854</v>
      </c>
      <c r="E16" s="22">
        <f t="shared" si="5"/>
        <v>1147</v>
      </c>
      <c r="F16" s="22">
        <f t="shared" si="5"/>
        <v>698</v>
      </c>
      <c r="G16" s="22">
        <f t="shared" si="5"/>
        <v>386</v>
      </c>
      <c r="H16" s="22">
        <f t="shared" si="5"/>
        <v>45</v>
      </c>
      <c r="I16" s="22">
        <f t="shared" si="5"/>
        <v>18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5714</v>
      </c>
      <c r="D17" s="22">
        <f t="shared" si="6"/>
        <v>5166</v>
      </c>
      <c r="E17" s="22">
        <f t="shared" si="6"/>
        <v>548</v>
      </c>
      <c r="F17" s="22">
        <f t="shared" si="6"/>
        <v>331</v>
      </c>
      <c r="G17" s="22">
        <f t="shared" si="6"/>
        <v>216</v>
      </c>
      <c r="H17" s="22">
        <f t="shared" si="6"/>
        <v>0</v>
      </c>
      <c r="I17" s="22">
        <f t="shared" si="6"/>
        <v>1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+C192</f>
        <v>1783</v>
      </c>
      <c r="D18" s="22">
        <f t="shared" si="7"/>
        <v>1630</v>
      </c>
      <c r="E18" s="22">
        <f t="shared" si="7"/>
        <v>153</v>
      </c>
      <c r="F18" s="22">
        <f t="shared" si="7"/>
        <v>73</v>
      </c>
      <c r="G18" s="22">
        <f t="shared" si="7"/>
        <v>80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+C191</f>
        <v>1856</v>
      </c>
      <c r="D19" s="22">
        <f t="shared" si="8"/>
        <v>1636</v>
      </c>
      <c r="E19" s="22">
        <f t="shared" si="8"/>
        <v>220</v>
      </c>
      <c r="F19" s="22">
        <f t="shared" si="8"/>
        <v>153</v>
      </c>
      <c r="G19" s="22">
        <f t="shared" si="8"/>
        <v>67</v>
      </c>
      <c r="H19" s="22">
        <f t="shared" si="8"/>
        <v>0</v>
      </c>
      <c r="I19" s="22">
        <f t="shared" si="8"/>
        <v>0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C193</f>
        <v>2075</v>
      </c>
      <c r="D20" s="22">
        <f t="shared" si="9"/>
        <v>1900</v>
      </c>
      <c r="E20" s="22">
        <f t="shared" si="9"/>
        <v>175</v>
      </c>
      <c r="F20" s="22">
        <f t="shared" si="9"/>
        <v>105</v>
      </c>
      <c r="G20" s="22">
        <f t="shared" si="9"/>
        <v>69</v>
      </c>
      <c r="H20" s="22">
        <f t="shared" si="9"/>
        <v>0</v>
      </c>
      <c r="I20" s="22">
        <f t="shared" si="9"/>
        <v>1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C183+C184+C185+C169+C186+C187+C174+C188+C177</f>
        <v>14566</v>
      </c>
      <c r="D21" s="28">
        <f t="shared" si="10"/>
        <v>10407</v>
      </c>
      <c r="E21" s="28">
        <f t="shared" si="10"/>
        <v>4159</v>
      </c>
      <c r="F21" s="28">
        <f t="shared" si="10"/>
        <v>3078</v>
      </c>
      <c r="G21" s="28">
        <f t="shared" si="10"/>
        <v>1014</v>
      </c>
      <c r="H21" s="28">
        <f t="shared" si="10"/>
        <v>60</v>
      </c>
      <c r="I21" s="28">
        <f t="shared" si="10"/>
        <v>7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342</v>
      </c>
      <c r="B23" s="263"/>
      <c r="C23" s="20">
        <f t="shared" ref="C23:J23" si="11">C24+C25+C26+C29+C32+C33</f>
        <v>69672</v>
      </c>
      <c r="D23" s="20">
        <f t="shared" si="11"/>
        <v>53333</v>
      </c>
      <c r="E23" s="20">
        <f t="shared" si="11"/>
        <v>16339</v>
      </c>
      <c r="F23" s="20">
        <f t="shared" si="11"/>
        <v>11137</v>
      </c>
      <c r="G23" s="20">
        <f t="shared" si="11"/>
        <v>5047</v>
      </c>
      <c r="H23" s="20">
        <f t="shared" si="11"/>
        <v>134</v>
      </c>
      <c r="I23" s="20">
        <f t="shared" si="11"/>
        <v>21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C125+C127+C128+C138+C139+C141+C143+C145+C146</f>
        <v>41542</v>
      </c>
      <c r="D24" s="22">
        <f t="shared" si="12"/>
        <v>29825</v>
      </c>
      <c r="E24" s="22">
        <f t="shared" si="12"/>
        <v>11717</v>
      </c>
      <c r="F24" s="22">
        <f t="shared" si="12"/>
        <v>7927</v>
      </c>
      <c r="G24" s="22">
        <f t="shared" si="12"/>
        <v>3686</v>
      </c>
      <c r="H24" s="22">
        <f t="shared" si="12"/>
        <v>89</v>
      </c>
      <c r="I24" s="22">
        <f t="shared" si="12"/>
        <v>15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C133</f>
        <v>5136</v>
      </c>
      <c r="D25" s="22">
        <f t="shared" si="13"/>
        <v>4059</v>
      </c>
      <c r="E25" s="22">
        <f t="shared" si="13"/>
        <v>1077</v>
      </c>
      <c r="F25" s="22">
        <f t="shared" si="13"/>
        <v>696</v>
      </c>
      <c r="G25" s="22">
        <f t="shared" si="13"/>
        <v>380</v>
      </c>
      <c r="H25" s="22">
        <f t="shared" si="13"/>
        <v>1</v>
      </c>
      <c r="I25" s="22">
        <f t="shared" si="13"/>
        <v>0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12521</v>
      </c>
      <c r="D26" s="22">
        <f t="shared" si="14"/>
        <v>10138</v>
      </c>
      <c r="E26" s="22">
        <f t="shared" si="14"/>
        <v>2383</v>
      </c>
      <c r="F26" s="22">
        <f t="shared" si="14"/>
        <v>1726</v>
      </c>
      <c r="G26" s="22">
        <f t="shared" si="14"/>
        <v>610</v>
      </c>
      <c r="H26" s="22">
        <f t="shared" si="14"/>
        <v>43</v>
      </c>
      <c r="I26" s="22">
        <f t="shared" si="14"/>
        <v>4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C126+C130+C132+C140+C147+C151</f>
        <v>883</v>
      </c>
      <c r="D27" s="22">
        <f t="shared" si="15"/>
        <v>820</v>
      </c>
      <c r="E27" s="22">
        <f t="shared" si="15"/>
        <v>63</v>
      </c>
      <c r="F27" s="22">
        <f t="shared" si="15"/>
        <v>44</v>
      </c>
      <c r="G27" s="22">
        <f t="shared" si="15"/>
        <v>19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C131+C134+C137+C148</f>
        <v>11638</v>
      </c>
      <c r="D28" s="22">
        <f t="shared" si="16"/>
        <v>9318</v>
      </c>
      <c r="E28" s="22">
        <f t="shared" si="16"/>
        <v>2320</v>
      </c>
      <c r="F28" s="22">
        <f t="shared" si="16"/>
        <v>1682</v>
      </c>
      <c r="G28" s="22">
        <f t="shared" si="16"/>
        <v>591</v>
      </c>
      <c r="H28" s="22">
        <f t="shared" si="16"/>
        <v>43</v>
      </c>
      <c r="I28" s="22">
        <f t="shared" si="16"/>
        <v>4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3788</v>
      </c>
      <c r="D29" s="22">
        <f t="shared" si="17"/>
        <v>3353</v>
      </c>
      <c r="E29" s="22">
        <f t="shared" si="17"/>
        <v>435</v>
      </c>
      <c r="F29" s="22">
        <f t="shared" si="17"/>
        <v>294</v>
      </c>
      <c r="G29" s="22">
        <f t="shared" si="17"/>
        <v>141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+C129</f>
        <v>1170</v>
      </c>
      <c r="D30" s="22">
        <f t="shared" si="18"/>
        <v>1061</v>
      </c>
      <c r="E30" s="22">
        <f t="shared" si="18"/>
        <v>109</v>
      </c>
      <c r="F30" s="22">
        <f t="shared" si="18"/>
        <v>88</v>
      </c>
      <c r="G30" s="22">
        <f t="shared" si="18"/>
        <v>21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C149</f>
        <v>2618</v>
      </c>
      <c r="D31" s="22">
        <f t="shared" si="19"/>
        <v>2292</v>
      </c>
      <c r="E31" s="22">
        <f t="shared" si="19"/>
        <v>326</v>
      </c>
      <c r="F31" s="22">
        <f t="shared" si="19"/>
        <v>206</v>
      </c>
      <c r="G31" s="22">
        <f t="shared" si="19"/>
        <v>120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C135+C136+C142+C144+C150</f>
        <v>701</v>
      </c>
      <c r="D32" s="22">
        <f t="shared" si="20"/>
        <v>647</v>
      </c>
      <c r="E32" s="22">
        <f t="shared" si="20"/>
        <v>54</v>
      </c>
      <c r="F32" s="22">
        <f t="shared" si="20"/>
        <v>37</v>
      </c>
      <c r="G32" s="22">
        <f t="shared" si="20"/>
        <v>17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343</v>
      </c>
      <c r="B33" s="264"/>
      <c r="C33" s="22">
        <f t="shared" ref="C33:J33" si="21">C34+C35+C36</f>
        <v>5984</v>
      </c>
      <c r="D33" s="22">
        <f t="shared" si="21"/>
        <v>5311</v>
      </c>
      <c r="E33" s="22">
        <f t="shared" si="21"/>
        <v>673</v>
      </c>
      <c r="F33" s="22">
        <f t="shared" si="21"/>
        <v>457</v>
      </c>
      <c r="G33" s="22">
        <f t="shared" si="21"/>
        <v>213</v>
      </c>
      <c r="H33" s="22">
        <f t="shared" si="21"/>
        <v>1</v>
      </c>
      <c r="I33" s="22">
        <f t="shared" si="21"/>
        <v>2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C159</f>
        <v>540</v>
      </c>
      <c r="D34" s="22">
        <f t="shared" si="22"/>
        <v>507</v>
      </c>
      <c r="E34" s="22">
        <f t="shared" si="22"/>
        <v>33</v>
      </c>
      <c r="F34" s="22">
        <f t="shared" si="22"/>
        <v>17</v>
      </c>
      <c r="G34" s="22">
        <f t="shared" si="22"/>
        <v>14</v>
      </c>
      <c r="H34" s="22">
        <f t="shared" si="22"/>
        <v>0</v>
      </c>
      <c r="I34" s="22">
        <f t="shared" si="22"/>
        <v>2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C155+C156+C157+C160</f>
        <v>211</v>
      </c>
      <c r="D35" s="22">
        <f t="shared" si="23"/>
        <v>181</v>
      </c>
      <c r="E35" s="22">
        <f t="shared" si="23"/>
        <v>30</v>
      </c>
      <c r="F35" s="22">
        <f t="shared" si="23"/>
        <v>18</v>
      </c>
      <c r="G35" s="22">
        <f t="shared" si="23"/>
        <v>11</v>
      </c>
      <c r="H35" s="22">
        <f t="shared" si="23"/>
        <v>1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344</v>
      </c>
      <c r="C36" s="28">
        <f t="shared" ref="C36:J36" si="24">C154+C158+C161</f>
        <v>5233</v>
      </c>
      <c r="D36" s="28">
        <f t="shared" si="24"/>
        <v>4623</v>
      </c>
      <c r="E36" s="28">
        <f t="shared" si="24"/>
        <v>610</v>
      </c>
      <c r="F36" s="28">
        <f t="shared" si="24"/>
        <v>422</v>
      </c>
      <c r="G36" s="28">
        <f t="shared" si="24"/>
        <v>188</v>
      </c>
      <c r="H36" s="28">
        <f t="shared" si="24"/>
        <v>0</v>
      </c>
      <c r="I36" s="28">
        <f t="shared" si="24"/>
        <v>0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49561</v>
      </c>
      <c r="D38" s="20">
        <f t="shared" si="25"/>
        <v>36055</v>
      </c>
      <c r="E38" s="20">
        <f t="shared" si="25"/>
        <v>13506</v>
      </c>
      <c r="F38" s="20">
        <f t="shared" si="25"/>
        <v>9435</v>
      </c>
      <c r="G38" s="20">
        <f t="shared" si="25"/>
        <v>3878</v>
      </c>
      <c r="H38" s="20">
        <f t="shared" si="25"/>
        <v>140</v>
      </c>
      <c r="I38" s="20">
        <f t="shared" si="25"/>
        <v>53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C164+C165+C167+C168+C170+C173+C175+C176+C179+C180</f>
        <v>43558</v>
      </c>
      <c r="D39" s="22">
        <f t="shared" si="26"/>
        <v>31918</v>
      </c>
      <c r="E39" s="22">
        <f t="shared" si="26"/>
        <v>11640</v>
      </c>
      <c r="F39" s="22">
        <f t="shared" si="26"/>
        <v>8127</v>
      </c>
      <c r="G39" s="22">
        <f t="shared" si="26"/>
        <v>3356</v>
      </c>
      <c r="H39" s="22">
        <f t="shared" si="26"/>
        <v>118</v>
      </c>
      <c r="I39" s="22">
        <f t="shared" si="26"/>
        <v>39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+C166+C171+C178</f>
        <v>6003</v>
      </c>
      <c r="D40" s="28">
        <f t="shared" si="27"/>
        <v>4137</v>
      </c>
      <c r="E40" s="28">
        <f t="shared" si="27"/>
        <v>1866</v>
      </c>
      <c r="F40" s="28">
        <f t="shared" si="27"/>
        <v>1308</v>
      </c>
      <c r="G40" s="28">
        <f t="shared" si="27"/>
        <v>522</v>
      </c>
      <c r="H40" s="28">
        <f t="shared" si="27"/>
        <v>22</v>
      </c>
      <c r="I40" s="28">
        <f t="shared" si="27"/>
        <v>14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C43+C44+C47</f>
        <v>146639</v>
      </c>
      <c r="D42" s="20">
        <f t="shared" si="28"/>
        <v>100234</v>
      </c>
      <c r="E42" s="20">
        <f t="shared" si="28"/>
        <v>46405</v>
      </c>
      <c r="F42" s="20">
        <f t="shared" si="28"/>
        <v>26777</v>
      </c>
      <c r="G42" s="20">
        <f t="shared" si="28"/>
        <v>19100</v>
      </c>
      <c r="H42" s="20">
        <f t="shared" si="28"/>
        <v>426</v>
      </c>
      <c r="I42" s="20">
        <f t="shared" si="28"/>
        <v>68</v>
      </c>
      <c r="J42" s="20">
        <f t="shared" si="28"/>
        <v>34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C82+C83+C86+C87+C89+C91+C93+C94+C98+C100+C105+C106+C110+C113+C116+C118+C121+C122</f>
        <v>99473</v>
      </c>
      <c r="D43" s="22">
        <f t="shared" si="29"/>
        <v>62825</v>
      </c>
      <c r="E43" s="22">
        <f t="shared" si="29"/>
        <v>36648</v>
      </c>
      <c r="F43" s="22">
        <f t="shared" si="29"/>
        <v>20344</v>
      </c>
      <c r="G43" s="22">
        <f t="shared" si="29"/>
        <v>15844</v>
      </c>
      <c r="H43" s="22">
        <f t="shared" si="29"/>
        <v>363</v>
      </c>
      <c r="I43" s="22">
        <f t="shared" si="29"/>
        <v>63</v>
      </c>
      <c r="J43" s="22">
        <f t="shared" si="29"/>
        <v>34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</f>
        <v>23457</v>
      </c>
      <c r="D44" s="22">
        <f t="shared" si="30"/>
        <v>19256</v>
      </c>
      <c r="E44" s="22">
        <f t="shared" si="30"/>
        <v>4201</v>
      </c>
      <c r="F44" s="22">
        <f t="shared" si="30"/>
        <v>2833</v>
      </c>
      <c r="G44" s="22">
        <f t="shared" si="30"/>
        <v>1343</v>
      </c>
      <c r="H44" s="22">
        <f t="shared" si="30"/>
        <v>21</v>
      </c>
      <c r="I44" s="22">
        <f t="shared" si="30"/>
        <v>4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C76+C103+C92+C172+C96+C101+C119</f>
        <v>13617</v>
      </c>
      <c r="D45" s="22">
        <f t="shared" si="31"/>
        <v>10672</v>
      </c>
      <c r="E45" s="22">
        <f t="shared" si="31"/>
        <v>2945</v>
      </c>
      <c r="F45" s="22">
        <f t="shared" si="31"/>
        <v>1997</v>
      </c>
      <c r="G45" s="22">
        <f t="shared" si="31"/>
        <v>926</v>
      </c>
      <c r="H45" s="22">
        <f t="shared" si="31"/>
        <v>19</v>
      </c>
      <c r="I45" s="22">
        <f t="shared" si="31"/>
        <v>3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C84+C109+C111</f>
        <v>9840</v>
      </c>
      <c r="D46" s="22">
        <f t="shared" si="32"/>
        <v>8584</v>
      </c>
      <c r="E46" s="22">
        <f t="shared" si="32"/>
        <v>1256</v>
      </c>
      <c r="F46" s="22">
        <f t="shared" si="32"/>
        <v>836</v>
      </c>
      <c r="G46" s="22">
        <f t="shared" si="32"/>
        <v>417</v>
      </c>
      <c r="H46" s="22">
        <f t="shared" si="32"/>
        <v>2</v>
      </c>
      <c r="I46" s="22">
        <f t="shared" si="32"/>
        <v>1</v>
      </c>
      <c r="J46" s="22">
        <f t="shared" si="32"/>
        <v>0</v>
      </c>
    </row>
    <row r="47" spans="1:10" s="21" customFormat="1" ht="12" customHeight="1" x14ac:dyDescent="0.2">
      <c r="A47" s="264" t="s">
        <v>44</v>
      </c>
      <c r="B47" s="264"/>
      <c r="C47" s="22">
        <f t="shared" ref="C47:J47" si="33">C48+C49+C50</f>
        <v>23709</v>
      </c>
      <c r="D47" s="22">
        <f t="shared" si="33"/>
        <v>18153</v>
      </c>
      <c r="E47" s="22">
        <f t="shared" si="33"/>
        <v>5556</v>
      </c>
      <c r="F47" s="22">
        <f t="shared" si="33"/>
        <v>3600</v>
      </c>
      <c r="G47" s="22">
        <f t="shared" si="33"/>
        <v>1913</v>
      </c>
      <c r="H47" s="22">
        <f t="shared" si="33"/>
        <v>42</v>
      </c>
      <c r="I47" s="22">
        <f t="shared" si="33"/>
        <v>1</v>
      </c>
      <c r="J47" s="22">
        <f t="shared" si="33"/>
        <v>0</v>
      </c>
    </row>
    <row r="48" spans="1:10" s="21" customFormat="1" ht="12" customHeight="1" x14ac:dyDescent="0.2">
      <c r="A48" s="30"/>
      <c r="B48" s="24" t="s">
        <v>45</v>
      </c>
      <c r="C48" s="22">
        <f t="shared" ref="C48:J48" si="34">+C72+C73+C81+C102</f>
        <v>2839</v>
      </c>
      <c r="D48" s="22">
        <f t="shared" si="34"/>
        <v>2499</v>
      </c>
      <c r="E48" s="22">
        <f t="shared" si="34"/>
        <v>340</v>
      </c>
      <c r="F48" s="22">
        <f t="shared" si="34"/>
        <v>214</v>
      </c>
      <c r="G48" s="22">
        <f t="shared" si="34"/>
        <v>126</v>
      </c>
      <c r="H48" s="22">
        <f t="shared" si="34"/>
        <v>0</v>
      </c>
      <c r="I48" s="22">
        <f t="shared" si="34"/>
        <v>0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46</v>
      </c>
      <c r="C49" s="22">
        <f t="shared" ref="C49:J49" si="35">C75+C77+C88+C90+C104+C108+C114+C117</f>
        <v>6227</v>
      </c>
      <c r="D49" s="22">
        <f t="shared" si="35"/>
        <v>5102</v>
      </c>
      <c r="E49" s="22">
        <f t="shared" si="35"/>
        <v>1125</v>
      </c>
      <c r="F49" s="22">
        <f t="shared" si="35"/>
        <v>723</v>
      </c>
      <c r="G49" s="22">
        <f t="shared" si="35"/>
        <v>397</v>
      </c>
      <c r="H49" s="22">
        <f t="shared" si="35"/>
        <v>5</v>
      </c>
      <c r="I49" s="22">
        <f t="shared" si="35"/>
        <v>0</v>
      </c>
      <c r="J49" s="22">
        <f t="shared" si="35"/>
        <v>0</v>
      </c>
    </row>
    <row r="50" spans="1:10" s="21" customFormat="1" ht="12" customHeight="1" x14ac:dyDescent="0.2">
      <c r="A50" s="30"/>
      <c r="B50" s="30" t="s">
        <v>47</v>
      </c>
      <c r="C50" s="28">
        <f t="shared" ref="C50:J50" si="36">C71+C78+C85+C95+C107+C112+C120</f>
        <v>14643</v>
      </c>
      <c r="D50" s="28">
        <f t="shared" si="36"/>
        <v>10552</v>
      </c>
      <c r="E50" s="28">
        <f t="shared" si="36"/>
        <v>4091</v>
      </c>
      <c r="F50" s="28">
        <f t="shared" si="36"/>
        <v>2663</v>
      </c>
      <c r="G50" s="28">
        <f t="shared" si="36"/>
        <v>1390</v>
      </c>
      <c r="H50" s="28">
        <f t="shared" si="36"/>
        <v>37</v>
      </c>
      <c r="I50" s="28">
        <f t="shared" si="36"/>
        <v>1</v>
      </c>
      <c r="J50" s="28">
        <f t="shared" si="36"/>
        <v>0</v>
      </c>
    </row>
    <row r="51" spans="1:10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 s="19" customFormat="1" ht="12" customHeight="1" x14ac:dyDescent="0.2">
      <c r="A52" s="263" t="s">
        <v>48</v>
      </c>
      <c r="B52" s="263"/>
      <c r="C52" s="20">
        <f t="shared" ref="C52:J52" si="37">C53+C54+C55</f>
        <v>56451</v>
      </c>
      <c r="D52" s="20">
        <f t="shared" si="37"/>
        <v>42338</v>
      </c>
      <c r="E52" s="20">
        <f t="shared" si="37"/>
        <v>14113</v>
      </c>
      <c r="F52" s="20">
        <f t="shared" si="37"/>
        <v>7696</v>
      </c>
      <c r="G52" s="20">
        <f t="shared" si="37"/>
        <v>6168</v>
      </c>
      <c r="H52" s="20">
        <f t="shared" si="37"/>
        <v>206</v>
      </c>
      <c r="I52" s="20">
        <f t="shared" si="37"/>
        <v>42</v>
      </c>
      <c r="J52" s="20">
        <f t="shared" si="37"/>
        <v>1</v>
      </c>
    </row>
    <row r="53" spans="1:10" s="21" customFormat="1" ht="12" customHeight="1" x14ac:dyDescent="0.2">
      <c r="A53" s="264" t="s">
        <v>49</v>
      </c>
      <c r="B53" s="264"/>
      <c r="C53" s="22">
        <f t="shared" ref="C53:J53" si="38">C58+C61+C64+C68</f>
        <v>19616</v>
      </c>
      <c r="D53" s="22">
        <f t="shared" si="38"/>
        <v>13222</v>
      </c>
      <c r="E53" s="22">
        <f t="shared" si="38"/>
        <v>6394</v>
      </c>
      <c r="F53" s="22">
        <f t="shared" si="38"/>
        <v>3442</v>
      </c>
      <c r="G53" s="22">
        <f t="shared" si="38"/>
        <v>2754</v>
      </c>
      <c r="H53" s="22">
        <f t="shared" si="38"/>
        <v>165</v>
      </c>
      <c r="I53" s="22">
        <f t="shared" si="38"/>
        <v>33</v>
      </c>
      <c r="J53" s="22">
        <f t="shared" si="38"/>
        <v>0</v>
      </c>
    </row>
    <row r="54" spans="1:10" s="21" customFormat="1" ht="12" customHeight="1" x14ac:dyDescent="0.2">
      <c r="A54" s="264" t="s">
        <v>50</v>
      </c>
      <c r="B54" s="264"/>
      <c r="C54" s="22">
        <f t="shared" ref="C54:J54" si="39">C74+C79+C80+C62+C63+C97+C99+C65+C66+C115+C67</f>
        <v>32691</v>
      </c>
      <c r="D54" s="22">
        <f t="shared" si="39"/>
        <v>25460</v>
      </c>
      <c r="E54" s="22">
        <f t="shared" si="39"/>
        <v>7231</v>
      </c>
      <c r="F54" s="22">
        <f t="shared" si="39"/>
        <v>3964</v>
      </c>
      <c r="G54" s="22">
        <f t="shared" si="39"/>
        <v>3216</v>
      </c>
      <c r="H54" s="22">
        <f t="shared" si="39"/>
        <v>41</v>
      </c>
      <c r="I54" s="22">
        <f t="shared" si="39"/>
        <v>9</v>
      </c>
      <c r="J54" s="22">
        <f t="shared" si="39"/>
        <v>1</v>
      </c>
    </row>
    <row r="55" spans="1:10" s="21" customFormat="1" ht="12" customHeight="1" x14ac:dyDescent="0.2">
      <c r="A55" s="267" t="s">
        <v>51</v>
      </c>
      <c r="B55" s="267"/>
      <c r="C55" s="28">
        <f t="shared" ref="C55:J55" si="40">C60+C59</f>
        <v>4144</v>
      </c>
      <c r="D55" s="28">
        <f t="shared" si="40"/>
        <v>3656</v>
      </c>
      <c r="E55" s="28">
        <f t="shared" si="40"/>
        <v>488</v>
      </c>
      <c r="F55" s="28">
        <f t="shared" si="40"/>
        <v>290</v>
      </c>
      <c r="G55" s="28">
        <f t="shared" si="40"/>
        <v>198</v>
      </c>
      <c r="H55" s="28">
        <f t="shared" si="40"/>
        <v>0</v>
      </c>
      <c r="I55" s="28">
        <f t="shared" si="40"/>
        <v>0</v>
      </c>
      <c r="J55" s="28">
        <f t="shared" si="40"/>
        <v>0</v>
      </c>
    </row>
    <row r="56" spans="1:10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</row>
    <row r="57" spans="1:10" s="21" customFormat="1" ht="12" customHeight="1" x14ac:dyDescent="0.2">
      <c r="A57" s="269" t="s">
        <v>52</v>
      </c>
      <c r="B57" s="269"/>
      <c r="C57" s="18">
        <v>51183</v>
      </c>
      <c r="D57" s="18">
        <v>38443</v>
      </c>
      <c r="E57" s="18">
        <v>12740</v>
      </c>
      <c r="F57" s="18">
        <v>6959</v>
      </c>
      <c r="G57" s="18">
        <v>5534</v>
      </c>
      <c r="H57" s="18">
        <v>206</v>
      </c>
      <c r="I57" s="18">
        <v>41</v>
      </c>
      <c r="J57" s="18">
        <v>0</v>
      </c>
    </row>
    <row r="58" spans="1:10" s="21" customFormat="1" ht="12" customHeight="1" x14ac:dyDescent="0.2">
      <c r="A58" s="264" t="s">
        <v>53</v>
      </c>
      <c r="B58" s="264"/>
      <c r="C58" s="22">
        <v>3390</v>
      </c>
      <c r="D58" s="22">
        <v>2534</v>
      </c>
      <c r="E58" s="22">
        <v>856</v>
      </c>
      <c r="F58" s="22">
        <v>491</v>
      </c>
      <c r="G58" s="22">
        <v>364</v>
      </c>
      <c r="H58" s="22">
        <v>1</v>
      </c>
      <c r="I58" s="22">
        <v>0</v>
      </c>
      <c r="J58" s="22">
        <v>0</v>
      </c>
    </row>
    <row r="59" spans="1:10" s="21" customFormat="1" ht="12" customHeight="1" x14ac:dyDescent="0.2">
      <c r="A59" s="264" t="s">
        <v>55</v>
      </c>
      <c r="B59" s="264"/>
      <c r="C59" s="22">
        <v>2048</v>
      </c>
      <c r="D59" s="22">
        <v>1817</v>
      </c>
      <c r="E59" s="22">
        <v>231</v>
      </c>
      <c r="F59" s="22">
        <v>132</v>
      </c>
      <c r="G59" s="22">
        <v>99</v>
      </c>
      <c r="H59" s="22">
        <v>0</v>
      </c>
      <c r="I59" s="22">
        <v>0</v>
      </c>
      <c r="J59" s="22">
        <v>0</v>
      </c>
    </row>
    <row r="60" spans="1:10" s="21" customFormat="1" ht="12" customHeight="1" x14ac:dyDescent="0.2">
      <c r="A60" s="264" t="s">
        <v>56</v>
      </c>
      <c r="B60" s="264"/>
      <c r="C60" s="22">
        <v>2096</v>
      </c>
      <c r="D60" s="22">
        <v>1839</v>
      </c>
      <c r="E60" s="22">
        <v>257</v>
      </c>
      <c r="F60" s="22">
        <v>158</v>
      </c>
      <c r="G60" s="22">
        <v>99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57</v>
      </c>
      <c r="B61" s="264"/>
      <c r="C61" s="22">
        <v>8174</v>
      </c>
      <c r="D61" s="22">
        <v>4783</v>
      </c>
      <c r="E61" s="22">
        <v>3391</v>
      </c>
      <c r="F61" s="22">
        <v>1712</v>
      </c>
      <c r="G61" s="22">
        <v>1502</v>
      </c>
      <c r="H61" s="22">
        <v>148</v>
      </c>
      <c r="I61" s="22">
        <v>29</v>
      </c>
      <c r="J61" s="22">
        <v>0</v>
      </c>
    </row>
    <row r="62" spans="1:10" s="21" customFormat="1" ht="12" customHeight="1" x14ac:dyDescent="0.2">
      <c r="A62" s="264" t="s">
        <v>58</v>
      </c>
      <c r="B62" s="264"/>
      <c r="C62" s="22">
        <v>2859</v>
      </c>
      <c r="D62" s="22">
        <v>2277</v>
      </c>
      <c r="E62" s="22">
        <v>582</v>
      </c>
      <c r="F62" s="22">
        <v>353</v>
      </c>
      <c r="G62" s="22">
        <v>227</v>
      </c>
      <c r="H62" s="22">
        <v>1</v>
      </c>
      <c r="I62" s="22">
        <v>1</v>
      </c>
      <c r="J62" s="22">
        <v>0</v>
      </c>
    </row>
    <row r="63" spans="1:10" s="21" customFormat="1" ht="12" customHeight="1" x14ac:dyDescent="0.2">
      <c r="A63" s="264" t="s">
        <v>60</v>
      </c>
      <c r="B63" s="264"/>
      <c r="C63" s="22">
        <v>14938</v>
      </c>
      <c r="D63" s="22">
        <v>11607</v>
      </c>
      <c r="E63" s="22">
        <v>3331</v>
      </c>
      <c r="F63" s="22">
        <v>1708</v>
      </c>
      <c r="G63" s="22">
        <v>1605</v>
      </c>
      <c r="H63" s="22">
        <v>17</v>
      </c>
      <c r="I63" s="22">
        <v>1</v>
      </c>
      <c r="J63" s="22">
        <v>0</v>
      </c>
    </row>
    <row r="64" spans="1:10" s="21" customFormat="1" ht="12" customHeight="1" x14ac:dyDescent="0.2">
      <c r="A64" s="264" t="s">
        <v>62</v>
      </c>
      <c r="B64" s="264"/>
      <c r="C64" s="22">
        <v>4633</v>
      </c>
      <c r="D64" s="22">
        <v>3501</v>
      </c>
      <c r="E64" s="22">
        <v>1132</v>
      </c>
      <c r="F64" s="22">
        <v>720</v>
      </c>
      <c r="G64" s="22">
        <v>408</v>
      </c>
      <c r="H64" s="22">
        <v>3</v>
      </c>
      <c r="I64" s="22">
        <v>1</v>
      </c>
      <c r="J64" s="22">
        <v>0</v>
      </c>
    </row>
    <row r="65" spans="1:10" s="21" customFormat="1" ht="12" customHeight="1" x14ac:dyDescent="0.2">
      <c r="A65" s="264" t="s">
        <v>63</v>
      </c>
      <c r="B65" s="264"/>
      <c r="C65" s="22">
        <v>2400</v>
      </c>
      <c r="D65" s="22">
        <v>2020</v>
      </c>
      <c r="E65" s="22">
        <v>380</v>
      </c>
      <c r="F65" s="22">
        <v>252</v>
      </c>
      <c r="G65" s="22">
        <v>108</v>
      </c>
      <c r="H65" s="22">
        <v>15</v>
      </c>
      <c r="I65" s="22">
        <v>5</v>
      </c>
      <c r="J65" s="22">
        <v>0</v>
      </c>
    </row>
    <row r="66" spans="1:10" s="21" customFormat="1" ht="12" customHeight="1" x14ac:dyDescent="0.2">
      <c r="A66" s="264" t="s">
        <v>64</v>
      </c>
      <c r="B66" s="264"/>
      <c r="C66" s="22">
        <v>2610</v>
      </c>
      <c r="D66" s="22">
        <v>2148</v>
      </c>
      <c r="E66" s="22">
        <v>462</v>
      </c>
      <c r="F66" s="22">
        <v>289</v>
      </c>
      <c r="G66" s="22">
        <v>173</v>
      </c>
      <c r="H66" s="22">
        <v>0</v>
      </c>
      <c r="I66" s="22">
        <v>0</v>
      </c>
      <c r="J66" s="22">
        <v>0</v>
      </c>
    </row>
    <row r="67" spans="1:10" s="21" customFormat="1" ht="12" customHeight="1" x14ac:dyDescent="0.2">
      <c r="A67" s="264" t="s">
        <v>65</v>
      </c>
      <c r="B67" s="264"/>
      <c r="C67" s="22">
        <v>4616</v>
      </c>
      <c r="D67" s="22">
        <v>3513</v>
      </c>
      <c r="E67" s="22">
        <v>1103</v>
      </c>
      <c r="F67" s="22">
        <v>625</v>
      </c>
      <c r="G67" s="22">
        <v>469</v>
      </c>
      <c r="H67" s="22">
        <v>8</v>
      </c>
      <c r="I67" s="22">
        <v>1</v>
      </c>
      <c r="J67" s="22">
        <v>0</v>
      </c>
    </row>
    <row r="68" spans="1:10" s="21" customFormat="1" ht="12" customHeight="1" x14ac:dyDescent="0.2">
      <c r="A68" s="267" t="s">
        <v>66</v>
      </c>
      <c r="B68" s="267"/>
      <c r="C68" s="28">
        <v>3419</v>
      </c>
      <c r="D68" s="28">
        <v>2404</v>
      </c>
      <c r="E68" s="28">
        <v>1015</v>
      </c>
      <c r="F68" s="28">
        <v>519</v>
      </c>
      <c r="G68" s="28">
        <v>480</v>
      </c>
      <c r="H68" s="28">
        <v>13</v>
      </c>
      <c r="I68" s="28">
        <v>3</v>
      </c>
      <c r="J68" s="28">
        <v>0</v>
      </c>
    </row>
    <row r="69" spans="1:10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 s="21" customFormat="1" ht="12" customHeight="1" x14ac:dyDescent="0.2">
      <c r="A70" s="263" t="s">
        <v>67</v>
      </c>
      <c r="B70" s="263"/>
      <c r="C70" s="20">
        <v>151522</v>
      </c>
      <c r="D70" s="20">
        <v>103773</v>
      </c>
      <c r="E70" s="20">
        <v>47749</v>
      </c>
      <c r="F70" s="20">
        <v>27496</v>
      </c>
      <c r="G70" s="20">
        <v>19723</v>
      </c>
      <c r="H70" s="20">
        <v>426</v>
      </c>
      <c r="I70" s="20">
        <v>69</v>
      </c>
      <c r="J70" s="20">
        <v>35</v>
      </c>
    </row>
    <row r="71" spans="1:10" s="21" customFormat="1" ht="12" customHeight="1" x14ac:dyDescent="0.2">
      <c r="A71" s="264" t="s">
        <v>68</v>
      </c>
      <c r="B71" s="264"/>
      <c r="C71" s="22">
        <v>4467</v>
      </c>
      <c r="D71" s="22">
        <v>2944</v>
      </c>
      <c r="E71" s="22">
        <v>1523</v>
      </c>
      <c r="F71" s="22">
        <v>1048</v>
      </c>
      <c r="G71" s="22">
        <v>469</v>
      </c>
      <c r="H71" s="22">
        <v>6</v>
      </c>
      <c r="I71" s="22">
        <v>0</v>
      </c>
      <c r="J71" s="22">
        <v>0</v>
      </c>
    </row>
    <row r="72" spans="1:10" s="21" customFormat="1" ht="12" customHeight="1" x14ac:dyDescent="0.2">
      <c r="A72" s="264" t="s">
        <v>69</v>
      </c>
      <c r="B72" s="264"/>
      <c r="C72" s="22">
        <v>1421</v>
      </c>
      <c r="D72" s="22">
        <v>1301</v>
      </c>
      <c r="E72" s="22">
        <v>120</v>
      </c>
      <c r="F72" s="22">
        <v>75</v>
      </c>
      <c r="G72" s="22">
        <v>45</v>
      </c>
      <c r="H72" s="22">
        <v>0</v>
      </c>
      <c r="I72" s="22">
        <v>0</v>
      </c>
      <c r="J72" s="22">
        <v>0</v>
      </c>
    </row>
    <row r="73" spans="1:10" s="21" customFormat="1" ht="12" customHeight="1" x14ac:dyDescent="0.2">
      <c r="A73" s="264" t="s">
        <v>70</v>
      </c>
      <c r="B73" s="264"/>
      <c r="C73" s="22">
        <v>348</v>
      </c>
      <c r="D73" s="22">
        <v>299</v>
      </c>
      <c r="E73" s="22">
        <v>49</v>
      </c>
      <c r="F73" s="22">
        <v>34</v>
      </c>
      <c r="G73" s="22">
        <v>15</v>
      </c>
      <c r="H73" s="22">
        <v>0</v>
      </c>
      <c r="I73" s="22">
        <v>0</v>
      </c>
      <c r="J73" s="22">
        <v>0</v>
      </c>
    </row>
    <row r="74" spans="1:10" s="21" customFormat="1" ht="12" customHeight="1" x14ac:dyDescent="0.2">
      <c r="A74" s="264" t="s">
        <v>71</v>
      </c>
      <c r="B74" s="264"/>
      <c r="C74" s="22">
        <v>1004</v>
      </c>
      <c r="D74" s="22">
        <v>866</v>
      </c>
      <c r="E74" s="22">
        <v>138</v>
      </c>
      <c r="F74" s="22">
        <v>83</v>
      </c>
      <c r="G74" s="22">
        <v>54</v>
      </c>
      <c r="H74" s="22">
        <v>0</v>
      </c>
      <c r="I74" s="22">
        <v>1</v>
      </c>
      <c r="J74" s="22">
        <v>0</v>
      </c>
    </row>
    <row r="75" spans="1:10" s="21" customFormat="1" ht="12" customHeight="1" x14ac:dyDescent="0.2">
      <c r="A75" s="264" t="s">
        <v>72</v>
      </c>
      <c r="B75" s="264"/>
      <c r="C75" s="22">
        <v>308</v>
      </c>
      <c r="D75" s="22">
        <v>263</v>
      </c>
      <c r="E75" s="22">
        <v>45</v>
      </c>
      <c r="F75" s="22">
        <v>32</v>
      </c>
      <c r="G75" s="22">
        <v>13</v>
      </c>
      <c r="H75" s="22">
        <v>0</v>
      </c>
      <c r="I75" s="22">
        <v>0</v>
      </c>
      <c r="J75" s="22">
        <v>0</v>
      </c>
    </row>
    <row r="76" spans="1:10" s="21" customFormat="1" ht="12" customHeight="1" x14ac:dyDescent="0.2">
      <c r="A76" s="264" t="s">
        <v>73</v>
      </c>
      <c r="B76" s="264"/>
      <c r="C76" s="22">
        <v>1544</v>
      </c>
      <c r="D76" s="22">
        <v>1269</v>
      </c>
      <c r="E76" s="22">
        <v>275</v>
      </c>
      <c r="F76" s="22">
        <v>213</v>
      </c>
      <c r="G76" s="22">
        <v>62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74</v>
      </c>
      <c r="B77" s="264"/>
      <c r="C77" s="22">
        <v>635</v>
      </c>
      <c r="D77" s="22">
        <v>554</v>
      </c>
      <c r="E77" s="22">
        <v>81</v>
      </c>
      <c r="F77" s="22">
        <v>58</v>
      </c>
      <c r="G77" s="22">
        <v>23</v>
      </c>
      <c r="H77" s="22">
        <v>0</v>
      </c>
      <c r="I77" s="22">
        <v>0</v>
      </c>
      <c r="J77" s="22">
        <v>0</v>
      </c>
    </row>
    <row r="78" spans="1:10" s="21" customFormat="1" ht="12" customHeight="1" x14ac:dyDescent="0.2">
      <c r="A78" s="264" t="s">
        <v>75</v>
      </c>
      <c r="B78" s="264"/>
      <c r="C78" s="22">
        <v>2632</v>
      </c>
      <c r="D78" s="22">
        <v>2065</v>
      </c>
      <c r="E78" s="22">
        <v>567</v>
      </c>
      <c r="F78" s="22">
        <v>307</v>
      </c>
      <c r="G78" s="22">
        <v>253</v>
      </c>
      <c r="H78" s="22">
        <v>6</v>
      </c>
      <c r="I78" s="22">
        <v>1</v>
      </c>
      <c r="J78" s="22">
        <v>0</v>
      </c>
    </row>
    <row r="79" spans="1:10" s="21" customFormat="1" ht="12" customHeight="1" x14ac:dyDescent="0.2">
      <c r="A79" s="264" t="s">
        <v>77</v>
      </c>
      <c r="B79" s="264"/>
      <c r="C79" s="22">
        <v>871</v>
      </c>
      <c r="D79" s="22">
        <v>546</v>
      </c>
      <c r="E79" s="22">
        <v>325</v>
      </c>
      <c r="F79" s="22">
        <v>164</v>
      </c>
      <c r="G79" s="22">
        <v>160</v>
      </c>
      <c r="H79" s="22">
        <v>0</v>
      </c>
      <c r="I79" s="22">
        <v>0</v>
      </c>
      <c r="J79" s="22">
        <v>1</v>
      </c>
    </row>
    <row r="80" spans="1:10" s="21" customFormat="1" ht="12" customHeight="1" x14ac:dyDescent="0.2">
      <c r="A80" s="264" t="s">
        <v>79</v>
      </c>
      <c r="B80" s="264"/>
      <c r="C80" s="22">
        <v>485</v>
      </c>
      <c r="D80" s="22">
        <v>394</v>
      </c>
      <c r="E80" s="22">
        <v>91</v>
      </c>
      <c r="F80" s="22">
        <v>38</v>
      </c>
      <c r="G80" s="22">
        <v>53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80</v>
      </c>
      <c r="B81" s="264"/>
      <c r="C81" s="22">
        <v>759</v>
      </c>
      <c r="D81" s="22">
        <v>637</v>
      </c>
      <c r="E81" s="22">
        <v>122</v>
      </c>
      <c r="F81" s="22">
        <v>73</v>
      </c>
      <c r="G81" s="22">
        <v>49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81</v>
      </c>
      <c r="B82" s="264"/>
      <c r="C82" s="22">
        <v>1529</v>
      </c>
      <c r="D82" s="22">
        <v>1099</v>
      </c>
      <c r="E82" s="22">
        <v>430</v>
      </c>
      <c r="F82" s="22">
        <v>320</v>
      </c>
      <c r="G82" s="22">
        <v>110</v>
      </c>
      <c r="H82" s="22">
        <v>0</v>
      </c>
      <c r="I82" s="22">
        <v>0</v>
      </c>
      <c r="J82" s="22">
        <v>0</v>
      </c>
    </row>
    <row r="83" spans="1:10" s="21" customFormat="1" ht="12" customHeight="1" x14ac:dyDescent="0.2">
      <c r="A83" s="264" t="s">
        <v>84</v>
      </c>
      <c r="B83" s="264"/>
      <c r="C83" s="22">
        <v>2137</v>
      </c>
      <c r="D83" s="22">
        <v>1632</v>
      </c>
      <c r="E83" s="22">
        <v>505</v>
      </c>
      <c r="F83" s="22">
        <v>267</v>
      </c>
      <c r="G83" s="22">
        <v>230</v>
      </c>
      <c r="H83" s="22">
        <v>8</v>
      </c>
      <c r="I83" s="22">
        <v>0</v>
      </c>
      <c r="J83" s="22">
        <v>0</v>
      </c>
    </row>
    <row r="84" spans="1:10" s="21" customFormat="1" ht="12" customHeight="1" x14ac:dyDescent="0.2">
      <c r="A84" s="264" t="s">
        <v>85</v>
      </c>
      <c r="B84" s="264"/>
      <c r="C84" s="22">
        <v>6524</v>
      </c>
      <c r="D84" s="22">
        <v>5808</v>
      </c>
      <c r="E84" s="22">
        <v>716</v>
      </c>
      <c r="F84" s="22">
        <v>493</v>
      </c>
      <c r="G84" s="22">
        <v>220</v>
      </c>
      <c r="H84" s="22">
        <v>2</v>
      </c>
      <c r="I84" s="22">
        <v>1</v>
      </c>
      <c r="J84" s="22">
        <v>0</v>
      </c>
    </row>
    <row r="85" spans="1:10" s="21" customFormat="1" ht="12" customHeight="1" x14ac:dyDescent="0.2">
      <c r="A85" s="264" t="s">
        <v>88</v>
      </c>
      <c r="B85" s="264"/>
      <c r="C85" s="22">
        <v>4339</v>
      </c>
      <c r="D85" s="22">
        <v>3077</v>
      </c>
      <c r="E85" s="22">
        <v>1262</v>
      </c>
      <c r="F85" s="22">
        <v>857</v>
      </c>
      <c r="G85" s="22">
        <v>380</v>
      </c>
      <c r="H85" s="22">
        <v>25</v>
      </c>
      <c r="I85" s="22">
        <v>0</v>
      </c>
      <c r="J85" s="22">
        <v>0</v>
      </c>
    </row>
    <row r="86" spans="1:10" s="21" customFormat="1" ht="12" customHeight="1" x14ac:dyDescent="0.2">
      <c r="A86" s="264" t="s">
        <v>91</v>
      </c>
      <c r="B86" s="264"/>
      <c r="C86" s="22">
        <v>4671</v>
      </c>
      <c r="D86" s="22">
        <v>3179</v>
      </c>
      <c r="E86" s="22">
        <v>1492</v>
      </c>
      <c r="F86" s="22">
        <v>707</v>
      </c>
      <c r="G86" s="22">
        <v>784</v>
      </c>
      <c r="H86" s="22">
        <v>1</v>
      </c>
      <c r="I86" s="22">
        <v>0</v>
      </c>
      <c r="J86" s="22">
        <v>0</v>
      </c>
    </row>
    <row r="87" spans="1:10" s="21" customFormat="1" ht="12" customHeight="1" x14ac:dyDescent="0.2">
      <c r="A87" s="264" t="s">
        <v>92</v>
      </c>
      <c r="B87" s="264"/>
      <c r="C87" s="22">
        <v>2068</v>
      </c>
      <c r="D87" s="22">
        <v>1820</v>
      </c>
      <c r="E87" s="22">
        <v>248</v>
      </c>
      <c r="F87" s="22">
        <v>167</v>
      </c>
      <c r="G87" s="22">
        <v>81</v>
      </c>
      <c r="H87" s="22">
        <v>0</v>
      </c>
      <c r="I87" s="22">
        <v>0</v>
      </c>
      <c r="J87" s="22">
        <v>0</v>
      </c>
    </row>
    <row r="88" spans="1:10" s="21" customFormat="1" ht="12" customHeight="1" x14ac:dyDescent="0.2">
      <c r="A88" s="264" t="s">
        <v>93</v>
      </c>
      <c r="B88" s="264"/>
      <c r="C88" s="22">
        <v>877</v>
      </c>
      <c r="D88" s="22">
        <v>711</v>
      </c>
      <c r="E88" s="22">
        <v>166</v>
      </c>
      <c r="F88" s="22">
        <v>97</v>
      </c>
      <c r="G88" s="22">
        <v>69</v>
      </c>
      <c r="H88" s="22">
        <v>0</v>
      </c>
      <c r="I88" s="22">
        <v>0</v>
      </c>
      <c r="J88" s="22">
        <v>0</v>
      </c>
    </row>
    <row r="89" spans="1:10" s="21" customFormat="1" ht="12" customHeight="1" x14ac:dyDescent="0.2">
      <c r="A89" s="264" t="s">
        <v>94</v>
      </c>
      <c r="B89" s="264"/>
      <c r="C89" s="22">
        <v>1354</v>
      </c>
      <c r="D89" s="22">
        <v>1134</v>
      </c>
      <c r="E89" s="22">
        <v>220</v>
      </c>
      <c r="F89" s="22">
        <v>120</v>
      </c>
      <c r="G89" s="22">
        <v>100</v>
      </c>
      <c r="H89" s="22">
        <v>0</v>
      </c>
      <c r="I89" s="22">
        <v>0</v>
      </c>
      <c r="J89" s="22">
        <v>0</v>
      </c>
    </row>
    <row r="90" spans="1:10" s="21" customFormat="1" ht="12" customHeight="1" x14ac:dyDescent="0.2">
      <c r="A90" s="264" t="s">
        <v>95</v>
      </c>
      <c r="B90" s="264"/>
      <c r="C90" s="22">
        <v>551</v>
      </c>
      <c r="D90" s="22">
        <v>472</v>
      </c>
      <c r="E90" s="22">
        <v>79</v>
      </c>
      <c r="F90" s="22">
        <v>52</v>
      </c>
      <c r="G90" s="22">
        <v>23</v>
      </c>
      <c r="H90" s="22">
        <v>4</v>
      </c>
      <c r="I90" s="22">
        <v>0</v>
      </c>
      <c r="J90" s="22">
        <v>0</v>
      </c>
    </row>
    <row r="91" spans="1:10" s="21" customFormat="1" ht="12" customHeight="1" x14ac:dyDescent="0.2">
      <c r="A91" s="264" t="s">
        <v>96</v>
      </c>
      <c r="B91" s="264"/>
      <c r="C91" s="22">
        <v>519</v>
      </c>
      <c r="D91" s="22">
        <v>350</v>
      </c>
      <c r="E91" s="22">
        <v>169</v>
      </c>
      <c r="F91" s="22">
        <v>124</v>
      </c>
      <c r="G91" s="22">
        <v>45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97</v>
      </c>
      <c r="B92" s="264"/>
      <c r="C92" s="22">
        <v>1265</v>
      </c>
      <c r="D92" s="22">
        <v>1019</v>
      </c>
      <c r="E92" s="22">
        <v>246</v>
      </c>
      <c r="F92" s="22">
        <v>156</v>
      </c>
      <c r="G92" s="22">
        <v>90</v>
      </c>
      <c r="H92" s="22">
        <v>0</v>
      </c>
      <c r="I92" s="22">
        <v>0</v>
      </c>
      <c r="J92" s="22">
        <v>0</v>
      </c>
    </row>
    <row r="93" spans="1:10" s="21" customFormat="1" ht="12" customHeight="1" x14ac:dyDescent="0.2">
      <c r="A93" s="264" t="s">
        <v>98</v>
      </c>
      <c r="B93" s="264"/>
      <c r="C93" s="22">
        <v>1770</v>
      </c>
      <c r="D93" s="22">
        <v>1071</v>
      </c>
      <c r="E93" s="22">
        <v>699</v>
      </c>
      <c r="F93" s="22">
        <v>529</v>
      </c>
      <c r="G93" s="22">
        <v>145</v>
      </c>
      <c r="H93" s="22">
        <v>25</v>
      </c>
      <c r="I93" s="22">
        <v>0</v>
      </c>
      <c r="J93" s="22">
        <v>0</v>
      </c>
    </row>
    <row r="94" spans="1:10" s="21" customFormat="1" ht="12" customHeight="1" x14ac:dyDescent="0.2">
      <c r="A94" s="264" t="s">
        <v>99</v>
      </c>
      <c r="B94" s="264"/>
      <c r="C94" s="22">
        <v>63583</v>
      </c>
      <c r="D94" s="22">
        <v>39346</v>
      </c>
      <c r="E94" s="22">
        <v>24237</v>
      </c>
      <c r="F94" s="22">
        <v>13516</v>
      </c>
      <c r="G94" s="22">
        <v>10420</v>
      </c>
      <c r="H94" s="22">
        <v>238</v>
      </c>
      <c r="I94" s="22">
        <v>29</v>
      </c>
      <c r="J94" s="22">
        <v>34</v>
      </c>
    </row>
    <row r="95" spans="1:10" s="21" customFormat="1" ht="12" customHeight="1" x14ac:dyDescent="0.2">
      <c r="A95" s="264" t="s">
        <v>100</v>
      </c>
      <c r="B95" s="264"/>
      <c r="C95" s="22">
        <v>1494</v>
      </c>
      <c r="D95" s="22">
        <v>1155</v>
      </c>
      <c r="E95" s="22">
        <v>339</v>
      </c>
      <c r="F95" s="22">
        <v>208</v>
      </c>
      <c r="G95" s="22">
        <v>131</v>
      </c>
      <c r="H95" s="22">
        <v>0</v>
      </c>
      <c r="I95" s="22">
        <v>0</v>
      </c>
      <c r="J95" s="22">
        <v>0</v>
      </c>
    </row>
    <row r="96" spans="1:10" s="21" customFormat="1" ht="12" customHeight="1" x14ac:dyDescent="0.2">
      <c r="A96" s="264" t="s">
        <v>101</v>
      </c>
      <c r="B96" s="264"/>
      <c r="C96" s="22">
        <v>1300</v>
      </c>
      <c r="D96" s="22">
        <v>1066</v>
      </c>
      <c r="E96" s="22">
        <v>234</v>
      </c>
      <c r="F96" s="22">
        <v>157</v>
      </c>
      <c r="G96" s="22">
        <v>72</v>
      </c>
      <c r="H96" s="22">
        <v>5</v>
      </c>
      <c r="I96" s="22">
        <v>0</v>
      </c>
      <c r="J96" s="22">
        <v>0</v>
      </c>
    </row>
    <row r="97" spans="1:10" s="21" customFormat="1" ht="12" customHeight="1" x14ac:dyDescent="0.2">
      <c r="A97" s="264" t="s">
        <v>102</v>
      </c>
      <c r="B97" s="264"/>
      <c r="C97" s="22">
        <v>631</v>
      </c>
      <c r="D97" s="22">
        <v>408</v>
      </c>
      <c r="E97" s="22">
        <v>223</v>
      </c>
      <c r="F97" s="22">
        <v>106</v>
      </c>
      <c r="G97" s="22">
        <v>117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103</v>
      </c>
      <c r="B98" s="264"/>
      <c r="C98" s="22">
        <v>6209</v>
      </c>
      <c r="D98" s="22">
        <v>3604</v>
      </c>
      <c r="E98" s="22">
        <v>2605</v>
      </c>
      <c r="F98" s="22">
        <v>1564</v>
      </c>
      <c r="G98" s="22">
        <v>989</v>
      </c>
      <c r="H98" s="22">
        <v>49</v>
      </c>
      <c r="I98" s="22">
        <v>3</v>
      </c>
      <c r="J98" s="22">
        <v>0</v>
      </c>
    </row>
    <row r="99" spans="1:10" s="21" customFormat="1" ht="12" customHeight="1" x14ac:dyDescent="0.2">
      <c r="A99" s="264" t="s">
        <v>104</v>
      </c>
      <c r="B99" s="264"/>
      <c r="C99" s="22">
        <v>1461</v>
      </c>
      <c r="D99" s="22">
        <v>1030</v>
      </c>
      <c r="E99" s="22">
        <v>431</v>
      </c>
      <c r="F99" s="22">
        <v>258</v>
      </c>
      <c r="G99" s="22">
        <v>173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105</v>
      </c>
      <c r="B100" s="264"/>
      <c r="C100" s="22">
        <v>1800</v>
      </c>
      <c r="D100" s="22">
        <v>1133</v>
      </c>
      <c r="E100" s="22">
        <v>667</v>
      </c>
      <c r="F100" s="22">
        <v>377</v>
      </c>
      <c r="G100" s="22">
        <v>290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106</v>
      </c>
      <c r="B101" s="264"/>
      <c r="C101" s="22">
        <v>1358</v>
      </c>
      <c r="D101" s="22">
        <v>1130</v>
      </c>
      <c r="E101" s="22">
        <v>228</v>
      </c>
      <c r="F101" s="22">
        <v>165</v>
      </c>
      <c r="G101" s="22">
        <v>63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107</v>
      </c>
      <c r="B102" s="264"/>
      <c r="C102" s="22">
        <v>311</v>
      </c>
      <c r="D102" s="22">
        <v>262</v>
      </c>
      <c r="E102" s="22">
        <v>49</v>
      </c>
      <c r="F102" s="22">
        <v>32</v>
      </c>
      <c r="G102" s="22">
        <v>17</v>
      </c>
      <c r="H102" s="22">
        <v>0</v>
      </c>
      <c r="I102" s="22">
        <v>0</v>
      </c>
      <c r="J102" s="22">
        <v>0</v>
      </c>
    </row>
    <row r="103" spans="1:10" s="21" customFormat="1" ht="12" customHeight="1" x14ac:dyDescent="0.2">
      <c r="A103" s="264" t="s">
        <v>336</v>
      </c>
      <c r="B103" s="264"/>
      <c r="C103" s="22">
        <v>4693</v>
      </c>
      <c r="D103" s="22">
        <v>3606</v>
      </c>
      <c r="E103" s="22">
        <v>1087</v>
      </c>
      <c r="F103" s="22">
        <v>619</v>
      </c>
      <c r="G103" s="22">
        <v>467</v>
      </c>
      <c r="H103" s="22">
        <v>1</v>
      </c>
      <c r="I103" s="22">
        <v>0</v>
      </c>
      <c r="J103" s="22">
        <v>0</v>
      </c>
    </row>
    <row r="104" spans="1:10" s="21" customFormat="1" ht="12" customHeight="1" x14ac:dyDescent="0.2">
      <c r="A104" s="264" t="s">
        <v>108</v>
      </c>
      <c r="B104" s="264"/>
      <c r="C104" s="22">
        <v>900</v>
      </c>
      <c r="D104" s="22">
        <v>702</v>
      </c>
      <c r="E104" s="22">
        <v>198</v>
      </c>
      <c r="F104" s="22">
        <v>133</v>
      </c>
      <c r="G104" s="22">
        <v>65</v>
      </c>
      <c r="H104" s="22">
        <v>0</v>
      </c>
      <c r="I104" s="22">
        <v>0</v>
      </c>
      <c r="J104" s="22">
        <v>0</v>
      </c>
    </row>
    <row r="105" spans="1:10" s="21" customFormat="1" ht="12" customHeight="1" x14ac:dyDescent="0.2">
      <c r="A105" s="264" t="s">
        <v>109</v>
      </c>
      <c r="B105" s="264"/>
      <c r="C105" s="22">
        <v>769</v>
      </c>
      <c r="D105" s="22">
        <v>444</v>
      </c>
      <c r="E105" s="22">
        <v>325</v>
      </c>
      <c r="F105" s="22">
        <v>155</v>
      </c>
      <c r="G105" s="22">
        <v>170</v>
      </c>
      <c r="H105" s="22">
        <v>0</v>
      </c>
      <c r="I105" s="22">
        <v>0</v>
      </c>
      <c r="J105" s="22">
        <v>0</v>
      </c>
    </row>
    <row r="106" spans="1:10" s="21" customFormat="1" ht="12" customHeight="1" x14ac:dyDescent="0.2">
      <c r="A106" s="264" t="s">
        <v>110</v>
      </c>
      <c r="B106" s="264"/>
      <c r="C106" s="22">
        <v>821</v>
      </c>
      <c r="D106" s="22">
        <v>652</v>
      </c>
      <c r="E106" s="22">
        <v>169</v>
      </c>
      <c r="F106" s="22">
        <v>101</v>
      </c>
      <c r="G106" s="22">
        <v>68</v>
      </c>
      <c r="H106" s="22">
        <v>0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111</v>
      </c>
      <c r="B107" s="264"/>
      <c r="C107" s="22">
        <v>327</v>
      </c>
      <c r="D107" s="22">
        <v>287</v>
      </c>
      <c r="E107" s="22">
        <v>40</v>
      </c>
      <c r="F107" s="22">
        <v>27</v>
      </c>
      <c r="G107" s="22">
        <v>13</v>
      </c>
      <c r="H107" s="22">
        <v>0</v>
      </c>
      <c r="I107" s="22">
        <v>0</v>
      </c>
      <c r="J107" s="22">
        <v>0</v>
      </c>
    </row>
    <row r="108" spans="1:10" s="21" customFormat="1" ht="12" customHeight="1" x14ac:dyDescent="0.2">
      <c r="A108" s="264" t="s">
        <v>112</v>
      </c>
      <c r="B108" s="264"/>
      <c r="C108" s="22">
        <v>832</v>
      </c>
      <c r="D108" s="22">
        <v>717</v>
      </c>
      <c r="E108" s="22">
        <v>115</v>
      </c>
      <c r="F108" s="22">
        <v>62</v>
      </c>
      <c r="G108" s="22">
        <v>52</v>
      </c>
      <c r="H108" s="22">
        <v>1</v>
      </c>
      <c r="I108" s="22">
        <v>0</v>
      </c>
      <c r="J108" s="22">
        <v>0</v>
      </c>
    </row>
    <row r="109" spans="1:10" s="21" customFormat="1" ht="12" customHeight="1" x14ac:dyDescent="0.2">
      <c r="A109" s="264" t="s">
        <v>113</v>
      </c>
      <c r="B109" s="264"/>
      <c r="C109" s="22">
        <v>1440</v>
      </c>
      <c r="D109" s="22">
        <v>1163</v>
      </c>
      <c r="E109" s="22">
        <v>277</v>
      </c>
      <c r="F109" s="22">
        <v>164</v>
      </c>
      <c r="G109" s="22">
        <v>113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114</v>
      </c>
      <c r="B110" s="264"/>
      <c r="C110" s="22">
        <v>4054</v>
      </c>
      <c r="D110" s="22">
        <v>1799</v>
      </c>
      <c r="E110" s="22">
        <v>2255</v>
      </c>
      <c r="F110" s="22">
        <v>1071</v>
      </c>
      <c r="G110" s="22">
        <v>1121</v>
      </c>
      <c r="H110" s="22">
        <v>34</v>
      </c>
      <c r="I110" s="22">
        <v>29</v>
      </c>
      <c r="J110" s="22">
        <v>0</v>
      </c>
    </row>
    <row r="111" spans="1:10" s="21" customFormat="1" ht="12" customHeight="1" x14ac:dyDescent="0.2">
      <c r="A111" s="264" t="s">
        <v>115</v>
      </c>
      <c r="B111" s="264"/>
      <c r="C111" s="22">
        <v>1876</v>
      </c>
      <c r="D111" s="22">
        <v>1613</v>
      </c>
      <c r="E111" s="22">
        <v>263</v>
      </c>
      <c r="F111" s="22">
        <v>179</v>
      </c>
      <c r="G111" s="22">
        <v>84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116</v>
      </c>
      <c r="B112" s="264"/>
      <c r="C112" s="22">
        <v>803</v>
      </c>
      <c r="D112" s="22">
        <v>555</v>
      </c>
      <c r="E112" s="22">
        <v>248</v>
      </c>
      <c r="F112" s="22">
        <v>147</v>
      </c>
      <c r="G112" s="22">
        <v>101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117</v>
      </c>
      <c r="B113" s="264"/>
      <c r="C113" s="22">
        <v>1620</v>
      </c>
      <c r="D113" s="22">
        <v>1222</v>
      </c>
      <c r="E113" s="22">
        <v>398</v>
      </c>
      <c r="F113" s="22">
        <v>211</v>
      </c>
      <c r="G113" s="22">
        <v>186</v>
      </c>
      <c r="H113" s="22">
        <v>1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118</v>
      </c>
      <c r="B114" s="264"/>
      <c r="C114" s="22">
        <v>1422</v>
      </c>
      <c r="D114" s="22">
        <v>1129</v>
      </c>
      <c r="E114" s="22">
        <v>293</v>
      </c>
      <c r="F114" s="22">
        <v>185</v>
      </c>
      <c r="G114" s="22">
        <v>108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120</v>
      </c>
      <c r="B115" s="264"/>
      <c r="C115" s="22">
        <v>816</v>
      </c>
      <c r="D115" s="22">
        <v>651</v>
      </c>
      <c r="E115" s="22">
        <v>165</v>
      </c>
      <c r="F115" s="22">
        <v>88</v>
      </c>
      <c r="G115" s="22">
        <v>77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121</v>
      </c>
      <c r="B116" s="264"/>
      <c r="C116" s="22">
        <v>2240</v>
      </c>
      <c r="D116" s="22">
        <v>1467</v>
      </c>
      <c r="E116" s="22">
        <v>773</v>
      </c>
      <c r="F116" s="22">
        <v>450</v>
      </c>
      <c r="G116" s="22">
        <v>318</v>
      </c>
      <c r="H116" s="22">
        <v>5</v>
      </c>
      <c r="I116" s="22">
        <v>0</v>
      </c>
      <c r="J116" s="22">
        <v>0</v>
      </c>
    </row>
    <row r="117" spans="1:10" s="21" customFormat="1" ht="12" customHeight="1" x14ac:dyDescent="0.2">
      <c r="A117" s="264" t="s">
        <v>122</v>
      </c>
      <c r="B117" s="264"/>
      <c r="C117" s="22">
        <v>702</v>
      </c>
      <c r="D117" s="22">
        <v>554</v>
      </c>
      <c r="E117" s="22">
        <v>148</v>
      </c>
      <c r="F117" s="22">
        <v>104</v>
      </c>
      <c r="G117" s="22">
        <v>44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125</v>
      </c>
      <c r="B118" s="264"/>
      <c r="C118" s="22">
        <v>1953</v>
      </c>
      <c r="D118" s="22">
        <v>1170</v>
      </c>
      <c r="E118" s="22">
        <v>783</v>
      </c>
      <c r="F118" s="22">
        <v>240</v>
      </c>
      <c r="G118" s="22">
        <v>541</v>
      </c>
      <c r="H118" s="22">
        <v>0</v>
      </c>
      <c r="I118" s="22">
        <v>2</v>
      </c>
      <c r="J118" s="22">
        <v>0</v>
      </c>
    </row>
    <row r="119" spans="1:10" s="21" customFormat="1" ht="12" customHeight="1" x14ac:dyDescent="0.2">
      <c r="A119" s="264" t="s">
        <v>126</v>
      </c>
      <c r="B119" s="264"/>
      <c r="C119" s="22">
        <v>3072</v>
      </c>
      <c r="D119" s="22">
        <v>2226</v>
      </c>
      <c r="E119" s="22">
        <v>846</v>
      </c>
      <c r="F119" s="22">
        <v>669</v>
      </c>
      <c r="G119" s="22">
        <v>161</v>
      </c>
      <c r="H119" s="22">
        <v>13</v>
      </c>
      <c r="I119" s="22">
        <v>3</v>
      </c>
      <c r="J119" s="22">
        <v>0</v>
      </c>
    </row>
    <row r="120" spans="1:10" s="21" customFormat="1" ht="12" customHeight="1" x14ac:dyDescent="0.2">
      <c r="A120" s="264" t="s">
        <v>128</v>
      </c>
      <c r="B120" s="264"/>
      <c r="C120" s="22">
        <v>581</v>
      </c>
      <c r="D120" s="22">
        <v>469</v>
      </c>
      <c r="E120" s="22">
        <v>112</v>
      </c>
      <c r="F120" s="22">
        <v>69</v>
      </c>
      <c r="G120" s="22">
        <v>43</v>
      </c>
      <c r="H120" s="22">
        <v>0</v>
      </c>
      <c r="I120" s="22">
        <v>0</v>
      </c>
      <c r="J120" s="22">
        <v>0</v>
      </c>
    </row>
    <row r="121" spans="1:10" s="21" customFormat="1" ht="12" customHeight="1" x14ac:dyDescent="0.2">
      <c r="A121" s="264" t="s">
        <v>129</v>
      </c>
      <c r="B121" s="264"/>
      <c r="C121" s="22">
        <v>2000</v>
      </c>
      <c r="D121" s="22">
        <v>1499</v>
      </c>
      <c r="E121" s="22">
        <v>501</v>
      </c>
      <c r="F121" s="22">
        <v>340</v>
      </c>
      <c r="G121" s="22">
        <v>159</v>
      </c>
      <c r="H121" s="22">
        <v>2</v>
      </c>
      <c r="I121" s="22">
        <v>0</v>
      </c>
      <c r="J121" s="22">
        <v>0</v>
      </c>
    </row>
    <row r="122" spans="1:10" s="21" customFormat="1" ht="12" customHeight="1" x14ac:dyDescent="0.2">
      <c r="A122" s="315" t="s">
        <v>130</v>
      </c>
      <c r="B122" s="315"/>
      <c r="C122" s="28">
        <v>376</v>
      </c>
      <c r="D122" s="28">
        <v>204</v>
      </c>
      <c r="E122" s="28">
        <v>172</v>
      </c>
      <c r="F122" s="28">
        <v>85</v>
      </c>
      <c r="G122" s="28">
        <v>87</v>
      </c>
      <c r="H122" s="28">
        <v>0</v>
      </c>
      <c r="I122" s="28">
        <v>0</v>
      </c>
      <c r="J122" s="28">
        <v>0</v>
      </c>
    </row>
    <row r="123" spans="1:10" s="21" customFormat="1" ht="12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s="21" customFormat="1" ht="12" customHeight="1" x14ac:dyDescent="0.2">
      <c r="A124" s="263" t="s">
        <v>131</v>
      </c>
      <c r="B124" s="263"/>
      <c r="C124" s="20">
        <v>63688</v>
      </c>
      <c r="D124" s="20">
        <v>48022</v>
      </c>
      <c r="E124" s="20">
        <v>15666</v>
      </c>
      <c r="F124" s="20">
        <v>10680</v>
      </c>
      <c r="G124" s="20">
        <v>4834</v>
      </c>
      <c r="H124" s="20">
        <v>133</v>
      </c>
      <c r="I124" s="20">
        <v>19</v>
      </c>
      <c r="J124" s="20">
        <v>0</v>
      </c>
    </row>
    <row r="125" spans="1:10" s="21" customFormat="1" ht="12" customHeight="1" x14ac:dyDescent="0.2">
      <c r="A125" s="264" t="s">
        <v>132</v>
      </c>
      <c r="B125" s="264"/>
      <c r="C125" s="22">
        <v>5439</v>
      </c>
      <c r="D125" s="22">
        <v>3911</v>
      </c>
      <c r="E125" s="22">
        <v>1528</v>
      </c>
      <c r="F125" s="22">
        <v>1000</v>
      </c>
      <c r="G125" s="22">
        <v>528</v>
      </c>
      <c r="H125" s="22">
        <v>0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133</v>
      </c>
      <c r="B126" s="264"/>
      <c r="C126" s="22">
        <v>182</v>
      </c>
      <c r="D126" s="22">
        <v>171</v>
      </c>
      <c r="E126" s="22">
        <v>11</v>
      </c>
      <c r="F126" s="22">
        <v>9</v>
      </c>
      <c r="G126" s="22">
        <v>2</v>
      </c>
      <c r="H126" s="22">
        <v>0</v>
      </c>
      <c r="I126" s="22">
        <v>0</v>
      </c>
      <c r="J126" s="22">
        <v>0</v>
      </c>
    </row>
    <row r="127" spans="1:10" s="21" customFormat="1" ht="12" customHeight="1" x14ac:dyDescent="0.2">
      <c r="A127" s="264" t="s">
        <v>134</v>
      </c>
      <c r="B127" s="264"/>
      <c r="C127" s="22">
        <v>495</v>
      </c>
      <c r="D127" s="22">
        <v>402</v>
      </c>
      <c r="E127" s="22">
        <v>93</v>
      </c>
      <c r="F127" s="22">
        <v>66</v>
      </c>
      <c r="G127" s="22">
        <v>27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135</v>
      </c>
      <c r="B128" s="264"/>
      <c r="C128" s="22">
        <v>1769</v>
      </c>
      <c r="D128" s="22">
        <v>1406</v>
      </c>
      <c r="E128" s="22">
        <v>363</v>
      </c>
      <c r="F128" s="22">
        <v>225</v>
      </c>
      <c r="G128" s="22">
        <v>132</v>
      </c>
      <c r="H128" s="22">
        <v>4</v>
      </c>
      <c r="I128" s="22">
        <v>2</v>
      </c>
      <c r="J128" s="22">
        <v>0</v>
      </c>
    </row>
    <row r="129" spans="1:10" s="21" customFormat="1" ht="12" customHeight="1" x14ac:dyDescent="0.2">
      <c r="A129" s="264" t="s">
        <v>138</v>
      </c>
      <c r="B129" s="264"/>
      <c r="C129" s="22">
        <v>1170</v>
      </c>
      <c r="D129" s="22">
        <v>1061</v>
      </c>
      <c r="E129" s="22">
        <v>109</v>
      </c>
      <c r="F129" s="22">
        <v>88</v>
      </c>
      <c r="G129" s="22">
        <v>21</v>
      </c>
      <c r="H129" s="22">
        <v>0</v>
      </c>
      <c r="I129" s="22">
        <v>0</v>
      </c>
      <c r="J129" s="22">
        <v>0</v>
      </c>
    </row>
    <row r="130" spans="1:10" s="21" customFormat="1" ht="12" customHeight="1" x14ac:dyDescent="0.2">
      <c r="A130" s="264" t="s">
        <v>140</v>
      </c>
      <c r="B130" s="264"/>
      <c r="C130" s="22">
        <v>13</v>
      </c>
      <c r="D130" s="22">
        <v>12</v>
      </c>
      <c r="E130" s="22">
        <v>1</v>
      </c>
      <c r="F130" s="22">
        <v>1</v>
      </c>
      <c r="G130" s="22">
        <v>0</v>
      </c>
      <c r="H130" s="22">
        <v>0</v>
      </c>
      <c r="I130" s="22">
        <v>0</v>
      </c>
      <c r="J130" s="22">
        <v>0</v>
      </c>
    </row>
    <row r="131" spans="1:10" s="21" customFormat="1" ht="12" customHeight="1" x14ac:dyDescent="0.2">
      <c r="A131" s="264" t="s">
        <v>141</v>
      </c>
      <c r="B131" s="264"/>
      <c r="C131" s="22">
        <v>2909</v>
      </c>
      <c r="D131" s="22">
        <v>2475</v>
      </c>
      <c r="E131" s="22">
        <v>434</v>
      </c>
      <c r="F131" s="22">
        <v>323</v>
      </c>
      <c r="G131" s="22">
        <v>109</v>
      </c>
      <c r="H131" s="22">
        <v>1</v>
      </c>
      <c r="I131" s="22">
        <v>1</v>
      </c>
      <c r="J131" s="22">
        <v>0</v>
      </c>
    </row>
    <row r="132" spans="1:10" s="21" customFormat="1" ht="12" customHeight="1" x14ac:dyDescent="0.2">
      <c r="A132" s="264" t="s">
        <v>142</v>
      </c>
      <c r="B132" s="264"/>
      <c r="C132" s="22">
        <v>100</v>
      </c>
      <c r="D132" s="22">
        <v>99</v>
      </c>
      <c r="E132" s="22">
        <v>1</v>
      </c>
      <c r="F132" s="22">
        <v>1</v>
      </c>
      <c r="G132" s="22">
        <v>0</v>
      </c>
      <c r="H132" s="22">
        <v>0</v>
      </c>
      <c r="I132" s="22">
        <v>0</v>
      </c>
      <c r="J132" s="22">
        <v>0</v>
      </c>
    </row>
    <row r="133" spans="1:10" s="107" customFormat="1" ht="12" customHeight="1" x14ac:dyDescent="0.2">
      <c r="A133" s="316" t="s">
        <v>337</v>
      </c>
      <c r="B133" s="316"/>
      <c r="C133" s="106">
        <v>5136</v>
      </c>
      <c r="D133" s="106">
        <v>4059</v>
      </c>
      <c r="E133" s="106">
        <v>1077</v>
      </c>
      <c r="F133" s="106">
        <v>696</v>
      </c>
      <c r="G133" s="106">
        <v>380</v>
      </c>
      <c r="H133" s="106">
        <v>1</v>
      </c>
      <c r="I133" s="106">
        <v>0</v>
      </c>
      <c r="J133" s="106">
        <v>0</v>
      </c>
    </row>
    <row r="134" spans="1:10" s="21" customFormat="1" ht="12" customHeight="1" x14ac:dyDescent="0.2">
      <c r="A134" s="264" t="s">
        <v>144</v>
      </c>
      <c r="B134" s="264"/>
      <c r="C134" s="22">
        <v>4511</v>
      </c>
      <c r="D134" s="22">
        <v>3663</v>
      </c>
      <c r="E134" s="22">
        <v>848</v>
      </c>
      <c r="F134" s="22">
        <v>646</v>
      </c>
      <c r="G134" s="22">
        <v>201</v>
      </c>
      <c r="H134" s="22">
        <v>1</v>
      </c>
      <c r="I134" s="22">
        <v>0</v>
      </c>
      <c r="J134" s="22">
        <v>0</v>
      </c>
    </row>
    <row r="135" spans="1:10" s="21" customFormat="1" ht="12" customHeight="1" x14ac:dyDescent="0.2">
      <c r="A135" s="264" t="s">
        <v>145</v>
      </c>
      <c r="B135" s="264"/>
      <c r="C135" s="22">
        <v>38</v>
      </c>
      <c r="D135" s="22">
        <v>38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</row>
    <row r="136" spans="1:10" s="21" customFormat="1" ht="12" customHeight="1" x14ac:dyDescent="0.2">
      <c r="A136" s="264" t="s">
        <v>147</v>
      </c>
      <c r="B136" s="264"/>
      <c r="C136" s="22">
        <v>302</v>
      </c>
      <c r="D136" s="22">
        <v>274</v>
      </c>
      <c r="E136" s="22">
        <v>28</v>
      </c>
      <c r="F136" s="22">
        <v>23</v>
      </c>
      <c r="G136" s="22">
        <v>5</v>
      </c>
      <c r="H136" s="22">
        <v>0</v>
      </c>
      <c r="I136" s="22">
        <v>0</v>
      </c>
      <c r="J136" s="22">
        <v>0</v>
      </c>
    </row>
    <row r="137" spans="1:10" s="21" customFormat="1" ht="12" customHeight="1" x14ac:dyDescent="0.2">
      <c r="A137" s="264" t="s">
        <v>148</v>
      </c>
      <c r="B137" s="264"/>
      <c r="C137" s="22">
        <v>1343</v>
      </c>
      <c r="D137" s="22">
        <v>1026</v>
      </c>
      <c r="E137" s="22">
        <v>317</v>
      </c>
      <c r="F137" s="22">
        <v>184</v>
      </c>
      <c r="G137" s="22">
        <v>101</v>
      </c>
      <c r="H137" s="22">
        <v>32</v>
      </c>
      <c r="I137" s="22">
        <v>0</v>
      </c>
      <c r="J137" s="22">
        <v>0</v>
      </c>
    </row>
    <row r="138" spans="1:10" s="21" customFormat="1" ht="12" customHeight="1" x14ac:dyDescent="0.2">
      <c r="A138" s="264" t="s">
        <v>149</v>
      </c>
      <c r="B138" s="264"/>
      <c r="C138" s="22">
        <v>15968</v>
      </c>
      <c r="D138" s="22">
        <v>10477</v>
      </c>
      <c r="E138" s="22">
        <v>5491</v>
      </c>
      <c r="F138" s="22">
        <v>3740</v>
      </c>
      <c r="G138" s="22">
        <v>1692</v>
      </c>
      <c r="H138" s="22">
        <v>52</v>
      </c>
      <c r="I138" s="22">
        <v>7</v>
      </c>
      <c r="J138" s="22">
        <v>0</v>
      </c>
    </row>
    <row r="139" spans="1:10" s="21" customFormat="1" ht="12" customHeight="1" x14ac:dyDescent="0.2">
      <c r="A139" s="264" t="s">
        <v>150</v>
      </c>
      <c r="B139" s="264"/>
      <c r="C139" s="22">
        <v>6517</v>
      </c>
      <c r="D139" s="22">
        <v>5059</v>
      </c>
      <c r="E139" s="22">
        <v>1458</v>
      </c>
      <c r="F139" s="22">
        <v>1049</v>
      </c>
      <c r="G139" s="22">
        <v>396</v>
      </c>
      <c r="H139" s="22">
        <v>9</v>
      </c>
      <c r="I139" s="22">
        <v>4</v>
      </c>
      <c r="J139" s="22">
        <v>0</v>
      </c>
    </row>
    <row r="140" spans="1:10" s="21" customFormat="1" ht="12" customHeight="1" x14ac:dyDescent="0.2">
      <c r="A140" s="264" t="s">
        <v>152</v>
      </c>
      <c r="B140" s="264"/>
      <c r="C140" s="22">
        <v>218</v>
      </c>
      <c r="D140" s="22">
        <v>194</v>
      </c>
      <c r="E140" s="22">
        <v>24</v>
      </c>
      <c r="F140" s="22">
        <v>15</v>
      </c>
      <c r="G140" s="22">
        <v>9</v>
      </c>
      <c r="H140" s="22">
        <v>0</v>
      </c>
      <c r="I140" s="22">
        <v>0</v>
      </c>
      <c r="J140" s="22">
        <v>0</v>
      </c>
    </row>
    <row r="141" spans="1:10" s="21" customFormat="1" ht="12" customHeight="1" x14ac:dyDescent="0.2">
      <c r="A141" s="264" t="s">
        <v>153</v>
      </c>
      <c r="B141" s="264"/>
      <c r="C141" s="22">
        <v>7244</v>
      </c>
      <c r="D141" s="22">
        <v>5536</v>
      </c>
      <c r="E141" s="22">
        <v>1708</v>
      </c>
      <c r="F141" s="22">
        <v>1180</v>
      </c>
      <c r="G141" s="22">
        <v>525</v>
      </c>
      <c r="H141" s="22">
        <v>2</v>
      </c>
      <c r="I141" s="22">
        <v>1</v>
      </c>
      <c r="J141" s="22">
        <v>0</v>
      </c>
    </row>
    <row r="142" spans="1:10" s="21" customFormat="1" ht="12" customHeight="1" x14ac:dyDescent="0.2">
      <c r="A142" s="264" t="s">
        <v>154</v>
      </c>
      <c r="B142" s="264"/>
      <c r="C142" s="22">
        <v>52</v>
      </c>
      <c r="D142" s="22">
        <v>48</v>
      </c>
      <c r="E142" s="22">
        <v>4</v>
      </c>
      <c r="F142" s="22">
        <v>2</v>
      </c>
      <c r="G142" s="22">
        <v>2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155</v>
      </c>
      <c r="B143" s="264"/>
      <c r="C143" s="22">
        <v>2727</v>
      </c>
      <c r="D143" s="22">
        <v>1968</v>
      </c>
      <c r="E143" s="22">
        <v>759</v>
      </c>
      <c r="F143" s="22">
        <v>449</v>
      </c>
      <c r="G143" s="22">
        <v>287</v>
      </c>
      <c r="H143" s="22">
        <v>22</v>
      </c>
      <c r="I143" s="22">
        <v>1</v>
      </c>
      <c r="J143" s="22">
        <v>0</v>
      </c>
    </row>
    <row r="144" spans="1:10" s="21" customFormat="1" ht="12" customHeight="1" x14ac:dyDescent="0.2">
      <c r="A144" s="264" t="s">
        <v>156</v>
      </c>
      <c r="B144" s="264"/>
      <c r="C144" s="22">
        <v>245</v>
      </c>
      <c r="D144" s="22">
        <v>229</v>
      </c>
      <c r="E144" s="22">
        <v>16</v>
      </c>
      <c r="F144" s="22">
        <v>9</v>
      </c>
      <c r="G144" s="22">
        <v>7</v>
      </c>
      <c r="H144" s="22">
        <v>0</v>
      </c>
      <c r="I144" s="22">
        <v>0</v>
      </c>
      <c r="J144" s="22">
        <v>0</v>
      </c>
    </row>
    <row r="145" spans="1:10" s="21" customFormat="1" ht="12" customHeight="1" x14ac:dyDescent="0.2">
      <c r="A145" s="264" t="s">
        <v>157</v>
      </c>
      <c r="B145" s="264"/>
      <c r="C145" s="22">
        <v>759</v>
      </c>
      <c r="D145" s="22">
        <v>608</v>
      </c>
      <c r="E145" s="22">
        <v>151</v>
      </c>
      <c r="F145" s="22">
        <v>96</v>
      </c>
      <c r="G145" s="22">
        <v>55</v>
      </c>
      <c r="H145" s="22">
        <v>0</v>
      </c>
      <c r="I145" s="22">
        <v>0</v>
      </c>
      <c r="J145" s="22">
        <v>0</v>
      </c>
    </row>
    <row r="146" spans="1:10" s="21" customFormat="1" ht="12" customHeight="1" x14ac:dyDescent="0.2">
      <c r="A146" s="264" t="s">
        <v>159</v>
      </c>
      <c r="B146" s="264"/>
      <c r="C146" s="22">
        <v>624</v>
      </c>
      <c r="D146" s="22">
        <v>458</v>
      </c>
      <c r="E146" s="22">
        <v>166</v>
      </c>
      <c r="F146" s="22">
        <v>122</v>
      </c>
      <c r="G146" s="22">
        <v>44</v>
      </c>
      <c r="H146" s="22">
        <v>0</v>
      </c>
      <c r="I146" s="22">
        <v>0</v>
      </c>
      <c r="J146" s="22">
        <v>0</v>
      </c>
    </row>
    <row r="147" spans="1:10" s="21" customFormat="1" ht="12" customHeight="1" x14ac:dyDescent="0.2">
      <c r="A147" s="264" t="s">
        <v>162</v>
      </c>
      <c r="B147" s="264"/>
      <c r="C147" s="22">
        <v>91</v>
      </c>
      <c r="D147" s="22">
        <v>86</v>
      </c>
      <c r="E147" s="22">
        <v>5</v>
      </c>
      <c r="F147" s="22">
        <v>3</v>
      </c>
      <c r="G147" s="22">
        <v>2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164</v>
      </c>
      <c r="B148" s="264"/>
      <c r="C148" s="22">
        <v>2875</v>
      </c>
      <c r="D148" s="22">
        <v>2154</v>
      </c>
      <c r="E148" s="22">
        <v>721</v>
      </c>
      <c r="F148" s="22">
        <v>529</v>
      </c>
      <c r="G148" s="22">
        <v>180</v>
      </c>
      <c r="H148" s="22">
        <v>9</v>
      </c>
      <c r="I148" s="22">
        <v>3</v>
      </c>
      <c r="J148" s="22">
        <v>0</v>
      </c>
    </row>
    <row r="149" spans="1:10" s="21" customFormat="1" ht="12" customHeight="1" x14ac:dyDescent="0.2">
      <c r="A149" s="264" t="s">
        <v>348</v>
      </c>
      <c r="B149" s="264"/>
      <c r="C149" s="22">
        <v>2618</v>
      </c>
      <c r="D149" s="22">
        <v>2292</v>
      </c>
      <c r="E149" s="22">
        <v>326</v>
      </c>
      <c r="F149" s="22">
        <v>206</v>
      </c>
      <c r="G149" s="22">
        <v>120</v>
      </c>
      <c r="H149" s="22">
        <v>0</v>
      </c>
      <c r="I149" s="22">
        <v>0</v>
      </c>
      <c r="J149" s="22">
        <v>0</v>
      </c>
    </row>
    <row r="150" spans="1:10" s="21" customFormat="1" ht="12" customHeight="1" x14ac:dyDescent="0.2">
      <c r="A150" s="264" t="s">
        <v>165</v>
      </c>
      <c r="B150" s="264"/>
      <c r="C150" s="22">
        <v>64</v>
      </c>
      <c r="D150" s="22">
        <v>58</v>
      </c>
      <c r="E150" s="22">
        <v>6</v>
      </c>
      <c r="F150" s="22">
        <v>3</v>
      </c>
      <c r="G150" s="22">
        <v>3</v>
      </c>
      <c r="H150" s="22">
        <v>0</v>
      </c>
      <c r="I150" s="22">
        <v>0</v>
      </c>
      <c r="J150" s="22">
        <v>0</v>
      </c>
    </row>
    <row r="151" spans="1:10" s="21" customFormat="1" ht="12" customHeight="1" x14ac:dyDescent="0.2">
      <c r="A151" s="267" t="s">
        <v>168</v>
      </c>
      <c r="B151" s="267"/>
      <c r="C151" s="28">
        <v>279</v>
      </c>
      <c r="D151" s="28">
        <v>258</v>
      </c>
      <c r="E151" s="28">
        <v>21</v>
      </c>
      <c r="F151" s="28">
        <v>15</v>
      </c>
      <c r="G151" s="28">
        <v>6</v>
      </c>
      <c r="H151" s="28">
        <v>0</v>
      </c>
      <c r="I151" s="28">
        <v>0</v>
      </c>
      <c r="J151" s="28">
        <v>0</v>
      </c>
    </row>
    <row r="152" spans="1:10" s="21" customFormat="1" ht="12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spans="1:10" s="21" customFormat="1" ht="12" customHeight="1" x14ac:dyDescent="0.2">
      <c r="A153" s="263" t="s">
        <v>169</v>
      </c>
      <c r="B153" s="263"/>
      <c r="C153" s="20">
        <v>5984</v>
      </c>
      <c r="D153" s="20">
        <v>5311</v>
      </c>
      <c r="E153" s="20">
        <v>673</v>
      </c>
      <c r="F153" s="20">
        <v>457</v>
      </c>
      <c r="G153" s="20">
        <v>213</v>
      </c>
      <c r="H153" s="20">
        <v>1</v>
      </c>
      <c r="I153" s="20">
        <v>2</v>
      </c>
      <c r="J153" s="20">
        <v>0</v>
      </c>
    </row>
    <row r="154" spans="1:10" s="21" customFormat="1" ht="12" customHeight="1" x14ac:dyDescent="0.2">
      <c r="A154" s="264" t="s">
        <v>170</v>
      </c>
      <c r="B154" s="264"/>
      <c r="C154" s="22">
        <v>1464</v>
      </c>
      <c r="D154" s="22">
        <v>1344</v>
      </c>
      <c r="E154" s="22">
        <v>120</v>
      </c>
      <c r="F154" s="22">
        <v>86</v>
      </c>
      <c r="G154" s="22">
        <v>34</v>
      </c>
      <c r="H154" s="22">
        <v>0</v>
      </c>
      <c r="I154" s="22">
        <v>0</v>
      </c>
      <c r="J154" s="22">
        <v>0</v>
      </c>
    </row>
    <row r="155" spans="1:10" s="21" customFormat="1" ht="12" customHeight="1" x14ac:dyDescent="0.2">
      <c r="A155" s="264" t="s">
        <v>171</v>
      </c>
      <c r="B155" s="264"/>
      <c r="C155" s="22">
        <v>52</v>
      </c>
      <c r="D155" s="22">
        <v>47</v>
      </c>
      <c r="E155" s="22">
        <v>5</v>
      </c>
      <c r="F155" s="22">
        <v>2</v>
      </c>
      <c r="G155" s="22">
        <v>3</v>
      </c>
      <c r="H155" s="22">
        <v>0</v>
      </c>
      <c r="I155" s="22">
        <v>0</v>
      </c>
      <c r="J155" s="22">
        <v>0</v>
      </c>
    </row>
    <row r="156" spans="1:10" s="21" customFormat="1" ht="12" customHeight="1" x14ac:dyDescent="0.2">
      <c r="A156" s="264" t="s">
        <v>172</v>
      </c>
      <c r="B156" s="264"/>
      <c r="C156" s="22">
        <v>57</v>
      </c>
      <c r="D156" s="22">
        <v>48</v>
      </c>
      <c r="E156" s="22">
        <v>9</v>
      </c>
      <c r="F156" s="22">
        <v>6</v>
      </c>
      <c r="G156" s="22">
        <v>3</v>
      </c>
      <c r="H156" s="22">
        <v>0</v>
      </c>
      <c r="I156" s="22">
        <v>0</v>
      </c>
      <c r="J156" s="22">
        <v>0</v>
      </c>
    </row>
    <row r="157" spans="1:10" s="21" customFormat="1" ht="12" customHeight="1" x14ac:dyDescent="0.2">
      <c r="A157" s="264" t="s">
        <v>173</v>
      </c>
      <c r="B157" s="264"/>
      <c r="C157" s="22">
        <v>53</v>
      </c>
      <c r="D157" s="22">
        <v>45</v>
      </c>
      <c r="E157" s="22">
        <v>8</v>
      </c>
      <c r="F157" s="22">
        <v>4</v>
      </c>
      <c r="G157" s="22">
        <v>3</v>
      </c>
      <c r="H157" s="22">
        <v>1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174</v>
      </c>
      <c r="B158" s="264"/>
      <c r="C158" s="22">
        <v>1185</v>
      </c>
      <c r="D158" s="22">
        <v>986</v>
      </c>
      <c r="E158" s="22">
        <v>199</v>
      </c>
      <c r="F158" s="22">
        <v>134</v>
      </c>
      <c r="G158" s="22">
        <v>65</v>
      </c>
      <c r="H158" s="22">
        <v>0</v>
      </c>
      <c r="I158" s="22">
        <v>0</v>
      </c>
      <c r="J158" s="22">
        <v>0</v>
      </c>
    </row>
    <row r="159" spans="1:10" s="21" customFormat="1" ht="12" customHeight="1" x14ac:dyDescent="0.2">
      <c r="A159" s="264" t="s">
        <v>175</v>
      </c>
      <c r="B159" s="264"/>
      <c r="C159" s="22">
        <v>540</v>
      </c>
      <c r="D159" s="22">
        <v>507</v>
      </c>
      <c r="E159" s="22">
        <v>33</v>
      </c>
      <c r="F159" s="22">
        <v>17</v>
      </c>
      <c r="G159" s="22">
        <v>14</v>
      </c>
      <c r="H159" s="22">
        <v>0</v>
      </c>
      <c r="I159" s="22">
        <v>2</v>
      </c>
      <c r="J159" s="22">
        <v>0</v>
      </c>
    </row>
    <row r="160" spans="1:10" s="21" customFormat="1" ht="12" customHeight="1" x14ac:dyDescent="0.2">
      <c r="A160" s="264" t="s">
        <v>176</v>
      </c>
      <c r="B160" s="264"/>
      <c r="C160" s="22">
        <v>49</v>
      </c>
      <c r="D160" s="22">
        <v>41</v>
      </c>
      <c r="E160" s="22">
        <v>8</v>
      </c>
      <c r="F160" s="22">
        <v>6</v>
      </c>
      <c r="G160" s="22">
        <v>2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7" t="s">
        <v>177</v>
      </c>
      <c r="B161" s="267"/>
      <c r="C161" s="28">
        <v>2584</v>
      </c>
      <c r="D161" s="28">
        <v>2293</v>
      </c>
      <c r="E161" s="28">
        <v>291</v>
      </c>
      <c r="F161" s="28">
        <v>202</v>
      </c>
      <c r="G161" s="28">
        <v>89</v>
      </c>
      <c r="H161" s="28">
        <v>0</v>
      </c>
      <c r="I161" s="28">
        <v>0</v>
      </c>
      <c r="J161" s="28">
        <v>0</v>
      </c>
    </row>
    <row r="162" spans="1:10" s="21" customFormat="1" ht="12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spans="1:10" s="21" customFormat="1" ht="12" customHeight="1" x14ac:dyDescent="0.2">
      <c r="A163" s="263" t="s">
        <v>178</v>
      </c>
      <c r="B163" s="263"/>
      <c r="C163" s="20">
        <v>51422</v>
      </c>
      <c r="D163" s="20">
        <v>37705</v>
      </c>
      <c r="E163" s="20">
        <v>13717</v>
      </c>
      <c r="F163" s="20">
        <v>9579</v>
      </c>
      <c r="G163" s="20">
        <v>3945</v>
      </c>
      <c r="H163" s="20">
        <v>140</v>
      </c>
      <c r="I163" s="20">
        <v>53</v>
      </c>
      <c r="J163" s="20">
        <v>0</v>
      </c>
    </row>
    <row r="164" spans="1:10" s="21" customFormat="1" ht="12" customHeight="1" x14ac:dyDescent="0.2">
      <c r="A164" s="264" t="s">
        <v>179</v>
      </c>
      <c r="B164" s="264"/>
      <c r="C164" s="22">
        <v>4812</v>
      </c>
      <c r="D164" s="22">
        <v>3431</v>
      </c>
      <c r="E164" s="22">
        <v>1381</v>
      </c>
      <c r="F164" s="22">
        <v>988</v>
      </c>
      <c r="G164" s="22">
        <v>379</v>
      </c>
      <c r="H164" s="22">
        <v>11</v>
      </c>
      <c r="I164" s="22">
        <v>3</v>
      </c>
      <c r="J164" s="22">
        <v>0</v>
      </c>
    </row>
    <row r="165" spans="1:10" s="21" customFormat="1" ht="12" customHeight="1" x14ac:dyDescent="0.2">
      <c r="A165" s="264" t="s">
        <v>180</v>
      </c>
      <c r="B165" s="264"/>
      <c r="C165" s="22">
        <v>18308</v>
      </c>
      <c r="D165" s="22">
        <v>12701</v>
      </c>
      <c r="E165" s="22">
        <v>5607</v>
      </c>
      <c r="F165" s="22">
        <v>3777</v>
      </c>
      <c r="G165" s="22">
        <v>1739</v>
      </c>
      <c r="H165" s="22">
        <v>70</v>
      </c>
      <c r="I165" s="22">
        <v>21</v>
      </c>
      <c r="J165" s="22">
        <v>0</v>
      </c>
    </row>
    <row r="166" spans="1:10" s="21" customFormat="1" ht="12" customHeight="1" x14ac:dyDescent="0.2">
      <c r="A166" s="264" t="s">
        <v>181</v>
      </c>
      <c r="B166" s="264"/>
      <c r="C166" s="22">
        <v>2762</v>
      </c>
      <c r="D166" s="22">
        <v>1720</v>
      </c>
      <c r="E166" s="22">
        <v>1042</v>
      </c>
      <c r="F166" s="22">
        <v>686</v>
      </c>
      <c r="G166" s="22">
        <v>335</v>
      </c>
      <c r="H166" s="22">
        <v>17</v>
      </c>
      <c r="I166" s="22">
        <v>4</v>
      </c>
      <c r="J166" s="22">
        <v>0</v>
      </c>
    </row>
    <row r="167" spans="1:10" s="21" customFormat="1" ht="12" customHeight="1" x14ac:dyDescent="0.2">
      <c r="A167" s="264" t="s">
        <v>182</v>
      </c>
      <c r="B167" s="264"/>
      <c r="C167" s="22">
        <v>2790</v>
      </c>
      <c r="D167" s="22">
        <v>2311</v>
      </c>
      <c r="E167" s="22">
        <v>479</v>
      </c>
      <c r="F167" s="22">
        <v>343</v>
      </c>
      <c r="G167" s="22">
        <v>128</v>
      </c>
      <c r="H167" s="22">
        <v>6</v>
      </c>
      <c r="I167" s="22">
        <v>2</v>
      </c>
      <c r="J167" s="22">
        <v>0</v>
      </c>
    </row>
    <row r="168" spans="1:10" s="21" customFormat="1" ht="12" customHeight="1" x14ac:dyDescent="0.2">
      <c r="A168" s="264" t="s">
        <v>183</v>
      </c>
      <c r="B168" s="264"/>
      <c r="C168" s="22">
        <v>8627</v>
      </c>
      <c r="D168" s="22">
        <v>6240</v>
      </c>
      <c r="E168" s="22">
        <v>2387</v>
      </c>
      <c r="F168" s="22">
        <v>1733</v>
      </c>
      <c r="G168" s="22">
        <v>625</v>
      </c>
      <c r="H168" s="22">
        <v>22</v>
      </c>
      <c r="I168" s="22">
        <v>7</v>
      </c>
      <c r="J168" s="22">
        <v>0</v>
      </c>
    </row>
    <row r="169" spans="1:10" s="21" customFormat="1" ht="12" customHeight="1" x14ac:dyDescent="0.2">
      <c r="A169" s="264" t="s">
        <v>184</v>
      </c>
      <c r="B169" s="264"/>
      <c r="C169" s="22">
        <v>735</v>
      </c>
      <c r="D169" s="22">
        <v>642</v>
      </c>
      <c r="E169" s="22">
        <v>93</v>
      </c>
      <c r="F169" s="22">
        <v>64</v>
      </c>
      <c r="G169" s="22">
        <v>29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185</v>
      </c>
      <c r="B170" s="264"/>
      <c r="C170" s="22">
        <v>788</v>
      </c>
      <c r="D170" s="22">
        <v>660</v>
      </c>
      <c r="E170" s="22">
        <v>128</v>
      </c>
      <c r="F170" s="22">
        <v>106</v>
      </c>
      <c r="G170" s="22">
        <v>20</v>
      </c>
      <c r="H170" s="22">
        <v>2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186</v>
      </c>
      <c r="B171" s="264"/>
      <c r="C171" s="22">
        <v>830</v>
      </c>
      <c r="D171" s="22">
        <v>677</v>
      </c>
      <c r="E171" s="22">
        <v>153</v>
      </c>
      <c r="F171" s="22">
        <v>111</v>
      </c>
      <c r="G171" s="22">
        <v>40</v>
      </c>
      <c r="H171" s="22">
        <v>0</v>
      </c>
      <c r="I171" s="22">
        <v>2</v>
      </c>
      <c r="J171" s="22">
        <v>0</v>
      </c>
    </row>
    <row r="172" spans="1:10" s="21" customFormat="1" ht="12" customHeight="1" x14ac:dyDescent="0.2">
      <c r="A172" s="264" t="s">
        <v>187</v>
      </c>
      <c r="B172" s="264"/>
      <c r="C172" s="22">
        <v>385</v>
      </c>
      <c r="D172" s="22">
        <v>356</v>
      </c>
      <c r="E172" s="22">
        <v>29</v>
      </c>
      <c r="F172" s="22">
        <v>18</v>
      </c>
      <c r="G172" s="22">
        <v>11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188</v>
      </c>
      <c r="B173" s="264"/>
      <c r="C173" s="22">
        <v>1416</v>
      </c>
      <c r="D173" s="22">
        <v>1184</v>
      </c>
      <c r="E173" s="22">
        <v>232</v>
      </c>
      <c r="F173" s="22">
        <v>151</v>
      </c>
      <c r="G173" s="22">
        <v>74</v>
      </c>
      <c r="H173" s="22">
        <v>2</v>
      </c>
      <c r="I173" s="22">
        <v>5</v>
      </c>
      <c r="J173" s="22">
        <v>0</v>
      </c>
    </row>
    <row r="174" spans="1:10" s="21" customFormat="1" ht="12" customHeight="1" x14ac:dyDescent="0.2">
      <c r="A174" s="264" t="s">
        <v>190</v>
      </c>
      <c r="B174" s="264"/>
      <c r="C174" s="22">
        <v>123</v>
      </c>
      <c r="D174" s="22">
        <v>99</v>
      </c>
      <c r="E174" s="22">
        <v>24</v>
      </c>
      <c r="F174" s="22">
        <v>20</v>
      </c>
      <c r="G174" s="22">
        <v>4</v>
      </c>
      <c r="H174" s="22">
        <v>0</v>
      </c>
      <c r="I174" s="22">
        <v>0</v>
      </c>
      <c r="J174" s="22">
        <v>0</v>
      </c>
    </row>
    <row r="175" spans="1:10" s="21" customFormat="1" ht="12" customHeight="1" x14ac:dyDescent="0.2">
      <c r="A175" s="264" t="s">
        <v>191</v>
      </c>
      <c r="B175" s="264"/>
      <c r="C175" s="22">
        <v>2832</v>
      </c>
      <c r="D175" s="22">
        <v>2253</v>
      </c>
      <c r="E175" s="22">
        <v>579</v>
      </c>
      <c r="F175" s="22">
        <v>416</v>
      </c>
      <c r="G175" s="22">
        <v>158</v>
      </c>
      <c r="H175" s="22">
        <v>4</v>
      </c>
      <c r="I175" s="22">
        <v>1</v>
      </c>
      <c r="J175" s="22">
        <v>0</v>
      </c>
    </row>
    <row r="176" spans="1:10" s="21" customFormat="1" ht="12" customHeight="1" x14ac:dyDescent="0.2">
      <c r="A176" s="264" t="s">
        <v>192</v>
      </c>
      <c r="B176" s="264"/>
      <c r="C176" s="22">
        <v>602</v>
      </c>
      <c r="D176" s="22">
        <v>542</v>
      </c>
      <c r="E176" s="22">
        <v>60</v>
      </c>
      <c r="F176" s="22">
        <v>42</v>
      </c>
      <c r="G176" s="22">
        <v>18</v>
      </c>
      <c r="H176" s="22">
        <v>0</v>
      </c>
      <c r="I176" s="22">
        <v>0</v>
      </c>
      <c r="J176" s="22">
        <v>0</v>
      </c>
    </row>
    <row r="177" spans="1:10" s="21" customFormat="1" ht="12" customHeight="1" x14ac:dyDescent="0.2">
      <c r="A177" s="264" t="s">
        <v>193</v>
      </c>
      <c r="B177" s="264"/>
      <c r="C177" s="22">
        <v>618</v>
      </c>
      <c r="D177" s="22">
        <v>553</v>
      </c>
      <c r="E177" s="22">
        <v>65</v>
      </c>
      <c r="F177" s="22">
        <v>42</v>
      </c>
      <c r="G177" s="22">
        <v>23</v>
      </c>
      <c r="H177" s="22">
        <v>0</v>
      </c>
      <c r="I177" s="22">
        <v>0</v>
      </c>
      <c r="J177" s="22">
        <v>0</v>
      </c>
    </row>
    <row r="178" spans="1:10" s="21" customFormat="1" ht="12" customHeight="1" x14ac:dyDescent="0.2">
      <c r="A178" s="264" t="s">
        <v>194</v>
      </c>
      <c r="B178" s="264"/>
      <c r="C178" s="22">
        <v>2411</v>
      </c>
      <c r="D178" s="22">
        <v>1740</v>
      </c>
      <c r="E178" s="22">
        <v>671</v>
      </c>
      <c r="F178" s="22">
        <v>511</v>
      </c>
      <c r="G178" s="22">
        <v>147</v>
      </c>
      <c r="H178" s="22">
        <v>5</v>
      </c>
      <c r="I178" s="22">
        <v>8</v>
      </c>
      <c r="J178" s="22">
        <v>0</v>
      </c>
    </row>
    <row r="179" spans="1:10" s="21" customFormat="1" ht="12" customHeight="1" x14ac:dyDescent="0.2">
      <c r="A179" s="264" t="s">
        <v>195</v>
      </c>
      <c r="B179" s="264"/>
      <c r="C179" s="22">
        <v>239</v>
      </c>
      <c r="D179" s="22">
        <v>212</v>
      </c>
      <c r="E179" s="22">
        <v>27</v>
      </c>
      <c r="F179" s="22">
        <v>17</v>
      </c>
      <c r="G179" s="22">
        <v>10</v>
      </c>
      <c r="H179" s="22">
        <v>0</v>
      </c>
      <c r="I179" s="22">
        <v>0</v>
      </c>
      <c r="J179" s="22">
        <v>0</v>
      </c>
    </row>
    <row r="180" spans="1:10" s="21" customFormat="1" ht="12" customHeight="1" x14ac:dyDescent="0.2">
      <c r="A180" s="267" t="s">
        <v>196</v>
      </c>
      <c r="B180" s="267"/>
      <c r="C180" s="28">
        <v>3144</v>
      </c>
      <c r="D180" s="28">
        <v>2384</v>
      </c>
      <c r="E180" s="28">
        <v>760</v>
      </c>
      <c r="F180" s="28">
        <v>554</v>
      </c>
      <c r="G180" s="28">
        <v>205</v>
      </c>
      <c r="H180" s="28">
        <v>1</v>
      </c>
      <c r="I180" s="28">
        <v>0</v>
      </c>
      <c r="J180" s="28">
        <v>0</v>
      </c>
    </row>
    <row r="181" spans="1:10" s="21" customFormat="1" ht="12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spans="1:10" s="21" customFormat="1" ht="12" customHeight="1" x14ac:dyDescent="0.2">
      <c r="A182" s="263" t="s">
        <v>197</v>
      </c>
      <c r="B182" s="263"/>
      <c r="C182" s="20">
        <v>13090</v>
      </c>
      <c r="D182" s="20">
        <v>9113</v>
      </c>
      <c r="E182" s="20">
        <v>3977</v>
      </c>
      <c r="F182" s="20">
        <v>2952</v>
      </c>
      <c r="G182" s="20">
        <v>958</v>
      </c>
      <c r="H182" s="20">
        <v>60</v>
      </c>
      <c r="I182" s="20">
        <v>7</v>
      </c>
      <c r="J182" s="20">
        <v>0</v>
      </c>
    </row>
    <row r="183" spans="1:10" s="21" customFormat="1" ht="12" customHeight="1" x14ac:dyDescent="0.2">
      <c r="A183" s="264" t="s">
        <v>198</v>
      </c>
      <c r="B183" s="264"/>
      <c r="C183" s="22">
        <v>6168</v>
      </c>
      <c r="D183" s="22">
        <v>3977</v>
      </c>
      <c r="E183" s="22">
        <v>2191</v>
      </c>
      <c r="F183" s="22">
        <v>1603</v>
      </c>
      <c r="G183" s="22">
        <v>526</v>
      </c>
      <c r="H183" s="22">
        <v>55</v>
      </c>
      <c r="I183" s="22">
        <v>7</v>
      </c>
      <c r="J183" s="22">
        <v>0</v>
      </c>
    </row>
    <row r="184" spans="1:10" s="21" customFormat="1" ht="12" customHeight="1" x14ac:dyDescent="0.2">
      <c r="A184" s="264" t="s">
        <v>199</v>
      </c>
      <c r="B184" s="264"/>
      <c r="C184" s="22">
        <v>2826</v>
      </c>
      <c r="D184" s="22">
        <v>2319</v>
      </c>
      <c r="E184" s="22">
        <v>507</v>
      </c>
      <c r="F184" s="22">
        <v>393</v>
      </c>
      <c r="G184" s="22">
        <v>109</v>
      </c>
      <c r="H184" s="22">
        <v>5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200</v>
      </c>
      <c r="B185" s="264"/>
      <c r="C185" s="22">
        <v>699</v>
      </c>
      <c r="D185" s="22">
        <v>442</v>
      </c>
      <c r="E185" s="22">
        <v>257</v>
      </c>
      <c r="F185" s="22">
        <v>195</v>
      </c>
      <c r="G185" s="22">
        <v>62</v>
      </c>
      <c r="H185" s="22">
        <v>0</v>
      </c>
      <c r="I185" s="22">
        <v>0</v>
      </c>
      <c r="J185" s="22">
        <v>0</v>
      </c>
    </row>
    <row r="186" spans="1:10" s="21" customFormat="1" ht="12" customHeight="1" x14ac:dyDescent="0.2">
      <c r="A186" s="264" t="s">
        <v>201</v>
      </c>
      <c r="B186" s="264"/>
      <c r="C186" s="22">
        <v>567</v>
      </c>
      <c r="D186" s="22">
        <v>432</v>
      </c>
      <c r="E186" s="22">
        <v>135</v>
      </c>
      <c r="F186" s="22">
        <v>90</v>
      </c>
      <c r="G186" s="22">
        <v>45</v>
      </c>
      <c r="H186" s="22">
        <v>0</v>
      </c>
      <c r="I186" s="22">
        <v>0</v>
      </c>
      <c r="J186" s="22">
        <v>0</v>
      </c>
    </row>
    <row r="187" spans="1:10" s="21" customFormat="1" ht="12" customHeight="1" x14ac:dyDescent="0.2">
      <c r="A187" s="264" t="s">
        <v>202</v>
      </c>
      <c r="B187" s="264"/>
      <c r="C187" s="22">
        <v>1770</v>
      </c>
      <c r="D187" s="22">
        <v>1245</v>
      </c>
      <c r="E187" s="22">
        <v>525</v>
      </c>
      <c r="F187" s="22">
        <v>392</v>
      </c>
      <c r="G187" s="22">
        <v>133</v>
      </c>
      <c r="H187" s="22">
        <v>0</v>
      </c>
      <c r="I187" s="22">
        <v>0</v>
      </c>
      <c r="J187" s="22">
        <v>0</v>
      </c>
    </row>
    <row r="188" spans="1:10" s="21" customFormat="1" ht="12" customHeight="1" x14ac:dyDescent="0.2">
      <c r="A188" s="267" t="s">
        <v>203</v>
      </c>
      <c r="B188" s="267"/>
      <c r="C188" s="28">
        <v>1060</v>
      </c>
      <c r="D188" s="28">
        <v>698</v>
      </c>
      <c r="E188" s="28">
        <v>362</v>
      </c>
      <c r="F188" s="28">
        <v>279</v>
      </c>
      <c r="G188" s="28">
        <v>83</v>
      </c>
      <c r="H188" s="28">
        <v>0</v>
      </c>
      <c r="I188" s="28">
        <v>0</v>
      </c>
      <c r="J188" s="28">
        <v>0</v>
      </c>
    </row>
    <row r="189" spans="1:10" s="21" customFormat="1" ht="12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spans="1:10" s="21" customFormat="1" ht="12" customHeight="1" x14ac:dyDescent="0.2">
      <c r="A190" s="263" t="s">
        <v>204</v>
      </c>
      <c r="B190" s="263"/>
      <c r="C190" s="20">
        <v>5714</v>
      </c>
      <c r="D190" s="20">
        <v>5166</v>
      </c>
      <c r="E190" s="20">
        <v>548</v>
      </c>
      <c r="F190" s="20">
        <v>331</v>
      </c>
      <c r="G190" s="20">
        <v>216</v>
      </c>
      <c r="H190" s="20">
        <v>0</v>
      </c>
      <c r="I190" s="20">
        <v>1</v>
      </c>
      <c r="J190" s="20">
        <v>0</v>
      </c>
    </row>
    <row r="191" spans="1:10" s="21" customFormat="1" ht="12" customHeight="1" x14ac:dyDescent="0.2">
      <c r="A191" s="264" t="s">
        <v>205</v>
      </c>
      <c r="B191" s="264"/>
      <c r="C191" s="22">
        <v>1856</v>
      </c>
      <c r="D191" s="22">
        <v>1636</v>
      </c>
      <c r="E191" s="22">
        <v>220</v>
      </c>
      <c r="F191" s="22">
        <v>153</v>
      </c>
      <c r="G191" s="22">
        <v>67</v>
      </c>
      <c r="H191" s="22">
        <v>0</v>
      </c>
      <c r="I191" s="22">
        <v>0</v>
      </c>
      <c r="J191" s="22">
        <v>0</v>
      </c>
    </row>
    <row r="192" spans="1:10" s="21" customFormat="1" ht="12" customHeight="1" x14ac:dyDescent="0.2">
      <c r="A192" s="264" t="s">
        <v>206</v>
      </c>
      <c r="B192" s="264"/>
      <c r="C192" s="22">
        <v>1783</v>
      </c>
      <c r="D192" s="22">
        <v>1630</v>
      </c>
      <c r="E192" s="22">
        <v>153</v>
      </c>
      <c r="F192" s="22">
        <v>73</v>
      </c>
      <c r="G192" s="22">
        <v>80</v>
      </c>
      <c r="H192" s="22">
        <v>0</v>
      </c>
      <c r="I192" s="22">
        <v>0</v>
      </c>
      <c r="J192" s="22">
        <v>0</v>
      </c>
    </row>
    <row r="193" spans="1:10" s="21" customFormat="1" ht="12" customHeight="1" x14ac:dyDescent="0.2">
      <c r="A193" s="315" t="s">
        <v>345</v>
      </c>
      <c r="B193" s="315"/>
      <c r="C193" s="44">
        <v>2075</v>
      </c>
      <c r="D193" s="44">
        <v>1900</v>
      </c>
      <c r="E193" s="44">
        <v>175</v>
      </c>
      <c r="F193" s="44">
        <v>105</v>
      </c>
      <c r="G193" s="44">
        <v>69</v>
      </c>
      <c r="H193" s="44">
        <v>0</v>
      </c>
      <c r="I193" s="44">
        <v>1</v>
      </c>
      <c r="J193" s="44">
        <v>0</v>
      </c>
    </row>
    <row r="194" spans="1:10" s="21" customFormat="1" ht="12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spans="1:10" s="21" customFormat="1" ht="12" customHeight="1" x14ac:dyDescent="0.2">
      <c r="A195" s="263" t="s">
        <v>210</v>
      </c>
      <c r="B195" s="263"/>
      <c r="C195" s="20">
        <v>9343</v>
      </c>
      <c r="D195" s="20">
        <v>6755</v>
      </c>
      <c r="E195" s="20">
        <v>2588</v>
      </c>
      <c r="F195" s="20">
        <v>1596</v>
      </c>
      <c r="G195" s="20">
        <v>900</v>
      </c>
      <c r="H195" s="20">
        <v>72</v>
      </c>
      <c r="I195" s="20">
        <v>20</v>
      </c>
      <c r="J195" s="20">
        <v>0</v>
      </c>
    </row>
    <row r="196" spans="1:10" s="21" customFormat="1" ht="12" customHeight="1" x14ac:dyDescent="0.2">
      <c r="A196" s="264" t="s">
        <v>211</v>
      </c>
      <c r="B196" s="264"/>
      <c r="C196" s="22">
        <v>1576</v>
      </c>
      <c r="D196" s="22">
        <v>1172</v>
      </c>
      <c r="E196" s="22">
        <v>404</v>
      </c>
      <c r="F196" s="22">
        <v>218</v>
      </c>
      <c r="G196" s="22">
        <v>186</v>
      </c>
      <c r="H196" s="22">
        <v>0</v>
      </c>
      <c r="I196" s="22">
        <v>0</v>
      </c>
      <c r="J196" s="22">
        <v>0</v>
      </c>
    </row>
    <row r="197" spans="1:10" s="21" customFormat="1" ht="12" customHeight="1" x14ac:dyDescent="0.2">
      <c r="A197" s="264" t="s">
        <v>213</v>
      </c>
      <c r="B197" s="264"/>
      <c r="C197" s="22">
        <v>108</v>
      </c>
      <c r="D197" s="22">
        <v>90</v>
      </c>
      <c r="E197" s="22">
        <v>18</v>
      </c>
      <c r="F197" s="22">
        <v>7</v>
      </c>
      <c r="G197" s="22">
        <v>11</v>
      </c>
      <c r="H197" s="22">
        <v>0</v>
      </c>
      <c r="I197" s="22">
        <v>0</v>
      </c>
      <c r="J197" s="22">
        <v>0</v>
      </c>
    </row>
    <row r="198" spans="1:10" s="21" customFormat="1" ht="12" customHeight="1" x14ac:dyDescent="0.2">
      <c r="A198" s="264" t="s">
        <v>214</v>
      </c>
      <c r="B198" s="264"/>
      <c r="C198" s="22">
        <v>1037</v>
      </c>
      <c r="D198" s="22">
        <v>514</v>
      </c>
      <c r="E198" s="22">
        <v>523</v>
      </c>
      <c r="F198" s="22">
        <v>296</v>
      </c>
      <c r="G198" s="22">
        <v>187</v>
      </c>
      <c r="H198" s="22">
        <v>27</v>
      </c>
      <c r="I198" s="22">
        <v>13</v>
      </c>
      <c r="J198" s="22">
        <v>0</v>
      </c>
    </row>
    <row r="199" spans="1:10" s="21" customFormat="1" ht="12" customHeight="1" x14ac:dyDescent="0.2">
      <c r="A199" s="264" t="s">
        <v>219</v>
      </c>
      <c r="B199" s="264"/>
      <c r="C199" s="22">
        <v>198</v>
      </c>
      <c r="D199" s="22">
        <v>176</v>
      </c>
      <c r="E199" s="22">
        <v>22</v>
      </c>
      <c r="F199" s="22">
        <v>13</v>
      </c>
      <c r="G199" s="22">
        <v>9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220</v>
      </c>
      <c r="B200" s="264"/>
      <c r="C200" s="22">
        <v>2908</v>
      </c>
      <c r="D200" s="22">
        <v>2279</v>
      </c>
      <c r="E200" s="22">
        <v>629</v>
      </c>
      <c r="F200" s="22">
        <v>471</v>
      </c>
      <c r="G200" s="22">
        <v>156</v>
      </c>
      <c r="H200" s="22">
        <v>2</v>
      </c>
      <c r="I200" s="22">
        <v>0</v>
      </c>
      <c r="J200" s="22">
        <v>0</v>
      </c>
    </row>
    <row r="201" spans="1:10" s="21" customFormat="1" ht="12" customHeight="1" x14ac:dyDescent="0.2">
      <c r="A201" s="264" t="s">
        <v>221</v>
      </c>
      <c r="B201" s="264"/>
      <c r="C201" s="22">
        <v>879</v>
      </c>
      <c r="D201" s="22">
        <v>614</v>
      </c>
      <c r="E201" s="22">
        <v>265</v>
      </c>
      <c r="F201" s="22">
        <v>151</v>
      </c>
      <c r="G201" s="22">
        <v>94</v>
      </c>
      <c r="H201" s="22">
        <v>16</v>
      </c>
      <c r="I201" s="22">
        <v>4</v>
      </c>
      <c r="J201" s="22">
        <v>0</v>
      </c>
    </row>
    <row r="202" spans="1:10" s="21" customFormat="1" ht="12" customHeight="1" x14ac:dyDescent="0.2">
      <c r="A202" s="264" t="s">
        <v>224</v>
      </c>
      <c r="B202" s="264"/>
      <c r="C202" s="22">
        <v>344</v>
      </c>
      <c r="D202" s="22">
        <v>269</v>
      </c>
      <c r="E202" s="22">
        <v>75</v>
      </c>
      <c r="F202" s="22">
        <v>51</v>
      </c>
      <c r="G202" s="22">
        <v>24</v>
      </c>
      <c r="H202" s="22">
        <v>0</v>
      </c>
      <c r="I202" s="22">
        <v>0</v>
      </c>
      <c r="J202" s="22">
        <v>0</v>
      </c>
    </row>
    <row r="203" spans="1:10" s="21" customFormat="1" ht="12" customHeight="1" x14ac:dyDescent="0.2">
      <c r="A203" s="264" t="s">
        <v>225</v>
      </c>
      <c r="B203" s="264"/>
      <c r="C203" s="22">
        <v>741</v>
      </c>
      <c r="D203" s="22">
        <v>457</v>
      </c>
      <c r="E203" s="22">
        <v>284</v>
      </c>
      <c r="F203" s="22">
        <v>200</v>
      </c>
      <c r="G203" s="22">
        <v>81</v>
      </c>
      <c r="H203" s="22">
        <v>2</v>
      </c>
      <c r="I203" s="22">
        <v>1</v>
      </c>
      <c r="J203" s="22">
        <v>0</v>
      </c>
    </row>
    <row r="204" spans="1:10" s="21" customFormat="1" ht="12" customHeight="1" x14ac:dyDescent="0.2">
      <c r="A204" s="264" t="s">
        <v>226</v>
      </c>
      <c r="B204" s="264"/>
      <c r="C204" s="22">
        <v>423</v>
      </c>
      <c r="D204" s="22">
        <v>316</v>
      </c>
      <c r="E204" s="22">
        <v>107</v>
      </c>
      <c r="F204" s="22">
        <v>65</v>
      </c>
      <c r="G204" s="22">
        <v>42</v>
      </c>
      <c r="H204" s="22">
        <v>0</v>
      </c>
      <c r="I204" s="22">
        <v>0</v>
      </c>
      <c r="J204" s="22">
        <v>0</v>
      </c>
    </row>
    <row r="205" spans="1:10" s="21" customFormat="1" ht="12" customHeight="1" x14ac:dyDescent="0.2">
      <c r="A205" s="264" t="s">
        <v>227</v>
      </c>
      <c r="B205" s="264"/>
      <c r="C205" s="22">
        <v>1051</v>
      </c>
      <c r="D205" s="22">
        <v>795</v>
      </c>
      <c r="E205" s="22">
        <v>256</v>
      </c>
      <c r="F205" s="22">
        <v>122</v>
      </c>
      <c r="G205" s="22">
        <v>107</v>
      </c>
      <c r="H205" s="22">
        <v>25</v>
      </c>
      <c r="I205" s="22">
        <v>2</v>
      </c>
      <c r="J205" s="22">
        <v>0</v>
      </c>
    </row>
    <row r="206" spans="1:10" s="21" customFormat="1" ht="12" customHeight="1" x14ac:dyDescent="0.2">
      <c r="A206" s="267" t="s">
        <v>228</v>
      </c>
      <c r="B206" s="267"/>
      <c r="C206" s="28">
        <v>78</v>
      </c>
      <c r="D206" s="28">
        <v>73</v>
      </c>
      <c r="E206" s="28">
        <v>5</v>
      </c>
      <c r="F206" s="28">
        <v>2</v>
      </c>
      <c r="G206" s="28">
        <v>3</v>
      </c>
      <c r="H206" s="28">
        <v>0</v>
      </c>
      <c r="I206" s="28">
        <v>0</v>
      </c>
      <c r="J206" s="28">
        <v>0</v>
      </c>
    </row>
    <row r="207" spans="1:10" s="21" customFormat="1" ht="12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s="21" customFormat="1" ht="12" customHeight="1" x14ac:dyDescent="0.2">
      <c r="A208" s="263" t="s">
        <v>229</v>
      </c>
      <c r="B208" s="263"/>
      <c r="C208" s="20">
        <v>351946</v>
      </c>
      <c r="D208" s="20">
        <v>254288</v>
      </c>
      <c r="E208" s="20">
        <v>97658</v>
      </c>
      <c r="F208" s="20">
        <v>60050</v>
      </c>
      <c r="G208" s="20">
        <v>36323</v>
      </c>
      <c r="H208" s="20">
        <v>1038</v>
      </c>
      <c r="I208" s="20">
        <v>212</v>
      </c>
      <c r="J208" s="20">
        <v>35</v>
      </c>
    </row>
    <row r="209" spans="1:10" s="21" customFormat="1" ht="12" customHeight="1" x14ac:dyDescent="0.2">
      <c r="A209" s="264" t="s">
        <v>230</v>
      </c>
      <c r="B209" s="264"/>
      <c r="C209" s="22">
        <v>51183</v>
      </c>
      <c r="D209" s="22">
        <v>38443</v>
      </c>
      <c r="E209" s="22">
        <v>12740</v>
      </c>
      <c r="F209" s="22">
        <v>6959</v>
      </c>
      <c r="G209" s="22">
        <v>5534</v>
      </c>
      <c r="H209" s="22">
        <v>206</v>
      </c>
      <c r="I209" s="22">
        <v>41</v>
      </c>
      <c r="J209" s="22">
        <v>0</v>
      </c>
    </row>
    <row r="210" spans="1:10" s="21" customFormat="1" ht="12" customHeight="1" x14ac:dyDescent="0.2">
      <c r="A210" s="264" t="s">
        <v>231</v>
      </c>
      <c r="B210" s="264"/>
      <c r="C210" s="22">
        <v>151522</v>
      </c>
      <c r="D210" s="22">
        <v>103773</v>
      </c>
      <c r="E210" s="22">
        <v>47749</v>
      </c>
      <c r="F210" s="22">
        <v>27496</v>
      </c>
      <c r="G210" s="22">
        <v>19723</v>
      </c>
      <c r="H210" s="22">
        <v>426</v>
      </c>
      <c r="I210" s="22">
        <v>69</v>
      </c>
      <c r="J210" s="22">
        <v>35</v>
      </c>
    </row>
    <row r="211" spans="1:10" s="21" customFormat="1" ht="12" customHeight="1" x14ac:dyDescent="0.2">
      <c r="A211" s="264" t="s">
        <v>232</v>
      </c>
      <c r="B211" s="264"/>
      <c r="C211" s="22">
        <v>63688</v>
      </c>
      <c r="D211" s="22">
        <v>48022</v>
      </c>
      <c r="E211" s="22">
        <v>15666</v>
      </c>
      <c r="F211" s="22">
        <v>10680</v>
      </c>
      <c r="G211" s="22">
        <v>4834</v>
      </c>
      <c r="H211" s="22">
        <v>133</v>
      </c>
      <c r="I211" s="22">
        <v>19</v>
      </c>
      <c r="J211" s="22">
        <v>0</v>
      </c>
    </row>
    <row r="212" spans="1:10" s="21" customFormat="1" ht="12" customHeight="1" x14ac:dyDescent="0.2">
      <c r="A212" s="264" t="s">
        <v>233</v>
      </c>
      <c r="B212" s="264"/>
      <c r="C212" s="22">
        <v>5984</v>
      </c>
      <c r="D212" s="22">
        <v>5311</v>
      </c>
      <c r="E212" s="22">
        <v>673</v>
      </c>
      <c r="F212" s="22">
        <v>457</v>
      </c>
      <c r="G212" s="22">
        <v>213</v>
      </c>
      <c r="H212" s="22">
        <v>1</v>
      </c>
      <c r="I212" s="22">
        <v>2</v>
      </c>
      <c r="J212" s="22">
        <v>0</v>
      </c>
    </row>
    <row r="213" spans="1:10" s="21" customFormat="1" ht="12" customHeight="1" x14ac:dyDescent="0.2">
      <c r="A213" s="264" t="s">
        <v>234</v>
      </c>
      <c r="B213" s="264"/>
      <c r="C213" s="22">
        <v>51422</v>
      </c>
      <c r="D213" s="22">
        <v>37705</v>
      </c>
      <c r="E213" s="22">
        <v>13717</v>
      </c>
      <c r="F213" s="22">
        <v>9579</v>
      </c>
      <c r="G213" s="22">
        <v>3945</v>
      </c>
      <c r="H213" s="22">
        <v>140</v>
      </c>
      <c r="I213" s="22">
        <v>53</v>
      </c>
      <c r="J213" s="22">
        <v>0</v>
      </c>
    </row>
    <row r="214" spans="1:10" s="21" customFormat="1" ht="12" customHeight="1" x14ac:dyDescent="0.2">
      <c r="A214" s="264" t="s">
        <v>235</v>
      </c>
      <c r="B214" s="264"/>
      <c r="C214" s="22">
        <v>13090</v>
      </c>
      <c r="D214" s="22">
        <v>9113</v>
      </c>
      <c r="E214" s="22">
        <v>3977</v>
      </c>
      <c r="F214" s="22">
        <v>2952</v>
      </c>
      <c r="G214" s="22">
        <v>958</v>
      </c>
      <c r="H214" s="22">
        <v>60</v>
      </c>
      <c r="I214" s="22">
        <v>7</v>
      </c>
      <c r="J214" s="22">
        <v>0</v>
      </c>
    </row>
    <row r="215" spans="1:10" s="21" customFormat="1" ht="12" customHeight="1" x14ac:dyDescent="0.2">
      <c r="A215" s="264" t="s">
        <v>236</v>
      </c>
      <c r="B215" s="264"/>
      <c r="C215" s="22">
        <v>5714</v>
      </c>
      <c r="D215" s="22">
        <v>5166</v>
      </c>
      <c r="E215" s="22">
        <v>548</v>
      </c>
      <c r="F215" s="22">
        <v>331</v>
      </c>
      <c r="G215" s="22">
        <v>216</v>
      </c>
      <c r="H215" s="22"/>
      <c r="I215" s="22">
        <v>1</v>
      </c>
      <c r="J215" s="22">
        <v>0</v>
      </c>
    </row>
    <row r="216" spans="1:10" s="21" customFormat="1" ht="12" customHeight="1" x14ac:dyDescent="0.2">
      <c r="A216" s="267" t="s">
        <v>237</v>
      </c>
      <c r="B216" s="267"/>
      <c r="C216" s="28">
        <v>9343</v>
      </c>
      <c r="D216" s="28">
        <v>6755</v>
      </c>
      <c r="E216" s="28">
        <v>2588</v>
      </c>
      <c r="F216" s="28">
        <v>1596</v>
      </c>
      <c r="G216" s="28">
        <v>900</v>
      </c>
      <c r="H216" s="28">
        <v>72</v>
      </c>
      <c r="I216" s="28">
        <v>20</v>
      </c>
      <c r="J216" s="28">
        <v>0</v>
      </c>
    </row>
    <row r="217" spans="1:10" s="21" customFormat="1" ht="12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spans="1:10" s="21" customFormat="1" ht="12" customHeight="1" x14ac:dyDescent="0.2">
      <c r="A218" s="263" t="s">
        <v>355</v>
      </c>
      <c r="B218" s="263"/>
      <c r="C218" s="20">
        <f>SUM(C219:C223)</f>
        <v>323907</v>
      </c>
      <c r="D218" s="20">
        <f t="shared" ref="D218:I218" si="41">SUM(D219:D223)</f>
        <v>232904</v>
      </c>
      <c r="E218" s="20">
        <f t="shared" si="41"/>
        <v>91003</v>
      </c>
      <c r="F218" s="20">
        <f t="shared" si="41"/>
        <v>55617</v>
      </c>
      <c r="G218" s="20">
        <f t="shared" si="41"/>
        <v>34265</v>
      </c>
      <c r="H218" s="20">
        <f t="shared" si="41"/>
        <v>906</v>
      </c>
      <c r="I218" s="20">
        <f t="shared" si="41"/>
        <v>180</v>
      </c>
      <c r="J218" s="20">
        <f>SUM(J219:J223)</f>
        <v>35</v>
      </c>
    </row>
    <row r="219" spans="1:10" s="21" customFormat="1" ht="12" customHeight="1" x14ac:dyDescent="0.2">
      <c r="A219" s="264" t="s">
        <v>356</v>
      </c>
      <c r="B219" s="264"/>
      <c r="C219" s="24">
        <f>SUM(C164,C165,C167,C168,C170,C169,C171,C173,C174,C175,C176,C177,C178,C179,C180,C184)</f>
        <v>51101</v>
      </c>
      <c r="D219" s="24">
        <f t="shared" ref="D219:I219" si="42">SUM(D164,D165,D167,D168,D170,D169,D171,D173,D174,D175,D176,D177,D178,D179,D180,D184)</f>
        <v>37948</v>
      </c>
      <c r="E219" s="24">
        <f t="shared" si="42"/>
        <v>13153</v>
      </c>
      <c r="F219" s="24">
        <f t="shared" si="42"/>
        <v>9268</v>
      </c>
      <c r="G219" s="24">
        <f t="shared" si="42"/>
        <v>3708</v>
      </c>
      <c r="H219" s="24">
        <f t="shared" si="42"/>
        <v>128</v>
      </c>
      <c r="I219" s="24">
        <f t="shared" si="42"/>
        <v>49</v>
      </c>
      <c r="J219" s="24">
        <f>SUM(J164,J165,J167,J168,J170,J169,J171,J173,J174,J175,J176,J177,J178,J179,J180,J184)</f>
        <v>0</v>
      </c>
    </row>
    <row r="220" spans="1:10" s="21" customFormat="1" ht="12" customHeight="1" x14ac:dyDescent="0.2">
      <c r="A220" s="264" t="s">
        <v>357</v>
      </c>
      <c r="B220" s="264"/>
      <c r="C220" s="24">
        <f>SUM(C58+C59+C60+C80+C61+C62+C63+C64+C65+C66+C67+C68)</f>
        <v>51668</v>
      </c>
      <c r="D220" s="24">
        <f t="shared" ref="D220:I220" si="43">SUM(D58+D59+D60+D80+D61+D62+D63+D64+D65+D66+D67+D68)</f>
        <v>38837</v>
      </c>
      <c r="E220" s="24">
        <f t="shared" si="43"/>
        <v>12831</v>
      </c>
      <c r="F220" s="24">
        <f t="shared" si="43"/>
        <v>6997</v>
      </c>
      <c r="G220" s="24">
        <f t="shared" si="43"/>
        <v>5587</v>
      </c>
      <c r="H220" s="24">
        <f t="shared" si="43"/>
        <v>206</v>
      </c>
      <c r="I220" s="24">
        <f t="shared" si="43"/>
        <v>41</v>
      </c>
      <c r="J220" s="24">
        <f>SUM(J58+J59+J60+J80+J61+J62+J63+J64+J65+J66+J67+J68)</f>
        <v>0</v>
      </c>
    </row>
    <row r="221" spans="1:10" s="21" customFormat="1" ht="12" customHeight="1" x14ac:dyDescent="0.2">
      <c r="A221" s="264" t="s">
        <v>358</v>
      </c>
      <c r="B221" s="264"/>
      <c r="C221" s="25">
        <f>SUM(C125+C127+C129+C130+C134+C138+C139+C140+C141+C143+C145+C148+C149+C154+C161+C146+C136)</f>
        <v>55528</v>
      </c>
      <c r="D221" s="25">
        <f t="shared" ref="D221:I221" si="44">SUM(D125+D127+D129+D130+D134+D138+D139+D140+D141+D143+D145+D148+D149+D154+D161+D146+D136)</f>
        <v>41706</v>
      </c>
      <c r="E221" s="25">
        <f t="shared" si="44"/>
        <v>13822</v>
      </c>
      <c r="F221" s="25">
        <f t="shared" si="44"/>
        <v>9498</v>
      </c>
      <c r="G221" s="25">
        <f t="shared" si="44"/>
        <v>4213</v>
      </c>
      <c r="H221" s="25">
        <f t="shared" si="44"/>
        <v>95</v>
      </c>
      <c r="I221" s="25">
        <f t="shared" si="44"/>
        <v>16</v>
      </c>
      <c r="J221" s="25">
        <f>SUM(J125+J127+J129+J130+J134+J138+J139+J140+J141+J143+J145+J148+J149+J154+J161+J146+J136)</f>
        <v>0</v>
      </c>
    </row>
    <row r="222" spans="1:10" s="21" customFormat="1" ht="12" customHeight="1" x14ac:dyDescent="0.2">
      <c r="A222" s="264" t="s">
        <v>359</v>
      </c>
      <c r="B222" s="264"/>
      <c r="C222" s="24">
        <f>SUM(C71+C76+C78+C82+C83+C85+C87+C89+C91+C92+C93+C95+C96+C94+C98+C106+C107+C110+C113+C114+C116+C118+C119+C120+C121+C86+C112+C73+C77+C79+C81+C88+C90+C97+C99+C100+C101+C105+C108+C109+C111+C115+C84+C122+C72+C74+C75+C102+C104+C117+C103)</f>
        <v>151037</v>
      </c>
      <c r="D222" s="24">
        <f t="shared" ref="D222:I222" si="45">SUM(D71+D76+D78+D82+D83+D85+D87+D89+D91+D92+D93+D95+D96+D94+D98+D106+D107+D110+D113+D114+D116+D118+D119+D120+D121+D86+D112+D73+D77+D79+D81+D88+D90+D97+D99+D100+D101+D105+D108+D109+D111+D115+D84+D122+D72+D74+D75+D102+D104+D117+D103)</f>
        <v>103379</v>
      </c>
      <c r="E222" s="24">
        <f t="shared" si="45"/>
        <v>47658</v>
      </c>
      <c r="F222" s="24">
        <f t="shared" si="45"/>
        <v>27458</v>
      </c>
      <c r="G222" s="24">
        <f t="shared" si="45"/>
        <v>19670</v>
      </c>
      <c r="H222" s="24">
        <f t="shared" si="45"/>
        <v>426</v>
      </c>
      <c r="I222" s="24">
        <f t="shared" si="45"/>
        <v>69</v>
      </c>
      <c r="J222" s="24">
        <f>SUM(J71+J76+J78+J82+J83+J85+J87+J89+J91+J92+J93+J95+J96+J94+J98+J106+J107+J110+J113+J114+J116+J118+J119+J120+J121+J86+J112+J73+J77+J79+J81+J88+J90+J97+J99+J100+J101+J105+J108+J109+J111+J115+J84+J122+J72+J74+J75+J102+J104+J117+J103)</f>
        <v>35</v>
      </c>
    </row>
    <row r="223" spans="1:10" s="21" customFormat="1" ht="12" customHeight="1" x14ac:dyDescent="0.2">
      <c r="A223" s="27" t="s">
        <v>360</v>
      </c>
      <c r="B223" s="27"/>
      <c r="C223" s="44">
        <f>C172+C185+C188+C151+C137+C166+C133+C131</f>
        <v>14573</v>
      </c>
      <c r="D223" s="44">
        <f t="shared" ref="D223:I223" si="46">D172+D185+D188+D151+D137+D166+D133+D131</f>
        <v>11034</v>
      </c>
      <c r="E223" s="44">
        <f t="shared" si="46"/>
        <v>3539</v>
      </c>
      <c r="F223" s="44">
        <f t="shared" si="46"/>
        <v>2396</v>
      </c>
      <c r="G223" s="44">
        <f t="shared" si="46"/>
        <v>1087</v>
      </c>
      <c r="H223" s="44">
        <f t="shared" si="46"/>
        <v>51</v>
      </c>
      <c r="I223" s="44">
        <f t="shared" si="46"/>
        <v>5</v>
      </c>
      <c r="J223" s="44">
        <f>J172+J185+J188+J151+J137+J166+J133+J131</f>
        <v>0</v>
      </c>
    </row>
    <row r="224" spans="1:10" s="21" customFormat="1" ht="12" customHeight="1" x14ac:dyDescent="0.2">
      <c r="A224" s="31"/>
      <c r="B224" s="31"/>
      <c r="C224" s="32"/>
      <c r="D224" s="32"/>
      <c r="E224" s="32"/>
      <c r="F224" s="32"/>
      <c r="G224" s="32"/>
      <c r="H224" s="32"/>
      <c r="I224" s="32"/>
      <c r="J224" s="32"/>
    </row>
    <row r="225" spans="1:10" s="19" customFormat="1" ht="12" customHeight="1" x14ac:dyDescent="0.2">
      <c r="A225" s="118" t="s">
        <v>361</v>
      </c>
      <c r="B225" s="118"/>
      <c r="C225" s="16">
        <f>C10-C218</f>
        <v>28039</v>
      </c>
      <c r="D225" s="16">
        <f t="shared" ref="D225:I225" si="47">D10-D218</f>
        <v>21384</v>
      </c>
      <c r="E225" s="16">
        <f t="shared" si="47"/>
        <v>6655</v>
      </c>
      <c r="F225" s="16">
        <f t="shared" si="47"/>
        <v>4433</v>
      </c>
      <c r="G225" s="16">
        <f t="shared" si="47"/>
        <v>2058</v>
      </c>
      <c r="H225" s="16">
        <f t="shared" si="47"/>
        <v>132</v>
      </c>
      <c r="I225" s="16">
        <f t="shared" si="47"/>
        <v>32</v>
      </c>
      <c r="J225" s="16">
        <f>J10-J218</f>
        <v>0</v>
      </c>
    </row>
    <row r="226" spans="1:10" s="33" customFormat="1" ht="12" customHeight="1" x14ac:dyDescent="0.15">
      <c r="A226" s="317"/>
      <c r="B226" s="317"/>
      <c r="C226" s="317"/>
      <c r="D226" s="317"/>
      <c r="E226" s="317"/>
      <c r="F226" s="317"/>
      <c r="G226" s="317"/>
      <c r="H226" s="317"/>
      <c r="I226" s="317"/>
      <c r="J226" s="317"/>
    </row>
    <row r="227" spans="1:10" s="34" customFormat="1" ht="12" customHeight="1" x14ac:dyDescent="0.2">
      <c r="A227" s="286" t="s">
        <v>349</v>
      </c>
      <c r="B227" s="286"/>
      <c r="C227" s="286"/>
      <c r="D227" s="286"/>
      <c r="E227" s="286"/>
      <c r="F227" s="286"/>
      <c r="G227" s="286"/>
      <c r="H227" s="286"/>
      <c r="I227" s="286"/>
      <c r="J227" s="286"/>
    </row>
    <row r="228" spans="1:10" s="34" customFormat="1" ht="12" customHeight="1" x14ac:dyDescent="0.2">
      <c r="A228" s="286" t="s">
        <v>362</v>
      </c>
      <c r="B228" s="286"/>
      <c r="C228" s="286"/>
      <c r="D228" s="286"/>
      <c r="E228" s="286"/>
      <c r="F228" s="286"/>
      <c r="G228" s="286"/>
      <c r="H228" s="286"/>
      <c r="I228" s="286"/>
      <c r="J228" s="286"/>
    </row>
    <row r="229" spans="1:10" s="54" customFormat="1" ht="5.25" customHeight="1" x14ac:dyDescent="0.15">
      <c r="A229" s="313"/>
      <c r="B229" s="313"/>
      <c r="C229" s="313"/>
      <c r="D229" s="313"/>
      <c r="E229" s="313"/>
      <c r="F229" s="313"/>
      <c r="G229" s="313"/>
      <c r="H229" s="313"/>
      <c r="I229" s="313"/>
      <c r="J229" s="313"/>
    </row>
    <row r="230" spans="1:10" s="35" customFormat="1" ht="11.25" x14ac:dyDescent="0.2">
      <c r="A230" s="286" t="s">
        <v>339</v>
      </c>
      <c r="B230" s="286"/>
      <c r="C230" s="286"/>
      <c r="D230" s="286"/>
      <c r="E230" s="286"/>
      <c r="F230" s="286"/>
      <c r="G230" s="286"/>
      <c r="H230" s="286"/>
      <c r="I230" s="286"/>
      <c r="J230" s="286"/>
    </row>
    <row r="231" spans="1:10" s="33" customFormat="1" ht="5.25" customHeight="1" x14ac:dyDescent="0.2">
      <c r="A231" s="314"/>
      <c r="B231" s="314"/>
      <c r="C231" s="314"/>
      <c r="D231" s="314"/>
      <c r="E231" s="314"/>
      <c r="F231" s="314"/>
      <c r="G231" s="314"/>
      <c r="H231" s="314"/>
      <c r="I231" s="314"/>
      <c r="J231" s="314"/>
    </row>
    <row r="232" spans="1:10" s="36" customFormat="1" ht="11.25" x14ac:dyDescent="0.2">
      <c r="A232" s="286" t="s">
        <v>354</v>
      </c>
      <c r="B232" s="286"/>
      <c r="C232" s="286"/>
      <c r="D232" s="286"/>
      <c r="E232" s="286"/>
      <c r="F232" s="286"/>
      <c r="G232" s="286"/>
      <c r="H232" s="286"/>
      <c r="I232" s="286"/>
      <c r="J232" s="286"/>
    </row>
    <row r="233" spans="1:10" s="36" customFormat="1" ht="11.25" x14ac:dyDescent="0.2">
      <c r="A233" s="286" t="s">
        <v>352</v>
      </c>
      <c r="B233" s="286"/>
      <c r="C233" s="286"/>
      <c r="D233" s="286"/>
      <c r="E233" s="286"/>
      <c r="F233" s="286"/>
      <c r="G233" s="286"/>
      <c r="H233" s="286"/>
      <c r="I233" s="286"/>
      <c r="J233" s="286"/>
    </row>
  </sheetData>
  <mergeCells count="199">
    <mergeCell ref="A229:J229"/>
    <mergeCell ref="A230:J230"/>
    <mergeCell ref="A231:J231"/>
    <mergeCell ref="A232:J232"/>
    <mergeCell ref="A233:J233"/>
    <mergeCell ref="A211:B211"/>
    <mergeCell ref="A212:B212"/>
    <mergeCell ref="A213:B213"/>
    <mergeCell ref="A214:B214"/>
    <mergeCell ref="A215:B215"/>
    <mergeCell ref="A216:B216"/>
    <mergeCell ref="A218:B218"/>
    <mergeCell ref="A219:B219"/>
    <mergeCell ref="A220:B220"/>
    <mergeCell ref="A221:B221"/>
    <mergeCell ref="A222:B222"/>
    <mergeCell ref="A228:J228"/>
    <mergeCell ref="A226:J226"/>
    <mergeCell ref="A227:J227"/>
    <mergeCell ref="A204:B204"/>
    <mergeCell ref="A205:B205"/>
    <mergeCell ref="A206:B206"/>
    <mergeCell ref="A208:B208"/>
    <mergeCell ref="A209:B209"/>
    <mergeCell ref="A210:B210"/>
    <mergeCell ref="A198:B198"/>
    <mergeCell ref="A199:B199"/>
    <mergeCell ref="A200:B200"/>
    <mergeCell ref="A201:B201"/>
    <mergeCell ref="A202:B202"/>
    <mergeCell ref="A203:B203"/>
    <mergeCell ref="A191:B191"/>
    <mergeCell ref="A192:B192"/>
    <mergeCell ref="A193:B193"/>
    <mergeCell ref="A195:B195"/>
    <mergeCell ref="A196:B196"/>
    <mergeCell ref="A197:B197"/>
    <mergeCell ref="A184:B184"/>
    <mergeCell ref="A185:B185"/>
    <mergeCell ref="A186:B186"/>
    <mergeCell ref="A187:B187"/>
    <mergeCell ref="A188:B188"/>
    <mergeCell ref="A190:B190"/>
    <mergeCell ref="A177:B177"/>
    <mergeCell ref="A178:B178"/>
    <mergeCell ref="A179:B179"/>
    <mergeCell ref="A180:B180"/>
    <mergeCell ref="A182:B182"/>
    <mergeCell ref="A183:B183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1:B161"/>
    <mergeCell ref="A163:B163"/>
    <mergeCell ref="A164:B164"/>
    <mergeCell ref="A151:B151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2:B122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8:B68"/>
    <mergeCell ref="A70:B70"/>
    <mergeCell ref="A71:B71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7:B57"/>
    <mergeCell ref="A58:B58"/>
    <mergeCell ref="A39:B39"/>
    <mergeCell ref="A40:B40"/>
    <mergeCell ref="A42:B42"/>
    <mergeCell ref="A43:B43"/>
    <mergeCell ref="A44:B44"/>
    <mergeCell ref="A47:B47"/>
    <mergeCell ref="A25:B25"/>
    <mergeCell ref="A26:B26"/>
    <mergeCell ref="A29:B29"/>
    <mergeCell ref="A32:B32"/>
    <mergeCell ref="A33:B33"/>
    <mergeCell ref="A38:B38"/>
    <mergeCell ref="A12:B12"/>
    <mergeCell ref="A13:B13"/>
    <mergeCell ref="A17:B17"/>
    <mergeCell ref="A21:B21"/>
    <mergeCell ref="A23:B23"/>
    <mergeCell ref="A24:B24"/>
    <mergeCell ref="A6:B6"/>
    <mergeCell ref="E6:J6"/>
    <mergeCell ref="A7:B7"/>
    <mergeCell ref="A8:B8"/>
    <mergeCell ref="A9:B9"/>
    <mergeCell ref="A10:B10"/>
    <mergeCell ref="A1:J1"/>
    <mergeCell ref="A2:J2"/>
    <mergeCell ref="A3:J3"/>
    <mergeCell ref="A4:J4"/>
    <mergeCell ref="A5:B5"/>
    <mergeCell ref="E5:J5"/>
  </mergeCells>
  <pageMargins left="0" right="0" top="0" bottom="0" header="0" footer="0"/>
  <pageSetup paperSize="9" scale="83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8"/>
  <dimension ref="A1:J230"/>
  <sheetViews>
    <sheetView workbookViewId="0">
      <selection sqref="A1:J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117" customFormat="1" ht="12.75" customHeight="1" x14ac:dyDescent="0.2">
      <c r="A2" s="289" t="s">
        <v>350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C12+C23+C38+C42+C52</f>
        <v>350363</v>
      </c>
      <c r="D10" s="16">
        <f t="shared" si="0"/>
        <v>253633</v>
      </c>
      <c r="E10" s="16">
        <f t="shared" si="0"/>
        <v>96730</v>
      </c>
      <c r="F10" s="16">
        <f t="shared" si="0"/>
        <v>60937</v>
      </c>
      <c r="G10" s="16">
        <f>G12+G23+G38+G42+G52</f>
        <v>34627</v>
      </c>
      <c r="H10" s="16">
        <f t="shared" si="0"/>
        <v>831</v>
      </c>
      <c r="I10" s="16">
        <f t="shared" si="0"/>
        <v>297</v>
      </c>
      <c r="J10" s="16">
        <f t="shared" si="0"/>
        <v>38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29544</v>
      </c>
      <c r="D12" s="20">
        <f t="shared" si="1"/>
        <v>22325</v>
      </c>
      <c r="E12" s="20">
        <f t="shared" si="1"/>
        <v>7219</v>
      </c>
      <c r="F12" s="20">
        <f t="shared" si="1"/>
        <v>5079</v>
      </c>
      <c r="G12" s="20">
        <f t="shared" si="1"/>
        <v>2002</v>
      </c>
      <c r="H12" s="20">
        <f t="shared" si="1"/>
        <v>103</v>
      </c>
      <c r="I12" s="20">
        <f t="shared" si="1"/>
        <v>35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9412</v>
      </c>
      <c r="D13" s="22">
        <f t="shared" si="2"/>
        <v>6788</v>
      </c>
      <c r="E13" s="22">
        <f t="shared" si="2"/>
        <v>2624</v>
      </c>
      <c r="F13" s="22">
        <f t="shared" si="2"/>
        <v>1666</v>
      </c>
      <c r="G13" s="22">
        <f t="shared" si="2"/>
        <v>895</v>
      </c>
      <c r="H13" s="22">
        <f t="shared" si="2"/>
        <v>51</v>
      </c>
      <c r="I13" s="22">
        <f t="shared" si="2"/>
        <v>12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C196+C197+C199+C204+C205</f>
        <v>3361</v>
      </c>
      <c r="D14" s="22">
        <f t="shared" si="3"/>
        <v>2577</v>
      </c>
      <c r="E14" s="22">
        <f t="shared" si="3"/>
        <v>784</v>
      </c>
      <c r="F14" s="22">
        <f t="shared" si="3"/>
        <v>442</v>
      </c>
      <c r="G14" s="22">
        <f t="shared" si="3"/>
        <v>315</v>
      </c>
      <c r="H14" s="22">
        <f t="shared" si="3"/>
        <v>20</v>
      </c>
      <c r="I14" s="22">
        <f t="shared" si="3"/>
        <v>7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+C200+C206</f>
        <v>3038</v>
      </c>
      <c r="D15" s="22">
        <f t="shared" si="4"/>
        <v>2371</v>
      </c>
      <c r="E15" s="22">
        <f t="shared" si="4"/>
        <v>667</v>
      </c>
      <c r="F15" s="22">
        <f t="shared" si="4"/>
        <v>489</v>
      </c>
      <c r="G15" s="22">
        <f t="shared" si="4"/>
        <v>176</v>
      </c>
      <c r="H15" s="22">
        <f t="shared" si="4"/>
        <v>2</v>
      </c>
      <c r="I15" s="22">
        <f t="shared" si="4"/>
        <v>0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C198+C201+C202+C203</f>
        <v>3013</v>
      </c>
      <c r="D16" s="22">
        <f t="shared" si="5"/>
        <v>1840</v>
      </c>
      <c r="E16" s="22">
        <f t="shared" si="5"/>
        <v>1173</v>
      </c>
      <c r="F16" s="22">
        <f t="shared" si="5"/>
        <v>735</v>
      </c>
      <c r="G16" s="22">
        <f t="shared" si="5"/>
        <v>404</v>
      </c>
      <c r="H16" s="22">
        <f t="shared" si="5"/>
        <v>29</v>
      </c>
      <c r="I16" s="22">
        <f t="shared" si="5"/>
        <v>5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5653</v>
      </c>
      <c r="D17" s="22">
        <f t="shared" si="6"/>
        <v>5140</v>
      </c>
      <c r="E17" s="22">
        <f t="shared" si="6"/>
        <v>513</v>
      </c>
      <c r="F17" s="22">
        <f t="shared" si="6"/>
        <v>321</v>
      </c>
      <c r="G17" s="22">
        <f t="shared" si="6"/>
        <v>188</v>
      </c>
      <c r="H17" s="22">
        <f t="shared" si="6"/>
        <v>1</v>
      </c>
      <c r="I17" s="22">
        <f t="shared" si="6"/>
        <v>3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+C192</f>
        <v>1726</v>
      </c>
      <c r="D18" s="22">
        <f t="shared" si="7"/>
        <v>1615</v>
      </c>
      <c r="E18" s="22">
        <f t="shared" si="7"/>
        <v>111</v>
      </c>
      <c r="F18" s="22">
        <f t="shared" si="7"/>
        <v>65</v>
      </c>
      <c r="G18" s="22">
        <f t="shared" si="7"/>
        <v>46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+C191</f>
        <v>1851</v>
      </c>
      <c r="D19" s="22">
        <f t="shared" si="8"/>
        <v>1624</v>
      </c>
      <c r="E19" s="22">
        <f t="shared" si="8"/>
        <v>227</v>
      </c>
      <c r="F19" s="22">
        <f t="shared" si="8"/>
        <v>159</v>
      </c>
      <c r="G19" s="22">
        <f t="shared" si="8"/>
        <v>67</v>
      </c>
      <c r="H19" s="22">
        <f t="shared" si="8"/>
        <v>0</v>
      </c>
      <c r="I19" s="22">
        <f t="shared" si="8"/>
        <v>1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C193</f>
        <v>2076</v>
      </c>
      <c r="D20" s="22">
        <f t="shared" si="9"/>
        <v>1901</v>
      </c>
      <c r="E20" s="22">
        <f t="shared" si="9"/>
        <v>175</v>
      </c>
      <c r="F20" s="22">
        <f t="shared" si="9"/>
        <v>97</v>
      </c>
      <c r="G20" s="22">
        <f t="shared" si="9"/>
        <v>75</v>
      </c>
      <c r="H20" s="22">
        <f t="shared" si="9"/>
        <v>1</v>
      </c>
      <c r="I20" s="22">
        <f t="shared" si="9"/>
        <v>2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C183+C184+C185+C169+C186+C187+C174+C188+C177</f>
        <v>14479</v>
      </c>
      <c r="D21" s="28">
        <f t="shared" si="10"/>
        <v>10397</v>
      </c>
      <c r="E21" s="28">
        <f t="shared" si="10"/>
        <v>4082</v>
      </c>
      <c r="F21" s="28">
        <f t="shared" si="10"/>
        <v>3092</v>
      </c>
      <c r="G21" s="28">
        <f t="shared" si="10"/>
        <v>919</v>
      </c>
      <c r="H21" s="28">
        <f t="shared" si="10"/>
        <v>51</v>
      </c>
      <c r="I21" s="28">
        <f t="shared" si="10"/>
        <v>20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342</v>
      </c>
      <c r="B23" s="263"/>
      <c r="C23" s="20">
        <f t="shared" ref="C23:J23" si="11">C24+C25+C26+C29+C32+C33</f>
        <v>69461</v>
      </c>
      <c r="D23" s="20">
        <f t="shared" si="11"/>
        <v>53256</v>
      </c>
      <c r="E23" s="20">
        <f t="shared" si="11"/>
        <v>16205</v>
      </c>
      <c r="F23" s="20">
        <f t="shared" si="11"/>
        <v>11324</v>
      </c>
      <c r="G23" s="20">
        <f t="shared" si="11"/>
        <v>4742</v>
      </c>
      <c r="H23" s="20">
        <f t="shared" si="11"/>
        <v>111</v>
      </c>
      <c r="I23" s="20">
        <f t="shared" si="11"/>
        <v>28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C125+C127+C128+C138+C139+C141+C143+C145+C146</f>
        <v>41506</v>
      </c>
      <c r="D24" s="22">
        <f t="shared" si="12"/>
        <v>29864</v>
      </c>
      <c r="E24" s="22">
        <f t="shared" si="12"/>
        <v>11642</v>
      </c>
      <c r="F24" s="22">
        <f t="shared" si="12"/>
        <v>8099</v>
      </c>
      <c r="G24" s="22">
        <f t="shared" si="12"/>
        <v>3452</v>
      </c>
      <c r="H24" s="22">
        <f t="shared" si="12"/>
        <v>82</v>
      </c>
      <c r="I24" s="22">
        <f t="shared" si="12"/>
        <v>9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C133</f>
        <v>5060</v>
      </c>
      <c r="D25" s="22">
        <f t="shared" si="13"/>
        <v>4000</v>
      </c>
      <c r="E25" s="22">
        <f t="shared" si="13"/>
        <v>1060</v>
      </c>
      <c r="F25" s="22">
        <f t="shared" si="13"/>
        <v>706</v>
      </c>
      <c r="G25" s="22">
        <f t="shared" si="13"/>
        <v>353</v>
      </c>
      <c r="H25" s="22">
        <f t="shared" si="13"/>
        <v>1</v>
      </c>
      <c r="I25" s="22">
        <f t="shared" si="13"/>
        <v>0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12388</v>
      </c>
      <c r="D26" s="22">
        <f t="shared" si="14"/>
        <v>10039</v>
      </c>
      <c r="E26" s="22">
        <f t="shared" si="14"/>
        <v>2349</v>
      </c>
      <c r="F26" s="22">
        <f t="shared" si="14"/>
        <v>1720</v>
      </c>
      <c r="G26" s="22">
        <f t="shared" si="14"/>
        <v>585</v>
      </c>
      <c r="H26" s="22">
        <f t="shared" si="14"/>
        <v>27</v>
      </c>
      <c r="I26" s="22">
        <f t="shared" si="14"/>
        <v>17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C126+C130+C132+C140+C147+C151</f>
        <v>892</v>
      </c>
      <c r="D27" s="22">
        <f t="shared" si="15"/>
        <v>829</v>
      </c>
      <c r="E27" s="22">
        <f t="shared" si="15"/>
        <v>63</v>
      </c>
      <c r="F27" s="22">
        <f t="shared" si="15"/>
        <v>41</v>
      </c>
      <c r="G27" s="22">
        <f t="shared" si="15"/>
        <v>22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C131+C134+C137+C148</f>
        <v>11496</v>
      </c>
      <c r="D28" s="22">
        <f t="shared" si="16"/>
        <v>9210</v>
      </c>
      <c r="E28" s="22">
        <f t="shared" si="16"/>
        <v>2286</v>
      </c>
      <c r="F28" s="22">
        <f t="shared" si="16"/>
        <v>1679</v>
      </c>
      <c r="G28" s="22">
        <f t="shared" si="16"/>
        <v>563</v>
      </c>
      <c r="H28" s="22">
        <f t="shared" si="16"/>
        <v>27</v>
      </c>
      <c r="I28" s="22">
        <f t="shared" si="16"/>
        <v>17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3771</v>
      </c>
      <c r="D29" s="22">
        <f t="shared" si="17"/>
        <v>3344</v>
      </c>
      <c r="E29" s="22">
        <f t="shared" si="17"/>
        <v>427</v>
      </c>
      <c r="F29" s="22">
        <f t="shared" si="17"/>
        <v>297</v>
      </c>
      <c r="G29" s="22">
        <f t="shared" si="17"/>
        <v>130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+C129</f>
        <v>1162</v>
      </c>
      <c r="D30" s="22">
        <f t="shared" si="18"/>
        <v>1050</v>
      </c>
      <c r="E30" s="22">
        <f t="shared" si="18"/>
        <v>112</v>
      </c>
      <c r="F30" s="22">
        <f t="shared" si="18"/>
        <v>89</v>
      </c>
      <c r="G30" s="22">
        <f t="shared" si="18"/>
        <v>23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C149</f>
        <v>2609</v>
      </c>
      <c r="D31" s="22">
        <f t="shared" si="19"/>
        <v>2294</v>
      </c>
      <c r="E31" s="22">
        <f t="shared" si="19"/>
        <v>315</v>
      </c>
      <c r="F31" s="22">
        <f t="shared" si="19"/>
        <v>208</v>
      </c>
      <c r="G31" s="22">
        <f t="shared" si="19"/>
        <v>107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C135+C136+C142+C144+C150</f>
        <v>715</v>
      </c>
      <c r="D32" s="22">
        <f t="shared" si="20"/>
        <v>663</v>
      </c>
      <c r="E32" s="22">
        <f t="shared" si="20"/>
        <v>52</v>
      </c>
      <c r="F32" s="22">
        <f t="shared" si="20"/>
        <v>41</v>
      </c>
      <c r="G32" s="22">
        <f t="shared" si="20"/>
        <v>11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343</v>
      </c>
      <c r="B33" s="264"/>
      <c r="C33" s="22">
        <f t="shared" ref="C33:J33" si="21">C34+C35+C36</f>
        <v>6021</v>
      </c>
      <c r="D33" s="22">
        <f t="shared" si="21"/>
        <v>5346</v>
      </c>
      <c r="E33" s="22">
        <f t="shared" si="21"/>
        <v>675</v>
      </c>
      <c r="F33" s="22">
        <f t="shared" si="21"/>
        <v>461</v>
      </c>
      <c r="G33" s="22">
        <f t="shared" si="21"/>
        <v>211</v>
      </c>
      <c r="H33" s="22">
        <f t="shared" si="21"/>
        <v>1</v>
      </c>
      <c r="I33" s="22">
        <f t="shared" si="21"/>
        <v>2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C159</f>
        <v>563</v>
      </c>
      <c r="D34" s="22">
        <f t="shared" si="22"/>
        <v>530</v>
      </c>
      <c r="E34" s="22">
        <f t="shared" si="22"/>
        <v>33</v>
      </c>
      <c r="F34" s="22">
        <f t="shared" si="22"/>
        <v>16</v>
      </c>
      <c r="G34" s="22">
        <f t="shared" si="22"/>
        <v>17</v>
      </c>
      <c r="H34" s="22">
        <f t="shared" si="22"/>
        <v>0</v>
      </c>
      <c r="I34" s="22">
        <f t="shared" si="22"/>
        <v>0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C155+C156+C157+C160</f>
        <v>212</v>
      </c>
      <c r="D35" s="22">
        <f t="shared" si="23"/>
        <v>182</v>
      </c>
      <c r="E35" s="22">
        <f t="shared" si="23"/>
        <v>30</v>
      </c>
      <c r="F35" s="22">
        <f t="shared" si="23"/>
        <v>17</v>
      </c>
      <c r="G35" s="22">
        <f t="shared" si="23"/>
        <v>12</v>
      </c>
      <c r="H35" s="22">
        <f t="shared" si="23"/>
        <v>1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344</v>
      </c>
      <c r="C36" s="28">
        <f t="shared" ref="C36:J36" si="24">C154+C158+C161</f>
        <v>5246</v>
      </c>
      <c r="D36" s="28">
        <f t="shared" si="24"/>
        <v>4634</v>
      </c>
      <c r="E36" s="28">
        <f t="shared" si="24"/>
        <v>612</v>
      </c>
      <c r="F36" s="28">
        <f t="shared" si="24"/>
        <v>428</v>
      </c>
      <c r="G36" s="28">
        <f t="shared" si="24"/>
        <v>182</v>
      </c>
      <c r="H36" s="28">
        <f t="shared" si="24"/>
        <v>0</v>
      </c>
      <c r="I36" s="28">
        <f t="shared" si="24"/>
        <v>2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48943</v>
      </c>
      <c r="D38" s="20">
        <f t="shared" si="25"/>
        <v>35650</v>
      </c>
      <c r="E38" s="20">
        <f t="shared" si="25"/>
        <v>13293</v>
      </c>
      <c r="F38" s="20">
        <f t="shared" si="25"/>
        <v>9518</v>
      </c>
      <c r="G38" s="20">
        <f t="shared" si="25"/>
        <v>3626</v>
      </c>
      <c r="H38" s="20">
        <f t="shared" si="25"/>
        <v>105</v>
      </c>
      <c r="I38" s="20">
        <f t="shared" si="25"/>
        <v>44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C164+C165+C167+C168+C170+C173+C175+C176+C179+C180</f>
        <v>43081</v>
      </c>
      <c r="D39" s="22">
        <f t="shared" si="26"/>
        <v>31619</v>
      </c>
      <c r="E39" s="22">
        <f t="shared" si="26"/>
        <v>11462</v>
      </c>
      <c r="F39" s="22">
        <f t="shared" si="26"/>
        <v>8202</v>
      </c>
      <c r="G39" s="22">
        <f t="shared" si="26"/>
        <v>3138</v>
      </c>
      <c r="H39" s="22">
        <f t="shared" si="26"/>
        <v>86</v>
      </c>
      <c r="I39" s="22">
        <f t="shared" si="26"/>
        <v>36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+C166+C171+C178</f>
        <v>5862</v>
      </c>
      <c r="D40" s="28">
        <f t="shared" si="27"/>
        <v>4031</v>
      </c>
      <c r="E40" s="28">
        <f t="shared" si="27"/>
        <v>1831</v>
      </c>
      <c r="F40" s="28">
        <f t="shared" si="27"/>
        <v>1316</v>
      </c>
      <c r="G40" s="28">
        <f t="shared" si="27"/>
        <v>488</v>
      </c>
      <c r="H40" s="28">
        <f t="shared" si="27"/>
        <v>19</v>
      </c>
      <c r="I40" s="28">
        <f t="shared" si="27"/>
        <v>8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C43+C44+C47</f>
        <v>146129</v>
      </c>
      <c r="D42" s="20">
        <f t="shared" si="28"/>
        <v>100060</v>
      </c>
      <c r="E42" s="20">
        <f t="shared" si="28"/>
        <v>46069</v>
      </c>
      <c r="F42" s="20">
        <f t="shared" si="28"/>
        <v>27147</v>
      </c>
      <c r="G42" s="20">
        <f t="shared" si="28"/>
        <v>18389</v>
      </c>
      <c r="H42" s="20">
        <f t="shared" si="28"/>
        <v>374</v>
      </c>
      <c r="I42" s="20">
        <f t="shared" si="28"/>
        <v>122</v>
      </c>
      <c r="J42" s="20">
        <f t="shared" si="28"/>
        <v>37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C82+C83+C86+C87+C89+C91+C93+C94+C98+C100+C105+C106+C110+C113+C116+C118+C121+C122</f>
        <v>99296</v>
      </c>
      <c r="D43" s="22">
        <f t="shared" si="29"/>
        <v>62835</v>
      </c>
      <c r="E43" s="22">
        <f t="shared" si="29"/>
        <v>36461</v>
      </c>
      <c r="F43" s="22">
        <f t="shared" si="29"/>
        <v>20695</v>
      </c>
      <c r="G43" s="22">
        <f t="shared" si="29"/>
        <v>15284</v>
      </c>
      <c r="H43" s="22">
        <f t="shared" si="29"/>
        <v>344</v>
      </c>
      <c r="I43" s="22">
        <f t="shared" si="29"/>
        <v>101</v>
      </c>
      <c r="J43" s="22">
        <f t="shared" si="29"/>
        <v>37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</f>
        <v>23333</v>
      </c>
      <c r="D44" s="22">
        <f t="shared" si="30"/>
        <v>19160</v>
      </c>
      <c r="E44" s="22">
        <f t="shared" si="30"/>
        <v>4173</v>
      </c>
      <c r="F44" s="22">
        <f t="shared" si="30"/>
        <v>2844</v>
      </c>
      <c r="G44" s="22">
        <f t="shared" si="30"/>
        <v>1304</v>
      </c>
      <c r="H44" s="22">
        <f t="shared" si="30"/>
        <v>20</v>
      </c>
      <c r="I44" s="22">
        <f t="shared" si="30"/>
        <v>5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C76+C103+C92+C172+C96+C101+C119</f>
        <v>13519</v>
      </c>
      <c r="D45" s="22">
        <f t="shared" si="31"/>
        <v>10591</v>
      </c>
      <c r="E45" s="22">
        <f t="shared" si="31"/>
        <v>2928</v>
      </c>
      <c r="F45" s="22">
        <f t="shared" si="31"/>
        <v>2010</v>
      </c>
      <c r="G45" s="22">
        <f t="shared" si="31"/>
        <v>894</v>
      </c>
      <c r="H45" s="22">
        <f t="shared" si="31"/>
        <v>19</v>
      </c>
      <c r="I45" s="22">
        <f t="shared" si="31"/>
        <v>5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C84+C109+C111</f>
        <v>9814</v>
      </c>
      <c r="D46" s="22">
        <f t="shared" si="32"/>
        <v>8569</v>
      </c>
      <c r="E46" s="22">
        <f t="shared" si="32"/>
        <v>1245</v>
      </c>
      <c r="F46" s="22">
        <f t="shared" si="32"/>
        <v>834</v>
      </c>
      <c r="G46" s="22">
        <f t="shared" si="32"/>
        <v>410</v>
      </c>
      <c r="H46" s="22">
        <f t="shared" si="32"/>
        <v>1</v>
      </c>
      <c r="I46" s="22">
        <f t="shared" si="32"/>
        <v>0</v>
      </c>
      <c r="J46" s="22">
        <f t="shared" si="32"/>
        <v>0</v>
      </c>
    </row>
    <row r="47" spans="1:10" s="21" customFormat="1" ht="12" customHeight="1" x14ac:dyDescent="0.2">
      <c r="A47" s="264" t="s">
        <v>44</v>
      </c>
      <c r="B47" s="264"/>
      <c r="C47" s="22">
        <f t="shared" ref="C47:J47" si="33">C48+C49+C50</f>
        <v>23500</v>
      </c>
      <c r="D47" s="22">
        <f t="shared" si="33"/>
        <v>18065</v>
      </c>
      <c r="E47" s="22">
        <f t="shared" si="33"/>
        <v>5435</v>
      </c>
      <c r="F47" s="22">
        <f t="shared" si="33"/>
        <v>3608</v>
      </c>
      <c r="G47" s="22">
        <f t="shared" si="33"/>
        <v>1801</v>
      </c>
      <c r="H47" s="22">
        <f t="shared" si="33"/>
        <v>10</v>
      </c>
      <c r="I47" s="22">
        <f t="shared" si="33"/>
        <v>16</v>
      </c>
      <c r="J47" s="22">
        <f t="shared" si="33"/>
        <v>0</v>
      </c>
    </row>
    <row r="48" spans="1:10" s="21" customFormat="1" ht="12" customHeight="1" x14ac:dyDescent="0.2">
      <c r="A48" s="30"/>
      <c r="B48" s="24" t="s">
        <v>45</v>
      </c>
      <c r="C48" s="22">
        <f t="shared" ref="C48:J48" si="34">+C72+C73+C81+C102</f>
        <v>2792</v>
      </c>
      <c r="D48" s="22">
        <f t="shared" si="34"/>
        <v>2464</v>
      </c>
      <c r="E48" s="22">
        <f t="shared" si="34"/>
        <v>328</v>
      </c>
      <c r="F48" s="22">
        <f t="shared" si="34"/>
        <v>210</v>
      </c>
      <c r="G48" s="22">
        <f t="shared" si="34"/>
        <v>118</v>
      </c>
      <c r="H48" s="22">
        <f t="shared" si="34"/>
        <v>0</v>
      </c>
      <c r="I48" s="22">
        <f t="shared" si="34"/>
        <v>0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46</v>
      </c>
      <c r="C49" s="22">
        <f t="shared" ref="C49:J49" si="35">C75+C77+C88+C90+C104+C108+C114+C117</f>
        <v>6234</v>
      </c>
      <c r="D49" s="22">
        <f t="shared" si="35"/>
        <v>5110</v>
      </c>
      <c r="E49" s="22">
        <f t="shared" si="35"/>
        <v>1124</v>
      </c>
      <c r="F49" s="22">
        <f t="shared" si="35"/>
        <v>722</v>
      </c>
      <c r="G49" s="22">
        <f t="shared" si="35"/>
        <v>395</v>
      </c>
      <c r="H49" s="22">
        <f t="shared" si="35"/>
        <v>0</v>
      </c>
      <c r="I49" s="22">
        <f t="shared" si="35"/>
        <v>7</v>
      </c>
      <c r="J49" s="22">
        <f t="shared" si="35"/>
        <v>0</v>
      </c>
    </row>
    <row r="50" spans="1:10" s="21" customFormat="1" ht="12" customHeight="1" x14ac:dyDescent="0.2">
      <c r="A50" s="30"/>
      <c r="B50" s="30" t="s">
        <v>47</v>
      </c>
      <c r="C50" s="28">
        <f t="shared" ref="C50:J50" si="36">C71+C78+C85+C95+C107+C112+C120</f>
        <v>14474</v>
      </c>
      <c r="D50" s="28">
        <f t="shared" si="36"/>
        <v>10491</v>
      </c>
      <c r="E50" s="28">
        <f t="shared" si="36"/>
        <v>3983</v>
      </c>
      <c r="F50" s="28">
        <f t="shared" si="36"/>
        <v>2676</v>
      </c>
      <c r="G50" s="28">
        <f t="shared" si="36"/>
        <v>1288</v>
      </c>
      <c r="H50" s="28">
        <f t="shared" si="36"/>
        <v>10</v>
      </c>
      <c r="I50" s="28">
        <f t="shared" si="36"/>
        <v>9</v>
      </c>
      <c r="J50" s="28">
        <f t="shared" si="36"/>
        <v>0</v>
      </c>
    </row>
    <row r="51" spans="1:10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 s="19" customFormat="1" ht="12" customHeight="1" x14ac:dyDescent="0.2">
      <c r="A52" s="263" t="s">
        <v>48</v>
      </c>
      <c r="B52" s="263"/>
      <c r="C52" s="20">
        <f t="shared" ref="C52:J52" si="37">C53+C54+C55</f>
        <v>56286</v>
      </c>
      <c r="D52" s="20">
        <f t="shared" si="37"/>
        <v>42342</v>
      </c>
      <c r="E52" s="20">
        <f t="shared" si="37"/>
        <v>13944</v>
      </c>
      <c r="F52" s="20">
        <f t="shared" si="37"/>
        <v>7869</v>
      </c>
      <c r="G52" s="20">
        <f t="shared" si="37"/>
        <v>5868</v>
      </c>
      <c r="H52" s="20">
        <f t="shared" si="37"/>
        <v>138</v>
      </c>
      <c r="I52" s="20">
        <f t="shared" si="37"/>
        <v>68</v>
      </c>
      <c r="J52" s="20">
        <f t="shared" si="37"/>
        <v>1</v>
      </c>
    </row>
    <row r="53" spans="1:10" s="21" customFormat="1" ht="12" customHeight="1" x14ac:dyDescent="0.2">
      <c r="A53" s="264" t="s">
        <v>49</v>
      </c>
      <c r="B53" s="264"/>
      <c r="C53" s="22">
        <f t="shared" ref="C53:J53" si="38">C58+C61+C64+C68</f>
        <v>19669</v>
      </c>
      <c r="D53" s="22">
        <f t="shared" si="38"/>
        <v>13331</v>
      </c>
      <c r="E53" s="22">
        <f t="shared" si="38"/>
        <v>6338</v>
      </c>
      <c r="F53" s="22">
        <f t="shared" si="38"/>
        <v>3551</v>
      </c>
      <c r="G53" s="22">
        <f t="shared" si="38"/>
        <v>2630</v>
      </c>
      <c r="H53" s="22">
        <f t="shared" si="38"/>
        <v>103</v>
      </c>
      <c r="I53" s="22">
        <f t="shared" si="38"/>
        <v>54</v>
      </c>
      <c r="J53" s="22">
        <f t="shared" si="38"/>
        <v>0</v>
      </c>
    </row>
    <row r="54" spans="1:10" s="21" customFormat="1" ht="12" customHeight="1" x14ac:dyDescent="0.2">
      <c r="A54" s="264" t="s">
        <v>50</v>
      </c>
      <c r="B54" s="264"/>
      <c r="C54" s="22">
        <f t="shared" ref="C54:J54" si="39">C74+C79+C80+C62+C63+C97+C99+C65+C66+C115+C67</f>
        <v>32537</v>
      </c>
      <c r="D54" s="22">
        <f t="shared" si="39"/>
        <v>25408</v>
      </c>
      <c r="E54" s="22">
        <f t="shared" si="39"/>
        <v>7129</v>
      </c>
      <c r="F54" s="22">
        <f t="shared" si="39"/>
        <v>4016</v>
      </c>
      <c r="G54" s="22">
        <f t="shared" si="39"/>
        <v>3063</v>
      </c>
      <c r="H54" s="22">
        <f t="shared" si="39"/>
        <v>35</v>
      </c>
      <c r="I54" s="22">
        <f t="shared" si="39"/>
        <v>14</v>
      </c>
      <c r="J54" s="22">
        <f t="shared" si="39"/>
        <v>1</v>
      </c>
    </row>
    <row r="55" spans="1:10" s="21" customFormat="1" ht="12" customHeight="1" x14ac:dyDescent="0.2">
      <c r="A55" s="267" t="s">
        <v>51</v>
      </c>
      <c r="B55" s="267"/>
      <c r="C55" s="28">
        <f t="shared" ref="C55:J55" si="40">C60+C59</f>
        <v>4080</v>
      </c>
      <c r="D55" s="28">
        <f t="shared" si="40"/>
        <v>3603</v>
      </c>
      <c r="E55" s="28">
        <f t="shared" si="40"/>
        <v>477</v>
      </c>
      <c r="F55" s="28">
        <f t="shared" si="40"/>
        <v>302</v>
      </c>
      <c r="G55" s="28">
        <f t="shared" si="40"/>
        <v>175</v>
      </c>
      <c r="H55" s="28">
        <f t="shared" si="40"/>
        <v>0</v>
      </c>
      <c r="I55" s="28">
        <f t="shared" si="40"/>
        <v>0</v>
      </c>
      <c r="J55" s="28">
        <f t="shared" si="40"/>
        <v>0</v>
      </c>
    </row>
    <row r="56" spans="1:10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</row>
    <row r="57" spans="1:10" s="21" customFormat="1" ht="12" customHeight="1" x14ac:dyDescent="0.2">
      <c r="A57" s="269" t="s">
        <v>52</v>
      </c>
      <c r="B57" s="269"/>
      <c r="C57" s="18">
        <v>51073</v>
      </c>
      <c r="D57" s="18">
        <v>38478</v>
      </c>
      <c r="E57" s="18">
        <f>SUM(F57:J57)</f>
        <v>12595</v>
      </c>
      <c r="F57" s="18">
        <v>7137</v>
      </c>
      <c r="G57" s="18">
        <v>5253</v>
      </c>
      <c r="H57" s="18">
        <v>138</v>
      </c>
      <c r="I57" s="18">
        <v>67</v>
      </c>
      <c r="J57" s="18">
        <v>0</v>
      </c>
    </row>
    <row r="58" spans="1:10" s="21" customFormat="1" ht="12" customHeight="1" x14ac:dyDescent="0.2">
      <c r="A58" s="264" t="s">
        <v>53</v>
      </c>
      <c r="B58" s="264"/>
      <c r="C58" s="22">
        <v>3396</v>
      </c>
      <c r="D58" s="22">
        <v>2556</v>
      </c>
      <c r="E58" s="22">
        <f t="shared" ref="E58:E68" si="41">SUM(F58:J58)</f>
        <v>840</v>
      </c>
      <c r="F58" s="22">
        <v>513</v>
      </c>
      <c r="G58" s="22">
        <v>327</v>
      </c>
      <c r="H58" s="22">
        <v>0</v>
      </c>
      <c r="I58" s="22">
        <v>0</v>
      </c>
      <c r="J58" s="22">
        <v>0</v>
      </c>
    </row>
    <row r="59" spans="1:10" s="21" customFormat="1" ht="12" customHeight="1" x14ac:dyDescent="0.2">
      <c r="A59" s="264" t="s">
        <v>55</v>
      </c>
      <c r="B59" s="264"/>
      <c r="C59" s="22">
        <v>2001</v>
      </c>
      <c r="D59" s="22">
        <v>1784</v>
      </c>
      <c r="E59" s="22">
        <f t="shared" si="41"/>
        <v>217</v>
      </c>
      <c r="F59" s="22">
        <v>138</v>
      </c>
      <c r="G59" s="22">
        <v>79</v>
      </c>
      <c r="H59" s="22">
        <v>0</v>
      </c>
      <c r="I59" s="22">
        <v>0</v>
      </c>
      <c r="J59" s="22">
        <v>0</v>
      </c>
    </row>
    <row r="60" spans="1:10" s="21" customFormat="1" ht="12" customHeight="1" x14ac:dyDescent="0.2">
      <c r="A60" s="264" t="s">
        <v>56</v>
      </c>
      <c r="B60" s="264"/>
      <c r="C60" s="22">
        <v>2079</v>
      </c>
      <c r="D60" s="22">
        <v>1819</v>
      </c>
      <c r="E60" s="22">
        <f t="shared" si="41"/>
        <v>260</v>
      </c>
      <c r="F60" s="22">
        <v>164</v>
      </c>
      <c r="G60" s="22">
        <v>96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57</v>
      </c>
      <c r="B61" s="264"/>
      <c r="C61" s="22">
        <v>8202</v>
      </c>
      <c r="D61" s="22">
        <v>4835</v>
      </c>
      <c r="E61" s="22">
        <f t="shared" si="41"/>
        <v>3367</v>
      </c>
      <c r="F61" s="22">
        <v>1760</v>
      </c>
      <c r="G61" s="22">
        <v>1463</v>
      </c>
      <c r="H61" s="22">
        <v>93</v>
      </c>
      <c r="I61" s="22">
        <v>51</v>
      </c>
      <c r="J61" s="22">
        <v>0</v>
      </c>
    </row>
    <row r="62" spans="1:10" s="21" customFormat="1" ht="12" customHeight="1" x14ac:dyDescent="0.2">
      <c r="A62" s="264" t="s">
        <v>58</v>
      </c>
      <c r="B62" s="264"/>
      <c r="C62" s="22">
        <v>2824</v>
      </c>
      <c r="D62" s="22">
        <v>2257</v>
      </c>
      <c r="E62" s="22">
        <f t="shared" si="41"/>
        <v>567</v>
      </c>
      <c r="F62" s="22">
        <v>339</v>
      </c>
      <c r="G62" s="22">
        <v>226</v>
      </c>
      <c r="H62" s="22">
        <v>1</v>
      </c>
      <c r="I62" s="22">
        <v>1</v>
      </c>
      <c r="J62" s="22">
        <v>0</v>
      </c>
    </row>
    <row r="63" spans="1:10" s="21" customFormat="1" ht="12" customHeight="1" x14ac:dyDescent="0.2">
      <c r="A63" s="264" t="s">
        <v>60</v>
      </c>
      <c r="B63" s="264"/>
      <c r="C63" s="22">
        <v>14929</v>
      </c>
      <c r="D63" s="22">
        <v>11640</v>
      </c>
      <c r="E63" s="22">
        <f t="shared" si="41"/>
        <v>3289</v>
      </c>
      <c r="F63" s="22">
        <v>1747</v>
      </c>
      <c r="G63" s="22">
        <v>1527</v>
      </c>
      <c r="H63" s="22">
        <v>14</v>
      </c>
      <c r="I63" s="22">
        <v>1</v>
      </c>
      <c r="J63" s="22">
        <v>0</v>
      </c>
    </row>
    <row r="64" spans="1:10" s="21" customFormat="1" ht="12" customHeight="1" x14ac:dyDescent="0.2">
      <c r="A64" s="264" t="s">
        <v>62</v>
      </c>
      <c r="B64" s="264"/>
      <c r="C64" s="22">
        <v>4683</v>
      </c>
      <c r="D64" s="22">
        <v>3519</v>
      </c>
      <c r="E64" s="22">
        <f t="shared" si="41"/>
        <v>1164</v>
      </c>
      <c r="F64" s="22">
        <v>752</v>
      </c>
      <c r="G64" s="22">
        <v>408</v>
      </c>
      <c r="H64" s="22">
        <v>3</v>
      </c>
      <c r="I64" s="22">
        <v>1</v>
      </c>
      <c r="J64" s="22">
        <v>0</v>
      </c>
    </row>
    <row r="65" spans="1:10" s="21" customFormat="1" ht="12" customHeight="1" x14ac:dyDescent="0.2">
      <c r="A65" s="264" t="s">
        <v>63</v>
      </c>
      <c r="B65" s="264"/>
      <c r="C65" s="22">
        <v>2431</v>
      </c>
      <c r="D65" s="22">
        <v>2027</v>
      </c>
      <c r="E65" s="22">
        <f t="shared" si="41"/>
        <v>404</v>
      </c>
      <c r="F65" s="22">
        <v>269</v>
      </c>
      <c r="G65" s="22">
        <v>109</v>
      </c>
      <c r="H65" s="22">
        <v>18</v>
      </c>
      <c r="I65" s="22">
        <v>8</v>
      </c>
      <c r="J65" s="22">
        <v>0</v>
      </c>
    </row>
    <row r="66" spans="1:10" s="21" customFormat="1" ht="12" customHeight="1" x14ac:dyDescent="0.2">
      <c r="A66" s="264" t="s">
        <v>64</v>
      </c>
      <c r="B66" s="264"/>
      <c r="C66" s="22">
        <v>2600</v>
      </c>
      <c r="D66" s="22">
        <v>2132</v>
      </c>
      <c r="E66" s="22">
        <f t="shared" si="41"/>
        <v>468</v>
      </c>
      <c r="F66" s="22">
        <v>297</v>
      </c>
      <c r="G66" s="22">
        <v>168</v>
      </c>
      <c r="H66" s="22">
        <v>0</v>
      </c>
      <c r="I66" s="22">
        <v>3</v>
      </c>
      <c r="J66" s="22">
        <v>0</v>
      </c>
    </row>
    <row r="67" spans="1:10" s="21" customFormat="1" ht="12" customHeight="1" x14ac:dyDescent="0.2">
      <c r="A67" s="264" t="s">
        <v>65</v>
      </c>
      <c r="B67" s="264"/>
      <c r="C67" s="22">
        <v>4540</v>
      </c>
      <c r="D67" s="22">
        <v>3488</v>
      </c>
      <c r="E67" s="22">
        <f t="shared" si="41"/>
        <v>1052</v>
      </c>
      <c r="F67" s="22">
        <v>632</v>
      </c>
      <c r="G67" s="22">
        <v>418</v>
      </c>
      <c r="H67" s="22">
        <v>2</v>
      </c>
      <c r="I67" s="22">
        <v>0</v>
      </c>
      <c r="J67" s="22">
        <v>0</v>
      </c>
    </row>
    <row r="68" spans="1:10" s="21" customFormat="1" ht="12" customHeight="1" x14ac:dyDescent="0.2">
      <c r="A68" s="267" t="s">
        <v>66</v>
      </c>
      <c r="B68" s="267"/>
      <c r="C68" s="28">
        <v>3388</v>
      </c>
      <c r="D68" s="28">
        <v>2421</v>
      </c>
      <c r="E68" s="28">
        <f t="shared" si="41"/>
        <v>967</v>
      </c>
      <c r="F68" s="28">
        <v>526</v>
      </c>
      <c r="G68" s="28">
        <v>432</v>
      </c>
      <c r="H68" s="28">
        <v>7</v>
      </c>
      <c r="I68" s="28">
        <v>2</v>
      </c>
      <c r="J68" s="28">
        <v>0</v>
      </c>
    </row>
    <row r="69" spans="1:10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 s="21" customFormat="1" ht="12" customHeight="1" x14ac:dyDescent="0.2">
      <c r="A70" s="263" t="s">
        <v>67</v>
      </c>
      <c r="B70" s="263"/>
      <c r="C70" s="20">
        <v>150948</v>
      </c>
      <c r="D70" s="20">
        <v>103564</v>
      </c>
      <c r="E70" s="20">
        <f t="shared" ref="E70:E122" si="42">SUM(F70:J70)</f>
        <v>47384</v>
      </c>
      <c r="F70" s="20">
        <v>27858</v>
      </c>
      <c r="G70" s="20">
        <v>18991</v>
      </c>
      <c r="H70" s="20">
        <v>374</v>
      </c>
      <c r="I70" s="20">
        <v>123</v>
      </c>
      <c r="J70" s="20">
        <v>38</v>
      </c>
    </row>
    <row r="71" spans="1:10" s="21" customFormat="1" ht="12" customHeight="1" x14ac:dyDescent="0.2">
      <c r="A71" s="264" t="s">
        <v>68</v>
      </c>
      <c r="B71" s="264"/>
      <c r="C71" s="22">
        <v>4380</v>
      </c>
      <c r="D71" s="22">
        <v>2892</v>
      </c>
      <c r="E71" s="22">
        <f t="shared" si="42"/>
        <v>1488</v>
      </c>
      <c r="F71" s="22">
        <v>1036</v>
      </c>
      <c r="G71" s="22">
        <v>447</v>
      </c>
      <c r="H71" s="22">
        <v>5</v>
      </c>
      <c r="I71" s="22">
        <v>0</v>
      </c>
      <c r="J71" s="22">
        <v>0</v>
      </c>
    </row>
    <row r="72" spans="1:10" s="21" customFormat="1" ht="12" customHeight="1" x14ac:dyDescent="0.2">
      <c r="A72" s="264" t="s">
        <v>69</v>
      </c>
      <c r="B72" s="264"/>
      <c r="C72" s="22">
        <v>1400</v>
      </c>
      <c r="D72" s="22">
        <v>1294</v>
      </c>
      <c r="E72" s="22">
        <f t="shared" si="42"/>
        <v>106</v>
      </c>
      <c r="F72" s="22">
        <v>70</v>
      </c>
      <c r="G72" s="22">
        <v>36</v>
      </c>
      <c r="H72" s="22">
        <v>0</v>
      </c>
      <c r="I72" s="22">
        <v>0</v>
      </c>
      <c r="J72" s="22">
        <v>0</v>
      </c>
    </row>
    <row r="73" spans="1:10" s="21" customFormat="1" ht="12" customHeight="1" x14ac:dyDescent="0.2">
      <c r="A73" s="264" t="s">
        <v>70</v>
      </c>
      <c r="B73" s="264"/>
      <c r="C73" s="22">
        <v>340</v>
      </c>
      <c r="D73" s="22">
        <v>290</v>
      </c>
      <c r="E73" s="22">
        <f t="shared" si="42"/>
        <v>50</v>
      </c>
      <c r="F73" s="22">
        <v>36</v>
      </c>
      <c r="G73" s="22">
        <v>14</v>
      </c>
      <c r="H73" s="22">
        <v>0</v>
      </c>
      <c r="I73" s="22">
        <v>0</v>
      </c>
      <c r="J73" s="22">
        <v>0</v>
      </c>
    </row>
    <row r="74" spans="1:10" s="21" customFormat="1" ht="12" customHeight="1" x14ac:dyDescent="0.2">
      <c r="A74" s="264" t="s">
        <v>71</v>
      </c>
      <c r="B74" s="264"/>
      <c r="C74" s="22">
        <v>1010</v>
      </c>
      <c r="D74" s="22">
        <v>866</v>
      </c>
      <c r="E74" s="22">
        <f t="shared" si="42"/>
        <v>144</v>
      </c>
      <c r="F74" s="22">
        <v>85</v>
      </c>
      <c r="G74" s="22">
        <v>58</v>
      </c>
      <c r="H74" s="22">
        <v>0</v>
      </c>
      <c r="I74" s="22">
        <v>1</v>
      </c>
      <c r="J74" s="22">
        <v>0</v>
      </c>
    </row>
    <row r="75" spans="1:10" s="21" customFormat="1" ht="12" customHeight="1" x14ac:dyDescent="0.2">
      <c r="A75" s="264" t="s">
        <v>72</v>
      </c>
      <c r="B75" s="264"/>
      <c r="C75" s="22">
        <v>306</v>
      </c>
      <c r="D75" s="22">
        <v>254</v>
      </c>
      <c r="E75" s="22">
        <f t="shared" si="42"/>
        <v>52</v>
      </c>
      <c r="F75" s="22">
        <v>36</v>
      </c>
      <c r="G75" s="22">
        <v>16</v>
      </c>
      <c r="H75" s="22">
        <v>0</v>
      </c>
      <c r="I75" s="22">
        <v>0</v>
      </c>
      <c r="J75" s="22">
        <v>0</v>
      </c>
    </row>
    <row r="76" spans="1:10" s="21" customFormat="1" ht="12" customHeight="1" x14ac:dyDescent="0.2">
      <c r="A76" s="264" t="s">
        <v>73</v>
      </c>
      <c r="B76" s="264"/>
      <c r="C76" s="22">
        <v>1533</v>
      </c>
      <c r="D76" s="22">
        <v>1260</v>
      </c>
      <c r="E76" s="22">
        <f t="shared" si="42"/>
        <v>273</v>
      </c>
      <c r="F76" s="22">
        <v>213</v>
      </c>
      <c r="G76" s="22">
        <v>60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74</v>
      </c>
      <c r="B77" s="264"/>
      <c r="C77" s="22">
        <v>637</v>
      </c>
      <c r="D77" s="22">
        <v>557</v>
      </c>
      <c r="E77" s="22">
        <f t="shared" si="42"/>
        <v>80</v>
      </c>
      <c r="F77" s="22">
        <v>53</v>
      </c>
      <c r="G77" s="22">
        <v>24</v>
      </c>
      <c r="H77" s="22">
        <v>0</v>
      </c>
      <c r="I77" s="22">
        <v>3</v>
      </c>
      <c r="J77" s="22">
        <v>0</v>
      </c>
    </row>
    <row r="78" spans="1:10" s="21" customFormat="1" ht="12" customHeight="1" x14ac:dyDescent="0.2">
      <c r="A78" s="264" t="s">
        <v>75</v>
      </c>
      <c r="B78" s="264"/>
      <c r="C78" s="22">
        <v>2571</v>
      </c>
      <c r="D78" s="22">
        <v>2038</v>
      </c>
      <c r="E78" s="22">
        <f t="shared" si="42"/>
        <v>533</v>
      </c>
      <c r="F78" s="22">
        <v>309</v>
      </c>
      <c r="G78" s="22">
        <v>218</v>
      </c>
      <c r="H78" s="22">
        <v>4</v>
      </c>
      <c r="I78" s="22">
        <v>2</v>
      </c>
      <c r="J78" s="22">
        <v>0</v>
      </c>
    </row>
    <row r="79" spans="1:10" s="21" customFormat="1" ht="12" customHeight="1" x14ac:dyDescent="0.2">
      <c r="A79" s="264" t="s">
        <v>77</v>
      </c>
      <c r="B79" s="264"/>
      <c r="C79" s="22">
        <v>893</v>
      </c>
      <c r="D79" s="22">
        <v>541</v>
      </c>
      <c r="E79" s="22">
        <f t="shared" si="42"/>
        <v>352</v>
      </c>
      <c r="F79" s="22">
        <v>168</v>
      </c>
      <c r="G79" s="22">
        <v>183</v>
      </c>
      <c r="H79" s="22">
        <v>0</v>
      </c>
      <c r="I79" s="22">
        <v>0</v>
      </c>
      <c r="J79" s="22">
        <v>1</v>
      </c>
    </row>
    <row r="80" spans="1:10" s="21" customFormat="1" ht="12" customHeight="1" x14ac:dyDescent="0.2">
      <c r="A80" s="264" t="s">
        <v>79</v>
      </c>
      <c r="B80" s="264"/>
      <c r="C80" s="22">
        <v>489</v>
      </c>
      <c r="D80" s="22">
        <v>395</v>
      </c>
      <c r="E80" s="22">
        <f t="shared" si="42"/>
        <v>94</v>
      </c>
      <c r="F80" s="22">
        <v>33</v>
      </c>
      <c r="G80" s="22">
        <v>61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80</v>
      </c>
      <c r="B81" s="264"/>
      <c r="C81" s="22">
        <v>745</v>
      </c>
      <c r="D81" s="22">
        <v>622</v>
      </c>
      <c r="E81" s="22">
        <f t="shared" si="42"/>
        <v>123</v>
      </c>
      <c r="F81" s="22">
        <v>74</v>
      </c>
      <c r="G81" s="22">
        <v>49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81</v>
      </c>
      <c r="B82" s="264"/>
      <c r="C82" s="22">
        <v>1534</v>
      </c>
      <c r="D82" s="22">
        <v>1105</v>
      </c>
      <c r="E82" s="22">
        <f t="shared" si="42"/>
        <v>429</v>
      </c>
      <c r="F82" s="22">
        <v>322</v>
      </c>
      <c r="G82" s="22">
        <v>107</v>
      </c>
      <c r="H82" s="22">
        <v>0</v>
      </c>
      <c r="I82" s="22">
        <v>0</v>
      </c>
      <c r="J82" s="22">
        <v>0</v>
      </c>
    </row>
    <row r="83" spans="1:10" s="21" customFormat="1" ht="12" customHeight="1" x14ac:dyDescent="0.2">
      <c r="A83" s="264" t="s">
        <v>84</v>
      </c>
      <c r="B83" s="264"/>
      <c r="C83" s="22">
        <v>2113</v>
      </c>
      <c r="D83" s="22">
        <v>1638</v>
      </c>
      <c r="E83" s="22">
        <f t="shared" si="42"/>
        <v>475</v>
      </c>
      <c r="F83" s="22">
        <v>279</v>
      </c>
      <c r="G83" s="22">
        <v>188</v>
      </c>
      <c r="H83" s="22">
        <v>8</v>
      </c>
      <c r="I83" s="22">
        <v>0</v>
      </c>
      <c r="J83" s="22">
        <v>0</v>
      </c>
    </row>
    <row r="84" spans="1:10" s="21" customFormat="1" ht="12" customHeight="1" x14ac:dyDescent="0.2">
      <c r="A84" s="264" t="s">
        <v>85</v>
      </c>
      <c r="B84" s="264"/>
      <c r="C84" s="22">
        <v>6493</v>
      </c>
      <c r="D84" s="22">
        <v>5782</v>
      </c>
      <c r="E84" s="22">
        <f t="shared" si="42"/>
        <v>711</v>
      </c>
      <c r="F84" s="22">
        <v>483</v>
      </c>
      <c r="G84" s="22">
        <v>227</v>
      </c>
      <c r="H84" s="22">
        <v>1</v>
      </c>
      <c r="I84" s="22">
        <v>0</v>
      </c>
      <c r="J84" s="22">
        <v>0</v>
      </c>
    </row>
    <row r="85" spans="1:10" s="21" customFormat="1" ht="12" customHeight="1" x14ac:dyDescent="0.2">
      <c r="A85" s="264" t="s">
        <v>88</v>
      </c>
      <c r="B85" s="264"/>
      <c r="C85" s="22">
        <v>4296</v>
      </c>
      <c r="D85" s="22">
        <v>3077</v>
      </c>
      <c r="E85" s="22">
        <f t="shared" si="42"/>
        <v>1219</v>
      </c>
      <c r="F85" s="22">
        <v>868</v>
      </c>
      <c r="G85" s="22">
        <v>343</v>
      </c>
      <c r="H85" s="22">
        <v>1</v>
      </c>
      <c r="I85" s="22">
        <v>7</v>
      </c>
      <c r="J85" s="22">
        <v>0</v>
      </c>
    </row>
    <row r="86" spans="1:10" s="21" customFormat="1" ht="12" customHeight="1" x14ac:dyDescent="0.2">
      <c r="A86" s="264" t="s">
        <v>91</v>
      </c>
      <c r="B86" s="264"/>
      <c r="C86" s="22">
        <v>4670</v>
      </c>
      <c r="D86" s="22">
        <v>3184</v>
      </c>
      <c r="E86" s="22">
        <f t="shared" si="42"/>
        <v>1486</v>
      </c>
      <c r="F86" s="22">
        <v>718</v>
      </c>
      <c r="G86" s="22">
        <v>768</v>
      </c>
      <c r="H86" s="22">
        <v>0</v>
      </c>
      <c r="I86" s="22">
        <v>0</v>
      </c>
      <c r="J86" s="22">
        <v>0</v>
      </c>
    </row>
    <row r="87" spans="1:10" s="21" customFormat="1" ht="12" customHeight="1" x14ac:dyDescent="0.2">
      <c r="A87" s="264" t="s">
        <v>92</v>
      </c>
      <c r="B87" s="264"/>
      <c r="C87" s="22">
        <v>2091</v>
      </c>
      <c r="D87" s="22">
        <v>1839</v>
      </c>
      <c r="E87" s="22">
        <f t="shared" si="42"/>
        <v>252</v>
      </c>
      <c r="F87" s="22">
        <v>180</v>
      </c>
      <c r="G87" s="22">
        <v>72</v>
      </c>
      <c r="H87" s="22">
        <v>0</v>
      </c>
      <c r="I87" s="22">
        <v>0</v>
      </c>
      <c r="J87" s="22">
        <v>0</v>
      </c>
    </row>
    <row r="88" spans="1:10" s="21" customFormat="1" ht="12" customHeight="1" x14ac:dyDescent="0.2">
      <c r="A88" s="264" t="s">
        <v>93</v>
      </c>
      <c r="B88" s="264"/>
      <c r="C88" s="22">
        <v>900</v>
      </c>
      <c r="D88" s="22">
        <v>744</v>
      </c>
      <c r="E88" s="22">
        <f t="shared" si="42"/>
        <v>156</v>
      </c>
      <c r="F88" s="22">
        <v>95</v>
      </c>
      <c r="G88" s="22">
        <v>61</v>
      </c>
      <c r="H88" s="22">
        <v>0</v>
      </c>
      <c r="I88" s="22">
        <v>0</v>
      </c>
      <c r="J88" s="22">
        <v>0</v>
      </c>
    </row>
    <row r="89" spans="1:10" s="21" customFormat="1" ht="12" customHeight="1" x14ac:dyDescent="0.2">
      <c r="A89" s="264" t="s">
        <v>94</v>
      </c>
      <c r="B89" s="264"/>
      <c r="C89" s="22">
        <v>1316</v>
      </c>
      <c r="D89" s="22">
        <v>1129</v>
      </c>
      <c r="E89" s="22">
        <f t="shared" si="42"/>
        <v>187</v>
      </c>
      <c r="F89" s="22">
        <v>113</v>
      </c>
      <c r="G89" s="22">
        <v>74</v>
      </c>
      <c r="H89" s="22">
        <v>0</v>
      </c>
      <c r="I89" s="22">
        <v>0</v>
      </c>
      <c r="J89" s="22">
        <v>0</v>
      </c>
    </row>
    <row r="90" spans="1:10" s="21" customFormat="1" ht="12" customHeight="1" x14ac:dyDescent="0.2">
      <c r="A90" s="264" t="s">
        <v>95</v>
      </c>
      <c r="B90" s="264"/>
      <c r="C90" s="22">
        <v>559</v>
      </c>
      <c r="D90" s="22">
        <v>470</v>
      </c>
      <c r="E90" s="22">
        <f t="shared" si="42"/>
        <v>89</v>
      </c>
      <c r="F90" s="22">
        <v>54</v>
      </c>
      <c r="G90" s="22">
        <v>31</v>
      </c>
      <c r="H90" s="22">
        <v>0</v>
      </c>
      <c r="I90" s="22">
        <v>4</v>
      </c>
      <c r="J90" s="22">
        <v>0</v>
      </c>
    </row>
    <row r="91" spans="1:10" s="21" customFormat="1" ht="12" customHeight="1" x14ac:dyDescent="0.2">
      <c r="A91" s="264" t="s">
        <v>96</v>
      </c>
      <c r="B91" s="264"/>
      <c r="C91" s="22">
        <v>524</v>
      </c>
      <c r="D91" s="22">
        <v>358</v>
      </c>
      <c r="E91" s="22">
        <f t="shared" si="42"/>
        <v>166</v>
      </c>
      <c r="F91" s="22">
        <v>127</v>
      </c>
      <c r="G91" s="22">
        <v>39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97</v>
      </c>
      <c r="B92" s="264"/>
      <c r="C92" s="22">
        <v>1277</v>
      </c>
      <c r="D92" s="22">
        <v>1045</v>
      </c>
      <c r="E92" s="22">
        <f t="shared" si="42"/>
        <v>232</v>
      </c>
      <c r="F92" s="22">
        <v>152</v>
      </c>
      <c r="G92" s="22">
        <v>80</v>
      </c>
      <c r="H92" s="22">
        <v>0</v>
      </c>
      <c r="I92" s="22">
        <v>0</v>
      </c>
      <c r="J92" s="22">
        <v>0</v>
      </c>
    </row>
    <row r="93" spans="1:10" s="21" customFormat="1" ht="12" customHeight="1" x14ac:dyDescent="0.2">
      <c r="A93" s="264" t="s">
        <v>98</v>
      </c>
      <c r="B93" s="264"/>
      <c r="C93" s="22">
        <v>1777</v>
      </c>
      <c r="D93" s="22">
        <v>1045</v>
      </c>
      <c r="E93" s="22">
        <f t="shared" si="42"/>
        <v>732</v>
      </c>
      <c r="F93" s="22">
        <v>573</v>
      </c>
      <c r="G93" s="22">
        <v>132</v>
      </c>
      <c r="H93" s="22">
        <v>26</v>
      </c>
      <c r="I93" s="22">
        <v>1</v>
      </c>
      <c r="J93" s="22">
        <v>0</v>
      </c>
    </row>
    <row r="94" spans="1:10" s="21" customFormat="1" ht="12" customHeight="1" x14ac:dyDescent="0.2">
      <c r="A94" s="264" t="s">
        <v>99</v>
      </c>
      <c r="B94" s="264"/>
      <c r="C94" s="22">
        <v>63668</v>
      </c>
      <c r="D94" s="22">
        <v>39450</v>
      </c>
      <c r="E94" s="22">
        <f t="shared" si="42"/>
        <v>24218</v>
      </c>
      <c r="F94" s="22">
        <v>13723</v>
      </c>
      <c r="G94" s="22">
        <v>10173</v>
      </c>
      <c r="H94" s="22">
        <v>218</v>
      </c>
      <c r="I94" s="22">
        <v>71</v>
      </c>
      <c r="J94" s="22">
        <v>33</v>
      </c>
    </row>
    <row r="95" spans="1:10" s="21" customFormat="1" ht="12" customHeight="1" x14ac:dyDescent="0.2">
      <c r="A95" s="264" t="s">
        <v>100</v>
      </c>
      <c r="B95" s="264"/>
      <c r="C95" s="22">
        <v>1516</v>
      </c>
      <c r="D95" s="22">
        <v>1170</v>
      </c>
      <c r="E95" s="22">
        <f t="shared" si="42"/>
        <v>346</v>
      </c>
      <c r="F95" s="22">
        <v>217</v>
      </c>
      <c r="G95" s="22">
        <v>129</v>
      </c>
      <c r="H95" s="22">
        <v>0</v>
      </c>
      <c r="I95" s="22">
        <v>0</v>
      </c>
      <c r="J95" s="22">
        <v>0</v>
      </c>
    </row>
    <row r="96" spans="1:10" s="21" customFormat="1" ht="12" customHeight="1" x14ac:dyDescent="0.2">
      <c r="A96" s="264" t="s">
        <v>101</v>
      </c>
      <c r="B96" s="264"/>
      <c r="C96" s="22">
        <v>1303</v>
      </c>
      <c r="D96" s="22">
        <v>1065</v>
      </c>
      <c r="E96" s="22">
        <f t="shared" si="42"/>
        <v>238</v>
      </c>
      <c r="F96" s="22">
        <v>167</v>
      </c>
      <c r="G96" s="22">
        <v>66</v>
      </c>
      <c r="H96" s="22">
        <v>5</v>
      </c>
      <c r="I96" s="22">
        <v>0</v>
      </c>
      <c r="J96" s="22">
        <v>0</v>
      </c>
    </row>
    <row r="97" spans="1:10" s="21" customFormat="1" ht="12" customHeight="1" x14ac:dyDescent="0.2">
      <c r="A97" s="264" t="s">
        <v>102</v>
      </c>
      <c r="B97" s="264"/>
      <c r="C97" s="22">
        <v>597</v>
      </c>
      <c r="D97" s="22">
        <v>405</v>
      </c>
      <c r="E97" s="22">
        <f t="shared" si="42"/>
        <v>192</v>
      </c>
      <c r="F97" s="22">
        <v>106</v>
      </c>
      <c r="G97" s="22">
        <v>86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103</v>
      </c>
      <c r="B98" s="264"/>
      <c r="C98" s="22">
        <v>6121</v>
      </c>
      <c r="D98" s="22">
        <v>3571</v>
      </c>
      <c r="E98" s="22">
        <f t="shared" si="42"/>
        <v>2550</v>
      </c>
      <c r="F98" s="22">
        <v>1571</v>
      </c>
      <c r="G98" s="22">
        <v>931</v>
      </c>
      <c r="H98" s="22">
        <v>38</v>
      </c>
      <c r="I98" s="22">
        <v>6</v>
      </c>
      <c r="J98" s="22">
        <v>4</v>
      </c>
    </row>
    <row r="99" spans="1:10" s="21" customFormat="1" ht="12" customHeight="1" x14ac:dyDescent="0.2">
      <c r="A99" s="264" t="s">
        <v>104</v>
      </c>
      <c r="B99" s="264"/>
      <c r="C99" s="22">
        <v>1435</v>
      </c>
      <c r="D99" s="22">
        <v>1023</v>
      </c>
      <c r="E99" s="22">
        <f t="shared" si="42"/>
        <v>412</v>
      </c>
      <c r="F99" s="22">
        <v>253</v>
      </c>
      <c r="G99" s="22">
        <v>159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105</v>
      </c>
      <c r="B100" s="264"/>
      <c r="C100" s="22">
        <v>1779</v>
      </c>
      <c r="D100" s="22">
        <v>1131</v>
      </c>
      <c r="E100" s="22">
        <f t="shared" si="42"/>
        <v>648</v>
      </c>
      <c r="F100" s="22">
        <v>379</v>
      </c>
      <c r="G100" s="22">
        <v>269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106</v>
      </c>
      <c r="B101" s="264"/>
      <c r="C101" s="22">
        <v>1334</v>
      </c>
      <c r="D101" s="22">
        <v>1118</v>
      </c>
      <c r="E101" s="22">
        <f t="shared" si="42"/>
        <v>216</v>
      </c>
      <c r="F101" s="22">
        <v>160</v>
      </c>
      <c r="G101" s="22">
        <v>56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107</v>
      </c>
      <c r="B102" s="264"/>
      <c r="C102" s="22">
        <v>307</v>
      </c>
      <c r="D102" s="22">
        <v>258</v>
      </c>
      <c r="E102" s="22">
        <f t="shared" si="42"/>
        <v>49</v>
      </c>
      <c r="F102" s="22">
        <v>30</v>
      </c>
      <c r="G102" s="22">
        <v>19</v>
      </c>
      <c r="H102" s="22">
        <v>0</v>
      </c>
      <c r="I102" s="22">
        <v>0</v>
      </c>
      <c r="J102" s="22">
        <v>0</v>
      </c>
    </row>
    <row r="103" spans="1:10" s="21" customFormat="1" ht="12" customHeight="1" x14ac:dyDescent="0.2">
      <c r="A103" s="264" t="s">
        <v>336</v>
      </c>
      <c r="B103" s="264"/>
      <c r="C103" s="22">
        <v>4607</v>
      </c>
      <c r="D103" s="22">
        <v>3521</v>
      </c>
      <c r="E103" s="22">
        <f t="shared" si="42"/>
        <v>1086</v>
      </c>
      <c r="F103" s="22">
        <v>622</v>
      </c>
      <c r="G103" s="22">
        <v>462</v>
      </c>
      <c r="H103" s="22">
        <v>2</v>
      </c>
      <c r="I103" s="22">
        <v>0</v>
      </c>
      <c r="J103" s="22">
        <v>0</v>
      </c>
    </row>
    <row r="104" spans="1:10" s="21" customFormat="1" ht="12" customHeight="1" x14ac:dyDescent="0.2">
      <c r="A104" s="264" t="s">
        <v>108</v>
      </c>
      <c r="B104" s="264"/>
      <c r="C104" s="22">
        <v>895</v>
      </c>
      <c r="D104" s="22">
        <v>697</v>
      </c>
      <c r="E104" s="22">
        <f t="shared" si="42"/>
        <v>198</v>
      </c>
      <c r="F104" s="22">
        <v>127</v>
      </c>
      <c r="G104" s="22">
        <v>71</v>
      </c>
      <c r="H104" s="22">
        <v>0</v>
      </c>
      <c r="I104" s="22">
        <v>0</v>
      </c>
      <c r="J104" s="22">
        <v>0</v>
      </c>
    </row>
    <row r="105" spans="1:10" s="21" customFormat="1" ht="12" customHeight="1" x14ac:dyDescent="0.2">
      <c r="A105" s="264" t="s">
        <v>109</v>
      </c>
      <c r="B105" s="264"/>
      <c r="C105" s="22">
        <v>731</v>
      </c>
      <c r="D105" s="22">
        <v>420</v>
      </c>
      <c r="E105" s="22">
        <f t="shared" si="42"/>
        <v>311</v>
      </c>
      <c r="F105" s="22">
        <v>165</v>
      </c>
      <c r="G105" s="22">
        <v>146</v>
      </c>
      <c r="H105" s="22">
        <v>0</v>
      </c>
      <c r="I105" s="22">
        <v>0</v>
      </c>
      <c r="J105" s="22">
        <v>0</v>
      </c>
    </row>
    <row r="106" spans="1:10" s="21" customFormat="1" ht="12" customHeight="1" x14ac:dyDescent="0.2">
      <c r="A106" s="264" t="s">
        <v>110</v>
      </c>
      <c r="B106" s="264"/>
      <c r="C106" s="22">
        <v>839</v>
      </c>
      <c r="D106" s="22">
        <v>653</v>
      </c>
      <c r="E106" s="22">
        <f t="shared" si="42"/>
        <v>186</v>
      </c>
      <c r="F106" s="22">
        <v>116</v>
      </c>
      <c r="G106" s="22">
        <v>70</v>
      </c>
      <c r="H106" s="22">
        <v>0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111</v>
      </c>
      <c r="B107" s="264"/>
      <c r="C107" s="22">
        <v>334</v>
      </c>
      <c r="D107" s="22">
        <v>292</v>
      </c>
      <c r="E107" s="22">
        <f t="shared" si="42"/>
        <v>42</v>
      </c>
      <c r="F107" s="22">
        <v>27</v>
      </c>
      <c r="G107" s="22">
        <v>15</v>
      </c>
      <c r="H107" s="22">
        <v>0</v>
      </c>
      <c r="I107" s="22">
        <v>0</v>
      </c>
      <c r="J107" s="22">
        <v>0</v>
      </c>
    </row>
    <row r="108" spans="1:10" s="21" customFormat="1" ht="12" customHeight="1" x14ac:dyDescent="0.2">
      <c r="A108" s="264" t="s">
        <v>112</v>
      </c>
      <c r="B108" s="264"/>
      <c r="C108" s="22">
        <v>819</v>
      </c>
      <c r="D108" s="22">
        <v>720</v>
      </c>
      <c r="E108" s="22">
        <f t="shared" si="42"/>
        <v>99</v>
      </c>
      <c r="F108" s="22">
        <v>61</v>
      </c>
      <c r="G108" s="22">
        <v>38</v>
      </c>
      <c r="H108" s="22">
        <v>0</v>
      </c>
      <c r="I108" s="22">
        <v>0</v>
      </c>
      <c r="J108" s="22">
        <v>0</v>
      </c>
    </row>
    <row r="109" spans="1:10" s="21" customFormat="1" ht="12" customHeight="1" x14ac:dyDescent="0.2">
      <c r="A109" s="264" t="s">
        <v>113</v>
      </c>
      <c r="B109" s="264"/>
      <c r="C109" s="22">
        <v>1461</v>
      </c>
      <c r="D109" s="22">
        <v>1182</v>
      </c>
      <c r="E109" s="22">
        <f t="shared" si="42"/>
        <v>279</v>
      </c>
      <c r="F109" s="22">
        <v>169</v>
      </c>
      <c r="G109" s="22">
        <v>110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114</v>
      </c>
      <c r="B110" s="264"/>
      <c r="C110" s="22">
        <v>4038</v>
      </c>
      <c r="D110" s="22">
        <v>1786</v>
      </c>
      <c r="E110" s="22">
        <f t="shared" si="42"/>
        <v>2252</v>
      </c>
      <c r="F110" s="22">
        <v>1083</v>
      </c>
      <c r="G110" s="22">
        <v>1107</v>
      </c>
      <c r="H110" s="22">
        <v>41</v>
      </c>
      <c r="I110" s="22">
        <v>21</v>
      </c>
      <c r="J110" s="22">
        <v>0</v>
      </c>
    </row>
    <row r="111" spans="1:10" s="21" customFormat="1" ht="12" customHeight="1" x14ac:dyDescent="0.2">
      <c r="A111" s="264" t="s">
        <v>115</v>
      </c>
      <c r="B111" s="264"/>
      <c r="C111" s="22">
        <v>1860</v>
      </c>
      <c r="D111" s="22">
        <v>1605</v>
      </c>
      <c r="E111" s="22">
        <f t="shared" si="42"/>
        <v>255</v>
      </c>
      <c r="F111" s="22">
        <v>182</v>
      </c>
      <c r="G111" s="22">
        <v>73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116</v>
      </c>
      <c r="B112" s="264"/>
      <c r="C112" s="22">
        <v>796</v>
      </c>
      <c r="D112" s="22">
        <v>558</v>
      </c>
      <c r="E112" s="22">
        <f t="shared" si="42"/>
        <v>238</v>
      </c>
      <c r="F112" s="22">
        <v>149</v>
      </c>
      <c r="G112" s="22">
        <v>89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117</v>
      </c>
      <c r="B113" s="264"/>
      <c r="C113" s="22">
        <v>1623</v>
      </c>
      <c r="D113" s="22">
        <v>1237</v>
      </c>
      <c r="E113" s="22">
        <f t="shared" si="42"/>
        <v>386</v>
      </c>
      <c r="F113" s="22">
        <v>215</v>
      </c>
      <c r="G113" s="22">
        <v>170</v>
      </c>
      <c r="H113" s="22">
        <v>1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118</v>
      </c>
      <c r="B114" s="264"/>
      <c r="C114" s="22">
        <v>1436</v>
      </c>
      <c r="D114" s="22">
        <v>1119</v>
      </c>
      <c r="E114" s="22">
        <f t="shared" si="42"/>
        <v>317</v>
      </c>
      <c r="F114" s="22">
        <v>197</v>
      </c>
      <c r="G114" s="22">
        <v>120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120</v>
      </c>
      <c r="B115" s="264"/>
      <c r="C115" s="22">
        <v>789</v>
      </c>
      <c r="D115" s="22">
        <v>634</v>
      </c>
      <c r="E115" s="22">
        <f t="shared" si="42"/>
        <v>155</v>
      </c>
      <c r="F115" s="22">
        <v>87</v>
      </c>
      <c r="G115" s="22">
        <v>68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121</v>
      </c>
      <c r="B116" s="264"/>
      <c r="C116" s="22">
        <v>2205</v>
      </c>
      <c r="D116" s="22">
        <v>1443</v>
      </c>
      <c r="E116" s="22">
        <f t="shared" si="42"/>
        <v>762</v>
      </c>
      <c r="F116" s="22">
        <v>445</v>
      </c>
      <c r="G116" s="22">
        <v>311</v>
      </c>
      <c r="H116" s="22">
        <v>6</v>
      </c>
      <c r="I116" s="22">
        <v>0</v>
      </c>
      <c r="J116" s="22">
        <v>0</v>
      </c>
    </row>
    <row r="117" spans="1:10" s="21" customFormat="1" ht="12" customHeight="1" x14ac:dyDescent="0.2">
      <c r="A117" s="264" t="s">
        <v>122</v>
      </c>
      <c r="B117" s="264"/>
      <c r="C117" s="22">
        <v>682</v>
      </c>
      <c r="D117" s="22">
        <v>549</v>
      </c>
      <c r="E117" s="22">
        <f t="shared" si="42"/>
        <v>133</v>
      </c>
      <c r="F117" s="22">
        <v>99</v>
      </c>
      <c r="G117" s="22">
        <v>34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125</v>
      </c>
      <c r="B118" s="264"/>
      <c r="C118" s="22">
        <v>1928</v>
      </c>
      <c r="D118" s="22">
        <v>1161</v>
      </c>
      <c r="E118" s="22">
        <f t="shared" si="42"/>
        <v>767</v>
      </c>
      <c r="F118" s="22">
        <v>253</v>
      </c>
      <c r="G118" s="22">
        <v>512</v>
      </c>
      <c r="H118" s="22">
        <v>0</v>
      </c>
      <c r="I118" s="22">
        <v>2</v>
      </c>
      <c r="J118" s="22">
        <v>0</v>
      </c>
    </row>
    <row r="119" spans="1:10" s="21" customFormat="1" ht="12" customHeight="1" x14ac:dyDescent="0.2">
      <c r="A119" s="264" t="s">
        <v>126</v>
      </c>
      <c r="B119" s="264"/>
      <c r="C119" s="22">
        <v>3071</v>
      </c>
      <c r="D119" s="22">
        <v>2222</v>
      </c>
      <c r="E119" s="22">
        <f t="shared" si="42"/>
        <v>849</v>
      </c>
      <c r="F119" s="22">
        <v>675</v>
      </c>
      <c r="G119" s="22">
        <v>157</v>
      </c>
      <c r="H119" s="22">
        <v>12</v>
      </c>
      <c r="I119" s="22">
        <v>5</v>
      </c>
      <c r="J119" s="22">
        <v>0</v>
      </c>
    </row>
    <row r="120" spans="1:10" s="21" customFormat="1" ht="12" customHeight="1" x14ac:dyDescent="0.2">
      <c r="A120" s="264" t="s">
        <v>128</v>
      </c>
      <c r="B120" s="264"/>
      <c r="C120" s="22">
        <v>581</v>
      </c>
      <c r="D120" s="22">
        <v>464</v>
      </c>
      <c r="E120" s="22">
        <f t="shared" si="42"/>
        <v>117</v>
      </c>
      <c r="F120" s="22">
        <v>70</v>
      </c>
      <c r="G120" s="22">
        <v>47</v>
      </c>
      <c r="H120" s="22">
        <v>0</v>
      </c>
      <c r="I120" s="22">
        <v>0</v>
      </c>
      <c r="J120" s="22">
        <v>0</v>
      </c>
    </row>
    <row r="121" spans="1:10" s="21" customFormat="1" ht="12" customHeight="1" x14ac:dyDescent="0.2">
      <c r="A121" s="264" t="s">
        <v>129</v>
      </c>
      <c r="B121" s="264"/>
      <c r="C121" s="22">
        <v>1961</v>
      </c>
      <c r="D121" s="22">
        <v>1478</v>
      </c>
      <c r="E121" s="22">
        <f t="shared" si="42"/>
        <v>483</v>
      </c>
      <c r="F121" s="22">
        <v>351</v>
      </c>
      <c r="G121" s="22">
        <v>126</v>
      </c>
      <c r="H121" s="22">
        <v>6</v>
      </c>
      <c r="I121" s="22">
        <v>0</v>
      </c>
      <c r="J121" s="22">
        <v>0</v>
      </c>
    </row>
    <row r="122" spans="1:10" s="21" customFormat="1" ht="12" customHeight="1" x14ac:dyDescent="0.2">
      <c r="A122" s="315" t="s">
        <v>130</v>
      </c>
      <c r="B122" s="315"/>
      <c r="C122" s="28">
        <v>378</v>
      </c>
      <c r="D122" s="28">
        <v>207</v>
      </c>
      <c r="E122" s="28">
        <f t="shared" si="42"/>
        <v>171</v>
      </c>
      <c r="F122" s="28">
        <v>82</v>
      </c>
      <c r="G122" s="28">
        <v>89</v>
      </c>
      <c r="H122" s="28">
        <v>0</v>
      </c>
      <c r="I122" s="28">
        <v>0</v>
      </c>
      <c r="J122" s="28">
        <v>0</v>
      </c>
    </row>
    <row r="123" spans="1:10" s="21" customFormat="1" ht="12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s="21" customFormat="1" ht="12" customHeight="1" x14ac:dyDescent="0.2">
      <c r="A124" s="263" t="s">
        <v>131</v>
      </c>
      <c r="B124" s="263"/>
      <c r="C124" s="20">
        <v>63440</v>
      </c>
      <c r="D124" s="20">
        <v>47910</v>
      </c>
      <c r="E124" s="20">
        <f t="shared" ref="E124:E151" si="43">SUM(F124:J124)</f>
        <v>15530</v>
      </c>
      <c r="F124" s="20">
        <v>10863</v>
      </c>
      <c r="G124" s="20">
        <v>4531</v>
      </c>
      <c r="H124" s="20">
        <v>110</v>
      </c>
      <c r="I124" s="20">
        <v>26</v>
      </c>
      <c r="J124" s="20">
        <v>0</v>
      </c>
    </row>
    <row r="125" spans="1:10" s="21" customFormat="1" ht="12" customHeight="1" x14ac:dyDescent="0.2">
      <c r="A125" s="264" t="s">
        <v>132</v>
      </c>
      <c r="B125" s="264"/>
      <c r="C125" s="22">
        <v>5429</v>
      </c>
      <c r="D125" s="22">
        <v>3893</v>
      </c>
      <c r="E125" s="22">
        <f t="shared" si="43"/>
        <v>1536</v>
      </c>
      <c r="F125" s="22">
        <v>1038</v>
      </c>
      <c r="G125" s="22">
        <v>498</v>
      </c>
      <c r="H125" s="22">
        <v>0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133</v>
      </c>
      <c r="B126" s="264"/>
      <c r="C126" s="22">
        <v>190</v>
      </c>
      <c r="D126" s="22">
        <v>178</v>
      </c>
      <c r="E126" s="22">
        <f t="shared" si="43"/>
        <v>12</v>
      </c>
      <c r="F126" s="22">
        <v>11</v>
      </c>
      <c r="G126" s="22">
        <v>1</v>
      </c>
      <c r="H126" s="22">
        <v>0</v>
      </c>
      <c r="I126" s="22">
        <v>0</v>
      </c>
      <c r="J126" s="22">
        <v>0</v>
      </c>
    </row>
    <row r="127" spans="1:10" s="21" customFormat="1" ht="12" customHeight="1" x14ac:dyDescent="0.2">
      <c r="A127" s="264" t="s">
        <v>134</v>
      </c>
      <c r="B127" s="264"/>
      <c r="C127" s="22">
        <v>523</v>
      </c>
      <c r="D127" s="22">
        <v>426</v>
      </c>
      <c r="E127" s="22">
        <f t="shared" si="43"/>
        <v>97</v>
      </c>
      <c r="F127" s="22">
        <v>70</v>
      </c>
      <c r="G127" s="22">
        <v>27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135</v>
      </c>
      <c r="B128" s="264"/>
      <c r="C128" s="22">
        <v>1800</v>
      </c>
      <c r="D128" s="22">
        <v>1442</v>
      </c>
      <c r="E128" s="22">
        <f t="shared" si="43"/>
        <v>358</v>
      </c>
      <c r="F128" s="22">
        <v>232</v>
      </c>
      <c r="G128" s="22">
        <v>119</v>
      </c>
      <c r="H128" s="22">
        <v>5</v>
      </c>
      <c r="I128" s="22">
        <v>2</v>
      </c>
      <c r="J128" s="22">
        <v>0</v>
      </c>
    </row>
    <row r="129" spans="1:10" s="21" customFormat="1" ht="12" customHeight="1" x14ac:dyDescent="0.2">
      <c r="A129" s="264" t="s">
        <v>138</v>
      </c>
      <c r="B129" s="264"/>
      <c r="C129" s="22">
        <v>1162</v>
      </c>
      <c r="D129" s="22">
        <v>1050</v>
      </c>
      <c r="E129" s="22">
        <f t="shared" si="43"/>
        <v>112</v>
      </c>
      <c r="F129" s="22">
        <v>89</v>
      </c>
      <c r="G129" s="22">
        <v>23</v>
      </c>
      <c r="H129" s="22">
        <v>0</v>
      </c>
      <c r="I129" s="22">
        <v>0</v>
      </c>
      <c r="J129" s="22">
        <v>0</v>
      </c>
    </row>
    <row r="130" spans="1:10" s="21" customFormat="1" ht="12" customHeight="1" x14ac:dyDescent="0.2">
      <c r="A130" s="264" t="s">
        <v>140</v>
      </c>
      <c r="B130" s="264"/>
      <c r="C130" s="22">
        <v>13</v>
      </c>
      <c r="D130" s="22">
        <v>12</v>
      </c>
      <c r="E130" s="22">
        <f t="shared" si="43"/>
        <v>1</v>
      </c>
      <c r="F130" s="22">
        <v>1</v>
      </c>
      <c r="G130" s="22">
        <v>0</v>
      </c>
      <c r="H130" s="22">
        <v>0</v>
      </c>
      <c r="I130" s="22">
        <v>0</v>
      </c>
      <c r="J130" s="22">
        <v>0</v>
      </c>
    </row>
    <row r="131" spans="1:10" s="21" customFormat="1" ht="12" customHeight="1" x14ac:dyDescent="0.2">
      <c r="A131" s="264" t="s">
        <v>141</v>
      </c>
      <c r="B131" s="264"/>
      <c r="C131" s="22">
        <v>2887</v>
      </c>
      <c r="D131" s="22">
        <v>2463</v>
      </c>
      <c r="E131" s="22">
        <f t="shared" si="43"/>
        <v>424</v>
      </c>
      <c r="F131" s="22">
        <v>319</v>
      </c>
      <c r="G131" s="22">
        <v>104</v>
      </c>
      <c r="H131" s="22">
        <v>1</v>
      </c>
      <c r="I131" s="22">
        <v>0</v>
      </c>
      <c r="J131" s="22">
        <v>0</v>
      </c>
    </row>
    <row r="132" spans="1:10" s="21" customFormat="1" ht="12" customHeight="1" x14ac:dyDescent="0.2">
      <c r="A132" s="264" t="s">
        <v>142</v>
      </c>
      <c r="B132" s="264"/>
      <c r="C132" s="22">
        <v>104</v>
      </c>
      <c r="D132" s="22">
        <v>102</v>
      </c>
      <c r="E132" s="22">
        <f t="shared" si="43"/>
        <v>2</v>
      </c>
      <c r="F132" s="22">
        <v>2</v>
      </c>
      <c r="G132" s="22">
        <v>0</v>
      </c>
      <c r="H132" s="22">
        <v>0</v>
      </c>
      <c r="I132" s="22">
        <v>0</v>
      </c>
      <c r="J132" s="22">
        <v>0</v>
      </c>
    </row>
    <row r="133" spans="1:10" s="107" customFormat="1" ht="12" customHeight="1" x14ac:dyDescent="0.2">
      <c r="A133" s="316" t="s">
        <v>337</v>
      </c>
      <c r="B133" s="316"/>
      <c r="C133" s="106">
        <v>5060</v>
      </c>
      <c r="D133" s="106">
        <v>4000</v>
      </c>
      <c r="E133" s="106">
        <f t="shared" si="43"/>
        <v>1060</v>
      </c>
      <c r="F133" s="106">
        <v>706</v>
      </c>
      <c r="G133" s="106">
        <v>353</v>
      </c>
      <c r="H133" s="106">
        <v>1</v>
      </c>
      <c r="I133" s="106">
        <v>0</v>
      </c>
      <c r="J133" s="106">
        <v>0</v>
      </c>
    </row>
    <row r="134" spans="1:10" s="21" customFormat="1" ht="12" customHeight="1" x14ac:dyDescent="0.2">
      <c r="A134" s="264" t="s">
        <v>144</v>
      </c>
      <c r="B134" s="264"/>
      <c r="C134" s="22">
        <v>4530</v>
      </c>
      <c r="D134" s="22">
        <v>3668</v>
      </c>
      <c r="E134" s="22">
        <f t="shared" si="43"/>
        <v>862</v>
      </c>
      <c r="F134" s="22">
        <v>658</v>
      </c>
      <c r="G134" s="22">
        <v>203</v>
      </c>
      <c r="H134" s="22">
        <v>0</v>
      </c>
      <c r="I134" s="22">
        <v>1</v>
      </c>
      <c r="J134" s="22">
        <v>0</v>
      </c>
    </row>
    <row r="135" spans="1:10" s="21" customFormat="1" ht="12" customHeight="1" x14ac:dyDescent="0.2">
      <c r="A135" s="264" t="s">
        <v>145</v>
      </c>
      <c r="B135" s="264"/>
      <c r="C135" s="22">
        <v>41</v>
      </c>
      <c r="D135" s="22">
        <v>41</v>
      </c>
      <c r="E135" s="22">
        <f t="shared" si="43"/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</row>
    <row r="136" spans="1:10" s="21" customFormat="1" ht="12" customHeight="1" x14ac:dyDescent="0.2">
      <c r="A136" s="264" t="s">
        <v>147</v>
      </c>
      <c r="B136" s="264"/>
      <c r="C136" s="22">
        <v>317</v>
      </c>
      <c r="D136" s="22">
        <v>285</v>
      </c>
      <c r="E136" s="22">
        <f t="shared" si="43"/>
        <v>32</v>
      </c>
      <c r="F136" s="22">
        <v>27</v>
      </c>
      <c r="G136" s="22">
        <v>5</v>
      </c>
      <c r="H136" s="22">
        <v>0</v>
      </c>
      <c r="I136" s="22">
        <v>0</v>
      </c>
      <c r="J136" s="22">
        <v>0</v>
      </c>
    </row>
    <row r="137" spans="1:10" s="21" customFormat="1" ht="12" customHeight="1" x14ac:dyDescent="0.2">
      <c r="A137" s="264" t="s">
        <v>148</v>
      </c>
      <c r="B137" s="264"/>
      <c r="C137" s="22">
        <v>1293</v>
      </c>
      <c r="D137" s="22">
        <v>1004</v>
      </c>
      <c r="E137" s="22">
        <f t="shared" si="43"/>
        <v>289</v>
      </c>
      <c r="F137" s="22">
        <v>179</v>
      </c>
      <c r="G137" s="22">
        <v>72</v>
      </c>
      <c r="H137" s="22">
        <v>22</v>
      </c>
      <c r="I137" s="22">
        <v>16</v>
      </c>
      <c r="J137" s="22">
        <v>0</v>
      </c>
    </row>
    <row r="138" spans="1:10" s="21" customFormat="1" ht="12" customHeight="1" x14ac:dyDescent="0.2">
      <c r="A138" s="264" t="s">
        <v>149</v>
      </c>
      <c r="B138" s="264"/>
      <c r="C138" s="22">
        <v>15803</v>
      </c>
      <c r="D138" s="22">
        <v>10442</v>
      </c>
      <c r="E138" s="22">
        <f t="shared" si="43"/>
        <v>5361</v>
      </c>
      <c r="F138" s="22">
        <v>3791</v>
      </c>
      <c r="G138" s="22">
        <v>1519</v>
      </c>
      <c r="H138" s="22">
        <v>45</v>
      </c>
      <c r="I138" s="22">
        <v>6</v>
      </c>
      <c r="J138" s="22">
        <v>0</v>
      </c>
    </row>
    <row r="139" spans="1:10" s="21" customFormat="1" ht="12" customHeight="1" x14ac:dyDescent="0.2">
      <c r="A139" s="264" t="s">
        <v>150</v>
      </c>
      <c r="B139" s="264"/>
      <c r="C139" s="22">
        <v>6534</v>
      </c>
      <c r="D139" s="22">
        <v>5062</v>
      </c>
      <c r="E139" s="22">
        <f t="shared" si="43"/>
        <v>1472</v>
      </c>
      <c r="F139" s="22">
        <v>1080</v>
      </c>
      <c r="G139" s="22">
        <v>385</v>
      </c>
      <c r="H139" s="22">
        <v>7</v>
      </c>
      <c r="I139" s="22">
        <v>0</v>
      </c>
      <c r="J139" s="22">
        <v>0</v>
      </c>
    </row>
    <row r="140" spans="1:10" s="21" customFormat="1" ht="12" customHeight="1" x14ac:dyDescent="0.2">
      <c r="A140" s="264" t="s">
        <v>152</v>
      </c>
      <c r="B140" s="264"/>
      <c r="C140" s="22">
        <v>217</v>
      </c>
      <c r="D140" s="22">
        <v>193</v>
      </c>
      <c r="E140" s="22">
        <f t="shared" si="43"/>
        <v>24</v>
      </c>
      <c r="F140" s="22">
        <v>13</v>
      </c>
      <c r="G140" s="22">
        <v>11</v>
      </c>
      <c r="H140" s="22">
        <v>0</v>
      </c>
      <c r="I140" s="22">
        <v>0</v>
      </c>
      <c r="J140" s="22">
        <v>0</v>
      </c>
    </row>
    <row r="141" spans="1:10" s="21" customFormat="1" ht="12" customHeight="1" x14ac:dyDescent="0.2">
      <c r="A141" s="264" t="s">
        <v>153</v>
      </c>
      <c r="B141" s="264"/>
      <c r="C141" s="22">
        <v>7255</v>
      </c>
      <c r="D141" s="22">
        <v>5555</v>
      </c>
      <c r="E141" s="22">
        <f t="shared" si="43"/>
        <v>1700</v>
      </c>
      <c r="F141" s="22">
        <v>1192</v>
      </c>
      <c r="G141" s="22">
        <v>507</v>
      </c>
      <c r="H141" s="22">
        <v>1</v>
      </c>
      <c r="I141" s="22">
        <v>0</v>
      </c>
      <c r="J141" s="22">
        <v>0</v>
      </c>
    </row>
    <row r="142" spans="1:10" s="21" customFormat="1" ht="12" customHeight="1" x14ac:dyDescent="0.2">
      <c r="A142" s="264" t="s">
        <v>154</v>
      </c>
      <c r="B142" s="264"/>
      <c r="C142" s="22">
        <v>51</v>
      </c>
      <c r="D142" s="22">
        <v>47</v>
      </c>
      <c r="E142" s="22">
        <f t="shared" si="43"/>
        <v>4</v>
      </c>
      <c r="F142" s="22">
        <v>2</v>
      </c>
      <c r="G142" s="22">
        <v>2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155</v>
      </c>
      <c r="B143" s="264"/>
      <c r="C143" s="22">
        <v>2778</v>
      </c>
      <c r="D143" s="22">
        <v>1981</v>
      </c>
      <c r="E143" s="22">
        <f t="shared" si="43"/>
        <v>797</v>
      </c>
      <c r="F143" s="22">
        <v>488</v>
      </c>
      <c r="G143" s="22">
        <v>284</v>
      </c>
      <c r="H143" s="22">
        <v>24</v>
      </c>
      <c r="I143" s="22">
        <v>1</v>
      </c>
      <c r="J143" s="22">
        <v>0</v>
      </c>
    </row>
    <row r="144" spans="1:10" s="21" customFormat="1" ht="12" customHeight="1" x14ac:dyDescent="0.2">
      <c r="A144" s="264" t="s">
        <v>156</v>
      </c>
      <c r="B144" s="264"/>
      <c r="C144" s="22">
        <v>246</v>
      </c>
      <c r="D144" s="22">
        <v>233</v>
      </c>
      <c r="E144" s="22">
        <f t="shared" si="43"/>
        <v>13</v>
      </c>
      <c r="F144" s="22">
        <v>9</v>
      </c>
      <c r="G144" s="22">
        <v>4</v>
      </c>
      <c r="H144" s="22">
        <v>0</v>
      </c>
      <c r="I144" s="22">
        <v>0</v>
      </c>
      <c r="J144" s="22">
        <v>0</v>
      </c>
    </row>
    <row r="145" spans="1:10" s="21" customFormat="1" ht="12" customHeight="1" x14ac:dyDescent="0.2">
      <c r="A145" s="264" t="s">
        <v>157</v>
      </c>
      <c r="B145" s="264"/>
      <c r="C145" s="22">
        <v>754</v>
      </c>
      <c r="D145" s="22">
        <v>603</v>
      </c>
      <c r="E145" s="22">
        <f t="shared" si="43"/>
        <v>151</v>
      </c>
      <c r="F145" s="22">
        <v>86</v>
      </c>
      <c r="G145" s="22">
        <v>65</v>
      </c>
      <c r="H145" s="22">
        <v>0</v>
      </c>
      <c r="I145" s="22">
        <v>0</v>
      </c>
      <c r="J145" s="22">
        <v>0</v>
      </c>
    </row>
    <row r="146" spans="1:10" s="21" customFormat="1" ht="12" customHeight="1" x14ac:dyDescent="0.2">
      <c r="A146" s="264" t="s">
        <v>159</v>
      </c>
      <c r="B146" s="264"/>
      <c r="C146" s="22">
        <v>630</v>
      </c>
      <c r="D146" s="22">
        <v>460</v>
      </c>
      <c r="E146" s="22">
        <f t="shared" si="43"/>
        <v>170</v>
      </c>
      <c r="F146" s="22">
        <v>122</v>
      </c>
      <c r="G146" s="22">
        <v>48</v>
      </c>
      <c r="H146" s="22">
        <v>0</v>
      </c>
      <c r="I146" s="22">
        <v>0</v>
      </c>
      <c r="J146" s="22">
        <v>0</v>
      </c>
    </row>
    <row r="147" spans="1:10" s="21" customFormat="1" ht="12" customHeight="1" x14ac:dyDescent="0.2">
      <c r="A147" s="264" t="s">
        <v>162</v>
      </c>
      <c r="B147" s="264"/>
      <c r="C147" s="22">
        <v>91</v>
      </c>
      <c r="D147" s="22">
        <v>87</v>
      </c>
      <c r="E147" s="22">
        <f t="shared" si="43"/>
        <v>4</v>
      </c>
      <c r="F147" s="22">
        <v>2</v>
      </c>
      <c r="G147" s="22">
        <v>2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164</v>
      </c>
      <c r="B148" s="264"/>
      <c r="C148" s="22">
        <v>2786</v>
      </c>
      <c r="D148" s="22">
        <v>2075</v>
      </c>
      <c r="E148" s="22">
        <f t="shared" si="43"/>
        <v>711</v>
      </c>
      <c r="F148" s="22">
        <v>523</v>
      </c>
      <c r="G148" s="22">
        <v>184</v>
      </c>
      <c r="H148" s="22">
        <v>4</v>
      </c>
      <c r="I148" s="22">
        <v>0</v>
      </c>
      <c r="J148" s="22">
        <v>0</v>
      </c>
    </row>
    <row r="149" spans="1:10" s="21" customFormat="1" ht="12" customHeight="1" x14ac:dyDescent="0.2">
      <c r="A149" s="264" t="s">
        <v>348</v>
      </c>
      <c r="B149" s="264"/>
      <c r="C149" s="22">
        <v>2609</v>
      </c>
      <c r="D149" s="22">
        <v>2294</v>
      </c>
      <c r="E149" s="22">
        <f t="shared" si="43"/>
        <v>315</v>
      </c>
      <c r="F149" s="22">
        <v>208</v>
      </c>
      <c r="G149" s="22">
        <v>107</v>
      </c>
      <c r="H149" s="22">
        <v>0</v>
      </c>
      <c r="I149" s="22">
        <v>0</v>
      </c>
      <c r="J149" s="22">
        <v>0</v>
      </c>
    </row>
    <row r="150" spans="1:10" s="21" customFormat="1" ht="12" customHeight="1" x14ac:dyDescent="0.2">
      <c r="A150" s="264" t="s">
        <v>165</v>
      </c>
      <c r="B150" s="264"/>
      <c r="C150" s="22">
        <v>60</v>
      </c>
      <c r="D150" s="22">
        <v>57</v>
      </c>
      <c r="E150" s="22">
        <f t="shared" si="43"/>
        <v>3</v>
      </c>
      <c r="F150" s="22">
        <v>3</v>
      </c>
      <c r="G150" s="22">
        <v>0</v>
      </c>
      <c r="H150" s="22">
        <v>0</v>
      </c>
      <c r="I150" s="22">
        <v>0</v>
      </c>
      <c r="J150" s="22">
        <v>0</v>
      </c>
    </row>
    <row r="151" spans="1:10" s="21" customFormat="1" ht="12" customHeight="1" x14ac:dyDescent="0.2">
      <c r="A151" s="267" t="s">
        <v>168</v>
      </c>
      <c r="B151" s="267"/>
      <c r="C151" s="28">
        <v>277</v>
      </c>
      <c r="D151" s="28">
        <v>257</v>
      </c>
      <c r="E151" s="28">
        <f t="shared" si="43"/>
        <v>20</v>
      </c>
      <c r="F151" s="28">
        <v>12</v>
      </c>
      <c r="G151" s="28">
        <v>8</v>
      </c>
      <c r="H151" s="28">
        <v>0</v>
      </c>
      <c r="I151" s="28">
        <v>0</v>
      </c>
      <c r="J151" s="28">
        <v>0</v>
      </c>
    </row>
    <row r="152" spans="1:10" s="21" customFormat="1" ht="12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spans="1:10" s="21" customFormat="1" ht="12" customHeight="1" x14ac:dyDescent="0.2">
      <c r="A153" s="263" t="s">
        <v>169</v>
      </c>
      <c r="B153" s="263"/>
      <c r="C153" s="20">
        <v>6021</v>
      </c>
      <c r="D153" s="20">
        <v>5346</v>
      </c>
      <c r="E153" s="20">
        <f t="shared" ref="E153:E161" si="44">SUM(F153:J153)</f>
        <v>675</v>
      </c>
      <c r="F153" s="20">
        <v>461</v>
      </c>
      <c r="G153" s="20">
        <v>211</v>
      </c>
      <c r="H153" s="20">
        <v>1</v>
      </c>
      <c r="I153" s="20">
        <v>2</v>
      </c>
      <c r="J153" s="20">
        <v>0</v>
      </c>
    </row>
    <row r="154" spans="1:10" s="21" customFormat="1" ht="12" customHeight="1" x14ac:dyDescent="0.2">
      <c r="A154" s="264" t="s">
        <v>170</v>
      </c>
      <c r="B154" s="264"/>
      <c r="C154" s="22">
        <v>1457</v>
      </c>
      <c r="D154" s="22">
        <v>1333</v>
      </c>
      <c r="E154" s="22">
        <f t="shared" si="44"/>
        <v>124</v>
      </c>
      <c r="F154" s="22">
        <v>86</v>
      </c>
      <c r="G154" s="22">
        <v>38</v>
      </c>
      <c r="H154" s="22">
        <v>0</v>
      </c>
      <c r="I154" s="22">
        <v>0</v>
      </c>
      <c r="J154" s="22">
        <v>0</v>
      </c>
    </row>
    <row r="155" spans="1:10" s="21" customFormat="1" ht="12" customHeight="1" x14ac:dyDescent="0.2">
      <c r="A155" s="264" t="s">
        <v>171</v>
      </c>
      <c r="B155" s="264"/>
      <c r="C155" s="22">
        <v>52</v>
      </c>
      <c r="D155" s="22">
        <v>47</v>
      </c>
      <c r="E155" s="22">
        <f t="shared" si="44"/>
        <v>5</v>
      </c>
      <c r="F155" s="22">
        <v>2</v>
      </c>
      <c r="G155" s="22">
        <v>3</v>
      </c>
      <c r="H155" s="22">
        <v>0</v>
      </c>
      <c r="I155" s="22">
        <v>0</v>
      </c>
      <c r="J155" s="22">
        <v>0</v>
      </c>
    </row>
    <row r="156" spans="1:10" s="21" customFormat="1" ht="12" customHeight="1" x14ac:dyDescent="0.2">
      <c r="A156" s="264" t="s">
        <v>172</v>
      </c>
      <c r="B156" s="264"/>
      <c r="C156" s="22">
        <v>51</v>
      </c>
      <c r="D156" s="22">
        <v>45</v>
      </c>
      <c r="E156" s="22">
        <f t="shared" si="44"/>
        <v>6</v>
      </c>
      <c r="F156" s="22">
        <v>5</v>
      </c>
      <c r="G156" s="22">
        <v>1</v>
      </c>
      <c r="H156" s="22">
        <v>0</v>
      </c>
      <c r="I156" s="22">
        <v>0</v>
      </c>
      <c r="J156" s="22">
        <v>0</v>
      </c>
    </row>
    <row r="157" spans="1:10" s="21" customFormat="1" ht="12" customHeight="1" x14ac:dyDescent="0.2">
      <c r="A157" s="264" t="s">
        <v>173</v>
      </c>
      <c r="B157" s="264"/>
      <c r="C157" s="22">
        <v>56</v>
      </c>
      <c r="D157" s="22">
        <v>46</v>
      </c>
      <c r="E157" s="22">
        <f t="shared" si="44"/>
        <v>10</v>
      </c>
      <c r="F157" s="22">
        <v>4</v>
      </c>
      <c r="G157" s="22">
        <v>5</v>
      </c>
      <c r="H157" s="22">
        <v>1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174</v>
      </c>
      <c r="B158" s="264"/>
      <c r="C158" s="22">
        <v>1186</v>
      </c>
      <c r="D158" s="22">
        <v>991</v>
      </c>
      <c r="E158" s="22">
        <f t="shared" si="44"/>
        <v>195</v>
      </c>
      <c r="F158" s="22">
        <v>130</v>
      </c>
      <c r="G158" s="22">
        <v>64</v>
      </c>
      <c r="H158" s="22">
        <v>0</v>
      </c>
      <c r="I158" s="22">
        <v>1</v>
      </c>
      <c r="J158" s="22">
        <v>0</v>
      </c>
    </row>
    <row r="159" spans="1:10" s="21" customFormat="1" ht="12" customHeight="1" x14ac:dyDescent="0.2">
      <c r="A159" s="264" t="s">
        <v>175</v>
      </c>
      <c r="B159" s="264"/>
      <c r="C159" s="22">
        <v>563</v>
      </c>
      <c r="D159" s="22">
        <v>530</v>
      </c>
      <c r="E159" s="22">
        <f t="shared" si="44"/>
        <v>33</v>
      </c>
      <c r="F159" s="22">
        <v>16</v>
      </c>
      <c r="G159" s="22">
        <v>17</v>
      </c>
      <c r="H159" s="22">
        <v>0</v>
      </c>
      <c r="I159" s="22">
        <v>0</v>
      </c>
      <c r="J159" s="22">
        <v>0</v>
      </c>
    </row>
    <row r="160" spans="1:10" s="21" customFormat="1" ht="12" customHeight="1" x14ac:dyDescent="0.2">
      <c r="A160" s="264" t="s">
        <v>176</v>
      </c>
      <c r="B160" s="264"/>
      <c r="C160" s="22">
        <v>53</v>
      </c>
      <c r="D160" s="22">
        <v>44</v>
      </c>
      <c r="E160" s="22">
        <f t="shared" si="44"/>
        <v>9</v>
      </c>
      <c r="F160" s="22">
        <v>6</v>
      </c>
      <c r="G160" s="22">
        <v>3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7" t="s">
        <v>177</v>
      </c>
      <c r="B161" s="267"/>
      <c r="C161" s="28">
        <v>2603</v>
      </c>
      <c r="D161" s="28">
        <v>2310</v>
      </c>
      <c r="E161" s="28">
        <f t="shared" si="44"/>
        <v>293</v>
      </c>
      <c r="F161" s="28">
        <v>212</v>
      </c>
      <c r="G161" s="28">
        <v>80</v>
      </c>
      <c r="H161" s="28">
        <v>0</v>
      </c>
      <c r="I161" s="28">
        <v>1</v>
      </c>
      <c r="J161" s="28">
        <v>0</v>
      </c>
    </row>
    <row r="162" spans="1:10" s="21" customFormat="1" ht="12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spans="1:10" s="21" customFormat="1" ht="12" customHeight="1" x14ac:dyDescent="0.2">
      <c r="A163" s="263" t="s">
        <v>178</v>
      </c>
      <c r="B163" s="263"/>
      <c r="C163" s="20">
        <v>50803</v>
      </c>
      <c r="D163" s="20">
        <v>37306</v>
      </c>
      <c r="E163" s="20">
        <f t="shared" ref="E163:E180" si="45">SUM(F163:J163)</f>
        <v>13497</v>
      </c>
      <c r="F163" s="20">
        <v>9666</v>
      </c>
      <c r="G163" s="20">
        <v>3682</v>
      </c>
      <c r="H163" s="20">
        <v>105</v>
      </c>
      <c r="I163" s="20">
        <v>44</v>
      </c>
      <c r="J163" s="20">
        <v>0</v>
      </c>
    </row>
    <row r="164" spans="1:10" s="21" customFormat="1" ht="12" customHeight="1" x14ac:dyDescent="0.2">
      <c r="A164" s="264" t="s">
        <v>179</v>
      </c>
      <c r="B164" s="264"/>
      <c r="C164" s="22">
        <v>4703</v>
      </c>
      <c r="D164" s="22">
        <v>3324</v>
      </c>
      <c r="E164" s="22">
        <f t="shared" si="45"/>
        <v>1379</v>
      </c>
      <c r="F164" s="22">
        <v>999</v>
      </c>
      <c r="G164" s="22">
        <v>366</v>
      </c>
      <c r="H164" s="22">
        <v>9</v>
      </c>
      <c r="I164" s="22">
        <v>5</v>
      </c>
      <c r="J164" s="22">
        <v>0</v>
      </c>
    </row>
    <row r="165" spans="1:10" s="21" customFormat="1" ht="12" customHeight="1" x14ac:dyDescent="0.2">
      <c r="A165" s="264" t="s">
        <v>180</v>
      </c>
      <c r="B165" s="264"/>
      <c r="C165" s="22">
        <v>18131</v>
      </c>
      <c r="D165" s="22">
        <v>12646</v>
      </c>
      <c r="E165" s="22">
        <f t="shared" si="45"/>
        <v>5485</v>
      </c>
      <c r="F165" s="22">
        <v>3809</v>
      </c>
      <c r="G165" s="22">
        <v>1606</v>
      </c>
      <c r="H165" s="22">
        <v>44</v>
      </c>
      <c r="I165" s="22">
        <v>26</v>
      </c>
      <c r="J165" s="22">
        <v>0</v>
      </c>
    </row>
    <row r="166" spans="1:10" s="21" customFormat="1" ht="12" customHeight="1" x14ac:dyDescent="0.2">
      <c r="A166" s="264" t="s">
        <v>181</v>
      </c>
      <c r="B166" s="264"/>
      <c r="C166" s="22">
        <v>2654</v>
      </c>
      <c r="D166" s="22">
        <v>1639</v>
      </c>
      <c r="E166" s="22">
        <f t="shared" si="45"/>
        <v>1015</v>
      </c>
      <c r="F166" s="22">
        <v>677</v>
      </c>
      <c r="G166" s="22">
        <v>322</v>
      </c>
      <c r="H166" s="22">
        <v>14</v>
      </c>
      <c r="I166" s="22">
        <v>2</v>
      </c>
      <c r="J166" s="22">
        <v>0</v>
      </c>
    </row>
    <row r="167" spans="1:10" s="21" customFormat="1" ht="12" customHeight="1" x14ac:dyDescent="0.2">
      <c r="A167" s="264" t="s">
        <v>182</v>
      </c>
      <c r="B167" s="264"/>
      <c r="C167" s="22">
        <v>2741</v>
      </c>
      <c r="D167" s="22">
        <v>2272</v>
      </c>
      <c r="E167" s="22">
        <f t="shared" si="45"/>
        <v>469</v>
      </c>
      <c r="F167" s="22">
        <v>340</v>
      </c>
      <c r="G167" s="22">
        <v>122</v>
      </c>
      <c r="H167" s="22">
        <v>6</v>
      </c>
      <c r="I167" s="22">
        <v>1</v>
      </c>
      <c r="J167" s="22">
        <v>0</v>
      </c>
    </row>
    <row r="168" spans="1:10" s="21" customFormat="1" ht="12" customHeight="1" x14ac:dyDescent="0.2">
      <c r="A168" s="264" t="s">
        <v>183</v>
      </c>
      <c r="B168" s="264"/>
      <c r="C168" s="22">
        <v>8618</v>
      </c>
      <c r="D168" s="22">
        <v>6231</v>
      </c>
      <c r="E168" s="22">
        <f t="shared" si="45"/>
        <v>2387</v>
      </c>
      <c r="F168" s="22">
        <v>1782</v>
      </c>
      <c r="G168" s="22">
        <v>580</v>
      </c>
      <c r="H168" s="22">
        <v>21</v>
      </c>
      <c r="I168" s="22">
        <v>4</v>
      </c>
      <c r="J168" s="22">
        <v>0</v>
      </c>
    </row>
    <row r="169" spans="1:10" s="21" customFormat="1" ht="12" customHeight="1" x14ac:dyDescent="0.2">
      <c r="A169" s="264" t="s">
        <v>184</v>
      </c>
      <c r="B169" s="264"/>
      <c r="C169" s="22">
        <v>724</v>
      </c>
      <c r="D169" s="22">
        <v>643</v>
      </c>
      <c r="E169" s="22">
        <f t="shared" si="45"/>
        <v>81</v>
      </c>
      <c r="F169" s="22">
        <v>62</v>
      </c>
      <c r="G169" s="22">
        <v>19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185</v>
      </c>
      <c r="B170" s="264"/>
      <c r="C170" s="22">
        <v>765</v>
      </c>
      <c r="D170" s="22">
        <v>648</v>
      </c>
      <c r="E170" s="22">
        <f t="shared" si="45"/>
        <v>117</v>
      </c>
      <c r="F170" s="22">
        <v>93</v>
      </c>
      <c r="G170" s="22">
        <v>23</v>
      </c>
      <c r="H170" s="22">
        <v>1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186</v>
      </c>
      <c r="B171" s="264"/>
      <c r="C171" s="22">
        <v>837</v>
      </c>
      <c r="D171" s="22">
        <v>678</v>
      </c>
      <c r="E171" s="22">
        <f t="shared" si="45"/>
        <v>159</v>
      </c>
      <c r="F171" s="22">
        <v>115</v>
      </c>
      <c r="G171" s="22">
        <v>44</v>
      </c>
      <c r="H171" s="22">
        <v>0</v>
      </c>
      <c r="I171" s="22">
        <v>0</v>
      </c>
      <c r="J171" s="22">
        <v>0</v>
      </c>
    </row>
    <row r="172" spans="1:10" s="21" customFormat="1" ht="12" customHeight="1" x14ac:dyDescent="0.2">
      <c r="A172" s="264" t="s">
        <v>187</v>
      </c>
      <c r="B172" s="264"/>
      <c r="C172" s="22">
        <v>394</v>
      </c>
      <c r="D172" s="22">
        <v>360</v>
      </c>
      <c r="E172" s="22">
        <f t="shared" si="45"/>
        <v>34</v>
      </c>
      <c r="F172" s="22">
        <v>21</v>
      </c>
      <c r="G172" s="22">
        <v>13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188</v>
      </c>
      <c r="B173" s="264"/>
      <c r="C173" s="22">
        <v>1404</v>
      </c>
      <c r="D173" s="22">
        <v>1170</v>
      </c>
      <c r="E173" s="22">
        <f t="shared" si="45"/>
        <v>234</v>
      </c>
      <c r="F173" s="22">
        <v>159</v>
      </c>
      <c r="G173" s="22">
        <v>75</v>
      </c>
      <c r="H173" s="22">
        <v>0</v>
      </c>
      <c r="I173" s="22">
        <v>0</v>
      </c>
      <c r="J173" s="22">
        <v>0</v>
      </c>
    </row>
    <row r="174" spans="1:10" s="21" customFormat="1" ht="12" customHeight="1" x14ac:dyDescent="0.2">
      <c r="A174" s="264" t="s">
        <v>190</v>
      </c>
      <c r="B174" s="264"/>
      <c r="C174" s="22">
        <v>127</v>
      </c>
      <c r="D174" s="22">
        <v>103</v>
      </c>
      <c r="E174" s="22">
        <f t="shared" si="45"/>
        <v>24</v>
      </c>
      <c r="F174" s="22">
        <v>20</v>
      </c>
      <c r="G174" s="22">
        <v>4</v>
      </c>
      <c r="H174" s="22">
        <v>0</v>
      </c>
      <c r="I174" s="22">
        <v>0</v>
      </c>
      <c r="J174" s="22">
        <v>0</v>
      </c>
    </row>
    <row r="175" spans="1:10" s="21" customFormat="1" ht="12" customHeight="1" x14ac:dyDescent="0.2">
      <c r="A175" s="264" t="s">
        <v>191</v>
      </c>
      <c r="B175" s="264"/>
      <c r="C175" s="22">
        <v>2796</v>
      </c>
      <c r="D175" s="22">
        <v>2224</v>
      </c>
      <c r="E175" s="22">
        <f t="shared" si="45"/>
        <v>572</v>
      </c>
      <c r="F175" s="22">
        <v>401</v>
      </c>
      <c r="G175" s="22">
        <v>166</v>
      </c>
      <c r="H175" s="22">
        <v>5</v>
      </c>
      <c r="I175" s="22">
        <v>0</v>
      </c>
      <c r="J175" s="22">
        <v>0</v>
      </c>
    </row>
    <row r="176" spans="1:10" s="21" customFormat="1" ht="12" customHeight="1" x14ac:dyDescent="0.2">
      <c r="A176" s="264" t="s">
        <v>192</v>
      </c>
      <c r="B176" s="264"/>
      <c r="C176" s="22">
        <v>586</v>
      </c>
      <c r="D176" s="22">
        <v>530</v>
      </c>
      <c r="E176" s="22">
        <f t="shared" si="45"/>
        <v>56</v>
      </c>
      <c r="F176" s="22">
        <v>42</v>
      </c>
      <c r="G176" s="22">
        <v>14</v>
      </c>
      <c r="H176" s="22">
        <v>0</v>
      </c>
      <c r="I176" s="22">
        <v>0</v>
      </c>
      <c r="J176" s="22">
        <v>0</v>
      </c>
    </row>
    <row r="177" spans="1:10" s="21" customFormat="1" ht="12" customHeight="1" x14ac:dyDescent="0.2">
      <c r="A177" s="264" t="s">
        <v>193</v>
      </c>
      <c r="B177" s="264"/>
      <c r="C177" s="22">
        <v>615</v>
      </c>
      <c r="D177" s="22">
        <v>550</v>
      </c>
      <c r="E177" s="22">
        <f t="shared" si="45"/>
        <v>65</v>
      </c>
      <c r="F177" s="22">
        <v>45</v>
      </c>
      <c r="G177" s="22">
        <v>20</v>
      </c>
      <c r="H177" s="22">
        <v>0</v>
      </c>
      <c r="I177" s="22">
        <v>0</v>
      </c>
      <c r="J177" s="22">
        <v>0</v>
      </c>
    </row>
    <row r="178" spans="1:10" s="21" customFormat="1" ht="12" customHeight="1" x14ac:dyDescent="0.2">
      <c r="A178" s="264" t="s">
        <v>194</v>
      </c>
      <c r="B178" s="264"/>
      <c r="C178" s="22">
        <v>2371</v>
      </c>
      <c r="D178" s="22">
        <v>1714</v>
      </c>
      <c r="E178" s="22">
        <f t="shared" si="45"/>
        <v>657</v>
      </c>
      <c r="F178" s="22">
        <v>524</v>
      </c>
      <c r="G178" s="22">
        <v>122</v>
      </c>
      <c r="H178" s="22">
        <v>5</v>
      </c>
      <c r="I178" s="22">
        <v>6</v>
      </c>
      <c r="J178" s="22">
        <v>0</v>
      </c>
    </row>
    <row r="179" spans="1:10" s="21" customFormat="1" ht="12" customHeight="1" x14ac:dyDescent="0.2">
      <c r="A179" s="264" t="s">
        <v>195</v>
      </c>
      <c r="B179" s="264"/>
      <c r="C179" s="22">
        <v>231</v>
      </c>
      <c r="D179" s="22">
        <v>208</v>
      </c>
      <c r="E179" s="22">
        <f t="shared" si="45"/>
        <v>23</v>
      </c>
      <c r="F179" s="22">
        <v>16</v>
      </c>
      <c r="G179" s="22">
        <v>7</v>
      </c>
      <c r="H179" s="22">
        <v>0</v>
      </c>
      <c r="I179" s="22">
        <v>0</v>
      </c>
      <c r="J179" s="22">
        <v>0</v>
      </c>
    </row>
    <row r="180" spans="1:10" s="21" customFormat="1" ht="12" customHeight="1" x14ac:dyDescent="0.2">
      <c r="A180" s="267" t="s">
        <v>196</v>
      </c>
      <c r="B180" s="267"/>
      <c r="C180" s="28">
        <v>3106</v>
      </c>
      <c r="D180" s="28">
        <v>2366</v>
      </c>
      <c r="E180" s="28">
        <f t="shared" si="45"/>
        <v>740</v>
      </c>
      <c r="F180" s="28">
        <v>561</v>
      </c>
      <c r="G180" s="28">
        <v>179</v>
      </c>
      <c r="H180" s="28">
        <v>0</v>
      </c>
      <c r="I180" s="28">
        <v>0</v>
      </c>
      <c r="J180" s="28">
        <v>0</v>
      </c>
    </row>
    <row r="181" spans="1:10" s="21" customFormat="1" ht="12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spans="1:10" s="21" customFormat="1" ht="12" customHeight="1" x14ac:dyDescent="0.2">
      <c r="A182" s="263" t="s">
        <v>197</v>
      </c>
      <c r="B182" s="263"/>
      <c r="C182" s="20">
        <v>13013</v>
      </c>
      <c r="D182" s="20">
        <v>9101</v>
      </c>
      <c r="E182" s="20">
        <f t="shared" ref="E182:E188" si="46">SUM(F182:J182)</f>
        <v>3912</v>
      </c>
      <c r="F182" s="20">
        <v>2965</v>
      </c>
      <c r="G182" s="20">
        <v>876</v>
      </c>
      <c r="H182" s="20">
        <v>51</v>
      </c>
      <c r="I182" s="20">
        <v>20</v>
      </c>
      <c r="J182" s="20">
        <v>0</v>
      </c>
    </row>
    <row r="183" spans="1:10" s="21" customFormat="1" ht="12" customHeight="1" x14ac:dyDescent="0.2">
      <c r="A183" s="264" t="s">
        <v>198</v>
      </c>
      <c r="B183" s="264"/>
      <c r="C183" s="22">
        <v>6185</v>
      </c>
      <c r="D183" s="22">
        <v>4005</v>
      </c>
      <c r="E183" s="22">
        <f t="shared" si="46"/>
        <v>2180</v>
      </c>
      <c r="F183" s="22">
        <v>1633</v>
      </c>
      <c r="G183" s="22">
        <v>483</v>
      </c>
      <c r="H183" s="22">
        <v>49</v>
      </c>
      <c r="I183" s="22">
        <v>15</v>
      </c>
      <c r="J183" s="22">
        <v>0</v>
      </c>
    </row>
    <row r="184" spans="1:10" s="21" customFormat="1" ht="12" customHeight="1" x14ac:dyDescent="0.2">
      <c r="A184" s="264" t="s">
        <v>199</v>
      </c>
      <c r="B184" s="264"/>
      <c r="C184" s="22">
        <v>2807</v>
      </c>
      <c r="D184" s="22">
        <v>2320</v>
      </c>
      <c r="E184" s="22">
        <f t="shared" si="46"/>
        <v>487</v>
      </c>
      <c r="F184" s="22">
        <v>391</v>
      </c>
      <c r="G184" s="22">
        <v>96</v>
      </c>
      <c r="H184" s="22">
        <v>0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200</v>
      </c>
      <c r="B185" s="264"/>
      <c r="C185" s="22">
        <v>676</v>
      </c>
      <c r="D185" s="22">
        <v>422</v>
      </c>
      <c r="E185" s="22">
        <f t="shared" si="46"/>
        <v>254</v>
      </c>
      <c r="F185" s="22">
        <v>186</v>
      </c>
      <c r="G185" s="22">
        <v>65</v>
      </c>
      <c r="H185" s="22">
        <v>1</v>
      </c>
      <c r="I185" s="22">
        <v>2</v>
      </c>
      <c r="J185" s="22">
        <v>0</v>
      </c>
    </row>
    <row r="186" spans="1:10" s="21" customFormat="1" ht="12" customHeight="1" x14ac:dyDescent="0.2">
      <c r="A186" s="264" t="s">
        <v>201</v>
      </c>
      <c r="B186" s="264"/>
      <c r="C186" s="22">
        <v>563</v>
      </c>
      <c r="D186" s="22">
        <v>430</v>
      </c>
      <c r="E186" s="22">
        <f t="shared" si="46"/>
        <v>133</v>
      </c>
      <c r="F186" s="22">
        <v>88</v>
      </c>
      <c r="G186" s="22">
        <v>42</v>
      </c>
      <c r="H186" s="22">
        <v>0</v>
      </c>
      <c r="I186" s="22">
        <v>3</v>
      </c>
      <c r="J186" s="22">
        <v>0</v>
      </c>
    </row>
    <row r="187" spans="1:10" s="21" customFormat="1" ht="12" customHeight="1" x14ac:dyDescent="0.2">
      <c r="A187" s="264" t="s">
        <v>202</v>
      </c>
      <c r="B187" s="264"/>
      <c r="C187" s="22">
        <v>1736</v>
      </c>
      <c r="D187" s="22">
        <v>1231</v>
      </c>
      <c r="E187" s="22">
        <f t="shared" si="46"/>
        <v>505</v>
      </c>
      <c r="F187" s="22">
        <v>393</v>
      </c>
      <c r="G187" s="22">
        <v>112</v>
      </c>
      <c r="H187" s="22">
        <v>0</v>
      </c>
      <c r="I187" s="22">
        <v>0</v>
      </c>
      <c r="J187" s="22">
        <v>0</v>
      </c>
    </row>
    <row r="188" spans="1:10" s="21" customFormat="1" ht="12" customHeight="1" x14ac:dyDescent="0.2">
      <c r="A188" s="267" t="s">
        <v>203</v>
      </c>
      <c r="B188" s="267"/>
      <c r="C188" s="28">
        <v>1046</v>
      </c>
      <c r="D188" s="28">
        <v>693</v>
      </c>
      <c r="E188" s="28">
        <f t="shared" si="46"/>
        <v>353</v>
      </c>
      <c r="F188" s="28">
        <v>274</v>
      </c>
      <c r="G188" s="28">
        <v>78</v>
      </c>
      <c r="H188" s="28">
        <v>1</v>
      </c>
      <c r="I188" s="28">
        <v>0</v>
      </c>
      <c r="J188" s="28">
        <v>0</v>
      </c>
    </row>
    <row r="189" spans="1:10" s="21" customFormat="1" ht="12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spans="1:10" s="21" customFormat="1" ht="12" customHeight="1" x14ac:dyDescent="0.2">
      <c r="A190" s="263" t="s">
        <v>204</v>
      </c>
      <c r="B190" s="263"/>
      <c r="C190" s="20">
        <v>5653</v>
      </c>
      <c r="D190" s="20">
        <v>5140</v>
      </c>
      <c r="E190" s="20">
        <f>SUM(F190:J190)</f>
        <v>513</v>
      </c>
      <c r="F190" s="20">
        <v>321</v>
      </c>
      <c r="G190" s="20">
        <v>188</v>
      </c>
      <c r="H190" s="20">
        <v>1</v>
      </c>
      <c r="I190" s="20">
        <v>3</v>
      </c>
      <c r="J190" s="20">
        <v>0</v>
      </c>
    </row>
    <row r="191" spans="1:10" s="21" customFormat="1" ht="12" customHeight="1" x14ac:dyDescent="0.2">
      <c r="A191" s="264" t="s">
        <v>205</v>
      </c>
      <c r="B191" s="264"/>
      <c r="C191" s="22">
        <v>1851</v>
      </c>
      <c r="D191" s="22">
        <v>1624</v>
      </c>
      <c r="E191" s="22">
        <f>SUM(F191:J191)</f>
        <v>227</v>
      </c>
      <c r="F191" s="22">
        <v>159</v>
      </c>
      <c r="G191" s="22">
        <v>67</v>
      </c>
      <c r="H191" s="22">
        <v>0</v>
      </c>
      <c r="I191" s="22">
        <v>1</v>
      </c>
      <c r="J191" s="22">
        <v>0</v>
      </c>
    </row>
    <row r="192" spans="1:10" s="21" customFormat="1" ht="12" customHeight="1" x14ac:dyDescent="0.2">
      <c r="A192" s="264" t="s">
        <v>206</v>
      </c>
      <c r="B192" s="264"/>
      <c r="C192" s="22">
        <v>1726</v>
      </c>
      <c r="D192" s="22">
        <v>1615</v>
      </c>
      <c r="E192" s="22">
        <f>SUM(F192:J192)</f>
        <v>111</v>
      </c>
      <c r="F192" s="22">
        <v>65</v>
      </c>
      <c r="G192" s="22">
        <v>46</v>
      </c>
      <c r="H192" s="22">
        <v>0</v>
      </c>
      <c r="I192" s="22">
        <v>0</v>
      </c>
      <c r="J192" s="22">
        <v>0</v>
      </c>
    </row>
    <row r="193" spans="1:10" s="21" customFormat="1" ht="12" customHeight="1" x14ac:dyDescent="0.2">
      <c r="A193" s="315" t="s">
        <v>345</v>
      </c>
      <c r="B193" s="315"/>
      <c r="C193" s="44">
        <v>2076</v>
      </c>
      <c r="D193" s="44">
        <v>1901</v>
      </c>
      <c r="E193" s="44">
        <f>SUM(F193:J193)</f>
        <v>175</v>
      </c>
      <c r="F193" s="44">
        <v>97</v>
      </c>
      <c r="G193" s="44">
        <v>75</v>
      </c>
      <c r="H193" s="44">
        <v>1</v>
      </c>
      <c r="I193" s="44">
        <v>2</v>
      </c>
      <c r="J193" s="44">
        <v>0</v>
      </c>
    </row>
    <row r="194" spans="1:10" s="21" customFormat="1" ht="12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spans="1:10" s="21" customFormat="1" ht="12" customHeight="1" x14ac:dyDescent="0.2">
      <c r="A195" s="263" t="s">
        <v>210</v>
      </c>
      <c r="B195" s="263"/>
      <c r="C195" s="20">
        <v>9412</v>
      </c>
      <c r="D195" s="20">
        <v>6788</v>
      </c>
      <c r="E195" s="20">
        <f t="shared" ref="E195:E206" si="47">SUM(F195:J195)</f>
        <v>2624</v>
      </c>
      <c r="F195" s="20">
        <v>1666</v>
      </c>
      <c r="G195" s="20">
        <v>895</v>
      </c>
      <c r="H195" s="20">
        <v>51</v>
      </c>
      <c r="I195" s="20">
        <v>12</v>
      </c>
      <c r="J195" s="20">
        <v>0</v>
      </c>
    </row>
    <row r="196" spans="1:10" s="21" customFormat="1" ht="12" customHeight="1" x14ac:dyDescent="0.2">
      <c r="A196" s="264" t="s">
        <v>211</v>
      </c>
      <c r="B196" s="264"/>
      <c r="C196" s="22">
        <v>1570</v>
      </c>
      <c r="D196" s="22">
        <v>1195</v>
      </c>
      <c r="E196" s="22">
        <f t="shared" si="47"/>
        <v>375</v>
      </c>
      <c r="F196" s="22">
        <v>218</v>
      </c>
      <c r="G196" s="22">
        <v>157</v>
      </c>
      <c r="H196" s="22">
        <v>0</v>
      </c>
      <c r="I196" s="22">
        <v>0</v>
      </c>
      <c r="J196" s="22">
        <v>0</v>
      </c>
    </row>
    <row r="197" spans="1:10" s="21" customFormat="1" ht="12" customHeight="1" x14ac:dyDescent="0.2">
      <c r="A197" s="264" t="s">
        <v>213</v>
      </c>
      <c r="B197" s="264"/>
      <c r="C197" s="22">
        <v>103</v>
      </c>
      <c r="D197" s="22">
        <v>85</v>
      </c>
      <c r="E197" s="22">
        <f t="shared" si="47"/>
        <v>18</v>
      </c>
      <c r="F197" s="22">
        <v>7</v>
      </c>
      <c r="G197" s="22">
        <v>11</v>
      </c>
      <c r="H197" s="22">
        <v>0</v>
      </c>
      <c r="I197" s="22">
        <v>0</v>
      </c>
      <c r="J197" s="22">
        <v>0</v>
      </c>
    </row>
    <row r="198" spans="1:10" s="21" customFormat="1" ht="12" customHeight="1" x14ac:dyDescent="0.2">
      <c r="A198" s="264" t="s">
        <v>214</v>
      </c>
      <c r="B198" s="264"/>
      <c r="C198" s="22">
        <v>1030</v>
      </c>
      <c r="D198" s="22">
        <v>501</v>
      </c>
      <c r="E198" s="22">
        <f t="shared" si="47"/>
        <v>529</v>
      </c>
      <c r="F198" s="22">
        <v>305</v>
      </c>
      <c r="G198" s="22">
        <v>208</v>
      </c>
      <c r="H198" s="22">
        <v>13</v>
      </c>
      <c r="I198" s="22">
        <v>3</v>
      </c>
      <c r="J198" s="22">
        <v>0</v>
      </c>
    </row>
    <row r="199" spans="1:10" s="21" customFormat="1" ht="12" customHeight="1" x14ac:dyDescent="0.2">
      <c r="A199" s="264" t="s">
        <v>219</v>
      </c>
      <c r="B199" s="264"/>
      <c r="C199" s="22">
        <v>196</v>
      </c>
      <c r="D199" s="22">
        <v>174</v>
      </c>
      <c r="E199" s="22">
        <f t="shared" si="47"/>
        <v>22</v>
      </c>
      <c r="F199" s="22">
        <v>13</v>
      </c>
      <c r="G199" s="22">
        <v>9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220</v>
      </c>
      <c r="B200" s="264"/>
      <c r="C200" s="22">
        <v>2958</v>
      </c>
      <c r="D200" s="22">
        <v>2295</v>
      </c>
      <c r="E200" s="22">
        <f t="shared" si="47"/>
        <v>663</v>
      </c>
      <c r="F200" s="22">
        <v>489</v>
      </c>
      <c r="G200" s="22">
        <v>172</v>
      </c>
      <c r="H200" s="22">
        <v>2</v>
      </c>
      <c r="I200" s="22">
        <v>0</v>
      </c>
      <c r="J200" s="22">
        <v>0</v>
      </c>
    </row>
    <row r="201" spans="1:10" s="21" customFormat="1" ht="12" customHeight="1" x14ac:dyDescent="0.2">
      <c r="A201" s="264" t="s">
        <v>221</v>
      </c>
      <c r="B201" s="264"/>
      <c r="C201" s="22">
        <v>872</v>
      </c>
      <c r="D201" s="22">
        <v>617</v>
      </c>
      <c r="E201" s="22">
        <f t="shared" si="47"/>
        <v>255</v>
      </c>
      <c r="F201" s="22">
        <v>168</v>
      </c>
      <c r="G201" s="22">
        <v>78</v>
      </c>
      <c r="H201" s="22">
        <v>9</v>
      </c>
      <c r="I201" s="22">
        <v>0</v>
      </c>
      <c r="J201" s="22">
        <v>0</v>
      </c>
    </row>
    <row r="202" spans="1:10" s="21" customFormat="1" ht="12" customHeight="1" x14ac:dyDescent="0.2">
      <c r="A202" s="264" t="s">
        <v>224</v>
      </c>
      <c r="B202" s="264"/>
      <c r="C202" s="22">
        <v>349</v>
      </c>
      <c r="D202" s="22">
        <v>272</v>
      </c>
      <c r="E202" s="22">
        <f t="shared" si="47"/>
        <v>77</v>
      </c>
      <c r="F202" s="22">
        <v>53</v>
      </c>
      <c r="G202" s="22">
        <v>24</v>
      </c>
      <c r="H202" s="22">
        <v>0</v>
      </c>
      <c r="I202" s="22">
        <v>0</v>
      </c>
      <c r="J202" s="22">
        <v>0</v>
      </c>
    </row>
    <row r="203" spans="1:10" s="21" customFormat="1" ht="12" customHeight="1" x14ac:dyDescent="0.2">
      <c r="A203" s="264" t="s">
        <v>225</v>
      </c>
      <c r="B203" s="264"/>
      <c r="C203" s="22">
        <v>762</v>
      </c>
      <c r="D203" s="22">
        <v>450</v>
      </c>
      <c r="E203" s="22">
        <f t="shared" si="47"/>
        <v>312</v>
      </c>
      <c r="F203" s="22">
        <v>209</v>
      </c>
      <c r="G203" s="22">
        <v>94</v>
      </c>
      <c r="H203" s="22">
        <v>7</v>
      </c>
      <c r="I203" s="22">
        <v>2</v>
      </c>
      <c r="J203" s="22">
        <v>0</v>
      </c>
    </row>
    <row r="204" spans="1:10" s="21" customFormat="1" ht="12" customHeight="1" x14ac:dyDescent="0.2">
      <c r="A204" s="264" t="s">
        <v>226</v>
      </c>
      <c r="B204" s="264"/>
      <c r="C204" s="22">
        <v>415</v>
      </c>
      <c r="D204" s="22">
        <v>304</v>
      </c>
      <c r="E204" s="22">
        <f t="shared" si="47"/>
        <v>111</v>
      </c>
      <c r="F204" s="22">
        <v>69</v>
      </c>
      <c r="G204" s="22">
        <v>42</v>
      </c>
      <c r="H204" s="22">
        <v>0</v>
      </c>
      <c r="I204" s="22">
        <v>0</v>
      </c>
      <c r="J204" s="22">
        <v>0</v>
      </c>
    </row>
    <row r="205" spans="1:10" s="21" customFormat="1" ht="12" customHeight="1" x14ac:dyDescent="0.2">
      <c r="A205" s="264" t="s">
        <v>227</v>
      </c>
      <c r="B205" s="264"/>
      <c r="C205" s="22">
        <v>1077</v>
      </c>
      <c r="D205" s="22">
        <v>819</v>
      </c>
      <c r="E205" s="22">
        <f t="shared" si="47"/>
        <v>258</v>
      </c>
      <c r="F205" s="22">
        <v>135</v>
      </c>
      <c r="G205" s="22">
        <v>96</v>
      </c>
      <c r="H205" s="22">
        <v>20</v>
      </c>
      <c r="I205" s="22">
        <v>7</v>
      </c>
      <c r="J205" s="22">
        <v>0</v>
      </c>
    </row>
    <row r="206" spans="1:10" s="21" customFormat="1" ht="12" customHeight="1" x14ac:dyDescent="0.2">
      <c r="A206" s="267" t="s">
        <v>228</v>
      </c>
      <c r="B206" s="267"/>
      <c r="C206" s="28">
        <v>80</v>
      </c>
      <c r="D206" s="28">
        <v>76</v>
      </c>
      <c r="E206" s="28">
        <f t="shared" si="47"/>
        <v>4</v>
      </c>
      <c r="F206" s="28">
        <v>0</v>
      </c>
      <c r="G206" s="28">
        <v>4</v>
      </c>
      <c r="H206" s="28">
        <v>0</v>
      </c>
      <c r="I206" s="28">
        <v>0</v>
      </c>
      <c r="J206" s="28">
        <v>0</v>
      </c>
    </row>
    <row r="207" spans="1:10" s="21" customFormat="1" ht="12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s="21" customFormat="1" ht="12" customHeight="1" x14ac:dyDescent="0.2">
      <c r="A208" s="263" t="s">
        <v>229</v>
      </c>
      <c r="B208" s="263"/>
      <c r="C208" s="20">
        <v>350363</v>
      </c>
      <c r="D208" s="20">
        <v>253633</v>
      </c>
      <c r="E208" s="20">
        <f t="shared" ref="E208:E216" si="48">SUM(F208:J208)</f>
        <v>96730</v>
      </c>
      <c r="F208" s="20">
        <v>60937</v>
      </c>
      <c r="G208" s="20">
        <v>34627</v>
      </c>
      <c r="H208" s="20">
        <v>831</v>
      </c>
      <c r="I208" s="20">
        <v>297</v>
      </c>
      <c r="J208" s="20">
        <v>38</v>
      </c>
    </row>
    <row r="209" spans="1:10" s="21" customFormat="1" ht="12" customHeight="1" x14ac:dyDescent="0.2">
      <c r="A209" s="264" t="s">
        <v>230</v>
      </c>
      <c r="B209" s="264"/>
      <c r="C209" s="22">
        <v>51073</v>
      </c>
      <c r="D209" s="22">
        <v>38478</v>
      </c>
      <c r="E209" s="22">
        <f t="shared" si="48"/>
        <v>12595</v>
      </c>
      <c r="F209" s="22">
        <v>7137</v>
      </c>
      <c r="G209" s="22">
        <v>5253</v>
      </c>
      <c r="H209" s="22">
        <v>138</v>
      </c>
      <c r="I209" s="22">
        <v>67</v>
      </c>
      <c r="J209" s="22">
        <v>0</v>
      </c>
    </row>
    <row r="210" spans="1:10" s="21" customFormat="1" ht="12" customHeight="1" x14ac:dyDescent="0.2">
      <c r="A210" s="264" t="s">
        <v>231</v>
      </c>
      <c r="B210" s="264"/>
      <c r="C210" s="22">
        <v>150948</v>
      </c>
      <c r="D210" s="22">
        <v>103564</v>
      </c>
      <c r="E210" s="22">
        <f t="shared" si="48"/>
        <v>47384</v>
      </c>
      <c r="F210" s="22">
        <v>27858</v>
      </c>
      <c r="G210" s="22">
        <v>18991</v>
      </c>
      <c r="H210" s="22">
        <v>374</v>
      </c>
      <c r="I210" s="22">
        <v>123</v>
      </c>
      <c r="J210" s="22">
        <v>38</v>
      </c>
    </row>
    <row r="211" spans="1:10" s="21" customFormat="1" ht="12" customHeight="1" x14ac:dyDescent="0.2">
      <c r="A211" s="264" t="s">
        <v>232</v>
      </c>
      <c r="B211" s="264"/>
      <c r="C211" s="22">
        <v>63440</v>
      </c>
      <c r="D211" s="22">
        <v>47910</v>
      </c>
      <c r="E211" s="22">
        <f t="shared" si="48"/>
        <v>15530</v>
      </c>
      <c r="F211" s="22">
        <v>10863</v>
      </c>
      <c r="G211" s="22">
        <v>4531</v>
      </c>
      <c r="H211" s="22">
        <v>110</v>
      </c>
      <c r="I211" s="22">
        <v>26</v>
      </c>
      <c r="J211" s="22">
        <v>0</v>
      </c>
    </row>
    <row r="212" spans="1:10" s="21" customFormat="1" ht="12" customHeight="1" x14ac:dyDescent="0.2">
      <c r="A212" s="264" t="s">
        <v>233</v>
      </c>
      <c r="B212" s="264"/>
      <c r="C212" s="22">
        <v>6021</v>
      </c>
      <c r="D212" s="22">
        <v>5346</v>
      </c>
      <c r="E212" s="22">
        <f t="shared" si="48"/>
        <v>675</v>
      </c>
      <c r="F212" s="22">
        <v>461</v>
      </c>
      <c r="G212" s="22">
        <v>211</v>
      </c>
      <c r="H212" s="22">
        <v>1</v>
      </c>
      <c r="I212" s="22">
        <v>2</v>
      </c>
      <c r="J212" s="22">
        <v>0</v>
      </c>
    </row>
    <row r="213" spans="1:10" s="21" customFormat="1" ht="12" customHeight="1" x14ac:dyDescent="0.2">
      <c r="A213" s="264" t="s">
        <v>234</v>
      </c>
      <c r="B213" s="264"/>
      <c r="C213" s="22">
        <v>50803</v>
      </c>
      <c r="D213" s="22">
        <v>37306</v>
      </c>
      <c r="E213" s="22">
        <f t="shared" si="48"/>
        <v>13497</v>
      </c>
      <c r="F213" s="22">
        <v>9666</v>
      </c>
      <c r="G213" s="22">
        <v>3682</v>
      </c>
      <c r="H213" s="22">
        <v>105</v>
      </c>
      <c r="I213" s="22">
        <v>44</v>
      </c>
      <c r="J213" s="22">
        <v>0</v>
      </c>
    </row>
    <row r="214" spans="1:10" s="21" customFormat="1" ht="12" customHeight="1" x14ac:dyDescent="0.2">
      <c r="A214" s="264" t="s">
        <v>235</v>
      </c>
      <c r="B214" s="264"/>
      <c r="C214" s="22">
        <v>13013</v>
      </c>
      <c r="D214" s="22">
        <v>9101</v>
      </c>
      <c r="E214" s="22">
        <f t="shared" si="48"/>
        <v>3912</v>
      </c>
      <c r="F214" s="22">
        <v>2965</v>
      </c>
      <c r="G214" s="22">
        <v>876</v>
      </c>
      <c r="H214" s="22">
        <v>51</v>
      </c>
      <c r="I214" s="22">
        <v>20</v>
      </c>
      <c r="J214" s="22">
        <v>0</v>
      </c>
    </row>
    <row r="215" spans="1:10" s="21" customFormat="1" ht="12" customHeight="1" x14ac:dyDescent="0.2">
      <c r="A215" s="264" t="s">
        <v>236</v>
      </c>
      <c r="B215" s="264"/>
      <c r="C215" s="22">
        <v>5653</v>
      </c>
      <c r="D215" s="22">
        <v>5140</v>
      </c>
      <c r="E215" s="22">
        <f t="shared" si="48"/>
        <v>513</v>
      </c>
      <c r="F215" s="22">
        <v>321</v>
      </c>
      <c r="G215" s="22">
        <v>188</v>
      </c>
      <c r="H215" s="22">
        <v>1</v>
      </c>
      <c r="I215" s="22">
        <v>3</v>
      </c>
      <c r="J215" s="22">
        <v>0</v>
      </c>
    </row>
    <row r="216" spans="1:10" s="21" customFormat="1" ht="12" customHeight="1" x14ac:dyDescent="0.2">
      <c r="A216" s="267" t="s">
        <v>237</v>
      </c>
      <c r="B216" s="267"/>
      <c r="C216" s="28">
        <v>9412</v>
      </c>
      <c r="D216" s="28">
        <v>6788</v>
      </c>
      <c r="E216" s="28">
        <f t="shared" si="48"/>
        <v>2624</v>
      </c>
      <c r="F216" s="28">
        <v>1666</v>
      </c>
      <c r="G216" s="28">
        <v>895</v>
      </c>
      <c r="H216" s="28">
        <v>51</v>
      </c>
      <c r="I216" s="28">
        <v>12</v>
      </c>
      <c r="J216" s="28">
        <v>0</v>
      </c>
    </row>
    <row r="217" spans="1:10" s="21" customFormat="1" ht="12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spans="1:10" s="21" customFormat="1" ht="12" customHeight="1" x14ac:dyDescent="0.2">
      <c r="A218" s="263" t="s">
        <v>364</v>
      </c>
      <c r="B218" s="263"/>
      <c r="C218" s="20">
        <v>310003</v>
      </c>
      <c r="D218" s="20">
        <v>222421</v>
      </c>
      <c r="E218" s="20">
        <f>SUM(F218:J218)</f>
        <v>87582</v>
      </c>
      <c r="F218" s="20">
        <v>54754</v>
      </c>
      <c r="G218" s="20">
        <v>31812</v>
      </c>
      <c r="H218" s="20">
        <v>720</v>
      </c>
      <c r="I218" s="20">
        <v>258</v>
      </c>
      <c r="J218" s="20">
        <v>38</v>
      </c>
    </row>
    <row r="219" spans="1:10" s="21" customFormat="1" ht="12" customHeight="1" x14ac:dyDescent="0.2">
      <c r="A219" s="264" t="s">
        <v>234</v>
      </c>
      <c r="B219" s="264"/>
      <c r="C219" s="22">
        <v>52858</v>
      </c>
      <c r="D219" s="22">
        <v>38955</v>
      </c>
      <c r="E219" s="22">
        <f>SUM(F219:J219)</f>
        <v>13903</v>
      </c>
      <c r="F219" s="22">
        <v>10000</v>
      </c>
      <c r="G219" s="22">
        <v>3754</v>
      </c>
      <c r="H219" s="22">
        <v>105</v>
      </c>
      <c r="I219" s="22">
        <v>44</v>
      </c>
      <c r="J219" s="22">
        <v>0</v>
      </c>
    </row>
    <row r="220" spans="1:10" s="21" customFormat="1" ht="12" customHeight="1" x14ac:dyDescent="0.2">
      <c r="A220" s="264" t="s">
        <v>238</v>
      </c>
      <c r="B220" s="264"/>
      <c r="C220" s="22">
        <v>51562</v>
      </c>
      <c r="D220" s="22">
        <v>38873</v>
      </c>
      <c r="E220" s="22">
        <f>SUM(F220:J220)</f>
        <v>12689</v>
      </c>
      <c r="F220" s="22">
        <v>7170</v>
      </c>
      <c r="G220" s="22">
        <v>5314</v>
      </c>
      <c r="H220" s="22">
        <v>138</v>
      </c>
      <c r="I220" s="22">
        <v>67</v>
      </c>
      <c r="J220" s="22">
        <v>0</v>
      </c>
    </row>
    <row r="221" spans="1:10" s="21" customFormat="1" ht="12" customHeight="1" x14ac:dyDescent="0.2">
      <c r="A221" s="264" t="s">
        <v>232</v>
      </c>
      <c r="B221" s="264"/>
      <c r="C221" s="22">
        <v>62931</v>
      </c>
      <c r="D221" s="22">
        <v>47569</v>
      </c>
      <c r="E221" s="22">
        <f>SUM(F221:J221)</f>
        <v>15362</v>
      </c>
      <c r="F221" s="22">
        <v>10758</v>
      </c>
      <c r="G221" s="22">
        <v>4474</v>
      </c>
      <c r="H221" s="22">
        <v>105</v>
      </c>
      <c r="I221" s="22">
        <v>25</v>
      </c>
      <c r="J221" s="22">
        <v>0</v>
      </c>
    </row>
    <row r="222" spans="1:10" s="21" customFormat="1" ht="12" customHeight="1" x14ac:dyDescent="0.2">
      <c r="A222" s="267" t="s">
        <v>231</v>
      </c>
      <c r="B222" s="267"/>
      <c r="C222" s="28">
        <v>142652</v>
      </c>
      <c r="D222" s="28">
        <v>97024</v>
      </c>
      <c r="E222" s="28">
        <f>SUM(F222:J222)</f>
        <v>45628</v>
      </c>
      <c r="F222" s="28">
        <v>26826</v>
      </c>
      <c r="G222" s="28">
        <v>18270</v>
      </c>
      <c r="H222" s="28">
        <v>372</v>
      </c>
      <c r="I222" s="28">
        <v>122</v>
      </c>
      <c r="J222" s="28">
        <v>38</v>
      </c>
    </row>
    <row r="223" spans="1:10" s="33" customFormat="1" ht="12" customHeight="1" x14ac:dyDescent="0.15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</row>
    <row r="224" spans="1:10" s="34" customFormat="1" ht="12" customHeight="1" x14ac:dyDescent="0.2">
      <c r="A224" s="286" t="s">
        <v>349</v>
      </c>
      <c r="B224" s="286"/>
      <c r="C224" s="286"/>
      <c r="D224" s="286"/>
      <c r="E224" s="286"/>
      <c r="F224" s="286"/>
      <c r="G224" s="286"/>
      <c r="H224" s="286"/>
      <c r="I224" s="286"/>
      <c r="J224" s="286"/>
    </row>
    <row r="225" spans="1:10" s="34" customFormat="1" ht="12" customHeight="1" x14ac:dyDescent="0.2">
      <c r="A225" s="286" t="s">
        <v>363</v>
      </c>
      <c r="B225" s="286"/>
      <c r="C225" s="286"/>
      <c r="D225" s="286"/>
      <c r="E225" s="286"/>
      <c r="F225" s="286"/>
      <c r="G225" s="286"/>
      <c r="H225" s="286"/>
      <c r="I225" s="286"/>
    </row>
    <row r="226" spans="1:10" s="54" customFormat="1" ht="5.25" customHeight="1" x14ac:dyDescent="0.15">
      <c r="A226" s="313"/>
      <c r="B226" s="313"/>
      <c r="C226" s="313"/>
      <c r="D226" s="313"/>
      <c r="E226" s="313"/>
      <c r="F226" s="313"/>
      <c r="G226" s="313"/>
      <c r="H226" s="313"/>
      <c r="I226" s="313"/>
      <c r="J226" s="313"/>
    </row>
    <row r="227" spans="1:10" s="35" customFormat="1" ht="11.25" x14ac:dyDescent="0.2">
      <c r="A227" s="286" t="s">
        <v>339</v>
      </c>
      <c r="B227" s="286"/>
      <c r="C227" s="286"/>
      <c r="D227" s="286"/>
      <c r="E227" s="286"/>
      <c r="F227" s="286"/>
      <c r="G227" s="286"/>
      <c r="H227" s="286"/>
      <c r="I227" s="286"/>
      <c r="J227" s="286"/>
    </row>
    <row r="228" spans="1:10" s="33" customFormat="1" ht="5.25" customHeight="1" x14ac:dyDescent="0.2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</row>
    <row r="229" spans="1:10" s="36" customFormat="1" ht="11.25" x14ac:dyDescent="0.2">
      <c r="A229" s="286" t="s">
        <v>351</v>
      </c>
      <c r="B229" s="286"/>
      <c r="C229" s="286"/>
      <c r="D229" s="286"/>
      <c r="E229" s="286"/>
      <c r="F229" s="286"/>
      <c r="G229" s="286"/>
      <c r="H229" s="286"/>
      <c r="I229" s="286"/>
      <c r="J229" s="286"/>
    </row>
    <row r="230" spans="1:10" s="36" customFormat="1" ht="11.25" x14ac:dyDescent="0.2">
      <c r="A230" s="286" t="s">
        <v>352</v>
      </c>
      <c r="B230" s="286"/>
      <c r="C230" s="286"/>
      <c r="D230" s="286"/>
      <c r="E230" s="286"/>
      <c r="F230" s="286"/>
      <c r="G230" s="286"/>
      <c r="H230" s="286"/>
      <c r="I230" s="286"/>
      <c r="J230" s="286"/>
    </row>
  </sheetData>
  <mergeCells count="199">
    <mergeCell ref="A224:J224"/>
    <mergeCell ref="A226:J226"/>
    <mergeCell ref="A227:J227"/>
    <mergeCell ref="A228:J228"/>
    <mergeCell ref="A229:J229"/>
    <mergeCell ref="A230:J230"/>
    <mergeCell ref="A225:I225"/>
    <mergeCell ref="A218:B218"/>
    <mergeCell ref="A219:B219"/>
    <mergeCell ref="A220:B220"/>
    <mergeCell ref="A221:B221"/>
    <mergeCell ref="A222:B222"/>
    <mergeCell ref="A223:J223"/>
    <mergeCell ref="A211:B211"/>
    <mergeCell ref="A212:B212"/>
    <mergeCell ref="A213:B213"/>
    <mergeCell ref="A214:B214"/>
    <mergeCell ref="A215:B215"/>
    <mergeCell ref="A216:B216"/>
    <mergeCell ref="A204:B204"/>
    <mergeCell ref="A205:B205"/>
    <mergeCell ref="A206:B206"/>
    <mergeCell ref="A208:B208"/>
    <mergeCell ref="A209:B209"/>
    <mergeCell ref="A210:B210"/>
    <mergeCell ref="A198:B198"/>
    <mergeCell ref="A199:B199"/>
    <mergeCell ref="A200:B200"/>
    <mergeCell ref="A201:B201"/>
    <mergeCell ref="A202:B202"/>
    <mergeCell ref="A203:B203"/>
    <mergeCell ref="A191:B191"/>
    <mergeCell ref="A192:B192"/>
    <mergeCell ref="A193:B193"/>
    <mergeCell ref="A195:B195"/>
    <mergeCell ref="A196:B196"/>
    <mergeCell ref="A197:B197"/>
    <mergeCell ref="A184:B184"/>
    <mergeCell ref="A185:B185"/>
    <mergeCell ref="A186:B186"/>
    <mergeCell ref="A187:B187"/>
    <mergeCell ref="A188:B188"/>
    <mergeCell ref="A190:B190"/>
    <mergeCell ref="A177:B177"/>
    <mergeCell ref="A178:B178"/>
    <mergeCell ref="A179:B179"/>
    <mergeCell ref="A180:B180"/>
    <mergeCell ref="A182:B182"/>
    <mergeCell ref="A183:B183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1:B161"/>
    <mergeCell ref="A163:B163"/>
    <mergeCell ref="A164:B164"/>
    <mergeCell ref="A151:B151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2:B122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8:B68"/>
    <mergeCell ref="A70:B70"/>
    <mergeCell ref="A71:B71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7:B57"/>
    <mergeCell ref="A58:B58"/>
    <mergeCell ref="A39:B39"/>
    <mergeCell ref="A40:B40"/>
    <mergeCell ref="A42:B42"/>
    <mergeCell ref="A43:B43"/>
    <mergeCell ref="A44:B44"/>
    <mergeCell ref="A47:B47"/>
    <mergeCell ref="A25:B25"/>
    <mergeCell ref="A26:B26"/>
    <mergeCell ref="A29:B29"/>
    <mergeCell ref="A32:B32"/>
    <mergeCell ref="A33:B33"/>
    <mergeCell ref="A38:B38"/>
    <mergeCell ref="A21:B21"/>
    <mergeCell ref="A23:B23"/>
    <mergeCell ref="A24:B24"/>
    <mergeCell ref="A6:B6"/>
    <mergeCell ref="E6:J6"/>
    <mergeCell ref="A7:B7"/>
    <mergeCell ref="A8:B8"/>
    <mergeCell ref="A9:B9"/>
    <mergeCell ref="A10:B10"/>
    <mergeCell ref="A1:J1"/>
    <mergeCell ref="A2:J2"/>
    <mergeCell ref="A3:J3"/>
    <mergeCell ref="A4:J4"/>
    <mergeCell ref="A5:B5"/>
    <mergeCell ref="E5:J5"/>
    <mergeCell ref="A12:B12"/>
    <mergeCell ref="A13:B13"/>
    <mergeCell ref="A17:B17"/>
  </mergeCells>
  <pageMargins left="0" right="0" top="0" bottom="0" header="0" footer="0"/>
  <pageSetup paperSize="9" scale="83" orientation="portrait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11"/>
  <dimension ref="A1:J230"/>
  <sheetViews>
    <sheetView workbookViewId="0">
      <selection sqref="A1:J1"/>
    </sheetView>
  </sheetViews>
  <sheetFormatPr defaultRowHeight="12" customHeight="1" x14ac:dyDescent="0.2"/>
  <cols>
    <col min="1" max="1" width="1.7109375" style="1" customWidth="1"/>
    <col min="2" max="2" width="28.14062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117" customFormat="1" ht="12.75" customHeight="1" x14ac:dyDescent="0.2">
      <c r="A2" s="289" t="s">
        <v>347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C12+C23+C38+C42+C52</f>
        <v>346539</v>
      </c>
      <c r="D10" s="16">
        <f t="shared" si="0"/>
        <v>252173</v>
      </c>
      <c r="E10" s="16">
        <f t="shared" si="0"/>
        <v>94366</v>
      </c>
      <c r="F10" s="16">
        <f t="shared" si="0"/>
        <v>61042</v>
      </c>
      <c r="G10" s="16">
        <f t="shared" si="0"/>
        <v>32239</v>
      </c>
      <c r="H10" s="16">
        <f t="shared" si="0"/>
        <v>591</v>
      </c>
      <c r="I10" s="16">
        <f t="shared" si="0"/>
        <v>466</v>
      </c>
      <c r="J10" s="16">
        <f t="shared" si="0"/>
        <v>28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29405</v>
      </c>
      <c r="D12" s="20">
        <f t="shared" si="1"/>
        <v>22207</v>
      </c>
      <c r="E12" s="20">
        <f t="shared" si="1"/>
        <v>7198</v>
      </c>
      <c r="F12" s="20">
        <f t="shared" si="1"/>
        <v>5051</v>
      </c>
      <c r="G12" s="20">
        <f t="shared" si="1"/>
        <v>2017</v>
      </c>
      <c r="H12" s="20">
        <f t="shared" si="1"/>
        <v>80</v>
      </c>
      <c r="I12" s="20">
        <f t="shared" si="1"/>
        <v>50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9377</v>
      </c>
      <c r="D13" s="22">
        <f t="shared" si="2"/>
        <v>6771</v>
      </c>
      <c r="E13" s="22">
        <f t="shared" si="2"/>
        <v>2606</v>
      </c>
      <c r="F13" s="22">
        <f t="shared" si="2"/>
        <v>1683</v>
      </c>
      <c r="G13" s="22">
        <f t="shared" si="2"/>
        <v>871</v>
      </c>
      <c r="H13" s="22">
        <f t="shared" si="2"/>
        <v>29</v>
      </c>
      <c r="I13" s="22">
        <f t="shared" si="2"/>
        <v>23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C196+C197+C199+C204+C205</f>
        <v>3292</v>
      </c>
      <c r="D14" s="22">
        <f t="shared" si="3"/>
        <v>2558</v>
      </c>
      <c r="E14" s="22">
        <f t="shared" si="3"/>
        <v>734</v>
      </c>
      <c r="F14" s="22">
        <f t="shared" si="3"/>
        <v>442</v>
      </c>
      <c r="G14" s="22">
        <f t="shared" si="3"/>
        <v>274</v>
      </c>
      <c r="H14" s="22">
        <f t="shared" si="3"/>
        <v>11</v>
      </c>
      <c r="I14" s="22">
        <f t="shared" si="3"/>
        <v>7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+C200+C206</f>
        <v>3071</v>
      </c>
      <c r="D15" s="22">
        <f t="shared" si="4"/>
        <v>2367</v>
      </c>
      <c r="E15" s="22">
        <f t="shared" si="4"/>
        <v>704</v>
      </c>
      <c r="F15" s="22">
        <f t="shared" si="4"/>
        <v>495</v>
      </c>
      <c r="G15" s="22">
        <f t="shared" si="4"/>
        <v>208</v>
      </c>
      <c r="H15" s="22">
        <f t="shared" si="4"/>
        <v>0</v>
      </c>
      <c r="I15" s="22">
        <f t="shared" si="4"/>
        <v>1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C198+C201+C202+C203</f>
        <v>3014</v>
      </c>
      <c r="D16" s="22">
        <f t="shared" si="5"/>
        <v>1846</v>
      </c>
      <c r="E16" s="22">
        <f t="shared" si="5"/>
        <v>1168</v>
      </c>
      <c r="F16" s="22">
        <f t="shared" si="5"/>
        <v>746</v>
      </c>
      <c r="G16" s="22">
        <f t="shared" si="5"/>
        <v>389</v>
      </c>
      <c r="H16" s="22">
        <f t="shared" si="5"/>
        <v>18</v>
      </c>
      <c r="I16" s="22">
        <f t="shared" si="5"/>
        <v>15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5659</v>
      </c>
      <c r="D17" s="22">
        <f t="shared" si="6"/>
        <v>5163</v>
      </c>
      <c r="E17" s="22">
        <f t="shared" si="6"/>
        <v>496</v>
      </c>
      <c r="F17" s="22">
        <f t="shared" si="6"/>
        <v>314</v>
      </c>
      <c r="G17" s="22">
        <f t="shared" si="6"/>
        <v>177</v>
      </c>
      <c r="H17" s="22">
        <f t="shared" si="6"/>
        <v>0</v>
      </c>
      <c r="I17" s="22">
        <f t="shared" si="6"/>
        <v>5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+C192</f>
        <v>1708</v>
      </c>
      <c r="D18" s="22">
        <f t="shared" si="7"/>
        <v>1608</v>
      </c>
      <c r="E18" s="22">
        <f t="shared" si="7"/>
        <v>100</v>
      </c>
      <c r="F18" s="22">
        <f t="shared" si="7"/>
        <v>63</v>
      </c>
      <c r="G18" s="22">
        <f t="shared" si="7"/>
        <v>37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+C191</f>
        <v>1862</v>
      </c>
      <c r="D19" s="22">
        <f t="shared" si="8"/>
        <v>1642</v>
      </c>
      <c r="E19" s="22">
        <f t="shared" si="8"/>
        <v>220</v>
      </c>
      <c r="F19" s="22">
        <f t="shared" si="8"/>
        <v>146</v>
      </c>
      <c r="G19" s="22">
        <f t="shared" si="8"/>
        <v>74</v>
      </c>
      <c r="H19" s="22">
        <f t="shared" si="8"/>
        <v>0</v>
      </c>
      <c r="I19" s="22">
        <f t="shared" si="8"/>
        <v>0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C193</f>
        <v>2089</v>
      </c>
      <c r="D20" s="22">
        <f t="shared" si="9"/>
        <v>1913</v>
      </c>
      <c r="E20" s="22">
        <f t="shared" si="9"/>
        <v>176</v>
      </c>
      <c r="F20" s="22">
        <f t="shared" si="9"/>
        <v>105</v>
      </c>
      <c r="G20" s="22">
        <f t="shared" si="9"/>
        <v>66</v>
      </c>
      <c r="H20" s="22">
        <f t="shared" si="9"/>
        <v>0</v>
      </c>
      <c r="I20" s="22">
        <f t="shared" si="9"/>
        <v>5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C183+C184+C185+C169+C186+C187+C174+C188+C177</f>
        <v>14369</v>
      </c>
      <c r="D21" s="28">
        <f t="shared" si="10"/>
        <v>10273</v>
      </c>
      <c r="E21" s="28">
        <f t="shared" si="10"/>
        <v>4096</v>
      </c>
      <c r="F21" s="28">
        <f t="shared" si="10"/>
        <v>3054</v>
      </c>
      <c r="G21" s="28">
        <f t="shared" si="10"/>
        <v>969</v>
      </c>
      <c r="H21" s="28">
        <f t="shared" si="10"/>
        <v>51</v>
      </c>
      <c r="I21" s="28">
        <f t="shared" si="10"/>
        <v>22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342</v>
      </c>
      <c r="B23" s="263"/>
      <c r="C23" s="20">
        <f t="shared" ref="C23:J23" si="11">C24+C25+C26+C29+C32+C33</f>
        <v>69202</v>
      </c>
      <c r="D23" s="20">
        <f t="shared" si="11"/>
        <v>53078</v>
      </c>
      <c r="E23" s="20">
        <f t="shared" si="11"/>
        <v>16124</v>
      </c>
      <c r="F23" s="20">
        <f t="shared" si="11"/>
        <v>11416</v>
      </c>
      <c r="G23" s="20">
        <f t="shared" si="11"/>
        <v>4580</v>
      </c>
      <c r="H23" s="20">
        <f t="shared" si="11"/>
        <v>76</v>
      </c>
      <c r="I23" s="20">
        <f t="shared" si="11"/>
        <v>52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C125+C127+C128+C138+C139+C141+C143+C145+C146</f>
        <v>41398</v>
      </c>
      <c r="D24" s="22">
        <f t="shared" si="12"/>
        <v>29694</v>
      </c>
      <c r="E24" s="22">
        <f t="shared" si="12"/>
        <v>11704</v>
      </c>
      <c r="F24" s="22">
        <f t="shared" si="12"/>
        <v>8204</v>
      </c>
      <c r="G24" s="22">
        <f t="shared" si="12"/>
        <v>3403</v>
      </c>
      <c r="H24" s="22">
        <f t="shared" si="12"/>
        <v>62</v>
      </c>
      <c r="I24" s="22">
        <f t="shared" si="12"/>
        <v>35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C133</f>
        <v>5073</v>
      </c>
      <c r="D25" s="22">
        <f t="shared" si="13"/>
        <v>4020</v>
      </c>
      <c r="E25" s="22">
        <f t="shared" si="13"/>
        <v>1053</v>
      </c>
      <c r="F25" s="22">
        <f t="shared" si="13"/>
        <v>709</v>
      </c>
      <c r="G25" s="22">
        <f t="shared" si="13"/>
        <v>342</v>
      </c>
      <c r="H25" s="22">
        <f t="shared" si="13"/>
        <v>2</v>
      </c>
      <c r="I25" s="22">
        <f t="shared" si="13"/>
        <v>0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12248</v>
      </c>
      <c r="D26" s="22">
        <f t="shared" si="14"/>
        <v>10019</v>
      </c>
      <c r="E26" s="22">
        <f t="shared" si="14"/>
        <v>2229</v>
      </c>
      <c r="F26" s="22">
        <f t="shared" si="14"/>
        <v>1694</v>
      </c>
      <c r="G26" s="22">
        <f t="shared" si="14"/>
        <v>506</v>
      </c>
      <c r="H26" s="22">
        <f t="shared" si="14"/>
        <v>12</v>
      </c>
      <c r="I26" s="22">
        <f t="shared" si="14"/>
        <v>17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C126+C130+C132+C140+C147+C151</f>
        <v>897</v>
      </c>
      <c r="D27" s="22">
        <f t="shared" si="15"/>
        <v>838</v>
      </c>
      <c r="E27" s="22">
        <f t="shared" si="15"/>
        <v>59</v>
      </c>
      <c r="F27" s="22">
        <f t="shared" si="15"/>
        <v>36</v>
      </c>
      <c r="G27" s="22">
        <f t="shared" si="15"/>
        <v>23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C131+C134+C137+C148</f>
        <v>11351</v>
      </c>
      <c r="D28" s="22">
        <f t="shared" si="16"/>
        <v>9181</v>
      </c>
      <c r="E28" s="22">
        <f t="shared" si="16"/>
        <v>2170</v>
      </c>
      <c r="F28" s="22">
        <f t="shared" si="16"/>
        <v>1658</v>
      </c>
      <c r="G28" s="22">
        <f t="shared" si="16"/>
        <v>483</v>
      </c>
      <c r="H28" s="22">
        <f t="shared" si="16"/>
        <v>12</v>
      </c>
      <c r="I28" s="22">
        <f t="shared" si="16"/>
        <v>17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3786</v>
      </c>
      <c r="D29" s="22">
        <f t="shared" si="17"/>
        <v>3365</v>
      </c>
      <c r="E29" s="22">
        <f t="shared" si="17"/>
        <v>421</v>
      </c>
      <c r="F29" s="22">
        <f t="shared" si="17"/>
        <v>306</v>
      </c>
      <c r="G29" s="22">
        <f t="shared" si="17"/>
        <v>115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+C129</f>
        <v>1177</v>
      </c>
      <c r="D30" s="22">
        <f t="shared" si="18"/>
        <v>1059</v>
      </c>
      <c r="E30" s="22">
        <f t="shared" si="18"/>
        <v>118</v>
      </c>
      <c r="F30" s="22">
        <f t="shared" si="18"/>
        <v>90</v>
      </c>
      <c r="G30" s="22">
        <f t="shared" si="18"/>
        <v>28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C149</f>
        <v>2609</v>
      </c>
      <c r="D31" s="22">
        <f t="shared" si="19"/>
        <v>2306</v>
      </c>
      <c r="E31" s="22">
        <f t="shared" si="19"/>
        <v>303</v>
      </c>
      <c r="F31" s="22">
        <f t="shared" si="19"/>
        <v>216</v>
      </c>
      <c r="G31" s="22">
        <f t="shared" si="19"/>
        <v>87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C135+C136+C142+C144+C150</f>
        <v>730</v>
      </c>
      <c r="D32" s="22">
        <f t="shared" si="20"/>
        <v>675</v>
      </c>
      <c r="E32" s="22">
        <f t="shared" si="20"/>
        <v>55</v>
      </c>
      <c r="F32" s="22">
        <f t="shared" si="20"/>
        <v>45</v>
      </c>
      <c r="G32" s="22">
        <f t="shared" si="20"/>
        <v>10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343</v>
      </c>
      <c r="B33" s="264"/>
      <c r="C33" s="22">
        <f t="shared" ref="C33:J33" si="21">C34+C35+C36</f>
        <v>5967</v>
      </c>
      <c r="D33" s="22">
        <f t="shared" si="21"/>
        <v>5305</v>
      </c>
      <c r="E33" s="22">
        <f t="shared" si="21"/>
        <v>662</v>
      </c>
      <c r="F33" s="22">
        <f t="shared" si="21"/>
        <v>458</v>
      </c>
      <c r="G33" s="22">
        <f t="shared" si="21"/>
        <v>204</v>
      </c>
      <c r="H33" s="22">
        <f t="shared" si="21"/>
        <v>0</v>
      </c>
      <c r="I33" s="22">
        <f t="shared" si="21"/>
        <v>0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C159</f>
        <v>563</v>
      </c>
      <c r="D34" s="22">
        <f t="shared" si="22"/>
        <v>530</v>
      </c>
      <c r="E34" s="22">
        <f t="shared" si="22"/>
        <v>33</v>
      </c>
      <c r="F34" s="22">
        <f t="shared" si="22"/>
        <v>17</v>
      </c>
      <c r="G34" s="22">
        <f t="shared" si="22"/>
        <v>16</v>
      </c>
      <c r="H34" s="22">
        <f t="shared" si="22"/>
        <v>0</v>
      </c>
      <c r="I34" s="22">
        <f t="shared" si="22"/>
        <v>0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C155+C156+C157+C160</f>
        <v>219</v>
      </c>
      <c r="D35" s="22">
        <f t="shared" si="23"/>
        <v>192</v>
      </c>
      <c r="E35" s="22">
        <f t="shared" si="23"/>
        <v>27</v>
      </c>
      <c r="F35" s="22">
        <f t="shared" si="23"/>
        <v>14</v>
      </c>
      <c r="G35" s="22">
        <f t="shared" si="23"/>
        <v>13</v>
      </c>
      <c r="H35" s="22">
        <f t="shared" si="23"/>
        <v>0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344</v>
      </c>
      <c r="C36" s="28">
        <f t="shared" ref="C36:J36" si="24">C154+C158+C161</f>
        <v>5185</v>
      </c>
      <c r="D36" s="28">
        <f t="shared" si="24"/>
        <v>4583</v>
      </c>
      <c r="E36" s="28">
        <f t="shared" si="24"/>
        <v>602</v>
      </c>
      <c r="F36" s="28">
        <f t="shared" si="24"/>
        <v>427</v>
      </c>
      <c r="G36" s="28">
        <f t="shared" si="24"/>
        <v>175</v>
      </c>
      <c r="H36" s="28">
        <f t="shared" si="24"/>
        <v>0</v>
      </c>
      <c r="I36" s="28">
        <f t="shared" si="24"/>
        <v>0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48345</v>
      </c>
      <c r="D38" s="20">
        <f t="shared" si="25"/>
        <v>35194</v>
      </c>
      <c r="E38" s="20">
        <f t="shared" si="25"/>
        <v>13151</v>
      </c>
      <c r="F38" s="20">
        <f t="shared" si="25"/>
        <v>9517</v>
      </c>
      <c r="G38" s="20">
        <f t="shared" si="25"/>
        <v>3518</v>
      </c>
      <c r="H38" s="20">
        <f t="shared" si="25"/>
        <v>76</v>
      </c>
      <c r="I38" s="20">
        <f t="shared" si="25"/>
        <v>40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C164+C165+C167+C168+C170+C173+C175+C176+C179+C180</f>
        <v>42660</v>
      </c>
      <c r="D39" s="22">
        <f t="shared" si="26"/>
        <v>31305</v>
      </c>
      <c r="E39" s="22">
        <f t="shared" si="26"/>
        <v>11355</v>
      </c>
      <c r="F39" s="22">
        <f t="shared" si="26"/>
        <v>8209</v>
      </c>
      <c r="G39" s="22">
        <f t="shared" si="26"/>
        <v>3049</v>
      </c>
      <c r="H39" s="22">
        <f t="shared" si="26"/>
        <v>66</v>
      </c>
      <c r="I39" s="22">
        <f t="shared" si="26"/>
        <v>31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+C166+C171+C178</f>
        <v>5685</v>
      </c>
      <c r="D40" s="28">
        <f t="shared" si="27"/>
        <v>3889</v>
      </c>
      <c r="E40" s="28">
        <f t="shared" si="27"/>
        <v>1796</v>
      </c>
      <c r="F40" s="28">
        <f t="shared" si="27"/>
        <v>1308</v>
      </c>
      <c r="G40" s="28">
        <f t="shared" si="27"/>
        <v>469</v>
      </c>
      <c r="H40" s="28">
        <f t="shared" si="27"/>
        <v>10</v>
      </c>
      <c r="I40" s="28">
        <f t="shared" si="27"/>
        <v>9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C43+C44+C47</f>
        <v>144102</v>
      </c>
      <c r="D42" s="20">
        <f t="shared" si="28"/>
        <v>99445</v>
      </c>
      <c r="E42" s="20">
        <f t="shared" si="28"/>
        <v>44657</v>
      </c>
      <c r="F42" s="20">
        <f t="shared" si="28"/>
        <v>27188</v>
      </c>
      <c r="G42" s="20">
        <f t="shared" si="28"/>
        <v>16955</v>
      </c>
      <c r="H42" s="20">
        <f t="shared" si="28"/>
        <v>256</v>
      </c>
      <c r="I42" s="20">
        <f t="shared" si="28"/>
        <v>231</v>
      </c>
      <c r="J42" s="20">
        <f t="shared" si="28"/>
        <v>27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C82+C83+C86+C87+C89+C91+C93+C94+C98+C100+C105+C106+C110+C113+C116+C118+C121+C122</f>
        <v>97807</v>
      </c>
      <c r="D43" s="22">
        <f t="shared" si="29"/>
        <v>62558</v>
      </c>
      <c r="E43" s="22">
        <f t="shared" si="29"/>
        <v>35249</v>
      </c>
      <c r="F43" s="22">
        <f t="shared" si="29"/>
        <v>20719</v>
      </c>
      <c r="G43" s="22">
        <f t="shared" si="29"/>
        <v>14046</v>
      </c>
      <c r="H43" s="22">
        <f t="shared" si="29"/>
        <v>251</v>
      </c>
      <c r="I43" s="22">
        <f t="shared" si="29"/>
        <v>206</v>
      </c>
      <c r="J43" s="22">
        <f t="shared" si="29"/>
        <v>27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</f>
        <v>23041</v>
      </c>
      <c r="D44" s="22">
        <f t="shared" si="30"/>
        <v>18891</v>
      </c>
      <c r="E44" s="22">
        <f t="shared" si="30"/>
        <v>4150</v>
      </c>
      <c r="F44" s="22">
        <f t="shared" si="30"/>
        <v>2884</v>
      </c>
      <c r="G44" s="22">
        <f t="shared" si="30"/>
        <v>1243</v>
      </c>
      <c r="H44" s="22">
        <f t="shared" si="30"/>
        <v>2</v>
      </c>
      <c r="I44" s="22">
        <f t="shared" si="30"/>
        <v>21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C76+C103+C92+C172+C96+C101+C119</f>
        <v>13344</v>
      </c>
      <c r="D45" s="22">
        <f t="shared" si="31"/>
        <v>10441</v>
      </c>
      <c r="E45" s="22">
        <f t="shared" si="31"/>
        <v>2903</v>
      </c>
      <c r="F45" s="22">
        <f t="shared" si="31"/>
        <v>2027</v>
      </c>
      <c r="G45" s="22">
        <f t="shared" si="31"/>
        <v>853</v>
      </c>
      <c r="H45" s="22">
        <f t="shared" si="31"/>
        <v>2</v>
      </c>
      <c r="I45" s="22">
        <f t="shared" si="31"/>
        <v>21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C84+C109+C111</f>
        <v>9697</v>
      </c>
      <c r="D46" s="22">
        <f t="shared" si="32"/>
        <v>8450</v>
      </c>
      <c r="E46" s="22">
        <f t="shared" si="32"/>
        <v>1247</v>
      </c>
      <c r="F46" s="22">
        <f t="shared" si="32"/>
        <v>857</v>
      </c>
      <c r="G46" s="22">
        <f t="shared" si="32"/>
        <v>390</v>
      </c>
      <c r="H46" s="22">
        <f t="shared" si="32"/>
        <v>0</v>
      </c>
      <c r="I46" s="22">
        <f t="shared" si="32"/>
        <v>0</v>
      </c>
      <c r="J46" s="22">
        <f t="shared" si="32"/>
        <v>0</v>
      </c>
    </row>
    <row r="47" spans="1:10" s="21" customFormat="1" ht="12" customHeight="1" x14ac:dyDescent="0.2">
      <c r="A47" s="264" t="s">
        <v>44</v>
      </c>
      <c r="B47" s="264"/>
      <c r="C47" s="22">
        <f t="shared" ref="C47:J47" si="33">C48+C49+C50</f>
        <v>23254</v>
      </c>
      <c r="D47" s="22">
        <f t="shared" si="33"/>
        <v>17996</v>
      </c>
      <c r="E47" s="22">
        <f t="shared" si="33"/>
        <v>5258</v>
      </c>
      <c r="F47" s="22">
        <f t="shared" si="33"/>
        <v>3585</v>
      </c>
      <c r="G47" s="22">
        <f t="shared" si="33"/>
        <v>1666</v>
      </c>
      <c r="H47" s="22">
        <f t="shared" si="33"/>
        <v>3</v>
      </c>
      <c r="I47" s="22">
        <f t="shared" si="33"/>
        <v>4</v>
      </c>
      <c r="J47" s="22">
        <f t="shared" si="33"/>
        <v>0</v>
      </c>
    </row>
    <row r="48" spans="1:10" s="21" customFormat="1" ht="12" customHeight="1" x14ac:dyDescent="0.2">
      <c r="A48" s="30"/>
      <c r="B48" s="24" t="s">
        <v>45</v>
      </c>
      <c r="C48" s="22">
        <f t="shared" ref="C48:J48" si="34">+C72+C73+C81+C102</f>
        <v>2734</v>
      </c>
      <c r="D48" s="22">
        <f t="shared" si="34"/>
        <v>2410</v>
      </c>
      <c r="E48" s="22">
        <f t="shared" si="34"/>
        <v>324</v>
      </c>
      <c r="F48" s="22">
        <f t="shared" si="34"/>
        <v>208</v>
      </c>
      <c r="G48" s="22">
        <f t="shared" si="34"/>
        <v>116</v>
      </c>
      <c r="H48" s="22">
        <f t="shared" si="34"/>
        <v>0</v>
      </c>
      <c r="I48" s="22">
        <f t="shared" si="34"/>
        <v>0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46</v>
      </c>
      <c r="C49" s="22">
        <f t="shared" ref="C49:J49" si="35">C75+C77+C88+C90+C104+C108+C114+C117</f>
        <v>6172</v>
      </c>
      <c r="D49" s="22">
        <f t="shared" si="35"/>
        <v>5120</v>
      </c>
      <c r="E49" s="22">
        <f t="shared" si="35"/>
        <v>1052</v>
      </c>
      <c r="F49" s="22">
        <f t="shared" si="35"/>
        <v>679</v>
      </c>
      <c r="G49" s="22">
        <f t="shared" si="35"/>
        <v>372</v>
      </c>
      <c r="H49" s="22">
        <f t="shared" si="35"/>
        <v>0</v>
      </c>
      <c r="I49" s="22">
        <f t="shared" si="35"/>
        <v>1</v>
      </c>
      <c r="J49" s="22">
        <f t="shared" si="35"/>
        <v>0</v>
      </c>
    </row>
    <row r="50" spans="1:10" s="21" customFormat="1" ht="12" customHeight="1" x14ac:dyDescent="0.2">
      <c r="A50" s="30"/>
      <c r="B50" s="30" t="s">
        <v>47</v>
      </c>
      <c r="C50" s="28">
        <f t="shared" ref="C50:J50" si="36">C71+C78+C85+C95+C107+C112+C120</f>
        <v>14348</v>
      </c>
      <c r="D50" s="28">
        <f t="shared" si="36"/>
        <v>10466</v>
      </c>
      <c r="E50" s="28">
        <f t="shared" si="36"/>
        <v>3882</v>
      </c>
      <c r="F50" s="28">
        <f t="shared" si="36"/>
        <v>2698</v>
      </c>
      <c r="G50" s="28">
        <f t="shared" si="36"/>
        <v>1178</v>
      </c>
      <c r="H50" s="28">
        <f t="shared" si="36"/>
        <v>3</v>
      </c>
      <c r="I50" s="28">
        <f t="shared" si="36"/>
        <v>3</v>
      </c>
      <c r="J50" s="28">
        <f t="shared" si="36"/>
        <v>0</v>
      </c>
    </row>
    <row r="51" spans="1:10" s="21" customFormat="1" ht="12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 s="19" customFormat="1" ht="12" customHeight="1" x14ac:dyDescent="0.2">
      <c r="A52" s="263" t="s">
        <v>48</v>
      </c>
      <c r="B52" s="263"/>
      <c r="C52" s="20">
        <f t="shared" ref="C52:J52" si="37">C53+C54+C55</f>
        <v>55485</v>
      </c>
      <c r="D52" s="20">
        <f t="shared" si="37"/>
        <v>42249</v>
      </c>
      <c r="E52" s="20">
        <f t="shared" si="37"/>
        <v>13236</v>
      </c>
      <c r="F52" s="20">
        <f t="shared" si="37"/>
        <v>7870</v>
      </c>
      <c r="G52" s="20">
        <f t="shared" si="37"/>
        <v>5169</v>
      </c>
      <c r="H52" s="20">
        <f t="shared" si="37"/>
        <v>103</v>
      </c>
      <c r="I52" s="20">
        <f t="shared" si="37"/>
        <v>93</v>
      </c>
      <c r="J52" s="20">
        <f t="shared" si="37"/>
        <v>1</v>
      </c>
    </row>
    <row r="53" spans="1:10" s="21" customFormat="1" ht="12" customHeight="1" x14ac:dyDescent="0.2">
      <c r="A53" s="264" t="s">
        <v>49</v>
      </c>
      <c r="B53" s="264"/>
      <c r="C53" s="22">
        <f t="shared" ref="C53:J53" si="38">C58+C61+C64+C68</f>
        <v>19340</v>
      </c>
      <c r="D53" s="22">
        <f t="shared" si="38"/>
        <v>13372</v>
      </c>
      <c r="E53" s="22">
        <f t="shared" si="38"/>
        <v>5968</v>
      </c>
      <c r="F53" s="22">
        <f t="shared" si="38"/>
        <v>3565</v>
      </c>
      <c r="G53" s="22">
        <f t="shared" si="38"/>
        <v>2240</v>
      </c>
      <c r="H53" s="22">
        <f t="shared" si="38"/>
        <v>85</v>
      </c>
      <c r="I53" s="22">
        <f t="shared" si="38"/>
        <v>78</v>
      </c>
      <c r="J53" s="22">
        <f t="shared" si="38"/>
        <v>0</v>
      </c>
    </row>
    <row r="54" spans="1:10" s="21" customFormat="1" ht="12" customHeight="1" x14ac:dyDescent="0.2">
      <c r="A54" s="264" t="s">
        <v>50</v>
      </c>
      <c r="B54" s="264"/>
      <c r="C54" s="22">
        <f t="shared" ref="C54:J54" si="39">C74+C79+C80+C62+C63+C97+C99+C65+C66+C115+C67</f>
        <v>32110</v>
      </c>
      <c r="D54" s="22">
        <f t="shared" si="39"/>
        <v>25289</v>
      </c>
      <c r="E54" s="22">
        <f t="shared" si="39"/>
        <v>6821</v>
      </c>
      <c r="F54" s="22">
        <f t="shared" si="39"/>
        <v>4009</v>
      </c>
      <c r="G54" s="22">
        <f t="shared" si="39"/>
        <v>2783</v>
      </c>
      <c r="H54" s="22">
        <f t="shared" si="39"/>
        <v>18</v>
      </c>
      <c r="I54" s="22">
        <f t="shared" si="39"/>
        <v>10</v>
      </c>
      <c r="J54" s="22">
        <f t="shared" si="39"/>
        <v>1</v>
      </c>
    </row>
    <row r="55" spans="1:10" s="21" customFormat="1" ht="12" customHeight="1" x14ac:dyDescent="0.2">
      <c r="A55" s="267" t="s">
        <v>51</v>
      </c>
      <c r="B55" s="267"/>
      <c r="C55" s="28">
        <f t="shared" ref="C55:J55" si="40">C60+C59</f>
        <v>4035</v>
      </c>
      <c r="D55" s="28">
        <f t="shared" si="40"/>
        <v>3588</v>
      </c>
      <c r="E55" s="28">
        <f t="shared" si="40"/>
        <v>447</v>
      </c>
      <c r="F55" s="28">
        <f t="shared" si="40"/>
        <v>296</v>
      </c>
      <c r="G55" s="28">
        <f t="shared" si="40"/>
        <v>146</v>
      </c>
      <c r="H55" s="28">
        <f t="shared" si="40"/>
        <v>0</v>
      </c>
      <c r="I55" s="28">
        <f t="shared" si="40"/>
        <v>5</v>
      </c>
      <c r="J55" s="28">
        <f t="shared" si="40"/>
        <v>0</v>
      </c>
    </row>
    <row r="56" spans="1:10" s="21" customFormat="1" ht="12" customHeight="1" x14ac:dyDescent="0.2">
      <c r="A56" s="25"/>
      <c r="B56" s="31"/>
      <c r="C56" s="32"/>
      <c r="D56" s="32"/>
      <c r="E56" s="32"/>
      <c r="F56" s="32"/>
      <c r="G56" s="32"/>
      <c r="H56" s="32"/>
      <c r="I56" s="32"/>
      <c r="J56" s="32"/>
    </row>
    <row r="57" spans="1:10" s="21" customFormat="1" ht="12" customHeight="1" x14ac:dyDescent="0.2">
      <c r="A57" s="269" t="s">
        <v>52</v>
      </c>
      <c r="B57" s="269"/>
      <c r="C57" s="18">
        <v>50357</v>
      </c>
      <c r="D57" s="18">
        <v>38397</v>
      </c>
      <c r="E57" s="18">
        <v>11960</v>
      </c>
      <c r="F57" s="18">
        <v>7159</v>
      </c>
      <c r="G57" s="18">
        <v>4605</v>
      </c>
      <c r="H57" s="18">
        <v>103</v>
      </c>
      <c r="I57" s="18">
        <v>93</v>
      </c>
      <c r="J57" s="18">
        <v>0</v>
      </c>
    </row>
    <row r="58" spans="1:10" s="21" customFormat="1" ht="12" customHeight="1" x14ac:dyDescent="0.2">
      <c r="A58" s="264" t="s">
        <v>53</v>
      </c>
      <c r="B58" s="264"/>
      <c r="C58" s="22">
        <v>3359</v>
      </c>
      <c r="D58" s="22">
        <v>2580</v>
      </c>
      <c r="E58" s="22">
        <v>779</v>
      </c>
      <c r="F58" s="22">
        <v>506</v>
      </c>
      <c r="G58" s="22">
        <v>272</v>
      </c>
      <c r="H58" s="22">
        <v>1</v>
      </c>
      <c r="I58" s="22">
        <v>0</v>
      </c>
      <c r="J58" s="22">
        <v>0</v>
      </c>
    </row>
    <row r="59" spans="1:10" s="21" customFormat="1" ht="12" customHeight="1" x14ac:dyDescent="0.2">
      <c r="A59" s="264" t="s">
        <v>55</v>
      </c>
      <c r="B59" s="264"/>
      <c r="C59" s="22">
        <v>1966</v>
      </c>
      <c r="D59" s="22">
        <v>1776</v>
      </c>
      <c r="E59" s="22">
        <v>190</v>
      </c>
      <c r="F59" s="22">
        <v>128</v>
      </c>
      <c r="G59" s="22">
        <v>57</v>
      </c>
      <c r="H59" s="22">
        <v>0</v>
      </c>
      <c r="I59" s="22">
        <v>5</v>
      </c>
      <c r="J59" s="22">
        <v>0</v>
      </c>
    </row>
    <row r="60" spans="1:10" s="21" customFormat="1" ht="12" customHeight="1" x14ac:dyDescent="0.2">
      <c r="A60" s="264" t="s">
        <v>56</v>
      </c>
      <c r="B60" s="264"/>
      <c r="C60" s="22">
        <v>2069</v>
      </c>
      <c r="D60" s="22">
        <v>1812</v>
      </c>
      <c r="E60" s="22">
        <v>257</v>
      </c>
      <c r="F60" s="22">
        <v>168</v>
      </c>
      <c r="G60" s="22">
        <v>89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57</v>
      </c>
      <c r="B61" s="264"/>
      <c r="C61" s="22">
        <v>8074</v>
      </c>
      <c r="D61" s="22">
        <v>4867</v>
      </c>
      <c r="E61" s="22">
        <v>3207</v>
      </c>
      <c r="F61" s="22">
        <v>1794</v>
      </c>
      <c r="G61" s="22">
        <v>1262</v>
      </c>
      <c r="H61" s="22">
        <v>80</v>
      </c>
      <c r="I61" s="22">
        <v>71</v>
      </c>
      <c r="J61" s="22">
        <v>0</v>
      </c>
    </row>
    <row r="62" spans="1:10" s="21" customFormat="1" ht="12" customHeight="1" x14ac:dyDescent="0.2">
      <c r="A62" s="264" t="s">
        <v>58</v>
      </c>
      <c r="B62" s="264"/>
      <c r="C62" s="22">
        <v>2750</v>
      </c>
      <c r="D62" s="22">
        <v>2220</v>
      </c>
      <c r="E62" s="22">
        <v>530</v>
      </c>
      <c r="F62" s="22">
        <v>343</v>
      </c>
      <c r="G62" s="22">
        <v>186</v>
      </c>
      <c r="H62" s="22">
        <v>1</v>
      </c>
      <c r="I62" s="22">
        <v>0</v>
      </c>
      <c r="J62" s="22">
        <v>0</v>
      </c>
    </row>
    <row r="63" spans="1:10" s="21" customFormat="1" ht="12" customHeight="1" x14ac:dyDescent="0.2">
      <c r="A63" s="264" t="s">
        <v>60</v>
      </c>
      <c r="B63" s="264"/>
      <c r="C63" s="22">
        <v>14789</v>
      </c>
      <c r="D63" s="22">
        <v>11586</v>
      </c>
      <c r="E63" s="22">
        <v>3203</v>
      </c>
      <c r="F63" s="22">
        <v>1762</v>
      </c>
      <c r="G63" s="22">
        <v>1427</v>
      </c>
      <c r="H63" s="22">
        <v>6</v>
      </c>
      <c r="I63" s="22">
        <v>8</v>
      </c>
      <c r="J63" s="22">
        <v>0</v>
      </c>
    </row>
    <row r="64" spans="1:10" s="21" customFormat="1" ht="12" customHeight="1" x14ac:dyDescent="0.2">
      <c r="A64" s="264" t="s">
        <v>62</v>
      </c>
      <c r="B64" s="264"/>
      <c r="C64" s="22">
        <v>4631</v>
      </c>
      <c r="D64" s="22">
        <v>3537</v>
      </c>
      <c r="E64" s="22">
        <v>1094</v>
      </c>
      <c r="F64" s="22">
        <v>748</v>
      </c>
      <c r="G64" s="22">
        <v>342</v>
      </c>
      <c r="H64" s="22">
        <v>3</v>
      </c>
      <c r="I64" s="22">
        <v>1</v>
      </c>
      <c r="J64" s="22">
        <v>0</v>
      </c>
    </row>
    <row r="65" spans="1:10" s="21" customFormat="1" ht="12" customHeight="1" x14ac:dyDescent="0.2">
      <c r="A65" s="264" t="s">
        <v>63</v>
      </c>
      <c r="B65" s="264"/>
      <c r="C65" s="22">
        <v>2402</v>
      </c>
      <c r="D65" s="22">
        <v>2022</v>
      </c>
      <c r="E65" s="22">
        <v>380</v>
      </c>
      <c r="F65" s="22">
        <v>276</v>
      </c>
      <c r="G65" s="22">
        <v>94</v>
      </c>
      <c r="H65" s="22">
        <v>9</v>
      </c>
      <c r="I65" s="22">
        <v>1</v>
      </c>
      <c r="J65" s="22">
        <v>0</v>
      </c>
    </row>
    <row r="66" spans="1:10" s="21" customFormat="1" ht="12" customHeight="1" x14ac:dyDescent="0.2">
      <c r="A66" s="264" t="s">
        <v>64</v>
      </c>
      <c r="B66" s="264"/>
      <c r="C66" s="22">
        <v>2581</v>
      </c>
      <c r="D66" s="22">
        <v>2127</v>
      </c>
      <c r="E66" s="22">
        <v>454</v>
      </c>
      <c r="F66" s="22">
        <v>293</v>
      </c>
      <c r="G66" s="22">
        <v>161</v>
      </c>
      <c r="H66" s="22">
        <v>0</v>
      </c>
      <c r="I66" s="22">
        <v>0</v>
      </c>
      <c r="J66" s="22">
        <v>0</v>
      </c>
    </row>
    <row r="67" spans="1:10" s="21" customFormat="1" ht="12" customHeight="1" x14ac:dyDescent="0.2">
      <c r="A67" s="264" t="s">
        <v>65</v>
      </c>
      <c r="B67" s="264"/>
      <c r="C67" s="22">
        <v>4460</v>
      </c>
      <c r="D67" s="22">
        <v>3482</v>
      </c>
      <c r="E67" s="22">
        <v>978</v>
      </c>
      <c r="F67" s="22">
        <v>624</v>
      </c>
      <c r="G67" s="22">
        <v>351</v>
      </c>
      <c r="H67" s="22">
        <v>2</v>
      </c>
      <c r="I67" s="22">
        <v>1</v>
      </c>
      <c r="J67" s="22">
        <v>0</v>
      </c>
    </row>
    <row r="68" spans="1:10" s="21" customFormat="1" ht="12" customHeight="1" x14ac:dyDescent="0.2">
      <c r="A68" s="267" t="s">
        <v>66</v>
      </c>
      <c r="B68" s="267"/>
      <c r="C68" s="28">
        <v>3276</v>
      </c>
      <c r="D68" s="28">
        <v>2388</v>
      </c>
      <c r="E68" s="28">
        <v>888</v>
      </c>
      <c r="F68" s="28">
        <v>517</v>
      </c>
      <c r="G68" s="28">
        <v>364</v>
      </c>
      <c r="H68" s="28">
        <v>1</v>
      </c>
      <c r="I68" s="28">
        <v>6</v>
      </c>
      <c r="J68" s="28">
        <v>0</v>
      </c>
    </row>
    <row r="69" spans="1:10" s="21" customFormat="1" ht="12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 s="21" customFormat="1" ht="12" customHeight="1" x14ac:dyDescent="0.2">
      <c r="A70" s="263" t="s">
        <v>67</v>
      </c>
      <c r="B70" s="263"/>
      <c r="C70" s="20">
        <v>148833</v>
      </c>
      <c r="D70" s="20">
        <v>102932</v>
      </c>
      <c r="E70" s="20">
        <v>45901</v>
      </c>
      <c r="F70" s="20">
        <v>27876</v>
      </c>
      <c r="G70" s="20">
        <v>17510</v>
      </c>
      <c r="H70" s="20">
        <v>256</v>
      </c>
      <c r="I70" s="20">
        <v>231</v>
      </c>
      <c r="J70" s="20">
        <v>28</v>
      </c>
    </row>
    <row r="71" spans="1:10" s="21" customFormat="1" ht="12" customHeight="1" x14ac:dyDescent="0.2">
      <c r="A71" s="264" t="s">
        <v>68</v>
      </c>
      <c r="B71" s="264"/>
      <c r="C71" s="22">
        <v>4304</v>
      </c>
      <c r="D71" s="22">
        <v>2912</v>
      </c>
      <c r="E71" s="22">
        <v>1392</v>
      </c>
      <c r="F71" s="22">
        <v>1006</v>
      </c>
      <c r="G71" s="22">
        <v>386</v>
      </c>
      <c r="H71" s="22">
        <v>0</v>
      </c>
      <c r="I71" s="22">
        <v>0</v>
      </c>
      <c r="J71" s="22">
        <v>0</v>
      </c>
    </row>
    <row r="72" spans="1:10" s="21" customFormat="1" ht="12" customHeight="1" x14ac:dyDescent="0.2">
      <c r="A72" s="264" t="s">
        <v>69</v>
      </c>
      <c r="B72" s="264"/>
      <c r="C72" s="22">
        <v>1373</v>
      </c>
      <c r="D72" s="22">
        <v>1266</v>
      </c>
      <c r="E72" s="22">
        <v>107</v>
      </c>
      <c r="F72" s="22">
        <v>68</v>
      </c>
      <c r="G72" s="22">
        <v>39</v>
      </c>
      <c r="H72" s="22">
        <v>0</v>
      </c>
      <c r="I72" s="22">
        <v>0</v>
      </c>
      <c r="J72" s="22">
        <v>0</v>
      </c>
    </row>
    <row r="73" spans="1:10" s="21" customFormat="1" ht="12" customHeight="1" x14ac:dyDescent="0.2">
      <c r="A73" s="264" t="s">
        <v>70</v>
      </c>
      <c r="B73" s="264"/>
      <c r="C73" s="22">
        <v>325</v>
      </c>
      <c r="D73" s="22">
        <v>277</v>
      </c>
      <c r="E73" s="22">
        <v>48</v>
      </c>
      <c r="F73" s="22">
        <v>40</v>
      </c>
      <c r="G73" s="22">
        <v>8</v>
      </c>
      <c r="H73" s="22">
        <v>0</v>
      </c>
      <c r="I73" s="22">
        <v>0</v>
      </c>
      <c r="J73" s="22">
        <v>0</v>
      </c>
    </row>
    <row r="74" spans="1:10" s="21" customFormat="1" ht="12" customHeight="1" x14ac:dyDescent="0.2">
      <c r="A74" s="264" t="s">
        <v>71</v>
      </c>
      <c r="B74" s="264"/>
      <c r="C74" s="22">
        <v>960</v>
      </c>
      <c r="D74" s="22">
        <v>833</v>
      </c>
      <c r="E74" s="22">
        <v>127</v>
      </c>
      <c r="F74" s="22">
        <v>81</v>
      </c>
      <c r="G74" s="22">
        <v>46</v>
      </c>
      <c r="H74" s="22">
        <v>0</v>
      </c>
      <c r="I74" s="22">
        <v>0</v>
      </c>
      <c r="J74" s="22">
        <v>0</v>
      </c>
    </row>
    <row r="75" spans="1:10" s="21" customFormat="1" ht="12" customHeight="1" x14ac:dyDescent="0.2">
      <c r="A75" s="264" t="s">
        <v>72</v>
      </c>
      <c r="B75" s="264"/>
      <c r="C75" s="22">
        <v>297</v>
      </c>
      <c r="D75" s="22">
        <v>253</v>
      </c>
      <c r="E75" s="22">
        <v>44</v>
      </c>
      <c r="F75" s="22">
        <v>30</v>
      </c>
      <c r="G75" s="22">
        <v>14</v>
      </c>
      <c r="H75" s="22">
        <v>0</v>
      </c>
      <c r="I75" s="22">
        <v>0</v>
      </c>
      <c r="J75" s="22">
        <v>0</v>
      </c>
    </row>
    <row r="76" spans="1:10" s="21" customFormat="1" ht="12" customHeight="1" x14ac:dyDescent="0.2">
      <c r="A76" s="264" t="s">
        <v>73</v>
      </c>
      <c r="B76" s="264"/>
      <c r="C76" s="22">
        <v>1529</v>
      </c>
      <c r="D76" s="22">
        <v>1255</v>
      </c>
      <c r="E76" s="22">
        <v>274</v>
      </c>
      <c r="F76" s="22">
        <v>226</v>
      </c>
      <c r="G76" s="22">
        <v>48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74</v>
      </c>
      <c r="B77" s="264"/>
      <c r="C77" s="22">
        <v>639</v>
      </c>
      <c r="D77" s="22">
        <v>566</v>
      </c>
      <c r="E77" s="22">
        <v>73</v>
      </c>
      <c r="F77" s="22">
        <v>49</v>
      </c>
      <c r="G77" s="22">
        <v>24</v>
      </c>
      <c r="H77" s="22">
        <v>0</v>
      </c>
      <c r="I77" s="22">
        <v>0</v>
      </c>
      <c r="J77" s="22">
        <v>0</v>
      </c>
    </row>
    <row r="78" spans="1:10" s="21" customFormat="1" ht="12" customHeight="1" x14ac:dyDescent="0.2">
      <c r="A78" s="264" t="s">
        <v>75</v>
      </c>
      <c r="B78" s="264"/>
      <c r="C78" s="22">
        <v>2560</v>
      </c>
      <c r="D78" s="22">
        <v>2035</v>
      </c>
      <c r="E78" s="22">
        <v>525</v>
      </c>
      <c r="F78" s="22">
        <v>325</v>
      </c>
      <c r="G78" s="22">
        <v>195</v>
      </c>
      <c r="H78" s="22">
        <v>2</v>
      </c>
      <c r="I78" s="22">
        <v>3</v>
      </c>
      <c r="J78" s="22">
        <v>0</v>
      </c>
    </row>
    <row r="79" spans="1:10" s="21" customFormat="1" ht="12" customHeight="1" x14ac:dyDescent="0.2">
      <c r="A79" s="264" t="s">
        <v>77</v>
      </c>
      <c r="B79" s="264"/>
      <c r="C79" s="22">
        <v>879</v>
      </c>
      <c r="D79" s="22">
        <v>532</v>
      </c>
      <c r="E79" s="22">
        <v>347</v>
      </c>
      <c r="F79" s="22">
        <v>170</v>
      </c>
      <c r="G79" s="22">
        <v>176</v>
      </c>
      <c r="H79" s="22">
        <v>0</v>
      </c>
      <c r="I79" s="22">
        <v>0</v>
      </c>
      <c r="J79" s="22">
        <v>1</v>
      </c>
    </row>
    <row r="80" spans="1:10" s="21" customFormat="1" ht="12" customHeight="1" x14ac:dyDescent="0.2">
      <c r="A80" s="264" t="s">
        <v>79</v>
      </c>
      <c r="B80" s="264"/>
      <c r="C80" s="22">
        <v>472</v>
      </c>
      <c r="D80" s="22">
        <v>393</v>
      </c>
      <c r="E80" s="22">
        <v>79</v>
      </c>
      <c r="F80" s="22">
        <v>31</v>
      </c>
      <c r="G80" s="22">
        <v>48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80</v>
      </c>
      <c r="B81" s="264"/>
      <c r="C81" s="22">
        <v>747</v>
      </c>
      <c r="D81" s="22">
        <v>618</v>
      </c>
      <c r="E81" s="22">
        <v>129</v>
      </c>
      <c r="F81" s="22">
        <v>76</v>
      </c>
      <c r="G81" s="22">
        <v>53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81</v>
      </c>
      <c r="B82" s="264"/>
      <c r="C82" s="22">
        <v>1512</v>
      </c>
      <c r="D82" s="22">
        <v>1082</v>
      </c>
      <c r="E82" s="22">
        <v>430</v>
      </c>
      <c r="F82" s="22">
        <v>336</v>
      </c>
      <c r="G82" s="22">
        <v>94</v>
      </c>
      <c r="H82" s="22">
        <v>0</v>
      </c>
      <c r="I82" s="22">
        <v>0</v>
      </c>
      <c r="J82" s="22">
        <v>0</v>
      </c>
    </row>
    <row r="83" spans="1:10" s="21" customFormat="1" ht="12" customHeight="1" x14ac:dyDescent="0.2">
      <c r="A83" s="264" t="s">
        <v>84</v>
      </c>
      <c r="B83" s="264"/>
      <c r="C83" s="22">
        <v>2065</v>
      </c>
      <c r="D83" s="22">
        <v>1621</v>
      </c>
      <c r="E83" s="22">
        <v>444</v>
      </c>
      <c r="F83" s="22">
        <v>275</v>
      </c>
      <c r="G83" s="22">
        <v>160</v>
      </c>
      <c r="H83" s="22">
        <v>8</v>
      </c>
      <c r="I83" s="22">
        <v>1</v>
      </c>
      <c r="J83" s="22">
        <v>0</v>
      </c>
    </row>
    <row r="84" spans="1:10" s="21" customFormat="1" ht="12" customHeight="1" x14ac:dyDescent="0.2">
      <c r="A84" s="264" t="s">
        <v>85</v>
      </c>
      <c r="B84" s="264"/>
      <c r="C84" s="22">
        <v>6458</v>
      </c>
      <c r="D84" s="22">
        <v>5716</v>
      </c>
      <c r="E84" s="22">
        <v>742</v>
      </c>
      <c r="F84" s="22">
        <v>511</v>
      </c>
      <c r="G84" s="22">
        <v>231</v>
      </c>
      <c r="H84" s="22">
        <v>0</v>
      </c>
      <c r="I84" s="22">
        <v>0</v>
      </c>
      <c r="J84" s="22">
        <v>0</v>
      </c>
    </row>
    <row r="85" spans="1:10" s="21" customFormat="1" ht="12" customHeight="1" x14ac:dyDescent="0.2">
      <c r="A85" s="264" t="s">
        <v>88</v>
      </c>
      <c r="B85" s="264"/>
      <c r="C85" s="22">
        <v>4256</v>
      </c>
      <c r="D85" s="22">
        <v>3046</v>
      </c>
      <c r="E85" s="22">
        <v>1210</v>
      </c>
      <c r="F85" s="22">
        <v>885</v>
      </c>
      <c r="G85" s="22">
        <v>324</v>
      </c>
      <c r="H85" s="22">
        <v>1</v>
      </c>
      <c r="I85" s="22">
        <v>0</v>
      </c>
      <c r="J85" s="22">
        <v>0</v>
      </c>
    </row>
    <row r="86" spans="1:10" s="21" customFormat="1" ht="12" customHeight="1" x14ac:dyDescent="0.2">
      <c r="A86" s="264" t="s">
        <v>91</v>
      </c>
      <c r="B86" s="264"/>
      <c r="C86" s="22">
        <v>4525</v>
      </c>
      <c r="D86" s="22">
        <v>3167</v>
      </c>
      <c r="E86" s="22">
        <v>1358</v>
      </c>
      <c r="F86" s="22">
        <v>687</v>
      </c>
      <c r="G86" s="22">
        <v>671</v>
      </c>
      <c r="H86" s="22">
        <v>0</v>
      </c>
      <c r="I86" s="22">
        <v>0</v>
      </c>
      <c r="J86" s="22">
        <v>0</v>
      </c>
    </row>
    <row r="87" spans="1:10" s="21" customFormat="1" ht="12" customHeight="1" x14ac:dyDescent="0.2">
      <c r="A87" s="264" t="s">
        <v>92</v>
      </c>
      <c r="B87" s="264"/>
      <c r="C87" s="22">
        <v>2061</v>
      </c>
      <c r="D87" s="22">
        <v>1821</v>
      </c>
      <c r="E87" s="22">
        <v>240</v>
      </c>
      <c r="F87" s="22">
        <v>178</v>
      </c>
      <c r="G87" s="22">
        <v>62</v>
      </c>
      <c r="H87" s="22">
        <v>0</v>
      </c>
      <c r="I87" s="22">
        <v>0</v>
      </c>
      <c r="J87" s="22">
        <v>0</v>
      </c>
    </row>
    <row r="88" spans="1:10" s="21" customFormat="1" ht="12" customHeight="1" x14ac:dyDescent="0.2">
      <c r="A88" s="264" t="s">
        <v>93</v>
      </c>
      <c r="B88" s="264"/>
      <c r="C88" s="22">
        <v>883</v>
      </c>
      <c r="D88" s="22">
        <v>739</v>
      </c>
      <c r="E88" s="22">
        <v>144</v>
      </c>
      <c r="F88" s="22">
        <v>88</v>
      </c>
      <c r="G88" s="22">
        <v>56</v>
      </c>
      <c r="H88" s="22">
        <v>0</v>
      </c>
      <c r="I88" s="22">
        <v>0</v>
      </c>
      <c r="J88" s="22">
        <v>0</v>
      </c>
    </row>
    <row r="89" spans="1:10" s="21" customFormat="1" ht="12" customHeight="1" x14ac:dyDescent="0.2">
      <c r="A89" s="264" t="s">
        <v>94</v>
      </c>
      <c r="B89" s="264"/>
      <c r="C89" s="22">
        <v>1299</v>
      </c>
      <c r="D89" s="22">
        <v>1117</v>
      </c>
      <c r="E89" s="22">
        <v>182</v>
      </c>
      <c r="F89" s="22">
        <v>124</v>
      </c>
      <c r="G89" s="22">
        <v>58</v>
      </c>
      <c r="H89" s="22">
        <v>0</v>
      </c>
      <c r="I89" s="22">
        <v>0</v>
      </c>
      <c r="J89" s="22">
        <v>0</v>
      </c>
    </row>
    <row r="90" spans="1:10" s="21" customFormat="1" ht="12" customHeight="1" x14ac:dyDescent="0.2">
      <c r="A90" s="264" t="s">
        <v>95</v>
      </c>
      <c r="B90" s="264"/>
      <c r="C90" s="22">
        <v>544</v>
      </c>
      <c r="D90" s="22">
        <v>470</v>
      </c>
      <c r="E90" s="22">
        <v>74</v>
      </c>
      <c r="F90" s="22">
        <v>52</v>
      </c>
      <c r="G90" s="22">
        <v>22</v>
      </c>
      <c r="H90" s="22">
        <v>0</v>
      </c>
      <c r="I90" s="22">
        <v>0</v>
      </c>
      <c r="J90" s="22">
        <v>0</v>
      </c>
    </row>
    <row r="91" spans="1:10" s="21" customFormat="1" ht="12" customHeight="1" x14ac:dyDescent="0.2">
      <c r="A91" s="264" t="s">
        <v>96</v>
      </c>
      <c r="B91" s="264"/>
      <c r="C91" s="22">
        <v>505</v>
      </c>
      <c r="D91" s="22">
        <v>354</v>
      </c>
      <c r="E91" s="22">
        <v>151</v>
      </c>
      <c r="F91" s="22">
        <v>118</v>
      </c>
      <c r="G91" s="22">
        <v>33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97</v>
      </c>
      <c r="B92" s="264"/>
      <c r="C92" s="22">
        <v>1243</v>
      </c>
      <c r="D92" s="22">
        <v>1028</v>
      </c>
      <c r="E92" s="22">
        <v>215</v>
      </c>
      <c r="F92" s="22">
        <v>148</v>
      </c>
      <c r="G92" s="22">
        <v>67</v>
      </c>
      <c r="H92" s="22">
        <v>0</v>
      </c>
      <c r="I92" s="22">
        <v>0</v>
      </c>
      <c r="J92" s="22">
        <v>0</v>
      </c>
    </row>
    <row r="93" spans="1:10" s="21" customFormat="1" ht="12" customHeight="1" x14ac:dyDescent="0.2">
      <c r="A93" s="264" t="s">
        <v>98</v>
      </c>
      <c r="B93" s="264"/>
      <c r="C93" s="22">
        <v>1781</v>
      </c>
      <c r="D93" s="22">
        <v>1062</v>
      </c>
      <c r="E93" s="22">
        <v>719</v>
      </c>
      <c r="F93" s="22">
        <v>572</v>
      </c>
      <c r="G93" s="22">
        <v>122</v>
      </c>
      <c r="H93" s="22">
        <v>9</v>
      </c>
      <c r="I93" s="22">
        <v>16</v>
      </c>
      <c r="J93" s="22">
        <v>0</v>
      </c>
    </row>
    <row r="94" spans="1:10" s="21" customFormat="1" ht="12" customHeight="1" x14ac:dyDescent="0.2">
      <c r="A94" s="264" t="s">
        <v>99</v>
      </c>
      <c r="B94" s="264"/>
      <c r="C94" s="22">
        <v>62792</v>
      </c>
      <c r="D94" s="22">
        <v>39329</v>
      </c>
      <c r="E94" s="22">
        <v>23463</v>
      </c>
      <c r="F94" s="22">
        <v>13720</v>
      </c>
      <c r="G94" s="22">
        <v>9434</v>
      </c>
      <c r="H94" s="22">
        <v>172</v>
      </c>
      <c r="I94" s="22">
        <v>114</v>
      </c>
      <c r="J94" s="22">
        <v>23</v>
      </c>
    </row>
    <row r="95" spans="1:10" s="21" customFormat="1" ht="12" customHeight="1" x14ac:dyDescent="0.2">
      <c r="A95" s="264" t="s">
        <v>100</v>
      </c>
      <c r="B95" s="264"/>
      <c r="C95" s="22">
        <v>1501</v>
      </c>
      <c r="D95" s="22">
        <v>1151</v>
      </c>
      <c r="E95" s="22">
        <v>350</v>
      </c>
      <c r="F95" s="22">
        <v>226</v>
      </c>
      <c r="G95" s="22">
        <v>124</v>
      </c>
      <c r="H95" s="22">
        <v>0</v>
      </c>
      <c r="I95" s="22">
        <v>0</v>
      </c>
      <c r="J95" s="22">
        <v>0</v>
      </c>
    </row>
    <row r="96" spans="1:10" s="21" customFormat="1" ht="12" customHeight="1" x14ac:dyDescent="0.2">
      <c r="A96" s="264" t="s">
        <v>101</v>
      </c>
      <c r="B96" s="264"/>
      <c r="C96" s="22">
        <v>1270</v>
      </c>
      <c r="D96" s="22">
        <v>1048</v>
      </c>
      <c r="E96" s="22">
        <v>222</v>
      </c>
      <c r="F96" s="22">
        <v>166</v>
      </c>
      <c r="G96" s="22">
        <v>51</v>
      </c>
      <c r="H96" s="22">
        <v>0</v>
      </c>
      <c r="I96" s="22">
        <v>5</v>
      </c>
      <c r="J96" s="22">
        <v>0</v>
      </c>
    </row>
    <row r="97" spans="1:10" s="21" customFormat="1" ht="12" customHeight="1" x14ac:dyDescent="0.2">
      <c r="A97" s="264" t="s">
        <v>102</v>
      </c>
      <c r="B97" s="264"/>
      <c r="C97" s="22">
        <v>601</v>
      </c>
      <c r="D97" s="22">
        <v>418</v>
      </c>
      <c r="E97" s="22">
        <v>183</v>
      </c>
      <c r="F97" s="22">
        <v>110</v>
      </c>
      <c r="G97" s="22">
        <v>73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103</v>
      </c>
      <c r="B98" s="264"/>
      <c r="C98" s="22">
        <v>6119</v>
      </c>
      <c r="D98" s="22">
        <v>3537</v>
      </c>
      <c r="E98" s="22">
        <v>2582</v>
      </c>
      <c r="F98" s="22">
        <v>1602</v>
      </c>
      <c r="G98" s="22">
        <v>937</v>
      </c>
      <c r="H98" s="22">
        <v>22</v>
      </c>
      <c r="I98" s="22">
        <v>17</v>
      </c>
      <c r="J98" s="22">
        <v>4</v>
      </c>
    </row>
    <row r="99" spans="1:10" s="21" customFormat="1" ht="12" customHeight="1" x14ac:dyDescent="0.2">
      <c r="A99" s="264" t="s">
        <v>104</v>
      </c>
      <c r="B99" s="264"/>
      <c r="C99" s="22">
        <v>1418</v>
      </c>
      <c r="D99" s="22">
        <v>1029</v>
      </c>
      <c r="E99" s="22">
        <v>389</v>
      </c>
      <c r="F99" s="22">
        <v>235</v>
      </c>
      <c r="G99" s="22">
        <v>154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105</v>
      </c>
      <c r="B100" s="264"/>
      <c r="C100" s="22">
        <v>1739</v>
      </c>
      <c r="D100" s="22">
        <v>1144</v>
      </c>
      <c r="E100" s="22">
        <v>595</v>
      </c>
      <c r="F100" s="22">
        <v>373</v>
      </c>
      <c r="G100" s="22">
        <v>222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106</v>
      </c>
      <c r="B101" s="264"/>
      <c r="C101" s="22">
        <v>1308</v>
      </c>
      <c r="D101" s="22">
        <v>1094</v>
      </c>
      <c r="E101" s="22">
        <v>214</v>
      </c>
      <c r="F101" s="22">
        <v>154</v>
      </c>
      <c r="G101" s="22">
        <v>60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107</v>
      </c>
      <c r="B102" s="264"/>
      <c r="C102" s="22">
        <v>289</v>
      </c>
      <c r="D102" s="22">
        <v>249</v>
      </c>
      <c r="E102" s="22">
        <v>40</v>
      </c>
      <c r="F102" s="22">
        <v>24</v>
      </c>
      <c r="G102" s="22">
        <v>16</v>
      </c>
      <c r="H102" s="22">
        <v>0</v>
      </c>
      <c r="I102" s="22">
        <v>0</v>
      </c>
      <c r="J102" s="22">
        <v>0</v>
      </c>
    </row>
    <row r="103" spans="1:10" s="21" customFormat="1" ht="12" customHeight="1" x14ac:dyDescent="0.2">
      <c r="A103" s="264" t="s">
        <v>336</v>
      </c>
      <c r="B103" s="264"/>
      <c r="C103" s="22">
        <v>4530</v>
      </c>
      <c r="D103" s="22">
        <v>3451</v>
      </c>
      <c r="E103" s="22">
        <v>1079</v>
      </c>
      <c r="F103" s="22">
        <v>604</v>
      </c>
      <c r="G103" s="22">
        <v>475</v>
      </c>
      <c r="H103" s="22">
        <v>0</v>
      </c>
      <c r="I103" s="22">
        <v>0</v>
      </c>
      <c r="J103" s="22">
        <v>0</v>
      </c>
    </row>
    <row r="104" spans="1:10" s="21" customFormat="1" ht="12" customHeight="1" x14ac:dyDescent="0.2">
      <c r="A104" s="264" t="s">
        <v>108</v>
      </c>
      <c r="B104" s="264"/>
      <c r="C104" s="22">
        <v>892</v>
      </c>
      <c r="D104" s="22">
        <v>705</v>
      </c>
      <c r="E104" s="22">
        <v>187</v>
      </c>
      <c r="F104" s="22">
        <v>113</v>
      </c>
      <c r="G104" s="22">
        <v>74</v>
      </c>
      <c r="H104" s="22">
        <v>0</v>
      </c>
      <c r="I104" s="22">
        <v>0</v>
      </c>
      <c r="J104" s="22">
        <v>0</v>
      </c>
    </row>
    <row r="105" spans="1:10" s="21" customFormat="1" ht="12" customHeight="1" x14ac:dyDescent="0.2">
      <c r="A105" s="264" t="s">
        <v>109</v>
      </c>
      <c r="B105" s="264"/>
      <c r="C105" s="22">
        <v>707</v>
      </c>
      <c r="D105" s="22">
        <v>421</v>
      </c>
      <c r="E105" s="22">
        <v>286</v>
      </c>
      <c r="F105" s="22">
        <v>164</v>
      </c>
      <c r="G105" s="22">
        <v>122</v>
      </c>
      <c r="H105" s="22">
        <v>0</v>
      </c>
      <c r="I105" s="22">
        <v>0</v>
      </c>
      <c r="J105" s="22">
        <v>0</v>
      </c>
    </row>
    <row r="106" spans="1:10" s="21" customFormat="1" ht="12" customHeight="1" x14ac:dyDescent="0.2">
      <c r="A106" s="264" t="s">
        <v>110</v>
      </c>
      <c r="B106" s="264"/>
      <c r="C106" s="22">
        <v>844</v>
      </c>
      <c r="D106" s="22">
        <v>662</v>
      </c>
      <c r="E106" s="22">
        <v>182</v>
      </c>
      <c r="F106" s="22">
        <v>110</v>
      </c>
      <c r="G106" s="22">
        <v>72</v>
      </c>
      <c r="H106" s="22">
        <v>0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111</v>
      </c>
      <c r="B107" s="264"/>
      <c r="C107" s="22">
        <v>335</v>
      </c>
      <c r="D107" s="22">
        <v>295</v>
      </c>
      <c r="E107" s="22">
        <v>40</v>
      </c>
      <c r="F107" s="22">
        <v>31</v>
      </c>
      <c r="G107" s="22">
        <v>9</v>
      </c>
      <c r="H107" s="22">
        <v>0</v>
      </c>
      <c r="I107" s="22">
        <v>0</v>
      </c>
      <c r="J107" s="22">
        <v>0</v>
      </c>
    </row>
    <row r="108" spans="1:10" s="21" customFormat="1" ht="12" customHeight="1" x14ac:dyDescent="0.2">
      <c r="A108" s="264" t="s">
        <v>112</v>
      </c>
      <c r="B108" s="264"/>
      <c r="C108" s="22">
        <v>814</v>
      </c>
      <c r="D108" s="22">
        <v>716</v>
      </c>
      <c r="E108" s="22">
        <v>98</v>
      </c>
      <c r="F108" s="22">
        <v>51</v>
      </c>
      <c r="G108" s="22">
        <v>46</v>
      </c>
      <c r="H108" s="22">
        <v>0</v>
      </c>
      <c r="I108" s="22">
        <v>1</v>
      </c>
      <c r="J108" s="22">
        <v>0</v>
      </c>
    </row>
    <row r="109" spans="1:10" s="21" customFormat="1" ht="12" customHeight="1" x14ac:dyDescent="0.2">
      <c r="A109" s="264" t="s">
        <v>113</v>
      </c>
      <c r="B109" s="264"/>
      <c r="C109" s="22">
        <v>1435</v>
      </c>
      <c r="D109" s="22">
        <v>1175</v>
      </c>
      <c r="E109" s="22">
        <v>260</v>
      </c>
      <c r="F109" s="22">
        <v>172</v>
      </c>
      <c r="G109" s="22">
        <v>88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114</v>
      </c>
      <c r="B110" s="264"/>
      <c r="C110" s="22">
        <v>3893</v>
      </c>
      <c r="D110" s="22">
        <v>1776</v>
      </c>
      <c r="E110" s="22">
        <v>2117</v>
      </c>
      <c r="F110" s="22">
        <v>1092</v>
      </c>
      <c r="G110" s="22">
        <v>943</v>
      </c>
      <c r="H110" s="22">
        <v>31</v>
      </c>
      <c r="I110" s="22">
        <v>51</v>
      </c>
      <c r="J110" s="22">
        <v>0</v>
      </c>
    </row>
    <row r="111" spans="1:10" s="21" customFormat="1" ht="12" customHeight="1" x14ac:dyDescent="0.2">
      <c r="A111" s="264" t="s">
        <v>115</v>
      </c>
      <c r="B111" s="264"/>
      <c r="C111" s="22">
        <v>1804</v>
      </c>
      <c r="D111" s="22">
        <v>1559</v>
      </c>
      <c r="E111" s="22">
        <v>245</v>
      </c>
      <c r="F111" s="22">
        <v>174</v>
      </c>
      <c r="G111" s="22">
        <v>71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116</v>
      </c>
      <c r="B112" s="264"/>
      <c r="C112" s="22">
        <v>806</v>
      </c>
      <c r="D112" s="22">
        <v>561</v>
      </c>
      <c r="E112" s="22">
        <v>245</v>
      </c>
      <c r="F112" s="22">
        <v>151</v>
      </c>
      <c r="G112" s="22">
        <v>94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117</v>
      </c>
      <c r="B113" s="264"/>
      <c r="C113" s="22">
        <v>1595</v>
      </c>
      <c r="D113" s="22">
        <v>1226</v>
      </c>
      <c r="E113" s="22">
        <v>369</v>
      </c>
      <c r="F113" s="22">
        <v>220</v>
      </c>
      <c r="G113" s="22">
        <v>149</v>
      </c>
      <c r="H113" s="22">
        <v>0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118</v>
      </c>
      <c r="B114" s="264"/>
      <c r="C114" s="22">
        <v>1419</v>
      </c>
      <c r="D114" s="22">
        <v>1118</v>
      </c>
      <c r="E114" s="22">
        <v>301</v>
      </c>
      <c r="F114" s="22">
        <v>192</v>
      </c>
      <c r="G114" s="22">
        <v>109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120</v>
      </c>
      <c r="B115" s="264"/>
      <c r="C115" s="22">
        <v>798</v>
      </c>
      <c r="D115" s="22">
        <v>647</v>
      </c>
      <c r="E115" s="22">
        <v>151</v>
      </c>
      <c r="F115" s="22">
        <v>84</v>
      </c>
      <c r="G115" s="22">
        <v>67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121</v>
      </c>
      <c r="B116" s="264"/>
      <c r="C116" s="22">
        <v>2159</v>
      </c>
      <c r="D116" s="22">
        <v>1417</v>
      </c>
      <c r="E116" s="22">
        <v>742</v>
      </c>
      <c r="F116" s="22">
        <v>439</v>
      </c>
      <c r="G116" s="22">
        <v>297</v>
      </c>
      <c r="H116" s="22">
        <v>4</v>
      </c>
      <c r="I116" s="22">
        <v>2</v>
      </c>
      <c r="J116" s="22">
        <v>0</v>
      </c>
    </row>
    <row r="117" spans="1:10" s="21" customFormat="1" ht="12" customHeight="1" x14ac:dyDescent="0.2">
      <c r="A117" s="264" t="s">
        <v>122</v>
      </c>
      <c r="B117" s="264"/>
      <c r="C117" s="22">
        <v>684</v>
      </c>
      <c r="D117" s="22">
        <v>553</v>
      </c>
      <c r="E117" s="22">
        <v>131</v>
      </c>
      <c r="F117" s="22">
        <v>104</v>
      </c>
      <c r="G117" s="22">
        <v>27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125</v>
      </c>
      <c r="B118" s="264"/>
      <c r="C118" s="22">
        <v>1868</v>
      </c>
      <c r="D118" s="22">
        <v>1153</v>
      </c>
      <c r="E118" s="22">
        <v>715</v>
      </c>
      <c r="F118" s="22">
        <v>257</v>
      </c>
      <c r="G118" s="22">
        <v>455</v>
      </c>
      <c r="H118" s="22">
        <v>0</v>
      </c>
      <c r="I118" s="22">
        <v>3</v>
      </c>
      <c r="J118" s="22">
        <v>0</v>
      </c>
    </row>
    <row r="119" spans="1:10" s="21" customFormat="1" ht="12" customHeight="1" x14ac:dyDescent="0.2">
      <c r="A119" s="264" t="s">
        <v>126</v>
      </c>
      <c r="B119" s="264"/>
      <c r="C119" s="22">
        <v>3067</v>
      </c>
      <c r="D119" s="22">
        <v>2200</v>
      </c>
      <c r="E119" s="22">
        <v>867</v>
      </c>
      <c r="F119" s="22">
        <v>706</v>
      </c>
      <c r="G119" s="22">
        <v>143</v>
      </c>
      <c r="H119" s="22">
        <v>2</v>
      </c>
      <c r="I119" s="22">
        <v>16</v>
      </c>
      <c r="J119" s="22">
        <v>0</v>
      </c>
    </row>
    <row r="120" spans="1:10" s="21" customFormat="1" ht="12" customHeight="1" x14ac:dyDescent="0.2">
      <c r="A120" s="264" t="s">
        <v>128</v>
      </c>
      <c r="B120" s="264"/>
      <c r="C120" s="22">
        <v>586</v>
      </c>
      <c r="D120" s="22">
        <v>466</v>
      </c>
      <c r="E120" s="22">
        <v>120</v>
      </c>
      <c r="F120" s="22">
        <v>74</v>
      </c>
      <c r="G120" s="22">
        <v>46</v>
      </c>
      <c r="H120" s="22">
        <v>0</v>
      </c>
      <c r="I120" s="22">
        <v>0</v>
      </c>
      <c r="J120" s="22">
        <v>0</v>
      </c>
    </row>
    <row r="121" spans="1:10" s="21" customFormat="1" ht="12" customHeight="1" x14ac:dyDescent="0.2">
      <c r="A121" s="264" t="s">
        <v>129</v>
      </c>
      <c r="B121" s="264"/>
      <c r="C121" s="22">
        <v>1966</v>
      </c>
      <c r="D121" s="22">
        <v>1464</v>
      </c>
      <c r="E121" s="22">
        <v>502</v>
      </c>
      <c r="F121" s="22">
        <v>371</v>
      </c>
      <c r="G121" s="22">
        <v>124</v>
      </c>
      <c r="H121" s="22">
        <v>5</v>
      </c>
      <c r="I121" s="22">
        <v>2</v>
      </c>
      <c r="J121" s="22">
        <v>0</v>
      </c>
    </row>
    <row r="122" spans="1:10" s="21" customFormat="1" ht="12" customHeight="1" x14ac:dyDescent="0.2">
      <c r="A122" s="315" t="s">
        <v>130</v>
      </c>
      <c r="B122" s="315"/>
      <c r="C122" s="28">
        <v>377</v>
      </c>
      <c r="D122" s="28">
        <v>205</v>
      </c>
      <c r="E122" s="28">
        <v>172</v>
      </c>
      <c r="F122" s="28">
        <v>81</v>
      </c>
      <c r="G122" s="28">
        <v>91</v>
      </c>
      <c r="H122" s="28">
        <v>0</v>
      </c>
      <c r="I122" s="28">
        <v>0</v>
      </c>
      <c r="J122" s="28">
        <v>0</v>
      </c>
    </row>
    <row r="123" spans="1:10" s="21" customFormat="1" ht="12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</row>
    <row r="124" spans="1:10" s="21" customFormat="1" ht="12" customHeight="1" x14ac:dyDescent="0.2">
      <c r="A124" s="263" t="s">
        <v>131</v>
      </c>
      <c r="B124" s="263"/>
      <c r="C124" s="20">
        <v>63235</v>
      </c>
      <c r="D124" s="20">
        <v>47773</v>
      </c>
      <c r="E124" s="20">
        <v>15462</v>
      </c>
      <c r="F124" s="20">
        <v>10958</v>
      </c>
      <c r="G124" s="20">
        <v>4376</v>
      </c>
      <c r="H124" s="20">
        <v>76</v>
      </c>
      <c r="I124" s="20">
        <v>52</v>
      </c>
      <c r="J124" s="20">
        <v>0</v>
      </c>
    </row>
    <row r="125" spans="1:10" s="21" customFormat="1" ht="12" customHeight="1" x14ac:dyDescent="0.2">
      <c r="A125" s="264" t="s">
        <v>132</v>
      </c>
      <c r="B125" s="264"/>
      <c r="C125" s="22">
        <v>5423</v>
      </c>
      <c r="D125" s="22">
        <v>3865</v>
      </c>
      <c r="E125" s="22">
        <v>1558</v>
      </c>
      <c r="F125" s="22">
        <v>1063</v>
      </c>
      <c r="G125" s="22">
        <v>495</v>
      </c>
      <c r="H125" s="22">
        <v>0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133</v>
      </c>
      <c r="B126" s="264"/>
      <c r="C126" s="22">
        <v>193</v>
      </c>
      <c r="D126" s="22">
        <v>182</v>
      </c>
      <c r="E126" s="22">
        <v>11</v>
      </c>
      <c r="F126" s="22">
        <v>11</v>
      </c>
      <c r="G126" s="22">
        <v>0</v>
      </c>
      <c r="H126" s="22">
        <v>0</v>
      </c>
      <c r="I126" s="22">
        <v>0</v>
      </c>
      <c r="J126" s="22">
        <v>0</v>
      </c>
    </row>
    <row r="127" spans="1:10" s="21" customFormat="1" ht="12" customHeight="1" x14ac:dyDescent="0.2">
      <c r="A127" s="264" t="s">
        <v>134</v>
      </c>
      <c r="B127" s="264"/>
      <c r="C127" s="22">
        <v>527</v>
      </c>
      <c r="D127" s="22">
        <v>431</v>
      </c>
      <c r="E127" s="22">
        <v>96</v>
      </c>
      <c r="F127" s="22">
        <v>70</v>
      </c>
      <c r="G127" s="22">
        <v>26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135</v>
      </c>
      <c r="B128" s="264"/>
      <c r="C128" s="22">
        <v>1802</v>
      </c>
      <c r="D128" s="22">
        <v>1440</v>
      </c>
      <c r="E128" s="22">
        <v>362</v>
      </c>
      <c r="F128" s="22">
        <v>233</v>
      </c>
      <c r="G128" s="22">
        <v>123</v>
      </c>
      <c r="H128" s="22">
        <v>1</v>
      </c>
      <c r="I128" s="22">
        <v>5</v>
      </c>
      <c r="J128" s="22">
        <v>0</v>
      </c>
    </row>
    <row r="129" spans="1:10" s="21" customFormat="1" ht="12" customHeight="1" x14ac:dyDescent="0.2">
      <c r="A129" s="264" t="s">
        <v>138</v>
      </c>
      <c r="B129" s="264"/>
      <c r="C129" s="22">
        <v>1177</v>
      </c>
      <c r="D129" s="22">
        <v>1059</v>
      </c>
      <c r="E129" s="22">
        <v>118</v>
      </c>
      <c r="F129" s="22">
        <v>90</v>
      </c>
      <c r="G129" s="22">
        <v>28</v>
      </c>
      <c r="H129" s="22">
        <v>0</v>
      </c>
      <c r="I129" s="22">
        <v>0</v>
      </c>
      <c r="J129" s="22">
        <v>0</v>
      </c>
    </row>
    <row r="130" spans="1:10" s="21" customFormat="1" ht="12" customHeight="1" x14ac:dyDescent="0.2">
      <c r="A130" s="264" t="s">
        <v>140</v>
      </c>
      <c r="B130" s="264"/>
      <c r="C130" s="22">
        <v>12</v>
      </c>
      <c r="D130" s="22">
        <v>11</v>
      </c>
      <c r="E130" s="22">
        <v>1</v>
      </c>
      <c r="F130" s="22">
        <v>1</v>
      </c>
      <c r="G130" s="22">
        <v>0</v>
      </c>
      <c r="H130" s="22">
        <v>0</v>
      </c>
      <c r="I130" s="22">
        <v>0</v>
      </c>
      <c r="J130" s="22">
        <v>0</v>
      </c>
    </row>
    <row r="131" spans="1:10" s="21" customFormat="1" ht="12" customHeight="1" x14ac:dyDescent="0.2">
      <c r="A131" s="264" t="s">
        <v>141</v>
      </c>
      <c r="B131" s="264"/>
      <c r="C131" s="22">
        <v>2898</v>
      </c>
      <c r="D131" s="22">
        <v>2478</v>
      </c>
      <c r="E131" s="22">
        <v>420</v>
      </c>
      <c r="F131" s="22">
        <v>320</v>
      </c>
      <c r="G131" s="22">
        <v>99</v>
      </c>
      <c r="H131" s="22">
        <v>1</v>
      </c>
      <c r="I131" s="22">
        <v>0</v>
      </c>
      <c r="J131" s="22">
        <v>0</v>
      </c>
    </row>
    <row r="132" spans="1:10" s="21" customFormat="1" ht="12" customHeight="1" x14ac:dyDescent="0.2">
      <c r="A132" s="264" t="s">
        <v>142</v>
      </c>
      <c r="B132" s="264"/>
      <c r="C132" s="22">
        <v>106</v>
      </c>
      <c r="D132" s="22">
        <v>104</v>
      </c>
      <c r="E132" s="22">
        <v>2</v>
      </c>
      <c r="F132" s="22">
        <v>2</v>
      </c>
      <c r="G132" s="22">
        <v>0</v>
      </c>
      <c r="H132" s="22">
        <v>0</v>
      </c>
      <c r="I132" s="22">
        <v>0</v>
      </c>
      <c r="J132" s="22">
        <v>0</v>
      </c>
    </row>
    <row r="133" spans="1:10" s="107" customFormat="1" ht="12" customHeight="1" x14ac:dyDescent="0.2">
      <c r="A133" s="316" t="s">
        <v>337</v>
      </c>
      <c r="B133" s="316"/>
      <c r="C133" s="106">
        <v>5073</v>
      </c>
      <c r="D133" s="106">
        <v>4020</v>
      </c>
      <c r="E133" s="106">
        <v>1053</v>
      </c>
      <c r="F133" s="106">
        <v>709</v>
      </c>
      <c r="G133" s="106">
        <v>342</v>
      </c>
      <c r="H133" s="106">
        <v>2</v>
      </c>
      <c r="I133" s="106">
        <v>0</v>
      </c>
      <c r="J133" s="106">
        <v>0</v>
      </c>
    </row>
    <row r="134" spans="1:10" s="21" customFormat="1" ht="12" customHeight="1" x14ac:dyDescent="0.2">
      <c r="A134" s="264" t="s">
        <v>144</v>
      </c>
      <c r="B134" s="264"/>
      <c r="C134" s="22">
        <v>4480</v>
      </c>
      <c r="D134" s="22">
        <v>3669</v>
      </c>
      <c r="E134" s="22">
        <v>811</v>
      </c>
      <c r="F134" s="22">
        <v>634</v>
      </c>
      <c r="G134" s="22">
        <v>176</v>
      </c>
      <c r="H134" s="22">
        <v>1</v>
      </c>
      <c r="I134" s="22">
        <v>0</v>
      </c>
      <c r="J134" s="22">
        <v>0</v>
      </c>
    </row>
    <row r="135" spans="1:10" s="21" customFormat="1" ht="12" customHeight="1" x14ac:dyDescent="0.2">
      <c r="A135" s="264" t="s">
        <v>145</v>
      </c>
      <c r="B135" s="264"/>
      <c r="C135" s="22">
        <v>41</v>
      </c>
      <c r="D135" s="22">
        <v>41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 s="22">
        <v>0</v>
      </c>
    </row>
    <row r="136" spans="1:10" s="21" customFormat="1" ht="12" customHeight="1" x14ac:dyDescent="0.2">
      <c r="A136" s="264" t="s">
        <v>147</v>
      </c>
      <c r="B136" s="264"/>
      <c r="C136" s="22">
        <v>324</v>
      </c>
      <c r="D136" s="22">
        <v>289</v>
      </c>
      <c r="E136" s="22">
        <v>35</v>
      </c>
      <c r="F136" s="22">
        <v>31</v>
      </c>
      <c r="G136" s="22">
        <v>4</v>
      </c>
      <c r="H136" s="22">
        <v>0</v>
      </c>
      <c r="I136" s="22">
        <v>0</v>
      </c>
      <c r="J136" s="22">
        <v>0</v>
      </c>
    </row>
    <row r="137" spans="1:10" s="21" customFormat="1" ht="12" customHeight="1" x14ac:dyDescent="0.2">
      <c r="A137" s="264" t="s">
        <v>148</v>
      </c>
      <c r="B137" s="264"/>
      <c r="C137" s="22">
        <v>1222</v>
      </c>
      <c r="D137" s="22">
        <v>967</v>
      </c>
      <c r="E137" s="22">
        <v>255</v>
      </c>
      <c r="F137" s="22">
        <v>175</v>
      </c>
      <c r="G137" s="22">
        <v>58</v>
      </c>
      <c r="H137" s="22">
        <v>10</v>
      </c>
      <c r="I137" s="22">
        <v>12</v>
      </c>
      <c r="J137" s="22">
        <v>0</v>
      </c>
    </row>
    <row r="138" spans="1:10" s="21" customFormat="1" ht="12" customHeight="1" x14ac:dyDescent="0.2">
      <c r="A138" s="264" t="s">
        <v>149</v>
      </c>
      <c r="B138" s="264"/>
      <c r="C138" s="22">
        <v>15671</v>
      </c>
      <c r="D138" s="22">
        <v>10271</v>
      </c>
      <c r="E138" s="22">
        <v>5400</v>
      </c>
      <c r="F138" s="22">
        <v>3858</v>
      </c>
      <c r="G138" s="22">
        <v>1482</v>
      </c>
      <c r="H138" s="22">
        <v>41</v>
      </c>
      <c r="I138" s="22">
        <v>19</v>
      </c>
      <c r="J138" s="22">
        <v>0</v>
      </c>
    </row>
    <row r="139" spans="1:10" s="21" customFormat="1" ht="12" customHeight="1" x14ac:dyDescent="0.2">
      <c r="A139" s="264" t="s">
        <v>150</v>
      </c>
      <c r="B139" s="264"/>
      <c r="C139" s="22">
        <v>6499</v>
      </c>
      <c r="D139" s="22">
        <v>5054</v>
      </c>
      <c r="E139" s="22">
        <v>1445</v>
      </c>
      <c r="F139" s="22">
        <v>1081</v>
      </c>
      <c r="G139" s="22">
        <v>354</v>
      </c>
      <c r="H139" s="22">
        <v>5</v>
      </c>
      <c r="I139" s="22">
        <v>5</v>
      </c>
      <c r="J139" s="22">
        <v>0</v>
      </c>
    </row>
    <row r="140" spans="1:10" s="21" customFormat="1" ht="12" customHeight="1" x14ac:dyDescent="0.2">
      <c r="A140" s="264" t="s">
        <v>152</v>
      </c>
      <c r="B140" s="264"/>
      <c r="C140" s="22">
        <v>222</v>
      </c>
      <c r="D140" s="22">
        <v>198</v>
      </c>
      <c r="E140" s="22">
        <v>24</v>
      </c>
      <c r="F140" s="22">
        <v>10</v>
      </c>
      <c r="G140" s="22">
        <v>14</v>
      </c>
      <c r="H140" s="22">
        <v>0</v>
      </c>
      <c r="I140" s="22">
        <v>0</v>
      </c>
      <c r="J140" s="22">
        <v>0</v>
      </c>
    </row>
    <row r="141" spans="1:10" s="21" customFormat="1" ht="12" customHeight="1" x14ac:dyDescent="0.2">
      <c r="A141" s="264" t="s">
        <v>153</v>
      </c>
      <c r="B141" s="264"/>
      <c r="C141" s="22">
        <v>7251</v>
      </c>
      <c r="D141" s="22">
        <v>5550</v>
      </c>
      <c r="E141" s="22">
        <v>1701</v>
      </c>
      <c r="F141" s="22">
        <v>1194</v>
      </c>
      <c r="G141" s="22">
        <v>506</v>
      </c>
      <c r="H141" s="22">
        <v>0</v>
      </c>
      <c r="I141" s="22">
        <v>1</v>
      </c>
      <c r="J141" s="22">
        <v>0</v>
      </c>
    </row>
    <row r="142" spans="1:10" s="21" customFormat="1" ht="12" customHeight="1" x14ac:dyDescent="0.2">
      <c r="A142" s="264" t="s">
        <v>154</v>
      </c>
      <c r="B142" s="264"/>
      <c r="C142" s="22">
        <v>51</v>
      </c>
      <c r="D142" s="22">
        <v>46</v>
      </c>
      <c r="E142" s="22">
        <v>5</v>
      </c>
      <c r="F142" s="22">
        <v>3</v>
      </c>
      <c r="G142" s="22">
        <v>2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155</v>
      </c>
      <c r="B143" s="264"/>
      <c r="C143" s="22">
        <v>2811</v>
      </c>
      <c r="D143" s="22">
        <v>1997</v>
      </c>
      <c r="E143" s="22">
        <v>814</v>
      </c>
      <c r="F143" s="22">
        <v>497</v>
      </c>
      <c r="G143" s="22">
        <v>297</v>
      </c>
      <c r="H143" s="22">
        <v>15</v>
      </c>
      <c r="I143" s="22">
        <v>5</v>
      </c>
      <c r="J143" s="22">
        <v>0</v>
      </c>
    </row>
    <row r="144" spans="1:10" s="21" customFormat="1" ht="12" customHeight="1" x14ac:dyDescent="0.2">
      <c r="A144" s="264" t="s">
        <v>156</v>
      </c>
      <c r="B144" s="264"/>
      <c r="C144" s="22">
        <v>255</v>
      </c>
      <c r="D144" s="22">
        <v>243</v>
      </c>
      <c r="E144" s="22">
        <v>12</v>
      </c>
      <c r="F144" s="22">
        <v>8</v>
      </c>
      <c r="G144" s="22">
        <v>4</v>
      </c>
      <c r="H144" s="22">
        <v>0</v>
      </c>
      <c r="I144" s="22">
        <v>0</v>
      </c>
      <c r="J144" s="22">
        <v>0</v>
      </c>
    </row>
    <row r="145" spans="1:10" s="21" customFormat="1" ht="12" customHeight="1" x14ac:dyDescent="0.2">
      <c r="A145" s="264" t="s">
        <v>157</v>
      </c>
      <c r="B145" s="264"/>
      <c r="C145" s="22">
        <v>762</v>
      </c>
      <c r="D145" s="22">
        <v>607</v>
      </c>
      <c r="E145" s="22">
        <v>155</v>
      </c>
      <c r="F145" s="22">
        <v>85</v>
      </c>
      <c r="G145" s="22">
        <v>70</v>
      </c>
      <c r="H145" s="22">
        <v>0</v>
      </c>
      <c r="I145" s="22">
        <v>0</v>
      </c>
      <c r="J145" s="22">
        <v>0</v>
      </c>
    </row>
    <row r="146" spans="1:10" s="21" customFormat="1" ht="12" customHeight="1" x14ac:dyDescent="0.2">
      <c r="A146" s="264" t="s">
        <v>159</v>
      </c>
      <c r="B146" s="264"/>
      <c r="C146" s="22">
        <v>652</v>
      </c>
      <c r="D146" s="22">
        <v>479</v>
      </c>
      <c r="E146" s="22">
        <v>173</v>
      </c>
      <c r="F146" s="22">
        <v>123</v>
      </c>
      <c r="G146" s="22">
        <v>50</v>
      </c>
      <c r="H146" s="22">
        <v>0</v>
      </c>
      <c r="I146" s="22">
        <v>0</v>
      </c>
      <c r="J146" s="22">
        <v>0</v>
      </c>
    </row>
    <row r="147" spans="1:10" s="21" customFormat="1" ht="12" customHeight="1" x14ac:dyDescent="0.2">
      <c r="A147" s="264" t="s">
        <v>162</v>
      </c>
      <c r="B147" s="264"/>
      <c r="C147" s="22">
        <v>94</v>
      </c>
      <c r="D147" s="22">
        <v>90</v>
      </c>
      <c r="E147" s="22">
        <v>4</v>
      </c>
      <c r="F147" s="22">
        <v>3</v>
      </c>
      <c r="G147" s="22">
        <v>1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164</v>
      </c>
      <c r="B148" s="264"/>
      <c r="C148" s="22">
        <v>2751</v>
      </c>
      <c r="D148" s="22">
        <v>2067</v>
      </c>
      <c r="E148" s="22">
        <v>684</v>
      </c>
      <c r="F148" s="22">
        <v>529</v>
      </c>
      <c r="G148" s="22">
        <v>150</v>
      </c>
      <c r="H148" s="22">
        <v>0</v>
      </c>
      <c r="I148" s="22">
        <v>5</v>
      </c>
      <c r="J148" s="22">
        <v>0</v>
      </c>
    </row>
    <row r="149" spans="1:10" s="21" customFormat="1" ht="12" customHeight="1" x14ac:dyDescent="0.2">
      <c r="A149" s="264" t="s">
        <v>348</v>
      </c>
      <c r="B149" s="264"/>
      <c r="C149" s="22">
        <v>2609</v>
      </c>
      <c r="D149" s="22">
        <v>2306</v>
      </c>
      <c r="E149" s="22">
        <v>303</v>
      </c>
      <c r="F149" s="22">
        <v>216</v>
      </c>
      <c r="G149" s="22">
        <v>87</v>
      </c>
      <c r="H149" s="22">
        <v>0</v>
      </c>
      <c r="I149" s="22">
        <v>0</v>
      </c>
      <c r="J149" s="22">
        <v>0</v>
      </c>
    </row>
    <row r="150" spans="1:10" s="21" customFormat="1" ht="12" customHeight="1" x14ac:dyDescent="0.2">
      <c r="A150" s="264" t="s">
        <v>165</v>
      </c>
      <c r="B150" s="264"/>
      <c r="C150" s="22">
        <v>59</v>
      </c>
      <c r="D150" s="22">
        <v>56</v>
      </c>
      <c r="E150" s="22">
        <v>3</v>
      </c>
      <c r="F150" s="22">
        <v>3</v>
      </c>
      <c r="G150" s="22">
        <v>0</v>
      </c>
      <c r="H150" s="22">
        <v>0</v>
      </c>
      <c r="I150" s="22">
        <v>0</v>
      </c>
      <c r="J150" s="22">
        <v>0</v>
      </c>
    </row>
    <row r="151" spans="1:10" s="21" customFormat="1" ht="12" customHeight="1" x14ac:dyDescent="0.2">
      <c r="A151" s="267" t="s">
        <v>168</v>
      </c>
      <c r="B151" s="267"/>
      <c r="C151" s="28">
        <v>270</v>
      </c>
      <c r="D151" s="28">
        <v>253</v>
      </c>
      <c r="E151" s="28">
        <v>17</v>
      </c>
      <c r="F151" s="28">
        <v>9</v>
      </c>
      <c r="G151" s="28">
        <v>8</v>
      </c>
      <c r="H151" s="28">
        <v>0</v>
      </c>
      <c r="I151" s="28">
        <v>0</v>
      </c>
      <c r="J151" s="28">
        <v>0</v>
      </c>
    </row>
    <row r="152" spans="1:10" s="21" customFormat="1" ht="12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</row>
    <row r="153" spans="1:10" s="21" customFormat="1" ht="12" customHeight="1" x14ac:dyDescent="0.2">
      <c r="A153" s="263" t="s">
        <v>169</v>
      </c>
      <c r="B153" s="263"/>
      <c r="C153" s="20">
        <v>5967</v>
      </c>
      <c r="D153" s="20">
        <v>5305</v>
      </c>
      <c r="E153" s="20">
        <v>662</v>
      </c>
      <c r="F153" s="20">
        <v>458</v>
      </c>
      <c r="G153" s="20">
        <v>204</v>
      </c>
      <c r="H153" s="20">
        <v>0</v>
      </c>
      <c r="I153" s="20">
        <v>0</v>
      </c>
      <c r="J153" s="20">
        <v>0</v>
      </c>
    </row>
    <row r="154" spans="1:10" s="21" customFormat="1" ht="12" customHeight="1" x14ac:dyDescent="0.2">
      <c r="A154" s="264" t="s">
        <v>170</v>
      </c>
      <c r="B154" s="264"/>
      <c r="C154" s="22">
        <v>1468</v>
      </c>
      <c r="D154" s="22">
        <v>1336</v>
      </c>
      <c r="E154" s="22">
        <v>132</v>
      </c>
      <c r="F154" s="22">
        <v>87</v>
      </c>
      <c r="G154" s="22">
        <v>45</v>
      </c>
      <c r="H154" s="22">
        <v>0</v>
      </c>
      <c r="I154" s="22">
        <v>0</v>
      </c>
      <c r="J154" s="22">
        <v>0</v>
      </c>
    </row>
    <row r="155" spans="1:10" s="21" customFormat="1" ht="12" customHeight="1" x14ac:dyDescent="0.2">
      <c r="A155" s="264" t="s">
        <v>171</v>
      </c>
      <c r="B155" s="264"/>
      <c r="C155" s="22">
        <v>56</v>
      </c>
      <c r="D155" s="22">
        <v>52</v>
      </c>
      <c r="E155" s="22">
        <v>4</v>
      </c>
      <c r="F155" s="22">
        <v>1</v>
      </c>
      <c r="G155" s="22">
        <v>3</v>
      </c>
      <c r="H155" s="22">
        <v>0</v>
      </c>
      <c r="I155" s="22">
        <v>0</v>
      </c>
      <c r="J155" s="22">
        <v>0</v>
      </c>
    </row>
    <row r="156" spans="1:10" s="21" customFormat="1" ht="12" customHeight="1" x14ac:dyDescent="0.2">
      <c r="A156" s="264" t="s">
        <v>172</v>
      </c>
      <c r="B156" s="264"/>
      <c r="C156" s="22">
        <v>51</v>
      </c>
      <c r="D156" s="22">
        <v>44</v>
      </c>
      <c r="E156" s="22">
        <v>7</v>
      </c>
      <c r="F156" s="22">
        <v>4</v>
      </c>
      <c r="G156" s="22">
        <v>3</v>
      </c>
      <c r="H156" s="22">
        <v>0</v>
      </c>
      <c r="I156" s="22">
        <v>0</v>
      </c>
      <c r="J156" s="22">
        <v>0</v>
      </c>
    </row>
    <row r="157" spans="1:10" s="21" customFormat="1" ht="12" customHeight="1" x14ac:dyDescent="0.2">
      <c r="A157" s="264" t="s">
        <v>173</v>
      </c>
      <c r="B157" s="264"/>
      <c r="C157" s="22">
        <v>61</v>
      </c>
      <c r="D157" s="22">
        <v>52</v>
      </c>
      <c r="E157" s="22">
        <v>9</v>
      </c>
      <c r="F157" s="22">
        <v>4</v>
      </c>
      <c r="G157" s="22">
        <v>5</v>
      </c>
      <c r="H157" s="22">
        <v>0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174</v>
      </c>
      <c r="B158" s="264"/>
      <c r="C158" s="22">
        <v>1163</v>
      </c>
      <c r="D158" s="22">
        <v>985</v>
      </c>
      <c r="E158" s="22">
        <v>178</v>
      </c>
      <c r="F158" s="22">
        <v>130</v>
      </c>
      <c r="G158" s="22">
        <v>48</v>
      </c>
      <c r="H158" s="22">
        <v>0</v>
      </c>
      <c r="I158" s="22">
        <v>0</v>
      </c>
      <c r="J158" s="22">
        <v>0</v>
      </c>
    </row>
    <row r="159" spans="1:10" s="21" customFormat="1" ht="12" customHeight="1" x14ac:dyDescent="0.2">
      <c r="A159" s="264" t="s">
        <v>175</v>
      </c>
      <c r="B159" s="264"/>
      <c r="C159" s="22">
        <v>563</v>
      </c>
      <c r="D159" s="22">
        <v>530</v>
      </c>
      <c r="E159" s="22">
        <v>33</v>
      </c>
      <c r="F159" s="22">
        <v>17</v>
      </c>
      <c r="G159" s="22">
        <v>16</v>
      </c>
      <c r="H159" s="22">
        <v>0</v>
      </c>
      <c r="I159" s="22">
        <v>0</v>
      </c>
      <c r="J159" s="22">
        <v>0</v>
      </c>
    </row>
    <row r="160" spans="1:10" s="21" customFormat="1" ht="12" customHeight="1" x14ac:dyDescent="0.2">
      <c r="A160" s="264" t="s">
        <v>176</v>
      </c>
      <c r="B160" s="264"/>
      <c r="C160" s="22">
        <v>51</v>
      </c>
      <c r="D160" s="22">
        <v>44</v>
      </c>
      <c r="E160" s="22">
        <v>7</v>
      </c>
      <c r="F160" s="22">
        <v>5</v>
      </c>
      <c r="G160" s="22">
        <v>2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7" t="s">
        <v>177</v>
      </c>
      <c r="B161" s="267"/>
      <c r="C161" s="28">
        <v>2554</v>
      </c>
      <c r="D161" s="28">
        <v>2262</v>
      </c>
      <c r="E161" s="28">
        <v>292</v>
      </c>
      <c r="F161" s="28">
        <v>210</v>
      </c>
      <c r="G161" s="28">
        <v>82</v>
      </c>
      <c r="H161" s="28">
        <v>0</v>
      </c>
      <c r="I161" s="28">
        <v>0</v>
      </c>
      <c r="J161" s="28">
        <v>0</v>
      </c>
    </row>
    <row r="162" spans="1:10" s="21" customFormat="1" ht="12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</row>
    <row r="163" spans="1:10" s="21" customFormat="1" ht="12" customHeight="1" x14ac:dyDescent="0.2">
      <c r="A163" s="263" t="s">
        <v>178</v>
      </c>
      <c r="B163" s="263"/>
      <c r="C163" s="20">
        <v>50193</v>
      </c>
      <c r="D163" s="20">
        <v>36837</v>
      </c>
      <c r="E163" s="20">
        <v>13356</v>
      </c>
      <c r="F163" s="20">
        <v>9658</v>
      </c>
      <c r="G163" s="20">
        <v>3582</v>
      </c>
      <c r="H163" s="20">
        <v>76</v>
      </c>
      <c r="I163" s="20">
        <v>40</v>
      </c>
      <c r="J163" s="20">
        <v>0</v>
      </c>
    </row>
    <row r="164" spans="1:10" s="21" customFormat="1" ht="12" customHeight="1" x14ac:dyDescent="0.2">
      <c r="A164" s="264" t="s">
        <v>179</v>
      </c>
      <c r="B164" s="264"/>
      <c r="C164" s="22">
        <v>4576</v>
      </c>
      <c r="D164" s="22">
        <v>3210</v>
      </c>
      <c r="E164" s="22">
        <v>1366</v>
      </c>
      <c r="F164" s="22">
        <v>1007</v>
      </c>
      <c r="G164" s="22">
        <v>349</v>
      </c>
      <c r="H164" s="22">
        <v>9</v>
      </c>
      <c r="I164" s="22">
        <v>1</v>
      </c>
      <c r="J164" s="22">
        <v>0</v>
      </c>
    </row>
    <row r="165" spans="1:10" s="21" customFormat="1" ht="12" customHeight="1" x14ac:dyDescent="0.2">
      <c r="A165" s="264" t="s">
        <v>180</v>
      </c>
      <c r="B165" s="264"/>
      <c r="C165" s="22">
        <v>17962</v>
      </c>
      <c r="D165" s="22">
        <v>12584</v>
      </c>
      <c r="E165" s="22">
        <v>5378</v>
      </c>
      <c r="F165" s="22">
        <v>3753</v>
      </c>
      <c r="G165" s="22">
        <v>1577</v>
      </c>
      <c r="H165" s="22">
        <v>29</v>
      </c>
      <c r="I165" s="22">
        <v>19</v>
      </c>
      <c r="J165" s="22">
        <v>0</v>
      </c>
    </row>
    <row r="166" spans="1:10" s="21" customFormat="1" ht="12" customHeight="1" x14ac:dyDescent="0.2">
      <c r="A166" s="264" t="s">
        <v>181</v>
      </c>
      <c r="B166" s="264"/>
      <c r="C166" s="22">
        <v>2544</v>
      </c>
      <c r="D166" s="22">
        <v>1579</v>
      </c>
      <c r="E166" s="22">
        <v>965</v>
      </c>
      <c r="F166" s="22">
        <v>660</v>
      </c>
      <c r="G166" s="22">
        <v>301</v>
      </c>
      <c r="H166" s="22">
        <v>3</v>
      </c>
      <c r="I166" s="22">
        <v>1</v>
      </c>
      <c r="J166" s="22">
        <v>0</v>
      </c>
    </row>
    <row r="167" spans="1:10" s="21" customFormat="1" ht="12" customHeight="1" x14ac:dyDescent="0.2">
      <c r="A167" s="264" t="s">
        <v>182</v>
      </c>
      <c r="B167" s="264"/>
      <c r="C167" s="22">
        <v>2749</v>
      </c>
      <c r="D167" s="22">
        <v>2253</v>
      </c>
      <c r="E167" s="22">
        <v>496</v>
      </c>
      <c r="F167" s="22">
        <v>364</v>
      </c>
      <c r="G167" s="22">
        <v>128</v>
      </c>
      <c r="H167" s="22">
        <v>4</v>
      </c>
      <c r="I167" s="22">
        <v>0</v>
      </c>
      <c r="J167" s="22">
        <v>0</v>
      </c>
    </row>
    <row r="168" spans="1:10" s="21" customFormat="1" ht="12" customHeight="1" x14ac:dyDescent="0.2">
      <c r="A168" s="264" t="s">
        <v>183</v>
      </c>
      <c r="B168" s="264"/>
      <c r="C168" s="22">
        <v>8561</v>
      </c>
      <c r="D168" s="22">
        <v>6215</v>
      </c>
      <c r="E168" s="22">
        <v>2346</v>
      </c>
      <c r="F168" s="22">
        <v>1786</v>
      </c>
      <c r="G168" s="22">
        <v>531</v>
      </c>
      <c r="H168" s="22">
        <v>18</v>
      </c>
      <c r="I168" s="22">
        <v>11</v>
      </c>
      <c r="J168" s="22">
        <v>0</v>
      </c>
    </row>
    <row r="169" spans="1:10" s="21" customFormat="1" ht="12" customHeight="1" x14ac:dyDescent="0.2">
      <c r="A169" s="264" t="s">
        <v>184</v>
      </c>
      <c r="B169" s="264"/>
      <c r="C169" s="22">
        <v>718</v>
      </c>
      <c r="D169" s="22">
        <v>635</v>
      </c>
      <c r="E169" s="22">
        <v>83</v>
      </c>
      <c r="F169" s="22">
        <v>62</v>
      </c>
      <c r="G169" s="22">
        <v>21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185</v>
      </c>
      <c r="B170" s="264"/>
      <c r="C170" s="22">
        <v>747</v>
      </c>
      <c r="D170" s="22">
        <v>625</v>
      </c>
      <c r="E170" s="22">
        <v>122</v>
      </c>
      <c r="F170" s="22">
        <v>106</v>
      </c>
      <c r="G170" s="22">
        <v>15</v>
      </c>
      <c r="H170" s="22">
        <v>1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186</v>
      </c>
      <c r="B171" s="264"/>
      <c r="C171" s="22">
        <v>831</v>
      </c>
      <c r="D171" s="22">
        <v>683</v>
      </c>
      <c r="E171" s="22">
        <v>148</v>
      </c>
      <c r="F171" s="22">
        <v>109</v>
      </c>
      <c r="G171" s="22">
        <v>39</v>
      </c>
      <c r="H171" s="22">
        <v>0</v>
      </c>
      <c r="I171" s="22">
        <v>0</v>
      </c>
      <c r="J171" s="22">
        <v>0</v>
      </c>
    </row>
    <row r="172" spans="1:10" s="21" customFormat="1" ht="12" customHeight="1" x14ac:dyDescent="0.2">
      <c r="A172" s="264" t="s">
        <v>187</v>
      </c>
      <c r="B172" s="264"/>
      <c r="C172" s="22">
        <v>397</v>
      </c>
      <c r="D172" s="22">
        <v>365</v>
      </c>
      <c r="E172" s="22">
        <v>32</v>
      </c>
      <c r="F172" s="22">
        <v>23</v>
      </c>
      <c r="G172" s="22">
        <v>9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188</v>
      </c>
      <c r="B173" s="264"/>
      <c r="C173" s="22">
        <v>1370</v>
      </c>
      <c r="D173" s="22">
        <v>1132</v>
      </c>
      <c r="E173" s="22">
        <v>238</v>
      </c>
      <c r="F173" s="22">
        <v>155</v>
      </c>
      <c r="G173" s="22">
        <v>83</v>
      </c>
      <c r="H173" s="22">
        <v>0</v>
      </c>
      <c r="I173" s="22">
        <v>0</v>
      </c>
      <c r="J173" s="22">
        <v>0</v>
      </c>
    </row>
    <row r="174" spans="1:10" s="21" customFormat="1" ht="12" customHeight="1" x14ac:dyDescent="0.2">
      <c r="A174" s="264" t="s">
        <v>190</v>
      </c>
      <c r="B174" s="264"/>
      <c r="C174" s="22">
        <v>115</v>
      </c>
      <c r="D174" s="22">
        <v>98</v>
      </c>
      <c r="E174" s="22">
        <v>17</v>
      </c>
      <c r="F174" s="22">
        <v>14</v>
      </c>
      <c r="G174" s="22">
        <v>3</v>
      </c>
      <c r="H174" s="22">
        <v>0</v>
      </c>
      <c r="I174" s="22">
        <v>0</v>
      </c>
      <c r="J174" s="22">
        <v>0</v>
      </c>
    </row>
    <row r="175" spans="1:10" s="21" customFormat="1" ht="12" customHeight="1" x14ac:dyDescent="0.2">
      <c r="A175" s="264" t="s">
        <v>191</v>
      </c>
      <c r="B175" s="264"/>
      <c r="C175" s="22">
        <v>2802</v>
      </c>
      <c r="D175" s="22">
        <v>2197</v>
      </c>
      <c r="E175" s="22">
        <v>605</v>
      </c>
      <c r="F175" s="22">
        <v>429</v>
      </c>
      <c r="G175" s="22">
        <v>171</v>
      </c>
      <c r="H175" s="22">
        <v>5</v>
      </c>
      <c r="I175" s="22">
        <v>0</v>
      </c>
      <c r="J175" s="22">
        <v>0</v>
      </c>
    </row>
    <row r="176" spans="1:10" s="21" customFormat="1" ht="12" customHeight="1" x14ac:dyDescent="0.2">
      <c r="A176" s="264" t="s">
        <v>192</v>
      </c>
      <c r="B176" s="264"/>
      <c r="C176" s="22">
        <v>589</v>
      </c>
      <c r="D176" s="22">
        <v>531</v>
      </c>
      <c r="E176" s="22">
        <v>58</v>
      </c>
      <c r="F176" s="22">
        <v>37</v>
      </c>
      <c r="G176" s="22">
        <v>21</v>
      </c>
      <c r="H176" s="22">
        <v>0</v>
      </c>
      <c r="I176" s="22">
        <v>0</v>
      </c>
      <c r="J176" s="22">
        <v>0</v>
      </c>
    </row>
    <row r="177" spans="1:10" s="21" customFormat="1" ht="12" customHeight="1" x14ac:dyDescent="0.2">
      <c r="A177" s="264" t="s">
        <v>193</v>
      </c>
      <c r="B177" s="264"/>
      <c r="C177" s="22">
        <v>618</v>
      </c>
      <c r="D177" s="22">
        <v>545</v>
      </c>
      <c r="E177" s="22">
        <v>73</v>
      </c>
      <c r="F177" s="22">
        <v>42</v>
      </c>
      <c r="G177" s="22">
        <v>31</v>
      </c>
      <c r="H177" s="22">
        <v>0</v>
      </c>
      <c r="I177" s="22">
        <v>0</v>
      </c>
      <c r="J177" s="22">
        <v>0</v>
      </c>
    </row>
    <row r="178" spans="1:10" s="21" customFormat="1" ht="12" customHeight="1" x14ac:dyDescent="0.2">
      <c r="A178" s="264" t="s">
        <v>194</v>
      </c>
      <c r="B178" s="264"/>
      <c r="C178" s="22">
        <v>2310</v>
      </c>
      <c r="D178" s="22">
        <v>1627</v>
      </c>
      <c r="E178" s="22">
        <v>683</v>
      </c>
      <c r="F178" s="22">
        <v>539</v>
      </c>
      <c r="G178" s="22">
        <v>129</v>
      </c>
      <c r="H178" s="22">
        <v>7</v>
      </c>
      <c r="I178" s="22">
        <v>8</v>
      </c>
      <c r="J178" s="22">
        <v>0</v>
      </c>
    </row>
    <row r="179" spans="1:10" s="21" customFormat="1" ht="12" customHeight="1" x14ac:dyDescent="0.2">
      <c r="A179" s="264" t="s">
        <v>195</v>
      </c>
      <c r="B179" s="264"/>
      <c r="C179" s="22">
        <v>229</v>
      </c>
      <c r="D179" s="22">
        <v>205</v>
      </c>
      <c r="E179" s="22">
        <v>24</v>
      </c>
      <c r="F179" s="22">
        <v>17</v>
      </c>
      <c r="G179" s="22">
        <v>7</v>
      </c>
      <c r="H179" s="22">
        <v>0</v>
      </c>
      <c r="I179" s="22">
        <v>0</v>
      </c>
      <c r="J179" s="22">
        <v>0</v>
      </c>
    </row>
    <row r="180" spans="1:10" s="21" customFormat="1" ht="12" customHeight="1" x14ac:dyDescent="0.2">
      <c r="A180" s="267" t="s">
        <v>196</v>
      </c>
      <c r="B180" s="267"/>
      <c r="C180" s="28">
        <v>3075</v>
      </c>
      <c r="D180" s="28">
        <v>2353</v>
      </c>
      <c r="E180" s="28">
        <v>722</v>
      </c>
      <c r="F180" s="28">
        <v>555</v>
      </c>
      <c r="G180" s="28">
        <v>167</v>
      </c>
      <c r="H180" s="28">
        <v>0</v>
      </c>
      <c r="I180" s="28">
        <v>0</v>
      </c>
      <c r="J180" s="28">
        <v>0</v>
      </c>
    </row>
    <row r="181" spans="1:10" s="21" customFormat="1" ht="12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</row>
    <row r="182" spans="1:10" s="21" customFormat="1" ht="12" customHeight="1" x14ac:dyDescent="0.2">
      <c r="A182" s="263" t="s">
        <v>197</v>
      </c>
      <c r="B182" s="263"/>
      <c r="C182" s="20">
        <v>12918</v>
      </c>
      <c r="D182" s="20">
        <v>8995</v>
      </c>
      <c r="E182" s="20">
        <v>3923</v>
      </c>
      <c r="F182" s="20">
        <v>2936</v>
      </c>
      <c r="G182" s="20">
        <v>914</v>
      </c>
      <c r="H182" s="20">
        <v>51</v>
      </c>
      <c r="I182" s="20">
        <v>22</v>
      </c>
      <c r="J182" s="20">
        <v>0</v>
      </c>
    </row>
    <row r="183" spans="1:10" s="21" customFormat="1" ht="12" customHeight="1" x14ac:dyDescent="0.2">
      <c r="A183" s="264" t="s">
        <v>198</v>
      </c>
      <c r="B183" s="264"/>
      <c r="C183" s="22">
        <v>6164</v>
      </c>
      <c r="D183" s="22">
        <v>3959</v>
      </c>
      <c r="E183" s="22">
        <v>2205</v>
      </c>
      <c r="F183" s="22">
        <v>1643</v>
      </c>
      <c r="G183" s="22">
        <v>489</v>
      </c>
      <c r="H183" s="22">
        <v>51</v>
      </c>
      <c r="I183" s="22">
        <v>22</v>
      </c>
      <c r="J183" s="22">
        <v>0</v>
      </c>
    </row>
    <row r="184" spans="1:10" s="21" customFormat="1" ht="12" customHeight="1" x14ac:dyDescent="0.2">
      <c r="A184" s="264" t="s">
        <v>199</v>
      </c>
      <c r="B184" s="264"/>
      <c r="C184" s="22">
        <v>2753</v>
      </c>
      <c r="D184" s="22">
        <v>2289</v>
      </c>
      <c r="E184" s="22">
        <v>464</v>
      </c>
      <c r="F184" s="22">
        <v>374</v>
      </c>
      <c r="G184" s="22">
        <v>90</v>
      </c>
      <c r="H184" s="22">
        <v>0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200</v>
      </c>
      <c r="B185" s="264"/>
      <c r="C185" s="22">
        <v>663</v>
      </c>
      <c r="D185" s="22">
        <v>427</v>
      </c>
      <c r="E185" s="22">
        <v>236</v>
      </c>
      <c r="F185" s="22">
        <v>175</v>
      </c>
      <c r="G185" s="22">
        <v>61</v>
      </c>
      <c r="H185" s="22">
        <v>0</v>
      </c>
      <c r="I185" s="22">
        <v>0</v>
      </c>
      <c r="J185" s="22">
        <v>0</v>
      </c>
    </row>
    <row r="186" spans="1:10" s="21" customFormat="1" ht="12" customHeight="1" x14ac:dyDescent="0.2">
      <c r="A186" s="264" t="s">
        <v>201</v>
      </c>
      <c r="B186" s="264"/>
      <c r="C186" s="22">
        <v>552</v>
      </c>
      <c r="D186" s="22">
        <v>420</v>
      </c>
      <c r="E186" s="22">
        <v>132</v>
      </c>
      <c r="F186" s="22">
        <v>84</v>
      </c>
      <c r="G186" s="22">
        <v>48</v>
      </c>
      <c r="H186" s="22">
        <v>0</v>
      </c>
      <c r="I186" s="22">
        <v>0</v>
      </c>
      <c r="J186" s="22">
        <v>0</v>
      </c>
    </row>
    <row r="187" spans="1:10" s="21" customFormat="1" ht="12" customHeight="1" x14ac:dyDescent="0.2">
      <c r="A187" s="264" t="s">
        <v>202</v>
      </c>
      <c r="B187" s="264"/>
      <c r="C187" s="22">
        <v>1742</v>
      </c>
      <c r="D187" s="22">
        <v>1218</v>
      </c>
      <c r="E187" s="22">
        <v>524</v>
      </c>
      <c r="F187" s="22">
        <v>384</v>
      </c>
      <c r="G187" s="22">
        <v>140</v>
      </c>
      <c r="H187" s="22">
        <v>0</v>
      </c>
      <c r="I187" s="22">
        <v>0</v>
      </c>
      <c r="J187" s="22">
        <v>0</v>
      </c>
    </row>
    <row r="188" spans="1:10" s="21" customFormat="1" ht="12" customHeight="1" x14ac:dyDescent="0.2">
      <c r="A188" s="267" t="s">
        <v>203</v>
      </c>
      <c r="B188" s="267"/>
      <c r="C188" s="28">
        <v>1044</v>
      </c>
      <c r="D188" s="28">
        <v>682</v>
      </c>
      <c r="E188" s="28">
        <v>362</v>
      </c>
      <c r="F188" s="28">
        <v>276</v>
      </c>
      <c r="G188" s="28">
        <v>86</v>
      </c>
      <c r="H188" s="28">
        <v>0</v>
      </c>
      <c r="I188" s="28">
        <v>0</v>
      </c>
      <c r="J188" s="28">
        <v>0</v>
      </c>
    </row>
    <row r="189" spans="1:10" s="21" customFormat="1" ht="12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</row>
    <row r="190" spans="1:10" s="21" customFormat="1" ht="12" customHeight="1" x14ac:dyDescent="0.2">
      <c r="A190" s="263" t="s">
        <v>204</v>
      </c>
      <c r="B190" s="263"/>
      <c r="C190" s="20">
        <v>5659</v>
      </c>
      <c r="D190" s="20">
        <v>5163</v>
      </c>
      <c r="E190" s="20">
        <v>496</v>
      </c>
      <c r="F190" s="20">
        <v>314</v>
      </c>
      <c r="G190" s="20">
        <v>177</v>
      </c>
      <c r="H190" s="20">
        <v>0</v>
      </c>
      <c r="I190" s="20">
        <v>5</v>
      </c>
      <c r="J190" s="20">
        <v>0</v>
      </c>
    </row>
    <row r="191" spans="1:10" s="21" customFormat="1" ht="12" customHeight="1" x14ac:dyDescent="0.2">
      <c r="A191" s="264" t="s">
        <v>205</v>
      </c>
      <c r="B191" s="264"/>
      <c r="C191" s="22">
        <v>1862</v>
      </c>
      <c r="D191" s="22">
        <v>1642</v>
      </c>
      <c r="E191" s="22">
        <v>220</v>
      </c>
      <c r="F191" s="22">
        <v>146</v>
      </c>
      <c r="G191" s="22">
        <v>74</v>
      </c>
      <c r="H191" s="22">
        <v>0</v>
      </c>
      <c r="I191" s="22">
        <v>0</v>
      </c>
      <c r="J191" s="22">
        <v>0</v>
      </c>
    </row>
    <row r="192" spans="1:10" s="21" customFormat="1" ht="12" customHeight="1" x14ac:dyDescent="0.2">
      <c r="A192" s="264" t="s">
        <v>206</v>
      </c>
      <c r="B192" s="264"/>
      <c r="C192" s="22">
        <v>1708</v>
      </c>
      <c r="D192" s="22">
        <v>1608</v>
      </c>
      <c r="E192" s="22">
        <v>100</v>
      </c>
      <c r="F192" s="22">
        <v>63</v>
      </c>
      <c r="G192" s="22">
        <v>37</v>
      </c>
      <c r="H192" s="22">
        <v>0</v>
      </c>
      <c r="I192" s="22">
        <v>0</v>
      </c>
      <c r="J192" s="22">
        <v>0</v>
      </c>
    </row>
    <row r="193" spans="1:10" s="21" customFormat="1" ht="12" customHeight="1" x14ac:dyDescent="0.2">
      <c r="A193" s="315" t="s">
        <v>345</v>
      </c>
      <c r="B193" s="315"/>
      <c r="C193" s="44">
        <v>2089</v>
      </c>
      <c r="D193" s="44">
        <v>1913</v>
      </c>
      <c r="E193" s="44">
        <v>176</v>
      </c>
      <c r="F193" s="44">
        <v>105</v>
      </c>
      <c r="G193" s="44">
        <v>66</v>
      </c>
      <c r="H193" s="44">
        <v>0</v>
      </c>
      <c r="I193" s="44">
        <v>5</v>
      </c>
      <c r="J193" s="44">
        <v>0</v>
      </c>
    </row>
    <row r="194" spans="1:10" s="21" customFormat="1" ht="12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spans="1:10" s="21" customFormat="1" ht="12" customHeight="1" x14ac:dyDescent="0.2">
      <c r="A195" s="263" t="s">
        <v>210</v>
      </c>
      <c r="B195" s="263"/>
      <c r="C195" s="20">
        <v>9377</v>
      </c>
      <c r="D195" s="20">
        <v>6771</v>
      </c>
      <c r="E195" s="20">
        <v>2606</v>
      </c>
      <c r="F195" s="20">
        <v>1683</v>
      </c>
      <c r="G195" s="20">
        <v>871</v>
      </c>
      <c r="H195" s="20">
        <v>29</v>
      </c>
      <c r="I195" s="20">
        <v>23</v>
      </c>
      <c r="J195" s="20">
        <v>0</v>
      </c>
    </row>
    <row r="196" spans="1:10" s="21" customFormat="1" ht="12" customHeight="1" x14ac:dyDescent="0.2">
      <c r="A196" s="264" t="s">
        <v>211</v>
      </c>
      <c r="B196" s="264"/>
      <c r="C196" s="22">
        <v>1556</v>
      </c>
      <c r="D196" s="22">
        <v>1186</v>
      </c>
      <c r="E196" s="22">
        <v>370</v>
      </c>
      <c r="F196" s="22">
        <v>216</v>
      </c>
      <c r="G196" s="22">
        <v>154</v>
      </c>
      <c r="H196" s="22">
        <v>0</v>
      </c>
      <c r="I196" s="22">
        <v>0</v>
      </c>
      <c r="J196" s="22">
        <v>0</v>
      </c>
    </row>
    <row r="197" spans="1:10" s="21" customFormat="1" ht="12" customHeight="1" x14ac:dyDescent="0.2">
      <c r="A197" s="264" t="s">
        <v>213</v>
      </c>
      <c r="B197" s="264"/>
      <c r="C197" s="22">
        <v>90</v>
      </c>
      <c r="D197" s="22">
        <v>74</v>
      </c>
      <c r="E197" s="22">
        <v>16</v>
      </c>
      <c r="F197" s="22">
        <v>7</v>
      </c>
      <c r="G197" s="22">
        <v>9</v>
      </c>
      <c r="H197" s="22">
        <v>0</v>
      </c>
      <c r="I197" s="22">
        <v>0</v>
      </c>
      <c r="J197" s="22">
        <v>0</v>
      </c>
    </row>
    <row r="198" spans="1:10" s="21" customFormat="1" ht="12" customHeight="1" x14ac:dyDescent="0.2">
      <c r="A198" s="264" t="s">
        <v>214</v>
      </c>
      <c r="B198" s="264"/>
      <c r="C198" s="22">
        <v>1042</v>
      </c>
      <c r="D198" s="22">
        <v>516</v>
      </c>
      <c r="E198" s="22">
        <v>526</v>
      </c>
      <c r="F198" s="22">
        <v>310</v>
      </c>
      <c r="G198" s="22">
        <v>206</v>
      </c>
      <c r="H198" s="22">
        <v>5</v>
      </c>
      <c r="I198" s="22">
        <v>5</v>
      </c>
      <c r="J198" s="22">
        <v>0</v>
      </c>
    </row>
    <row r="199" spans="1:10" s="21" customFormat="1" ht="12" customHeight="1" x14ac:dyDescent="0.2">
      <c r="A199" s="264" t="s">
        <v>219</v>
      </c>
      <c r="B199" s="264"/>
      <c r="C199" s="22">
        <v>192</v>
      </c>
      <c r="D199" s="22">
        <v>173</v>
      </c>
      <c r="E199" s="22">
        <v>19</v>
      </c>
      <c r="F199" s="22">
        <v>11</v>
      </c>
      <c r="G199" s="22">
        <v>8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220</v>
      </c>
      <c r="B200" s="264"/>
      <c r="C200" s="22">
        <v>2993</v>
      </c>
      <c r="D200" s="22">
        <v>2294</v>
      </c>
      <c r="E200" s="22">
        <v>699</v>
      </c>
      <c r="F200" s="22">
        <v>494</v>
      </c>
      <c r="G200" s="22">
        <v>205</v>
      </c>
      <c r="H200" s="22">
        <v>0</v>
      </c>
      <c r="I200" s="22">
        <v>0</v>
      </c>
      <c r="J200" s="22">
        <v>0</v>
      </c>
    </row>
    <row r="201" spans="1:10" s="21" customFormat="1" ht="12" customHeight="1" x14ac:dyDescent="0.2">
      <c r="A201" s="264" t="s">
        <v>221</v>
      </c>
      <c r="B201" s="264"/>
      <c r="C201" s="22">
        <v>876</v>
      </c>
      <c r="D201" s="22">
        <v>612</v>
      </c>
      <c r="E201" s="22">
        <v>264</v>
      </c>
      <c r="F201" s="22">
        <v>169</v>
      </c>
      <c r="G201" s="22">
        <v>78</v>
      </c>
      <c r="H201" s="22">
        <v>7</v>
      </c>
      <c r="I201" s="22">
        <v>10</v>
      </c>
      <c r="J201" s="22">
        <v>0</v>
      </c>
    </row>
    <row r="202" spans="1:10" s="21" customFormat="1" ht="12" customHeight="1" x14ac:dyDescent="0.2">
      <c r="A202" s="264" t="s">
        <v>224</v>
      </c>
      <c r="B202" s="264"/>
      <c r="C202" s="22">
        <v>334</v>
      </c>
      <c r="D202" s="22">
        <v>263</v>
      </c>
      <c r="E202" s="22">
        <v>71</v>
      </c>
      <c r="F202" s="22">
        <v>51</v>
      </c>
      <c r="G202" s="22">
        <v>20</v>
      </c>
      <c r="H202" s="22">
        <v>0</v>
      </c>
      <c r="I202" s="22">
        <v>0</v>
      </c>
      <c r="J202" s="22">
        <v>0</v>
      </c>
    </row>
    <row r="203" spans="1:10" s="21" customFormat="1" ht="12" customHeight="1" x14ac:dyDescent="0.2">
      <c r="A203" s="264" t="s">
        <v>225</v>
      </c>
      <c r="B203" s="264"/>
      <c r="C203" s="22">
        <v>762</v>
      </c>
      <c r="D203" s="22">
        <v>455</v>
      </c>
      <c r="E203" s="22">
        <v>307</v>
      </c>
      <c r="F203" s="22">
        <v>216</v>
      </c>
      <c r="G203" s="22">
        <v>85</v>
      </c>
      <c r="H203" s="22">
        <v>6</v>
      </c>
      <c r="I203" s="22">
        <v>0</v>
      </c>
      <c r="J203" s="22">
        <v>0</v>
      </c>
    </row>
    <row r="204" spans="1:10" s="21" customFormat="1" ht="12" customHeight="1" x14ac:dyDescent="0.2">
      <c r="A204" s="264" t="s">
        <v>226</v>
      </c>
      <c r="B204" s="264"/>
      <c r="C204" s="22">
        <v>408</v>
      </c>
      <c r="D204" s="22">
        <v>297</v>
      </c>
      <c r="E204" s="22">
        <v>111</v>
      </c>
      <c r="F204" s="22">
        <v>73</v>
      </c>
      <c r="G204" s="22">
        <v>38</v>
      </c>
      <c r="H204" s="22">
        <v>0</v>
      </c>
      <c r="I204" s="22">
        <v>0</v>
      </c>
      <c r="J204" s="22">
        <v>0</v>
      </c>
    </row>
    <row r="205" spans="1:10" s="21" customFormat="1" ht="12" customHeight="1" x14ac:dyDescent="0.2">
      <c r="A205" s="264" t="s">
        <v>227</v>
      </c>
      <c r="B205" s="264"/>
      <c r="C205" s="22">
        <v>1046</v>
      </c>
      <c r="D205" s="22">
        <v>828</v>
      </c>
      <c r="E205" s="22">
        <v>218</v>
      </c>
      <c r="F205" s="22">
        <v>135</v>
      </c>
      <c r="G205" s="22">
        <v>65</v>
      </c>
      <c r="H205" s="22">
        <v>11</v>
      </c>
      <c r="I205" s="22">
        <v>7</v>
      </c>
      <c r="J205" s="22">
        <v>0</v>
      </c>
    </row>
    <row r="206" spans="1:10" s="21" customFormat="1" ht="12" customHeight="1" x14ac:dyDescent="0.2">
      <c r="A206" s="267" t="s">
        <v>228</v>
      </c>
      <c r="B206" s="267"/>
      <c r="C206" s="28">
        <v>78</v>
      </c>
      <c r="D206" s="28">
        <v>73</v>
      </c>
      <c r="E206" s="28">
        <v>5</v>
      </c>
      <c r="F206" s="28">
        <v>1</v>
      </c>
      <c r="G206" s="28">
        <v>3</v>
      </c>
      <c r="H206" s="28">
        <v>0</v>
      </c>
      <c r="I206" s="28">
        <v>1</v>
      </c>
      <c r="J206" s="28">
        <v>0</v>
      </c>
    </row>
    <row r="207" spans="1:10" s="21" customFormat="1" ht="12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s="21" customFormat="1" ht="12" customHeight="1" x14ac:dyDescent="0.2">
      <c r="A208" s="263" t="s">
        <v>229</v>
      </c>
      <c r="B208" s="263"/>
      <c r="C208" s="20">
        <v>346539</v>
      </c>
      <c r="D208" s="20">
        <v>252173</v>
      </c>
      <c r="E208" s="20">
        <v>94366</v>
      </c>
      <c r="F208" s="20">
        <v>61042</v>
      </c>
      <c r="G208" s="20">
        <v>32239</v>
      </c>
      <c r="H208" s="20">
        <v>591</v>
      </c>
      <c r="I208" s="20">
        <v>466</v>
      </c>
      <c r="J208" s="20">
        <v>28</v>
      </c>
    </row>
    <row r="209" spans="1:10" s="21" customFormat="1" ht="12" customHeight="1" x14ac:dyDescent="0.2">
      <c r="A209" s="264" t="s">
        <v>230</v>
      </c>
      <c r="B209" s="264"/>
      <c r="C209" s="22">
        <v>50357</v>
      </c>
      <c r="D209" s="22">
        <v>38397</v>
      </c>
      <c r="E209" s="22">
        <v>11960</v>
      </c>
      <c r="F209" s="22">
        <v>7159</v>
      </c>
      <c r="G209" s="22">
        <v>4605</v>
      </c>
      <c r="H209" s="22">
        <v>103</v>
      </c>
      <c r="I209" s="22">
        <v>93</v>
      </c>
      <c r="J209" s="22">
        <v>0</v>
      </c>
    </row>
    <row r="210" spans="1:10" s="21" customFormat="1" ht="12" customHeight="1" x14ac:dyDescent="0.2">
      <c r="A210" s="264" t="s">
        <v>231</v>
      </c>
      <c r="B210" s="264"/>
      <c r="C210" s="22">
        <v>148833</v>
      </c>
      <c r="D210" s="22">
        <v>102932</v>
      </c>
      <c r="E210" s="22">
        <v>45901</v>
      </c>
      <c r="F210" s="22">
        <v>27876</v>
      </c>
      <c r="G210" s="22">
        <v>17510</v>
      </c>
      <c r="H210" s="22">
        <v>256</v>
      </c>
      <c r="I210" s="22">
        <v>231</v>
      </c>
      <c r="J210" s="22">
        <v>28</v>
      </c>
    </row>
    <row r="211" spans="1:10" s="21" customFormat="1" ht="12" customHeight="1" x14ac:dyDescent="0.2">
      <c r="A211" s="264" t="s">
        <v>232</v>
      </c>
      <c r="B211" s="264"/>
      <c r="C211" s="22">
        <v>63235</v>
      </c>
      <c r="D211" s="22">
        <v>47773</v>
      </c>
      <c r="E211" s="22">
        <v>15462</v>
      </c>
      <c r="F211" s="22">
        <v>10958</v>
      </c>
      <c r="G211" s="22">
        <v>4376</v>
      </c>
      <c r="H211" s="22">
        <v>76</v>
      </c>
      <c r="I211" s="22">
        <v>52</v>
      </c>
      <c r="J211" s="22">
        <v>0</v>
      </c>
    </row>
    <row r="212" spans="1:10" s="21" customFormat="1" ht="12" customHeight="1" x14ac:dyDescent="0.2">
      <c r="A212" s="264" t="s">
        <v>233</v>
      </c>
      <c r="B212" s="264"/>
      <c r="C212" s="22">
        <v>5967</v>
      </c>
      <c r="D212" s="22">
        <v>5305</v>
      </c>
      <c r="E212" s="22">
        <v>662</v>
      </c>
      <c r="F212" s="22">
        <v>458</v>
      </c>
      <c r="G212" s="22">
        <v>204</v>
      </c>
      <c r="H212" s="22">
        <v>0</v>
      </c>
      <c r="I212" s="22">
        <v>0</v>
      </c>
      <c r="J212" s="22">
        <v>0</v>
      </c>
    </row>
    <row r="213" spans="1:10" s="21" customFormat="1" ht="12" customHeight="1" x14ac:dyDescent="0.2">
      <c r="A213" s="264" t="s">
        <v>234</v>
      </c>
      <c r="B213" s="264"/>
      <c r="C213" s="22">
        <v>50193</v>
      </c>
      <c r="D213" s="22">
        <v>36837</v>
      </c>
      <c r="E213" s="22">
        <v>13356</v>
      </c>
      <c r="F213" s="22">
        <v>9658</v>
      </c>
      <c r="G213" s="22">
        <v>3582</v>
      </c>
      <c r="H213" s="22">
        <v>76</v>
      </c>
      <c r="I213" s="22">
        <v>40</v>
      </c>
      <c r="J213" s="22">
        <v>0</v>
      </c>
    </row>
    <row r="214" spans="1:10" s="21" customFormat="1" ht="12" customHeight="1" x14ac:dyDescent="0.2">
      <c r="A214" s="264" t="s">
        <v>235</v>
      </c>
      <c r="B214" s="264"/>
      <c r="C214" s="22">
        <v>12918</v>
      </c>
      <c r="D214" s="22">
        <v>8995</v>
      </c>
      <c r="E214" s="22">
        <v>3923</v>
      </c>
      <c r="F214" s="22">
        <v>2936</v>
      </c>
      <c r="G214" s="22">
        <v>914</v>
      </c>
      <c r="H214" s="22">
        <v>51</v>
      </c>
      <c r="I214" s="22">
        <v>22</v>
      </c>
      <c r="J214" s="22">
        <v>0</v>
      </c>
    </row>
    <row r="215" spans="1:10" s="21" customFormat="1" ht="12" customHeight="1" x14ac:dyDescent="0.2">
      <c r="A215" s="264" t="s">
        <v>236</v>
      </c>
      <c r="B215" s="264"/>
      <c r="C215" s="22">
        <v>5659</v>
      </c>
      <c r="D215" s="22">
        <v>5163</v>
      </c>
      <c r="E215" s="22">
        <v>496</v>
      </c>
      <c r="F215" s="22">
        <v>314</v>
      </c>
      <c r="G215" s="22">
        <v>177</v>
      </c>
      <c r="H215" s="22">
        <v>0</v>
      </c>
      <c r="I215" s="22">
        <v>5</v>
      </c>
      <c r="J215" s="22">
        <v>0</v>
      </c>
    </row>
    <row r="216" spans="1:10" s="21" customFormat="1" ht="12" customHeight="1" x14ac:dyDescent="0.2">
      <c r="A216" s="267" t="s">
        <v>237</v>
      </c>
      <c r="B216" s="267"/>
      <c r="C216" s="28">
        <v>9377</v>
      </c>
      <c r="D216" s="28">
        <v>6771</v>
      </c>
      <c r="E216" s="28">
        <v>2606</v>
      </c>
      <c r="F216" s="28">
        <v>1683</v>
      </c>
      <c r="G216" s="28">
        <v>871</v>
      </c>
      <c r="H216" s="28">
        <v>29</v>
      </c>
      <c r="I216" s="28">
        <v>23</v>
      </c>
      <c r="J216" s="28">
        <v>0</v>
      </c>
    </row>
    <row r="217" spans="1:10" s="21" customFormat="1" ht="12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</row>
    <row r="218" spans="1:10" s="21" customFormat="1" ht="12" customHeight="1" x14ac:dyDescent="0.2">
      <c r="A218" s="263" t="s">
        <v>364</v>
      </c>
      <c r="B218" s="263"/>
      <c r="C218" s="20">
        <v>306394</v>
      </c>
      <c r="D218" s="20">
        <v>221102</v>
      </c>
      <c r="E218" s="20">
        <v>85292</v>
      </c>
      <c r="F218" s="20">
        <v>54908</v>
      </c>
      <c r="G218" s="20">
        <v>29435</v>
      </c>
      <c r="H218" s="20">
        <v>510</v>
      </c>
      <c r="I218" s="20">
        <v>411</v>
      </c>
      <c r="J218" s="20">
        <v>28</v>
      </c>
    </row>
    <row r="219" spans="1:10" s="21" customFormat="1" ht="12" customHeight="1" x14ac:dyDescent="0.2">
      <c r="A219" s="264" t="s">
        <v>234</v>
      </c>
      <c r="B219" s="264"/>
      <c r="C219" s="22">
        <v>52205</v>
      </c>
      <c r="D219" s="22">
        <v>38458</v>
      </c>
      <c r="E219" s="22">
        <v>13747</v>
      </c>
      <c r="F219" s="22">
        <v>9978</v>
      </c>
      <c r="G219" s="22">
        <v>3653</v>
      </c>
      <c r="H219" s="22">
        <v>76</v>
      </c>
      <c r="I219" s="22">
        <v>40</v>
      </c>
      <c r="J219" s="22">
        <v>0</v>
      </c>
    </row>
    <row r="220" spans="1:10" s="21" customFormat="1" ht="12" customHeight="1" x14ac:dyDescent="0.2">
      <c r="A220" s="264" t="s">
        <v>238</v>
      </c>
      <c r="B220" s="264"/>
      <c r="C220" s="22">
        <v>50829</v>
      </c>
      <c r="D220" s="22">
        <v>38790</v>
      </c>
      <c r="E220" s="22">
        <v>12039</v>
      </c>
      <c r="F220" s="22">
        <v>7190</v>
      </c>
      <c r="G220" s="22">
        <v>4653</v>
      </c>
      <c r="H220" s="22">
        <v>103</v>
      </c>
      <c r="I220" s="22">
        <v>93</v>
      </c>
      <c r="J220" s="22">
        <v>0</v>
      </c>
    </row>
    <row r="221" spans="1:10" s="21" customFormat="1" ht="12" customHeight="1" x14ac:dyDescent="0.2">
      <c r="A221" s="264" t="s">
        <v>232</v>
      </c>
      <c r="B221" s="264"/>
      <c r="C221" s="22">
        <v>62651</v>
      </c>
      <c r="D221" s="22">
        <v>47359</v>
      </c>
      <c r="E221" s="22">
        <v>15292</v>
      </c>
      <c r="F221" s="22">
        <v>10851</v>
      </c>
      <c r="G221" s="22">
        <v>4319</v>
      </c>
      <c r="H221" s="22">
        <v>75</v>
      </c>
      <c r="I221" s="22">
        <v>47</v>
      </c>
      <c r="J221" s="22">
        <v>0</v>
      </c>
    </row>
    <row r="222" spans="1:10" s="21" customFormat="1" ht="12" customHeight="1" x14ac:dyDescent="0.2">
      <c r="A222" s="267" t="s">
        <v>231</v>
      </c>
      <c r="B222" s="267"/>
      <c r="C222" s="28">
        <v>140709</v>
      </c>
      <c r="D222" s="28">
        <v>96495</v>
      </c>
      <c r="E222" s="28">
        <v>44214</v>
      </c>
      <c r="F222" s="28">
        <v>26889</v>
      </c>
      <c r="G222" s="28">
        <v>16810</v>
      </c>
      <c r="H222" s="28">
        <v>256</v>
      </c>
      <c r="I222" s="28">
        <v>231</v>
      </c>
      <c r="J222" s="28">
        <v>28</v>
      </c>
    </row>
    <row r="223" spans="1:10" s="33" customFormat="1" ht="12" customHeight="1" x14ac:dyDescent="0.15">
      <c r="A223" s="317"/>
      <c r="B223" s="317"/>
      <c r="C223" s="317"/>
      <c r="D223" s="317"/>
      <c r="E223" s="317"/>
      <c r="F223" s="317"/>
      <c r="G223" s="317"/>
      <c r="H223" s="317"/>
      <c r="I223" s="317"/>
      <c r="J223" s="317"/>
    </row>
    <row r="224" spans="1:10" s="34" customFormat="1" ht="12" customHeight="1" x14ac:dyDescent="0.2">
      <c r="A224" s="286" t="s">
        <v>349</v>
      </c>
      <c r="B224" s="286"/>
      <c r="C224" s="286"/>
      <c r="D224" s="286"/>
      <c r="E224" s="286"/>
      <c r="F224" s="286"/>
      <c r="G224" s="286"/>
      <c r="H224" s="286"/>
      <c r="I224" s="286"/>
      <c r="J224" s="286"/>
    </row>
    <row r="225" spans="1:10" s="34" customFormat="1" ht="12" customHeight="1" x14ac:dyDescent="0.2">
      <c r="A225" s="286" t="s">
        <v>363</v>
      </c>
      <c r="B225" s="286"/>
      <c r="C225" s="286"/>
      <c r="D225" s="286"/>
      <c r="E225" s="286"/>
      <c r="F225" s="286"/>
      <c r="G225" s="286"/>
      <c r="H225" s="286"/>
      <c r="I225" s="286"/>
    </row>
    <row r="226" spans="1:10" s="54" customFormat="1" ht="5.25" customHeight="1" x14ac:dyDescent="0.15">
      <c r="A226" s="313"/>
      <c r="B226" s="313"/>
      <c r="C226" s="313"/>
      <c r="D226" s="313"/>
      <c r="E226" s="313"/>
      <c r="F226" s="313"/>
      <c r="G226" s="313"/>
      <c r="H226" s="313"/>
      <c r="I226" s="313"/>
      <c r="J226" s="313"/>
    </row>
    <row r="227" spans="1:10" s="35" customFormat="1" ht="11.25" x14ac:dyDescent="0.2">
      <c r="A227" s="286" t="s">
        <v>339</v>
      </c>
      <c r="B227" s="286"/>
      <c r="C227" s="286"/>
      <c r="D227" s="286"/>
      <c r="E227" s="286"/>
      <c r="F227" s="286"/>
      <c r="G227" s="286"/>
      <c r="H227" s="286"/>
      <c r="I227" s="286"/>
      <c r="J227" s="286"/>
    </row>
    <row r="228" spans="1:10" s="33" customFormat="1" ht="5.25" customHeight="1" x14ac:dyDescent="0.2">
      <c r="A228" s="314"/>
      <c r="B228" s="314"/>
      <c r="C228" s="314"/>
      <c r="D228" s="314"/>
      <c r="E228" s="314"/>
      <c r="F228" s="314"/>
      <c r="G228" s="314"/>
      <c r="H228" s="314"/>
      <c r="I228" s="314"/>
      <c r="J228" s="314"/>
    </row>
    <row r="229" spans="1:10" s="36" customFormat="1" ht="11.25" x14ac:dyDescent="0.2">
      <c r="A229" s="286" t="s">
        <v>351</v>
      </c>
      <c r="B229" s="286"/>
      <c r="C229" s="286"/>
      <c r="D229" s="286"/>
      <c r="E229" s="286"/>
      <c r="F229" s="286"/>
      <c r="G229" s="286"/>
      <c r="H229" s="286"/>
      <c r="I229" s="286"/>
      <c r="J229" s="286"/>
    </row>
    <row r="230" spans="1:10" s="36" customFormat="1" ht="11.25" x14ac:dyDescent="0.2">
      <c r="A230" s="286" t="s">
        <v>352</v>
      </c>
      <c r="B230" s="286"/>
      <c r="C230" s="286"/>
      <c r="D230" s="286"/>
      <c r="E230" s="286"/>
      <c r="F230" s="286"/>
      <c r="G230" s="286"/>
      <c r="H230" s="286"/>
      <c r="I230" s="286"/>
      <c r="J230" s="286"/>
    </row>
  </sheetData>
  <mergeCells count="199">
    <mergeCell ref="A230:J230"/>
    <mergeCell ref="A52:B52"/>
    <mergeCell ref="A57:B57"/>
    <mergeCell ref="A73:B73"/>
    <mergeCell ref="A134:B134"/>
    <mergeCell ref="A165:B165"/>
    <mergeCell ref="A211:B211"/>
    <mergeCell ref="A212:B212"/>
    <mergeCell ref="A226:J226"/>
    <mergeCell ref="A227:J227"/>
    <mergeCell ref="A228:J228"/>
    <mergeCell ref="A229:J229"/>
    <mergeCell ref="A224:J224"/>
    <mergeCell ref="A218:B218"/>
    <mergeCell ref="A219:B219"/>
    <mergeCell ref="A221:B221"/>
    <mergeCell ref="A222:B222"/>
    <mergeCell ref="A220:B220"/>
    <mergeCell ref="A223:J223"/>
    <mergeCell ref="A225:I225"/>
    <mergeCell ref="A213:B213"/>
    <mergeCell ref="A214:B214"/>
    <mergeCell ref="A215:B215"/>
    <mergeCell ref="A216:B216"/>
    <mergeCell ref="A204:B204"/>
    <mergeCell ref="A205:B205"/>
    <mergeCell ref="A206:B206"/>
    <mergeCell ref="A208:B208"/>
    <mergeCell ref="A209:B209"/>
    <mergeCell ref="A210:B210"/>
    <mergeCell ref="A197:B197"/>
    <mergeCell ref="A198:B198"/>
    <mergeCell ref="A199:B199"/>
    <mergeCell ref="A200:B200"/>
    <mergeCell ref="A201:B201"/>
    <mergeCell ref="A203:B203"/>
    <mergeCell ref="A202:B202"/>
    <mergeCell ref="A190:B190"/>
    <mergeCell ref="A191:B191"/>
    <mergeCell ref="A192:B192"/>
    <mergeCell ref="A193:B193"/>
    <mergeCell ref="A195:B195"/>
    <mergeCell ref="A196:B196"/>
    <mergeCell ref="A184:B184"/>
    <mergeCell ref="A185:B185"/>
    <mergeCell ref="A186:B186"/>
    <mergeCell ref="A187:B187"/>
    <mergeCell ref="A188:B188"/>
    <mergeCell ref="A178:B178"/>
    <mergeCell ref="A179:B179"/>
    <mergeCell ref="A180:B180"/>
    <mergeCell ref="A182:B182"/>
    <mergeCell ref="A183:B183"/>
    <mergeCell ref="A171:B171"/>
    <mergeCell ref="A172:B172"/>
    <mergeCell ref="A173:B173"/>
    <mergeCell ref="A174:B174"/>
    <mergeCell ref="A176:B176"/>
    <mergeCell ref="A177:B177"/>
    <mergeCell ref="A175:B175"/>
    <mergeCell ref="A164:B164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1:B161"/>
    <mergeCell ref="A163:B163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3:B133"/>
    <mergeCell ref="A135:B135"/>
    <mergeCell ref="A136:B136"/>
    <mergeCell ref="A137:B137"/>
    <mergeCell ref="A138:B138"/>
    <mergeCell ref="A139:B139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2:B72"/>
    <mergeCell ref="A74:B74"/>
    <mergeCell ref="A75:B75"/>
    <mergeCell ref="A76:B76"/>
    <mergeCell ref="A77:B77"/>
    <mergeCell ref="A78:B78"/>
    <mergeCell ref="A66:B66"/>
    <mergeCell ref="A67:B67"/>
    <mergeCell ref="A68:B68"/>
    <mergeCell ref="A70:B70"/>
    <mergeCell ref="A71:B71"/>
    <mergeCell ref="A60:B60"/>
    <mergeCell ref="A61:B61"/>
    <mergeCell ref="A62:B62"/>
    <mergeCell ref="A63:B63"/>
    <mergeCell ref="A64:B64"/>
    <mergeCell ref="A65:B65"/>
    <mergeCell ref="A53:B53"/>
    <mergeCell ref="A54:B54"/>
    <mergeCell ref="A55:B55"/>
    <mergeCell ref="A58:B58"/>
    <mergeCell ref="A59:B59"/>
    <mergeCell ref="A39:B39"/>
    <mergeCell ref="A40:B40"/>
    <mergeCell ref="A42:B42"/>
    <mergeCell ref="A43:B43"/>
    <mergeCell ref="A44:B44"/>
    <mergeCell ref="A47:B47"/>
    <mergeCell ref="A25:B25"/>
    <mergeCell ref="A26:B26"/>
    <mergeCell ref="A29:B29"/>
    <mergeCell ref="A32:B32"/>
    <mergeCell ref="A33:B33"/>
    <mergeCell ref="A38:B38"/>
    <mergeCell ref="A12:B12"/>
    <mergeCell ref="A13:B13"/>
    <mergeCell ref="A17:B17"/>
    <mergeCell ref="A21:B21"/>
    <mergeCell ref="A23:B23"/>
    <mergeCell ref="A24:B24"/>
    <mergeCell ref="A6:B6"/>
    <mergeCell ref="E6:J6"/>
    <mergeCell ref="A7:B7"/>
    <mergeCell ref="A8:B8"/>
    <mergeCell ref="A9:B9"/>
    <mergeCell ref="A10:B10"/>
    <mergeCell ref="A1:J1"/>
    <mergeCell ref="A2:J2"/>
    <mergeCell ref="A3:J3"/>
    <mergeCell ref="A4:J4"/>
    <mergeCell ref="A5:B5"/>
    <mergeCell ref="E5:J5"/>
  </mergeCells>
  <pageMargins left="0" right="0" top="0" bottom="0" header="0" footer="0"/>
  <pageSetup paperSize="9" scale="83" orientation="portrait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1"/>
  <dimension ref="A1:J243"/>
  <sheetViews>
    <sheetView workbookViewId="0">
      <selection sqref="A1:J1"/>
    </sheetView>
  </sheetViews>
  <sheetFormatPr defaultRowHeight="12" customHeight="1" x14ac:dyDescent="0.2"/>
  <cols>
    <col min="1" max="1" width="2.7109375" style="1" customWidth="1"/>
    <col min="2" max="2" width="25.8554687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3" customFormat="1" ht="12.75" customHeight="1" x14ac:dyDescent="0.2">
      <c r="A2" s="289" t="s">
        <v>341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C12+C23+C38+C42+C53</f>
        <v>341652</v>
      </c>
      <c r="D10" s="16">
        <f t="shared" si="0"/>
        <v>250320</v>
      </c>
      <c r="E10" s="16">
        <f t="shared" si="0"/>
        <v>91332</v>
      </c>
      <c r="F10" s="16">
        <f t="shared" si="0"/>
        <v>60217</v>
      </c>
      <c r="G10" s="16">
        <f t="shared" si="0"/>
        <v>30127</v>
      </c>
      <c r="H10" s="16">
        <f t="shared" si="0"/>
        <v>647</v>
      </c>
      <c r="I10" s="16">
        <f t="shared" si="0"/>
        <v>315</v>
      </c>
      <c r="J10" s="16">
        <f t="shared" si="0"/>
        <v>26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29282</v>
      </c>
      <c r="D12" s="20">
        <f t="shared" si="1"/>
        <v>22082</v>
      </c>
      <c r="E12" s="20">
        <f t="shared" si="1"/>
        <v>7200</v>
      </c>
      <c r="F12" s="20">
        <f t="shared" si="1"/>
        <v>5018</v>
      </c>
      <c r="G12" s="20">
        <f t="shared" si="1"/>
        <v>2080</v>
      </c>
      <c r="H12" s="20">
        <f t="shared" si="1"/>
        <v>76</v>
      </c>
      <c r="I12" s="20">
        <f t="shared" si="1"/>
        <v>26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9524</v>
      </c>
      <c r="D13" s="22">
        <f t="shared" si="2"/>
        <v>6811</v>
      </c>
      <c r="E13" s="22">
        <f t="shared" si="2"/>
        <v>2713</v>
      </c>
      <c r="F13" s="22">
        <f t="shared" si="2"/>
        <v>1697</v>
      </c>
      <c r="G13" s="22">
        <f t="shared" si="2"/>
        <v>992</v>
      </c>
      <c r="H13" s="22">
        <f t="shared" si="2"/>
        <v>13</v>
      </c>
      <c r="I13" s="22">
        <f t="shared" si="2"/>
        <v>11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C209+C210+C212+C217+C218</f>
        <v>3231</v>
      </c>
      <c r="D14" s="22">
        <f t="shared" si="3"/>
        <v>2541</v>
      </c>
      <c r="E14" s="22">
        <f t="shared" si="3"/>
        <v>690</v>
      </c>
      <c r="F14" s="22">
        <f t="shared" si="3"/>
        <v>416</v>
      </c>
      <c r="G14" s="22">
        <f t="shared" si="3"/>
        <v>273</v>
      </c>
      <c r="H14" s="22">
        <f t="shared" si="3"/>
        <v>1</v>
      </c>
      <c r="I14" s="22">
        <f t="shared" si="3"/>
        <v>0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+C213+C219</f>
        <v>3255</v>
      </c>
      <c r="D15" s="22">
        <f t="shared" si="4"/>
        <v>2392</v>
      </c>
      <c r="E15" s="22">
        <f t="shared" si="4"/>
        <v>863</v>
      </c>
      <c r="F15" s="22">
        <f t="shared" si="4"/>
        <v>543</v>
      </c>
      <c r="G15" s="22">
        <f t="shared" si="4"/>
        <v>320</v>
      </c>
      <c r="H15" s="22">
        <f t="shared" si="4"/>
        <v>0</v>
      </c>
      <c r="I15" s="22">
        <f t="shared" si="4"/>
        <v>0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C211+C214+C215+C216</f>
        <v>3038</v>
      </c>
      <c r="D16" s="22">
        <f t="shared" si="5"/>
        <v>1878</v>
      </c>
      <c r="E16" s="22">
        <f t="shared" si="5"/>
        <v>1160</v>
      </c>
      <c r="F16" s="22">
        <f t="shared" si="5"/>
        <v>738</v>
      </c>
      <c r="G16" s="22">
        <f t="shared" si="5"/>
        <v>399</v>
      </c>
      <c r="H16" s="22">
        <f t="shared" si="5"/>
        <v>12</v>
      </c>
      <c r="I16" s="22">
        <f t="shared" si="5"/>
        <v>11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5591</v>
      </c>
      <c r="D17" s="22">
        <f t="shared" si="6"/>
        <v>5109</v>
      </c>
      <c r="E17" s="22">
        <f t="shared" si="6"/>
        <v>482</v>
      </c>
      <c r="F17" s="22">
        <f t="shared" si="6"/>
        <v>301</v>
      </c>
      <c r="G17" s="22">
        <f t="shared" si="6"/>
        <v>177</v>
      </c>
      <c r="H17" s="22">
        <f t="shared" si="6"/>
        <v>0</v>
      </c>
      <c r="I17" s="22">
        <f t="shared" si="6"/>
        <v>4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+C205</f>
        <v>1690</v>
      </c>
      <c r="D18" s="22">
        <f t="shared" si="7"/>
        <v>1591</v>
      </c>
      <c r="E18" s="22">
        <f t="shared" si="7"/>
        <v>99</v>
      </c>
      <c r="F18" s="22">
        <f t="shared" si="7"/>
        <v>62</v>
      </c>
      <c r="G18" s="22">
        <f t="shared" si="7"/>
        <v>37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+C204</f>
        <v>1856</v>
      </c>
      <c r="D19" s="22">
        <f t="shared" si="8"/>
        <v>1641</v>
      </c>
      <c r="E19" s="22">
        <f t="shared" si="8"/>
        <v>215</v>
      </c>
      <c r="F19" s="22">
        <f t="shared" si="8"/>
        <v>144</v>
      </c>
      <c r="G19" s="22">
        <f t="shared" si="8"/>
        <v>71</v>
      </c>
      <c r="H19" s="22">
        <f t="shared" si="8"/>
        <v>0</v>
      </c>
      <c r="I19" s="22">
        <f t="shared" si="8"/>
        <v>0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C206</f>
        <v>2045</v>
      </c>
      <c r="D20" s="22">
        <f t="shared" si="9"/>
        <v>1877</v>
      </c>
      <c r="E20" s="22">
        <f t="shared" si="9"/>
        <v>168</v>
      </c>
      <c r="F20" s="22">
        <f t="shared" si="9"/>
        <v>95</v>
      </c>
      <c r="G20" s="22">
        <f t="shared" si="9"/>
        <v>69</v>
      </c>
      <c r="H20" s="22">
        <f t="shared" si="9"/>
        <v>0</v>
      </c>
      <c r="I20" s="22">
        <f t="shared" si="9"/>
        <v>4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C196+C197+C198+C182+C199+C200+C187+C201+C190</f>
        <v>14167</v>
      </c>
      <c r="D21" s="28">
        <f t="shared" si="10"/>
        <v>10162</v>
      </c>
      <c r="E21" s="28">
        <f t="shared" si="10"/>
        <v>4005</v>
      </c>
      <c r="F21" s="28">
        <f t="shared" si="10"/>
        <v>3020</v>
      </c>
      <c r="G21" s="28">
        <f t="shared" si="10"/>
        <v>911</v>
      </c>
      <c r="H21" s="28">
        <f t="shared" si="10"/>
        <v>63</v>
      </c>
      <c r="I21" s="28">
        <f t="shared" si="10"/>
        <v>11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342</v>
      </c>
      <c r="B23" s="263"/>
      <c r="C23" s="20">
        <f t="shared" ref="C23:J23" si="11">C24+C25+C26+C29+C32+C33</f>
        <v>68731</v>
      </c>
      <c r="D23" s="20">
        <f t="shared" si="11"/>
        <v>52824</v>
      </c>
      <c r="E23" s="20">
        <f t="shared" si="11"/>
        <v>15907</v>
      </c>
      <c r="F23" s="20">
        <f t="shared" si="11"/>
        <v>11307</v>
      </c>
      <c r="G23" s="20">
        <f t="shared" si="11"/>
        <v>4502</v>
      </c>
      <c r="H23" s="20">
        <f t="shared" si="11"/>
        <v>68</v>
      </c>
      <c r="I23" s="20">
        <f t="shared" si="11"/>
        <v>30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C136+C138+C139+C150+C151+C153+C155+C157+C158</f>
        <v>41200</v>
      </c>
      <c r="D24" s="22">
        <f t="shared" si="12"/>
        <v>29598</v>
      </c>
      <c r="E24" s="22">
        <f t="shared" si="12"/>
        <v>11602</v>
      </c>
      <c r="F24" s="22">
        <f t="shared" si="12"/>
        <v>8146</v>
      </c>
      <c r="G24" s="22">
        <f t="shared" si="12"/>
        <v>3372</v>
      </c>
      <c r="H24" s="22">
        <f t="shared" si="12"/>
        <v>67</v>
      </c>
      <c r="I24" s="22">
        <f t="shared" si="12"/>
        <v>17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C145</f>
        <v>5015</v>
      </c>
      <c r="D25" s="22">
        <f t="shared" si="13"/>
        <v>4007</v>
      </c>
      <c r="E25" s="22">
        <f t="shared" si="13"/>
        <v>1008</v>
      </c>
      <c r="F25" s="22">
        <f t="shared" si="13"/>
        <v>666</v>
      </c>
      <c r="G25" s="22">
        <f t="shared" si="13"/>
        <v>341</v>
      </c>
      <c r="H25" s="22">
        <f t="shared" si="13"/>
        <v>0</v>
      </c>
      <c r="I25" s="22">
        <f t="shared" si="13"/>
        <v>1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12072</v>
      </c>
      <c r="D26" s="22">
        <f t="shared" si="14"/>
        <v>9889</v>
      </c>
      <c r="E26" s="22">
        <f t="shared" si="14"/>
        <v>2183</v>
      </c>
      <c r="F26" s="22">
        <f t="shared" si="14"/>
        <v>1688</v>
      </c>
      <c r="G26" s="22">
        <f t="shared" si="14"/>
        <v>482</v>
      </c>
      <c r="H26" s="22">
        <f t="shared" si="14"/>
        <v>1</v>
      </c>
      <c r="I26" s="22">
        <f t="shared" si="14"/>
        <v>12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C137+C142+C144+C152+C159+C164</f>
        <v>887</v>
      </c>
      <c r="D27" s="22">
        <f t="shared" si="15"/>
        <v>831</v>
      </c>
      <c r="E27" s="22">
        <f t="shared" si="15"/>
        <v>56</v>
      </c>
      <c r="F27" s="22">
        <f t="shared" si="15"/>
        <v>35</v>
      </c>
      <c r="G27" s="22">
        <f t="shared" si="15"/>
        <v>21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C143+C146+C149+C161</f>
        <v>11185</v>
      </c>
      <c r="D28" s="22">
        <f t="shared" si="16"/>
        <v>9058</v>
      </c>
      <c r="E28" s="22">
        <f t="shared" si="16"/>
        <v>2127</v>
      </c>
      <c r="F28" s="22">
        <f t="shared" si="16"/>
        <v>1653</v>
      </c>
      <c r="G28" s="22">
        <f t="shared" si="16"/>
        <v>461</v>
      </c>
      <c r="H28" s="22">
        <f t="shared" si="16"/>
        <v>1</v>
      </c>
      <c r="I28" s="22">
        <f t="shared" si="16"/>
        <v>12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3758</v>
      </c>
      <c r="D29" s="22">
        <f t="shared" si="17"/>
        <v>3328</v>
      </c>
      <c r="E29" s="22">
        <f t="shared" si="17"/>
        <v>430</v>
      </c>
      <c r="F29" s="22">
        <f t="shared" si="17"/>
        <v>319</v>
      </c>
      <c r="G29" s="22">
        <f t="shared" si="17"/>
        <v>111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+C141</f>
        <v>1192</v>
      </c>
      <c r="D30" s="22">
        <f t="shared" si="18"/>
        <v>1059</v>
      </c>
      <c r="E30" s="22">
        <f t="shared" si="18"/>
        <v>133</v>
      </c>
      <c r="F30" s="22">
        <f t="shared" si="18"/>
        <v>95</v>
      </c>
      <c r="G30" s="22">
        <f t="shared" si="18"/>
        <v>38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C140+C160+C163</f>
        <v>2566</v>
      </c>
      <c r="D31" s="22">
        <f t="shared" si="19"/>
        <v>2269</v>
      </c>
      <c r="E31" s="22">
        <f t="shared" si="19"/>
        <v>297</v>
      </c>
      <c r="F31" s="22">
        <f t="shared" si="19"/>
        <v>224</v>
      </c>
      <c r="G31" s="22">
        <f t="shared" si="19"/>
        <v>73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C147+C148+C154+C156+C162</f>
        <v>742</v>
      </c>
      <c r="D32" s="22">
        <f t="shared" si="20"/>
        <v>688</v>
      </c>
      <c r="E32" s="22">
        <f t="shared" si="20"/>
        <v>54</v>
      </c>
      <c r="F32" s="22">
        <f t="shared" si="20"/>
        <v>40</v>
      </c>
      <c r="G32" s="22">
        <f t="shared" si="20"/>
        <v>14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343</v>
      </c>
      <c r="B33" s="264"/>
      <c r="C33" s="22">
        <f t="shared" ref="C33:J33" si="21">C34+C35+C36</f>
        <v>5944</v>
      </c>
      <c r="D33" s="22">
        <f t="shared" si="21"/>
        <v>5314</v>
      </c>
      <c r="E33" s="22">
        <f t="shared" si="21"/>
        <v>630</v>
      </c>
      <c r="F33" s="22">
        <f t="shared" si="21"/>
        <v>448</v>
      </c>
      <c r="G33" s="22">
        <f t="shared" si="21"/>
        <v>182</v>
      </c>
      <c r="H33" s="22">
        <f t="shared" si="21"/>
        <v>0</v>
      </c>
      <c r="I33" s="22">
        <f t="shared" si="21"/>
        <v>0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C172</f>
        <v>572</v>
      </c>
      <c r="D34" s="22">
        <f t="shared" si="22"/>
        <v>531</v>
      </c>
      <c r="E34" s="22">
        <f t="shared" si="22"/>
        <v>41</v>
      </c>
      <c r="F34" s="22">
        <f t="shared" si="22"/>
        <v>19</v>
      </c>
      <c r="G34" s="22">
        <f t="shared" si="22"/>
        <v>22</v>
      </c>
      <c r="H34" s="22">
        <f t="shared" si="22"/>
        <v>0</v>
      </c>
      <c r="I34" s="22">
        <f t="shared" si="22"/>
        <v>0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C168+C169+C170+C173</f>
        <v>219</v>
      </c>
      <c r="D35" s="22">
        <f t="shared" si="23"/>
        <v>195</v>
      </c>
      <c r="E35" s="22">
        <f t="shared" si="23"/>
        <v>24</v>
      </c>
      <c r="F35" s="22">
        <f t="shared" si="23"/>
        <v>11</v>
      </c>
      <c r="G35" s="22">
        <f t="shared" si="23"/>
        <v>13</v>
      </c>
      <c r="H35" s="22">
        <f t="shared" si="23"/>
        <v>0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344</v>
      </c>
      <c r="C36" s="28">
        <f t="shared" ref="C36:J36" si="24">C167+C171+C174</f>
        <v>5153</v>
      </c>
      <c r="D36" s="28">
        <f t="shared" si="24"/>
        <v>4588</v>
      </c>
      <c r="E36" s="28">
        <f t="shared" si="24"/>
        <v>565</v>
      </c>
      <c r="F36" s="28">
        <f t="shared" si="24"/>
        <v>418</v>
      </c>
      <c r="G36" s="28">
        <f t="shared" si="24"/>
        <v>147</v>
      </c>
      <c r="H36" s="28">
        <f t="shared" si="24"/>
        <v>0</v>
      </c>
      <c r="I36" s="28">
        <f t="shared" si="24"/>
        <v>0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47660</v>
      </c>
      <c r="D38" s="20">
        <f t="shared" si="25"/>
        <v>34855</v>
      </c>
      <c r="E38" s="20">
        <f t="shared" si="25"/>
        <v>12805</v>
      </c>
      <c r="F38" s="20">
        <f t="shared" si="25"/>
        <v>9436</v>
      </c>
      <c r="G38" s="20">
        <f t="shared" si="25"/>
        <v>3251</v>
      </c>
      <c r="H38" s="20">
        <f t="shared" si="25"/>
        <v>90</v>
      </c>
      <c r="I38" s="20">
        <f t="shared" si="25"/>
        <v>28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C177+C178+C180+C181+C183+C186+C188+C189+C192+C193</f>
        <v>42130</v>
      </c>
      <c r="D39" s="22">
        <f t="shared" si="26"/>
        <v>31025</v>
      </c>
      <c r="E39" s="22">
        <f t="shared" si="26"/>
        <v>11105</v>
      </c>
      <c r="F39" s="22">
        <f t="shared" si="26"/>
        <v>8165</v>
      </c>
      <c r="G39" s="22">
        <f t="shared" si="26"/>
        <v>2833</v>
      </c>
      <c r="H39" s="22">
        <f t="shared" si="26"/>
        <v>82</v>
      </c>
      <c r="I39" s="22">
        <f t="shared" si="26"/>
        <v>25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+C179+C184+C191</f>
        <v>5530</v>
      </c>
      <c r="D40" s="28">
        <f t="shared" si="27"/>
        <v>3830</v>
      </c>
      <c r="E40" s="28">
        <f t="shared" si="27"/>
        <v>1700</v>
      </c>
      <c r="F40" s="28">
        <f t="shared" si="27"/>
        <v>1271</v>
      </c>
      <c r="G40" s="28">
        <f t="shared" si="27"/>
        <v>418</v>
      </c>
      <c r="H40" s="28">
        <f t="shared" si="27"/>
        <v>8</v>
      </c>
      <c r="I40" s="28">
        <f t="shared" si="27"/>
        <v>3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C43+C44+C48</f>
        <v>141396</v>
      </c>
      <c r="D42" s="20">
        <f t="shared" si="28"/>
        <v>98454</v>
      </c>
      <c r="E42" s="20">
        <f t="shared" si="28"/>
        <v>42942</v>
      </c>
      <c r="F42" s="20">
        <f t="shared" si="28"/>
        <v>26729</v>
      </c>
      <c r="G42" s="20">
        <f t="shared" si="28"/>
        <v>15715</v>
      </c>
      <c r="H42" s="20">
        <f t="shared" si="28"/>
        <v>305</v>
      </c>
      <c r="I42" s="20">
        <f t="shared" si="28"/>
        <v>168</v>
      </c>
      <c r="J42" s="20">
        <f t="shared" si="28"/>
        <v>25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C87+C88+C89+C91+C95+C96+C98+C100+C102+C103+C107+C109+C114+C115+C119+C122+C125+C128+C132+C133</f>
        <v>93158</v>
      </c>
      <c r="D43" s="22">
        <f t="shared" si="29"/>
        <v>59501</v>
      </c>
      <c r="E43" s="22">
        <f t="shared" si="29"/>
        <v>33657</v>
      </c>
      <c r="F43" s="22">
        <f t="shared" si="29"/>
        <v>20172</v>
      </c>
      <c r="G43" s="22">
        <f t="shared" si="29"/>
        <v>13010</v>
      </c>
      <c r="H43" s="22">
        <f t="shared" si="29"/>
        <v>300</v>
      </c>
      <c r="I43" s="22">
        <f t="shared" si="29"/>
        <v>150</v>
      </c>
      <c r="J43" s="22">
        <f t="shared" si="29"/>
        <v>25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C45+C46+C47</f>
        <v>25512</v>
      </c>
      <c r="D44" s="22">
        <f t="shared" si="30"/>
        <v>21169</v>
      </c>
      <c r="E44" s="22">
        <f t="shared" si="30"/>
        <v>4343</v>
      </c>
      <c r="F44" s="22">
        <f t="shared" si="30"/>
        <v>3086</v>
      </c>
      <c r="G44" s="22">
        <f t="shared" si="30"/>
        <v>1240</v>
      </c>
      <c r="H44" s="22">
        <f t="shared" si="30"/>
        <v>1</v>
      </c>
      <c r="I44" s="22">
        <f t="shared" si="30"/>
        <v>16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C80+C112+C101+C185+C105+C110+C129</f>
        <v>13145</v>
      </c>
      <c r="D45" s="22">
        <f t="shared" si="31"/>
        <v>10294</v>
      </c>
      <c r="E45" s="22">
        <f t="shared" si="31"/>
        <v>2851</v>
      </c>
      <c r="F45" s="22">
        <f t="shared" si="31"/>
        <v>2042</v>
      </c>
      <c r="G45" s="22">
        <f t="shared" si="31"/>
        <v>792</v>
      </c>
      <c r="H45" s="22">
        <f t="shared" si="31"/>
        <v>1</v>
      </c>
      <c r="I45" s="22">
        <f t="shared" si="31"/>
        <v>16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C90+C118+C120+C127</f>
        <v>11395</v>
      </c>
      <c r="D46" s="22">
        <f t="shared" si="32"/>
        <v>9998</v>
      </c>
      <c r="E46" s="22">
        <f t="shared" si="32"/>
        <v>1397</v>
      </c>
      <c r="F46" s="22">
        <f t="shared" si="32"/>
        <v>984</v>
      </c>
      <c r="G46" s="22">
        <f t="shared" si="32"/>
        <v>413</v>
      </c>
      <c r="H46" s="22">
        <f t="shared" si="32"/>
        <v>0</v>
      </c>
      <c r="I46" s="22">
        <f t="shared" si="32"/>
        <v>0</v>
      </c>
      <c r="J46" s="22">
        <f t="shared" si="32"/>
        <v>0</v>
      </c>
    </row>
    <row r="47" spans="1:10" s="21" customFormat="1" ht="12" customHeight="1" x14ac:dyDescent="0.2">
      <c r="A47" s="30"/>
      <c r="B47" s="25" t="s">
        <v>43</v>
      </c>
      <c r="C47" s="22">
        <f t="shared" ref="C47:J47" si="33">C84+C93+C94+C130</f>
        <v>972</v>
      </c>
      <c r="D47" s="22">
        <f t="shared" si="33"/>
        <v>877</v>
      </c>
      <c r="E47" s="22">
        <f t="shared" si="33"/>
        <v>95</v>
      </c>
      <c r="F47" s="22">
        <f t="shared" si="33"/>
        <v>60</v>
      </c>
      <c r="G47" s="22">
        <f t="shared" si="33"/>
        <v>35</v>
      </c>
      <c r="H47" s="22">
        <f t="shared" si="33"/>
        <v>0</v>
      </c>
      <c r="I47" s="22">
        <f t="shared" si="33"/>
        <v>0</v>
      </c>
      <c r="J47" s="22">
        <f t="shared" si="33"/>
        <v>0</v>
      </c>
    </row>
    <row r="48" spans="1:10" s="21" customFormat="1" ht="12" customHeight="1" x14ac:dyDescent="0.2">
      <c r="A48" s="264" t="s">
        <v>44</v>
      </c>
      <c r="B48" s="264"/>
      <c r="C48" s="22">
        <f t="shared" ref="C48:J48" si="34">C49+C50+C51</f>
        <v>22726</v>
      </c>
      <c r="D48" s="22">
        <f t="shared" si="34"/>
        <v>17784</v>
      </c>
      <c r="E48" s="22">
        <f t="shared" si="34"/>
        <v>4942</v>
      </c>
      <c r="F48" s="22">
        <f t="shared" si="34"/>
        <v>3471</v>
      </c>
      <c r="G48" s="22">
        <f t="shared" si="34"/>
        <v>1465</v>
      </c>
      <c r="H48" s="22">
        <f t="shared" si="34"/>
        <v>4</v>
      </c>
      <c r="I48" s="22">
        <f t="shared" si="34"/>
        <v>2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45</v>
      </c>
      <c r="C49" s="22">
        <f t="shared" ref="C49:J49" si="35">+C76+C77+C86+C111</f>
        <v>2674</v>
      </c>
      <c r="D49" s="22">
        <f t="shared" si="35"/>
        <v>2377</v>
      </c>
      <c r="E49" s="22">
        <f t="shared" si="35"/>
        <v>297</v>
      </c>
      <c r="F49" s="22">
        <f t="shared" si="35"/>
        <v>201</v>
      </c>
      <c r="G49" s="22">
        <f t="shared" si="35"/>
        <v>96</v>
      </c>
      <c r="H49" s="22">
        <f t="shared" si="35"/>
        <v>0</v>
      </c>
      <c r="I49" s="22">
        <f t="shared" si="35"/>
        <v>0</v>
      </c>
      <c r="J49" s="22">
        <f t="shared" si="35"/>
        <v>0</v>
      </c>
    </row>
    <row r="50" spans="1:10" s="21" customFormat="1" ht="12" customHeight="1" x14ac:dyDescent="0.2">
      <c r="A50" s="30"/>
      <c r="B50" s="24" t="s">
        <v>46</v>
      </c>
      <c r="C50" s="22">
        <f t="shared" ref="C50:J50" si="36">C79+C81+C97+C99+C113+C117+C123+C126</f>
        <v>6043</v>
      </c>
      <c r="D50" s="22">
        <f t="shared" si="36"/>
        <v>5048</v>
      </c>
      <c r="E50" s="22">
        <f t="shared" si="36"/>
        <v>995</v>
      </c>
      <c r="F50" s="22">
        <f t="shared" si="36"/>
        <v>669</v>
      </c>
      <c r="G50" s="22">
        <f t="shared" si="36"/>
        <v>326</v>
      </c>
      <c r="H50" s="22">
        <f t="shared" si="36"/>
        <v>0</v>
      </c>
      <c r="I50" s="22">
        <f t="shared" si="36"/>
        <v>0</v>
      </c>
      <c r="J50" s="22">
        <f t="shared" si="36"/>
        <v>0</v>
      </c>
    </row>
    <row r="51" spans="1:10" s="21" customFormat="1" ht="12" customHeight="1" x14ac:dyDescent="0.2">
      <c r="A51" s="30"/>
      <c r="B51" s="30" t="s">
        <v>47</v>
      </c>
      <c r="C51" s="28">
        <f t="shared" ref="C51:J51" si="37">C75+C82+C92+C104+C116+C121+C131</f>
        <v>14009</v>
      </c>
      <c r="D51" s="28">
        <f t="shared" si="37"/>
        <v>10359</v>
      </c>
      <c r="E51" s="28">
        <f t="shared" si="37"/>
        <v>3650</v>
      </c>
      <c r="F51" s="28">
        <f t="shared" si="37"/>
        <v>2601</v>
      </c>
      <c r="G51" s="28">
        <f t="shared" si="37"/>
        <v>1043</v>
      </c>
      <c r="H51" s="28">
        <f t="shared" si="37"/>
        <v>4</v>
      </c>
      <c r="I51" s="28">
        <f t="shared" si="37"/>
        <v>2</v>
      </c>
      <c r="J51" s="28">
        <f t="shared" si="37"/>
        <v>0</v>
      </c>
    </row>
    <row r="52" spans="1:10" s="21" customFormat="1" ht="12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s="19" customFormat="1" ht="12" customHeight="1" x14ac:dyDescent="0.2">
      <c r="A53" s="263" t="s">
        <v>48</v>
      </c>
      <c r="B53" s="263"/>
      <c r="C53" s="20">
        <f t="shared" ref="C53:J53" si="38">C54+C55+C56</f>
        <v>54583</v>
      </c>
      <c r="D53" s="20">
        <f t="shared" si="38"/>
        <v>42105</v>
      </c>
      <c r="E53" s="20">
        <f t="shared" si="38"/>
        <v>12478</v>
      </c>
      <c r="F53" s="20">
        <f t="shared" si="38"/>
        <v>7727</v>
      </c>
      <c r="G53" s="20">
        <f t="shared" si="38"/>
        <v>4579</v>
      </c>
      <c r="H53" s="20">
        <f t="shared" si="38"/>
        <v>108</v>
      </c>
      <c r="I53" s="20">
        <f t="shared" si="38"/>
        <v>63</v>
      </c>
      <c r="J53" s="20">
        <f t="shared" si="38"/>
        <v>1</v>
      </c>
    </row>
    <row r="54" spans="1:10" s="21" customFormat="1" ht="12" customHeight="1" x14ac:dyDescent="0.2">
      <c r="A54" s="264" t="s">
        <v>49</v>
      </c>
      <c r="B54" s="264"/>
      <c r="C54" s="22">
        <f t="shared" ref="C54:J54" si="39">C59+C63+C68+C72</f>
        <v>18972</v>
      </c>
      <c r="D54" s="22">
        <f t="shared" si="39"/>
        <v>13364</v>
      </c>
      <c r="E54" s="22">
        <f t="shared" si="39"/>
        <v>5608</v>
      </c>
      <c r="F54" s="22">
        <f t="shared" si="39"/>
        <v>3519</v>
      </c>
      <c r="G54" s="22">
        <f t="shared" si="39"/>
        <v>1937</v>
      </c>
      <c r="H54" s="22">
        <f t="shared" si="39"/>
        <v>98</v>
      </c>
      <c r="I54" s="22">
        <f t="shared" si="39"/>
        <v>54</v>
      </c>
      <c r="J54" s="22">
        <f t="shared" si="39"/>
        <v>0</v>
      </c>
    </row>
    <row r="55" spans="1:10" s="21" customFormat="1" ht="12" customHeight="1" x14ac:dyDescent="0.2">
      <c r="A55" s="264" t="s">
        <v>50</v>
      </c>
      <c r="B55" s="264"/>
      <c r="C55" s="22">
        <f t="shared" ref="C55:J55" si="40">C78+C60+C83+C85+C64+C65+C66+C106+C108+C67+C69+C70+C124+C71</f>
        <v>31602</v>
      </c>
      <c r="D55" s="22">
        <f t="shared" si="40"/>
        <v>25151</v>
      </c>
      <c r="E55" s="22">
        <f t="shared" si="40"/>
        <v>6451</v>
      </c>
      <c r="F55" s="22">
        <f t="shared" si="40"/>
        <v>3920</v>
      </c>
      <c r="G55" s="22">
        <f t="shared" si="40"/>
        <v>2511</v>
      </c>
      <c r="H55" s="22">
        <f t="shared" si="40"/>
        <v>10</v>
      </c>
      <c r="I55" s="22">
        <f t="shared" si="40"/>
        <v>9</v>
      </c>
      <c r="J55" s="22">
        <f t="shared" si="40"/>
        <v>1</v>
      </c>
    </row>
    <row r="56" spans="1:10" s="21" customFormat="1" ht="12" customHeight="1" x14ac:dyDescent="0.2">
      <c r="A56" s="267" t="s">
        <v>51</v>
      </c>
      <c r="B56" s="267"/>
      <c r="C56" s="28">
        <f t="shared" ref="C56:J56" si="41">C62+C61</f>
        <v>4009</v>
      </c>
      <c r="D56" s="28">
        <f t="shared" si="41"/>
        <v>3590</v>
      </c>
      <c r="E56" s="28">
        <f t="shared" si="41"/>
        <v>419</v>
      </c>
      <c r="F56" s="28">
        <f t="shared" si="41"/>
        <v>288</v>
      </c>
      <c r="G56" s="28">
        <f t="shared" si="41"/>
        <v>131</v>
      </c>
      <c r="H56" s="28">
        <f t="shared" si="41"/>
        <v>0</v>
      </c>
      <c r="I56" s="28">
        <f t="shared" si="41"/>
        <v>0</v>
      </c>
      <c r="J56" s="28">
        <f t="shared" si="41"/>
        <v>0</v>
      </c>
    </row>
    <row r="57" spans="1:10" s="21" customFormat="1" ht="12" customHeight="1" x14ac:dyDescent="0.2">
      <c r="A57" s="25"/>
      <c r="B57" s="31"/>
      <c r="C57" s="32"/>
      <c r="D57" s="32"/>
      <c r="E57" s="32"/>
      <c r="F57" s="32"/>
      <c r="G57" s="32"/>
      <c r="H57" s="32"/>
      <c r="I57" s="32"/>
      <c r="J57" s="32"/>
    </row>
    <row r="58" spans="1:10" s="21" customFormat="1" ht="12" customHeight="1" x14ac:dyDescent="0.2">
      <c r="A58" s="269" t="s">
        <v>52</v>
      </c>
      <c r="B58" s="269"/>
      <c r="C58" s="18">
        <f t="shared" ref="C58:J58" si="42">SUM(C59:C72)</f>
        <v>49557</v>
      </c>
      <c r="D58" s="18">
        <f t="shared" si="42"/>
        <v>38294</v>
      </c>
      <c r="E58" s="18">
        <f t="shared" si="42"/>
        <v>11263</v>
      </c>
      <c r="F58" s="18">
        <f t="shared" si="42"/>
        <v>7049</v>
      </c>
      <c r="G58" s="18">
        <f t="shared" si="42"/>
        <v>4043</v>
      </c>
      <c r="H58" s="18">
        <f t="shared" si="42"/>
        <v>108</v>
      </c>
      <c r="I58" s="18">
        <f t="shared" si="42"/>
        <v>63</v>
      </c>
      <c r="J58" s="18">
        <f t="shared" si="42"/>
        <v>0</v>
      </c>
    </row>
    <row r="59" spans="1:10" s="21" customFormat="1" ht="12" customHeight="1" x14ac:dyDescent="0.2">
      <c r="A59" s="264" t="s">
        <v>53</v>
      </c>
      <c r="B59" s="264"/>
      <c r="C59" s="22">
        <v>3303</v>
      </c>
      <c r="D59" s="22">
        <v>2611</v>
      </c>
      <c r="E59" s="22">
        <v>692</v>
      </c>
      <c r="F59" s="22">
        <v>482</v>
      </c>
      <c r="G59" s="22">
        <v>209</v>
      </c>
      <c r="H59" s="22">
        <v>1</v>
      </c>
      <c r="I59" s="22">
        <v>0</v>
      </c>
      <c r="J59" s="22">
        <v>0</v>
      </c>
    </row>
    <row r="60" spans="1:10" s="21" customFormat="1" ht="12" customHeight="1" x14ac:dyDescent="0.2">
      <c r="A60" s="264" t="s">
        <v>54</v>
      </c>
      <c r="B60" s="264"/>
      <c r="C60" s="22">
        <v>613</v>
      </c>
      <c r="D60" s="22">
        <v>546</v>
      </c>
      <c r="E60" s="22">
        <v>67</v>
      </c>
      <c r="F60" s="22">
        <v>39</v>
      </c>
      <c r="G60" s="22">
        <v>28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55</v>
      </c>
      <c r="B61" s="264"/>
      <c r="C61" s="22">
        <v>1959</v>
      </c>
      <c r="D61" s="22">
        <v>1779</v>
      </c>
      <c r="E61" s="22">
        <v>180</v>
      </c>
      <c r="F61" s="22">
        <v>124</v>
      </c>
      <c r="G61" s="22">
        <v>56</v>
      </c>
      <c r="H61" s="22">
        <v>0</v>
      </c>
      <c r="I61" s="22">
        <v>0</v>
      </c>
      <c r="J61" s="22">
        <v>0</v>
      </c>
    </row>
    <row r="62" spans="1:10" s="21" customFormat="1" ht="12" customHeight="1" x14ac:dyDescent="0.2">
      <c r="A62" s="264" t="s">
        <v>56</v>
      </c>
      <c r="B62" s="264"/>
      <c r="C62" s="22">
        <v>2050</v>
      </c>
      <c r="D62" s="22">
        <v>1811</v>
      </c>
      <c r="E62" s="22">
        <v>239</v>
      </c>
      <c r="F62" s="22">
        <v>164</v>
      </c>
      <c r="G62" s="22">
        <v>75</v>
      </c>
      <c r="H62" s="22">
        <v>0</v>
      </c>
      <c r="I62" s="22">
        <v>0</v>
      </c>
      <c r="J62" s="22">
        <v>0</v>
      </c>
    </row>
    <row r="63" spans="1:10" s="21" customFormat="1" ht="12" customHeight="1" x14ac:dyDescent="0.2">
      <c r="A63" s="264" t="s">
        <v>57</v>
      </c>
      <c r="B63" s="264"/>
      <c r="C63" s="22">
        <v>7933</v>
      </c>
      <c r="D63" s="22">
        <v>4862</v>
      </c>
      <c r="E63" s="22">
        <v>3071</v>
      </c>
      <c r="F63" s="22">
        <v>1794</v>
      </c>
      <c r="G63" s="22">
        <v>1132</v>
      </c>
      <c r="H63" s="22">
        <v>94</v>
      </c>
      <c r="I63" s="22">
        <v>51</v>
      </c>
      <c r="J63" s="22">
        <v>0</v>
      </c>
    </row>
    <row r="64" spans="1:10" s="21" customFormat="1" ht="12" customHeight="1" x14ac:dyDescent="0.2">
      <c r="A64" s="264" t="s">
        <v>58</v>
      </c>
      <c r="B64" s="264"/>
      <c r="C64" s="22">
        <v>2711</v>
      </c>
      <c r="D64" s="22">
        <v>2204</v>
      </c>
      <c r="E64" s="22">
        <v>507</v>
      </c>
      <c r="F64" s="22">
        <v>346</v>
      </c>
      <c r="G64" s="22">
        <v>160</v>
      </c>
      <c r="H64" s="22">
        <v>1</v>
      </c>
      <c r="I64" s="22">
        <v>0</v>
      </c>
      <c r="J64" s="22">
        <v>0</v>
      </c>
    </row>
    <row r="65" spans="1:10" s="21" customFormat="1" ht="12" customHeight="1" x14ac:dyDescent="0.2">
      <c r="A65" s="264" t="s">
        <v>59</v>
      </c>
      <c r="B65" s="264"/>
      <c r="C65" s="22">
        <v>1726</v>
      </c>
      <c r="D65" s="22">
        <v>1425</v>
      </c>
      <c r="E65" s="22">
        <v>301</v>
      </c>
      <c r="F65" s="22">
        <v>187</v>
      </c>
      <c r="G65" s="22">
        <v>113</v>
      </c>
      <c r="H65" s="22">
        <v>1</v>
      </c>
      <c r="I65" s="22">
        <v>0</v>
      </c>
      <c r="J65" s="22">
        <v>0</v>
      </c>
    </row>
    <row r="66" spans="1:10" s="21" customFormat="1" ht="12" customHeight="1" x14ac:dyDescent="0.2">
      <c r="A66" s="264" t="s">
        <v>60</v>
      </c>
      <c r="B66" s="264"/>
      <c r="C66" s="22">
        <v>11835</v>
      </c>
      <c r="D66" s="22">
        <v>9244</v>
      </c>
      <c r="E66" s="22">
        <v>2591</v>
      </c>
      <c r="F66" s="22">
        <v>1453</v>
      </c>
      <c r="G66" s="22">
        <v>1128</v>
      </c>
      <c r="H66" s="22">
        <v>4</v>
      </c>
      <c r="I66" s="22">
        <v>6</v>
      </c>
      <c r="J66" s="22">
        <v>0</v>
      </c>
    </row>
    <row r="67" spans="1:10" s="21" customFormat="1" ht="12" customHeight="1" x14ac:dyDescent="0.2">
      <c r="A67" s="264" t="s">
        <v>61</v>
      </c>
      <c r="B67" s="264"/>
      <c r="C67" s="22">
        <v>325</v>
      </c>
      <c r="D67" s="22">
        <v>294</v>
      </c>
      <c r="E67" s="22">
        <v>31</v>
      </c>
      <c r="F67" s="22">
        <v>21</v>
      </c>
      <c r="G67" s="22">
        <v>10</v>
      </c>
      <c r="H67" s="22">
        <v>0</v>
      </c>
      <c r="I67" s="22">
        <v>0</v>
      </c>
      <c r="J67" s="22">
        <v>0</v>
      </c>
    </row>
    <row r="68" spans="1:10" s="21" customFormat="1" ht="12" customHeight="1" x14ac:dyDescent="0.2">
      <c r="A68" s="264" t="s">
        <v>62</v>
      </c>
      <c r="B68" s="264"/>
      <c r="C68" s="22">
        <v>4624</v>
      </c>
      <c r="D68" s="22">
        <v>3554</v>
      </c>
      <c r="E68" s="22">
        <v>1070</v>
      </c>
      <c r="F68" s="22">
        <v>746</v>
      </c>
      <c r="G68" s="22">
        <v>319</v>
      </c>
      <c r="H68" s="22">
        <v>2</v>
      </c>
      <c r="I68" s="22">
        <v>3</v>
      </c>
      <c r="J68" s="22">
        <v>0</v>
      </c>
    </row>
    <row r="69" spans="1:10" s="21" customFormat="1" ht="12" customHeight="1" x14ac:dyDescent="0.2">
      <c r="A69" s="264" t="s">
        <v>63</v>
      </c>
      <c r="B69" s="264"/>
      <c r="C69" s="22">
        <v>2409</v>
      </c>
      <c r="D69" s="22">
        <v>2036</v>
      </c>
      <c r="E69" s="22">
        <v>373</v>
      </c>
      <c r="F69" s="22">
        <v>288</v>
      </c>
      <c r="G69" s="22">
        <v>84</v>
      </c>
      <c r="H69" s="22">
        <v>1</v>
      </c>
      <c r="I69" s="22">
        <v>0</v>
      </c>
      <c r="J69" s="22">
        <v>0</v>
      </c>
    </row>
    <row r="70" spans="1:10" s="21" customFormat="1" ht="12" customHeight="1" x14ac:dyDescent="0.2">
      <c r="A70" s="264" t="s">
        <v>64</v>
      </c>
      <c r="B70" s="264"/>
      <c r="C70" s="22">
        <v>2539</v>
      </c>
      <c r="D70" s="22">
        <v>2135</v>
      </c>
      <c r="E70" s="22">
        <v>404</v>
      </c>
      <c r="F70" s="22">
        <v>273</v>
      </c>
      <c r="G70" s="22">
        <v>131</v>
      </c>
      <c r="H70" s="22">
        <v>0</v>
      </c>
      <c r="I70" s="22">
        <v>0</v>
      </c>
      <c r="J70" s="22">
        <v>0</v>
      </c>
    </row>
    <row r="71" spans="1:10" s="21" customFormat="1" ht="12" customHeight="1" x14ac:dyDescent="0.2">
      <c r="A71" s="264" t="s">
        <v>65</v>
      </c>
      <c r="B71" s="264"/>
      <c r="C71" s="22">
        <v>4418</v>
      </c>
      <c r="D71" s="22">
        <v>3456</v>
      </c>
      <c r="E71" s="22">
        <v>962</v>
      </c>
      <c r="F71" s="22">
        <v>635</v>
      </c>
      <c r="G71" s="22">
        <v>321</v>
      </c>
      <c r="H71" s="22">
        <v>3</v>
      </c>
      <c r="I71" s="22">
        <v>3</v>
      </c>
      <c r="J71" s="22">
        <v>0</v>
      </c>
    </row>
    <row r="72" spans="1:10" s="21" customFormat="1" ht="12" customHeight="1" x14ac:dyDescent="0.2">
      <c r="A72" s="267" t="s">
        <v>66</v>
      </c>
      <c r="B72" s="267"/>
      <c r="C72" s="28">
        <v>3112</v>
      </c>
      <c r="D72" s="28">
        <v>2337</v>
      </c>
      <c r="E72" s="28">
        <v>775</v>
      </c>
      <c r="F72" s="28">
        <v>497</v>
      </c>
      <c r="G72" s="28">
        <v>277</v>
      </c>
      <c r="H72" s="28">
        <v>1</v>
      </c>
      <c r="I72" s="28">
        <v>0</v>
      </c>
      <c r="J72" s="28">
        <v>0</v>
      </c>
    </row>
    <row r="73" spans="1:10" s="21" customFormat="1" ht="12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 s="21" customFormat="1" ht="12" customHeight="1" x14ac:dyDescent="0.2">
      <c r="A74" s="263" t="s">
        <v>67</v>
      </c>
      <c r="B74" s="263"/>
      <c r="C74" s="20">
        <f t="shared" ref="C74:J74" si="43">SUM(C75:C133)</f>
        <v>146045</v>
      </c>
      <c r="D74" s="20">
        <f t="shared" si="43"/>
        <v>101915</v>
      </c>
      <c r="E74" s="20">
        <f t="shared" si="43"/>
        <v>44130</v>
      </c>
      <c r="F74" s="20">
        <f t="shared" si="43"/>
        <v>27388</v>
      </c>
      <c r="G74" s="20">
        <f t="shared" si="43"/>
        <v>16243</v>
      </c>
      <c r="H74" s="20">
        <f t="shared" si="43"/>
        <v>305</v>
      </c>
      <c r="I74" s="20">
        <f t="shared" si="43"/>
        <v>168</v>
      </c>
      <c r="J74" s="20">
        <f t="shared" si="43"/>
        <v>26</v>
      </c>
    </row>
    <row r="75" spans="1:10" s="21" customFormat="1" ht="12" customHeight="1" x14ac:dyDescent="0.2">
      <c r="A75" s="264" t="s">
        <v>68</v>
      </c>
      <c r="B75" s="264"/>
      <c r="C75" s="22">
        <v>4174</v>
      </c>
      <c r="D75" s="22">
        <v>2878</v>
      </c>
      <c r="E75" s="22">
        <v>1296</v>
      </c>
      <c r="F75" s="22">
        <v>961</v>
      </c>
      <c r="G75" s="22">
        <v>335</v>
      </c>
      <c r="H75" s="22">
        <v>0</v>
      </c>
      <c r="I75" s="22">
        <v>0</v>
      </c>
      <c r="J75" s="22">
        <v>0</v>
      </c>
    </row>
    <row r="76" spans="1:10" s="21" customFormat="1" ht="12" customHeight="1" x14ac:dyDescent="0.2">
      <c r="A76" s="264" t="s">
        <v>69</v>
      </c>
      <c r="B76" s="264"/>
      <c r="C76" s="22">
        <v>1344</v>
      </c>
      <c r="D76" s="22">
        <v>1248</v>
      </c>
      <c r="E76" s="22">
        <v>96</v>
      </c>
      <c r="F76" s="22">
        <v>63</v>
      </c>
      <c r="G76" s="22">
        <v>33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70</v>
      </c>
      <c r="B77" s="264"/>
      <c r="C77" s="22">
        <v>326</v>
      </c>
      <c r="D77" s="22">
        <v>278</v>
      </c>
      <c r="E77" s="22">
        <v>48</v>
      </c>
      <c r="F77" s="22">
        <v>36</v>
      </c>
      <c r="G77" s="22">
        <v>12</v>
      </c>
      <c r="H77" s="22">
        <v>0</v>
      </c>
      <c r="I77" s="22">
        <v>0</v>
      </c>
      <c r="J77" s="22">
        <v>0</v>
      </c>
    </row>
    <row r="78" spans="1:10" s="21" customFormat="1" ht="12" customHeight="1" x14ac:dyDescent="0.2">
      <c r="A78" s="264" t="s">
        <v>71</v>
      </c>
      <c r="B78" s="264"/>
      <c r="C78" s="22">
        <v>948</v>
      </c>
      <c r="D78" s="22">
        <v>819</v>
      </c>
      <c r="E78" s="22">
        <v>129</v>
      </c>
      <c r="F78" s="22">
        <v>88</v>
      </c>
      <c r="G78" s="22">
        <v>41</v>
      </c>
      <c r="H78" s="22">
        <v>0</v>
      </c>
      <c r="I78" s="22">
        <v>0</v>
      </c>
      <c r="J78" s="22">
        <v>0</v>
      </c>
    </row>
    <row r="79" spans="1:10" s="21" customFormat="1" ht="12" customHeight="1" x14ac:dyDescent="0.2">
      <c r="A79" s="264" t="s">
        <v>72</v>
      </c>
      <c r="B79" s="264"/>
      <c r="C79" s="22">
        <v>293</v>
      </c>
      <c r="D79" s="22">
        <v>251</v>
      </c>
      <c r="E79" s="22">
        <v>42</v>
      </c>
      <c r="F79" s="22">
        <v>28</v>
      </c>
      <c r="G79" s="22">
        <v>14</v>
      </c>
      <c r="H79" s="22">
        <v>0</v>
      </c>
      <c r="I79" s="22">
        <v>0</v>
      </c>
      <c r="J79" s="22">
        <v>0</v>
      </c>
    </row>
    <row r="80" spans="1:10" s="21" customFormat="1" ht="12" customHeight="1" x14ac:dyDescent="0.2">
      <c r="A80" s="264" t="s">
        <v>73</v>
      </c>
      <c r="B80" s="264"/>
      <c r="C80" s="22">
        <v>1507</v>
      </c>
      <c r="D80" s="22">
        <v>1225</v>
      </c>
      <c r="E80" s="22">
        <v>282</v>
      </c>
      <c r="F80" s="22">
        <v>230</v>
      </c>
      <c r="G80" s="22">
        <v>52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74</v>
      </c>
      <c r="B81" s="264"/>
      <c r="C81" s="22">
        <v>632</v>
      </c>
      <c r="D81" s="22">
        <v>563</v>
      </c>
      <c r="E81" s="22">
        <v>69</v>
      </c>
      <c r="F81" s="22">
        <v>45</v>
      </c>
      <c r="G81" s="22">
        <v>24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75</v>
      </c>
      <c r="B82" s="264"/>
      <c r="C82" s="22">
        <v>2431</v>
      </c>
      <c r="D82" s="22">
        <v>1987</v>
      </c>
      <c r="E82" s="22">
        <v>444</v>
      </c>
      <c r="F82" s="22">
        <v>311</v>
      </c>
      <c r="G82" s="22">
        <v>128</v>
      </c>
      <c r="H82" s="22">
        <v>3</v>
      </c>
      <c r="I82" s="22">
        <v>2</v>
      </c>
      <c r="J82" s="22">
        <v>0</v>
      </c>
    </row>
    <row r="83" spans="1:10" s="21" customFormat="1" ht="12" customHeight="1" x14ac:dyDescent="0.2">
      <c r="A83" s="264" t="s">
        <v>77</v>
      </c>
      <c r="B83" s="264"/>
      <c r="C83" s="22">
        <v>889</v>
      </c>
      <c r="D83" s="22">
        <v>544</v>
      </c>
      <c r="E83" s="22">
        <v>345</v>
      </c>
      <c r="F83" s="22">
        <v>160</v>
      </c>
      <c r="G83" s="22">
        <v>184</v>
      </c>
      <c r="H83" s="22">
        <v>0</v>
      </c>
      <c r="I83" s="22">
        <v>0</v>
      </c>
      <c r="J83" s="22">
        <v>1</v>
      </c>
    </row>
    <row r="84" spans="1:10" s="21" customFormat="1" ht="12" customHeight="1" x14ac:dyDescent="0.2">
      <c r="A84" s="264" t="s">
        <v>78</v>
      </c>
      <c r="B84" s="264"/>
      <c r="C84" s="22">
        <v>145</v>
      </c>
      <c r="D84" s="22">
        <v>117</v>
      </c>
      <c r="E84" s="22">
        <v>28</v>
      </c>
      <c r="F84" s="22">
        <v>17</v>
      </c>
      <c r="G84" s="22">
        <v>11</v>
      </c>
      <c r="H84" s="22">
        <v>0</v>
      </c>
      <c r="I84" s="22">
        <v>0</v>
      </c>
      <c r="J84" s="22">
        <v>0</v>
      </c>
    </row>
    <row r="85" spans="1:10" s="21" customFormat="1" ht="12" customHeight="1" x14ac:dyDescent="0.2">
      <c r="A85" s="264" t="s">
        <v>79</v>
      </c>
      <c r="B85" s="264"/>
      <c r="C85" s="22">
        <v>469</v>
      </c>
      <c r="D85" s="22">
        <v>400</v>
      </c>
      <c r="E85" s="22">
        <v>69</v>
      </c>
      <c r="F85" s="22">
        <v>30</v>
      </c>
      <c r="G85" s="22">
        <v>39</v>
      </c>
      <c r="H85" s="22">
        <v>0</v>
      </c>
      <c r="I85" s="22">
        <v>0</v>
      </c>
      <c r="J85" s="22">
        <v>0</v>
      </c>
    </row>
    <row r="86" spans="1:10" s="21" customFormat="1" ht="12" customHeight="1" x14ac:dyDescent="0.2">
      <c r="A86" s="264" t="s">
        <v>80</v>
      </c>
      <c r="B86" s="264"/>
      <c r="C86" s="22">
        <v>718</v>
      </c>
      <c r="D86" s="22">
        <v>600</v>
      </c>
      <c r="E86" s="22">
        <v>118</v>
      </c>
      <c r="F86" s="22">
        <v>80</v>
      </c>
      <c r="G86" s="22">
        <v>38</v>
      </c>
      <c r="H86" s="22">
        <v>0</v>
      </c>
      <c r="I86" s="22">
        <v>0</v>
      </c>
      <c r="J86" s="22">
        <v>0</v>
      </c>
    </row>
    <row r="87" spans="1:10" s="21" customFormat="1" ht="12" customHeight="1" x14ac:dyDescent="0.2">
      <c r="A87" s="264" t="s">
        <v>81</v>
      </c>
      <c r="B87" s="264"/>
      <c r="C87" s="22">
        <v>1496</v>
      </c>
      <c r="D87" s="22">
        <v>1066</v>
      </c>
      <c r="E87" s="22">
        <v>430</v>
      </c>
      <c r="F87" s="22">
        <v>361</v>
      </c>
      <c r="G87" s="22">
        <v>68</v>
      </c>
      <c r="H87" s="22">
        <v>1</v>
      </c>
      <c r="I87" s="22">
        <v>0</v>
      </c>
      <c r="J87" s="22">
        <v>0</v>
      </c>
    </row>
    <row r="88" spans="1:10" s="21" customFormat="1" ht="12" customHeight="1" x14ac:dyDescent="0.2">
      <c r="A88" s="264" t="s">
        <v>82</v>
      </c>
      <c r="B88" s="264"/>
      <c r="C88" s="22">
        <v>2114</v>
      </c>
      <c r="D88" s="22">
        <v>1757</v>
      </c>
      <c r="E88" s="22">
        <v>357</v>
      </c>
      <c r="F88" s="22">
        <v>252</v>
      </c>
      <c r="G88" s="22">
        <v>102</v>
      </c>
      <c r="H88" s="22">
        <v>2</v>
      </c>
      <c r="I88" s="22">
        <v>1</v>
      </c>
      <c r="J88" s="22">
        <v>0</v>
      </c>
    </row>
    <row r="89" spans="1:10" s="21" customFormat="1" ht="12" customHeight="1" x14ac:dyDescent="0.2">
      <c r="A89" s="264" t="s">
        <v>84</v>
      </c>
      <c r="B89" s="264"/>
      <c r="C89" s="22">
        <v>1963</v>
      </c>
      <c r="D89" s="22">
        <v>1567</v>
      </c>
      <c r="E89" s="22">
        <v>396</v>
      </c>
      <c r="F89" s="22">
        <v>257</v>
      </c>
      <c r="G89" s="22">
        <v>131</v>
      </c>
      <c r="H89" s="22">
        <v>8</v>
      </c>
      <c r="I89" s="22">
        <v>0</v>
      </c>
      <c r="J89" s="22">
        <v>0</v>
      </c>
    </row>
    <row r="90" spans="1:10" s="21" customFormat="1" ht="12" customHeight="1" x14ac:dyDescent="0.2">
      <c r="A90" s="264" t="s">
        <v>85</v>
      </c>
      <c r="B90" s="264"/>
      <c r="C90" s="22">
        <v>6366</v>
      </c>
      <c r="D90" s="22">
        <v>5658</v>
      </c>
      <c r="E90" s="22">
        <v>708</v>
      </c>
      <c r="F90" s="22">
        <v>494</v>
      </c>
      <c r="G90" s="22">
        <v>214</v>
      </c>
      <c r="H90" s="22">
        <v>0</v>
      </c>
      <c r="I90" s="22">
        <v>0</v>
      </c>
      <c r="J90" s="22">
        <v>0</v>
      </c>
    </row>
    <row r="91" spans="1:10" s="21" customFormat="1" ht="12" customHeight="1" x14ac:dyDescent="0.2">
      <c r="A91" s="264" t="s">
        <v>87</v>
      </c>
      <c r="B91" s="264"/>
      <c r="C91" s="22">
        <v>850</v>
      </c>
      <c r="D91" s="22">
        <v>658</v>
      </c>
      <c r="E91" s="22">
        <v>192</v>
      </c>
      <c r="F91" s="22">
        <v>125</v>
      </c>
      <c r="G91" s="22">
        <v>67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88</v>
      </c>
      <c r="B92" s="264"/>
      <c r="C92" s="22">
        <v>4259</v>
      </c>
      <c r="D92" s="22">
        <v>3064</v>
      </c>
      <c r="E92" s="22">
        <v>1195</v>
      </c>
      <c r="F92" s="22">
        <v>849</v>
      </c>
      <c r="G92" s="22">
        <v>345</v>
      </c>
      <c r="H92" s="22">
        <v>1</v>
      </c>
      <c r="I92" s="22">
        <v>0</v>
      </c>
      <c r="J92" s="22">
        <v>0</v>
      </c>
    </row>
    <row r="93" spans="1:10" s="21" customFormat="1" ht="12" customHeight="1" x14ac:dyDescent="0.2">
      <c r="A93" s="264" t="s">
        <v>89</v>
      </c>
      <c r="B93" s="264"/>
      <c r="C93" s="22">
        <v>55</v>
      </c>
      <c r="D93" s="22">
        <v>46</v>
      </c>
      <c r="E93" s="22">
        <v>9</v>
      </c>
      <c r="F93" s="22">
        <v>8</v>
      </c>
      <c r="G93" s="22">
        <v>1</v>
      </c>
      <c r="H93" s="22">
        <v>0</v>
      </c>
      <c r="I93" s="22">
        <v>0</v>
      </c>
      <c r="J93" s="22">
        <v>0</v>
      </c>
    </row>
    <row r="94" spans="1:10" s="21" customFormat="1" ht="12" customHeight="1" x14ac:dyDescent="0.2">
      <c r="A94" s="264" t="s">
        <v>90</v>
      </c>
      <c r="B94" s="264"/>
      <c r="C94" s="22">
        <v>121</v>
      </c>
      <c r="D94" s="22">
        <v>114</v>
      </c>
      <c r="E94" s="22">
        <v>7</v>
      </c>
      <c r="F94" s="22">
        <v>3</v>
      </c>
      <c r="G94" s="22">
        <v>4</v>
      </c>
      <c r="H94" s="22">
        <v>0</v>
      </c>
      <c r="I94" s="22">
        <v>0</v>
      </c>
      <c r="J94" s="22">
        <v>0</v>
      </c>
    </row>
    <row r="95" spans="1:10" s="21" customFormat="1" ht="12" customHeight="1" x14ac:dyDescent="0.2">
      <c r="A95" s="264" t="s">
        <v>91</v>
      </c>
      <c r="B95" s="264"/>
      <c r="C95" s="22">
        <v>4439</v>
      </c>
      <c r="D95" s="22">
        <v>3186</v>
      </c>
      <c r="E95" s="22">
        <v>1253</v>
      </c>
      <c r="F95" s="22">
        <v>636</v>
      </c>
      <c r="G95" s="22">
        <v>613</v>
      </c>
      <c r="H95" s="22">
        <v>4</v>
      </c>
      <c r="I95" s="22">
        <v>0</v>
      </c>
      <c r="J95" s="22">
        <v>0</v>
      </c>
    </row>
    <row r="96" spans="1:10" s="21" customFormat="1" ht="12" customHeight="1" x14ac:dyDescent="0.2">
      <c r="A96" s="264" t="s">
        <v>92</v>
      </c>
      <c r="B96" s="264"/>
      <c r="C96" s="22">
        <v>2017</v>
      </c>
      <c r="D96" s="22">
        <v>1786</v>
      </c>
      <c r="E96" s="22">
        <v>231</v>
      </c>
      <c r="F96" s="22">
        <v>178</v>
      </c>
      <c r="G96" s="22">
        <v>53</v>
      </c>
      <c r="H96" s="22">
        <v>0</v>
      </c>
      <c r="I96" s="22">
        <v>0</v>
      </c>
      <c r="J96" s="22">
        <v>0</v>
      </c>
    </row>
    <row r="97" spans="1:10" s="21" customFormat="1" ht="12" customHeight="1" x14ac:dyDescent="0.2">
      <c r="A97" s="264" t="s">
        <v>93</v>
      </c>
      <c r="B97" s="264"/>
      <c r="C97" s="22">
        <v>822</v>
      </c>
      <c r="D97" s="22">
        <v>697</v>
      </c>
      <c r="E97" s="22">
        <v>125</v>
      </c>
      <c r="F97" s="22">
        <v>87</v>
      </c>
      <c r="G97" s="22">
        <v>38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94</v>
      </c>
      <c r="B98" s="264"/>
      <c r="C98" s="22">
        <v>1303</v>
      </c>
      <c r="D98" s="22">
        <v>1126</v>
      </c>
      <c r="E98" s="22">
        <v>177</v>
      </c>
      <c r="F98" s="22">
        <v>124</v>
      </c>
      <c r="G98" s="22">
        <v>53</v>
      </c>
      <c r="H98" s="22">
        <v>0</v>
      </c>
      <c r="I98" s="22">
        <v>0</v>
      </c>
      <c r="J98" s="22">
        <v>0</v>
      </c>
    </row>
    <row r="99" spans="1:10" s="21" customFormat="1" ht="12" customHeight="1" x14ac:dyDescent="0.2">
      <c r="A99" s="264" t="s">
        <v>95</v>
      </c>
      <c r="B99" s="264"/>
      <c r="C99" s="22">
        <v>537</v>
      </c>
      <c r="D99" s="22">
        <v>452</v>
      </c>
      <c r="E99" s="22">
        <v>85</v>
      </c>
      <c r="F99" s="22">
        <v>60</v>
      </c>
      <c r="G99" s="22">
        <v>25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96</v>
      </c>
      <c r="B100" s="264"/>
      <c r="C100" s="22">
        <v>496</v>
      </c>
      <c r="D100" s="22">
        <v>339</v>
      </c>
      <c r="E100" s="22">
        <v>157</v>
      </c>
      <c r="F100" s="22">
        <v>120</v>
      </c>
      <c r="G100" s="22">
        <v>37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97</v>
      </c>
      <c r="B101" s="264"/>
      <c r="C101" s="22">
        <v>1222</v>
      </c>
      <c r="D101" s="22">
        <v>1020</v>
      </c>
      <c r="E101" s="22">
        <v>202</v>
      </c>
      <c r="F101" s="22">
        <v>154</v>
      </c>
      <c r="G101" s="22">
        <v>48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98</v>
      </c>
      <c r="B102" s="264"/>
      <c r="C102" s="22">
        <v>1710</v>
      </c>
      <c r="D102" s="22">
        <v>1020</v>
      </c>
      <c r="E102" s="22">
        <v>690</v>
      </c>
      <c r="F102" s="22">
        <v>556</v>
      </c>
      <c r="G102" s="22">
        <v>117</v>
      </c>
      <c r="H102" s="22">
        <v>4</v>
      </c>
      <c r="I102" s="22">
        <v>13</v>
      </c>
      <c r="J102" s="22">
        <v>0</v>
      </c>
    </row>
    <row r="103" spans="1:10" s="21" customFormat="1" ht="12" customHeight="1" x14ac:dyDescent="0.2">
      <c r="A103" s="264" t="s">
        <v>99</v>
      </c>
      <c r="B103" s="264"/>
      <c r="C103" s="22">
        <v>56038</v>
      </c>
      <c r="D103" s="22">
        <v>34091</v>
      </c>
      <c r="E103" s="22">
        <v>21947</v>
      </c>
      <c r="F103" s="22">
        <v>12962</v>
      </c>
      <c r="G103" s="22">
        <v>8656</v>
      </c>
      <c r="H103" s="22">
        <v>216</v>
      </c>
      <c r="I103" s="22">
        <v>92</v>
      </c>
      <c r="J103" s="22">
        <v>21</v>
      </c>
    </row>
    <row r="104" spans="1:10" s="21" customFormat="1" ht="12" customHeight="1" x14ac:dyDescent="0.2">
      <c r="A104" s="264" t="s">
        <v>100</v>
      </c>
      <c r="B104" s="264"/>
      <c r="C104" s="22">
        <v>1467</v>
      </c>
      <c r="D104" s="22">
        <v>1132</v>
      </c>
      <c r="E104" s="22">
        <v>335</v>
      </c>
      <c r="F104" s="22">
        <v>232</v>
      </c>
      <c r="G104" s="22">
        <v>103</v>
      </c>
      <c r="H104" s="22">
        <v>0</v>
      </c>
      <c r="I104" s="22">
        <v>0</v>
      </c>
      <c r="J104" s="22">
        <v>0</v>
      </c>
    </row>
    <row r="105" spans="1:10" s="21" customFormat="1" ht="12" customHeight="1" x14ac:dyDescent="0.2">
      <c r="A105" s="264" t="s">
        <v>101</v>
      </c>
      <c r="B105" s="264"/>
      <c r="C105" s="22">
        <v>1244</v>
      </c>
      <c r="D105" s="22">
        <v>1018</v>
      </c>
      <c r="E105" s="22">
        <v>226</v>
      </c>
      <c r="F105" s="22">
        <v>173</v>
      </c>
      <c r="G105" s="22">
        <v>48</v>
      </c>
      <c r="H105" s="22">
        <v>0</v>
      </c>
      <c r="I105" s="22">
        <v>5</v>
      </c>
      <c r="J105" s="22">
        <v>0</v>
      </c>
    </row>
    <row r="106" spans="1:10" s="21" customFormat="1" ht="12" customHeight="1" x14ac:dyDescent="0.2">
      <c r="A106" s="264" t="s">
        <v>102</v>
      </c>
      <c r="B106" s="264"/>
      <c r="C106" s="22">
        <v>575</v>
      </c>
      <c r="D106" s="22">
        <v>396</v>
      </c>
      <c r="E106" s="22">
        <v>179</v>
      </c>
      <c r="F106" s="22">
        <v>111</v>
      </c>
      <c r="G106" s="22">
        <v>68</v>
      </c>
      <c r="H106" s="22">
        <v>0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103</v>
      </c>
      <c r="B107" s="264"/>
      <c r="C107" s="22">
        <v>5942</v>
      </c>
      <c r="D107" s="22">
        <v>3555</v>
      </c>
      <c r="E107" s="22">
        <v>2387</v>
      </c>
      <c r="F107" s="22">
        <v>1538</v>
      </c>
      <c r="G107" s="22">
        <v>811</v>
      </c>
      <c r="H107" s="22">
        <v>24</v>
      </c>
      <c r="I107" s="22">
        <v>10</v>
      </c>
      <c r="J107" s="22">
        <v>4</v>
      </c>
    </row>
    <row r="108" spans="1:10" s="21" customFormat="1" ht="12" customHeight="1" x14ac:dyDescent="0.2">
      <c r="A108" s="264" t="s">
        <v>104</v>
      </c>
      <c r="B108" s="264"/>
      <c r="C108" s="22">
        <v>1359</v>
      </c>
      <c r="D108" s="22">
        <v>1013</v>
      </c>
      <c r="E108" s="22">
        <v>346</v>
      </c>
      <c r="F108" s="22">
        <v>214</v>
      </c>
      <c r="G108" s="22">
        <v>132</v>
      </c>
      <c r="H108" s="22">
        <v>0</v>
      </c>
      <c r="I108" s="22">
        <v>0</v>
      </c>
      <c r="J108" s="22">
        <v>0</v>
      </c>
    </row>
    <row r="109" spans="1:10" s="21" customFormat="1" ht="12" customHeight="1" x14ac:dyDescent="0.2">
      <c r="A109" s="264" t="s">
        <v>105</v>
      </c>
      <c r="B109" s="264"/>
      <c r="C109" s="22">
        <v>1669</v>
      </c>
      <c r="D109" s="22">
        <v>1120</v>
      </c>
      <c r="E109" s="22">
        <v>549</v>
      </c>
      <c r="F109" s="22">
        <v>371</v>
      </c>
      <c r="G109" s="22">
        <v>178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106</v>
      </c>
      <c r="B110" s="264"/>
      <c r="C110" s="22">
        <v>1297</v>
      </c>
      <c r="D110" s="22">
        <v>1090</v>
      </c>
      <c r="E110" s="22">
        <v>207</v>
      </c>
      <c r="F110" s="22">
        <v>136</v>
      </c>
      <c r="G110" s="22">
        <v>71</v>
      </c>
      <c r="H110" s="22">
        <v>0</v>
      </c>
      <c r="I110" s="22">
        <v>0</v>
      </c>
      <c r="J110" s="22">
        <v>0</v>
      </c>
    </row>
    <row r="111" spans="1:10" s="21" customFormat="1" ht="12" customHeight="1" x14ac:dyDescent="0.2">
      <c r="A111" s="264" t="s">
        <v>107</v>
      </c>
      <c r="B111" s="264"/>
      <c r="C111" s="22">
        <v>286</v>
      </c>
      <c r="D111" s="22">
        <v>251</v>
      </c>
      <c r="E111" s="22">
        <v>35</v>
      </c>
      <c r="F111" s="22">
        <v>22</v>
      </c>
      <c r="G111" s="22">
        <v>13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336</v>
      </c>
      <c r="B112" s="264"/>
      <c r="C112" s="22">
        <v>4427</v>
      </c>
      <c r="D112" s="22">
        <v>3404</v>
      </c>
      <c r="E112" s="22">
        <v>1023</v>
      </c>
      <c r="F112" s="22">
        <v>602</v>
      </c>
      <c r="G112" s="22">
        <v>421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108</v>
      </c>
      <c r="B113" s="264"/>
      <c r="C113" s="22">
        <v>888</v>
      </c>
      <c r="D113" s="22">
        <v>706</v>
      </c>
      <c r="E113" s="22">
        <v>182</v>
      </c>
      <c r="F113" s="22">
        <v>109</v>
      </c>
      <c r="G113" s="22">
        <v>73</v>
      </c>
      <c r="H113" s="22">
        <v>0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109</v>
      </c>
      <c r="B114" s="264"/>
      <c r="C114" s="22">
        <v>729</v>
      </c>
      <c r="D114" s="22">
        <v>435</v>
      </c>
      <c r="E114" s="22">
        <v>294</v>
      </c>
      <c r="F114" s="22">
        <v>165</v>
      </c>
      <c r="G114" s="22">
        <v>129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110</v>
      </c>
      <c r="B115" s="264"/>
      <c r="C115" s="22">
        <v>823</v>
      </c>
      <c r="D115" s="22">
        <v>651</v>
      </c>
      <c r="E115" s="22">
        <v>172</v>
      </c>
      <c r="F115" s="22">
        <v>110</v>
      </c>
      <c r="G115" s="22">
        <v>62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111</v>
      </c>
      <c r="B116" s="264"/>
      <c r="C116" s="22">
        <v>322</v>
      </c>
      <c r="D116" s="22">
        <v>284</v>
      </c>
      <c r="E116" s="22">
        <v>38</v>
      </c>
      <c r="F116" s="22">
        <v>29</v>
      </c>
      <c r="G116" s="22">
        <v>9</v>
      </c>
      <c r="H116" s="22">
        <v>0</v>
      </c>
      <c r="I116" s="22">
        <v>0</v>
      </c>
      <c r="J116" s="22">
        <v>0</v>
      </c>
    </row>
    <row r="117" spans="1:10" s="21" customFormat="1" ht="12" customHeight="1" x14ac:dyDescent="0.2">
      <c r="A117" s="264" t="s">
        <v>112</v>
      </c>
      <c r="B117" s="264"/>
      <c r="C117" s="22">
        <v>807</v>
      </c>
      <c r="D117" s="22">
        <v>726</v>
      </c>
      <c r="E117" s="22">
        <v>81</v>
      </c>
      <c r="F117" s="22">
        <v>47</v>
      </c>
      <c r="G117" s="22">
        <v>34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113</v>
      </c>
      <c r="B118" s="264"/>
      <c r="C118" s="22">
        <v>1405</v>
      </c>
      <c r="D118" s="22">
        <v>1153</v>
      </c>
      <c r="E118" s="22">
        <v>252</v>
      </c>
      <c r="F118" s="22">
        <v>170</v>
      </c>
      <c r="G118" s="22">
        <v>82</v>
      </c>
      <c r="H118" s="22">
        <v>0</v>
      </c>
      <c r="I118" s="22">
        <v>0</v>
      </c>
      <c r="J118" s="22">
        <v>0</v>
      </c>
    </row>
    <row r="119" spans="1:10" s="21" customFormat="1" ht="12" customHeight="1" x14ac:dyDescent="0.2">
      <c r="A119" s="264" t="s">
        <v>114</v>
      </c>
      <c r="B119" s="264"/>
      <c r="C119" s="22">
        <v>3740</v>
      </c>
      <c r="D119" s="22">
        <v>1737</v>
      </c>
      <c r="E119" s="22">
        <v>2003</v>
      </c>
      <c r="F119" s="22">
        <v>1069</v>
      </c>
      <c r="G119" s="22">
        <v>871</v>
      </c>
      <c r="H119" s="22">
        <v>34</v>
      </c>
      <c r="I119" s="22">
        <v>29</v>
      </c>
      <c r="J119" s="22">
        <v>0</v>
      </c>
    </row>
    <row r="120" spans="1:10" s="21" customFormat="1" ht="12" customHeight="1" x14ac:dyDescent="0.2">
      <c r="A120" s="264" t="s">
        <v>115</v>
      </c>
      <c r="B120" s="264"/>
      <c r="C120" s="22">
        <v>1761</v>
      </c>
      <c r="D120" s="22">
        <v>1512</v>
      </c>
      <c r="E120" s="22">
        <v>249</v>
      </c>
      <c r="F120" s="22">
        <v>188</v>
      </c>
      <c r="G120" s="22">
        <v>61</v>
      </c>
      <c r="H120" s="22">
        <v>0</v>
      </c>
      <c r="I120" s="22">
        <v>0</v>
      </c>
      <c r="J120" s="22">
        <v>0</v>
      </c>
    </row>
    <row r="121" spans="1:10" s="21" customFormat="1" ht="12" customHeight="1" x14ac:dyDescent="0.2">
      <c r="A121" s="264" t="s">
        <v>116</v>
      </c>
      <c r="B121" s="264"/>
      <c r="C121" s="22">
        <v>775</v>
      </c>
      <c r="D121" s="22">
        <v>558</v>
      </c>
      <c r="E121" s="22">
        <v>217</v>
      </c>
      <c r="F121" s="22">
        <v>146</v>
      </c>
      <c r="G121" s="22">
        <v>71</v>
      </c>
      <c r="H121" s="22">
        <v>0</v>
      </c>
      <c r="I121" s="22">
        <v>0</v>
      </c>
      <c r="J121" s="22">
        <v>0</v>
      </c>
    </row>
    <row r="122" spans="1:10" s="21" customFormat="1" ht="12" customHeight="1" x14ac:dyDescent="0.2">
      <c r="A122" s="264" t="s">
        <v>117</v>
      </c>
      <c r="B122" s="264"/>
      <c r="C122" s="22">
        <v>1524</v>
      </c>
      <c r="D122" s="22">
        <v>1179</v>
      </c>
      <c r="E122" s="22">
        <v>345</v>
      </c>
      <c r="F122" s="22">
        <v>225</v>
      </c>
      <c r="G122" s="22">
        <v>120</v>
      </c>
      <c r="H122" s="22">
        <v>0</v>
      </c>
      <c r="I122" s="22">
        <v>0</v>
      </c>
      <c r="J122" s="22">
        <v>0</v>
      </c>
    </row>
    <row r="123" spans="1:10" s="21" customFormat="1" ht="12" customHeight="1" x14ac:dyDescent="0.2">
      <c r="A123" s="264" t="s">
        <v>118</v>
      </c>
      <c r="B123" s="264"/>
      <c r="C123" s="22">
        <v>1383</v>
      </c>
      <c r="D123" s="22">
        <v>1102</v>
      </c>
      <c r="E123" s="22">
        <v>281</v>
      </c>
      <c r="F123" s="22">
        <v>191</v>
      </c>
      <c r="G123" s="22">
        <v>90</v>
      </c>
      <c r="H123" s="22">
        <v>0</v>
      </c>
      <c r="I123" s="22">
        <v>0</v>
      </c>
      <c r="J123" s="22">
        <v>0</v>
      </c>
    </row>
    <row r="124" spans="1:10" s="21" customFormat="1" ht="12" customHeight="1" x14ac:dyDescent="0.2">
      <c r="A124" s="264" t="s">
        <v>120</v>
      </c>
      <c r="B124" s="264"/>
      <c r="C124" s="22">
        <v>786</v>
      </c>
      <c r="D124" s="22">
        <v>639</v>
      </c>
      <c r="E124" s="22">
        <v>147</v>
      </c>
      <c r="F124" s="22">
        <v>75</v>
      </c>
      <c r="G124" s="22">
        <v>72</v>
      </c>
      <c r="H124" s="22">
        <v>0</v>
      </c>
      <c r="I124" s="22">
        <v>0</v>
      </c>
      <c r="J124" s="22">
        <v>0</v>
      </c>
    </row>
    <row r="125" spans="1:10" s="21" customFormat="1" ht="12" customHeight="1" x14ac:dyDescent="0.2">
      <c r="A125" s="264" t="s">
        <v>121</v>
      </c>
      <c r="B125" s="264"/>
      <c r="C125" s="22">
        <v>2142</v>
      </c>
      <c r="D125" s="22">
        <v>1426</v>
      </c>
      <c r="E125" s="22">
        <v>716</v>
      </c>
      <c r="F125" s="22">
        <v>433</v>
      </c>
      <c r="G125" s="22">
        <v>280</v>
      </c>
      <c r="H125" s="22">
        <v>3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122</v>
      </c>
      <c r="B126" s="264"/>
      <c r="C126" s="22">
        <v>681</v>
      </c>
      <c r="D126" s="22">
        <v>551</v>
      </c>
      <c r="E126" s="22">
        <v>130</v>
      </c>
      <c r="F126" s="22">
        <v>102</v>
      </c>
      <c r="G126" s="22">
        <v>28</v>
      </c>
      <c r="H126" s="22">
        <v>0</v>
      </c>
      <c r="I126" s="22">
        <v>0</v>
      </c>
      <c r="J126" s="22">
        <v>0</v>
      </c>
    </row>
    <row r="127" spans="1:10" s="21" customFormat="1" ht="12" customHeight="1" x14ac:dyDescent="0.2">
      <c r="A127" s="264" t="s">
        <v>124</v>
      </c>
      <c r="B127" s="264"/>
      <c r="C127" s="22">
        <v>1863</v>
      </c>
      <c r="D127" s="22">
        <v>1675</v>
      </c>
      <c r="E127" s="22">
        <v>188</v>
      </c>
      <c r="F127" s="22">
        <v>132</v>
      </c>
      <c r="G127" s="22">
        <v>56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125</v>
      </c>
      <c r="B128" s="264"/>
      <c r="C128" s="22">
        <v>1861</v>
      </c>
      <c r="D128" s="22">
        <v>1142</v>
      </c>
      <c r="E128" s="22">
        <v>719</v>
      </c>
      <c r="F128" s="22">
        <v>235</v>
      </c>
      <c r="G128" s="22">
        <v>482</v>
      </c>
      <c r="H128" s="22">
        <v>0</v>
      </c>
      <c r="I128" s="22">
        <v>2</v>
      </c>
      <c r="J128" s="22">
        <v>0</v>
      </c>
    </row>
    <row r="129" spans="1:10" s="21" customFormat="1" ht="12" customHeight="1" x14ac:dyDescent="0.2">
      <c r="A129" s="264" t="s">
        <v>126</v>
      </c>
      <c r="B129" s="264"/>
      <c r="C129" s="22">
        <v>3071</v>
      </c>
      <c r="D129" s="22">
        <v>2187</v>
      </c>
      <c r="E129" s="22">
        <v>884</v>
      </c>
      <c r="F129" s="22">
        <v>728</v>
      </c>
      <c r="G129" s="22">
        <v>144</v>
      </c>
      <c r="H129" s="22">
        <v>1</v>
      </c>
      <c r="I129" s="22">
        <v>11</v>
      </c>
      <c r="J129" s="22">
        <v>0</v>
      </c>
    </row>
    <row r="130" spans="1:10" s="21" customFormat="1" ht="12" customHeight="1" x14ac:dyDescent="0.2">
      <c r="A130" s="264" t="s">
        <v>127</v>
      </c>
      <c r="B130" s="264"/>
      <c r="C130" s="22">
        <v>651</v>
      </c>
      <c r="D130" s="22">
        <v>600</v>
      </c>
      <c r="E130" s="22">
        <v>51</v>
      </c>
      <c r="F130" s="22">
        <v>32</v>
      </c>
      <c r="G130" s="22">
        <v>19</v>
      </c>
      <c r="H130" s="22">
        <v>0</v>
      </c>
      <c r="I130" s="22">
        <v>0</v>
      </c>
      <c r="J130" s="22">
        <v>0</v>
      </c>
    </row>
    <row r="131" spans="1:10" s="21" customFormat="1" ht="12" customHeight="1" x14ac:dyDescent="0.2">
      <c r="A131" s="264" t="s">
        <v>128</v>
      </c>
      <c r="B131" s="264"/>
      <c r="C131" s="22">
        <v>581</v>
      </c>
      <c r="D131" s="22">
        <v>456</v>
      </c>
      <c r="E131" s="22">
        <v>125</v>
      </c>
      <c r="F131" s="22">
        <v>73</v>
      </c>
      <c r="G131" s="22">
        <v>52</v>
      </c>
      <c r="H131" s="22">
        <v>0</v>
      </c>
      <c r="I131" s="22">
        <v>0</v>
      </c>
      <c r="J131" s="22">
        <v>0</v>
      </c>
    </row>
    <row r="132" spans="1:10" s="21" customFormat="1" ht="12" customHeight="1" x14ac:dyDescent="0.2">
      <c r="A132" s="264" t="s">
        <v>129</v>
      </c>
      <c r="B132" s="264"/>
      <c r="C132" s="22">
        <v>1932</v>
      </c>
      <c r="D132" s="22">
        <v>1451</v>
      </c>
      <c r="E132" s="22">
        <v>481</v>
      </c>
      <c r="F132" s="22">
        <v>377</v>
      </c>
      <c r="G132" s="22">
        <v>97</v>
      </c>
      <c r="H132" s="22">
        <v>4</v>
      </c>
      <c r="I132" s="22">
        <v>3</v>
      </c>
      <c r="J132" s="22">
        <v>0</v>
      </c>
    </row>
    <row r="133" spans="1:10" s="21" customFormat="1" ht="12" customHeight="1" x14ac:dyDescent="0.2">
      <c r="A133" s="315" t="s">
        <v>130</v>
      </c>
      <c r="B133" s="315"/>
      <c r="C133" s="28">
        <v>370</v>
      </c>
      <c r="D133" s="28">
        <v>209</v>
      </c>
      <c r="E133" s="28">
        <v>161</v>
      </c>
      <c r="F133" s="28">
        <v>78</v>
      </c>
      <c r="G133" s="28">
        <v>83</v>
      </c>
      <c r="H133" s="28">
        <v>0</v>
      </c>
      <c r="I133" s="28">
        <v>0</v>
      </c>
      <c r="J133" s="28">
        <v>0</v>
      </c>
    </row>
    <row r="134" spans="1:10" s="21" customFormat="1" ht="12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</row>
    <row r="135" spans="1:10" s="21" customFormat="1" ht="12" customHeight="1" x14ac:dyDescent="0.2">
      <c r="A135" s="263" t="s">
        <v>131</v>
      </c>
      <c r="B135" s="263"/>
      <c r="C135" s="20">
        <f t="shared" ref="C135:J135" si="44">SUM(C136:C164)</f>
        <v>62787</v>
      </c>
      <c r="D135" s="20">
        <f t="shared" si="44"/>
        <v>47510</v>
      </c>
      <c r="E135" s="20">
        <f t="shared" si="44"/>
        <v>15277</v>
      </c>
      <c r="F135" s="20">
        <f t="shared" si="44"/>
        <v>10859</v>
      </c>
      <c r="G135" s="20">
        <f t="shared" si="44"/>
        <v>4320</v>
      </c>
      <c r="H135" s="20">
        <f t="shared" si="44"/>
        <v>68</v>
      </c>
      <c r="I135" s="20">
        <f t="shared" si="44"/>
        <v>30</v>
      </c>
      <c r="J135" s="20">
        <f t="shared" si="44"/>
        <v>0</v>
      </c>
    </row>
    <row r="136" spans="1:10" s="21" customFormat="1" ht="12" customHeight="1" x14ac:dyDescent="0.2">
      <c r="A136" s="264" t="s">
        <v>132</v>
      </c>
      <c r="B136" s="264"/>
      <c r="C136" s="22">
        <v>5450</v>
      </c>
      <c r="D136" s="22">
        <v>3890</v>
      </c>
      <c r="E136" s="22">
        <v>1560</v>
      </c>
      <c r="F136" s="22">
        <v>1049</v>
      </c>
      <c r="G136" s="22">
        <v>511</v>
      </c>
      <c r="H136" s="22">
        <v>0</v>
      </c>
      <c r="I136" s="22">
        <v>0</v>
      </c>
      <c r="J136" s="22">
        <v>0</v>
      </c>
    </row>
    <row r="137" spans="1:10" s="21" customFormat="1" ht="12" customHeight="1" x14ac:dyDescent="0.2">
      <c r="A137" s="264" t="s">
        <v>133</v>
      </c>
      <c r="B137" s="264"/>
      <c r="C137" s="22">
        <v>188</v>
      </c>
      <c r="D137" s="22">
        <v>178</v>
      </c>
      <c r="E137" s="22">
        <v>10</v>
      </c>
      <c r="F137" s="22">
        <v>10</v>
      </c>
      <c r="G137" s="22">
        <v>0</v>
      </c>
      <c r="H137" s="22">
        <v>0</v>
      </c>
      <c r="I137" s="22">
        <v>0</v>
      </c>
      <c r="J137" s="22">
        <v>0</v>
      </c>
    </row>
    <row r="138" spans="1:10" s="21" customFormat="1" ht="12" customHeight="1" x14ac:dyDescent="0.2">
      <c r="A138" s="264" t="s">
        <v>134</v>
      </c>
      <c r="B138" s="264"/>
      <c r="C138" s="22">
        <v>539</v>
      </c>
      <c r="D138" s="22">
        <v>443</v>
      </c>
      <c r="E138" s="22">
        <v>96</v>
      </c>
      <c r="F138" s="22">
        <v>57</v>
      </c>
      <c r="G138" s="22">
        <v>39</v>
      </c>
      <c r="H138" s="22">
        <v>0</v>
      </c>
      <c r="I138" s="22">
        <v>0</v>
      </c>
      <c r="J138" s="22">
        <v>0</v>
      </c>
    </row>
    <row r="139" spans="1:10" s="21" customFormat="1" ht="12" customHeight="1" x14ac:dyDescent="0.2">
      <c r="A139" s="264" t="s">
        <v>135</v>
      </c>
      <c r="B139" s="264"/>
      <c r="C139" s="22">
        <v>1848</v>
      </c>
      <c r="D139" s="22">
        <v>1465</v>
      </c>
      <c r="E139" s="22">
        <v>383</v>
      </c>
      <c r="F139" s="22">
        <v>233</v>
      </c>
      <c r="G139" s="22">
        <v>143</v>
      </c>
      <c r="H139" s="22">
        <v>3</v>
      </c>
      <c r="I139" s="22">
        <v>4</v>
      </c>
      <c r="J139" s="22">
        <v>0</v>
      </c>
    </row>
    <row r="140" spans="1:10" s="21" customFormat="1" ht="12" customHeight="1" x14ac:dyDescent="0.2">
      <c r="A140" s="264" t="s">
        <v>137</v>
      </c>
      <c r="B140" s="264"/>
      <c r="C140" s="22">
        <v>689</v>
      </c>
      <c r="D140" s="22">
        <v>637</v>
      </c>
      <c r="E140" s="22">
        <v>52</v>
      </c>
      <c r="F140" s="22">
        <v>36</v>
      </c>
      <c r="G140" s="22">
        <v>16</v>
      </c>
      <c r="H140" s="22">
        <v>0</v>
      </c>
      <c r="I140" s="22">
        <v>0</v>
      </c>
      <c r="J140" s="22">
        <v>0</v>
      </c>
    </row>
    <row r="141" spans="1:10" s="21" customFormat="1" ht="12" customHeight="1" x14ac:dyDescent="0.2">
      <c r="A141" s="264" t="s">
        <v>138</v>
      </c>
      <c r="B141" s="264"/>
      <c r="C141" s="22">
        <v>1192</v>
      </c>
      <c r="D141" s="22">
        <v>1059</v>
      </c>
      <c r="E141" s="22">
        <v>133</v>
      </c>
      <c r="F141" s="22">
        <v>95</v>
      </c>
      <c r="G141" s="22">
        <v>38</v>
      </c>
      <c r="H141" s="22">
        <v>0</v>
      </c>
      <c r="I141" s="22">
        <v>0</v>
      </c>
      <c r="J141" s="22">
        <v>0</v>
      </c>
    </row>
    <row r="142" spans="1:10" s="21" customFormat="1" ht="12" customHeight="1" x14ac:dyDescent="0.2">
      <c r="A142" s="264" t="s">
        <v>140</v>
      </c>
      <c r="B142" s="264"/>
      <c r="C142" s="22">
        <v>12</v>
      </c>
      <c r="D142" s="22">
        <v>11</v>
      </c>
      <c r="E142" s="22">
        <v>1</v>
      </c>
      <c r="F142" s="22">
        <v>1</v>
      </c>
      <c r="G142" s="22">
        <v>0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141</v>
      </c>
      <c r="B143" s="264"/>
      <c r="C143" s="22">
        <v>2879</v>
      </c>
      <c r="D143" s="22">
        <v>2465</v>
      </c>
      <c r="E143" s="22">
        <v>414</v>
      </c>
      <c r="F143" s="22">
        <v>310</v>
      </c>
      <c r="G143" s="22">
        <v>103</v>
      </c>
      <c r="H143" s="22">
        <v>1</v>
      </c>
      <c r="I143" s="22">
        <v>0</v>
      </c>
      <c r="J143" s="22">
        <v>0</v>
      </c>
    </row>
    <row r="144" spans="1:10" s="21" customFormat="1" ht="12" customHeight="1" x14ac:dyDescent="0.2">
      <c r="A144" s="264" t="s">
        <v>142</v>
      </c>
      <c r="B144" s="264"/>
      <c r="C144" s="22">
        <v>102</v>
      </c>
      <c r="D144" s="22">
        <v>99</v>
      </c>
      <c r="E144" s="22">
        <v>3</v>
      </c>
      <c r="F144" s="22">
        <v>2</v>
      </c>
      <c r="G144" s="22">
        <v>1</v>
      </c>
      <c r="H144" s="22">
        <v>0</v>
      </c>
      <c r="I144" s="22">
        <v>0</v>
      </c>
      <c r="J144" s="22">
        <v>0</v>
      </c>
    </row>
    <row r="145" spans="1:10" s="107" customFormat="1" ht="12" customHeight="1" x14ac:dyDescent="0.2">
      <c r="A145" s="316" t="s">
        <v>337</v>
      </c>
      <c r="B145" s="316"/>
      <c r="C145" s="106">
        <v>5015</v>
      </c>
      <c r="D145" s="106">
        <v>4007</v>
      </c>
      <c r="E145" s="106">
        <v>1008</v>
      </c>
      <c r="F145" s="106">
        <v>666</v>
      </c>
      <c r="G145" s="106">
        <v>341</v>
      </c>
      <c r="H145" s="106">
        <v>0</v>
      </c>
      <c r="I145" s="106">
        <v>1</v>
      </c>
      <c r="J145" s="106">
        <v>0</v>
      </c>
    </row>
    <row r="146" spans="1:10" s="21" customFormat="1" ht="12" customHeight="1" x14ac:dyDescent="0.2">
      <c r="A146" s="264" t="s">
        <v>144</v>
      </c>
      <c r="B146" s="264"/>
      <c r="C146" s="22">
        <v>4410</v>
      </c>
      <c r="D146" s="22">
        <v>3630</v>
      </c>
      <c r="E146" s="22">
        <v>780</v>
      </c>
      <c r="F146" s="22">
        <v>619</v>
      </c>
      <c r="G146" s="22">
        <v>161</v>
      </c>
      <c r="H146" s="22">
        <v>0</v>
      </c>
      <c r="I146" s="22">
        <v>0</v>
      </c>
      <c r="J146" s="22">
        <v>0</v>
      </c>
    </row>
    <row r="147" spans="1:10" s="21" customFormat="1" ht="12" customHeight="1" x14ac:dyDescent="0.2">
      <c r="A147" s="264" t="s">
        <v>145</v>
      </c>
      <c r="B147" s="264"/>
      <c r="C147" s="22">
        <v>35</v>
      </c>
      <c r="D147" s="22">
        <v>35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147</v>
      </c>
      <c r="B148" s="264"/>
      <c r="C148" s="22">
        <v>335</v>
      </c>
      <c r="D148" s="22">
        <v>298</v>
      </c>
      <c r="E148" s="22">
        <v>37</v>
      </c>
      <c r="F148" s="22">
        <v>28</v>
      </c>
      <c r="G148" s="22">
        <v>9</v>
      </c>
      <c r="H148" s="22">
        <v>0</v>
      </c>
      <c r="I148" s="22">
        <v>0</v>
      </c>
      <c r="J148" s="22">
        <v>0</v>
      </c>
    </row>
    <row r="149" spans="1:10" s="21" customFormat="1" ht="12" customHeight="1" x14ac:dyDescent="0.2">
      <c r="A149" s="264" t="s">
        <v>148</v>
      </c>
      <c r="B149" s="264"/>
      <c r="C149" s="22">
        <v>1236</v>
      </c>
      <c r="D149" s="22">
        <v>976</v>
      </c>
      <c r="E149" s="22">
        <v>260</v>
      </c>
      <c r="F149" s="22">
        <v>199</v>
      </c>
      <c r="G149" s="22">
        <v>51</v>
      </c>
      <c r="H149" s="22">
        <v>0</v>
      </c>
      <c r="I149" s="22">
        <v>10</v>
      </c>
      <c r="J149" s="22">
        <v>0</v>
      </c>
    </row>
    <row r="150" spans="1:10" s="21" customFormat="1" ht="12" customHeight="1" x14ac:dyDescent="0.2">
      <c r="A150" s="264" t="s">
        <v>149</v>
      </c>
      <c r="B150" s="264"/>
      <c r="C150" s="22">
        <v>15483</v>
      </c>
      <c r="D150" s="22">
        <v>10114</v>
      </c>
      <c r="E150" s="22">
        <v>5369</v>
      </c>
      <c r="F150" s="22">
        <v>3895</v>
      </c>
      <c r="G150" s="22">
        <v>1420</v>
      </c>
      <c r="H150" s="22">
        <v>46</v>
      </c>
      <c r="I150" s="22">
        <v>8</v>
      </c>
      <c r="J150" s="22">
        <v>0</v>
      </c>
    </row>
    <row r="151" spans="1:10" s="21" customFormat="1" ht="12" customHeight="1" x14ac:dyDescent="0.2">
      <c r="A151" s="264" t="s">
        <v>150</v>
      </c>
      <c r="B151" s="264"/>
      <c r="C151" s="22">
        <v>6414</v>
      </c>
      <c r="D151" s="22">
        <v>5005</v>
      </c>
      <c r="E151" s="22">
        <v>1409</v>
      </c>
      <c r="F151" s="22">
        <v>1063</v>
      </c>
      <c r="G151" s="22">
        <v>343</v>
      </c>
      <c r="H151" s="22">
        <v>2</v>
      </c>
      <c r="I151" s="22">
        <v>1</v>
      </c>
      <c r="J151" s="22">
        <v>0</v>
      </c>
    </row>
    <row r="152" spans="1:10" s="21" customFormat="1" ht="12" customHeight="1" x14ac:dyDescent="0.2">
      <c r="A152" s="264" t="s">
        <v>152</v>
      </c>
      <c r="B152" s="264"/>
      <c r="C152" s="22">
        <v>212</v>
      </c>
      <c r="D152" s="22">
        <v>192</v>
      </c>
      <c r="E152" s="22">
        <v>20</v>
      </c>
      <c r="F152" s="22">
        <v>8</v>
      </c>
      <c r="G152" s="22">
        <v>12</v>
      </c>
      <c r="H152" s="22">
        <v>0</v>
      </c>
      <c r="I152" s="22">
        <v>0</v>
      </c>
      <c r="J152" s="22">
        <v>0</v>
      </c>
    </row>
    <row r="153" spans="1:10" s="21" customFormat="1" ht="12" customHeight="1" x14ac:dyDescent="0.2">
      <c r="A153" s="264" t="s">
        <v>153</v>
      </c>
      <c r="B153" s="264"/>
      <c r="C153" s="22">
        <v>7212</v>
      </c>
      <c r="D153" s="22">
        <v>5548</v>
      </c>
      <c r="E153" s="22">
        <v>1664</v>
      </c>
      <c r="F153" s="22">
        <v>1179</v>
      </c>
      <c r="G153" s="22">
        <v>484</v>
      </c>
      <c r="H153" s="22">
        <v>0</v>
      </c>
      <c r="I153" s="22">
        <v>1</v>
      </c>
      <c r="J153" s="22">
        <v>0</v>
      </c>
    </row>
    <row r="154" spans="1:10" s="21" customFormat="1" ht="12" customHeight="1" x14ac:dyDescent="0.2">
      <c r="A154" s="264" t="s">
        <v>154</v>
      </c>
      <c r="B154" s="264"/>
      <c r="C154" s="22">
        <v>53</v>
      </c>
      <c r="D154" s="22">
        <v>48</v>
      </c>
      <c r="E154" s="22">
        <v>5</v>
      </c>
      <c r="F154" s="22">
        <v>1</v>
      </c>
      <c r="G154" s="22">
        <v>4</v>
      </c>
      <c r="H154" s="22">
        <v>0</v>
      </c>
      <c r="I154" s="22">
        <v>0</v>
      </c>
      <c r="J154" s="22">
        <v>0</v>
      </c>
    </row>
    <row r="155" spans="1:10" s="21" customFormat="1" ht="12" customHeight="1" x14ac:dyDescent="0.2">
      <c r="A155" s="264" t="s">
        <v>155</v>
      </c>
      <c r="B155" s="264"/>
      <c r="C155" s="22">
        <v>2818</v>
      </c>
      <c r="D155" s="22">
        <v>2016</v>
      </c>
      <c r="E155" s="22">
        <v>802</v>
      </c>
      <c r="F155" s="22">
        <v>482</v>
      </c>
      <c r="G155" s="22">
        <v>301</v>
      </c>
      <c r="H155" s="22">
        <v>16</v>
      </c>
      <c r="I155" s="22">
        <v>3</v>
      </c>
      <c r="J155" s="22">
        <v>0</v>
      </c>
    </row>
    <row r="156" spans="1:10" s="21" customFormat="1" ht="12" customHeight="1" x14ac:dyDescent="0.2">
      <c r="A156" s="264" t="s">
        <v>156</v>
      </c>
      <c r="B156" s="264"/>
      <c r="C156" s="22">
        <v>264</v>
      </c>
      <c r="D156" s="22">
        <v>255</v>
      </c>
      <c r="E156" s="22">
        <v>9</v>
      </c>
      <c r="F156" s="22">
        <v>8</v>
      </c>
      <c r="G156" s="22">
        <v>1</v>
      </c>
      <c r="H156" s="22">
        <v>0</v>
      </c>
      <c r="I156" s="22">
        <v>0</v>
      </c>
      <c r="J156" s="22">
        <v>0</v>
      </c>
    </row>
    <row r="157" spans="1:10" s="21" customFormat="1" ht="12" customHeight="1" x14ac:dyDescent="0.2">
      <c r="A157" s="264" t="s">
        <v>157</v>
      </c>
      <c r="B157" s="264"/>
      <c r="C157" s="22">
        <v>761</v>
      </c>
      <c r="D157" s="22">
        <v>613</v>
      </c>
      <c r="E157" s="22">
        <v>148</v>
      </c>
      <c r="F157" s="22">
        <v>73</v>
      </c>
      <c r="G157" s="22">
        <v>75</v>
      </c>
      <c r="H157" s="22">
        <v>0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159</v>
      </c>
      <c r="B158" s="264"/>
      <c r="C158" s="22">
        <v>675</v>
      </c>
      <c r="D158" s="22">
        <v>504</v>
      </c>
      <c r="E158" s="22">
        <v>171</v>
      </c>
      <c r="F158" s="22">
        <v>115</v>
      </c>
      <c r="G158" s="22">
        <v>56</v>
      </c>
      <c r="H158" s="22">
        <v>0</v>
      </c>
      <c r="I158" s="22">
        <v>0</v>
      </c>
      <c r="J158" s="22">
        <v>0</v>
      </c>
    </row>
    <row r="159" spans="1:10" s="21" customFormat="1" ht="12" customHeight="1" x14ac:dyDescent="0.2">
      <c r="A159" s="264" t="s">
        <v>162</v>
      </c>
      <c r="B159" s="264"/>
      <c r="C159" s="22">
        <v>97</v>
      </c>
      <c r="D159" s="22">
        <v>92</v>
      </c>
      <c r="E159" s="22">
        <v>5</v>
      </c>
      <c r="F159" s="22">
        <v>4</v>
      </c>
      <c r="G159" s="22">
        <v>1</v>
      </c>
      <c r="H159" s="22">
        <v>0</v>
      </c>
      <c r="I159" s="22">
        <v>0</v>
      </c>
      <c r="J159" s="22">
        <v>0</v>
      </c>
    </row>
    <row r="160" spans="1:10" s="21" customFormat="1" ht="12" customHeight="1" x14ac:dyDescent="0.2">
      <c r="A160" s="264" t="s">
        <v>163</v>
      </c>
      <c r="B160" s="264"/>
      <c r="C160" s="22">
        <v>757</v>
      </c>
      <c r="D160" s="22">
        <v>650</v>
      </c>
      <c r="E160" s="22">
        <v>107</v>
      </c>
      <c r="F160" s="22">
        <v>87</v>
      </c>
      <c r="G160" s="22">
        <v>20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4" t="s">
        <v>164</v>
      </c>
      <c r="B161" s="264"/>
      <c r="C161" s="22">
        <v>2660</v>
      </c>
      <c r="D161" s="22">
        <v>1987</v>
      </c>
      <c r="E161" s="22">
        <v>673</v>
      </c>
      <c r="F161" s="22">
        <v>525</v>
      </c>
      <c r="G161" s="22">
        <v>146</v>
      </c>
      <c r="H161" s="22">
        <v>0</v>
      </c>
      <c r="I161" s="22">
        <v>2</v>
      </c>
      <c r="J161" s="22">
        <v>0</v>
      </c>
    </row>
    <row r="162" spans="1:10" s="21" customFormat="1" ht="12" customHeight="1" x14ac:dyDescent="0.2">
      <c r="A162" s="264" t="s">
        <v>165</v>
      </c>
      <c r="B162" s="264"/>
      <c r="C162" s="22">
        <v>55</v>
      </c>
      <c r="D162" s="22">
        <v>52</v>
      </c>
      <c r="E162" s="22">
        <v>3</v>
      </c>
      <c r="F162" s="22">
        <v>3</v>
      </c>
      <c r="G162" s="22">
        <v>0</v>
      </c>
      <c r="H162" s="22">
        <v>0</v>
      </c>
      <c r="I162" s="22">
        <v>0</v>
      </c>
      <c r="J162" s="22">
        <v>0</v>
      </c>
    </row>
    <row r="163" spans="1:10" s="21" customFormat="1" ht="12" customHeight="1" x14ac:dyDescent="0.2">
      <c r="A163" s="264" t="s">
        <v>166</v>
      </c>
      <c r="B163" s="264"/>
      <c r="C163" s="22">
        <v>1120</v>
      </c>
      <c r="D163" s="22">
        <v>982</v>
      </c>
      <c r="E163" s="22">
        <v>138</v>
      </c>
      <c r="F163" s="22">
        <v>101</v>
      </c>
      <c r="G163" s="22">
        <v>37</v>
      </c>
      <c r="H163" s="22">
        <v>0</v>
      </c>
      <c r="I163" s="22">
        <v>0</v>
      </c>
      <c r="J163" s="22">
        <v>0</v>
      </c>
    </row>
    <row r="164" spans="1:10" s="21" customFormat="1" ht="12" customHeight="1" x14ac:dyDescent="0.2">
      <c r="A164" s="267" t="s">
        <v>168</v>
      </c>
      <c r="B164" s="267"/>
      <c r="C164" s="28">
        <v>276</v>
      </c>
      <c r="D164" s="28">
        <v>259</v>
      </c>
      <c r="E164" s="28">
        <v>17</v>
      </c>
      <c r="F164" s="28">
        <v>10</v>
      </c>
      <c r="G164" s="28">
        <v>7</v>
      </c>
      <c r="H164" s="28">
        <v>0</v>
      </c>
      <c r="I164" s="28">
        <v>0</v>
      </c>
      <c r="J164" s="28">
        <v>0</v>
      </c>
    </row>
    <row r="165" spans="1:10" s="21" customFormat="1" ht="12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</row>
    <row r="166" spans="1:10" s="21" customFormat="1" ht="12" customHeight="1" x14ac:dyDescent="0.2">
      <c r="A166" s="263" t="s">
        <v>169</v>
      </c>
      <c r="B166" s="263"/>
      <c r="C166" s="20">
        <f t="shared" ref="C166:J166" si="45">SUM(C167:C174)</f>
        <v>5944</v>
      </c>
      <c r="D166" s="20">
        <f t="shared" si="45"/>
        <v>5314</v>
      </c>
      <c r="E166" s="20">
        <f t="shared" si="45"/>
        <v>630</v>
      </c>
      <c r="F166" s="20">
        <f t="shared" si="45"/>
        <v>448</v>
      </c>
      <c r="G166" s="20">
        <f t="shared" si="45"/>
        <v>182</v>
      </c>
      <c r="H166" s="20">
        <f t="shared" si="45"/>
        <v>0</v>
      </c>
      <c r="I166" s="20">
        <f t="shared" si="45"/>
        <v>0</v>
      </c>
      <c r="J166" s="20">
        <f t="shared" si="45"/>
        <v>0</v>
      </c>
    </row>
    <row r="167" spans="1:10" s="21" customFormat="1" ht="12" customHeight="1" x14ac:dyDescent="0.2">
      <c r="A167" s="264" t="s">
        <v>170</v>
      </c>
      <c r="B167" s="264"/>
      <c r="C167" s="22">
        <v>1459</v>
      </c>
      <c r="D167" s="22">
        <v>1341</v>
      </c>
      <c r="E167" s="22">
        <v>118</v>
      </c>
      <c r="F167" s="22">
        <v>81</v>
      </c>
      <c r="G167" s="22">
        <v>37</v>
      </c>
      <c r="H167" s="22">
        <v>0</v>
      </c>
      <c r="I167" s="22">
        <v>0</v>
      </c>
      <c r="J167" s="22">
        <v>0</v>
      </c>
    </row>
    <row r="168" spans="1:10" s="21" customFormat="1" ht="12" customHeight="1" x14ac:dyDescent="0.2">
      <c r="A168" s="264" t="s">
        <v>171</v>
      </c>
      <c r="B168" s="264"/>
      <c r="C168" s="22">
        <v>51</v>
      </c>
      <c r="D168" s="22">
        <v>48</v>
      </c>
      <c r="E168" s="22">
        <v>3</v>
      </c>
      <c r="F168" s="22">
        <v>1</v>
      </c>
      <c r="G168" s="22">
        <v>2</v>
      </c>
      <c r="H168" s="22">
        <v>0</v>
      </c>
      <c r="I168" s="22">
        <v>0</v>
      </c>
      <c r="J168" s="22">
        <v>0</v>
      </c>
    </row>
    <row r="169" spans="1:10" s="21" customFormat="1" ht="12" customHeight="1" x14ac:dyDescent="0.2">
      <c r="A169" s="264" t="s">
        <v>172</v>
      </c>
      <c r="B169" s="264"/>
      <c r="C169" s="22">
        <v>55</v>
      </c>
      <c r="D169" s="22">
        <v>49</v>
      </c>
      <c r="E169" s="22">
        <v>6</v>
      </c>
      <c r="F169" s="22">
        <v>3</v>
      </c>
      <c r="G169" s="22">
        <v>3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173</v>
      </c>
      <c r="B170" s="264"/>
      <c r="C170" s="22">
        <v>62</v>
      </c>
      <c r="D170" s="22">
        <v>53</v>
      </c>
      <c r="E170" s="22">
        <v>9</v>
      </c>
      <c r="F170" s="22">
        <v>3</v>
      </c>
      <c r="G170" s="22">
        <v>6</v>
      </c>
      <c r="H170" s="22">
        <v>0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174</v>
      </c>
      <c r="B171" s="264"/>
      <c r="C171" s="22">
        <v>1155</v>
      </c>
      <c r="D171" s="22">
        <v>992</v>
      </c>
      <c r="E171" s="22">
        <v>163</v>
      </c>
      <c r="F171" s="22">
        <v>124</v>
      </c>
      <c r="G171" s="22">
        <v>39</v>
      </c>
      <c r="H171" s="22">
        <v>0</v>
      </c>
      <c r="I171" s="22">
        <v>0</v>
      </c>
      <c r="J171" s="22">
        <v>0</v>
      </c>
    </row>
    <row r="172" spans="1:10" s="21" customFormat="1" ht="12" customHeight="1" x14ac:dyDescent="0.2">
      <c r="A172" s="264" t="s">
        <v>175</v>
      </c>
      <c r="B172" s="264"/>
      <c r="C172" s="22">
        <v>572</v>
      </c>
      <c r="D172" s="22">
        <v>531</v>
      </c>
      <c r="E172" s="22">
        <v>41</v>
      </c>
      <c r="F172" s="22">
        <v>19</v>
      </c>
      <c r="G172" s="22">
        <v>22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176</v>
      </c>
      <c r="B173" s="264"/>
      <c r="C173" s="22">
        <v>51</v>
      </c>
      <c r="D173" s="22">
        <v>45</v>
      </c>
      <c r="E173" s="22">
        <v>6</v>
      </c>
      <c r="F173" s="22">
        <v>4</v>
      </c>
      <c r="G173" s="22">
        <v>2</v>
      </c>
      <c r="H173" s="22">
        <v>0</v>
      </c>
      <c r="I173" s="22">
        <v>0</v>
      </c>
      <c r="J173" s="22">
        <v>0</v>
      </c>
    </row>
    <row r="174" spans="1:10" s="21" customFormat="1" ht="12" customHeight="1" x14ac:dyDescent="0.2">
      <c r="A174" s="267" t="s">
        <v>177</v>
      </c>
      <c r="B174" s="267"/>
      <c r="C174" s="28">
        <v>2539</v>
      </c>
      <c r="D174" s="28">
        <v>2255</v>
      </c>
      <c r="E174" s="28">
        <v>284</v>
      </c>
      <c r="F174" s="28">
        <v>213</v>
      </c>
      <c r="G174" s="28">
        <v>71</v>
      </c>
      <c r="H174" s="28">
        <v>0</v>
      </c>
      <c r="I174" s="28">
        <v>0</v>
      </c>
      <c r="J174" s="28">
        <v>0</v>
      </c>
    </row>
    <row r="175" spans="1:10" s="21" customFormat="1" ht="12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</row>
    <row r="176" spans="1:10" s="21" customFormat="1" ht="12" customHeight="1" x14ac:dyDescent="0.2">
      <c r="A176" s="263" t="s">
        <v>178</v>
      </c>
      <c r="B176" s="263"/>
      <c r="C176" s="20">
        <f t="shared" ref="C176:J176" si="46">SUM(C177:C193)</f>
        <v>49473</v>
      </c>
      <c r="D176" s="20">
        <f t="shared" si="46"/>
        <v>36469</v>
      </c>
      <c r="E176" s="20">
        <f t="shared" si="46"/>
        <v>13004</v>
      </c>
      <c r="F176" s="20">
        <f t="shared" si="46"/>
        <v>9581</v>
      </c>
      <c r="G176" s="20">
        <f t="shared" si="46"/>
        <v>3305</v>
      </c>
      <c r="H176" s="20">
        <f t="shared" si="46"/>
        <v>90</v>
      </c>
      <c r="I176" s="20">
        <f t="shared" si="46"/>
        <v>28</v>
      </c>
      <c r="J176" s="20">
        <f t="shared" si="46"/>
        <v>0</v>
      </c>
    </row>
    <row r="177" spans="1:10" s="21" customFormat="1" ht="12" customHeight="1" x14ac:dyDescent="0.2">
      <c r="A177" s="264" t="s">
        <v>179</v>
      </c>
      <c r="B177" s="264"/>
      <c r="C177" s="22">
        <v>4437</v>
      </c>
      <c r="D177" s="22">
        <v>3120</v>
      </c>
      <c r="E177" s="22">
        <v>1317</v>
      </c>
      <c r="F177" s="22">
        <v>988</v>
      </c>
      <c r="G177" s="22">
        <v>320</v>
      </c>
      <c r="H177" s="22">
        <v>9</v>
      </c>
      <c r="I177" s="22">
        <v>0</v>
      </c>
      <c r="J177" s="22">
        <v>0</v>
      </c>
    </row>
    <row r="178" spans="1:10" s="21" customFormat="1" ht="12" customHeight="1" x14ac:dyDescent="0.2">
      <c r="A178" s="264" t="s">
        <v>180</v>
      </c>
      <c r="B178" s="264"/>
      <c r="C178" s="22">
        <v>17744</v>
      </c>
      <c r="D178" s="22">
        <v>12573</v>
      </c>
      <c r="E178" s="22">
        <v>5171</v>
      </c>
      <c r="F178" s="22">
        <v>3678</v>
      </c>
      <c r="G178" s="22">
        <v>1440</v>
      </c>
      <c r="H178" s="22">
        <v>38</v>
      </c>
      <c r="I178" s="22">
        <v>15</v>
      </c>
      <c r="J178" s="22">
        <v>0</v>
      </c>
    </row>
    <row r="179" spans="1:10" s="21" customFormat="1" ht="12" customHeight="1" x14ac:dyDescent="0.2">
      <c r="A179" s="264" t="s">
        <v>181</v>
      </c>
      <c r="B179" s="264"/>
      <c r="C179" s="22">
        <v>2439</v>
      </c>
      <c r="D179" s="22">
        <v>1553</v>
      </c>
      <c r="E179" s="22">
        <v>886</v>
      </c>
      <c r="F179" s="22">
        <v>630</v>
      </c>
      <c r="G179" s="22">
        <v>253</v>
      </c>
      <c r="H179" s="22">
        <v>2</v>
      </c>
      <c r="I179" s="22">
        <v>1</v>
      </c>
      <c r="J179" s="22">
        <v>0</v>
      </c>
    </row>
    <row r="180" spans="1:10" s="21" customFormat="1" ht="12" customHeight="1" x14ac:dyDescent="0.2">
      <c r="A180" s="264" t="s">
        <v>182</v>
      </c>
      <c r="B180" s="264"/>
      <c r="C180" s="22">
        <v>2731</v>
      </c>
      <c r="D180" s="22">
        <v>2222</v>
      </c>
      <c r="E180" s="22">
        <v>509</v>
      </c>
      <c r="F180" s="22">
        <v>384</v>
      </c>
      <c r="G180" s="22">
        <v>120</v>
      </c>
      <c r="H180" s="22">
        <v>5</v>
      </c>
      <c r="I180" s="22">
        <v>0</v>
      </c>
      <c r="J180" s="22">
        <v>0</v>
      </c>
    </row>
    <row r="181" spans="1:10" s="21" customFormat="1" ht="12" customHeight="1" x14ac:dyDescent="0.2">
      <c r="A181" s="264" t="s">
        <v>183</v>
      </c>
      <c r="B181" s="264"/>
      <c r="C181" s="22">
        <v>8460</v>
      </c>
      <c r="D181" s="22">
        <v>6130</v>
      </c>
      <c r="E181" s="22">
        <v>2330</v>
      </c>
      <c r="F181" s="22">
        <v>1796</v>
      </c>
      <c r="G181" s="22">
        <v>502</v>
      </c>
      <c r="H181" s="22">
        <v>22</v>
      </c>
      <c r="I181" s="22">
        <v>10</v>
      </c>
      <c r="J181" s="22">
        <v>0</v>
      </c>
    </row>
    <row r="182" spans="1:10" s="21" customFormat="1" ht="12" customHeight="1" x14ac:dyDescent="0.2">
      <c r="A182" s="264" t="s">
        <v>184</v>
      </c>
      <c r="B182" s="264"/>
      <c r="C182" s="22">
        <v>720</v>
      </c>
      <c r="D182" s="22">
        <v>633</v>
      </c>
      <c r="E182" s="22">
        <v>87</v>
      </c>
      <c r="F182" s="22">
        <v>68</v>
      </c>
      <c r="G182" s="22">
        <v>19</v>
      </c>
      <c r="H182" s="22">
        <v>0</v>
      </c>
      <c r="I182" s="22">
        <v>0</v>
      </c>
      <c r="J182" s="22">
        <v>0</v>
      </c>
    </row>
    <row r="183" spans="1:10" s="21" customFormat="1" ht="12" customHeight="1" x14ac:dyDescent="0.2">
      <c r="A183" s="264" t="s">
        <v>185</v>
      </c>
      <c r="B183" s="264"/>
      <c r="C183" s="22">
        <v>727</v>
      </c>
      <c r="D183" s="22">
        <v>616</v>
      </c>
      <c r="E183" s="22">
        <v>111</v>
      </c>
      <c r="F183" s="22">
        <v>94</v>
      </c>
      <c r="G183" s="22">
        <v>16</v>
      </c>
      <c r="H183" s="22">
        <v>1</v>
      </c>
      <c r="I183" s="22">
        <v>0</v>
      </c>
      <c r="J183" s="22">
        <v>0</v>
      </c>
    </row>
    <row r="184" spans="1:10" s="21" customFormat="1" ht="12" customHeight="1" x14ac:dyDescent="0.2">
      <c r="A184" s="264" t="s">
        <v>186</v>
      </c>
      <c r="B184" s="264"/>
      <c r="C184" s="22">
        <v>803</v>
      </c>
      <c r="D184" s="22">
        <v>662</v>
      </c>
      <c r="E184" s="22">
        <v>141</v>
      </c>
      <c r="F184" s="22">
        <v>113</v>
      </c>
      <c r="G184" s="22">
        <v>28</v>
      </c>
      <c r="H184" s="22">
        <v>0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187</v>
      </c>
      <c r="B185" s="264"/>
      <c r="C185" s="22">
        <v>377</v>
      </c>
      <c r="D185" s="22">
        <v>350</v>
      </c>
      <c r="E185" s="22">
        <v>27</v>
      </c>
      <c r="F185" s="22">
        <v>19</v>
      </c>
      <c r="G185" s="22">
        <v>8</v>
      </c>
      <c r="H185" s="22">
        <v>0</v>
      </c>
      <c r="I185" s="22">
        <v>0</v>
      </c>
      <c r="J185" s="22">
        <v>0</v>
      </c>
    </row>
    <row r="186" spans="1:10" s="21" customFormat="1" ht="12" customHeight="1" x14ac:dyDescent="0.2">
      <c r="A186" s="264" t="s">
        <v>188</v>
      </c>
      <c r="B186" s="264"/>
      <c r="C186" s="22">
        <v>1373</v>
      </c>
      <c r="D186" s="22">
        <v>1144</v>
      </c>
      <c r="E186" s="22">
        <v>229</v>
      </c>
      <c r="F186" s="22">
        <v>162</v>
      </c>
      <c r="G186" s="22">
        <v>67</v>
      </c>
      <c r="H186" s="22">
        <v>0</v>
      </c>
      <c r="I186" s="22">
        <v>0</v>
      </c>
      <c r="J186" s="22">
        <v>0</v>
      </c>
    </row>
    <row r="187" spans="1:10" s="21" customFormat="1" ht="12" customHeight="1" x14ac:dyDescent="0.2">
      <c r="A187" s="264" t="s">
        <v>190</v>
      </c>
      <c r="B187" s="264"/>
      <c r="C187" s="22">
        <v>116</v>
      </c>
      <c r="D187" s="22">
        <v>102</v>
      </c>
      <c r="E187" s="22">
        <v>14</v>
      </c>
      <c r="F187" s="22">
        <v>14</v>
      </c>
      <c r="G187" s="22">
        <v>0</v>
      </c>
      <c r="H187" s="22">
        <v>0</v>
      </c>
      <c r="I187" s="22">
        <v>0</v>
      </c>
      <c r="J187" s="22">
        <v>0</v>
      </c>
    </row>
    <row r="188" spans="1:10" s="21" customFormat="1" ht="12" customHeight="1" x14ac:dyDescent="0.2">
      <c r="A188" s="264" t="s">
        <v>191</v>
      </c>
      <c r="B188" s="264"/>
      <c r="C188" s="22">
        <v>2734</v>
      </c>
      <c r="D188" s="22">
        <v>2146</v>
      </c>
      <c r="E188" s="22">
        <v>588</v>
      </c>
      <c r="F188" s="22">
        <v>417</v>
      </c>
      <c r="G188" s="22">
        <v>165</v>
      </c>
      <c r="H188" s="22">
        <v>6</v>
      </c>
      <c r="I188" s="22">
        <v>0</v>
      </c>
      <c r="J188" s="22">
        <v>0</v>
      </c>
    </row>
    <row r="189" spans="1:10" s="21" customFormat="1" ht="12" customHeight="1" x14ac:dyDescent="0.2">
      <c r="A189" s="264" t="s">
        <v>192</v>
      </c>
      <c r="B189" s="264"/>
      <c r="C189" s="22">
        <v>591</v>
      </c>
      <c r="D189" s="22">
        <v>529</v>
      </c>
      <c r="E189" s="22">
        <v>62</v>
      </c>
      <c r="F189" s="22">
        <v>39</v>
      </c>
      <c r="G189" s="22">
        <v>22</v>
      </c>
      <c r="H189" s="22">
        <v>1</v>
      </c>
      <c r="I189" s="22">
        <v>0</v>
      </c>
      <c r="J189" s="22">
        <v>0</v>
      </c>
    </row>
    <row r="190" spans="1:10" s="21" customFormat="1" ht="12" customHeight="1" x14ac:dyDescent="0.2">
      <c r="A190" s="264" t="s">
        <v>193</v>
      </c>
      <c r="B190" s="264"/>
      <c r="C190" s="22">
        <v>600</v>
      </c>
      <c r="D190" s="22">
        <v>529</v>
      </c>
      <c r="E190" s="22">
        <v>71</v>
      </c>
      <c r="F190" s="22">
        <v>44</v>
      </c>
      <c r="G190" s="22">
        <v>27</v>
      </c>
      <c r="H190" s="22">
        <v>0</v>
      </c>
      <c r="I190" s="22">
        <v>0</v>
      </c>
      <c r="J190" s="22">
        <v>0</v>
      </c>
    </row>
    <row r="191" spans="1:10" s="21" customFormat="1" ht="12" customHeight="1" x14ac:dyDescent="0.2">
      <c r="A191" s="264" t="s">
        <v>194</v>
      </c>
      <c r="B191" s="264"/>
      <c r="C191" s="22">
        <v>2288</v>
      </c>
      <c r="D191" s="22">
        <v>1615</v>
      </c>
      <c r="E191" s="22">
        <v>673</v>
      </c>
      <c r="F191" s="22">
        <v>528</v>
      </c>
      <c r="G191" s="22">
        <v>137</v>
      </c>
      <c r="H191" s="22">
        <v>6</v>
      </c>
      <c r="I191" s="22">
        <v>2</v>
      </c>
      <c r="J191" s="22">
        <v>0</v>
      </c>
    </row>
    <row r="192" spans="1:10" s="21" customFormat="1" ht="12" customHeight="1" x14ac:dyDescent="0.2">
      <c r="A192" s="264" t="s">
        <v>195</v>
      </c>
      <c r="B192" s="264"/>
      <c r="C192" s="22">
        <v>222</v>
      </c>
      <c r="D192" s="22">
        <v>201</v>
      </c>
      <c r="E192" s="22">
        <v>21</v>
      </c>
      <c r="F192" s="22">
        <v>14</v>
      </c>
      <c r="G192" s="22">
        <v>7</v>
      </c>
      <c r="H192" s="22">
        <v>0</v>
      </c>
      <c r="I192" s="22">
        <v>0</v>
      </c>
      <c r="J192" s="22">
        <v>0</v>
      </c>
    </row>
    <row r="193" spans="1:10" s="21" customFormat="1" ht="12" customHeight="1" x14ac:dyDescent="0.2">
      <c r="A193" s="267" t="s">
        <v>196</v>
      </c>
      <c r="B193" s="267"/>
      <c r="C193" s="28">
        <v>3111</v>
      </c>
      <c r="D193" s="28">
        <v>2344</v>
      </c>
      <c r="E193" s="28">
        <v>767</v>
      </c>
      <c r="F193" s="28">
        <v>593</v>
      </c>
      <c r="G193" s="28">
        <v>174</v>
      </c>
      <c r="H193" s="28">
        <v>0</v>
      </c>
      <c r="I193" s="28">
        <v>0</v>
      </c>
      <c r="J193" s="28">
        <v>0</v>
      </c>
    </row>
    <row r="194" spans="1:10" s="21" customFormat="1" ht="12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</row>
    <row r="195" spans="1:10" s="21" customFormat="1" ht="12" customHeight="1" x14ac:dyDescent="0.2">
      <c r="A195" s="263" t="s">
        <v>197</v>
      </c>
      <c r="B195" s="263"/>
      <c r="C195" s="20">
        <f t="shared" ref="C195:J195" si="47">SUM(C196:C201)</f>
        <v>12731</v>
      </c>
      <c r="D195" s="20">
        <f t="shared" si="47"/>
        <v>8898</v>
      </c>
      <c r="E195" s="20">
        <f t="shared" si="47"/>
        <v>3833</v>
      </c>
      <c r="F195" s="20">
        <f t="shared" si="47"/>
        <v>2894</v>
      </c>
      <c r="G195" s="20">
        <f t="shared" si="47"/>
        <v>865</v>
      </c>
      <c r="H195" s="20">
        <f t="shared" si="47"/>
        <v>63</v>
      </c>
      <c r="I195" s="20">
        <f t="shared" si="47"/>
        <v>11</v>
      </c>
      <c r="J195" s="20">
        <f t="shared" si="47"/>
        <v>0</v>
      </c>
    </row>
    <row r="196" spans="1:10" s="21" customFormat="1" ht="12" customHeight="1" x14ac:dyDescent="0.2">
      <c r="A196" s="264" t="s">
        <v>198</v>
      </c>
      <c r="B196" s="264"/>
      <c r="C196" s="22">
        <v>6091</v>
      </c>
      <c r="D196" s="22">
        <v>3938</v>
      </c>
      <c r="E196" s="22">
        <v>2153</v>
      </c>
      <c r="F196" s="22">
        <v>1635</v>
      </c>
      <c r="G196" s="22">
        <v>444</v>
      </c>
      <c r="H196" s="22">
        <v>63</v>
      </c>
      <c r="I196" s="22">
        <v>11</v>
      </c>
      <c r="J196" s="22">
        <v>0</v>
      </c>
    </row>
    <row r="197" spans="1:10" s="21" customFormat="1" ht="12" customHeight="1" x14ac:dyDescent="0.2">
      <c r="A197" s="264" t="s">
        <v>199</v>
      </c>
      <c r="B197" s="264"/>
      <c r="C197" s="22">
        <v>2709</v>
      </c>
      <c r="D197" s="22">
        <v>2232</v>
      </c>
      <c r="E197" s="22">
        <v>477</v>
      </c>
      <c r="F197" s="22">
        <v>380</v>
      </c>
      <c r="G197" s="22">
        <v>97</v>
      </c>
      <c r="H197" s="22">
        <v>0</v>
      </c>
      <c r="I197" s="22">
        <v>0</v>
      </c>
      <c r="J197" s="22">
        <v>0</v>
      </c>
    </row>
    <row r="198" spans="1:10" s="21" customFormat="1" ht="12" customHeight="1" x14ac:dyDescent="0.2">
      <c r="A198" s="264" t="s">
        <v>200</v>
      </c>
      <c r="B198" s="264"/>
      <c r="C198" s="22">
        <v>640</v>
      </c>
      <c r="D198" s="22">
        <v>415</v>
      </c>
      <c r="E198" s="22">
        <v>225</v>
      </c>
      <c r="F198" s="22">
        <v>165</v>
      </c>
      <c r="G198" s="22">
        <v>60</v>
      </c>
      <c r="H198" s="22">
        <v>0</v>
      </c>
      <c r="I198" s="22">
        <v>0</v>
      </c>
      <c r="J198" s="22">
        <v>0</v>
      </c>
    </row>
    <row r="199" spans="1:10" s="21" customFormat="1" ht="12" customHeight="1" x14ac:dyDescent="0.2">
      <c r="A199" s="264" t="s">
        <v>201</v>
      </c>
      <c r="B199" s="264"/>
      <c r="C199" s="22">
        <v>557</v>
      </c>
      <c r="D199" s="22">
        <v>419</v>
      </c>
      <c r="E199" s="22">
        <v>138</v>
      </c>
      <c r="F199" s="22">
        <v>88</v>
      </c>
      <c r="G199" s="22">
        <v>50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202</v>
      </c>
      <c r="B200" s="264"/>
      <c r="C200" s="22">
        <v>1697</v>
      </c>
      <c r="D200" s="22">
        <v>1204</v>
      </c>
      <c r="E200" s="22">
        <v>493</v>
      </c>
      <c r="F200" s="22">
        <v>366</v>
      </c>
      <c r="G200" s="22">
        <v>127</v>
      </c>
      <c r="H200" s="22">
        <v>0</v>
      </c>
      <c r="I200" s="22">
        <v>0</v>
      </c>
      <c r="J200" s="22">
        <v>0</v>
      </c>
    </row>
    <row r="201" spans="1:10" s="21" customFormat="1" ht="12" customHeight="1" x14ac:dyDescent="0.2">
      <c r="A201" s="267" t="s">
        <v>203</v>
      </c>
      <c r="B201" s="267"/>
      <c r="C201" s="28">
        <v>1037</v>
      </c>
      <c r="D201" s="28">
        <v>690</v>
      </c>
      <c r="E201" s="28">
        <v>347</v>
      </c>
      <c r="F201" s="28">
        <v>260</v>
      </c>
      <c r="G201" s="28">
        <v>87</v>
      </c>
      <c r="H201" s="28">
        <v>0</v>
      </c>
      <c r="I201" s="28">
        <v>0</v>
      </c>
      <c r="J201" s="28">
        <v>0</v>
      </c>
    </row>
    <row r="202" spans="1:10" s="21" customFormat="1" ht="12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</row>
    <row r="203" spans="1:10" s="21" customFormat="1" ht="12" customHeight="1" x14ac:dyDescent="0.2">
      <c r="A203" s="263" t="s">
        <v>204</v>
      </c>
      <c r="B203" s="263"/>
      <c r="C203" s="20">
        <f t="shared" ref="C203:J203" si="48">SUM(C204:C206)</f>
        <v>5591</v>
      </c>
      <c r="D203" s="20">
        <f t="shared" si="48"/>
        <v>5109</v>
      </c>
      <c r="E203" s="20">
        <f t="shared" si="48"/>
        <v>482</v>
      </c>
      <c r="F203" s="20">
        <f t="shared" si="48"/>
        <v>301</v>
      </c>
      <c r="G203" s="20">
        <f t="shared" si="48"/>
        <v>177</v>
      </c>
      <c r="H203" s="20">
        <f t="shared" si="48"/>
        <v>0</v>
      </c>
      <c r="I203" s="20">
        <f t="shared" si="48"/>
        <v>4</v>
      </c>
      <c r="J203" s="20">
        <f t="shared" si="48"/>
        <v>0</v>
      </c>
    </row>
    <row r="204" spans="1:10" s="21" customFormat="1" ht="12" customHeight="1" x14ac:dyDescent="0.2">
      <c r="A204" s="264" t="s">
        <v>205</v>
      </c>
      <c r="B204" s="264"/>
      <c r="C204" s="22">
        <v>1856</v>
      </c>
      <c r="D204" s="22">
        <v>1641</v>
      </c>
      <c r="E204" s="22">
        <v>215</v>
      </c>
      <c r="F204" s="22">
        <v>144</v>
      </c>
      <c r="G204" s="22">
        <v>71</v>
      </c>
      <c r="H204" s="22">
        <v>0</v>
      </c>
      <c r="I204" s="22">
        <v>0</v>
      </c>
      <c r="J204" s="22">
        <v>0</v>
      </c>
    </row>
    <row r="205" spans="1:10" s="21" customFormat="1" ht="12" customHeight="1" x14ac:dyDescent="0.2">
      <c r="A205" s="264" t="s">
        <v>206</v>
      </c>
      <c r="B205" s="264"/>
      <c r="C205" s="22">
        <v>1690</v>
      </c>
      <c r="D205" s="22">
        <v>1591</v>
      </c>
      <c r="E205" s="22">
        <v>99</v>
      </c>
      <c r="F205" s="22">
        <v>62</v>
      </c>
      <c r="G205" s="22">
        <v>37</v>
      </c>
      <c r="H205" s="22">
        <v>0</v>
      </c>
      <c r="I205" s="22">
        <v>0</v>
      </c>
      <c r="J205" s="22">
        <v>0</v>
      </c>
    </row>
    <row r="206" spans="1:10" s="21" customFormat="1" ht="12" customHeight="1" x14ac:dyDescent="0.2">
      <c r="A206" s="315" t="s">
        <v>345</v>
      </c>
      <c r="B206" s="315"/>
      <c r="C206" s="44">
        <v>2045</v>
      </c>
      <c r="D206" s="44">
        <v>1877</v>
      </c>
      <c r="E206" s="44">
        <v>168</v>
      </c>
      <c r="F206" s="44">
        <v>95</v>
      </c>
      <c r="G206" s="44">
        <v>69</v>
      </c>
      <c r="H206" s="44">
        <v>0</v>
      </c>
      <c r="I206" s="44">
        <v>4</v>
      </c>
      <c r="J206" s="44">
        <v>0</v>
      </c>
    </row>
    <row r="207" spans="1:10" s="21" customFormat="1" ht="12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</row>
    <row r="208" spans="1:10" s="21" customFormat="1" ht="12" customHeight="1" x14ac:dyDescent="0.2">
      <c r="A208" s="263" t="s">
        <v>210</v>
      </c>
      <c r="B208" s="263"/>
      <c r="C208" s="20">
        <f t="shared" ref="C208:J208" si="49">SUM(C209:C219)</f>
        <v>9524</v>
      </c>
      <c r="D208" s="20">
        <f t="shared" si="49"/>
        <v>6811</v>
      </c>
      <c r="E208" s="20">
        <f t="shared" si="49"/>
        <v>2713</v>
      </c>
      <c r="F208" s="20">
        <f t="shared" si="49"/>
        <v>1697</v>
      </c>
      <c r="G208" s="20">
        <f t="shared" si="49"/>
        <v>992</v>
      </c>
      <c r="H208" s="20">
        <f t="shared" si="49"/>
        <v>13</v>
      </c>
      <c r="I208" s="20">
        <f t="shared" si="49"/>
        <v>11</v>
      </c>
      <c r="J208" s="20">
        <f t="shared" si="49"/>
        <v>0</v>
      </c>
    </row>
    <row r="209" spans="1:10" s="21" customFormat="1" ht="12" customHeight="1" x14ac:dyDescent="0.2">
      <c r="A209" s="264" t="s">
        <v>211</v>
      </c>
      <c r="B209" s="264"/>
      <c r="C209" s="22">
        <v>1557</v>
      </c>
      <c r="D209" s="22">
        <v>1183</v>
      </c>
      <c r="E209" s="22">
        <v>374</v>
      </c>
      <c r="F209" s="22">
        <v>206</v>
      </c>
      <c r="G209" s="22">
        <v>168</v>
      </c>
      <c r="H209" s="22">
        <v>0</v>
      </c>
      <c r="I209" s="22">
        <v>0</v>
      </c>
      <c r="J209" s="22">
        <v>0</v>
      </c>
    </row>
    <row r="210" spans="1:10" s="21" customFormat="1" ht="12" customHeight="1" x14ac:dyDescent="0.2">
      <c r="A210" s="264" t="s">
        <v>213</v>
      </c>
      <c r="B210" s="264"/>
      <c r="C210" s="22">
        <v>76</v>
      </c>
      <c r="D210" s="22">
        <v>66</v>
      </c>
      <c r="E210" s="22">
        <v>10</v>
      </c>
      <c r="F210" s="22">
        <v>4</v>
      </c>
      <c r="G210" s="22">
        <v>6</v>
      </c>
      <c r="H210" s="22">
        <v>0</v>
      </c>
      <c r="I210" s="22">
        <v>0</v>
      </c>
      <c r="J210" s="22">
        <v>0</v>
      </c>
    </row>
    <row r="211" spans="1:10" s="21" customFormat="1" ht="12" customHeight="1" x14ac:dyDescent="0.2">
      <c r="A211" s="264" t="s">
        <v>214</v>
      </c>
      <c r="B211" s="264"/>
      <c r="C211" s="22">
        <v>1044</v>
      </c>
      <c r="D211" s="22">
        <v>549</v>
      </c>
      <c r="E211" s="22">
        <v>495</v>
      </c>
      <c r="F211" s="22">
        <v>299</v>
      </c>
      <c r="G211" s="22">
        <v>190</v>
      </c>
      <c r="H211" s="22">
        <v>5</v>
      </c>
      <c r="I211" s="22">
        <v>1</v>
      </c>
      <c r="J211" s="22">
        <v>0</v>
      </c>
    </row>
    <row r="212" spans="1:10" s="21" customFormat="1" ht="12" customHeight="1" x14ac:dyDescent="0.2">
      <c r="A212" s="264" t="s">
        <v>219</v>
      </c>
      <c r="B212" s="264"/>
      <c r="C212" s="22">
        <v>189</v>
      </c>
      <c r="D212" s="22">
        <v>173</v>
      </c>
      <c r="E212" s="22">
        <v>16</v>
      </c>
      <c r="F212" s="22">
        <v>9</v>
      </c>
      <c r="G212" s="22">
        <v>7</v>
      </c>
      <c r="H212" s="22">
        <v>0</v>
      </c>
      <c r="I212" s="22">
        <v>0</v>
      </c>
      <c r="J212" s="22">
        <v>0</v>
      </c>
    </row>
    <row r="213" spans="1:10" s="21" customFormat="1" ht="12" customHeight="1" x14ac:dyDescent="0.2">
      <c r="A213" s="264" t="s">
        <v>220</v>
      </c>
      <c r="B213" s="264"/>
      <c r="C213" s="22">
        <v>3181</v>
      </c>
      <c r="D213" s="22">
        <v>2321</v>
      </c>
      <c r="E213" s="22">
        <v>860</v>
      </c>
      <c r="F213" s="22">
        <v>542</v>
      </c>
      <c r="G213" s="22">
        <v>318</v>
      </c>
      <c r="H213" s="22">
        <v>0</v>
      </c>
      <c r="I213" s="22">
        <v>0</v>
      </c>
      <c r="J213" s="22">
        <v>0</v>
      </c>
    </row>
    <row r="214" spans="1:10" s="21" customFormat="1" ht="12" customHeight="1" x14ac:dyDescent="0.2">
      <c r="A214" s="264" t="s">
        <v>221</v>
      </c>
      <c r="B214" s="264"/>
      <c r="C214" s="22">
        <v>858</v>
      </c>
      <c r="D214" s="22">
        <v>622</v>
      </c>
      <c r="E214" s="22">
        <v>236</v>
      </c>
      <c r="F214" s="22">
        <v>166</v>
      </c>
      <c r="G214" s="22">
        <v>53</v>
      </c>
      <c r="H214" s="22">
        <v>7</v>
      </c>
      <c r="I214" s="22">
        <v>10</v>
      </c>
      <c r="J214" s="22">
        <v>0</v>
      </c>
    </row>
    <row r="215" spans="1:10" s="21" customFormat="1" ht="12" customHeight="1" x14ac:dyDescent="0.2">
      <c r="A215" s="264" t="s">
        <v>224</v>
      </c>
      <c r="B215" s="264"/>
      <c r="C215" s="22">
        <v>350</v>
      </c>
      <c r="D215" s="22">
        <v>276</v>
      </c>
      <c r="E215" s="22">
        <v>74</v>
      </c>
      <c r="F215" s="22">
        <v>49</v>
      </c>
      <c r="G215" s="22">
        <v>25</v>
      </c>
      <c r="H215" s="22">
        <v>0</v>
      </c>
      <c r="I215" s="22">
        <v>0</v>
      </c>
      <c r="J215" s="22">
        <v>0</v>
      </c>
    </row>
    <row r="216" spans="1:10" s="21" customFormat="1" ht="12" customHeight="1" x14ac:dyDescent="0.2">
      <c r="A216" s="264" t="s">
        <v>225</v>
      </c>
      <c r="B216" s="264"/>
      <c r="C216" s="22">
        <v>786</v>
      </c>
      <c r="D216" s="22">
        <v>431</v>
      </c>
      <c r="E216" s="22">
        <v>355</v>
      </c>
      <c r="F216" s="22">
        <v>224</v>
      </c>
      <c r="G216" s="22">
        <v>131</v>
      </c>
      <c r="H216" s="22">
        <v>0</v>
      </c>
      <c r="I216" s="22">
        <v>0</v>
      </c>
      <c r="J216" s="22">
        <v>0</v>
      </c>
    </row>
    <row r="217" spans="1:10" s="21" customFormat="1" ht="12" customHeight="1" x14ac:dyDescent="0.2">
      <c r="A217" s="264" t="s">
        <v>226</v>
      </c>
      <c r="B217" s="264"/>
      <c r="C217" s="22">
        <v>418</v>
      </c>
      <c r="D217" s="22">
        <v>311</v>
      </c>
      <c r="E217" s="22">
        <v>107</v>
      </c>
      <c r="F217" s="22">
        <v>70</v>
      </c>
      <c r="G217" s="22">
        <v>37</v>
      </c>
      <c r="H217" s="22">
        <v>0</v>
      </c>
      <c r="I217" s="22">
        <v>0</v>
      </c>
      <c r="J217" s="22">
        <v>0</v>
      </c>
    </row>
    <row r="218" spans="1:10" s="21" customFormat="1" ht="12" customHeight="1" x14ac:dyDescent="0.2">
      <c r="A218" s="264" t="s">
        <v>227</v>
      </c>
      <c r="B218" s="264"/>
      <c r="C218" s="22">
        <v>991</v>
      </c>
      <c r="D218" s="22">
        <v>808</v>
      </c>
      <c r="E218" s="22">
        <v>183</v>
      </c>
      <c r="F218" s="22">
        <v>127</v>
      </c>
      <c r="G218" s="22">
        <v>55</v>
      </c>
      <c r="H218" s="22">
        <v>1</v>
      </c>
      <c r="I218" s="22">
        <v>0</v>
      </c>
      <c r="J218" s="22">
        <v>0</v>
      </c>
    </row>
    <row r="219" spans="1:10" s="21" customFormat="1" ht="12" customHeight="1" x14ac:dyDescent="0.2">
      <c r="A219" s="267" t="s">
        <v>228</v>
      </c>
      <c r="B219" s="267"/>
      <c r="C219" s="28">
        <v>74</v>
      </c>
      <c r="D219" s="28">
        <v>71</v>
      </c>
      <c r="E219" s="28">
        <v>3</v>
      </c>
      <c r="F219" s="28">
        <v>1</v>
      </c>
      <c r="G219" s="28">
        <v>2</v>
      </c>
      <c r="H219" s="28">
        <v>0</v>
      </c>
      <c r="I219" s="28">
        <v>0</v>
      </c>
      <c r="J219" s="28">
        <v>0</v>
      </c>
    </row>
    <row r="220" spans="1:10" s="21" customFormat="1" ht="12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</row>
    <row r="221" spans="1:10" s="21" customFormat="1" ht="12" customHeight="1" x14ac:dyDescent="0.2">
      <c r="A221" s="263" t="s">
        <v>229</v>
      </c>
      <c r="B221" s="263"/>
      <c r="C221" s="20">
        <f t="shared" ref="C221:J221" si="50">SUM(C222:C229)</f>
        <v>341652</v>
      </c>
      <c r="D221" s="20">
        <f t="shared" si="50"/>
        <v>250320</v>
      </c>
      <c r="E221" s="20">
        <f t="shared" si="50"/>
        <v>91332</v>
      </c>
      <c r="F221" s="20">
        <f t="shared" si="50"/>
        <v>60217</v>
      </c>
      <c r="G221" s="20">
        <f t="shared" si="50"/>
        <v>30127</v>
      </c>
      <c r="H221" s="20">
        <f t="shared" si="50"/>
        <v>647</v>
      </c>
      <c r="I221" s="20">
        <f t="shared" si="50"/>
        <v>315</v>
      </c>
      <c r="J221" s="20">
        <f t="shared" si="50"/>
        <v>26</v>
      </c>
    </row>
    <row r="222" spans="1:10" s="21" customFormat="1" ht="12" customHeight="1" x14ac:dyDescent="0.2">
      <c r="A222" s="264" t="s">
        <v>230</v>
      </c>
      <c r="B222" s="264"/>
      <c r="C222" s="22">
        <f t="shared" ref="C222:J222" si="51">SUM(C59:C72)</f>
        <v>49557</v>
      </c>
      <c r="D222" s="22">
        <f t="shared" si="51"/>
        <v>38294</v>
      </c>
      <c r="E222" s="22">
        <f t="shared" si="51"/>
        <v>11263</v>
      </c>
      <c r="F222" s="22">
        <f t="shared" si="51"/>
        <v>7049</v>
      </c>
      <c r="G222" s="22">
        <f t="shared" si="51"/>
        <v>4043</v>
      </c>
      <c r="H222" s="22">
        <f t="shared" si="51"/>
        <v>108</v>
      </c>
      <c r="I222" s="22">
        <f t="shared" si="51"/>
        <v>63</v>
      </c>
      <c r="J222" s="22">
        <f t="shared" si="51"/>
        <v>0</v>
      </c>
    </row>
    <row r="223" spans="1:10" s="21" customFormat="1" ht="12" customHeight="1" x14ac:dyDescent="0.2">
      <c r="A223" s="264" t="s">
        <v>231</v>
      </c>
      <c r="B223" s="264"/>
      <c r="C223" s="22">
        <f t="shared" ref="C223:J223" si="52">SUM(C75:C133)</f>
        <v>146045</v>
      </c>
      <c r="D223" s="22">
        <f t="shared" si="52"/>
        <v>101915</v>
      </c>
      <c r="E223" s="22">
        <f t="shared" si="52"/>
        <v>44130</v>
      </c>
      <c r="F223" s="22">
        <f t="shared" si="52"/>
        <v>27388</v>
      </c>
      <c r="G223" s="22">
        <f t="shared" si="52"/>
        <v>16243</v>
      </c>
      <c r="H223" s="22">
        <f t="shared" si="52"/>
        <v>305</v>
      </c>
      <c r="I223" s="22">
        <f t="shared" si="52"/>
        <v>168</v>
      </c>
      <c r="J223" s="22">
        <f t="shared" si="52"/>
        <v>26</v>
      </c>
    </row>
    <row r="224" spans="1:10" s="21" customFormat="1" ht="12" customHeight="1" x14ac:dyDescent="0.2">
      <c r="A224" s="264" t="s">
        <v>232</v>
      </c>
      <c r="B224" s="264"/>
      <c r="C224" s="22">
        <f t="shared" ref="C224:J224" si="53">SUM(C136:C164)</f>
        <v>62787</v>
      </c>
      <c r="D224" s="22">
        <f t="shared" si="53"/>
        <v>47510</v>
      </c>
      <c r="E224" s="22">
        <f t="shared" si="53"/>
        <v>15277</v>
      </c>
      <c r="F224" s="22">
        <f t="shared" si="53"/>
        <v>10859</v>
      </c>
      <c r="G224" s="22">
        <f t="shared" si="53"/>
        <v>4320</v>
      </c>
      <c r="H224" s="22">
        <f t="shared" si="53"/>
        <v>68</v>
      </c>
      <c r="I224" s="22">
        <f t="shared" si="53"/>
        <v>30</v>
      </c>
      <c r="J224" s="22">
        <f t="shared" si="53"/>
        <v>0</v>
      </c>
    </row>
    <row r="225" spans="1:10" s="21" customFormat="1" ht="12" customHeight="1" x14ac:dyDescent="0.2">
      <c r="A225" s="264" t="s">
        <v>233</v>
      </c>
      <c r="B225" s="264"/>
      <c r="C225" s="22">
        <f t="shared" ref="C225:J225" si="54">SUM(C167:C174)</f>
        <v>5944</v>
      </c>
      <c r="D225" s="22">
        <f t="shared" si="54"/>
        <v>5314</v>
      </c>
      <c r="E225" s="22">
        <f t="shared" si="54"/>
        <v>630</v>
      </c>
      <c r="F225" s="22">
        <f t="shared" si="54"/>
        <v>448</v>
      </c>
      <c r="G225" s="22">
        <f t="shared" si="54"/>
        <v>182</v>
      </c>
      <c r="H225" s="22">
        <f t="shared" si="54"/>
        <v>0</v>
      </c>
      <c r="I225" s="22">
        <f t="shared" si="54"/>
        <v>0</v>
      </c>
      <c r="J225" s="22">
        <f t="shared" si="54"/>
        <v>0</v>
      </c>
    </row>
    <row r="226" spans="1:10" s="21" customFormat="1" ht="12" customHeight="1" x14ac:dyDescent="0.2">
      <c r="A226" s="264" t="s">
        <v>234</v>
      </c>
      <c r="B226" s="264"/>
      <c r="C226" s="22">
        <f t="shared" ref="C226:J226" si="55">SUM(C177:C193)</f>
        <v>49473</v>
      </c>
      <c r="D226" s="22">
        <f t="shared" si="55"/>
        <v>36469</v>
      </c>
      <c r="E226" s="22">
        <f t="shared" si="55"/>
        <v>13004</v>
      </c>
      <c r="F226" s="22">
        <f t="shared" si="55"/>
        <v>9581</v>
      </c>
      <c r="G226" s="22">
        <f t="shared" si="55"/>
        <v>3305</v>
      </c>
      <c r="H226" s="22">
        <f t="shared" si="55"/>
        <v>90</v>
      </c>
      <c r="I226" s="22">
        <f t="shared" si="55"/>
        <v>28</v>
      </c>
      <c r="J226" s="22">
        <f t="shared" si="55"/>
        <v>0</v>
      </c>
    </row>
    <row r="227" spans="1:10" s="21" customFormat="1" ht="12" customHeight="1" x14ac:dyDescent="0.2">
      <c r="A227" s="264" t="s">
        <v>235</v>
      </c>
      <c r="B227" s="264"/>
      <c r="C227" s="22">
        <f t="shared" ref="C227:J227" si="56">SUM(C196:C201)</f>
        <v>12731</v>
      </c>
      <c r="D227" s="22">
        <f t="shared" si="56"/>
        <v>8898</v>
      </c>
      <c r="E227" s="22">
        <f t="shared" si="56"/>
        <v>3833</v>
      </c>
      <c r="F227" s="22">
        <f t="shared" si="56"/>
        <v>2894</v>
      </c>
      <c r="G227" s="22">
        <f t="shared" si="56"/>
        <v>865</v>
      </c>
      <c r="H227" s="22">
        <f t="shared" si="56"/>
        <v>63</v>
      </c>
      <c r="I227" s="22">
        <f t="shared" si="56"/>
        <v>11</v>
      </c>
      <c r="J227" s="22">
        <f t="shared" si="56"/>
        <v>0</v>
      </c>
    </row>
    <row r="228" spans="1:10" s="21" customFormat="1" ht="12" customHeight="1" x14ac:dyDescent="0.2">
      <c r="A228" s="264" t="s">
        <v>236</v>
      </c>
      <c r="B228" s="264"/>
      <c r="C228" s="22">
        <f t="shared" ref="C228:J228" si="57">SUM(C204:C206)</f>
        <v>5591</v>
      </c>
      <c r="D228" s="22">
        <f t="shared" si="57"/>
        <v>5109</v>
      </c>
      <c r="E228" s="22">
        <f t="shared" si="57"/>
        <v>482</v>
      </c>
      <c r="F228" s="22">
        <f t="shared" si="57"/>
        <v>301</v>
      </c>
      <c r="G228" s="22">
        <f t="shared" si="57"/>
        <v>177</v>
      </c>
      <c r="H228" s="22">
        <f t="shared" si="57"/>
        <v>0</v>
      </c>
      <c r="I228" s="22">
        <f t="shared" si="57"/>
        <v>4</v>
      </c>
      <c r="J228" s="22">
        <f t="shared" si="57"/>
        <v>0</v>
      </c>
    </row>
    <row r="229" spans="1:10" s="21" customFormat="1" ht="12" customHeight="1" x14ac:dyDescent="0.2">
      <c r="A229" s="267" t="s">
        <v>237</v>
      </c>
      <c r="B229" s="267"/>
      <c r="C229" s="28">
        <f t="shared" ref="C229:J229" si="58">SUM(C209:C219)</f>
        <v>9524</v>
      </c>
      <c r="D229" s="28">
        <f t="shared" si="58"/>
        <v>6811</v>
      </c>
      <c r="E229" s="28">
        <f t="shared" si="58"/>
        <v>2713</v>
      </c>
      <c r="F229" s="28">
        <f t="shared" si="58"/>
        <v>1697</v>
      </c>
      <c r="G229" s="28">
        <f t="shared" si="58"/>
        <v>992</v>
      </c>
      <c r="H229" s="28">
        <f t="shared" si="58"/>
        <v>13</v>
      </c>
      <c r="I229" s="28">
        <f t="shared" si="58"/>
        <v>11</v>
      </c>
      <c r="J229" s="28">
        <f t="shared" si="58"/>
        <v>0</v>
      </c>
    </row>
    <row r="230" spans="1:10" s="21" customFormat="1" ht="12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spans="1:10" s="21" customFormat="1" ht="12" customHeight="1" x14ac:dyDescent="0.2">
      <c r="A231" s="263" t="s">
        <v>364</v>
      </c>
      <c r="B231" s="263"/>
      <c r="C231" s="20">
        <f t="shared" ref="C231:J231" si="59">SUM(C232:C235)</f>
        <v>300365</v>
      </c>
      <c r="D231" s="20">
        <f t="shared" si="59"/>
        <v>218167</v>
      </c>
      <c r="E231" s="20">
        <f t="shared" si="59"/>
        <v>82198</v>
      </c>
      <c r="F231" s="20">
        <f t="shared" si="59"/>
        <v>54069</v>
      </c>
      <c r="G231" s="20">
        <f t="shared" si="59"/>
        <v>27250</v>
      </c>
      <c r="H231" s="20">
        <f t="shared" si="59"/>
        <v>568</v>
      </c>
      <c r="I231" s="20">
        <f t="shared" si="59"/>
        <v>285</v>
      </c>
      <c r="J231" s="20">
        <f t="shared" si="59"/>
        <v>26</v>
      </c>
    </row>
    <row r="232" spans="1:10" s="21" customFormat="1" ht="12" customHeight="1" x14ac:dyDescent="0.2">
      <c r="A232" s="264" t="s">
        <v>234</v>
      </c>
      <c r="B232" s="264"/>
      <c r="C232" s="22">
        <f t="shared" ref="C232:J232" si="60">C177+C178+C179+C180+C181+C182+C183+C184+C186+C188+C189+C191+C193+C197+C190</f>
        <v>51467</v>
      </c>
      <c r="D232" s="22">
        <f t="shared" si="60"/>
        <v>38048</v>
      </c>
      <c r="E232" s="22">
        <f t="shared" si="60"/>
        <v>13419</v>
      </c>
      <c r="F232" s="22">
        <f t="shared" si="60"/>
        <v>9914</v>
      </c>
      <c r="G232" s="22">
        <f t="shared" si="60"/>
        <v>3387</v>
      </c>
      <c r="H232" s="22">
        <f t="shared" si="60"/>
        <v>90</v>
      </c>
      <c r="I232" s="22">
        <f t="shared" si="60"/>
        <v>28</v>
      </c>
      <c r="J232" s="22">
        <f t="shared" si="60"/>
        <v>0</v>
      </c>
    </row>
    <row r="233" spans="1:10" s="21" customFormat="1" ht="12" customHeight="1" x14ac:dyDescent="0.2">
      <c r="A233" s="264" t="s">
        <v>238</v>
      </c>
      <c r="B233" s="264"/>
      <c r="C233" s="22">
        <f t="shared" ref="C233:J233" si="61">+C59+C60+C62+C63+C64+C65+C66+C68+C69+C70+C71+C72+C85+C61</f>
        <v>49701</v>
      </c>
      <c r="D233" s="22">
        <f t="shared" si="61"/>
        <v>38400</v>
      </c>
      <c r="E233" s="22">
        <f t="shared" si="61"/>
        <v>11301</v>
      </c>
      <c r="F233" s="22">
        <f t="shared" si="61"/>
        <v>7058</v>
      </c>
      <c r="G233" s="22">
        <f t="shared" si="61"/>
        <v>4072</v>
      </c>
      <c r="H233" s="22">
        <f t="shared" si="61"/>
        <v>108</v>
      </c>
      <c r="I233" s="22">
        <f t="shared" si="61"/>
        <v>63</v>
      </c>
      <c r="J233" s="22">
        <f t="shared" si="61"/>
        <v>0</v>
      </c>
    </row>
    <row r="234" spans="1:10" s="21" customFormat="1" ht="12" customHeight="1" x14ac:dyDescent="0.2">
      <c r="A234" s="264" t="s">
        <v>232</v>
      </c>
      <c r="B234" s="264"/>
      <c r="C234" s="22">
        <f t="shared" ref="C234:J234" si="62">C136+C138+C140+C143+C146+C150+C151+C153+C155+C157+C158+C160+C161+C163+C167+C174+C149+C145</f>
        <v>62116</v>
      </c>
      <c r="D234" s="22">
        <f t="shared" si="62"/>
        <v>47063</v>
      </c>
      <c r="E234" s="22">
        <f t="shared" si="62"/>
        <v>15053</v>
      </c>
      <c r="F234" s="22">
        <f t="shared" si="62"/>
        <v>10750</v>
      </c>
      <c r="G234" s="22">
        <f t="shared" si="62"/>
        <v>4212</v>
      </c>
      <c r="H234" s="22">
        <f t="shared" si="62"/>
        <v>65</v>
      </c>
      <c r="I234" s="22">
        <f t="shared" si="62"/>
        <v>26</v>
      </c>
      <c r="J234" s="22">
        <f t="shared" si="62"/>
        <v>0</v>
      </c>
    </row>
    <row r="235" spans="1:10" s="21" customFormat="1" ht="12" customHeight="1" x14ac:dyDescent="0.2">
      <c r="A235" s="267" t="s">
        <v>231</v>
      </c>
      <c r="B235" s="267"/>
      <c r="C235" s="28">
        <f t="shared" ref="C235:J235" si="63">+C75+C76+C77+C80+C81+C83+C82+C87+C86+C90+C88+C89+C91+C92+C97+C96+C95+C98+C99+C100+C101+C102+C104+C103+C105+C106+C108+C107+C110+C109+C114+C116+C115+C118+C117+C119+C120+C121+C122+C123+C124+C125+C127+C128+C129+C131+C132+C133</f>
        <v>137081</v>
      </c>
      <c r="D235" s="28">
        <f t="shared" si="63"/>
        <v>94656</v>
      </c>
      <c r="E235" s="28">
        <f t="shared" si="63"/>
        <v>42425</v>
      </c>
      <c r="F235" s="28">
        <f t="shared" si="63"/>
        <v>26347</v>
      </c>
      <c r="G235" s="28">
        <f t="shared" si="63"/>
        <v>15579</v>
      </c>
      <c r="H235" s="28">
        <f t="shared" si="63"/>
        <v>305</v>
      </c>
      <c r="I235" s="28">
        <f t="shared" si="63"/>
        <v>168</v>
      </c>
      <c r="J235" s="28">
        <f t="shared" si="63"/>
        <v>26</v>
      </c>
    </row>
    <row r="236" spans="1:10" s="33" customFormat="1" ht="5.25" customHeight="1" x14ac:dyDescent="0.15">
      <c r="A236" s="317"/>
      <c r="B236" s="317"/>
      <c r="C236" s="317"/>
      <c r="D236" s="317"/>
      <c r="E236" s="317"/>
      <c r="F236" s="317"/>
      <c r="G236" s="317"/>
      <c r="H236" s="317"/>
      <c r="I236" s="317"/>
      <c r="J236" s="317"/>
    </row>
    <row r="237" spans="1:10" s="34" customFormat="1" ht="11.25" x14ac:dyDescent="0.2">
      <c r="A237" s="286" t="s">
        <v>346</v>
      </c>
      <c r="B237" s="286"/>
      <c r="C237" s="286"/>
      <c r="D237" s="286"/>
      <c r="E237" s="286"/>
      <c r="F237" s="286"/>
      <c r="G237" s="286"/>
      <c r="H237" s="286"/>
      <c r="I237" s="286"/>
      <c r="J237" s="286"/>
    </row>
    <row r="238" spans="1:10" s="34" customFormat="1" ht="12" customHeight="1" x14ac:dyDescent="0.2">
      <c r="A238" s="286" t="s">
        <v>363</v>
      </c>
      <c r="B238" s="286"/>
      <c r="C238" s="286"/>
      <c r="D238" s="286"/>
      <c r="E238" s="286"/>
      <c r="F238" s="286"/>
      <c r="G238" s="286"/>
      <c r="H238" s="286"/>
      <c r="I238" s="286"/>
    </row>
    <row r="239" spans="1:10" s="33" customFormat="1" ht="5.25" customHeight="1" x14ac:dyDescent="0.2">
      <c r="A239" s="314"/>
      <c r="B239" s="314"/>
      <c r="C239" s="314"/>
      <c r="D239" s="314"/>
      <c r="E239" s="314"/>
      <c r="F239" s="314"/>
      <c r="G239" s="314"/>
      <c r="H239" s="314"/>
      <c r="I239" s="314"/>
      <c r="J239" s="314"/>
    </row>
    <row r="240" spans="1:10" s="35" customFormat="1" ht="11.25" x14ac:dyDescent="0.2">
      <c r="A240" s="286" t="s">
        <v>339</v>
      </c>
      <c r="B240" s="286"/>
      <c r="C240" s="286"/>
      <c r="D240" s="286"/>
      <c r="E240" s="286"/>
      <c r="F240" s="286"/>
      <c r="G240" s="286"/>
      <c r="H240" s="286"/>
      <c r="I240" s="286"/>
      <c r="J240" s="286"/>
    </row>
    <row r="241" spans="1:10" s="33" customFormat="1" ht="5.25" customHeight="1" x14ac:dyDescent="0.2">
      <c r="A241" s="314"/>
      <c r="B241" s="314"/>
      <c r="C241" s="314"/>
      <c r="D241" s="314"/>
      <c r="E241" s="314"/>
      <c r="F241" s="314"/>
      <c r="G241" s="314"/>
      <c r="H241" s="314"/>
      <c r="I241" s="314"/>
      <c r="J241" s="314"/>
    </row>
    <row r="242" spans="1:10" s="36" customFormat="1" ht="11.25" x14ac:dyDescent="0.2">
      <c r="A242" s="286" t="s">
        <v>351</v>
      </c>
      <c r="B242" s="286"/>
      <c r="C242" s="286"/>
      <c r="D242" s="286"/>
      <c r="E242" s="286"/>
      <c r="F242" s="286"/>
      <c r="G242" s="286"/>
      <c r="H242" s="286"/>
      <c r="I242" s="286"/>
      <c r="J242" s="286"/>
    </row>
    <row r="243" spans="1:10" s="36" customFormat="1" ht="11.25" x14ac:dyDescent="0.2">
      <c r="A243" s="286" t="s">
        <v>352</v>
      </c>
      <c r="B243" s="286"/>
      <c r="C243" s="286"/>
      <c r="D243" s="286"/>
      <c r="E243" s="286"/>
      <c r="F243" s="286"/>
      <c r="G243" s="286"/>
      <c r="H243" s="286"/>
      <c r="I243" s="286"/>
      <c r="J243" s="286"/>
    </row>
  </sheetData>
  <mergeCells count="211">
    <mergeCell ref="E5:J5"/>
    <mergeCell ref="A6:B6"/>
    <mergeCell ref="E6:J6"/>
    <mergeCell ref="A7:B7"/>
    <mergeCell ref="A8:B8"/>
    <mergeCell ref="A9:B9"/>
    <mergeCell ref="A1:J1"/>
    <mergeCell ref="A2:J2"/>
    <mergeCell ref="A3:J3"/>
    <mergeCell ref="A4:J4"/>
    <mergeCell ref="A5:B5"/>
    <mergeCell ref="A40:B40"/>
    <mergeCell ref="A42:B42"/>
    <mergeCell ref="A43:B43"/>
    <mergeCell ref="A44:B44"/>
    <mergeCell ref="A239:J239"/>
    <mergeCell ref="A24:B24"/>
    <mergeCell ref="A25:B25"/>
    <mergeCell ref="A26:B26"/>
    <mergeCell ref="A29:B29"/>
    <mergeCell ref="A32:B32"/>
    <mergeCell ref="A33:B33"/>
    <mergeCell ref="A38:B38"/>
    <mergeCell ref="A39:B39"/>
    <mergeCell ref="A48:B48"/>
    <mergeCell ref="A68:B68"/>
    <mergeCell ref="A69:B69"/>
    <mergeCell ref="A70:B70"/>
    <mergeCell ref="A71:B71"/>
    <mergeCell ref="A72:B72"/>
    <mergeCell ref="A74:B74"/>
    <mergeCell ref="A75:B75"/>
    <mergeCell ref="A76:B76"/>
    <mergeCell ref="A77:B77"/>
    <mergeCell ref="A78:B78"/>
    <mergeCell ref="A240:J240"/>
    <mergeCell ref="A241:J241"/>
    <mergeCell ref="A242:J242"/>
    <mergeCell ref="A243:J243"/>
    <mergeCell ref="A10:B10"/>
    <mergeCell ref="A12:B12"/>
    <mergeCell ref="A13:B13"/>
    <mergeCell ref="A17:B17"/>
    <mergeCell ref="A21:B21"/>
    <mergeCell ref="A23:B23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5:B195"/>
    <mergeCell ref="A210:B210"/>
    <mergeCell ref="A206:B206"/>
    <mergeCell ref="A208:B208"/>
    <mergeCell ref="A209:B209"/>
    <mergeCell ref="A211:B211"/>
    <mergeCell ref="A196:B196"/>
    <mergeCell ref="A197:B197"/>
    <mergeCell ref="A198:B198"/>
    <mergeCell ref="A199:B199"/>
    <mergeCell ref="A200:B200"/>
    <mergeCell ref="A201:B201"/>
    <mergeCell ref="A203:B203"/>
    <mergeCell ref="A204:B204"/>
    <mergeCell ref="A205:B205"/>
    <mergeCell ref="A212:B212"/>
    <mergeCell ref="A213:B213"/>
    <mergeCell ref="A214:B214"/>
    <mergeCell ref="A215:B215"/>
    <mergeCell ref="A218:B218"/>
    <mergeCell ref="A219:B219"/>
    <mergeCell ref="A216:B216"/>
    <mergeCell ref="A217:B217"/>
    <mergeCell ref="A221:B221"/>
    <mergeCell ref="A222:B222"/>
    <mergeCell ref="A225:B225"/>
    <mergeCell ref="A226:B226"/>
    <mergeCell ref="A223:B223"/>
    <mergeCell ref="A224:B224"/>
    <mergeCell ref="A238:I238"/>
    <mergeCell ref="A234:B234"/>
    <mergeCell ref="A235:B235"/>
    <mergeCell ref="A227:B227"/>
    <mergeCell ref="A228:B228"/>
    <mergeCell ref="A229:B229"/>
    <mergeCell ref="A231:B231"/>
    <mergeCell ref="A232:B232"/>
    <mergeCell ref="A233:B233"/>
    <mergeCell ref="A237:J237"/>
    <mergeCell ref="A236:J236"/>
  </mergeCells>
  <pageMargins left="0" right="0" top="0" bottom="0" header="0" footer="0"/>
  <pageSetup paperSize="9" scale="83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2"/>
  <dimension ref="A1:J253"/>
  <sheetViews>
    <sheetView workbookViewId="0">
      <selection sqref="A1:J1"/>
    </sheetView>
  </sheetViews>
  <sheetFormatPr defaultRowHeight="12" customHeight="1" x14ac:dyDescent="0.2"/>
  <cols>
    <col min="1" max="1" width="2.7109375" style="1" customWidth="1"/>
    <col min="2" max="2" width="25.8554687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3" customFormat="1" ht="12.75" customHeight="1" x14ac:dyDescent="0.2">
      <c r="A2" s="289" t="s">
        <v>340</v>
      </c>
      <c r="B2" s="289"/>
      <c r="C2" s="289"/>
      <c r="D2" s="289"/>
      <c r="E2" s="289"/>
      <c r="F2" s="289"/>
      <c r="G2" s="289"/>
      <c r="H2" s="289"/>
      <c r="I2" s="289"/>
      <c r="J2" s="289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273"/>
      <c r="B5" s="273"/>
      <c r="C5" s="110" t="s">
        <v>1</v>
      </c>
      <c r="D5" s="111" t="s">
        <v>2</v>
      </c>
      <c r="E5" s="252" t="s">
        <v>3</v>
      </c>
      <c r="F5" s="274"/>
      <c r="G5" s="274"/>
      <c r="H5" s="274"/>
      <c r="I5" s="274"/>
      <c r="J5" s="274"/>
    </row>
    <row r="6" spans="1:10" s="5" customFormat="1" ht="12" customHeight="1" x14ac:dyDescent="0.2">
      <c r="A6" s="254"/>
      <c r="B6" s="254"/>
      <c r="C6" s="112"/>
      <c r="D6" s="113"/>
      <c r="E6" s="254"/>
      <c r="F6" s="254"/>
      <c r="G6" s="254"/>
      <c r="H6" s="254"/>
      <c r="I6" s="254"/>
      <c r="J6" s="254"/>
    </row>
    <row r="7" spans="1:10" s="5" customFormat="1" ht="12" customHeight="1" x14ac:dyDescent="0.2">
      <c r="A7" s="254"/>
      <c r="B7" s="254"/>
      <c r="C7" s="108"/>
      <c r="D7" s="108"/>
      <c r="E7" s="108"/>
      <c r="F7" s="108"/>
      <c r="G7" s="108"/>
      <c r="H7" s="108"/>
      <c r="I7" s="108"/>
      <c r="J7" s="108"/>
    </row>
    <row r="8" spans="1:10" s="5" customFormat="1" ht="12" customHeight="1" x14ac:dyDescent="0.2">
      <c r="A8" s="254"/>
      <c r="B8" s="254"/>
      <c r="C8" s="108"/>
      <c r="D8" s="108"/>
      <c r="E8" s="114"/>
      <c r="F8" s="114"/>
      <c r="G8" s="114"/>
      <c r="H8" s="114"/>
      <c r="I8" s="114" t="s">
        <v>333</v>
      </c>
      <c r="J8" s="114" t="s">
        <v>4</v>
      </c>
    </row>
    <row r="9" spans="1:10" s="5" customFormat="1" ht="13.5" customHeight="1" x14ac:dyDescent="0.2">
      <c r="A9" s="262"/>
      <c r="B9" s="262"/>
      <c r="C9" s="109"/>
      <c r="D9" s="115"/>
      <c r="E9" s="116" t="s">
        <v>1</v>
      </c>
      <c r="F9" s="116" t="s">
        <v>6</v>
      </c>
      <c r="G9" s="116" t="s">
        <v>7</v>
      </c>
      <c r="H9" s="116" t="s">
        <v>334</v>
      </c>
      <c r="I9" s="116" t="s">
        <v>335</v>
      </c>
      <c r="J9" s="116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C12+C23+C38+C42+C53</f>
        <v>336943</v>
      </c>
      <c r="D10" s="16">
        <f t="shared" si="0"/>
        <v>248599</v>
      </c>
      <c r="E10" s="16">
        <f t="shared" si="0"/>
        <v>88344</v>
      </c>
      <c r="F10" s="16">
        <f t="shared" si="0"/>
        <v>59275</v>
      </c>
      <c r="G10" s="16">
        <f t="shared" si="0"/>
        <v>28171</v>
      </c>
      <c r="H10" s="16">
        <f t="shared" si="0"/>
        <v>643</v>
      </c>
      <c r="I10" s="16">
        <f t="shared" si="0"/>
        <v>220</v>
      </c>
      <c r="J10" s="16">
        <f t="shared" si="0"/>
        <v>35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28989</v>
      </c>
      <c r="D12" s="20">
        <f t="shared" si="1"/>
        <v>21887</v>
      </c>
      <c r="E12" s="20">
        <f t="shared" si="1"/>
        <v>7102</v>
      </c>
      <c r="F12" s="20">
        <f t="shared" si="1"/>
        <v>4952</v>
      </c>
      <c r="G12" s="20">
        <f t="shared" si="1"/>
        <v>2075</v>
      </c>
      <c r="H12" s="20">
        <f t="shared" si="1"/>
        <v>65</v>
      </c>
      <c r="I12" s="20">
        <f t="shared" si="1"/>
        <v>10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9554</v>
      </c>
      <c r="D13" s="22">
        <f t="shared" si="2"/>
        <v>6858</v>
      </c>
      <c r="E13" s="22">
        <f t="shared" si="2"/>
        <v>2696</v>
      </c>
      <c r="F13" s="22">
        <f t="shared" si="2"/>
        <v>1689</v>
      </c>
      <c r="G13" s="22">
        <f t="shared" si="2"/>
        <v>991</v>
      </c>
      <c r="H13" s="22">
        <f t="shared" si="2"/>
        <v>13</v>
      </c>
      <c r="I13" s="22">
        <f t="shared" si="2"/>
        <v>3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C212+C214+C220+C227+C228</f>
        <v>3232</v>
      </c>
      <c r="D14" s="22">
        <f t="shared" si="3"/>
        <v>2578</v>
      </c>
      <c r="E14" s="22">
        <f t="shared" si="3"/>
        <v>654</v>
      </c>
      <c r="F14" s="22">
        <f t="shared" si="3"/>
        <v>414</v>
      </c>
      <c r="G14" s="22">
        <f t="shared" si="3"/>
        <v>237</v>
      </c>
      <c r="H14" s="22">
        <f t="shared" si="3"/>
        <v>1</v>
      </c>
      <c r="I14" s="22">
        <f t="shared" si="3"/>
        <v>2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+C213+C221+C216+C217+C218+C219+C223+C224+C229</f>
        <v>3321</v>
      </c>
      <c r="D15" s="22">
        <f t="shared" si="4"/>
        <v>2423</v>
      </c>
      <c r="E15" s="22">
        <f t="shared" si="4"/>
        <v>898</v>
      </c>
      <c r="F15" s="22">
        <f t="shared" si="4"/>
        <v>536</v>
      </c>
      <c r="G15" s="22">
        <f t="shared" si="4"/>
        <v>362</v>
      </c>
      <c r="H15" s="22">
        <f t="shared" si="4"/>
        <v>0</v>
      </c>
      <c r="I15" s="22">
        <f t="shared" si="4"/>
        <v>0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C215+C222+C225+C226</f>
        <v>3001</v>
      </c>
      <c r="D16" s="22">
        <f t="shared" si="5"/>
        <v>1857</v>
      </c>
      <c r="E16" s="22">
        <f t="shared" si="5"/>
        <v>1144</v>
      </c>
      <c r="F16" s="22">
        <f t="shared" si="5"/>
        <v>739</v>
      </c>
      <c r="G16" s="22">
        <f t="shared" si="5"/>
        <v>392</v>
      </c>
      <c r="H16" s="22">
        <f t="shared" si="5"/>
        <v>12</v>
      </c>
      <c r="I16" s="22">
        <f t="shared" si="5"/>
        <v>1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5477</v>
      </c>
      <c r="D17" s="22">
        <f t="shared" si="6"/>
        <v>5026</v>
      </c>
      <c r="E17" s="22">
        <f t="shared" si="6"/>
        <v>451</v>
      </c>
      <c r="F17" s="22">
        <f t="shared" si="6"/>
        <v>291</v>
      </c>
      <c r="G17" s="22">
        <f t="shared" si="6"/>
        <v>160</v>
      </c>
      <c r="H17" s="22">
        <f t="shared" si="6"/>
        <v>0</v>
      </c>
      <c r="I17" s="22">
        <f t="shared" si="6"/>
        <v>0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+C206</f>
        <v>1667</v>
      </c>
      <c r="D18" s="22">
        <f t="shared" si="7"/>
        <v>1573</v>
      </c>
      <c r="E18" s="22">
        <f t="shared" si="7"/>
        <v>94</v>
      </c>
      <c r="F18" s="22">
        <f t="shared" si="7"/>
        <v>62</v>
      </c>
      <c r="G18" s="22">
        <f t="shared" si="7"/>
        <v>32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+C205</f>
        <v>1816</v>
      </c>
      <c r="D19" s="22">
        <f t="shared" si="8"/>
        <v>1610</v>
      </c>
      <c r="E19" s="22">
        <f t="shared" si="8"/>
        <v>206</v>
      </c>
      <c r="F19" s="22">
        <f t="shared" si="8"/>
        <v>140</v>
      </c>
      <c r="G19" s="22">
        <f t="shared" si="8"/>
        <v>66</v>
      </c>
      <c r="H19" s="22">
        <f t="shared" si="8"/>
        <v>0</v>
      </c>
      <c r="I19" s="22">
        <f t="shared" si="8"/>
        <v>0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C207+C208+C209</f>
        <v>1994</v>
      </c>
      <c r="D20" s="22">
        <f t="shared" si="9"/>
        <v>1843</v>
      </c>
      <c r="E20" s="22">
        <f t="shared" si="9"/>
        <v>151</v>
      </c>
      <c r="F20" s="22">
        <f t="shared" si="9"/>
        <v>89</v>
      </c>
      <c r="G20" s="22">
        <f t="shared" si="9"/>
        <v>62</v>
      </c>
      <c r="H20" s="22">
        <f t="shared" si="9"/>
        <v>0</v>
      </c>
      <c r="I20" s="22">
        <f t="shared" si="9"/>
        <v>0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C197+C198+C199+C183+C200+C201+C188+C202+C191</f>
        <v>13958</v>
      </c>
      <c r="D21" s="28">
        <f t="shared" si="10"/>
        <v>10003</v>
      </c>
      <c r="E21" s="28">
        <f t="shared" si="10"/>
        <v>3955</v>
      </c>
      <c r="F21" s="28">
        <f t="shared" si="10"/>
        <v>2972</v>
      </c>
      <c r="G21" s="28">
        <f t="shared" si="10"/>
        <v>924</v>
      </c>
      <c r="H21" s="28">
        <f t="shared" si="10"/>
        <v>52</v>
      </c>
      <c r="I21" s="28">
        <f t="shared" si="10"/>
        <v>7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21</v>
      </c>
      <c r="B23" s="263"/>
      <c r="C23" s="20">
        <f t="shared" ref="C23:J23" si="11">C24+C25+C26+C29+C32+C33</f>
        <v>68070</v>
      </c>
      <c r="D23" s="20">
        <f t="shared" si="11"/>
        <v>52444</v>
      </c>
      <c r="E23" s="20">
        <f t="shared" si="11"/>
        <v>15626</v>
      </c>
      <c r="F23" s="20">
        <f t="shared" si="11"/>
        <v>11156</v>
      </c>
      <c r="G23" s="20">
        <f t="shared" si="11"/>
        <v>4383</v>
      </c>
      <c r="H23" s="20">
        <f t="shared" si="11"/>
        <v>68</v>
      </c>
      <c r="I23" s="20">
        <f t="shared" si="11"/>
        <v>19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C137+C139+C140+C151+C152+C154+C156+C158+C159</f>
        <v>40809</v>
      </c>
      <c r="D24" s="22">
        <f t="shared" si="12"/>
        <v>29414</v>
      </c>
      <c r="E24" s="22">
        <f t="shared" si="12"/>
        <v>11395</v>
      </c>
      <c r="F24" s="22">
        <f t="shared" si="12"/>
        <v>8047</v>
      </c>
      <c r="G24" s="22">
        <f t="shared" si="12"/>
        <v>3271</v>
      </c>
      <c r="H24" s="22">
        <f t="shared" si="12"/>
        <v>64</v>
      </c>
      <c r="I24" s="22">
        <f t="shared" si="12"/>
        <v>13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C146</f>
        <v>4950</v>
      </c>
      <c r="D25" s="22">
        <f t="shared" si="13"/>
        <v>3945</v>
      </c>
      <c r="E25" s="22">
        <f t="shared" si="13"/>
        <v>1005</v>
      </c>
      <c r="F25" s="22">
        <f t="shared" si="13"/>
        <v>682</v>
      </c>
      <c r="G25" s="22">
        <f t="shared" si="13"/>
        <v>323</v>
      </c>
      <c r="H25" s="22">
        <f t="shared" si="13"/>
        <v>0</v>
      </c>
      <c r="I25" s="22">
        <f t="shared" si="13"/>
        <v>0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12062</v>
      </c>
      <c r="D26" s="22">
        <f t="shared" si="14"/>
        <v>9893</v>
      </c>
      <c r="E26" s="22">
        <f t="shared" si="14"/>
        <v>2169</v>
      </c>
      <c r="F26" s="22">
        <f t="shared" si="14"/>
        <v>1682</v>
      </c>
      <c r="G26" s="22">
        <f t="shared" si="14"/>
        <v>477</v>
      </c>
      <c r="H26" s="22">
        <f t="shared" si="14"/>
        <v>4</v>
      </c>
      <c r="I26" s="22">
        <f t="shared" si="14"/>
        <v>6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C138+C143+C145+C153+C160+C165</f>
        <v>918</v>
      </c>
      <c r="D27" s="22">
        <f t="shared" si="15"/>
        <v>863</v>
      </c>
      <c r="E27" s="22">
        <f t="shared" si="15"/>
        <v>55</v>
      </c>
      <c r="F27" s="22">
        <f t="shared" si="15"/>
        <v>33</v>
      </c>
      <c r="G27" s="22">
        <f t="shared" si="15"/>
        <v>22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C144+C147+C150+C162</f>
        <v>11144</v>
      </c>
      <c r="D28" s="22">
        <f t="shared" si="16"/>
        <v>9030</v>
      </c>
      <c r="E28" s="22">
        <f t="shared" si="16"/>
        <v>2114</v>
      </c>
      <c r="F28" s="22">
        <f t="shared" si="16"/>
        <v>1649</v>
      </c>
      <c r="G28" s="22">
        <f t="shared" si="16"/>
        <v>455</v>
      </c>
      <c r="H28" s="22">
        <f t="shared" si="16"/>
        <v>4</v>
      </c>
      <c r="I28" s="22">
        <f t="shared" si="16"/>
        <v>6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3703</v>
      </c>
      <c r="D29" s="22">
        <f t="shared" si="17"/>
        <v>3312</v>
      </c>
      <c r="E29" s="22">
        <f t="shared" si="17"/>
        <v>391</v>
      </c>
      <c r="F29" s="22">
        <f t="shared" si="17"/>
        <v>286</v>
      </c>
      <c r="G29" s="22">
        <f t="shared" si="17"/>
        <v>105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+C142</f>
        <v>1166</v>
      </c>
      <c r="D30" s="22">
        <f t="shared" si="18"/>
        <v>1058</v>
      </c>
      <c r="E30" s="22">
        <f t="shared" si="18"/>
        <v>108</v>
      </c>
      <c r="F30" s="22">
        <f t="shared" si="18"/>
        <v>78</v>
      </c>
      <c r="G30" s="22">
        <f t="shared" si="18"/>
        <v>30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C141+C161+C164</f>
        <v>2537</v>
      </c>
      <c r="D31" s="22">
        <f t="shared" si="19"/>
        <v>2254</v>
      </c>
      <c r="E31" s="22">
        <f t="shared" si="19"/>
        <v>283</v>
      </c>
      <c r="F31" s="22">
        <f t="shared" si="19"/>
        <v>208</v>
      </c>
      <c r="G31" s="22">
        <f t="shared" si="19"/>
        <v>75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C148+C149+C155+C157+C163</f>
        <v>751</v>
      </c>
      <c r="D32" s="22">
        <f t="shared" si="20"/>
        <v>691</v>
      </c>
      <c r="E32" s="22">
        <f t="shared" si="20"/>
        <v>60</v>
      </c>
      <c r="F32" s="22">
        <f t="shared" si="20"/>
        <v>39</v>
      </c>
      <c r="G32" s="22">
        <f t="shared" si="20"/>
        <v>21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31</v>
      </c>
      <c r="B33" s="264"/>
      <c r="C33" s="22">
        <f t="shared" ref="C33:J33" si="21">C34+C35+C36</f>
        <v>5795</v>
      </c>
      <c r="D33" s="22">
        <f t="shared" si="21"/>
        <v>5189</v>
      </c>
      <c r="E33" s="22">
        <f t="shared" si="21"/>
        <v>606</v>
      </c>
      <c r="F33" s="22">
        <f t="shared" si="21"/>
        <v>420</v>
      </c>
      <c r="G33" s="22">
        <f t="shared" si="21"/>
        <v>186</v>
      </c>
      <c r="H33" s="22">
        <f t="shared" si="21"/>
        <v>0</v>
      </c>
      <c r="I33" s="22">
        <f t="shared" si="21"/>
        <v>0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C173</f>
        <v>529</v>
      </c>
      <c r="D34" s="22">
        <f t="shared" si="22"/>
        <v>496</v>
      </c>
      <c r="E34" s="22">
        <f t="shared" si="22"/>
        <v>33</v>
      </c>
      <c r="F34" s="22">
        <f t="shared" si="22"/>
        <v>17</v>
      </c>
      <c r="G34" s="22">
        <f t="shared" si="22"/>
        <v>16</v>
      </c>
      <c r="H34" s="22">
        <f t="shared" si="22"/>
        <v>0</v>
      </c>
      <c r="I34" s="22">
        <f t="shared" si="22"/>
        <v>0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C169+C170+C171+C174</f>
        <v>202</v>
      </c>
      <c r="D35" s="22">
        <f t="shared" si="23"/>
        <v>183</v>
      </c>
      <c r="E35" s="22">
        <f t="shared" si="23"/>
        <v>19</v>
      </c>
      <c r="F35" s="22">
        <f t="shared" si="23"/>
        <v>8</v>
      </c>
      <c r="G35" s="22">
        <f t="shared" si="23"/>
        <v>11</v>
      </c>
      <c r="H35" s="22">
        <f t="shared" si="23"/>
        <v>0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</v>
      </c>
      <c r="C36" s="28">
        <f t="shared" ref="C36:J36" si="24">C168+C172+C175</f>
        <v>5064</v>
      </c>
      <c r="D36" s="28">
        <f t="shared" si="24"/>
        <v>4510</v>
      </c>
      <c r="E36" s="28">
        <f t="shared" si="24"/>
        <v>554</v>
      </c>
      <c r="F36" s="28">
        <f t="shared" si="24"/>
        <v>395</v>
      </c>
      <c r="G36" s="28">
        <f t="shared" si="24"/>
        <v>159</v>
      </c>
      <c r="H36" s="28">
        <f t="shared" si="24"/>
        <v>0</v>
      </c>
      <c r="I36" s="28">
        <f t="shared" si="24"/>
        <v>0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47088</v>
      </c>
      <c r="D38" s="20">
        <f t="shared" si="25"/>
        <v>34562</v>
      </c>
      <c r="E38" s="20">
        <f t="shared" si="25"/>
        <v>12526</v>
      </c>
      <c r="F38" s="20">
        <f t="shared" si="25"/>
        <v>9387</v>
      </c>
      <c r="G38" s="20">
        <f t="shared" si="25"/>
        <v>3022</v>
      </c>
      <c r="H38" s="20">
        <f t="shared" si="25"/>
        <v>93</v>
      </c>
      <c r="I38" s="20">
        <f t="shared" si="25"/>
        <v>24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C178+C179+C181+C182+C184+C187+C189+C190+C193+C194</f>
        <v>41653</v>
      </c>
      <c r="D39" s="22">
        <f t="shared" si="26"/>
        <v>30765</v>
      </c>
      <c r="E39" s="22">
        <f t="shared" si="26"/>
        <v>10888</v>
      </c>
      <c r="F39" s="22">
        <f t="shared" si="26"/>
        <v>8153</v>
      </c>
      <c r="G39" s="22">
        <f t="shared" si="26"/>
        <v>2631</v>
      </c>
      <c r="H39" s="22">
        <f t="shared" si="26"/>
        <v>85</v>
      </c>
      <c r="I39" s="22">
        <f t="shared" si="26"/>
        <v>19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+C180+C185+C192</f>
        <v>5435</v>
      </c>
      <c r="D40" s="28">
        <f t="shared" si="27"/>
        <v>3797</v>
      </c>
      <c r="E40" s="28">
        <f t="shared" si="27"/>
        <v>1638</v>
      </c>
      <c r="F40" s="28">
        <f t="shared" si="27"/>
        <v>1234</v>
      </c>
      <c r="G40" s="28">
        <f t="shared" si="27"/>
        <v>391</v>
      </c>
      <c r="H40" s="28">
        <f t="shared" si="27"/>
        <v>8</v>
      </c>
      <c r="I40" s="28">
        <f t="shared" si="27"/>
        <v>5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C43+C44+C48</f>
        <v>138912</v>
      </c>
      <c r="D42" s="20">
        <f t="shared" si="28"/>
        <v>97828</v>
      </c>
      <c r="E42" s="20">
        <f t="shared" si="28"/>
        <v>41084</v>
      </c>
      <c r="F42" s="20">
        <f t="shared" si="28"/>
        <v>26099</v>
      </c>
      <c r="G42" s="20">
        <f t="shared" si="28"/>
        <v>14532</v>
      </c>
      <c r="H42" s="20">
        <f t="shared" si="28"/>
        <v>313</v>
      </c>
      <c r="I42" s="20">
        <f t="shared" si="28"/>
        <v>107</v>
      </c>
      <c r="J42" s="20">
        <f t="shared" si="28"/>
        <v>33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C87+C88+C89+C91+C92+C96+C97+C99+C101+C103+C104+C108+C110+C115+C116+C120+C123+C126+C129+C133+C134</f>
        <v>91571</v>
      </c>
      <c r="D43" s="22">
        <f t="shared" si="29"/>
        <v>59326</v>
      </c>
      <c r="E43" s="22">
        <f t="shared" si="29"/>
        <v>32245</v>
      </c>
      <c r="F43" s="22">
        <f t="shared" si="29"/>
        <v>19771</v>
      </c>
      <c r="G43" s="22">
        <f t="shared" si="29"/>
        <v>12034</v>
      </c>
      <c r="H43" s="22">
        <f t="shared" si="29"/>
        <v>308</v>
      </c>
      <c r="I43" s="22">
        <f t="shared" si="29"/>
        <v>99</v>
      </c>
      <c r="J43" s="22">
        <f t="shared" si="29"/>
        <v>33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C45+C46+C47</f>
        <v>25086</v>
      </c>
      <c r="D44" s="22">
        <f t="shared" si="30"/>
        <v>20941</v>
      </c>
      <c r="E44" s="22">
        <f t="shared" si="30"/>
        <v>4145</v>
      </c>
      <c r="F44" s="22">
        <f t="shared" si="30"/>
        <v>2961</v>
      </c>
      <c r="G44" s="22">
        <f t="shared" si="30"/>
        <v>1174</v>
      </c>
      <c r="H44" s="22">
        <f t="shared" si="30"/>
        <v>2</v>
      </c>
      <c r="I44" s="22">
        <f t="shared" si="30"/>
        <v>8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C80+C113+C102+C186+C106+C111+C130</f>
        <v>12856</v>
      </c>
      <c r="D45" s="22">
        <f t="shared" si="31"/>
        <v>10119</v>
      </c>
      <c r="E45" s="22">
        <f t="shared" si="31"/>
        <v>2737</v>
      </c>
      <c r="F45" s="22">
        <f t="shared" si="31"/>
        <v>1986</v>
      </c>
      <c r="G45" s="22">
        <f t="shared" si="31"/>
        <v>741</v>
      </c>
      <c r="H45" s="22">
        <f t="shared" si="31"/>
        <v>2</v>
      </c>
      <c r="I45" s="22">
        <f t="shared" si="31"/>
        <v>8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C90+C119+C121+C128</f>
        <v>11282</v>
      </c>
      <c r="D46" s="22">
        <f t="shared" si="32"/>
        <v>9960</v>
      </c>
      <c r="E46" s="22">
        <f t="shared" si="32"/>
        <v>1322</v>
      </c>
      <c r="F46" s="22">
        <f t="shared" si="32"/>
        <v>921</v>
      </c>
      <c r="G46" s="22">
        <f t="shared" si="32"/>
        <v>401</v>
      </c>
      <c r="H46" s="22">
        <f t="shared" si="32"/>
        <v>0</v>
      </c>
      <c r="I46" s="22">
        <f t="shared" si="32"/>
        <v>0</v>
      </c>
      <c r="J46" s="22">
        <f t="shared" si="32"/>
        <v>0</v>
      </c>
    </row>
    <row r="47" spans="1:10" s="21" customFormat="1" ht="12" customHeight="1" x14ac:dyDescent="0.2">
      <c r="A47" s="30"/>
      <c r="B47" s="25" t="s">
        <v>43</v>
      </c>
      <c r="C47" s="22">
        <f t="shared" ref="C47:J47" si="33">C84+C94+C95+C131</f>
        <v>948</v>
      </c>
      <c r="D47" s="22">
        <f t="shared" si="33"/>
        <v>862</v>
      </c>
      <c r="E47" s="22">
        <f t="shared" si="33"/>
        <v>86</v>
      </c>
      <c r="F47" s="22">
        <f t="shared" si="33"/>
        <v>54</v>
      </c>
      <c r="G47" s="22">
        <f t="shared" si="33"/>
        <v>32</v>
      </c>
      <c r="H47" s="22">
        <f t="shared" si="33"/>
        <v>0</v>
      </c>
      <c r="I47" s="22">
        <f t="shared" si="33"/>
        <v>0</v>
      </c>
      <c r="J47" s="22">
        <f t="shared" si="33"/>
        <v>0</v>
      </c>
    </row>
    <row r="48" spans="1:10" s="21" customFormat="1" ht="12" customHeight="1" x14ac:dyDescent="0.2">
      <c r="A48" s="264" t="s">
        <v>44</v>
      </c>
      <c r="B48" s="264"/>
      <c r="C48" s="22">
        <f t="shared" ref="C48:J48" si="34">C49+C50+C51</f>
        <v>22255</v>
      </c>
      <c r="D48" s="22">
        <f t="shared" si="34"/>
        <v>17561</v>
      </c>
      <c r="E48" s="22">
        <f t="shared" si="34"/>
        <v>4694</v>
      </c>
      <c r="F48" s="22">
        <f t="shared" si="34"/>
        <v>3367</v>
      </c>
      <c r="G48" s="22">
        <f t="shared" si="34"/>
        <v>1324</v>
      </c>
      <c r="H48" s="22">
        <f t="shared" si="34"/>
        <v>3</v>
      </c>
      <c r="I48" s="22">
        <f t="shared" si="34"/>
        <v>0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45</v>
      </c>
      <c r="C49" s="22">
        <f t="shared" ref="C49:J49" si="35">+C76+C77+C86+C112</f>
        <v>2631</v>
      </c>
      <c r="D49" s="22">
        <f t="shared" si="35"/>
        <v>2339</v>
      </c>
      <c r="E49" s="22">
        <f t="shared" si="35"/>
        <v>292</v>
      </c>
      <c r="F49" s="22">
        <f t="shared" si="35"/>
        <v>178</v>
      </c>
      <c r="G49" s="22">
        <f t="shared" si="35"/>
        <v>114</v>
      </c>
      <c r="H49" s="22">
        <f t="shared" si="35"/>
        <v>0</v>
      </c>
      <c r="I49" s="22">
        <f t="shared" si="35"/>
        <v>0</v>
      </c>
      <c r="J49" s="22">
        <f t="shared" si="35"/>
        <v>0</v>
      </c>
    </row>
    <row r="50" spans="1:10" s="21" customFormat="1" ht="12" customHeight="1" x14ac:dyDescent="0.2">
      <c r="A50" s="30"/>
      <c r="B50" s="24" t="s">
        <v>46</v>
      </c>
      <c r="C50" s="22">
        <f t="shared" ref="C50:J50" si="36">C79+C81+C98+C100+C114+C118+C124+C127</f>
        <v>5978</v>
      </c>
      <c r="D50" s="22">
        <f t="shared" si="36"/>
        <v>5047</v>
      </c>
      <c r="E50" s="22">
        <f t="shared" si="36"/>
        <v>931</v>
      </c>
      <c r="F50" s="22">
        <f t="shared" si="36"/>
        <v>652</v>
      </c>
      <c r="G50" s="22">
        <f t="shared" si="36"/>
        <v>279</v>
      </c>
      <c r="H50" s="22">
        <f t="shared" si="36"/>
        <v>0</v>
      </c>
      <c r="I50" s="22">
        <f t="shared" si="36"/>
        <v>0</v>
      </c>
      <c r="J50" s="22">
        <f t="shared" si="36"/>
        <v>0</v>
      </c>
    </row>
    <row r="51" spans="1:10" s="21" customFormat="1" ht="12" customHeight="1" x14ac:dyDescent="0.2">
      <c r="A51" s="30"/>
      <c r="B51" s="30" t="s">
        <v>47</v>
      </c>
      <c r="C51" s="28">
        <f t="shared" ref="C51:J51" si="37">C75+C82+C93+C105+C117+C122+C132</f>
        <v>13646</v>
      </c>
      <c r="D51" s="28">
        <f t="shared" si="37"/>
        <v>10175</v>
      </c>
      <c r="E51" s="28">
        <f t="shared" si="37"/>
        <v>3471</v>
      </c>
      <c r="F51" s="28">
        <f t="shared" si="37"/>
        <v>2537</v>
      </c>
      <c r="G51" s="28">
        <f t="shared" si="37"/>
        <v>931</v>
      </c>
      <c r="H51" s="28">
        <f t="shared" si="37"/>
        <v>3</v>
      </c>
      <c r="I51" s="28">
        <f t="shared" si="37"/>
        <v>0</v>
      </c>
      <c r="J51" s="28">
        <f t="shared" si="37"/>
        <v>0</v>
      </c>
    </row>
    <row r="52" spans="1:10" s="21" customFormat="1" ht="12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s="19" customFormat="1" ht="12" customHeight="1" x14ac:dyDescent="0.2">
      <c r="A53" s="263" t="s">
        <v>48</v>
      </c>
      <c r="B53" s="263"/>
      <c r="C53" s="20">
        <f t="shared" ref="C53:J53" si="38">C54+C55+C56</f>
        <v>53884</v>
      </c>
      <c r="D53" s="20">
        <f t="shared" si="38"/>
        <v>41878</v>
      </c>
      <c r="E53" s="20">
        <f t="shared" si="38"/>
        <v>12006</v>
      </c>
      <c r="F53" s="20">
        <f t="shared" si="38"/>
        <v>7681</v>
      </c>
      <c r="G53" s="20">
        <f t="shared" si="38"/>
        <v>4159</v>
      </c>
      <c r="H53" s="20">
        <f t="shared" si="38"/>
        <v>104</v>
      </c>
      <c r="I53" s="20">
        <f t="shared" si="38"/>
        <v>60</v>
      </c>
      <c r="J53" s="20">
        <f t="shared" si="38"/>
        <v>2</v>
      </c>
    </row>
    <row r="54" spans="1:10" s="21" customFormat="1" ht="12" customHeight="1" x14ac:dyDescent="0.2">
      <c r="A54" s="264" t="s">
        <v>49</v>
      </c>
      <c r="B54" s="264"/>
      <c r="C54" s="22">
        <f t="shared" ref="C54:J54" si="39">C59+C63+C68+C72</f>
        <v>18726</v>
      </c>
      <c r="D54" s="22">
        <f t="shared" si="39"/>
        <v>13326</v>
      </c>
      <c r="E54" s="22">
        <f t="shared" si="39"/>
        <v>5400</v>
      </c>
      <c r="F54" s="22">
        <f t="shared" si="39"/>
        <v>3501</v>
      </c>
      <c r="G54" s="22">
        <f t="shared" si="39"/>
        <v>1754</v>
      </c>
      <c r="H54" s="22">
        <f t="shared" si="39"/>
        <v>93</v>
      </c>
      <c r="I54" s="22">
        <f t="shared" si="39"/>
        <v>50</v>
      </c>
      <c r="J54" s="22">
        <f t="shared" si="39"/>
        <v>2</v>
      </c>
    </row>
    <row r="55" spans="1:10" s="21" customFormat="1" ht="12" customHeight="1" x14ac:dyDescent="0.2">
      <c r="A55" s="264" t="s">
        <v>50</v>
      </c>
      <c r="B55" s="264"/>
      <c r="C55" s="22">
        <f t="shared" ref="C55:J55" si="40">C78+C60+C83+C85+C64+C65+C66+C107+C109+C67+C69+C70+C125+C71</f>
        <v>31151</v>
      </c>
      <c r="D55" s="22">
        <f t="shared" si="40"/>
        <v>24972</v>
      </c>
      <c r="E55" s="22">
        <f t="shared" si="40"/>
        <v>6179</v>
      </c>
      <c r="F55" s="22">
        <f t="shared" si="40"/>
        <v>3884</v>
      </c>
      <c r="G55" s="22">
        <f t="shared" si="40"/>
        <v>2274</v>
      </c>
      <c r="H55" s="22">
        <f t="shared" si="40"/>
        <v>11</v>
      </c>
      <c r="I55" s="22">
        <f t="shared" si="40"/>
        <v>10</v>
      </c>
      <c r="J55" s="22">
        <f t="shared" si="40"/>
        <v>0</v>
      </c>
    </row>
    <row r="56" spans="1:10" s="21" customFormat="1" ht="12" customHeight="1" x14ac:dyDescent="0.2">
      <c r="A56" s="267" t="s">
        <v>51</v>
      </c>
      <c r="B56" s="267"/>
      <c r="C56" s="28">
        <f t="shared" ref="C56:J56" si="41">C62+C61</f>
        <v>4007</v>
      </c>
      <c r="D56" s="28">
        <f t="shared" si="41"/>
        <v>3580</v>
      </c>
      <c r="E56" s="28">
        <f t="shared" si="41"/>
        <v>427</v>
      </c>
      <c r="F56" s="28">
        <f t="shared" si="41"/>
        <v>296</v>
      </c>
      <c r="G56" s="28">
        <f t="shared" si="41"/>
        <v>131</v>
      </c>
      <c r="H56" s="28">
        <f t="shared" si="41"/>
        <v>0</v>
      </c>
      <c r="I56" s="28">
        <f t="shared" si="41"/>
        <v>0</v>
      </c>
      <c r="J56" s="28">
        <f t="shared" si="41"/>
        <v>0</v>
      </c>
    </row>
    <row r="57" spans="1:10" s="21" customFormat="1" ht="12" customHeight="1" x14ac:dyDescent="0.2">
      <c r="A57" s="25"/>
      <c r="B57" s="31"/>
      <c r="C57" s="32"/>
      <c r="D57" s="32"/>
      <c r="E57" s="32"/>
      <c r="F57" s="32"/>
      <c r="G57" s="32"/>
      <c r="H57" s="32"/>
      <c r="I57" s="32"/>
      <c r="J57" s="32"/>
    </row>
    <row r="58" spans="1:10" s="21" customFormat="1" ht="12" customHeight="1" x14ac:dyDescent="0.2">
      <c r="A58" s="269" t="s">
        <v>52</v>
      </c>
      <c r="B58" s="269"/>
      <c r="C58" s="18">
        <f t="shared" ref="C58:J58" si="42">SUM(C59:C72)</f>
        <v>49022</v>
      </c>
      <c r="D58" s="18">
        <f t="shared" si="42"/>
        <v>38082</v>
      </c>
      <c r="E58" s="18">
        <f t="shared" si="42"/>
        <v>10940</v>
      </c>
      <c r="F58" s="18">
        <f t="shared" si="42"/>
        <v>7024</v>
      </c>
      <c r="G58" s="18">
        <f t="shared" si="42"/>
        <v>3750</v>
      </c>
      <c r="H58" s="18">
        <f t="shared" si="42"/>
        <v>104</v>
      </c>
      <c r="I58" s="18">
        <f t="shared" si="42"/>
        <v>60</v>
      </c>
      <c r="J58" s="18">
        <f t="shared" si="42"/>
        <v>2</v>
      </c>
    </row>
    <row r="59" spans="1:10" s="21" customFormat="1" ht="12" customHeight="1" x14ac:dyDescent="0.2">
      <c r="A59" s="264" t="s">
        <v>53</v>
      </c>
      <c r="B59" s="264"/>
      <c r="C59" s="22">
        <v>3331</v>
      </c>
      <c r="D59" s="22">
        <v>2629</v>
      </c>
      <c r="E59" s="22">
        <v>702</v>
      </c>
      <c r="F59" s="22">
        <v>494</v>
      </c>
      <c r="G59" s="22">
        <v>207</v>
      </c>
      <c r="H59" s="22">
        <v>1</v>
      </c>
      <c r="I59" s="22">
        <v>0</v>
      </c>
      <c r="J59" s="22">
        <v>0</v>
      </c>
    </row>
    <row r="60" spans="1:10" s="21" customFormat="1" ht="12" customHeight="1" x14ac:dyDescent="0.2">
      <c r="A60" s="264" t="s">
        <v>54</v>
      </c>
      <c r="B60" s="264"/>
      <c r="C60" s="22">
        <v>618</v>
      </c>
      <c r="D60" s="22">
        <v>554</v>
      </c>
      <c r="E60" s="22">
        <v>64</v>
      </c>
      <c r="F60" s="22">
        <v>43</v>
      </c>
      <c r="G60" s="22">
        <v>21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55</v>
      </c>
      <c r="B61" s="264"/>
      <c r="C61" s="22">
        <v>1965</v>
      </c>
      <c r="D61" s="22">
        <v>1784</v>
      </c>
      <c r="E61" s="22">
        <v>181</v>
      </c>
      <c r="F61" s="22">
        <v>127</v>
      </c>
      <c r="G61" s="22">
        <v>54</v>
      </c>
      <c r="H61" s="22">
        <v>0</v>
      </c>
      <c r="I61" s="22">
        <v>0</v>
      </c>
      <c r="J61" s="22">
        <v>0</v>
      </c>
    </row>
    <row r="62" spans="1:10" s="21" customFormat="1" ht="12" customHeight="1" x14ac:dyDescent="0.2">
      <c r="A62" s="264" t="s">
        <v>56</v>
      </c>
      <c r="B62" s="264"/>
      <c r="C62" s="22">
        <v>2042</v>
      </c>
      <c r="D62" s="22">
        <v>1796</v>
      </c>
      <c r="E62" s="22">
        <v>246</v>
      </c>
      <c r="F62" s="22">
        <v>169</v>
      </c>
      <c r="G62" s="22">
        <v>77</v>
      </c>
      <c r="H62" s="22">
        <v>0</v>
      </c>
      <c r="I62" s="22">
        <v>0</v>
      </c>
      <c r="J62" s="22">
        <v>0</v>
      </c>
    </row>
    <row r="63" spans="1:10" s="21" customFormat="1" ht="12" customHeight="1" x14ac:dyDescent="0.2">
      <c r="A63" s="264" t="s">
        <v>57</v>
      </c>
      <c r="B63" s="264"/>
      <c r="C63" s="22">
        <v>7776</v>
      </c>
      <c r="D63" s="22">
        <v>4846</v>
      </c>
      <c r="E63" s="22">
        <v>2930</v>
      </c>
      <c r="F63" s="22">
        <v>1778</v>
      </c>
      <c r="G63" s="22">
        <v>1013</v>
      </c>
      <c r="H63" s="22">
        <v>90</v>
      </c>
      <c r="I63" s="22">
        <v>47</v>
      </c>
      <c r="J63" s="22">
        <v>2</v>
      </c>
    </row>
    <row r="64" spans="1:10" s="21" customFormat="1" ht="12" customHeight="1" x14ac:dyDescent="0.2">
      <c r="A64" s="264" t="s">
        <v>58</v>
      </c>
      <c r="B64" s="264"/>
      <c r="C64" s="22">
        <v>2703</v>
      </c>
      <c r="D64" s="22">
        <v>2209</v>
      </c>
      <c r="E64" s="22">
        <v>494</v>
      </c>
      <c r="F64" s="22">
        <v>328</v>
      </c>
      <c r="G64" s="22">
        <v>165</v>
      </c>
      <c r="H64" s="22">
        <v>1</v>
      </c>
      <c r="I64" s="22">
        <v>0</v>
      </c>
      <c r="J64" s="22">
        <v>0</v>
      </c>
    </row>
    <row r="65" spans="1:10" s="21" customFormat="1" ht="12" customHeight="1" x14ac:dyDescent="0.2">
      <c r="A65" s="264" t="s">
        <v>59</v>
      </c>
      <c r="B65" s="264"/>
      <c r="C65" s="22">
        <v>1716</v>
      </c>
      <c r="D65" s="22">
        <v>1434</v>
      </c>
      <c r="E65" s="22">
        <v>282</v>
      </c>
      <c r="F65" s="22">
        <v>182</v>
      </c>
      <c r="G65" s="22">
        <v>99</v>
      </c>
      <c r="H65" s="22">
        <v>1</v>
      </c>
      <c r="I65" s="22">
        <v>0</v>
      </c>
      <c r="J65" s="22">
        <v>0</v>
      </c>
    </row>
    <row r="66" spans="1:10" s="21" customFormat="1" ht="12" customHeight="1" x14ac:dyDescent="0.2">
      <c r="A66" s="264" t="s">
        <v>60</v>
      </c>
      <c r="B66" s="264"/>
      <c r="C66" s="22">
        <v>11673</v>
      </c>
      <c r="D66" s="22">
        <v>9161</v>
      </c>
      <c r="E66" s="22">
        <v>2512</v>
      </c>
      <c r="F66" s="22">
        <v>1428</v>
      </c>
      <c r="G66" s="22">
        <v>1072</v>
      </c>
      <c r="H66" s="22">
        <v>6</v>
      </c>
      <c r="I66" s="22">
        <v>6</v>
      </c>
      <c r="J66" s="22">
        <v>0</v>
      </c>
    </row>
    <row r="67" spans="1:10" s="21" customFormat="1" ht="12" customHeight="1" x14ac:dyDescent="0.2">
      <c r="A67" s="264" t="s">
        <v>61</v>
      </c>
      <c r="B67" s="264"/>
      <c r="C67" s="22">
        <v>314</v>
      </c>
      <c r="D67" s="22">
        <v>285</v>
      </c>
      <c r="E67" s="22">
        <v>29</v>
      </c>
      <c r="F67" s="22">
        <v>19</v>
      </c>
      <c r="G67" s="22">
        <v>10</v>
      </c>
      <c r="H67" s="22">
        <v>0</v>
      </c>
      <c r="I67" s="22">
        <v>0</v>
      </c>
      <c r="J67" s="22">
        <v>0</v>
      </c>
    </row>
    <row r="68" spans="1:10" s="21" customFormat="1" ht="12" customHeight="1" x14ac:dyDescent="0.2">
      <c r="A68" s="264" t="s">
        <v>62</v>
      </c>
      <c r="B68" s="264"/>
      <c r="C68" s="22">
        <v>4565</v>
      </c>
      <c r="D68" s="22">
        <v>3533</v>
      </c>
      <c r="E68" s="22">
        <v>1032</v>
      </c>
      <c r="F68" s="22">
        <v>728</v>
      </c>
      <c r="G68" s="22">
        <v>299</v>
      </c>
      <c r="H68" s="22">
        <v>2</v>
      </c>
      <c r="I68" s="22">
        <v>3</v>
      </c>
      <c r="J68" s="22">
        <v>0</v>
      </c>
    </row>
    <row r="69" spans="1:10" s="21" customFormat="1" ht="12" customHeight="1" x14ac:dyDescent="0.2">
      <c r="A69" s="264" t="s">
        <v>63</v>
      </c>
      <c r="B69" s="264"/>
      <c r="C69" s="22">
        <v>2389</v>
      </c>
      <c r="D69" s="22">
        <v>2024</v>
      </c>
      <c r="E69" s="22">
        <v>365</v>
      </c>
      <c r="F69" s="22">
        <v>290</v>
      </c>
      <c r="G69" s="22">
        <v>74</v>
      </c>
      <c r="H69" s="22">
        <v>0</v>
      </c>
      <c r="I69" s="22">
        <v>1</v>
      </c>
      <c r="J69" s="22">
        <v>0</v>
      </c>
    </row>
    <row r="70" spans="1:10" s="21" customFormat="1" ht="12" customHeight="1" x14ac:dyDescent="0.2">
      <c r="A70" s="264" t="s">
        <v>64</v>
      </c>
      <c r="B70" s="264"/>
      <c r="C70" s="22">
        <v>2505</v>
      </c>
      <c r="D70" s="22">
        <v>2110</v>
      </c>
      <c r="E70" s="22">
        <v>395</v>
      </c>
      <c r="F70" s="22">
        <v>265</v>
      </c>
      <c r="G70" s="22">
        <v>130</v>
      </c>
      <c r="H70" s="22">
        <v>0</v>
      </c>
      <c r="I70" s="22">
        <v>0</v>
      </c>
      <c r="J70" s="22">
        <v>0</v>
      </c>
    </row>
    <row r="71" spans="1:10" s="21" customFormat="1" ht="12" customHeight="1" x14ac:dyDescent="0.2">
      <c r="A71" s="264" t="s">
        <v>65</v>
      </c>
      <c r="B71" s="264"/>
      <c r="C71" s="22">
        <v>4371</v>
      </c>
      <c r="D71" s="22">
        <v>3399</v>
      </c>
      <c r="E71" s="22">
        <v>972</v>
      </c>
      <c r="F71" s="22">
        <v>672</v>
      </c>
      <c r="G71" s="22">
        <v>294</v>
      </c>
      <c r="H71" s="22">
        <v>3</v>
      </c>
      <c r="I71" s="22">
        <v>3</v>
      </c>
      <c r="J71" s="22">
        <v>0</v>
      </c>
    </row>
    <row r="72" spans="1:10" s="21" customFormat="1" ht="12" customHeight="1" x14ac:dyDescent="0.2">
      <c r="A72" s="315" t="s">
        <v>66</v>
      </c>
      <c r="B72" s="315"/>
      <c r="C72" s="28">
        <v>3054</v>
      </c>
      <c r="D72" s="28">
        <v>2318</v>
      </c>
      <c r="E72" s="28">
        <v>736</v>
      </c>
      <c r="F72" s="28">
        <v>501</v>
      </c>
      <c r="G72" s="28">
        <v>235</v>
      </c>
      <c r="H72" s="28">
        <v>0</v>
      </c>
      <c r="I72" s="28">
        <v>0</v>
      </c>
      <c r="J72" s="28">
        <v>0</v>
      </c>
    </row>
    <row r="73" spans="1:10" s="21" customFormat="1" ht="12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 s="21" customFormat="1" ht="12" customHeight="1" x14ac:dyDescent="0.2">
      <c r="A74" s="263" t="s">
        <v>67</v>
      </c>
      <c r="B74" s="263"/>
      <c r="C74" s="20">
        <f t="shared" ref="C74:J74" si="43">SUM(C75:C134)</f>
        <v>143390</v>
      </c>
      <c r="D74" s="20">
        <f t="shared" si="43"/>
        <v>101271</v>
      </c>
      <c r="E74" s="20">
        <f t="shared" si="43"/>
        <v>42119</v>
      </c>
      <c r="F74" s="20">
        <f t="shared" si="43"/>
        <v>26733</v>
      </c>
      <c r="G74" s="20">
        <f t="shared" si="43"/>
        <v>14933</v>
      </c>
      <c r="H74" s="20">
        <f t="shared" si="43"/>
        <v>313</v>
      </c>
      <c r="I74" s="20">
        <f t="shared" si="43"/>
        <v>107</v>
      </c>
      <c r="J74" s="20">
        <f t="shared" si="43"/>
        <v>33</v>
      </c>
    </row>
    <row r="75" spans="1:10" s="21" customFormat="1" ht="12" customHeight="1" x14ac:dyDescent="0.2">
      <c r="A75" s="264" t="s">
        <v>68</v>
      </c>
      <c r="B75" s="264"/>
      <c r="C75" s="22">
        <v>4050</v>
      </c>
      <c r="D75" s="22">
        <v>2794</v>
      </c>
      <c r="E75" s="22">
        <v>1256</v>
      </c>
      <c r="F75" s="22">
        <v>920</v>
      </c>
      <c r="G75" s="22">
        <v>336</v>
      </c>
      <c r="H75" s="22">
        <v>0</v>
      </c>
      <c r="I75" s="22">
        <v>0</v>
      </c>
      <c r="J75" s="22">
        <v>0</v>
      </c>
    </row>
    <row r="76" spans="1:10" s="21" customFormat="1" ht="12" customHeight="1" x14ac:dyDescent="0.2">
      <c r="A76" s="264" t="s">
        <v>69</v>
      </c>
      <c r="B76" s="264"/>
      <c r="C76" s="22">
        <v>1323</v>
      </c>
      <c r="D76" s="22">
        <v>1231</v>
      </c>
      <c r="E76" s="22">
        <v>92</v>
      </c>
      <c r="F76" s="22">
        <v>58</v>
      </c>
      <c r="G76" s="22">
        <v>34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70</v>
      </c>
      <c r="B77" s="264"/>
      <c r="C77" s="22">
        <v>317</v>
      </c>
      <c r="D77" s="22">
        <v>268</v>
      </c>
      <c r="E77" s="22">
        <v>49</v>
      </c>
      <c r="F77" s="22">
        <v>29</v>
      </c>
      <c r="G77" s="22">
        <v>20</v>
      </c>
      <c r="H77" s="22">
        <v>0</v>
      </c>
      <c r="I77" s="22">
        <v>0</v>
      </c>
      <c r="J77" s="22">
        <v>0</v>
      </c>
    </row>
    <row r="78" spans="1:10" s="21" customFormat="1" ht="12" customHeight="1" x14ac:dyDescent="0.2">
      <c r="A78" s="264" t="s">
        <v>71</v>
      </c>
      <c r="B78" s="264"/>
      <c r="C78" s="22">
        <v>954</v>
      </c>
      <c r="D78" s="22">
        <v>835</v>
      </c>
      <c r="E78" s="22">
        <v>119</v>
      </c>
      <c r="F78" s="22">
        <v>89</v>
      </c>
      <c r="G78" s="22">
        <v>30</v>
      </c>
      <c r="H78" s="22">
        <v>0</v>
      </c>
      <c r="I78" s="22">
        <v>0</v>
      </c>
      <c r="J78" s="22">
        <v>0</v>
      </c>
    </row>
    <row r="79" spans="1:10" s="21" customFormat="1" ht="12" customHeight="1" x14ac:dyDescent="0.2">
      <c r="A79" s="264" t="s">
        <v>72</v>
      </c>
      <c r="B79" s="264"/>
      <c r="C79" s="22">
        <v>294</v>
      </c>
      <c r="D79" s="22">
        <v>254</v>
      </c>
      <c r="E79" s="22">
        <v>40</v>
      </c>
      <c r="F79" s="22">
        <v>26</v>
      </c>
      <c r="G79" s="22">
        <v>14</v>
      </c>
      <c r="H79" s="22">
        <v>0</v>
      </c>
      <c r="I79" s="22">
        <v>0</v>
      </c>
      <c r="J79" s="22">
        <v>0</v>
      </c>
    </row>
    <row r="80" spans="1:10" s="21" customFormat="1" ht="12" customHeight="1" x14ac:dyDescent="0.2">
      <c r="A80" s="264" t="s">
        <v>73</v>
      </c>
      <c r="B80" s="264"/>
      <c r="C80" s="22">
        <v>1471</v>
      </c>
      <c r="D80" s="22">
        <v>1216</v>
      </c>
      <c r="E80" s="22">
        <v>255</v>
      </c>
      <c r="F80" s="22">
        <v>213</v>
      </c>
      <c r="G80" s="22">
        <v>42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74</v>
      </c>
      <c r="B81" s="264"/>
      <c r="C81" s="22">
        <v>622</v>
      </c>
      <c r="D81" s="22">
        <v>567</v>
      </c>
      <c r="E81" s="22">
        <v>55</v>
      </c>
      <c r="F81" s="22">
        <v>42</v>
      </c>
      <c r="G81" s="22">
        <v>13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75</v>
      </c>
      <c r="B82" s="264"/>
      <c r="C82" s="22">
        <v>2375</v>
      </c>
      <c r="D82" s="22">
        <v>1959</v>
      </c>
      <c r="E82" s="22">
        <v>416</v>
      </c>
      <c r="F82" s="22">
        <v>312</v>
      </c>
      <c r="G82" s="22">
        <v>102</v>
      </c>
      <c r="H82" s="22">
        <v>2</v>
      </c>
      <c r="I82" s="22">
        <v>0</v>
      </c>
      <c r="J82" s="22">
        <v>0</v>
      </c>
    </row>
    <row r="83" spans="1:10" s="21" customFormat="1" ht="12" customHeight="1" x14ac:dyDescent="0.2">
      <c r="A83" s="264" t="s">
        <v>77</v>
      </c>
      <c r="B83" s="264"/>
      <c r="C83" s="22">
        <v>856</v>
      </c>
      <c r="D83" s="22">
        <v>557</v>
      </c>
      <c r="E83" s="22">
        <v>299</v>
      </c>
      <c r="F83" s="22">
        <v>166</v>
      </c>
      <c r="G83" s="22">
        <v>133</v>
      </c>
      <c r="H83" s="22">
        <v>0</v>
      </c>
      <c r="I83" s="22">
        <v>0</v>
      </c>
      <c r="J83" s="22">
        <v>0</v>
      </c>
    </row>
    <row r="84" spans="1:10" s="21" customFormat="1" ht="12" customHeight="1" x14ac:dyDescent="0.2">
      <c r="A84" s="264" t="s">
        <v>78</v>
      </c>
      <c r="B84" s="264"/>
      <c r="C84" s="22">
        <v>144</v>
      </c>
      <c r="D84" s="22">
        <v>116</v>
      </c>
      <c r="E84" s="22">
        <v>28</v>
      </c>
      <c r="F84" s="22">
        <v>14</v>
      </c>
      <c r="G84" s="22">
        <v>14</v>
      </c>
      <c r="H84" s="22">
        <v>0</v>
      </c>
      <c r="I84" s="22">
        <v>0</v>
      </c>
      <c r="J84" s="22">
        <v>0</v>
      </c>
    </row>
    <row r="85" spans="1:10" s="21" customFormat="1" ht="12" customHeight="1" x14ac:dyDescent="0.2">
      <c r="A85" s="264" t="s">
        <v>79</v>
      </c>
      <c r="B85" s="264"/>
      <c r="C85" s="22">
        <v>457</v>
      </c>
      <c r="D85" s="22">
        <v>392</v>
      </c>
      <c r="E85" s="22">
        <v>65</v>
      </c>
      <c r="F85" s="22">
        <v>29</v>
      </c>
      <c r="G85" s="22">
        <v>36</v>
      </c>
      <c r="H85" s="22">
        <v>0</v>
      </c>
      <c r="I85" s="22">
        <v>0</v>
      </c>
      <c r="J85" s="22">
        <v>0</v>
      </c>
    </row>
    <row r="86" spans="1:10" s="21" customFormat="1" ht="12" customHeight="1" x14ac:dyDescent="0.2">
      <c r="A86" s="264" t="s">
        <v>80</v>
      </c>
      <c r="B86" s="264"/>
      <c r="C86" s="22">
        <v>722</v>
      </c>
      <c r="D86" s="22">
        <v>600</v>
      </c>
      <c r="E86" s="22">
        <v>122</v>
      </c>
      <c r="F86" s="22">
        <v>72</v>
      </c>
      <c r="G86" s="22">
        <v>50</v>
      </c>
      <c r="H86" s="22">
        <v>0</v>
      </c>
      <c r="I86" s="22">
        <v>0</v>
      </c>
      <c r="J86" s="22">
        <v>0</v>
      </c>
    </row>
    <row r="87" spans="1:10" s="21" customFormat="1" ht="12" customHeight="1" x14ac:dyDescent="0.2">
      <c r="A87" s="264" t="s">
        <v>81</v>
      </c>
      <c r="B87" s="264"/>
      <c r="C87" s="22">
        <v>1446</v>
      </c>
      <c r="D87" s="22">
        <v>1037</v>
      </c>
      <c r="E87" s="22">
        <v>409</v>
      </c>
      <c r="F87" s="22">
        <v>344</v>
      </c>
      <c r="G87" s="22">
        <v>60</v>
      </c>
      <c r="H87" s="22">
        <v>3</v>
      </c>
      <c r="I87" s="22">
        <v>2</v>
      </c>
      <c r="J87" s="22">
        <v>0</v>
      </c>
    </row>
    <row r="88" spans="1:10" s="21" customFormat="1" ht="12" customHeight="1" x14ac:dyDescent="0.2">
      <c r="A88" s="264" t="s">
        <v>82</v>
      </c>
      <c r="B88" s="264"/>
      <c r="C88" s="22">
        <v>2037</v>
      </c>
      <c r="D88" s="22">
        <v>1699</v>
      </c>
      <c r="E88" s="22">
        <v>338</v>
      </c>
      <c r="F88" s="22">
        <v>225</v>
      </c>
      <c r="G88" s="22">
        <v>101</v>
      </c>
      <c r="H88" s="22">
        <v>0</v>
      </c>
      <c r="I88" s="22">
        <v>12</v>
      </c>
      <c r="J88" s="22">
        <v>0</v>
      </c>
    </row>
    <row r="89" spans="1:10" s="21" customFormat="1" ht="12" customHeight="1" x14ac:dyDescent="0.2">
      <c r="A89" s="264" t="s">
        <v>84</v>
      </c>
      <c r="B89" s="264"/>
      <c r="C89" s="22">
        <v>1947</v>
      </c>
      <c r="D89" s="22">
        <v>1578</v>
      </c>
      <c r="E89" s="22">
        <v>369</v>
      </c>
      <c r="F89" s="22">
        <v>246</v>
      </c>
      <c r="G89" s="22">
        <v>115</v>
      </c>
      <c r="H89" s="22">
        <v>8</v>
      </c>
      <c r="I89" s="22">
        <v>0</v>
      </c>
      <c r="J89" s="22">
        <v>0</v>
      </c>
    </row>
    <row r="90" spans="1:10" s="21" customFormat="1" ht="12" customHeight="1" x14ac:dyDescent="0.2">
      <c r="A90" s="264" t="s">
        <v>85</v>
      </c>
      <c r="B90" s="264"/>
      <c r="C90" s="22">
        <v>6306</v>
      </c>
      <c r="D90" s="22">
        <v>5625</v>
      </c>
      <c r="E90" s="22">
        <v>681</v>
      </c>
      <c r="F90" s="22">
        <v>465</v>
      </c>
      <c r="G90" s="22">
        <v>216</v>
      </c>
      <c r="H90" s="22">
        <v>0</v>
      </c>
      <c r="I90" s="22">
        <v>0</v>
      </c>
      <c r="J90" s="22">
        <v>0</v>
      </c>
    </row>
    <row r="91" spans="1:10" s="21" customFormat="1" ht="12" customHeight="1" x14ac:dyDescent="0.2">
      <c r="A91" s="264" t="s">
        <v>86</v>
      </c>
      <c r="B91" s="264"/>
      <c r="C91" s="22">
        <v>110</v>
      </c>
      <c r="D91" s="22">
        <v>89</v>
      </c>
      <c r="E91" s="22">
        <v>21</v>
      </c>
      <c r="F91" s="22">
        <v>9</v>
      </c>
      <c r="G91" s="22">
        <v>12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87</v>
      </c>
      <c r="B92" s="264"/>
      <c r="C92" s="22">
        <v>827</v>
      </c>
      <c r="D92" s="22">
        <v>651</v>
      </c>
      <c r="E92" s="22">
        <v>176</v>
      </c>
      <c r="F92" s="22">
        <v>108</v>
      </c>
      <c r="G92" s="22">
        <v>68</v>
      </c>
      <c r="H92" s="22">
        <v>0</v>
      </c>
      <c r="I92" s="22">
        <v>0</v>
      </c>
      <c r="J92" s="22">
        <v>0</v>
      </c>
    </row>
    <row r="93" spans="1:10" s="21" customFormat="1" ht="12" customHeight="1" x14ac:dyDescent="0.2">
      <c r="A93" s="264" t="s">
        <v>88</v>
      </c>
      <c r="B93" s="264"/>
      <c r="C93" s="22">
        <v>4090</v>
      </c>
      <c r="D93" s="22">
        <v>2961</v>
      </c>
      <c r="E93" s="22">
        <v>1129</v>
      </c>
      <c r="F93" s="22">
        <v>820</v>
      </c>
      <c r="G93" s="22">
        <v>308</v>
      </c>
      <c r="H93" s="22">
        <v>1</v>
      </c>
      <c r="I93" s="22">
        <v>0</v>
      </c>
      <c r="J93" s="22">
        <v>0</v>
      </c>
    </row>
    <row r="94" spans="1:10" s="21" customFormat="1" ht="12" customHeight="1" x14ac:dyDescent="0.2">
      <c r="A94" s="264" t="s">
        <v>89</v>
      </c>
      <c r="B94" s="264"/>
      <c r="C94" s="22">
        <v>60</v>
      </c>
      <c r="D94" s="22">
        <v>50</v>
      </c>
      <c r="E94" s="22">
        <v>10</v>
      </c>
      <c r="F94" s="22">
        <v>8</v>
      </c>
      <c r="G94" s="22">
        <v>2</v>
      </c>
      <c r="H94" s="22">
        <v>0</v>
      </c>
      <c r="I94" s="22">
        <v>0</v>
      </c>
      <c r="J94" s="22">
        <v>0</v>
      </c>
    </row>
    <row r="95" spans="1:10" s="21" customFormat="1" ht="12" customHeight="1" x14ac:dyDescent="0.2">
      <c r="A95" s="264" t="s">
        <v>90</v>
      </c>
      <c r="B95" s="264"/>
      <c r="C95" s="22">
        <v>115</v>
      </c>
      <c r="D95" s="22">
        <v>111</v>
      </c>
      <c r="E95" s="22">
        <v>4</v>
      </c>
      <c r="F95" s="22">
        <v>3</v>
      </c>
      <c r="G95" s="22">
        <v>1</v>
      </c>
      <c r="H95" s="22">
        <v>0</v>
      </c>
      <c r="I95" s="22">
        <v>0</v>
      </c>
      <c r="J95" s="22">
        <v>0</v>
      </c>
    </row>
    <row r="96" spans="1:10" s="21" customFormat="1" ht="12" customHeight="1" x14ac:dyDescent="0.2">
      <c r="A96" s="264" t="s">
        <v>91</v>
      </c>
      <c r="B96" s="264"/>
      <c r="C96" s="22">
        <v>4338</v>
      </c>
      <c r="D96" s="22">
        <v>3138</v>
      </c>
      <c r="E96" s="22">
        <v>1200</v>
      </c>
      <c r="F96" s="22">
        <v>606</v>
      </c>
      <c r="G96" s="22">
        <v>590</v>
      </c>
      <c r="H96" s="22">
        <v>4</v>
      </c>
      <c r="I96" s="22">
        <v>0</v>
      </c>
      <c r="J96" s="22">
        <v>0</v>
      </c>
    </row>
    <row r="97" spans="1:10" s="21" customFormat="1" ht="12" customHeight="1" x14ac:dyDescent="0.2">
      <c r="A97" s="264" t="s">
        <v>92</v>
      </c>
      <c r="B97" s="264"/>
      <c r="C97" s="22">
        <v>2000</v>
      </c>
      <c r="D97" s="22">
        <v>1779</v>
      </c>
      <c r="E97" s="22">
        <v>221</v>
      </c>
      <c r="F97" s="22">
        <v>168</v>
      </c>
      <c r="G97" s="22">
        <v>53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93</v>
      </c>
      <c r="B98" s="264"/>
      <c r="C98" s="22">
        <v>857</v>
      </c>
      <c r="D98" s="22">
        <v>715</v>
      </c>
      <c r="E98" s="22">
        <v>142</v>
      </c>
      <c r="F98" s="22">
        <v>107</v>
      </c>
      <c r="G98" s="22">
        <v>35</v>
      </c>
      <c r="H98" s="22">
        <v>0</v>
      </c>
      <c r="I98" s="22">
        <v>0</v>
      </c>
      <c r="J98" s="22">
        <v>0</v>
      </c>
    </row>
    <row r="99" spans="1:10" s="21" customFormat="1" ht="12" customHeight="1" x14ac:dyDescent="0.2">
      <c r="A99" s="264" t="s">
        <v>94</v>
      </c>
      <c r="B99" s="264"/>
      <c r="C99" s="22">
        <v>1315</v>
      </c>
      <c r="D99" s="22">
        <v>1128</v>
      </c>
      <c r="E99" s="22">
        <v>187</v>
      </c>
      <c r="F99" s="22">
        <v>123</v>
      </c>
      <c r="G99" s="22">
        <v>64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95</v>
      </c>
      <c r="B100" s="264"/>
      <c r="C100" s="22">
        <v>517</v>
      </c>
      <c r="D100" s="22">
        <v>447</v>
      </c>
      <c r="E100" s="22">
        <v>70</v>
      </c>
      <c r="F100" s="22">
        <v>52</v>
      </c>
      <c r="G100" s="22">
        <v>18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96</v>
      </c>
      <c r="B101" s="264"/>
      <c r="C101" s="22">
        <v>479</v>
      </c>
      <c r="D101" s="22">
        <v>328</v>
      </c>
      <c r="E101" s="22">
        <v>151</v>
      </c>
      <c r="F101" s="22">
        <v>122</v>
      </c>
      <c r="G101" s="22">
        <v>29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97</v>
      </c>
      <c r="B102" s="264"/>
      <c r="C102" s="22">
        <v>1149</v>
      </c>
      <c r="D102" s="22">
        <v>962</v>
      </c>
      <c r="E102" s="22">
        <v>187</v>
      </c>
      <c r="F102" s="22">
        <v>141</v>
      </c>
      <c r="G102" s="22">
        <v>46</v>
      </c>
      <c r="H102" s="22">
        <v>0</v>
      </c>
      <c r="I102" s="22">
        <v>0</v>
      </c>
      <c r="J102" s="22">
        <v>0</v>
      </c>
    </row>
    <row r="103" spans="1:10" s="21" customFormat="1" ht="12" customHeight="1" x14ac:dyDescent="0.2">
      <c r="A103" s="264" t="s">
        <v>98</v>
      </c>
      <c r="B103" s="264"/>
      <c r="C103" s="22">
        <v>1676</v>
      </c>
      <c r="D103" s="22">
        <v>1020</v>
      </c>
      <c r="E103" s="22">
        <v>656</v>
      </c>
      <c r="F103" s="22">
        <v>534</v>
      </c>
      <c r="G103" s="22">
        <v>121</v>
      </c>
      <c r="H103" s="22">
        <v>1</v>
      </c>
      <c r="I103" s="22">
        <v>0</v>
      </c>
      <c r="J103" s="22">
        <v>0</v>
      </c>
    </row>
    <row r="104" spans="1:10" s="21" customFormat="1" ht="12" customHeight="1" x14ac:dyDescent="0.2">
      <c r="A104" s="264" t="s">
        <v>99</v>
      </c>
      <c r="B104" s="264"/>
      <c r="C104" s="22">
        <v>55151</v>
      </c>
      <c r="D104" s="22">
        <v>34034</v>
      </c>
      <c r="E104" s="22">
        <v>21117</v>
      </c>
      <c r="F104" s="22">
        <v>12757</v>
      </c>
      <c r="G104" s="22">
        <v>8055</v>
      </c>
      <c r="H104" s="22">
        <v>229</v>
      </c>
      <c r="I104" s="22">
        <v>50</v>
      </c>
      <c r="J104" s="22">
        <v>26</v>
      </c>
    </row>
    <row r="105" spans="1:10" s="21" customFormat="1" ht="12" customHeight="1" x14ac:dyDescent="0.2">
      <c r="A105" s="264" t="s">
        <v>100</v>
      </c>
      <c r="B105" s="264"/>
      <c r="C105" s="22">
        <v>1450</v>
      </c>
      <c r="D105" s="22">
        <v>1144</v>
      </c>
      <c r="E105" s="22">
        <v>306</v>
      </c>
      <c r="F105" s="22">
        <v>227</v>
      </c>
      <c r="G105" s="22">
        <v>79</v>
      </c>
      <c r="H105" s="22">
        <v>0</v>
      </c>
      <c r="I105" s="22">
        <v>0</v>
      </c>
      <c r="J105" s="22">
        <v>0</v>
      </c>
    </row>
    <row r="106" spans="1:10" s="21" customFormat="1" ht="12" customHeight="1" x14ac:dyDescent="0.2">
      <c r="A106" s="264" t="s">
        <v>101</v>
      </c>
      <c r="B106" s="264"/>
      <c r="C106" s="22">
        <v>1246</v>
      </c>
      <c r="D106" s="22">
        <v>1012</v>
      </c>
      <c r="E106" s="22">
        <v>234</v>
      </c>
      <c r="F106" s="22">
        <v>186</v>
      </c>
      <c r="G106" s="22">
        <v>47</v>
      </c>
      <c r="H106" s="22">
        <v>1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102</v>
      </c>
      <c r="B107" s="264"/>
      <c r="C107" s="22">
        <v>542</v>
      </c>
      <c r="D107" s="22">
        <v>396</v>
      </c>
      <c r="E107" s="22">
        <v>146</v>
      </c>
      <c r="F107" s="22">
        <v>98</v>
      </c>
      <c r="G107" s="22">
        <v>48</v>
      </c>
      <c r="H107" s="22">
        <v>0</v>
      </c>
      <c r="I107" s="22">
        <v>0</v>
      </c>
      <c r="J107" s="22">
        <v>0</v>
      </c>
    </row>
    <row r="108" spans="1:10" s="21" customFormat="1" ht="12" customHeight="1" x14ac:dyDescent="0.2">
      <c r="A108" s="264" t="s">
        <v>103</v>
      </c>
      <c r="B108" s="264"/>
      <c r="C108" s="22">
        <v>5886</v>
      </c>
      <c r="D108" s="22">
        <v>3548</v>
      </c>
      <c r="E108" s="22">
        <v>2338</v>
      </c>
      <c r="F108" s="22">
        <v>1528</v>
      </c>
      <c r="G108" s="22">
        <v>765</v>
      </c>
      <c r="H108" s="22">
        <v>27</v>
      </c>
      <c r="I108" s="22">
        <v>11</v>
      </c>
      <c r="J108" s="22">
        <v>7</v>
      </c>
    </row>
    <row r="109" spans="1:10" s="21" customFormat="1" ht="12" customHeight="1" x14ac:dyDescent="0.2">
      <c r="A109" s="264" t="s">
        <v>104</v>
      </c>
      <c r="B109" s="264"/>
      <c r="C109" s="22">
        <v>1325</v>
      </c>
      <c r="D109" s="22">
        <v>999</v>
      </c>
      <c r="E109" s="22">
        <v>326</v>
      </c>
      <c r="F109" s="22">
        <v>204</v>
      </c>
      <c r="G109" s="22">
        <v>122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105</v>
      </c>
      <c r="B110" s="264"/>
      <c r="C110" s="22">
        <v>1658</v>
      </c>
      <c r="D110" s="22">
        <v>1094</v>
      </c>
      <c r="E110" s="22">
        <v>564</v>
      </c>
      <c r="F110" s="22">
        <v>379</v>
      </c>
      <c r="G110" s="22">
        <v>185</v>
      </c>
      <c r="H110" s="22">
        <v>0</v>
      </c>
      <c r="I110" s="22">
        <v>0</v>
      </c>
      <c r="J110" s="22">
        <v>0</v>
      </c>
    </row>
    <row r="111" spans="1:10" s="21" customFormat="1" ht="12" customHeight="1" x14ac:dyDescent="0.2">
      <c r="A111" s="264" t="s">
        <v>106</v>
      </c>
      <c r="B111" s="264"/>
      <c r="C111" s="22">
        <v>1254</v>
      </c>
      <c r="D111" s="22">
        <v>1065</v>
      </c>
      <c r="E111" s="22">
        <v>189</v>
      </c>
      <c r="F111" s="22">
        <v>137</v>
      </c>
      <c r="G111" s="22">
        <v>52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107</v>
      </c>
      <c r="B112" s="264"/>
      <c r="C112" s="22">
        <v>269</v>
      </c>
      <c r="D112" s="22">
        <v>240</v>
      </c>
      <c r="E112" s="22">
        <v>29</v>
      </c>
      <c r="F112" s="22">
        <v>19</v>
      </c>
      <c r="G112" s="22">
        <v>10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336</v>
      </c>
      <c r="B113" s="264"/>
      <c r="C113" s="22">
        <v>4318</v>
      </c>
      <c r="D113" s="22">
        <v>3329</v>
      </c>
      <c r="E113" s="22">
        <v>989</v>
      </c>
      <c r="F113" s="22">
        <v>560</v>
      </c>
      <c r="G113" s="22">
        <v>429</v>
      </c>
      <c r="H113" s="22">
        <v>0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108</v>
      </c>
      <c r="B114" s="264"/>
      <c r="C114" s="22">
        <v>886</v>
      </c>
      <c r="D114" s="22">
        <v>726</v>
      </c>
      <c r="E114" s="22">
        <v>160</v>
      </c>
      <c r="F114" s="22">
        <v>102</v>
      </c>
      <c r="G114" s="22">
        <v>58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109</v>
      </c>
      <c r="B115" s="264"/>
      <c r="C115" s="22">
        <v>726</v>
      </c>
      <c r="D115" s="22">
        <v>442</v>
      </c>
      <c r="E115" s="22">
        <v>284</v>
      </c>
      <c r="F115" s="22">
        <v>162</v>
      </c>
      <c r="G115" s="22">
        <v>122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110</v>
      </c>
      <c r="B116" s="264"/>
      <c r="C116" s="22">
        <v>730</v>
      </c>
      <c r="D116" s="22">
        <v>612</v>
      </c>
      <c r="E116" s="22">
        <v>118</v>
      </c>
      <c r="F116" s="22">
        <v>98</v>
      </c>
      <c r="G116" s="22">
        <v>20</v>
      </c>
      <c r="H116" s="22">
        <v>0</v>
      </c>
      <c r="I116" s="22">
        <v>0</v>
      </c>
      <c r="J116" s="22">
        <v>0</v>
      </c>
    </row>
    <row r="117" spans="1:10" s="21" customFormat="1" ht="12" customHeight="1" x14ac:dyDescent="0.2">
      <c r="A117" s="264" t="s">
        <v>111</v>
      </c>
      <c r="B117" s="264"/>
      <c r="C117" s="22">
        <v>330</v>
      </c>
      <c r="D117" s="22">
        <v>287</v>
      </c>
      <c r="E117" s="22">
        <v>43</v>
      </c>
      <c r="F117" s="22">
        <v>38</v>
      </c>
      <c r="G117" s="22">
        <v>5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112</v>
      </c>
      <c r="B118" s="264"/>
      <c r="C118" s="22">
        <v>811</v>
      </c>
      <c r="D118" s="22">
        <v>735</v>
      </c>
      <c r="E118" s="22">
        <v>76</v>
      </c>
      <c r="F118" s="22">
        <v>45</v>
      </c>
      <c r="G118" s="22">
        <v>31</v>
      </c>
      <c r="H118" s="22">
        <v>0</v>
      </c>
      <c r="I118" s="22">
        <v>0</v>
      </c>
      <c r="J118" s="22">
        <v>0</v>
      </c>
    </row>
    <row r="119" spans="1:10" s="21" customFormat="1" ht="12" customHeight="1" x14ac:dyDescent="0.2">
      <c r="A119" s="264" t="s">
        <v>113</v>
      </c>
      <c r="B119" s="264"/>
      <c r="C119" s="22">
        <v>1383</v>
      </c>
      <c r="D119" s="22">
        <v>1147</v>
      </c>
      <c r="E119" s="22">
        <v>236</v>
      </c>
      <c r="F119" s="22">
        <v>153</v>
      </c>
      <c r="G119" s="22">
        <v>83</v>
      </c>
      <c r="H119" s="22">
        <v>0</v>
      </c>
      <c r="I119" s="22">
        <v>0</v>
      </c>
      <c r="J119" s="22">
        <v>0</v>
      </c>
    </row>
    <row r="120" spans="1:10" s="21" customFormat="1" ht="12" customHeight="1" x14ac:dyDescent="0.2">
      <c r="A120" s="264" t="s">
        <v>114</v>
      </c>
      <c r="B120" s="264"/>
      <c r="C120" s="22">
        <v>3654</v>
      </c>
      <c r="D120" s="22">
        <v>1747</v>
      </c>
      <c r="E120" s="22">
        <v>1907</v>
      </c>
      <c r="F120" s="22">
        <v>1054</v>
      </c>
      <c r="G120" s="22">
        <v>800</v>
      </c>
      <c r="H120" s="22">
        <v>31</v>
      </c>
      <c r="I120" s="22">
        <v>22</v>
      </c>
      <c r="J120" s="22">
        <v>0</v>
      </c>
    </row>
    <row r="121" spans="1:10" s="21" customFormat="1" ht="12" customHeight="1" x14ac:dyDescent="0.2">
      <c r="A121" s="264" t="s">
        <v>115</v>
      </c>
      <c r="B121" s="264"/>
      <c r="C121" s="22">
        <v>1741</v>
      </c>
      <c r="D121" s="22">
        <v>1510</v>
      </c>
      <c r="E121" s="22">
        <v>231</v>
      </c>
      <c r="F121" s="22">
        <v>175</v>
      </c>
      <c r="G121" s="22">
        <v>56</v>
      </c>
      <c r="H121" s="22">
        <v>0</v>
      </c>
      <c r="I121" s="22">
        <v>0</v>
      </c>
      <c r="J121" s="22">
        <v>0</v>
      </c>
    </row>
    <row r="122" spans="1:10" s="21" customFormat="1" ht="12" customHeight="1" x14ac:dyDescent="0.2">
      <c r="A122" s="264" t="s">
        <v>116</v>
      </c>
      <c r="B122" s="264"/>
      <c r="C122" s="22">
        <v>776</v>
      </c>
      <c r="D122" s="22">
        <v>568</v>
      </c>
      <c r="E122" s="22">
        <v>208</v>
      </c>
      <c r="F122" s="22">
        <v>154</v>
      </c>
      <c r="G122" s="22">
        <v>54</v>
      </c>
      <c r="H122" s="22">
        <v>0</v>
      </c>
      <c r="I122" s="22">
        <v>0</v>
      </c>
      <c r="J122" s="22">
        <v>0</v>
      </c>
    </row>
    <row r="123" spans="1:10" s="21" customFormat="1" ht="12" customHeight="1" x14ac:dyDescent="0.2">
      <c r="A123" s="264" t="s">
        <v>117</v>
      </c>
      <c r="B123" s="264"/>
      <c r="C123" s="22">
        <v>1494</v>
      </c>
      <c r="D123" s="22">
        <v>1169</v>
      </c>
      <c r="E123" s="22">
        <v>325</v>
      </c>
      <c r="F123" s="22">
        <v>211</v>
      </c>
      <c r="G123" s="22">
        <v>114</v>
      </c>
      <c r="H123" s="22">
        <v>0</v>
      </c>
      <c r="I123" s="22">
        <v>0</v>
      </c>
      <c r="J123" s="22">
        <v>0</v>
      </c>
    </row>
    <row r="124" spans="1:10" s="21" customFormat="1" ht="12" customHeight="1" x14ac:dyDescent="0.2">
      <c r="A124" s="264" t="s">
        <v>118</v>
      </c>
      <c r="B124" s="264"/>
      <c r="C124" s="22">
        <v>1320</v>
      </c>
      <c r="D124" s="22">
        <v>1061</v>
      </c>
      <c r="E124" s="22">
        <v>259</v>
      </c>
      <c r="F124" s="22">
        <v>182</v>
      </c>
      <c r="G124" s="22">
        <v>77</v>
      </c>
      <c r="H124" s="22">
        <v>0</v>
      </c>
      <c r="I124" s="22">
        <v>0</v>
      </c>
      <c r="J124" s="22">
        <v>0</v>
      </c>
    </row>
    <row r="125" spans="1:10" s="21" customFormat="1" ht="12" customHeight="1" x14ac:dyDescent="0.2">
      <c r="A125" s="264" t="s">
        <v>120</v>
      </c>
      <c r="B125" s="264"/>
      <c r="C125" s="22">
        <v>728</v>
      </c>
      <c r="D125" s="22">
        <v>617</v>
      </c>
      <c r="E125" s="22">
        <v>111</v>
      </c>
      <c r="F125" s="22">
        <v>71</v>
      </c>
      <c r="G125" s="22">
        <v>40</v>
      </c>
      <c r="H125" s="22">
        <v>0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121</v>
      </c>
      <c r="B126" s="264"/>
      <c r="C126" s="22">
        <v>2111</v>
      </c>
      <c r="D126" s="22">
        <v>1454</v>
      </c>
      <c r="E126" s="22">
        <v>657</v>
      </c>
      <c r="F126" s="22">
        <v>431</v>
      </c>
      <c r="G126" s="22">
        <v>225</v>
      </c>
      <c r="H126" s="22">
        <v>0</v>
      </c>
      <c r="I126" s="22">
        <v>1</v>
      </c>
      <c r="J126" s="22">
        <v>0</v>
      </c>
    </row>
    <row r="127" spans="1:10" s="21" customFormat="1" ht="12" customHeight="1" x14ac:dyDescent="0.2">
      <c r="A127" s="264" t="s">
        <v>122</v>
      </c>
      <c r="B127" s="264"/>
      <c r="C127" s="22">
        <v>671</v>
      </c>
      <c r="D127" s="22">
        <v>542</v>
      </c>
      <c r="E127" s="22">
        <v>129</v>
      </c>
      <c r="F127" s="22">
        <v>96</v>
      </c>
      <c r="G127" s="22">
        <v>33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124</v>
      </c>
      <c r="B128" s="264"/>
      <c r="C128" s="22">
        <v>1852</v>
      </c>
      <c r="D128" s="22">
        <v>1678</v>
      </c>
      <c r="E128" s="22">
        <v>174</v>
      </c>
      <c r="F128" s="22">
        <v>128</v>
      </c>
      <c r="G128" s="22">
        <v>46</v>
      </c>
      <c r="H128" s="22">
        <v>0</v>
      </c>
      <c r="I128" s="22">
        <v>0</v>
      </c>
      <c r="J128" s="22">
        <v>0</v>
      </c>
    </row>
    <row r="129" spans="1:10" s="21" customFormat="1" ht="12" customHeight="1" x14ac:dyDescent="0.2">
      <c r="A129" s="264" t="s">
        <v>125</v>
      </c>
      <c r="B129" s="264"/>
      <c r="C129" s="22">
        <v>1709</v>
      </c>
      <c r="D129" s="22">
        <v>1128</v>
      </c>
      <c r="E129" s="22">
        <v>581</v>
      </c>
      <c r="F129" s="22">
        <v>217</v>
      </c>
      <c r="G129" s="22">
        <v>364</v>
      </c>
      <c r="H129" s="22">
        <v>0</v>
      </c>
      <c r="I129" s="22">
        <v>0</v>
      </c>
      <c r="J129" s="22">
        <v>0</v>
      </c>
    </row>
    <row r="130" spans="1:10" s="21" customFormat="1" ht="12" customHeight="1" x14ac:dyDescent="0.2">
      <c r="A130" s="264" t="s">
        <v>126</v>
      </c>
      <c r="B130" s="264"/>
      <c r="C130" s="22">
        <v>3034</v>
      </c>
      <c r="D130" s="22">
        <v>2182</v>
      </c>
      <c r="E130" s="22">
        <v>852</v>
      </c>
      <c r="F130" s="22">
        <v>726</v>
      </c>
      <c r="G130" s="22">
        <v>117</v>
      </c>
      <c r="H130" s="22">
        <v>1</v>
      </c>
      <c r="I130" s="22">
        <v>8</v>
      </c>
      <c r="J130" s="22">
        <v>0</v>
      </c>
    </row>
    <row r="131" spans="1:10" s="21" customFormat="1" ht="12" customHeight="1" x14ac:dyDescent="0.2">
      <c r="A131" s="264" t="s">
        <v>127</v>
      </c>
      <c r="B131" s="264"/>
      <c r="C131" s="22">
        <v>629</v>
      </c>
      <c r="D131" s="22">
        <v>585</v>
      </c>
      <c r="E131" s="22">
        <v>44</v>
      </c>
      <c r="F131" s="22">
        <v>29</v>
      </c>
      <c r="G131" s="22">
        <v>15</v>
      </c>
      <c r="H131" s="22">
        <v>0</v>
      </c>
      <c r="I131" s="22">
        <v>0</v>
      </c>
      <c r="J131" s="22">
        <v>0</v>
      </c>
    </row>
    <row r="132" spans="1:10" s="21" customFormat="1" ht="12" customHeight="1" x14ac:dyDescent="0.2">
      <c r="A132" s="264" t="s">
        <v>128</v>
      </c>
      <c r="B132" s="264"/>
      <c r="C132" s="22">
        <v>575</v>
      </c>
      <c r="D132" s="22">
        <v>462</v>
      </c>
      <c r="E132" s="22">
        <v>113</v>
      </c>
      <c r="F132" s="22">
        <v>66</v>
      </c>
      <c r="G132" s="22">
        <v>47</v>
      </c>
      <c r="H132" s="22">
        <v>0</v>
      </c>
      <c r="I132" s="22">
        <v>0</v>
      </c>
      <c r="J132" s="22">
        <v>0</v>
      </c>
    </row>
    <row r="133" spans="1:10" s="21" customFormat="1" ht="12" customHeight="1" x14ac:dyDescent="0.2">
      <c r="A133" s="264" t="s">
        <v>129</v>
      </c>
      <c r="B133" s="264"/>
      <c r="C133" s="22">
        <v>1917</v>
      </c>
      <c r="D133" s="22">
        <v>1441</v>
      </c>
      <c r="E133" s="22">
        <v>476</v>
      </c>
      <c r="F133" s="22">
        <v>384</v>
      </c>
      <c r="G133" s="22">
        <v>86</v>
      </c>
      <c r="H133" s="22">
        <v>5</v>
      </c>
      <c r="I133" s="22">
        <v>1</v>
      </c>
      <c r="J133" s="22">
        <v>0</v>
      </c>
    </row>
    <row r="134" spans="1:10" s="21" customFormat="1" ht="12" customHeight="1" x14ac:dyDescent="0.2">
      <c r="A134" s="315" t="s">
        <v>130</v>
      </c>
      <c r="B134" s="315"/>
      <c r="C134" s="28">
        <v>360</v>
      </c>
      <c r="D134" s="28">
        <v>210</v>
      </c>
      <c r="E134" s="28">
        <v>150</v>
      </c>
      <c r="F134" s="28">
        <v>65</v>
      </c>
      <c r="G134" s="28">
        <v>85</v>
      </c>
      <c r="H134" s="28">
        <v>0</v>
      </c>
      <c r="I134" s="28">
        <v>0</v>
      </c>
      <c r="J134" s="28">
        <v>0</v>
      </c>
    </row>
    <row r="135" spans="1:10" s="21" customFormat="1" ht="12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spans="1:10" s="21" customFormat="1" ht="12" customHeight="1" x14ac:dyDescent="0.2">
      <c r="A136" s="263" t="s">
        <v>131</v>
      </c>
      <c r="B136" s="263"/>
      <c r="C136" s="20">
        <f t="shared" ref="C136:J136" si="44">SUM(C137:C165)</f>
        <v>62275</v>
      </c>
      <c r="D136" s="20">
        <f t="shared" si="44"/>
        <v>47255</v>
      </c>
      <c r="E136" s="20">
        <f t="shared" si="44"/>
        <v>15020</v>
      </c>
      <c r="F136" s="20">
        <f t="shared" si="44"/>
        <v>10736</v>
      </c>
      <c r="G136" s="20">
        <f t="shared" si="44"/>
        <v>4197</v>
      </c>
      <c r="H136" s="20">
        <f t="shared" si="44"/>
        <v>68</v>
      </c>
      <c r="I136" s="20">
        <f t="shared" si="44"/>
        <v>19</v>
      </c>
      <c r="J136" s="20">
        <f t="shared" si="44"/>
        <v>0</v>
      </c>
    </row>
    <row r="137" spans="1:10" s="21" customFormat="1" ht="12" customHeight="1" x14ac:dyDescent="0.2">
      <c r="A137" s="264" t="s">
        <v>132</v>
      </c>
      <c r="B137" s="264"/>
      <c r="C137" s="22">
        <v>5453</v>
      </c>
      <c r="D137" s="22">
        <v>3899</v>
      </c>
      <c r="E137" s="22">
        <v>1554</v>
      </c>
      <c r="F137" s="22">
        <v>1023</v>
      </c>
      <c r="G137" s="22">
        <v>531</v>
      </c>
      <c r="H137" s="22">
        <v>0</v>
      </c>
      <c r="I137" s="22">
        <v>0</v>
      </c>
      <c r="J137" s="22">
        <v>0</v>
      </c>
    </row>
    <row r="138" spans="1:10" s="21" customFormat="1" ht="12" customHeight="1" x14ac:dyDescent="0.2">
      <c r="A138" s="264" t="s">
        <v>133</v>
      </c>
      <c r="B138" s="264"/>
      <c r="C138" s="22">
        <v>201</v>
      </c>
      <c r="D138" s="22">
        <v>190</v>
      </c>
      <c r="E138" s="22">
        <v>11</v>
      </c>
      <c r="F138" s="22">
        <v>9</v>
      </c>
      <c r="G138" s="22">
        <v>2</v>
      </c>
      <c r="H138" s="22">
        <v>0</v>
      </c>
      <c r="I138" s="22">
        <v>0</v>
      </c>
      <c r="J138" s="22">
        <v>0</v>
      </c>
    </row>
    <row r="139" spans="1:10" s="21" customFormat="1" ht="12" customHeight="1" x14ac:dyDescent="0.2">
      <c r="A139" s="264" t="s">
        <v>134</v>
      </c>
      <c r="B139" s="264"/>
      <c r="C139" s="22">
        <v>525</v>
      </c>
      <c r="D139" s="22">
        <v>441</v>
      </c>
      <c r="E139" s="22">
        <v>84</v>
      </c>
      <c r="F139" s="22">
        <v>53</v>
      </c>
      <c r="G139" s="22">
        <v>31</v>
      </c>
      <c r="H139" s="22">
        <v>0</v>
      </c>
      <c r="I139" s="22">
        <v>0</v>
      </c>
      <c r="J139" s="22">
        <v>0</v>
      </c>
    </row>
    <row r="140" spans="1:10" s="21" customFormat="1" ht="12" customHeight="1" x14ac:dyDescent="0.2">
      <c r="A140" s="264" t="s">
        <v>135</v>
      </c>
      <c r="B140" s="264"/>
      <c r="C140" s="22">
        <v>1852</v>
      </c>
      <c r="D140" s="22">
        <v>1483</v>
      </c>
      <c r="E140" s="22">
        <v>369</v>
      </c>
      <c r="F140" s="22">
        <v>219</v>
      </c>
      <c r="G140" s="22">
        <v>144</v>
      </c>
      <c r="H140" s="22">
        <v>2</v>
      </c>
      <c r="I140" s="22">
        <v>4</v>
      </c>
      <c r="J140" s="22">
        <v>0</v>
      </c>
    </row>
    <row r="141" spans="1:10" s="21" customFormat="1" ht="12" customHeight="1" x14ac:dyDescent="0.2">
      <c r="A141" s="264" t="s">
        <v>137</v>
      </c>
      <c r="B141" s="264"/>
      <c r="C141" s="22">
        <v>697</v>
      </c>
      <c r="D141" s="22">
        <v>651</v>
      </c>
      <c r="E141" s="22">
        <v>46</v>
      </c>
      <c r="F141" s="22">
        <v>32</v>
      </c>
      <c r="G141" s="22">
        <v>14</v>
      </c>
      <c r="H141" s="22">
        <v>0</v>
      </c>
      <c r="I141" s="22">
        <v>0</v>
      </c>
      <c r="J141" s="22">
        <v>0</v>
      </c>
    </row>
    <row r="142" spans="1:10" s="21" customFormat="1" ht="12" customHeight="1" x14ac:dyDescent="0.2">
      <c r="A142" s="264" t="s">
        <v>138</v>
      </c>
      <c r="B142" s="264"/>
      <c r="C142" s="22">
        <v>1166</v>
      </c>
      <c r="D142" s="22">
        <v>1058</v>
      </c>
      <c r="E142" s="22">
        <v>108</v>
      </c>
      <c r="F142" s="22">
        <v>78</v>
      </c>
      <c r="G142" s="22">
        <v>30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140</v>
      </c>
      <c r="B143" s="264"/>
      <c r="C143" s="22">
        <v>12</v>
      </c>
      <c r="D143" s="22">
        <v>11</v>
      </c>
      <c r="E143" s="22">
        <v>1</v>
      </c>
      <c r="F143" s="22">
        <v>1</v>
      </c>
      <c r="G143" s="22">
        <v>0</v>
      </c>
      <c r="H143" s="22">
        <v>0</v>
      </c>
      <c r="I143" s="22">
        <v>0</v>
      </c>
      <c r="J143" s="22">
        <v>0</v>
      </c>
    </row>
    <row r="144" spans="1:10" s="21" customFormat="1" ht="12" customHeight="1" x14ac:dyDescent="0.2">
      <c r="A144" s="264" t="s">
        <v>141</v>
      </c>
      <c r="B144" s="264"/>
      <c r="C144" s="22">
        <v>2890</v>
      </c>
      <c r="D144" s="22">
        <v>2471</v>
      </c>
      <c r="E144" s="22">
        <v>419</v>
      </c>
      <c r="F144" s="22">
        <v>314</v>
      </c>
      <c r="G144" s="22">
        <v>101</v>
      </c>
      <c r="H144" s="22">
        <v>4</v>
      </c>
      <c r="I144" s="22">
        <v>0</v>
      </c>
      <c r="J144" s="22">
        <v>0</v>
      </c>
    </row>
    <row r="145" spans="1:10" s="21" customFormat="1" ht="12" customHeight="1" x14ac:dyDescent="0.2">
      <c r="A145" s="264" t="s">
        <v>142</v>
      </c>
      <c r="B145" s="264"/>
      <c r="C145" s="22">
        <v>106</v>
      </c>
      <c r="D145" s="22">
        <v>104</v>
      </c>
      <c r="E145" s="22">
        <v>2</v>
      </c>
      <c r="F145" s="22">
        <v>2</v>
      </c>
      <c r="G145" s="22">
        <v>0</v>
      </c>
      <c r="H145" s="22">
        <v>0</v>
      </c>
      <c r="I145" s="22">
        <v>0</v>
      </c>
      <c r="J145" s="22">
        <v>0</v>
      </c>
    </row>
    <row r="146" spans="1:10" s="107" customFormat="1" ht="12" customHeight="1" x14ac:dyDescent="0.2">
      <c r="A146" s="316" t="s">
        <v>337</v>
      </c>
      <c r="B146" s="316"/>
      <c r="C146" s="22">
        <v>4950</v>
      </c>
      <c r="D146" s="106">
        <v>3945</v>
      </c>
      <c r="E146" s="106">
        <v>1005</v>
      </c>
      <c r="F146" s="106">
        <v>682</v>
      </c>
      <c r="G146" s="106">
        <v>323</v>
      </c>
      <c r="H146" s="106">
        <v>0</v>
      </c>
      <c r="I146" s="106">
        <v>0</v>
      </c>
      <c r="J146" s="106">
        <v>0</v>
      </c>
    </row>
    <row r="147" spans="1:10" s="21" customFormat="1" ht="12" customHeight="1" x14ac:dyDescent="0.2">
      <c r="A147" s="264" t="s">
        <v>144</v>
      </c>
      <c r="B147" s="264"/>
      <c r="C147" s="22">
        <v>4384</v>
      </c>
      <c r="D147" s="22">
        <v>3647</v>
      </c>
      <c r="E147" s="22">
        <v>737</v>
      </c>
      <c r="F147" s="22">
        <v>592</v>
      </c>
      <c r="G147" s="22">
        <v>145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145</v>
      </c>
      <c r="B148" s="264"/>
      <c r="C148" s="22">
        <v>34</v>
      </c>
      <c r="D148" s="22">
        <v>34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s="21" customFormat="1" ht="12" customHeight="1" x14ac:dyDescent="0.2">
      <c r="A149" s="264" t="s">
        <v>147</v>
      </c>
      <c r="B149" s="264"/>
      <c r="C149" s="22">
        <v>334</v>
      </c>
      <c r="D149" s="22">
        <v>294</v>
      </c>
      <c r="E149" s="22">
        <v>40</v>
      </c>
      <c r="F149" s="22">
        <v>27</v>
      </c>
      <c r="G149" s="22">
        <v>13</v>
      </c>
      <c r="H149" s="22">
        <v>0</v>
      </c>
      <c r="I149" s="22">
        <v>0</v>
      </c>
      <c r="J149" s="22">
        <v>0</v>
      </c>
    </row>
    <row r="150" spans="1:10" s="21" customFormat="1" ht="12" customHeight="1" x14ac:dyDescent="0.2">
      <c r="A150" s="264" t="s">
        <v>148</v>
      </c>
      <c r="B150" s="264"/>
      <c r="C150" s="22">
        <v>1211</v>
      </c>
      <c r="D150" s="22">
        <v>934</v>
      </c>
      <c r="E150" s="22">
        <v>277</v>
      </c>
      <c r="F150" s="22">
        <v>213</v>
      </c>
      <c r="G150" s="22">
        <v>58</v>
      </c>
      <c r="H150" s="22">
        <v>0</v>
      </c>
      <c r="I150" s="22">
        <v>6</v>
      </c>
      <c r="J150" s="22">
        <v>0</v>
      </c>
    </row>
    <row r="151" spans="1:10" s="21" customFormat="1" ht="12" customHeight="1" x14ac:dyDescent="0.2">
      <c r="A151" s="264" t="s">
        <v>149</v>
      </c>
      <c r="B151" s="264"/>
      <c r="C151" s="22">
        <v>15303</v>
      </c>
      <c r="D151" s="22">
        <v>9971</v>
      </c>
      <c r="E151" s="22">
        <v>5332</v>
      </c>
      <c r="F151" s="22">
        <v>3898</v>
      </c>
      <c r="G151" s="22">
        <v>1379</v>
      </c>
      <c r="H151" s="22">
        <v>48</v>
      </c>
      <c r="I151" s="22">
        <v>7</v>
      </c>
      <c r="J151" s="22">
        <v>0</v>
      </c>
    </row>
    <row r="152" spans="1:10" s="21" customFormat="1" ht="12" customHeight="1" x14ac:dyDescent="0.2">
      <c r="A152" s="264" t="s">
        <v>150</v>
      </c>
      <c r="B152" s="264"/>
      <c r="C152" s="22">
        <v>6372</v>
      </c>
      <c r="D152" s="22">
        <v>4974</v>
      </c>
      <c r="E152" s="22">
        <v>1398</v>
      </c>
      <c r="F152" s="22">
        <v>1055</v>
      </c>
      <c r="G152" s="22">
        <v>340</v>
      </c>
      <c r="H152" s="22">
        <v>3</v>
      </c>
      <c r="I152" s="22">
        <v>0</v>
      </c>
      <c r="J152" s="22">
        <v>0</v>
      </c>
    </row>
    <row r="153" spans="1:10" s="21" customFormat="1" ht="12" customHeight="1" x14ac:dyDescent="0.2">
      <c r="A153" s="264" t="s">
        <v>152</v>
      </c>
      <c r="B153" s="264"/>
      <c r="C153" s="22">
        <v>212</v>
      </c>
      <c r="D153" s="22">
        <v>192</v>
      </c>
      <c r="E153" s="22">
        <v>20</v>
      </c>
      <c r="F153" s="22">
        <v>8</v>
      </c>
      <c r="G153" s="22">
        <v>12</v>
      </c>
      <c r="H153" s="22">
        <v>0</v>
      </c>
      <c r="I153" s="22">
        <v>0</v>
      </c>
      <c r="J153" s="22">
        <v>0</v>
      </c>
    </row>
    <row r="154" spans="1:10" s="21" customFormat="1" ht="12" customHeight="1" x14ac:dyDescent="0.2">
      <c r="A154" s="264" t="s">
        <v>153</v>
      </c>
      <c r="B154" s="264"/>
      <c r="C154" s="22">
        <v>7090</v>
      </c>
      <c r="D154" s="22">
        <v>5507</v>
      </c>
      <c r="E154" s="22">
        <v>1583</v>
      </c>
      <c r="F154" s="22">
        <v>1139</v>
      </c>
      <c r="G154" s="22">
        <v>443</v>
      </c>
      <c r="H154" s="22">
        <v>1</v>
      </c>
      <c r="I154" s="22">
        <v>0</v>
      </c>
      <c r="J154" s="22">
        <v>0</v>
      </c>
    </row>
    <row r="155" spans="1:10" s="21" customFormat="1" ht="12" customHeight="1" x14ac:dyDescent="0.2">
      <c r="A155" s="264" t="s">
        <v>154</v>
      </c>
      <c r="B155" s="264"/>
      <c r="C155" s="22">
        <v>53</v>
      </c>
      <c r="D155" s="22">
        <v>49</v>
      </c>
      <c r="E155" s="22">
        <v>4</v>
      </c>
      <c r="F155" s="22">
        <v>1</v>
      </c>
      <c r="G155" s="22">
        <v>3</v>
      </c>
      <c r="H155" s="22">
        <v>0</v>
      </c>
      <c r="I155" s="22">
        <v>0</v>
      </c>
      <c r="J155" s="22">
        <v>0</v>
      </c>
    </row>
    <row r="156" spans="1:10" s="21" customFormat="1" ht="12" customHeight="1" x14ac:dyDescent="0.2">
      <c r="A156" s="264" t="s">
        <v>155</v>
      </c>
      <c r="B156" s="264"/>
      <c r="C156" s="22">
        <v>2797</v>
      </c>
      <c r="D156" s="22">
        <v>2049</v>
      </c>
      <c r="E156" s="22">
        <v>748</v>
      </c>
      <c r="F156" s="22">
        <v>476</v>
      </c>
      <c r="G156" s="22">
        <v>260</v>
      </c>
      <c r="H156" s="22">
        <v>10</v>
      </c>
      <c r="I156" s="22">
        <v>2</v>
      </c>
      <c r="J156" s="22">
        <v>0</v>
      </c>
    </row>
    <row r="157" spans="1:10" s="21" customFormat="1" ht="12" customHeight="1" x14ac:dyDescent="0.2">
      <c r="A157" s="264" t="s">
        <v>156</v>
      </c>
      <c r="B157" s="264"/>
      <c r="C157" s="22">
        <v>273</v>
      </c>
      <c r="D157" s="22">
        <v>260</v>
      </c>
      <c r="E157" s="22">
        <v>13</v>
      </c>
      <c r="F157" s="22">
        <v>8</v>
      </c>
      <c r="G157" s="22">
        <v>5</v>
      </c>
      <c r="H157" s="22">
        <v>0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157</v>
      </c>
      <c r="B158" s="264"/>
      <c r="C158" s="22">
        <v>753</v>
      </c>
      <c r="D158" s="22">
        <v>600</v>
      </c>
      <c r="E158" s="22">
        <v>153</v>
      </c>
      <c r="F158" s="22">
        <v>73</v>
      </c>
      <c r="G158" s="22">
        <v>80</v>
      </c>
      <c r="H158" s="22">
        <v>0</v>
      </c>
      <c r="I158" s="22">
        <v>0</v>
      </c>
      <c r="J158" s="22">
        <v>0</v>
      </c>
    </row>
    <row r="159" spans="1:10" s="21" customFormat="1" ht="12" customHeight="1" x14ac:dyDescent="0.2">
      <c r="A159" s="264" t="s">
        <v>159</v>
      </c>
      <c r="B159" s="264"/>
      <c r="C159" s="22">
        <v>664</v>
      </c>
      <c r="D159" s="22">
        <v>490</v>
      </c>
      <c r="E159" s="22">
        <v>174</v>
      </c>
      <c r="F159" s="22">
        <v>111</v>
      </c>
      <c r="G159" s="22">
        <v>63</v>
      </c>
      <c r="H159" s="22">
        <v>0</v>
      </c>
      <c r="I159" s="22">
        <v>0</v>
      </c>
      <c r="J159" s="22">
        <v>0</v>
      </c>
    </row>
    <row r="160" spans="1:10" s="21" customFormat="1" ht="12" customHeight="1" x14ac:dyDescent="0.2">
      <c r="A160" s="264" t="s">
        <v>162</v>
      </c>
      <c r="B160" s="264"/>
      <c r="C160" s="22">
        <v>95</v>
      </c>
      <c r="D160" s="22">
        <v>91</v>
      </c>
      <c r="E160" s="22">
        <v>4</v>
      </c>
      <c r="F160" s="22">
        <v>4</v>
      </c>
      <c r="G160" s="22">
        <v>0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4" t="s">
        <v>163</v>
      </c>
      <c r="B161" s="264"/>
      <c r="C161" s="22">
        <v>749</v>
      </c>
      <c r="D161" s="22">
        <v>644</v>
      </c>
      <c r="E161" s="22">
        <v>105</v>
      </c>
      <c r="F161" s="22">
        <v>81</v>
      </c>
      <c r="G161" s="22">
        <v>24</v>
      </c>
      <c r="H161" s="22">
        <v>0</v>
      </c>
      <c r="I161" s="22">
        <v>0</v>
      </c>
      <c r="J161" s="22">
        <v>0</v>
      </c>
    </row>
    <row r="162" spans="1:10" s="21" customFormat="1" ht="12" customHeight="1" x14ac:dyDescent="0.2">
      <c r="A162" s="264" t="s">
        <v>164</v>
      </c>
      <c r="B162" s="264"/>
      <c r="C162" s="22">
        <v>2659</v>
      </c>
      <c r="D162" s="22">
        <v>1978</v>
      </c>
      <c r="E162" s="22">
        <v>681</v>
      </c>
      <c r="F162" s="22">
        <v>530</v>
      </c>
      <c r="G162" s="22">
        <v>151</v>
      </c>
      <c r="H162" s="22">
        <v>0</v>
      </c>
      <c r="I162" s="22">
        <v>0</v>
      </c>
      <c r="J162" s="22">
        <v>0</v>
      </c>
    </row>
    <row r="163" spans="1:10" s="21" customFormat="1" ht="12" customHeight="1" x14ac:dyDescent="0.2">
      <c r="A163" s="264" t="s">
        <v>165</v>
      </c>
      <c r="B163" s="264"/>
      <c r="C163" s="22">
        <v>57</v>
      </c>
      <c r="D163" s="22">
        <v>54</v>
      </c>
      <c r="E163" s="22">
        <v>3</v>
      </c>
      <c r="F163" s="22">
        <v>3</v>
      </c>
      <c r="G163" s="22">
        <v>0</v>
      </c>
      <c r="H163" s="22">
        <v>0</v>
      </c>
      <c r="I163" s="22">
        <v>0</v>
      </c>
      <c r="J163" s="22">
        <v>0</v>
      </c>
    </row>
    <row r="164" spans="1:10" s="21" customFormat="1" ht="12" customHeight="1" x14ac:dyDescent="0.2">
      <c r="A164" s="264" t="s">
        <v>166</v>
      </c>
      <c r="B164" s="264"/>
      <c r="C164" s="22">
        <v>1091</v>
      </c>
      <c r="D164" s="22">
        <v>959</v>
      </c>
      <c r="E164" s="22">
        <v>132</v>
      </c>
      <c r="F164" s="22">
        <v>95</v>
      </c>
      <c r="G164" s="22">
        <v>37</v>
      </c>
      <c r="H164" s="22">
        <v>0</v>
      </c>
      <c r="I164" s="22">
        <v>0</v>
      </c>
      <c r="J164" s="22">
        <v>0</v>
      </c>
    </row>
    <row r="165" spans="1:10" s="21" customFormat="1" ht="12" customHeight="1" x14ac:dyDescent="0.2">
      <c r="A165" s="267" t="s">
        <v>168</v>
      </c>
      <c r="B165" s="267"/>
      <c r="C165" s="28">
        <v>292</v>
      </c>
      <c r="D165" s="28">
        <v>275</v>
      </c>
      <c r="E165" s="28">
        <v>17</v>
      </c>
      <c r="F165" s="28">
        <v>9</v>
      </c>
      <c r="G165" s="28">
        <v>8</v>
      </c>
      <c r="H165" s="28">
        <v>0</v>
      </c>
      <c r="I165" s="28">
        <v>0</v>
      </c>
      <c r="J165" s="28">
        <v>0</v>
      </c>
    </row>
    <row r="166" spans="1:10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spans="1:10" s="21" customFormat="1" ht="12" customHeight="1" x14ac:dyDescent="0.2">
      <c r="A167" s="263" t="s">
        <v>169</v>
      </c>
      <c r="B167" s="263"/>
      <c r="C167" s="20">
        <f t="shared" ref="C167:J167" si="45">SUM(C168:C175)</f>
        <v>5795</v>
      </c>
      <c r="D167" s="20">
        <f t="shared" si="45"/>
        <v>5189</v>
      </c>
      <c r="E167" s="20">
        <f t="shared" si="45"/>
        <v>606</v>
      </c>
      <c r="F167" s="20">
        <f t="shared" si="45"/>
        <v>420</v>
      </c>
      <c r="G167" s="20">
        <f t="shared" si="45"/>
        <v>186</v>
      </c>
      <c r="H167" s="20">
        <f t="shared" si="45"/>
        <v>0</v>
      </c>
      <c r="I167" s="20">
        <f t="shared" si="45"/>
        <v>0</v>
      </c>
      <c r="J167" s="20">
        <f t="shared" si="45"/>
        <v>0</v>
      </c>
    </row>
    <row r="168" spans="1:10" s="21" customFormat="1" ht="12" customHeight="1" x14ac:dyDescent="0.2">
      <c r="A168" s="264" t="s">
        <v>170</v>
      </c>
      <c r="B168" s="264"/>
      <c r="C168" s="22">
        <v>1426</v>
      </c>
      <c r="D168" s="22">
        <v>1304</v>
      </c>
      <c r="E168" s="22">
        <v>122</v>
      </c>
      <c r="F168" s="22">
        <v>77</v>
      </c>
      <c r="G168" s="22">
        <v>45</v>
      </c>
      <c r="H168" s="22">
        <v>0</v>
      </c>
      <c r="I168" s="22">
        <v>0</v>
      </c>
      <c r="J168" s="22">
        <v>0</v>
      </c>
    </row>
    <row r="169" spans="1:10" s="21" customFormat="1" ht="12" customHeight="1" x14ac:dyDescent="0.2">
      <c r="A169" s="264" t="s">
        <v>171</v>
      </c>
      <c r="B169" s="264"/>
      <c r="C169" s="22">
        <v>50</v>
      </c>
      <c r="D169" s="22">
        <v>46</v>
      </c>
      <c r="E169" s="22">
        <v>4</v>
      </c>
      <c r="F169" s="22">
        <v>2</v>
      </c>
      <c r="G169" s="22">
        <v>2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172</v>
      </c>
      <c r="B170" s="264"/>
      <c r="C170" s="22">
        <v>45</v>
      </c>
      <c r="D170" s="22">
        <v>42</v>
      </c>
      <c r="E170" s="22">
        <v>3</v>
      </c>
      <c r="F170" s="22">
        <v>1</v>
      </c>
      <c r="G170" s="22">
        <v>2</v>
      </c>
      <c r="H170" s="22">
        <v>0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173</v>
      </c>
      <c r="B171" s="264"/>
      <c r="C171" s="22">
        <v>58</v>
      </c>
      <c r="D171" s="22">
        <v>52</v>
      </c>
      <c r="E171" s="22">
        <v>6</v>
      </c>
      <c r="F171" s="22">
        <v>2</v>
      </c>
      <c r="G171" s="22">
        <v>4</v>
      </c>
      <c r="H171" s="22">
        <v>0</v>
      </c>
      <c r="I171" s="22">
        <v>0</v>
      </c>
      <c r="J171" s="22">
        <v>0</v>
      </c>
    </row>
    <row r="172" spans="1:10" s="21" customFormat="1" ht="12" customHeight="1" x14ac:dyDescent="0.2">
      <c r="A172" s="264" t="s">
        <v>174</v>
      </c>
      <c r="B172" s="264"/>
      <c r="C172" s="22">
        <v>1174</v>
      </c>
      <c r="D172" s="22">
        <v>1010</v>
      </c>
      <c r="E172" s="22">
        <v>164</v>
      </c>
      <c r="F172" s="22">
        <v>117</v>
      </c>
      <c r="G172" s="22">
        <v>47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175</v>
      </c>
      <c r="B173" s="264"/>
      <c r="C173" s="22">
        <v>529</v>
      </c>
      <c r="D173" s="22">
        <v>496</v>
      </c>
      <c r="E173" s="22">
        <v>33</v>
      </c>
      <c r="F173" s="22">
        <v>17</v>
      </c>
      <c r="G173" s="22">
        <v>16</v>
      </c>
      <c r="H173" s="22">
        <v>0</v>
      </c>
      <c r="I173" s="22">
        <v>0</v>
      </c>
      <c r="J173" s="22">
        <v>0</v>
      </c>
    </row>
    <row r="174" spans="1:10" s="21" customFormat="1" ht="12" customHeight="1" x14ac:dyDescent="0.2">
      <c r="A174" s="264" t="s">
        <v>176</v>
      </c>
      <c r="B174" s="264"/>
      <c r="C174" s="22">
        <v>49</v>
      </c>
      <c r="D174" s="22">
        <v>43</v>
      </c>
      <c r="E174" s="22">
        <v>6</v>
      </c>
      <c r="F174" s="22">
        <v>3</v>
      </c>
      <c r="G174" s="22">
        <v>3</v>
      </c>
      <c r="H174" s="22">
        <v>0</v>
      </c>
      <c r="I174" s="22">
        <v>0</v>
      </c>
      <c r="J174" s="22">
        <v>0</v>
      </c>
    </row>
    <row r="175" spans="1:10" s="21" customFormat="1" ht="12" customHeight="1" x14ac:dyDescent="0.2">
      <c r="A175" s="315" t="s">
        <v>177</v>
      </c>
      <c r="B175" s="315"/>
      <c r="C175" s="28">
        <v>2464</v>
      </c>
      <c r="D175" s="28">
        <v>2196</v>
      </c>
      <c r="E175" s="28">
        <v>268</v>
      </c>
      <c r="F175" s="28">
        <v>201</v>
      </c>
      <c r="G175" s="28">
        <v>67</v>
      </c>
      <c r="H175" s="28">
        <v>0</v>
      </c>
      <c r="I175" s="28">
        <v>0</v>
      </c>
      <c r="J175" s="28">
        <v>0</v>
      </c>
    </row>
    <row r="176" spans="1:10" s="21" customFormat="1" ht="12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spans="1:10" s="21" customFormat="1" ht="12" customHeight="1" x14ac:dyDescent="0.2">
      <c r="A177" s="263" t="s">
        <v>178</v>
      </c>
      <c r="B177" s="263"/>
      <c r="C177" s="20">
        <f t="shared" ref="C177:J177" si="46">SUM(C178:C194)</f>
        <v>48871</v>
      </c>
      <c r="D177" s="20">
        <f t="shared" si="46"/>
        <v>36145</v>
      </c>
      <c r="E177" s="20">
        <f t="shared" si="46"/>
        <v>12726</v>
      </c>
      <c r="F177" s="20">
        <f t="shared" si="46"/>
        <v>9533</v>
      </c>
      <c r="G177" s="20">
        <f t="shared" si="46"/>
        <v>3076</v>
      </c>
      <c r="H177" s="20">
        <f t="shared" si="46"/>
        <v>93</v>
      </c>
      <c r="I177" s="20">
        <f t="shared" si="46"/>
        <v>24</v>
      </c>
      <c r="J177" s="20">
        <f t="shared" si="46"/>
        <v>0</v>
      </c>
    </row>
    <row r="178" spans="1:10" s="21" customFormat="1" ht="12" customHeight="1" x14ac:dyDescent="0.2">
      <c r="A178" s="264" t="s">
        <v>179</v>
      </c>
      <c r="B178" s="264"/>
      <c r="C178" s="22">
        <v>4380</v>
      </c>
      <c r="D178" s="22">
        <v>3119</v>
      </c>
      <c r="E178" s="22">
        <v>1261</v>
      </c>
      <c r="F178" s="22">
        <v>979</v>
      </c>
      <c r="G178" s="22">
        <v>273</v>
      </c>
      <c r="H178" s="22">
        <v>9</v>
      </c>
      <c r="I178" s="22">
        <v>0</v>
      </c>
      <c r="J178" s="22">
        <v>0</v>
      </c>
    </row>
    <row r="179" spans="1:10" s="21" customFormat="1" ht="12" customHeight="1" x14ac:dyDescent="0.2">
      <c r="A179" s="264" t="s">
        <v>180</v>
      </c>
      <c r="B179" s="264"/>
      <c r="C179" s="22">
        <v>17544</v>
      </c>
      <c r="D179" s="22">
        <v>12417</v>
      </c>
      <c r="E179" s="22">
        <v>5127</v>
      </c>
      <c r="F179" s="22">
        <v>3668</v>
      </c>
      <c r="G179" s="22">
        <v>1404</v>
      </c>
      <c r="H179" s="22">
        <v>40</v>
      </c>
      <c r="I179" s="22">
        <v>15</v>
      </c>
      <c r="J179" s="22">
        <v>0</v>
      </c>
    </row>
    <row r="180" spans="1:10" s="21" customFormat="1" ht="12" customHeight="1" x14ac:dyDescent="0.2">
      <c r="A180" s="264" t="s">
        <v>181</v>
      </c>
      <c r="B180" s="264"/>
      <c r="C180" s="22">
        <v>2401</v>
      </c>
      <c r="D180" s="22">
        <v>1535</v>
      </c>
      <c r="E180" s="22">
        <v>866</v>
      </c>
      <c r="F180" s="22">
        <v>629</v>
      </c>
      <c r="G180" s="22">
        <v>229</v>
      </c>
      <c r="H180" s="22">
        <v>3</v>
      </c>
      <c r="I180" s="22">
        <v>5</v>
      </c>
      <c r="J180" s="22">
        <v>0</v>
      </c>
    </row>
    <row r="181" spans="1:10" s="21" customFormat="1" ht="12" customHeight="1" x14ac:dyDescent="0.2">
      <c r="A181" s="264" t="s">
        <v>182</v>
      </c>
      <c r="B181" s="264"/>
      <c r="C181" s="22">
        <v>2697</v>
      </c>
      <c r="D181" s="22">
        <v>2205</v>
      </c>
      <c r="E181" s="22">
        <v>492</v>
      </c>
      <c r="F181" s="22">
        <v>384</v>
      </c>
      <c r="G181" s="22">
        <v>103</v>
      </c>
      <c r="H181" s="22">
        <v>5</v>
      </c>
      <c r="I181" s="22">
        <v>0</v>
      </c>
      <c r="J181" s="22">
        <v>0</v>
      </c>
    </row>
    <row r="182" spans="1:10" s="21" customFormat="1" ht="12" customHeight="1" x14ac:dyDescent="0.2">
      <c r="A182" s="264" t="s">
        <v>183</v>
      </c>
      <c r="B182" s="264"/>
      <c r="C182" s="22">
        <v>8364</v>
      </c>
      <c r="D182" s="22">
        <v>6088</v>
      </c>
      <c r="E182" s="22">
        <v>2276</v>
      </c>
      <c r="F182" s="22">
        <v>1807</v>
      </c>
      <c r="G182" s="22">
        <v>443</v>
      </c>
      <c r="H182" s="22">
        <v>25</v>
      </c>
      <c r="I182" s="22">
        <v>1</v>
      </c>
      <c r="J182" s="22">
        <v>0</v>
      </c>
    </row>
    <row r="183" spans="1:10" s="21" customFormat="1" ht="12" customHeight="1" x14ac:dyDescent="0.2">
      <c r="A183" s="264" t="s">
        <v>184</v>
      </c>
      <c r="B183" s="264"/>
      <c r="C183" s="22">
        <v>705</v>
      </c>
      <c r="D183" s="22">
        <v>612</v>
      </c>
      <c r="E183" s="22">
        <v>93</v>
      </c>
      <c r="F183" s="22">
        <v>66</v>
      </c>
      <c r="G183" s="22">
        <v>27</v>
      </c>
      <c r="H183" s="22">
        <v>0</v>
      </c>
      <c r="I183" s="22">
        <v>0</v>
      </c>
      <c r="J183" s="22">
        <v>0</v>
      </c>
    </row>
    <row r="184" spans="1:10" s="21" customFormat="1" ht="12" customHeight="1" x14ac:dyDescent="0.2">
      <c r="A184" s="264" t="s">
        <v>185</v>
      </c>
      <c r="B184" s="264"/>
      <c r="C184" s="22">
        <v>677</v>
      </c>
      <c r="D184" s="22">
        <v>580</v>
      </c>
      <c r="E184" s="22">
        <v>97</v>
      </c>
      <c r="F184" s="22">
        <v>79</v>
      </c>
      <c r="G184" s="22">
        <v>18</v>
      </c>
      <c r="H184" s="22">
        <v>0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186</v>
      </c>
      <c r="B185" s="264"/>
      <c r="C185" s="22">
        <v>770</v>
      </c>
      <c r="D185" s="22">
        <v>644</v>
      </c>
      <c r="E185" s="22">
        <v>126</v>
      </c>
      <c r="F185" s="22">
        <v>96</v>
      </c>
      <c r="G185" s="22">
        <v>30</v>
      </c>
      <c r="H185" s="22">
        <v>0</v>
      </c>
      <c r="I185" s="22">
        <v>0</v>
      </c>
      <c r="J185" s="22">
        <v>0</v>
      </c>
    </row>
    <row r="186" spans="1:10" s="21" customFormat="1" ht="12" customHeight="1" x14ac:dyDescent="0.2">
      <c r="A186" s="264" t="s">
        <v>187</v>
      </c>
      <c r="B186" s="264"/>
      <c r="C186" s="22">
        <v>384</v>
      </c>
      <c r="D186" s="22">
        <v>353</v>
      </c>
      <c r="E186" s="22">
        <v>31</v>
      </c>
      <c r="F186" s="22">
        <v>23</v>
      </c>
      <c r="G186" s="22">
        <v>8</v>
      </c>
      <c r="H186" s="22">
        <v>0</v>
      </c>
      <c r="I186" s="22">
        <v>0</v>
      </c>
      <c r="J186" s="22">
        <v>0</v>
      </c>
    </row>
    <row r="187" spans="1:10" s="21" customFormat="1" ht="12" customHeight="1" x14ac:dyDescent="0.2">
      <c r="A187" s="264" t="s">
        <v>188</v>
      </c>
      <c r="B187" s="264"/>
      <c r="C187" s="22">
        <v>1362</v>
      </c>
      <c r="D187" s="22">
        <v>1147</v>
      </c>
      <c r="E187" s="22">
        <v>215</v>
      </c>
      <c r="F187" s="22">
        <v>154</v>
      </c>
      <c r="G187" s="22">
        <v>58</v>
      </c>
      <c r="H187" s="22">
        <v>1</v>
      </c>
      <c r="I187" s="22">
        <v>2</v>
      </c>
      <c r="J187" s="22">
        <v>0</v>
      </c>
    </row>
    <row r="188" spans="1:10" s="21" customFormat="1" ht="12" customHeight="1" x14ac:dyDescent="0.2">
      <c r="A188" s="264" t="s">
        <v>190</v>
      </c>
      <c r="B188" s="264"/>
      <c r="C188" s="22">
        <v>106</v>
      </c>
      <c r="D188" s="22">
        <v>92</v>
      </c>
      <c r="E188" s="22">
        <v>14</v>
      </c>
      <c r="F188" s="22">
        <v>14</v>
      </c>
      <c r="G188" s="22">
        <v>0</v>
      </c>
      <c r="H188" s="22">
        <v>0</v>
      </c>
      <c r="I188" s="22">
        <v>0</v>
      </c>
      <c r="J188" s="22">
        <v>0</v>
      </c>
    </row>
    <row r="189" spans="1:10" s="21" customFormat="1" ht="12" customHeight="1" x14ac:dyDescent="0.2">
      <c r="A189" s="264" t="s">
        <v>191</v>
      </c>
      <c r="B189" s="264"/>
      <c r="C189" s="22">
        <v>2725</v>
      </c>
      <c r="D189" s="22">
        <v>2143</v>
      </c>
      <c r="E189" s="22">
        <v>582</v>
      </c>
      <c r="F189" s="22">
        <v>429</v>
      </c>
      <c r="G189" s="22">
        <v>147</v>
      </c>
      <c r="H189" s="22">
        <v>5</v>
      </c>
      <c r="I189" s="22">
        <v>1</v>
      </c>
      <c r="J189" s="22">
        <v>0</v>
      </c>
    </row>
    <row r="190" spans="1:10" s="21" customFormat="1" ht="12" customHeight="1" x14ac:dyDescent="0.2">
      <c r="A190" s="264" t="s">
        <v>192</v>
      </c>
      <c r="B190" s="264"/>
      <c r="C190" s="22">
        <v>579</v>
      </c>
      <c r="D190" s="22">
        <v>527</v>
      </c>
      <c r="E190" s="22">
        <v>52</v>
      </c>
      <c r="F190" s="22">
        <v>37</v>
      </c>
      <c r="G190" s="22">
        <v>15</v>
      </c>
      <c r="H190" s="22">
        <v>0</v>
      </c>
      <c r="I190" s="22">
        <v>0</v>
      </c>
      <c r="J190" s="22">
        <v>0</v>
      </c>
    </row>
    <row r="191" spans="1:10" s="21" customFormat="1" ht="12" customHeight="1" x14ac:dyDescent="0.2">
      <c r="A191" s="264" t="s">
        <v>193</v>
      </c>
      <c r="B191" s="264"/>
      <c r="C191" s="22">
        <v>588</v>
      </c>
      <c r="D191" s="22">
        <v>526</v>
      </c>
      <c r="E191" s="22">
        <v>62</v>
      </c>
      <c r="F191" s="22">
        <v>43</v>
      </c>
      <c r="G191" s="22">
        <v>19</v>
      </c>
      <c r="H191" s="22">
        <v>0</v>
      </c>
      <c r="I191" s="22">
        <v>0</v>
      </c>
      <c r="J191" s="22">
        <v>0</v>
      </c>
    </row>
    <row r="192" spans="1:10" s="21" customFormat="1" ht="12" customHeight="1" x14ac:dyDescent="0.2">
      <c r="A192" s="264" t="s">
        <v>194</v>
      </c>
      <c r="B192" s="264"/>
      <c r="C192" s="22">
        <v>2264</v>
      </c>
      <c r="D192" s="22">
        <v>1618</v>
      </c>
      <c r="E192" s="22">
        <v>646</v>
      </c>
      <c r="F192" s="22">
        <v>509</v>
      </c>
      <c r="G192" s="22">
        <v>132</v>
      </c>
      <c r="H192" s="22">
        <v>5</v>
      </c>
      <c r="I192" s="22">
        <v>0</v>
      </c>
      <c r="J192" s="22">
        <v>0</v>
      </c>
    </row>
    <row r="193" spans="1:10" s="21" customFormat="1" ht="12" customHeight="1" x14ac:dyDescent="0.2">
      <c r="A193" s="264" t="s">
        <v>195</v>
      </c>
      <c r="B193" s="264"/>
      <c r="C193" s="22">
        <v>214</v>
      </c>
      <c r="D193" s="22">
        <v>198</v>
      </c>
      <c r="E193" s="22">
        <v>16</v>
      </c>
      <c r="F193" s="22">
        <v>13</v>
      </c>
      <c r="G193" s="22">
        <v>3</v>
      </c>
      <c r="H193" s="22">
        <v>0</v>
      </c>
      <c r="I193" s="22">
        <v>0</v>
      </c>
      <c r="J193" s="22">
        <v>0</v>
      </c>
    </row>
    <row r="194" spans="1:10" s="21" customFormat="1" ht="12" customHeight="1" x14ac:dyDescent="0.2">
      <c r="A194" s="267" t="s">
        <v>196</v>
      </c>
      <c r="B194" s="267"/>
      <c r="C194" s="28">
        <v>3111</v>
      </c>
      <c r="D194" s="28">
        <v>2341</v>
      </c>
      <c r="E194" s="28">
        <v>770</v>
      </c>
      <c r="F194" s="28">
        <v>603</v>
      </c>
      <c r="G194" s="28">
        <v>167</v>
      </c>
      <c r="H194" s="28">
        <v>0</v>
      </c>
      <c r="I194" s="28">
        <v>0</v>
      </c>
      <c r="J194" s="28">
        <v>0</v>
      </c>
    </row>
    <row r="195" spans="1:10" s="21" customFormat="1" ht="12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spans="1:10" s="21" customFormat="1" ht="12" customHeight="1" x14ac:dyDescent="0.2">
      <c r="A196" s="263" t="s">
        <v>197</v>
      </c>
      <c r="B196" s="263"/>
      <c r="C196" s="20">
        <f t="shared" ref="C196:J196" si="47">SUM(C197:C202)</f>
        <v>12559</v>
      </c>
      <c r="D196" s="20">
        <f t="shared" si="47"/>
        <v>8773</v>
      </c>
      <c r="E196" s="20">
        <f t="shared" si="47"/>
        <v>3786</v>
      </c>
      <c r="F196" s="20">
        <f t="shared" si="47"/>
        <v>2849</v>
      </c>
      <c r="G196" s="20">
        <f t="shared" si="47"/>
        <v>878</v>
      </c>
      <c r="H196" s="20">
        <f t="shared" si="47"/>
        <v>52</v>
      </c>
      <c r="I196" s="20">
        <f t="shared" si="47"/>
        <v>7</v>
      </c>
      <c r="J196" s="20">
        <f t="shared" si="47"/>
        <v>0</v>
      </c>
    </row>
    <row r="197" spans="1:10" s="21" customFormat="1" ht="12" customHeight="1" x14ac:dyDescent="0.2">
      <c r="A197" s="264" t="s">
        <v>198</v>
      </c>
      <c r="B197" s="264"/>
      <c r="C197" s="22">
        <v>6026</v>
      </c>
      <c r="D197" s="22">
        <v>3876</v>
      </c>
      <c r="E197" s="22">
        <v>2150</v>
      </c>
      <c r="F197" s="22">
        <v>1664</v>
      </c>
      <c r="G197" s="22">
        <v>427</v>
      </c>
      <c r="H197" s="22">
        <v>52</v>
      </c>
      <c r="I197" s="22">
        <v>7</v>
      </c>
      <c r="J197" s="22">
        <v>0</v>
      </c>
    </row>
    <row r="198" spans="1:10" s="21" customFormat="1" ht="12" customHeight="1" x14ac:dyDescent="0.2">
      <c r="A198" s="264" t="s">
        <v>199</v>
      </c>
      <c r="B198" s="264"/>
      <c r="C198" s="22">
        <v>2638</v>
      </c>
      <c r="D198" s="22">
        <v>2183</v>
      </c>
      <c r="E198" s="22">
        <v>455</v>
      </c>
      <c r="F198" s="22">
        <v>346</v>
      </c>
      <c r="G198" s="22">
        <v>109</v>
      </c>
      <c r="H198" s="22">
        <v>0</v>
      </c>
      <c r="I198" s="22">
        <v>0</v>
      </c>
      <c r="J198" s="22">
        <v>0</v>
      </c>
    </row>
    <row r="199" spans="1:10" s="21" customFormat="1" ht="12" customHeight="1" x14ac:dyDescent="0.2">
      <c r="A199" s="264" t="s">
        <v>200</v>
      </c>
      <c r="B199" s="264"/>
      <c r="C199" s="22">
        <v>640</v>
      </c>
      <c r="D199" s="22">
        <v>416</v>
      </c>
      <c r="E199" s="22">
        <v>224</v>
      </c>
      <c r="F199" s="22">
        <v>146</v>
      </c>
      <c r="G199" s="22">
        <v>78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201</v>
      </c>
      <c r="B200" s="264"/>
      <c r="C200" s="22">
        <v>549</v>
      </c>
      <c r="D200" s="22">
        <v>423</v>
      </c>
      <c r="E200" s="22">
        <v>126</v>
      </c>
      <c r="F200" s="22">
        <v>85</v>
      </c>
      <c r="G200" s="22">
        <v>41</v>
      </c>
      <c r="H200" s="22">
        <v>0</v>
      </c>
      <c r="I200" s="22">
        <v>0</v>
      </c>
      <c r="J200" s="22">
        <v>0</v>
      </c>
    </row>
    <row r="201" spans="1:10" s="21" customFormat="1" ht="12" customHeight="1" x14ac:dyDescent="0.2">
      <c r="A201" s="264" t="s">
        <v>202</v>
      </c>
      <c r="B201" s="264"/>
      <c r="C201" s="22">
        <v>1674</v>
      </c>
      <c r="D201" s="22">
        <v>1192</v>
      </c>
      <c r="E201" s="22">
        <v>482</v>
      </c>
      <c r="F201" s="22">
        <v>358</v>
      </c>
      <c r="G201" s="22">
        <v>124</v>
      </c>
      <c r="H201" s="22">
        <v>0</v>
      </c>
      <c r="I201" s="22">
        <v>0</v>
      </c>
      <c r="J201" s="22">
        <v>0</v>
      </c>
    </row>
    <row r="202" spans="1:10" s="21" customFormat="1" ht="12" customHeight="1" x14ac:dyDescent="0.2">
      <c r="A202" s="267" t="s">
        <v>203</v>
      </c>
      <c r="B202" s="267"/>
      <c r="C202" s="28">
        <v>1032</v>
      </c>
      <c r="D202" s="28">
        <v>683</v>
      </c>
      <c r="E202" s="28">
        <v>349</v>
      </c>
      <c r="F202" s="28">
        <v>250</v>
      </c>
      <c r="G202" s="28">
        <v>99</v>
      </c>
      <c r="H202" s="28">
        <v>0</v>
      </c>
      <c r="I202" s="28">
        <v>0</v>
      </c>
      <c r="J202" s="28">
        <v>0</v>
      </c>
    </row>
    <row r="203" spans="1:10" s="21" customFormat="1" ht="12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spans="1:10" s="21" customFormat="1" ht="12" customHeight="1" x14ac:dyDescent="0.2">
      <c r="A204" s="263" t="s">
        <v>204</v>
      </c>
      <c r="B204" s="263"/>
      <c r="C204" s="20">
        <f t="shared" ref="C204:J204" si="48">SUM(C205:C209)</f>
        <v>5477</v>
      </c>
      <c r="D204" s="20">
        <f t="shared" si="48"/>
        <v>5026</v>
      </c>
      <c r="E204" s="20">
        <f t="shared" si="48"/>
        <v>451</v>
      </c>
      <c r="F204" s="20">
        <f t="shared" si="48"/>
        <v>291</v>
      </c>
      <c r="G204" s="20">
        <f t="shared" si="48"/>
        <v>160</v>
      </c>
      <c r="H204" s="20">
        <f t="shared" si="48"/>
        <v>0</v>
      </c>
      <c r="I204" s="20">
        <f t="shared" si="48"/>
        <v>0</v>
      </c>
      <c r="J204" s="20">
        <f t="shared" si="48"/>
        <v>0</v>
      </c>
    </row>
    <row r="205" spans="1:10" s="21" customFormat="1" ht="12" customHeight="1" x14ac:dyDescent="0.2">
      <c r="A205" s="264" t="s">
        <v>205</v>
      </c>
      <c r="B205" s="264"/>
      <c r="C205" s="22">
        <v>1816</v>
      </c>
      <c r="D205" s="22">
        <v>1610</v>
      </c>
      <c r="E205" s="22">
        <v>206</v>
      </c>
      <c r="F205" s="22">
        <v>140</v>
      </c>
      <c r="G205" s="22">
        <v>66</v>
      </c>
      <c r="H205" s="22">
        <v>0</v>
      </c>
      <c r="I205" s="22">
        <v>0</v>
      </c>
      <c r="J205" s="22">
        <v>0</v>
      </c>
    </row>
    <row r="206" spans="1:10" s="21" customFormat="1" ht="12" customHeight="1" x14ac:dyDescent="0.2">
      <c r="A206" s="264" t="s">
        <v>206</v>
      </c>
      <c r="B206" s="264"/>
      <c r="C206" s="22">
        <v>1667</v>
      </c>
      <c r="D206" s="22">
        <v>1573</v>
      </c>
      <c r="E206" s="22">
        <v>94</v>
      </c>
      <c r="F206" s="22">
        <v>62</v>
      </c>
      <c r="G206" s="22">
        <v>32</v>
      </c>
      <c r="H206" s="22">
        <v>0</v>
      </c>
      <c r="I206" s="22">
        <v>0</v>
      </c>
      <c r="J206" s="22">
        <v>0</v>
      </c>
    </row>
    <row r="207" spans="1:10" s="21" customFormat="1" ht="12" customHeight="1" x14ac:dyDescent="0.2">
      <c r="A207" s="264" t="s">
        <v>207</v>
      </c>
      <c r="B207" s="264"/>
      <c r="C207" s="22">
        <v>355</v>
      </c>
      <c r="D207" s="22">
        <v>333</v>
      </c>
      <c r="E207" s="22">
        <v>22</v>
      </c>
      <c r="F207" s="22">
        <v>9</v>
      </c>
      <c r="G207" s="22">
        <v>13</v>
      </c>
      <c r="H207" s="22">
        <v>0</v>
      </c>
      <c r="I207" s="22">
        <v>0</v>
      </c>
      <c r="J207" s="22">
        <v>0</v>
      </c>
    </row>
    <row r="208" spans="1:10" s="21" customFormat="1" ht="12" customHeight="1" x14ac:dyDescent="0.2">
      <c r="A208" s="264" t="s">
        <v>208</v>
      </c>
      <c r="B208" s="264"/>
      <c r="C208" s="22">
        <v>1305</v>
      </c>
      <c r="D208" s="22">
        <v>1192</v>
      </c>
      <c r="E208" s="22">
        <v>113</v>
      </c>
      <c r="F208" s="22">
        <v>67</v>
      </c>
      <c r="G208" s="22">
        <v>46</v>
      </c>
      <c r="H208" s="22">
        <v>0</v>
      </c>
      <c r="I208" s="22">
        <v>0</v>
      </c>
      <c r="J208" s="22">
        <v>0</v>
      </c>
    </row>
    <row r="209" spans="1:10" s="21" customFormat="1" ht="12" customHeight="1" x14ac:dyDescent="0.2">
      <c r="A209" s="267" t="s">
        <v>209</v>
      </c>
      <c r="B209" s="267"/>
      <c r="C209" s="28">
        <v>334</v>
      </c>
      <c r="D209" s="28">
        <v>318</v>
      </c>
      <c r="E209" s="28">
        <v>16</v>
      </c>
      <c r="F209" s="28">
        <v>13</v>
      </c>
      <c r="G209" s="28">
        <v>3</v>
      </c>
      <c r="H209" s="28">
        <v>0</v>
      </c>
      <c r="I209" s="28">
        <v>0</v>
      </c>
      <c r="J209" s="28">
        <v>0</v>
      </c>
    </row>
    <row r="210" spans="1:10" s="21" customFormat="1" ht="12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spans="1:10" s="21" customFormat="1" ht="12" customHeight="1" x14ac:dyDescent="0.2">
      <c r="A211" s="263" t="s">
        <v>210</v>
      </c>
      <c r="B211" s="263"/>
      <c r="C211" s="20">
        <f t="shared" ref="C211:J211" si="49">SUM(C212:C229)</f>
        <v>9554</v>
      </c>
      <c r="D211" s="20">
        <f t="shared" si="49"/>
        <v>6858</v>
      </c>
      <c r="E211" s="20">
        <f t="shared" si="49"/>
        <v>2696</v>
      </c>
      <c r="F211" s="20">
        <f t="shared" si="49"/>
        <v>1689</v>
      </c>
      <c r="G211" s="20">
        <f t="shared" si="49"/>
        <v>991</v>
      </c>
      <c r="H211" s="20">
        <f t="shared" si="49"/>
        <v>13</v>
      </c>
      <c r="I211" s="20">
        <f t="shared" si="49"/>
        <v>3</v>
      </c>
      <c r="J211" s="20">
        <f t="shared" si="49"/>
        <v>0</v>
      </c>
    </row>
    <row r="212" spans="1:10" s="21" customFormat="1" ht="12" customHeight="1" x14ac:dyDescent="0.2">
      <c r="A212" s="264" t="s">
        <v>211</v>
      </c>
      <c r="B212" s="264"/>
      <c r="C212" s="22">
        <v>1559</v>
      </c>
      <c r="D212" s="22">
        <v>1207</v>
      </c>
      <c r="E212" s="22">
        <v>352</v>
      </c>
      <c r="F212" s="22">
        <v>200</v>
      </c>
      <c r="G212" s="22">
        <v>150</v>
      </c>
      <c r="H212" s="22">
        <v>0</v>
      </c>
      <c r="I212" s="22">
        <v>2</v>
      </c>
      <c r="J212" s="22">
        <v>0</v>
      </c>
    </row>
    <row r="213" spans="1:10" s="21" customFormat="1" ht="12" customHeight="1" x14ac:dyDescent="0.2">
      <c r="A213" s="264" t="s">
        <v>212</v>
      </c>
      <c r="B213" s="264"/>
      <c r="C213" s="22">
        <v>108</v>
      </c>
      <c r="D213" s="22">
        <v>91</v>
      </c>
      <c r="E213" s="22">
        <v>17</v>
      </c>
      <c r="F213" s="22">
        <v>14</v>
      </c>
      <c r="G213" s="22">
        <v>3</v>
      </c>
      <c r="H213" s="22">
        <v>0</v>
      </c>
      <c r="I213" s="22">
        <v>0</v>
      </c>
      <c r="J213" s="22">
        <v>0</v>
      </c>
    </row>
    <row r="214" spans="1:10" s="21" customFormat="1" ht="12" customHeight="1" x14ac:dyDescent="0.2">
      <c r="A214" s="264" t="s">
        <v>213</v>
      </c>
      <c r="B214" s="264"/>
      <c r="C214" s="22">
        <v>70</v>
      </c>
      <c r="D214" s="22">
        <v>60</v>
      </c>
      <c r="E214" s="22">
        <v>10</v>
      </c>
      <c r="F214" s="22">
        <v>4</v>
      </c>
      <c r="G214" s="22">
        <v>6</v>
      </c>
      <c r="H214" s="22">
        <v>0</v>
      </c>
      <c r="I214" s="22">
        <v>0</v>
      </c>
      <c r="J214" s="22">
        <v>0</v>
      </c>
    </row>
    <row r="215" spans="1:10" s="21" customFormat="1" ht="12" customHeight="1" x14ac:dyDescent="0.2">
      <c r="A215" s="264" t="s">
        <v>214</v>
      </c>
      <c r="B215" s="264"/>
      <c r="C215" s="22">
        <v>1019</v>
      </c>
      <c r="D215" s="22">
        <v>539</v>
      </c>
      <c r="E215" s="22">
        <v>480</v>
      </c>
      <c r="F215" s="22">
        <v>307</v>
      </c>
      <c r="G215" s="22">
        <v>167</v>
      </c>
      <c r="H215" s="22">
        <v>5</v>
      </c>
      <c r="I215" s="22">
        <v>1</v>
      </c>
      <c r="J215" s="22">
        <v>0</v>
      </c>
    </row>
    <row r="216" spans="1:10" s="21" customFormat="1" ht="12" customHeight="1" x14ac:dyDescent="0.2">
      <c r="A216" s="264" t="s">
        <v>215</v>
      </c>
      <c r="B216" s="264"/>
      <c r="C216" s="22">
        <v>50</v>
      </c>
      <c r="D216" s="22">
        <v>43</v>
      </c>
      <c r="E216" s="22">
        <v>7</v>
      </c>
      <c r="F216" s="22">
        <v>3</v>
      </c>
      <c r="G216" s="22">
        <v>4</v>
      </c>
      <c r="H216" s="22">
        <v>0</v>
      </c>
      <c r="I216" s="22">
        <v>0</v>
      </c>
      <c r="J216" s="22">
        <v>0</v>
      </c>
    </row>
    <row r="217" spans="1:10" s="21" customFormat="1" ht="12" customHeight="1" x14ac:dyDescent="0.2">
      <c r="A217" s="264" t="s">
        <v>216</v>
      </c>
      <c r="B217" s="264"/>
      <c r="C217" s="22">
        <v>50</v>
      </c>
      <c r="D217" s="22">
        <v>50</v>
      </c>
      <c r="E217" s="22">
        <v>0</v>
      </c>
      <c r="F217" s="22">
        <v>0</v>
      </c>
      <c r="G217" s="22">
        <v>0</v>
      </c>
      <c r="H217" s="22">
        <v>0</v>
      </c>
      <c r="I217" s="22">
        <v>0</v>
      </c>
      <c r="J217" s="22">
        <v>0</v>
      </c>
    </row>
    <row r="218" spans="1:10" s="21" customFormat="1" ht="12" customHeight="1" x14ac:dyDescent="0.2">
      <c r="A218" s="264" t="s">
        <v>217</v>
      </c>
      <c r="B218" s="264"/>
      <c r="C218" s="22">
        <v>83</v>
      </c>
      <c r="D218" s="22">
        <v>74</v>
      </c>
      <c r="E218" s="22">
        <v>9</v>
      </c>
      <c r="F218" s="22">
        <v>5</v>
      </c>
      <c r="G218" s="22">
        <v>4</v>
      </c>
      <c r="H218" s="22">
        <v>0</v>
      </c>
      <c r="I218" s="22">
        <v>0</v>
      </c>
      <c r="J218" s="22">
        <v>0</v>
      </c>
    </row>
    <row r="219" spans="1:10" s="21" customFormat="1" ht="12" customHeight="1" x14ac:dyDescent="0.2">
      <c r="A219" s="264" t="s">
        <v>218</v>
      </c>
      <c r="B219" s="264"/>
      <c r="C219" s="22">
        <v>388</v>
      </c>
      <c r="D219" s="22">
        <v>371</v>
      </c>
      <c r="E219" s="22">
        <v>17</v>
      </c>
      <c r="F219" s="22">
        <v>12</v>
      </c>
      <c r="G219" s="22">
        <v>5</v>
      </c>
      <c r="H219" s="22">
        <v>0</v>
      </c>
      <c r="I219" s="22">
        <v>0</v>
      </c>
      <c r="J219" s="22">
        <v>0</v>
      </c>
    </row>
    <row r="220" spans="1:10" s="21" customFormat="1" ht="12" customHeight="1" x14ac:dyDescent="0.2">
      <c r="A220" s="264" t="s">
        <v>219</v>
      </c>
      <c r="B220" s="264"/>
      <c r="C220" s="22">
        <v>172</v>
      </c>
      <c r="D220" s="22">
        <v>161</v>
      </c>
      <c r="E220" s="22">
        <v>11</v>
      </c>
      <c r="F220" s="22">
        <v>9</v>
      </c>
      <c r="G220" s="22">
        <v>2</v>
      </c>
      <c r="H220" s="22">
        <v>0</v>
      </c>
      <c r="I220" s="22">
        <v>0</v>
      </c>
      <c r="J220" s="22">
        <v>0</v>
      </c>
    </row>
    <row r="221" spans="1:10" s="21" customFormat="1" ht="12" customHeight="1" x14ac:dyDescent="0.2">
      <c r="A221" s="264" t="s">
        <v>220</v>
      </c>
      <c r="B221" s="264"/>
      <c r="C221" s="22">
        <v>1949</v>
      </c>
      <c r="D221" s="22">
        <v>1401</v>
      </c>
      <c r="E221" s="22">
        <v>548</v>
      </c>
      <c r="F221" s="22">
        <v>416</v>
      </c>
      <c r="G221" s="22">
        <v>132</v>
      </c>
      <c r="H221" s="22">
        <v>0</v>
      </c>
      <c r="I221" s="22">
        <v>0</v>
      </c>
      <c r="J221" s="22">
        <v>0</v>
      </c>
    </row>
    <row r="222" spans="1:10" s="21" customFormat="1" ht="12" customHeight="1" x14ac:dyDescent="0.2">
      <c r="A222" s="264" t="s">
        <v>221</v>
      </c>
      <c r="B222" s="264"/>
      <c r="C222" s="22">
        <v>851</v>
      </c>
      <c r="D222" s="22">
        <v>621</v>
      </c>
      <c r="E222" s="22">
        <v>230</v>
      </c>
      <c r="F222" s="22">
        <v>168</v>
      </c>
      <c r="G222" s="22">
        <v>55</v>
      </c>
      <c r="H222" s="22">
        <v>7</v>
      </c>
      <c r="I222" s="22">
        <v>0</v>
      </c>
      <c r="J222" s="22">
        <v>0</v>
      </c>
    </row>
    <row r="223" spans="1:10" s="21" customFormat="1" ht="12" customHeight="1" x14ac:dyDescent="0.2">
      <c r="A223" s="264" t="s">
        <v>222</v>
      </c>
      <c r="B223" s="264"/>
      <c r="C223" s="22">
        <v>488</v>
      </c>
      <c r="D223" s="22">
        <v>197</v>
      </c>
      <c r="E223" s="22">
        <v>291</v>
      </c>
      <c r="F223" s="22">
        <v>82</v>
      </c>
      <c r="G223" s="22">
        <v>209</v>
      </c>
      <c r="H223" s="22">
        <v>0</v>
      </c>
      <c r="I223" s="22">
        <v>0</v>
      </c>
      <c r="J223" s="22">
        <v>0</v>
      </c>
    </row>
    <row r="224" spans="1:10" s="21" customFormat="1" ht="12" customHeight="1" x14ac:dyDescent="0.2">
      <c r="A224" s="264" t="s">
        <v>223</v>
      </c>
      <c r="B224" s="264"/>
      <c r="C224" s="22">
        <v>127</v>
      </c>
      <c r="D224" s="22">
        <v>121</v>
      </c>
      <c r="E224" s="22">
        <v>6</v>
      </c>
      <c r="F224" s="22">
        <v>4</v>
      </c>
      <c r="G224" s="22">
        <v>2</v>
      </c>
      <c r="H224" s="22">
        <v>0</v>
      </c>
      <c r="I224" s="22">
        <v>0</v>
      </c>
      <c r="J224" s="22">
        <v>0</v>
      </c>
    </row>
    <row r="225" spans="1:10" s="21" customFormat="1" ht="12" customHeight="1" x14ac:dyDescent="0.2">
      <c r="A225" s="264" t="s">
        <v>224</v>
      </c>
      <c r="B225" s="264"/>
      <c r="C225" s="22">
        <v>349</v>
      </c>
      <c r="D225" s="22">
        <v>279</v>
      </c>
      <c r="E225" s="22">
        <v>70</v>
      </c>
      <c r="F225" s="22">
        <v>44</v>
      </c>
      <c r="G225" s="22">
        <v>26</v>
      </c>
      <c r="H225" s="22">
        <v>0</v>
      </c>
      <c r="I225" s="22">
        <v>0</v>
      </c>
      <c r="J225" s="22">
        <v>0</v>
      </c>
    </row>
    <row r="226" spans="1:10" s="21" customFormat="1" ht="12" customHeight="1" x14ac:dyDescent="0.2">
      <c r="A226" s="264" t="s">
        <v>225</v>
      </c>
      <c r="B226" s="264"/>
      <c r="C226" s="22">
        <v>782</v>
      </c>
      <c r="D226" s="22">
        <v>418</v>
      </c>
      <c r="E226" s="22">
        <v>364</v>
      </c>
      <c r="F226" s="22">
        <v>220</v>
      </c>
      <c r="G226" s="22">
        <v>144</v>
      </c>
      <c r="H226" s="22">
        <v>0</v>
      </c>
      <c r="I226" s="22">
        <v>0</v>
      </c>
      <c r="J226" s="22">
        <v>0</v>
      </c>
    </row>
    <row r="227" spans="1:10" s="21" customFormat="1" ht="12" customHeight="1" x14ac:dyDescent="0.2">
      <c r="A227" s="264" t="s">
        <v>226</v>
      </c>
      <c r="B227" s="264"/>
      <c r="C227" s="22">
        <v>429</v>
      </c>
      <c r="D227" s="22">
        <v>325</v>
      </c>
      <c r="E227" s="22">
        <v>104</v>
      </c>
      <c r="F227" s="22">
        <v>71</v>
      </c>
      <c r="G227" s="22">
        <v>33</v>
      </c>
      <c r="H227" s="22">
        <v>0</v>
      </c>
      <c r="I227" s="22">
        <v>0</v>
      </c>
      <c r="J227" s="22">
        <v>0</v>
      </c>
    </row>
    <row r="228" spans="1:10" s="21" customFormat="1" ht="12" customHeight="1" x14ac:dyDescent="0.2">
      <c r="A228" s="264" t="s">
        <v>227</v>
      </c>
      <c r="B228" s="264"/>
      <c r="C228" s="22">
        <v>1002</v>
      </c>
      <c r="D228" s="22">
        <v>825</v>
      </c>
      <c r="E228" s="22">
        <v>177</v>
      </c>
      <c r="F228" s="22">
        <v>130</v>
      </c>
      <c r="G228" s="22">
        <v>46</v>
      </c>
      <c r="H228" s="22">
        <v>1</v>
      </c>
      <c r="I228" s="22">
        <v>0</v>
      </c>
      <c r="J228" s="22">
        <v>0</v>
      </c>
    </row>
    <row r="229" spans="1:10" s="21" customFormat="1" ht="12" customHeight="1" x14ac:dyDescent="0.2">
      <c r="A229" s="315" t="s">
        <v>228</v>
      </c>
      <c r="B229" s="315"/>
      <c r="C229" s="28">
        <v>78</v>
      </c>
      <c r="D229" s="28">
        <v>75</v>
      </c>
      <c r="E229" s="28">
        <v>3</v>
      </c>
      <c r="F229" s="28">
        <v>0</v>
      </c>
      <c r="G229" s="28">
        <v>3</v>
      </c>
      <c r="H229" s="28">
        <v>0</v>
      </c>
      <c r="I229" s="28">
        <v>0</v>
      </c>
      <c r="J229" s="28">
        <v>0</v>
      </c>
    </row>
    <row r="230" spans="1:10" s="21" customFormat="1" ht="12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spans="1:10" s="21" customFormat="1" ht="12" customHeight="1" x14ac:dyDescent="0.2">
      <c r="A231" s="263" t="s">
        <v>229</v>
      </c>
      <c r="B231" s="263"/>
      <c r="C231" s="20">
        <f t="shared" ref="C231:J231" si="50">SUM(C232:C239)</f>
        <v>336943</v>
      </c>
      <c r="D231" s="20">
        <f t="shared" si="50"/>
        <v>248599</v>
      </c>
      <c r="E231" s="20">
        <f t="shared" si="50"/>
        <v>88344</v>
      </c>
      <c r="F231" s="20">
        <f t="shared" si="50"/>
        <v>59275</v>
      </c>
      <c r="G231" s="20">
        <f t="shared" si="50"/>
        <v>28171</v>
      </c>
      <c r="H231" s="20">
        <f t="shared" si="50"/>
        <v>643</v>
      </c>
      <c r="I231" s="20">
        <f t="shared" si="50"/>
        <v>220</v>
      </c>
      <c r="J231" s="20">
        <f t="shared" si="50"/>
        <v>35</v>
      </c>
    </row>
    <row r="232" spans="1:10" s="21" customFormat="1" ht="12" customHeight="1" x14ac:dyDescent="0.2">
      <c r="A232" s="264" t="s">
        <v>230</v>
      </c>
      <c r="B232" s="264"/>
      <c r="C232" s="22">
        <f t="shared" ref="C232:J232" si="51">SUM(C59:C72)</f>
        <v>49022</v>
      </c>
      <c r="D232" s="22">
        <f t="shared" si="51"/>
        <v>38082</v>
      </c>
      <c r="E232" s="22">
        <f t="shared" si="51"/>
        <v>10940</v>
      </c>
      <c r="F232" s="22">
        <f t="shared" si="51"/>
        <v>7024</v>
      </c>
      <c r="G232" s="22">
        <f t="shared" si="51"/>
        <v>3750</v>
      </c>
      <c r="H232" s="22">
        <f t="shared" si="51"/>
        <v>104</v>
      </c>
      <c r="I232" s="22">
        <f t="shared" si="51"/>
        <v>60</v>
      </c>
      <c r="J232" s="22">
        <f t="shared" si="51"/>
        <v>2</v>
      </c>
    </row>
    <row r="233" spans="1:10" s="21" customFormat="1" ht="12" customHeight="1" x14ac:dyDescent="0.2">
      <c r="A233" s="264" t="s">
        <v>231</v>
      </c>
      <c r="B233" s="264"/>
      <c r="C233" s="22">
        <f t="shared" ref="C233:J233" si="52">SUM(C75:C134)</f>
        <v>143390</v>
      </c>
      <c r="D233" s="22">
        <f t="shared" si="52"/>
        <v>101271</v>
      </c>
      <c r="E233" s="22">
        <f t="shared" si="52"/>
        <v>42119</v>
      </c>
      <c r="F233" s="22">
        <f t="shared" si="52"/>
        <v>26733</v>
      </c>
      <c r="G233" s="22">
        <f t="shared" si="52"/>
        <v>14933</v>
      </c>
      <c r="H233" s="22">
        <f t="shared" si="52"/>
        <v>313</v>
      </c>
      <c r="I233" s="22">
        <f t="shared" si="52"/>
        <v>107</v>
      </c>
      <c r="J233" s="22">
        <f t="shared" si="52"/>
        <v>33</v>
      </c>
    </row>
    <row r="234" spans="1:10" s="21" customFormat="1" ht="12" customHeight="1" x14ac:dyDescent="0.2">
      <c r="A234" s="264" t="s">
        <v>232</v>
      </c>
      <c r="B234" s="264"/>
      <c r="C234" s="22">
        <f t="shared" ref="C234:J234" si="53">SUM(C137:C165)</f>
        <v>62275</v>
      </c>
      <c r="D234" s="22">
        <f t="shared" si="53"/>
        <v>47255</v>
      </c>
      <c r="E234" s="22">
        <f t="shared" si="53"/>
        <v>15020</v>
      </c>
      <c r="F234" s="22">
        <f t="shared" si="53"/>
        <v>10736</v>
      </c>
      <c r="G234" s="22">
        <f t="shared" si="53"/>
        <v>4197</v>
      </c>
      <c r="H234" s="22">
        <f t="shared" si="53"/>
        <v>68</v>
      </c>
      <c r="I234" s="22">
        <f t="shared" si="53"/>
        <v>19</v>
      </c>
      <c r="J234" s="22">
        <f t="shared" si="53"/>
        <v>0</v>
      </c>
    </row>
    <row r="235" spans="1:10" s="21" customFormat="1" ht="12" customHeight="1" x14ac:dyDescent="0.2">
      <c r="A235" s="264" t="s">
        <v>233</v>
      </c>
      <c r="B235" s="264"/>
      <c r="C235" s="22">
        <f t="shared" ref="C235:J235" si="54">SUM(C168:C175)</f>
        <v>5795</v>
      </c>
      <c r="D235" s="22">
        <f t="shared" si="54"/>
        <v>5189</v>
      </c>
      <c r="E235" s="22">
        <f t="shared" si="54"/>
        <v>606</v>
      </c>
      <c r="F235" s="22">
        <f t="shared" si="54"/>
        <v>420</v>
      </c>
      <c r="G235" s="22">
        <f t="shared" si="54"/>
        <v>186</v>
      </c>
      <c r="H235" s="22">
        <f t="shared" si="54"/>
        <v>0</v>
      </c>
      <c r="I235" s="22">
        <f t="shared" si="54"/>
        <v>0</v>
      </c>
      <c r="J235" s="22">
        <f t="shared" si="54"/>
        <v>0</v>
      </c>
    </row>
    <row r="236" spans="1:10" s="21" customFormat="1" ht="12" customHeight="1" x14ac:dyDescent="0.2">
      <c r="A236" s="264" t="s">
        <v>234</v>
      </c>
      <c r="B236" s="264"/>
      <c r="C236" s="22">
        <f t="shared" ref="C236:J236" si="55">SUM(C178:C194)</f>
        <v>48871</v>
      </c>
      <c r="D236" s="22">
        <f t="shared" si="55"/>
        <v>36145</v>
      </c>
      <c r="E236" s="22">
        <f t="shared" si="55"/>
        <v>12726</v>
      </c>
      <c r="F236" s="22">
        <f t="shared" si="55"/>
        <v>9533</v>
      </c>
      <c r="G236" s="22">
        <f t="shared" si="55"/>
        <v>3076</v>
      </c>
      <c r="H236" s="22">
        <f t="shared" si="55"/>
        <v>93</v>
      </c>
      <c r="I236" s="22">
        <f t="shared" si="55"/>
        <v>24</v>
      </c>
      <c r="J236" s="22">
        <f t="shared" si="55"/>
        <v>0</v>
      </c>
    </row>
    <row r="237" spans="1:10" s="21" customFormat="1" ht="12" customHeight="1" x14ac:dyDescent="0.2">
      <c r="A237" s="264" t="s">
        <v>235</v>
      </c>
      <c r="B237" s="264"/>
      <c r="C237" s="22">
        <f t="shared" ref="C237:J237" si="56">SUM(C197:C202)</f>
        <v>12559</v>
      </c>
      <c r="D237" s="22">
        <f t="shared" si="56"/>
        <v>8773</v>
      </c>
      <c r="E237" s="22">
        <f t="shared" si="56"/>
        <v>3786</v>
      </c>
      <c r="F237" s="22">
        <f t="shared" si="56"/>
        <v>2849</v>
      </c>
      <c r="G237" s="22">
        <f t="shared" si="56"/>
        <v>878</v>
      </c>
      <c r="H237" s="22">
        <f t="shared" si="56"/>
        <v>52</v>
      </c>
      <c r="I237" s="22">
        <f t="shared" si="56"/>
        <v>7</v>
      </c>
      <c r="J237" s="22">
        <f t="shared" si="56"/>
        <v>0</v>
      </c>
    </row>
    <row r="238" spans="1:10" s="21" customFormat="1" ht="12" customHeight="1" x14ac:dyDescent="0.2">
      <c r="A238" s="264" t="s">
        <v>236</v>
      </c>
      <c r="B238" s="264"/>
      <c r="C238" s="22">
        <f t="shared" ref="C238:J238" si="57">SUM(C205:C209)</f>
        <v>5477</v>
      </c>
      <c r="D238" s="22">
        <f t="shared" si="57"/>
        <v>5026</v>
      </c>
      <c r="E238" s="22">
        <f t="shared" si="57"/>
        <v>451</v>
      </c>
      <c r="F238" s="22">
        <f t="shared" si="57"/>
        <v>291</v>
      </c>
      <c r="G238" s="22">
        <f t="shared" si="57"/>
        <v>160</v>
      </c>
      <c r="H238" s="22">
        <f t="shared" si="57"/>
        <v>0</v>
      </c>
      <c r="I238" s="22">
        <f t="shared" si="57"/>
        <v>0</v>
      </c>
      <c r="J238" s="22">
        <f t="shared" si="57"/>
        <v>0</v>
      </c>
    </row>
    <row r="239" spans="1:10" s="21" customFormat="1" ht="12" customHeight="1" x14ac:dyDescent="0.2">
      <c r="A239" s="267" t="s">
        <v>237</v>
      </c>
      <c r="B239" s="267"/>
      <c r="C239" s="28">
        <f t="shared" ref="C239:J239" si="58">SUM(C212:C229)</f>
        <v>9554</v>
      </c>
      <c r="D239" s="28">
        <f t="shared" si="58"/>
        <v>6858</v>
      </c>
      <c r="E239" s="28">
        <f t="shared" si="58"/>
        <v>2696</v>
      </c>
      <c r="F239" s="28">
        <f t="shared" si="58"/>
        <v>1689</v>
      </c>
      <c r="G239" s="28">
        <f t="shared" si="58"/>
        <v>991</v>
      </c>
      <c r="H239" s="28">
        <f t="shared" si="58"/>
        <v>13</v>
      </c>
      <c r="I239" s="28">
        <f t="shared" si="58"/>
        <v>3</v>
      </c>
      <c r="J239" s="28">
        <f t="shared" si="58"/>
        <v>0</v>
      </c>
    </row>
    <row r="240" spans="1:10" s="21" customFormat="1" ht="12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spans="1:10" s="21" customFormat="1" ht="12" customHeight="1" x14ac:dyDescent="0.2">
      <c r="A241" s="263" t="s">
        <v>364</v>
      </c>
      <c r="B241" s="263"/>
      <c r="C241" s="20">
        <f t="shared" ref="C241:J241" si="59">SUM(C242:C245)</f>
        <v>296041</v>
      </c>
      <c r="D241" s="20">
        <f t="shared" si="59"/>
        <v>216625</v>
      </c>
      <c r="E241" s="20">
        <f t="shared" si="59"/>
        <v>79416</v>
      </c>
      <c r="F241" s="20">
        <f t="shared" si="59"/>
        <v>53266</v>
      </c>
      <c r="G241" s="20">
        <f t="shared" si="59"/>
        <v>25333</v>
      </c>
      <c r="H241" s="20">
        <f t="shared" si="59"/>
        <v>576</v>
      </c>
      <c r="I241" s="20">
        <f t="shared" si="59"/>
        <v>206</v>
      </c>
      <c r="J241" s="20">
        <f t="shared" si="59"/>
        <v>35</v>
      </c>
    </row>
    <row r="242" spans="1:10" s="21" customFormat="1" ht="12" customHeight="1" x14ac:dyDescent="0.2">
      <c r="A242" s="264" t="s">
        <v>234</v>
      </c>
      <c r="B242" s="264"/>
      <c r="C242" s="22">
        <f t="shared" ref="C242:J242" si="60">C178+C179+C180+C181+C182+C183+C184+C185+C187+C189+C190+C192+C194+C198+C191</f>
        <v>50805</v>
      </c>
      <c r="D242" s="22">
        <f t="shared" si="60"/>
        <v>37685</v>
      </c>
      <c r="E242" s="22">
        <f t="shared" si="60"/>
        <v>13120</v>
      </c>
      <c r="F242" s="22">
        <f t="shared" si="60"/>
        <v>9829</v>
      </c>
      <c r="G242" s="22">
        <f t="shared" si="60"/>
        <v>3174</v>
      </c>
      <c r="H242" s="22">
        <f t="shared" si="60"/>
        <v>93</v>
      </c>
      <c r="I242" s="22">
        <f t="shared" si="60"/>
        <v>24</v>
      </c>
      <c r="J242" s="22">
        <f t="shared" si="60"/>
        <v>0</v>
      </c>
    </row>
    <row r="243" spans="1:10" s="21" customFormat="1" ht="12" customHeight="1" x14ac:dyDescent="0.2">
      <c r="A243" s="264" t="s">
        <v>238</v>
      </c>
      <c r="B243" s="264"/>
      <c r="C243" s="22">
        <f t="shared" ref="C243:J243" si="61">+C59+C60+C62+C63+C64+C65+C66+C68+C69+C70+C71+C72+C85+C61</f>
        <v>49165</v>
      </c>
      <c r="D243" s="22">
        <f t="shared" si="61"/>
        <v>38189</v>
      </c>
      <c r="E243" s="22">
        <f t="shared" si="61"/>
        <v>10976</v>
      </c>
      <c r="F243" s="22">
        <f t="shared" si="61"/>
        <v>7034</v>
      </c>
      <c r="G243" s="22">
        <f t="shared" si="61"/>
        <v>3776</v>
      </c>
      <c r="H243" s="22">
        <f t="shared" si="61"/>
        <v>104</v>
      </c>
      <c r="I243" s="22">
        <f t="shared" si="61"/>
        <v>60</v>
      </c>
      <c r="J243" s="22">
        <f t="shared" si="61"/>
        <v>2</v>
      </c>
    </row>
    <row r="244" spans="1:10" s="21" customFormat="1" ht="12" customHeight="1" x14ac:dyDescent="0.2">
      <c r="A244" s="264" t="s">
        <v>232</v>
      </c>
      <c r="B244" s="264"/>
      <c r="C244" s="22">
        <f t="shared" ref="C244:J244" si="62">C137+C139+C141+C144+C147+C151+C152+C154+C156+C158+C159+C161+C162+C164+C168+C175+C150+C146</f>
        <v>61478</v>
      </c>
      <c r="D244" s="22">
        <f t="shared" si="62"/>
        <v>46660</v>
      </c>
      <c r="E244" s="22">
        <f t="shared" si="62"/>
        <v>14818</v>
      </c>
      <c r="F244" s="22">
        <f t="shared" si="62"/>
        <v>10645</v>
      </c>
      <c r="G244" s="22">
        <f t="shared" si="62"/>
        <v>4092</v>
      </c>
      <c r="H244" s="22">
        <f t="shared" si="62"/>
        <v>66</v>
      </c>
      <c r="I244" s="22">
        <f t="shared" si="62"/>
        <v>15</v>
      </c>
      <c r="J244" s="22">
        <f t="shared" si="62"/>
        <v>0</v>
      </c>
    </row>
    <row r="245" spans="1:10" s="21" customFormat="1" ht="12" customHeight="1" x14ac:dyDescent="0.2">
      <c r="A245" s="267" t="s">
        <v>231</v>
      </c>
      <c r="B245" s="267"/>
      <c r="C245" s="28">
        <f t="shared" ref="C245:J245" si="63">+C75+C76+C77+C80+C81+C83+C82+C87+C86+C90+C88+C91+C89+C92+C93+C98+C97+C96+C99+C100+C101+C102+C103+C105+C104+C106+C107+C109+C108+C111+C110+C115+C117+C116+C119+C118+C120+C121+C122+C123+C124+C125+C126+C128+C129+C130+C132+C133+C134</f>
        <v>134593</v>
      </c>
      <c r="D245" s="28">
        <f t="shared" si="63"/>
        <v>94091</v>
      </c>
      <c r="E245" s="28">
        <f t="shared" si="63"/>
        <v>40502</v>
      </c>
      <c r="F245" s="28">
        <f t="shared" si="63"/>
        <v>25758</v>
      </c>
      <c r="G245" s="28">
        <f t="shared" si="63"/>
        <v>14291</v>
      </c>
      <c r="H245" s="28">
        <f t="shared" si="63"/>
        <v>313</v>
      </c>
      <c r="I245" s="28">
        <f t="shared" si="63"/>
        <v>107</v>
      </c>
      <c r="J245" s="28">
        <f t="shared" si="63"/>
        <v>33</v>
      </c>
    </row>
    <row r="246" spans="1:10" s="33" customFormat="1" ht="5.25" customHeight="1" x14ac:dyDescent="0.15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</row>
    <row r="247" spans="1:10" s="34" customFormat="1" ht="11.25" x14ac:dyDescent="0.2">
      <c r="A247" s="286" t="s">
        <v>338</v>
      </c>
      <c r="B247" s="286"/>
      <c r="C247" s="286"/>
      <c r="D247" s="286"/>
      <c r="E247" s="286"/>
      <c r="F247" s="286"/>
      <c r="G247" s="286"/>
      <c r="H247" s="286"/>
      <c r="I247" s="286"/>
      <c r="J247" s="286"/>
    </row>
    <row r="248" spans="1:10" s="34" customFormat="1" ht="12" customHeight="1" x14ac:dyDescent="0.2">
      <c r="A248" s="286" t="s">
        <v>363</v>
      </c>
      <c r="B248" s="286"/>
      <c r="C248" s="286"/>
      <c r="D248" s="286"/>
      <c r="E248" s="286"/>
      <c r="F248" s="286"/>
      <c r="G248" s="286"/>
      <c r="H248" s="286"/>
      <c r="I248" s="286"/>
    </row>
    <row r="249" spans="1:10" s="33" customFormat="1" ht="5.25" customHeight="1" x14ac:dyDescent="0.2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</row>
    <row r="250" spans="1:10" s="35" customFormat="1" ht="11.25" x14ac:dyDescent="0.2">
      <c r="A250" s="286" t="s">
        <v>339</v>
      </c>
      <c r="B250" s="286"/>
      <c r="C250" s="286"/>
      <c r="D250" s="286"/>
      <c r="E250" s="286"/>
      <c r="F250" s="286"/>
      <c r="G250" s="286"/>
      <c r="H250" s="286"/>
      <c r="I250" s="286"/>
      <c r="J250" s="286"/>
    </row>
    <row r="251" spans="1:10" s="33" customFormat="1" ht="5.25" customHeight="1" x14ac:dyDescent="0.2">
      <c r="A251" s="314"/>
      <c r="B251" s="314"/>
      <c r="C251" s="314"/>
      <c r="D251" s="314"/>
      <c r="E251" s="314"/>
      <c r="F251" s="314"/>
      <c r="G251" s="314"/>
      <c r="H251" s="314"/>
      <c r="I251" s="314"/>
      <c r="J251" s="314"/>
    </row>
    <row r="252" spans="1:10" s="36" customFormat="1" ht="11.25" x14ac:dyDescent="0.2">
      <c r="A252" s="286" t="s">
        <v>351</v>
      </c>
      <c r="B252" s="286"/>
      <c r="C252" s="286"/>
      <c r="D252" s="286"/>
      <c r="E252" s="286"/>
      <c r="F252" s="286"/>
      <c r="G252" s="286"/>
      <c r="H252" s="286"/>
      <c r="I252" s="286"/>
      <c r="J252" s="286"/>
    </row>
    <row r="253" spans="1:10" s="36" customFormat="1" ht="11.25" x14ac:dyDescent="0.2">
      <c r="A253" s="286" t="s">
        <v>352</v>
      </c>
      <c r="B253" s="286"/>
      <c r="C253" s="286"/>
      <c r="D253" s="286"/>
      <c r="E253" s="286"/>
      <c r="F253" s="286"/>
      <c r="G253" s="286"/>
      <c r="H253" s="286"/>
      <c r="I253" s="286"/>
      <c r="J253" s="286"/>
    </row>
  </sheetData>
  <mergeCells count="221">
    <mergeCell ref="A251:J251"/>
    <mergeCell ref="A252:J252"/>
    <mergeCell ref="A246:J246"/>
    <mergeCell ref="A247:J247"/>
    <mergeCell ref="A249:J249"/>
    <mergeCell ref="A250:J250"/>
    <mergeCell ref="A248:I248"/>
    <mergeCell ref="A243:B243"/>
    <mergeCell ref="A242:B242"/>
    <mergeCell ref="A244:B244"/>
    <mergeCell ref="A245:B245"/>
    <mergeCell ref="A237:B237"/>
    <mergeCell ref="A238:B238"/>
    <mergeCell ref="A239:B239"/>
    <mergeCell ref="A241:B241"/>
    <mergeCell ref="A233:B233"/>
    <mergeCell ref="A234:B234"/>
    <mergeCell ref="A235:B235"/>
    <mergeCell ref="A236:B236"/>
    <mergeCell ref="A228:B228"/>
    <mergeCell ref="A229:B229"/>
    <mergeCell ref="A231:B231"/>
    <mergeCell ref="A232:B232"/>
    <mergeCell ref="A224:B224"/>
    <mergeCell ref="A225:B225"/>
    <mergeCell ref="A226:B226"/>
    <mergeCell ref="A227:B227"/>
    <mergeCell ref="A219:B219"/>
    <mergeCell ref="A220:B220"/>
    <mergeCell ref="A221:B221"/>
    <mergeCell ref="A223:B223"/>
    <mergeCell ref="A214:B214"/>
    <mergeCell ref="A216:B216"/>
    <mergeCell ref="A217:B217"/>
    <mergeCell ref="A218:B218"/>
    <mergeCell ref="A209:B209"/>
    <mergeCell ref="A211:B211"/>
    <mergeCell ref="A212:B212"/>
    <mergeCell ref="A213:B213"/>
    <mergeCell ref="A204:B204"/>
    <mergeCell ref="A205:B205"/>
    <mergeCell ref="A206:B206"/>
    <mergeCell ref="A208:B208"/>
    <mergeCell ref="A199:B199"/>
    <mergeCell ref="A200:B200"/>
    <mergeCell ref="A201:B201"/>
    <mergeCell ref="A202:B202"/>
    <mergeCell ref="A194:B194"/>
    <mergeCell ref="A196:B196"/>
    <mergeCell ref="A197:B197"/>
    <mergeCell ref="A198:B198"/>
    <mergeCell ref="A184:B184"/>
    <mergeCell ref="A185:B185"/>
    <mergeCell ref="A186:B186"/>
    <mergeCell ref="A188:B188"/>
    <mergeCell ref="A180:B180"/>
    <mergeCell ref="A181:B181"/>
    <mergeCell ref="A182:B182"/>
    <mergeCell ref="A183:B183"/>
    <mergeCell ref="A175:B175"/>
    <mergeCell ref="A178:B178"/>
    <mergeCell ref="A177:B177"/>
    <mergeCell ref="A179:B179"/>
    <mergeCell ref="A171:B171"/>
    <mergeCell ref="A172:B172"/>
    <mergeCell ref="A173:B173"/>
    <mergeCell ref="A174:B174"/>
    <mergeCell ref="A167:B167"/>
    <mergeCell ref="A168:B168"/>
    <mergeCell ref="A169:B169"/>
    <mergeCell ref="A170:B170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42:B142"/>
    <mergeCell ref="A143:B143"/>
    <mergeCell ref="A144:B144"/>
    <mergeCell ref="A145:B145"/>
    <mergeCell ref="A139:B139"/>
    <mergeCell ref="A140:B140"/>
    <mergeCell ref="A141:B141"/>
    <mergeCell ref="A138:B138"/>
    <mergeCell ref="A133:B133"/>
    <mergeCell ref="A134:B134"/>
    <mergeCell ref="A136:B136"/>
    <mergeCell ref="A137:B137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85:B85"/>
    <mergeCell ref="A86:B86"/>
    <mergeCell ref="A87:B87"/>
    <mergeCell ref="A88:B88"/>
    <mergeCell ref="A81:B81"/>
    <mergeCell ref="A82:B82"/>
    <mergeCell ref="A83:B83"/>
    <mergeCell ref="A84:B84"/>
    <mergeCell ref="A77:B77"/>
    <mergeCell ref="A78:B78"/>
    <mergeCell ref="A79:B79"/>
    <mergeCell ref="A80:B80"/>
    <mergeCell ref="A72:B72"/>
    <mergeCell ref="A74:B74"/>
    <mergeCell ref="A75:B75"/>
    <mergeCell ref="A76:B76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5:B55"/>
    <mergeCell ref="A56:B56"/>
    <mergeCell ref="A58:B58"/>
    <mergeCell ref="A59:B59"/>
    <mergeCell ref="A54:B54"/>
    <mergeCell ref="A39:B39"/>
    <mergeCell ref="A40:B40"/>
    <mergeCell ref="A42:B42"/>
    <mergeCell ref="A43:B43"/>
    <mergeCell ref="A29:B29"/>
    <mergeCell ref="A32:B32"/>
    <mergeCell ref="A33:B33"/>
    <mergeCell ref="A38:B38"/>
    <mergeCell ref="A17:B17"/>
    <mergeCell ref="A21:B21"/>
    <mergeCell ref="A7:B7"/>
    <mergeCell ref="A8:B8"/>
    <mergeCell ref="A9:B9"/>
    <mergeCell ref="A10:B10"/>
    <mergeCell ref="A44:B44"/>
    <mergeCell ref="A48:B48"/>
    <mergeCell ref="A53:B53"/>
    <mergeCell ref="A5:B5"/>
    <mergeCell ref="A6:B6"/>
    <mergeCell ref="E5:J5"/>
    <mergeCell ref="E6:J6"/>
    <mergeCell ref="A1:J1"/>
    <mergeCell ref="A2:J2"/>
    <mergeCell ref="A3:J3"/>
    <mergeCell ref="A4:J4"/>
    <mergeCell ref="A253:J253"/>
    <mergeCell ref="A187:B187"/>
    <mergeCell ref="A207:B207"/>
    <mergeCell ref="A215:B215"/>
    <mergeCell ref="A222:B222"/>
    <mergeCell ref="A189:B189"/>
    <mergeCell ref="A190:B190"/>
    <mergeCell ref="A191:B191"/>
    <mergeCell ref="A192:B192"/>
    <mergeCell ref="A193:B193"/>
    <mergeCell ref="A23:B23"/>
    <mergeCell ref="A24:B24"/>
    <mergeCell ref="A25:B25"/>
    <mergeCell ref="A26:B26"/>
    <mergeCell ref="A12:B12"/>
    <mergeCell ref="A13:B13"/>
  </mergeCells>
  <phoneticPr fontId="0" type="noConversion"/>
  <pageMargins left="0" right="0" top="0" bottom="0" header="0" footer="0"/>
  <pageSetup paperSize="9" scale="83" orientation="portrait" horizontalDpi="1200" verticalDpi="12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3"/>
  <dimension ref="A1:J253"/>
  <sheetViews>
    <sheetView workbookViewId="0">
      <selection sqref="A1:J1"/>
    </sheetView>
  </sheetViews>
  <sheetFormatPr defaultRowHeight="12" customHeight="1" x14ac:dyDescent="0.2"/>
  <cols>
    <col min="1" max="1" width="2.7109375" style="1" customWidth="1"/>
    <col min="2" max="2" width="25.85546875" style="1" customWidth="1"/>
    <col min="3" max="10" width="11.7109375" style="2" customWidth="1"/>
    <col min="11" max="16384" width="9.140625" style="1"/>
  </cols>
  <sheetData>
    <row r="1" spans="1:10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  <c r="J1" s="310"/>
    </row>
    <row r="2" spans="1:10" s="3" customFormat="1" ht="12.75" customHeight="1" x14ac:dyDescent="0.2">
      <c r="A2" s="320" t="s">
        <v>332</v>
      </c>
      <c r="B2" s="320"/>
      <c r="C2" s="320"/>
      <c r="D2" s="320"/>
      <c r="E2" s="320"/>
      <c r="F2" s="320"/>
      <c r="G2" s="320"/>
      <c r="H2" s="320"/>
      <c r="I2" s="320"/>
      <c r="J2" s="320"/>
    </row>
    <row r="3" spans="1:10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  <c r="J3" s="311"/>
    </row>
    <row r="4" spans="1:10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  <c r="J4" s="311"/>
    </row>
    <row r="5" spans="1:10" s="5" customFormat="1" ht="12" customHeight="1" x14ac:dyDescent="0.2">
      <c r="A5" s="321"/>
      <c r="B5" s="321"/>
      <c r="C5" s="6" t="s">
        <v>1</v>
      </c>
      <c r="D5" s="7" t="s">
        <v>2</v>
      </c>
      <c r="E5" s="322" t="s">
        <v>3</v>
      </c>
      <c r="F5" s="323"/>
      <c r="G5" s="323"/>
      <c r="H5" s="323"/>
      <c r="I5" s="323"/>
      <c r="J5" s="323"/>
    </row>
    <row r="6" spans="1:10" s="5" customFormat="1" ht="12" customHeight="1" x14ac:dyDescent="0.2">
      <c r="A6" s="318"/>
      <c r="B6" s="318"/>
      <c r="C6" s="8"/>
      <c r="D6" s="9"/>
      <c r="E6" s="318"/>
      <c r="F6" s="318"/>
      <c r="G6" s="318"/>
      <c r="H6" s="318"/>
      <c r="I6" s="318"/>
      <c r="J6" s="318"/>
    </row>
    <row r="7" spans="1:10" s="5" customFormat="1" ht="12" customHeight="1" x14ac:dyDescent="0.2">
      <c r="A7" s="318"/>
      <c r="B7" s="318"/>
      <c r="C7" s="10"/>
      <c r="D7" s="10"/>
      <c r="E7" s="10"/>
      <c r="F7" s="10"/>
      <c r="G7" s="10"/>
      <c r="H7" s="10"/>
      <c r="I7" s="10"/>
      <c r="J7" s="10"/>
    </row>
    <row r="8" spans="1:10" s="5" customFormat="1" ht="12" customHeight="1" x14ac:dyDescent="0.2">
      <c r="A8" s="318"/>
      <c r="B8" s="318"/>
      <c r="C8" s="10"/>
      <c r="D8" s="10"/>
      <c r="E8" s="11"/>
      <c r="F8" s="11"/>
      <c r="G8" s="11"/>
      <c r="H8" s="11"/>
      <c r="I8" s="11" t="s">
        <v>333</v>
      </c>
      <c r="J8" s="11" t="s">
        <v>4</v>
      </c>
    </row>
    <row r="9" spans="1:10" s="5" customFormat="1" ht="13.5" customHeight="1" x14ac:dyDescent="0.2">
      <c r="A9" s="319"/>
      <c r="B9" s="319"/>
      <c r="C9" s="12"/>
      <c r="D9" s="13"/>
      <c r="E9" s="14" t="s">
        <v>1</v>
      </c>
      <c r="F9" s="14" t="s">
        <v>6</v>
      </c>
      <c r="G9" s="14" t="s">
        <v>7</v>
      </c>
      <c r="H9" s="14" t="s">
        <v>334</v>
      </c>
      <c r="I9" s="14" t="s">
        <v>335</v>
      </c>
      <c r="J9" s="14" t="s">
        <v>8</v>
      </c>
    </row>
    <row r="10" spans="1:10" s="15" customFormat="1" ht="12" customHeight="1" x14ac:dyDescent="0.2">
      <c r="A10" s="272" t="s">
        <v>10</v>
      </c>
      <c r="B10" s="272"/>
      <c r="C10" s="16">
        <f t="shared" ref="C10:J10" si="0">C12+C23+C38+C42+C53</f>
        <v>333753</v>
      </c>
      <c r="D10" s="16">
        <f t="shared" si="0"/>
        <v>246898</v>
      </c>
      <c r="E10" s="16">
        <f t="shared" si="0"/>
        <v>86855</v>
      </c>
      <c r="F10" s="16">
        <f t="shared" si="0"/>
        <v>59382</v>
      </c>
      <c r="G10" s="16">
        <f t="shared" si="0"/>
        <v>26562</v>
      </c>
      <c r="H10" s="16">
        <f t="shared" si="0"/>
        <v>668</v>
      </c>
      <c r="I10" s="16">
        <f t="shared" si="0"/>
        <v>211</v>
      </c>
      <c r="J10" s="16">
        <f t="shared" si="0"/>
        <v>32</v>
      </c>
    </row>
    <row r="11" spans="1:10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  <c r="J11" s="18"/>
    </row>
    <row r="12" spans="1:10" s="19" customFormat="1" ht="12" customHeight="1" x14ac:dyDescent="0.2">
      <c r="A12" s="263" t="s">
        <v>11</v>
      </c>
      <c r="B12" s="263"/>
      <c r="C12" s="20">
        <f t="shared" ref="C12:J12" si="1">C13+C17+C21</f>
        <v>29016</v>
      </c>
      <c r="D12" s="20">
        <f t="shared" si="1"/>
        <v>21757</v>
      </c>
      <c r="E12" s="20">
        <f t="shared" si="1"/>
        <v>7259</v>
      </c>
      <c r="F12" s="20">
        <f t="shared" si="1"/>
        <v>5095</v>
      </c>
      <c r="G12" s="20">
        <f t="shared" si="1"/>
        <v>2086</v>
      </c>
      <c r="H12" s="20">
        <f t="shared" si="1"/>
        <v>70</v>
      </c>
      <c r="I12" s="20">
        <f t="shared" si="1"/>
        <v>8</v>
      </c>
      <c r="J12" s="20">
        <f t="shared" si="1"/>
        <v>0</v>
      </c>
    </row>
    <row r="13" spans="1:10" s="21" customFormat="1" ht="12" customHeight="1" x14ac:dyDescent="0.2">
      <c r="A13" s="264" t="s">
        <v>12</v>
      </c>
      <c r="B13" s="264"/>
      <c r="C13" s="22">
        <f t="shared" ref="C13:J13" si="2">C14+C15+C16</f>
        <v>9600</v>
      </c>
      <c r="D13" s="22">
        <f t="shared" si="2"/>
        <v>6834</v>
      </c>
      <c r="E13" s="22">
        <f t="shared" si="2"/>
        <v>2766</v>
      </c>
      <c r="F13" s="22">
        <f t="shared" si="2"/>
        <v>1755</v>
      </c>
      <c r="G13" s="22">
        <f t="shared" si="2"/>
        <v>996</v>
      </c>
      <c r="H13" s="22">
        <f t="shared" si="2"/>
        <v>14</v>
      </c>
      <c r="I13" s="22">
        <f t="shared" si="2"/>
        <v>1</v>
      </c>
      <c r="J13" s="22">
        <f t="shared" si="2"/>
        <v>0</v>
      </c>
    </row>
    <row r="14" spans="1:10" s="21" customFormat="1" ht="12" customHeight="1" x14ac:dyDescent="0.2">
      <c r="A14" s="23"/>
      <c r="B14" s="24" t="s">
        <v>13</v>
      </c>
      <c r="C14" s="22">
        <f t="shared" ref="C14:J14" si="3">C212+C214+C220+C227+C228</f>
        <v>3238</v>
      </c>
      <c r="D14" s="22">
        <f t="shared" si="3"/>
        <v>2584</v>
      </c>
      <c r="E14" s="22">
        <f t="shared" si="3"/>
        <v>654</v>
      </c>
      <c r="F14" s="22">
        <f t="shared" si="3"/>
        <v>446</v>
      </c>
      <c r="G14" s="22">
        <f t="shared" si="3"/>
        <v>206</v>
      </c>
      <c r="H14" s="22">
        <f t="shared" si="3"/>
        <v>1</v>
      </c>
      <c r="I14" s="22">
        <f t="shared" si="3"/>
        <v>1</v>
      </c>
      <c r="J14" s="22">
        <f t="shared" si="3"/>
        <v>0</v>
      </c>
    </row>
    <row r="15" spans="1:10" s="21" customFormat="1" ht="12" customHeight="1" x14ac:dyDescent="0.2">
      <c r="A15" s="23"/>
      <c r="B15" s="24" t="s">
        <v>14</v>
      </c>
      <c r="C15" s="22">
        <f t="shared" ref="C15:J15" si="4">+C213+C221+C216+C217+C218+C219+C223+C224+C229</f>
        <v>3382</v>
      </c>
      <c r="D15" s="22">
        <f t="shared" si="4"/>
        <v>2395</v>
      </c>
      <c r="E15" s="22">
        <f t="shared" si="4"/>
        <v>987</v>
      </c>
      <c r="F15" s="22">
        <f t="shared" si="4"/>
        <v>574</v>
      </c>
      <c r="G15" s="22">
        <f t="shared" si="4"/>
        <v>413</v>
      </c>
      <c r="H15" s="22">
        <f t="shared" si="4"/>
        <v>0</v>
      </c>
      <c r="I15" s="22">
        <f t="shared" si="4"/>
        <v>0</v>
      </c>
      <c r="J15" s="22">
        <f t="shared" si="4"/>
        <v>0</v>
      </c>
    </row>
    <row r="16" spans="1:10" s="21" customFormat="1" ht="12" customHeight="1" x14ac:dyDescent="0.2">
      <c r="A16" s="23"/>
      <c r="B16" s="25" t="s">
        <v>15</v>
      </c>
      <c r="C16" s="22">
        <f t="shared" ref="C16:J16" si="5">C215+C222+C225+C226</f>
        <v>2980</v>
      </c>
      <c r="D16" s="22">
        <f t="shared" si="5"/>
        <v>1855</v>
      </c>
      <c r="E16" s="22">
        <f t="shared" si="5"/>
        <v>1125</v>
      </c>
      <c r="F16" s="22">
        <f t="shared" si="5"/>
        <v>735</v>
      </c>
      <c r="G16" s="22">
        <f t="shared" si="5"/>
        <v>377</v>
      </c>
      <c r="H16" s="22">
        <f t="shared" si="5"/>
        <v>13</v>
      </c>
      <c r="I16" s="22">
        <f t="shared" si="5"/>
        <v>0</v>
      </c>
      <c r="J16" s="22">
        <f t="shared" si="5"/>
        <v>0</v>
      </c>
    </row>
    <row r="17" spans="1:10" s="21" customFormat="1" ht="12" customHeight="1" x14ac:dyDescent="0.2">
      <c r="A17" s="264" t="s">
        <v>16</v>
      </c>
      <c r="B17" s="264"/>
      <c r="C17" s="22">
        <f t="shared" ref="C17:J17" si="6">C18+C19+C20</f>
        <v>5530</v>
      </c>
      <c r="D17" s="22">
        <f t="shared" si="6"/>
        <v>5075</v>
      </c>
      <c r="E17" s="22">
        <f t="shared" si="6"/>
        <v>455</v>
      </c>
      <c r="F17" s="22">
        <f t="shared" si="6"/>
        <v>288</v>
      </c>
      <c r="G17" s="22">
        <f t="shared" si="6"/>
        <v>165</v>
      </c>
      <c r="H17" s="22">
        <f t="shared" si="6"/>
        <v>0</v>
      </c>
      <c r="I17" s="22">
        <f t="shared" si="6"/>
        <v>2</v>
      </c>
      <c r="J17" s="22">
        <f t="shared" si="6"/>
        <v>0</v>
      </c>
    </row>
    <row r="18" spans="1:10" s="21" customFormat="1" ht="12" customHeight="1" x14ac:dyDescent="0.2">
      <c r="A18" s="23"/>
      <c r="B18" s="24" t="s">
        <v>17</v>
      </c>
      <c r="C18" s="22">
        <f t="shared" ref="C18:J18" si="7">+C206</f>
        <v>1697</v>
      </c>
      <c r="D18" s="22">
        <f t="shared" si="7"/>
        <v>1589</v>
      </c>
      <c r="E18" s="22">
        <f t="shared" si="7"/>
        <v>108</v>
      </c>
      <c r="F18" s="22">
        <f t="shared" si="7"/>
        <v>69</v>
      </c>
      <c r="G18" s="22">
        <f t="shared" si="7"/>
        <v>39</v>
      </c>
      <c r="H18" s="22">
        <f t="shared" si="7"/>
        <v>0</v>
      </c>
      <c r="I18" s="22">
        <f t="shared" si="7"/>
        <v>0</v>
      </c>
      <c r="J18" s="22">
        <f t="shared" si="7"/>
        <v>0</v>
      </c>
    </row>
    <row r="19" spans="1:10" s="21" customFormat="1" ht="12" customHeight="1" x14ac:dyDescent="0.2">
      <c r="A19" s="23"/>
      <c r="B19" s="24" t="s">
        <v>18</v>
      </c>
      <c r="C19" s="22">
        <f t="shared" ref="C19:J19" si="8">+C205</f>
        <v>1841</v>
      </c>
      <c r="D19" s="22">
        <f t="shared" si="8"/>
        <v>1639</v>
      </c>
      <c r="E19" s="22">
        <f t="shared" si="8"/>
        <v>202</v>
      </c>
      <c r="F19" s="22">
        <f t="shared" si="8"/>
        <v>131</v>
      </c>
      <c r="G19" s="22">
        <f t="shared" si="8"/>
        <v>71</v>
      </c>
      <c r="H19" s="22">
        <f t="shared" si="8"/>
        <v>0</v>
      </c>
      <c r="I19" s="22">
        <f t="shared" si="8"/>
        <v>0</v>
      </c>
      <c r="J19" s="22">
        <f t="shared" si="8"/>
        <v>0</v>
      </c>
    </row>
    <row r="20" spans="1:10" s="21" customFormat="1" ht="12" customHeight="1" x14ac:dyDescent="0.2">
      <c r="A20" s="26"/>
      <c r="B20" s="24" t="s">
        <v>19</v>
      </c>
      <c r="C20" s="22">
        <f t="shared" ref="C20:J20" si="9">C207+C208+C209</f>
        <v>1992</v>
      </c>
      <c r="D20" s="22">
        <f t="shared" si="9"/>
        <v>1847</v>
      </c>
      <c r="E20" s="22">
        <f t="shared" si="9"/>
        <v>145</v>
      </c>
      <c r="F20" s="22">
        <f t="shared" si="9"/>
        <v>88</v>
      </c>
      <c r="G20" s="22">
        <f t="shared" si="9"/>
        <v>55</v>
      </c>
      <c r="H20" s="22">
        <f t="shared" si="9"/>
        <v>0</v>
      </c>
      <c r="I20" s="22">
        <f t="shared" si="9"/>
        <v>2</v>
      </c>
      <c r="J20" s="22">
        <f t="shared" si="9"/>
        <v>0</v>
      </c>
    </row>
    <row r="21" spans="1:10" s="21" customFormat="1" ht="12" customHeight="1" x14ac:dyDescent="0.2">
      <c r="A21" s="267" t="s">
        <v>20</v>
      </c>
      <c r="B21" s="267"/>
      <c r="C21" s="28">
        <f t="shared" ref="C21:J21" si="10">C197+C198+C199+C183+C200+C201+C188+C202+C191</f>
        <v>13886</v>
      </c>
      <c r="D21" s="28">
        <f t="shared" si="10"/>
        <v>9848</v>
      </c>
      <c r="E21" s="28">
        <f t="shared" si="10"/>
        <v>4038</v>
      </c>
      <c r="F21" s="28">
        <f t="shared" si="10"/>
        <v>3052</v>
      </c>
      <c r="G21" s="28">
        <f t="shared" si="10"/>
        <v>925</v>
      </c>
      <c r="H21" s="28">
        <f t="shared" si="10"/>
        <v>56</v>
      </c>
      <c r="I21" s="28">
        <f t="shared" si="10"/>
        <v>5</v>
      </c>
      <c r="J21" s="28">
        <f t="shared" si="10"/>
        <v>0</v>
      </c>
    </row>
    <row r="22" spans="1:10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s="19" customFormat="1" ht="12" customHeight="1" x14ac:dyDescent="0.2">
      <c r="A23" s="263" t="s">
        <v>21</v>
      </c>
      <c r="B23" s="263"/>
      <c r="C23" s="20">
        <f t="shared" ref="C23:J23" si="11">C24+C25+C26+C29+C32+C33</f>
        <v>67469</v>
      </c>
      <c r="D23" s="20">
        <f t="shared" si="11"/>
        <v>52146</v>
      </c>
      <c r="E23" s="20">
        <f t="shared" si="11"/>
        <v>15323</v>
      </c>
      <c r="F23" s="20">
        <f t="shared" si="11"/>
        <v>11119</v>
      </c>
      <c r="G23" s="20">
        <f t="shared" si="11"/>
        <v>4117</v>
      </c>
      <c r="H23" s="20">
        <f t="shared" si="11"/>
        <v>69</v>
      </c>
      <c r="I23" s="20">
        <f t="shared" si="11"/>
        <v>18</v>
      </c>
      <c r="J23" s="20">
        <f t="shared" si="11"/>
        <v>0</v>
      </c>
    </row>
    <row r="24" spans="1:10" s="21" customFormat="1" ht="12" customHeight="1" x14ac:dyDescent="0.2">
      <c r="A24" s="264" t="s">
        <v>22</v>
      </c>
      <c r="B24" s="264"/>
      <c r="C24" s="22">
        <f t="shared" ref="C24:J24" si="12">C137+C139+C140+C151+C152+C154+C156+C158+C159</f>
        <v>40524</v>
      </c>
      <c r="D24" s="22">
        <f t="shared" si="12"/>
        <v>29356</v>
      </c>
      <c r="E24" s="22">
        <f t="shared" si="12"/>
        <v>11168</v>
      </c>
      <c r="F24" s="22">
        <f t="shared" si="12"/>
        <v>8040</v>
      </c>
      <c r="G24" s="22">
        <f t="shared" si="12"/>
        <v>3046</v>
      </c>
      <c r="H24" s="22">
        <f t="shared" si="12"/>
        <v>67</v>
      </c>
      <c r="I24" s="22">
        <f t="shared" si="12"/>
        <v>15</v>
      </c>
      <c r="J24" s="22">
        <f t="shared" si="12"/>
        <v>0</v>
      </c>
    </row>
    <row r="25" spans="1:10" s="21" customFormat="1" ht="12" customHeight="1" x14ac:dyDescent="0.2">
      <c r="A25" s="264" t="s">
        <v>23</v>
      </c>
      <c r="B25" s="264"/>
      <c r="C25" s="22">
        <f t="shared" ref="C25:J25" si="13">C146</f>
        <v>4888</v>
      </c>
      <c r="D25" s="22">
        <f t="shared" si="13"/>
        <v>3944</v>
      </c>
      <c r="E25" s="22">
        <f t="shared" si="13"/>
        <v>944</v>
      </c>
      <c r="F25" s="22">
        <f t="shared" si="13"/>
        <v>670</v>
      </c>
      <c r="G25" s="22">
        <f t="shared" si="13"/>
        <v>272</v>
      </c>
      <c r="H25" s="22">
        <f t="shared" si="13"/>
        <v>1</v>
      </c>
      <c r="I25" s="22">
        <f t="shared" si="13"/>
        <v>1</v>
      </c>
      <c r="J25" s="22">
        <f t="shared" si="13"/>
        <v>0</v>
      </c>
    </row>
    <row r="26" spans="1:10" s="21" customFormat="1" ht="12" customHeight="1" x14ac:dyDescent="0.2">
      <c r="A26" s="264" t="s">
        <v>24</v>
      </c>
      <c r="B26" s="264"/>
      <c r="C26" s="22">
        <f t="shared" ref="C26:J26" si="14">C27+C28</f>
        <v>11891</v>
      </c>
      <c r="D26" s="22">
        <f t="shared" si="14"/>
        <v>9737</v>
      </c>
      <c r="E26" s="22">
        <f t="shared" si="14"/>
        <v>2154</v>
      </c>
      <c r="F26" s="22">
        <f t="shared" si="14"/>
        <v>1656</v>
      </c>
      <c r="G26" s="22">
        <f t="shared" si="14"/>
        <v>495</v>
      </c>
      <c r="H26" s="22">
        <f t="shared" si="14"/>
        <v>1</v>
      </c>
      <c r="I26" s="22">
        <f t="shared" si="14"/>
        <v>2</v>
      </c>
      <c r="J26" s="22">
        <f t="shared" si="14"/>
        <v>0</v>
      </c>
    </row>
    <row r="27" spans="1:10" s="21" customFormat="1" ht="12" customHeight="1" x14ac:dyDescent="0.2">
      <c r="A27" s="29"/>
      <c r="B27" s="24" t="s">
        <v>25</v>
      </c>
      <c r="C27" s="22">
        <f t="shared" ref="C27:J27" si="15">C138+C143+C145+C153+C160+C165</f>
        <v>914</v>
      </c>
      <c r="D27" s="22">
        <f t="shared" si="15"/>
        <v>853</v>
      </c>
      <c r="E27" s="22">
        <f t="shared" si="15"/>
        <v>61</v>
      </c>
      <c r="F27" s="22">
        <f t="shared" si="15"/>
        <v>31</v>
      </c>
      <c r="G27" s="22">
        <f t="shared" si="15"/>
        <v>30</v>
      </c>
      <c r="H27" s="22">
        <f t="shared" si="15"/>
        <v>0</v>
      </c>
      <c r="I27" s="22">
        <f t="shared" si="15"/>
        <v>0</v>
      </c>
      <c r="J27" s="22">
        <f t="shared" si="15"/>
        <v>0</v>
      </c>
    </row>
    <row r="28" spans="1:10" s="21" customFormat="1" ht="12" customHeight="1" x14ac:dyDescent="0.2">
      <c r="A28" s="26"/>
      <c r="B28" s="24" t="s">
        <v>26</v>
      </c>
      <c r="C28" s="22">
        <f t="shared" ref="C28:J28" si="16">C144+C147+C150+C162</f>
        <v>10977</v>
      </c>
      <c r="D28" s="22">
        <f t="shared" si="16"/>
        <v>8884</v>
      </c>
      <c r="E28" s="22">
        <f t="shared" si="16"/>
        <v>2093</v>
      </c>
      <c r="F28" s="22">
        <f t="shared" si="16"/>
        <v>1625</v>
      </c>
      <c r="G28" s="22">
        <f t="shared" si="16"/>
        <v>465</v>
      </c>
      <c r="H28" s="22">
        <f t="shared" si="16"/>
        <v>1</v>
      </c>
      <c r="I28" s="22">
        <f t="shared" si="16"/>
        <v>2</v>
      </c>
      <c r="J28" s="22">
        <f t="shared" si="16"/>
        <v>0</v>
      </c>
    </row>
    <row r="29" spans="1:10" s="21" customFormat="1" ht="12" customHeight="1" x14ac:dyDescent="0.2">
      <c r="A29" s="264" t="s">
        <v>27</v>
      </c>
      <c r="B29" s="264"/>
      <c r="C29" s="22">
        <f t="shared" ref="C29:J29" si="17">C30+C31</f>
        <v>3645</v>
      </c>
      <c r="D29" s="22">
        <f t="shared" si="17"/>
        <v>3261</v>
      </c>
      <c r="E29" s="22">
        <f t="shared" si="17"/>
        <v>384</v>
      </c>
      <c r="F29" s="22">
        <f t="shared" si="17"/>
        <v>277</v>
      </c>
      <c r="G29" s="22">
        <f t="shared" si="17"/>
        <v>107</v>
      </c>
      <c r="H29" s="22">
        <f t="shared" si="17"/>
        <v>0</v>
      </c>
      <c r="I29" s="22">
        <f t="shared" si="17"/>
        <v>0</v>
      </c>
      <c r="J29" s="22">
        <f t="shared" si="17"/>
        <v>0</v>
      </c>
    </row>
    <row r="30" spans="1:10" s="21" customFormat="1" ht="12" customHeight="1" x14ac:dyDescent="0.2">
      <c r="A30" s="29"/>
      <c r="B30" s="24" t="s">
        <v>28</v>
      </c>
      <c r="C30" s="22">
        <f t="shared" ref="C30:J30" si="18">+C142</f>
        <v>1122</v>
      </c>
      <c r="D30" s="22">
        <f t="shared" si="18"/>
        <v>1020</v>
      </c>
      <c r="E30" s="22">
        <f t="shared" si="18"/>
        <v>102</v>
      </c>
      <c r="F30" s="22">
        <f t="shared" si="18"/>
        <v>70</v>
      </c>
      <c r="G30" s="22">
        <f t="shared" si="18"/>
        <v>32</v>
      </c>
      <c r="H30" s="22">
        <f t="shared" si="18"/>
        <v>0</v>
      </c>
      <c r="I30" s="22">
        <f t="shared" si="18"/>
        <v>0</v>
      </c>
      <c r="J30" s="22">
        <f t="shared" si="18"/>
        <v>0</v>
      </c>
    </row>
    <row r="31" spans="1:10" s="21" customFormat="1" ht="12" customHeight="1" x14ac:dyDescent="0.2">
      <c r="A31" s="26"/>
      <c r="B31" s="24" t="s">
        <v>29</v>
      </c>
      <c r="C31" s="22">
        <f t="shared" ref="C31:J31" si="19">C141+C161+C164</f>
        <v>2523</v>
      </c>
      <c r="D31" s="22">
        <f t="shared" si="19"/>
        <v>2241</v>
      </c>
      <c r="E31" s="22">
        <f t="shared" si="19"/>
        <v>282</v>
      </c>
      <c r="F31" s="22">
        <f t="shared" si="19"/>
        <v>207</v>
      </c>
      <c r="G31" s="22">
        <f t="shared" si="19"/>
        <v>75</v>
      </c>
      <c r="H31" s="22">
        <f t="shared" si="19"/>
        <v>0</v>
      </c>
      <c r="I31" s="22">
        <f t="shared" si="19"/>
        <v>0</v>
      </c>
      <c r="J31" s="22">
        <f t="shared" si="19"/>
        <v>0</v>
      </c>
    </row>
    <row r="32" spans="1:10" s="21" customFormat="1" ht="12" customHeight="1" x14ac:dyDescent="0.2">
      <c r="A32" s="264" t="s">
        <v>30</v>
      </c>
      <c r="B32" s="264"/>
      <c r="C32" s="22">
        <f t="shared" ref="C32:J32" si="20">C148+C149+C155+C157+C163</f>
        <v>759</v>
      </c>
      <c r="D32" s="22">
        <f t="shared" si="20"/>
        <v>699</v>
      </c>
      <c r="E32" s="22">
        <f t="shared" si="20"/>
        <v>60</v>
      </c>
      <c r="F32" s="22">
        <f t="shared" si="20"/>
        <v>42</v>
      </c>
      <c r="G32" s="22">
        <f t="shared" si="20"/>
        <v>18</v>
      </c>
      <c r="H32" s="22">
        <f t="shared" si="20"/>
        <v>0</v>
      </c>
      <c r="I32" s="22">
        <f t="shared" si="20"/>
        <v>0</v>
      </c>
      <c r="J32" s="22">
        <f t="shared" si="20"/>
        <v>0</v>
      </c>
    </row>
    <row r="33" spans="1:10" s="21" customFormat="1" ht="12" customHeight="1" x14ac:dyDescent="0.2">
      <c r="A33" s="264" t="s">
        <v>31</v>
      </c>
      <c r="B33" s="264"/>
      <c r="C33" s="22">
        <f t="shared" ref="C33:J33" si="21">C34+C35+C36</f>
        <v>5762</v>
      </c>
      <c r="D33" s="22">
        <f t="shared" si="21"/>
        <v>5149</v>
      </c>
      <c r="E33" s="22">
        <f t="shared" si="21"/>
        <v>613</v>
      </c>
      <c r="F33" s="22">
        <f t="shared" si="21"/>
        <v>434</v>
      </c>
      <c r="G33" s="22">
        <f t="shared" si="21"/>
        <v>179</v>
      </c>
      <c r="H33" s="22">
        <f t="shared" si="21"/>
        <v>0</v>
      </c>
      <c r="I33" s="22">
        <f t="shared" si="21"/>
        <v>0</v>
      </c>
      <c r="J33" s="22">
        <f t="shared" si="21"/>
        <v>0</v>
      </c>
    </row>
    <row r="34" spans="1:10" s="21" customFormat="1" ht="12" customHeight="1" x14ac:dyDescent="0.2">
      <c r="A34" s="29"/>
      <c r="B34" s="24" t="s">
        <v>32</v>
      </c>
      <c r="C34" s="22">
        <f t="shared" ref="C34:J34" si="22">C173</f>
        <v>535</v>
      </c>
      <c r="D34" s="22">
        <f t="shared" si="22"/>
        <v>500</v>
      </c>
      <c r="E34" s="22">
        <f t="shared" si="22"/>
        <v>35</v>
      </c>
      <c r="F34" s="22">
        <f t="shared" si="22"/>
        <v>17</v>
      </c>
      <c r="G34" s="22">
        <f t="shared" si="22"/>
        <v>18</v>
      </c>
      <c r="H34" s="22">
        <f t="shared" si="22"/>
        <v>0</v>
      </c>
      <c r="I34" s="22">
        <f t="shared" si="22"/>
        <v>0</v>
      </c>
      <c r="J34" s="22">
        <f t="shared" si="22"/>
        <v>0</v>
      </c>
    </row>
    <row r="35" spans="1:10" s="21" customFormat="1" ht="12" customHeight="1" x14ac:dyDescent="0.2">
      <c r="A35" s="23"/>
      <c r="B35" s="24" t="s">
        <v>33</v>
      </c>
      <c r="C35" s="22">
        <f t="shared" ref="C35:J35" si="23">C169+C170+C171+C174</f>
        <v>205</v>
      </c>
      <c r="D35" s="22">
        <f t="shared" si="23"/>
        <v>187</v>
      </c>
      <c r="E35" s="22">
        <f t="shared" si="23"/>
        <v>18</v>
      </c>
      <c r="F35" s="22">
        <f t="shared" si="23"/>
        <v>8</v>
      </c>
      <c r="G35" s="22">
        <f t="shared" si="23"/>
        <v>10</v>
      </c>
      <c r="H35" s="22">
        <f t="shared" si="23"/>
        <v>0</v>
      </c>
      <c r="I35" s="22">
        <f t="shared" si="23"/>
        <v>0</v>
      </c>
      <c r="J35" s="22">
        <f t="shared" si="23"/>
        <v>0</v>
      </c>
    </row>
    <row r="36" spans="1:10" s="21" customFormat="1" ht="12" customHeight="1" x14ac:dyDescent="0.2">
      <c r="A36" s="23"/>
      <c r="B36" s="30" t="s">
        <v>34</v>
      </c>
      <c r="C36" s="28">
        <f t="shared" ref="C36:J36" si="24">C168+C172+C175</f>
        <v>5022</v>
      </c>
      <c r="D36" s="28">
        <f t="shared" si="24"/>
        <v>4462</v>
      </c>
      <c r="E36" s="28">
        <f t="shared" si="24"/>
        <v>560</v>
      </c>
      <c r="F36" s="28">
        <f t="shared" si="24"/>
        <v>409</v>
      </c>
      <c r="G36" s="28">
        <f t="shared" si="24"/>
        <v>151</v>
      </c>
      <c r="H36" s="28">
        <f t="shared" si="24"/>
        <v>0</v>
      </c>
      <c r="I36" s="28">
        <f t="shared" si="24"/>
        <v>0</v>
      </c>
      <c r="J36" s="28">
        <f t="shared" si="24"/>
        <v>0</v>
      </c>
    </row>
    <row r="37" spans="1:10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</row>
    <row r="38" spans="1:10" s="19" customFormat="1" ht="12" customHeight="1" x14ac:dyDescent="0.2">
      <c r="A38" s="263" t="s">
        <v>35</v>
      </c>
      <c r="B38" s="263"/>
      <c r="C38" s="20">
        <f t="shared" ref="C38:J38" si="25">C39+C40</f>
        <v>46511</v>
      </c>
      <c r="D38" s="20">
        <f t="shared" si="25"/>
        <v>34239</v>
      </c>
      <c r="E38" s="20">
        <f t="shared" si="25"/>
        <v>12272</v>
      </c>
      <c r="F38" s="20">
        <f t="shared" si="25"/>
        <v>9400</v>
      </c>
      <c r="G38" s="20">
        <f t="shared" si="25"/>
        <v>2747</v>
      </c>
      <c r="H38" s="20">
        <f t="shared" si="25"/>
        <v>99</v>
      </c>
      <c r="I38" s="20">
        <f t="shared" si="25"/>
        <v>26</v>
      </c>
      <c r="J38" s="20">
        <f t="shared" si="25"/>
        <v>0</v>
      </c>
    </row>
    <row r="39" spans="1:10" s="21" customFormat="1" ht="12" customHeight="1" x14ac:dyDescent="0.2">
      <c r="A39" s="264" t="s">
        <v>36</v>
      </c>
      <c r="B39" s="264"/>
      <c r="C39" s="22">
        <f t="shared" ref="C39:J39" si="26">C178+C179+C181+C182+C184+C187+C189+C190+C193+C194</f>
        <v>41124</v>
      </c>
      <c r="D39" s="22">
        <f t="shared" si="26"/>
        <v>30425</v>
      </c>
      <c r="E39" s="22">
        <f t="shared" si="26"/>
        <v>10699</v>
      </c>
      <c r="F39" s="22">
        <f t="shared" si="26"/>
        <v>8179</v>
      </c>
      <c r="G39" s="22">
        <f t="shared" si="26"/>
        <v>2409</v>
      </c>
      <c r="H39" s="22">
        <f t="shared" si="26"/>
        <v>92</v>
      </c>
      <c r="I39" s="22">
        <f t="shared" si="26"/>
        <v>19</v>
      </c>
      <c r="J39" s="22">
        <f t="shared" si="26"/>
        <v>0</v>
      </c>
    </row>
    <row r="40" spans="1:10" s="21" customFormat="1" ht="12" customHeight="1" x14ac:dyDescent="0.2">
      <c r="A40" s="267" t="s">
        <v>37</v>
      </c>
      <c r="B40" s="267"/>
      <c r="C40" s="28">
        <f t="shared" ref="C40:J40" si="27">+C180+C185+C192</f>
        <v>5387</v>
      </c>
      <c r="D40" s="28">
        <f t="shared" si="27"/>
        <v>3814</v>
      </c>
      <c r="E40" s="28">
        <f t="shared" si="27"/>
        <v>1573</v>
      </c>
      <c r="F40" s="28">
        <f t="shared" si="27"/>
        <v>1221</v>
      </c>
      <c r="G40" s="28">
        <f t="shared" si="27"/>
        <v>338</v>
      </c>
      <c r="H40" s="28">
        <f t="shared" si="27"/>
        <v>7</v>
      </c>
      <c r="I40" s="28">
        <f t="shared" si="27"/>
        <v>7</v>
      </c>
      <c r="J40" s="28">
        <f t="shared" si="27"/>
        <v>0</v>
      </c>
    </row>
    <row r="41" spans="1:10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0" s="19" customFormat="1" ht="12" customHeight="1" x14ac:dyDescent="0.2">
      <c r="A42" s="263" t="s">
        <v>38</v>
      </c>
      <c r="B42" s="263"/>
      <c r="C42" s="20">
        <f t="shared" ref="C42:J42" si="28">C43+C44+C48</f>
        <v>137197</v>
      </c>
      <c r="D42" s="20">
        <f t="shared" si="28"/>
        <v>97047</v>
      </c>
      <c r="E42" s="20">
        <f t="shared" si="28"/>
        <v>40150</v>
      </c>
      <c r="F42" s="20">
        <f t="shared" si="28"/>
        <v>26013</v>
      </c>
      <c r="G42" s="20">
        <f t="shared" si="28"/>
        <v>13672</v>
      </c>
      <c r="H42" s="20">
        <f t="shared" si="28"/>
        <v>317</v>
      </c>
      <c r="I42" s="20">
        <f t="shared" si="28"/>
        <v>119</v>
      </c>
      <c r="J42" s="20">
        <f t="shared" si="28"/>
        <v>29</v>
      </c>
    </row>
    <row r="43" spans="1:10" s="21" customFormat="1" ht="12" customHeight="1" x14ac:dyDescent="0.2">
      <c r="A43" s="264" t="s">
        <v>39</v>
      </c>
      <c r="B43" s="264"/>
      <c r="C43" s="22">
        <f t="shared" ref="C43:J43" si="29">C87+C88+C89+C91+C92+C96+C97+C99+C101+C103+C104+C108+C110+C115+C116+C120+C123+C126+C129+C133+C134</f>
        <v>90666</v>
      </c>
      <c r="D43" s="22">
        <f t="shared" si="29"/>
        <v>59136</v>
      </c>
      <c r="E43" s="22">
        <f t="shared" si="29"/>
        <v>31530</v>
      </c>
      <c r="F43" s="22">
        <f t="shared" si="29"/>
        <v>19743</v>
      </c>
      <c r="G43" s="22">
        <f t="shared" si="29"/>
        <v>11332</v>
      </c>
      <c r="H43" s="22">
        <f t="shared" si="29"/>
        <v>309</v>
      </c>
      <c r="I43" s="22">
        <f t="shared" si="29"/>
        <v>117</v>
      </c>
      <c r="J43" s="22">
        <f t="shared" si="29"/>
        <v>29</v>
      </c>
    </row>
    <row r="44" spans="1:10" s="21" customFormat="1" ht="12" customHeight="1" x14ac:dyDescent="0.2">
      <c r="A44" s="270" t="s">
        <v>40</v>
      </c>
      <c r="B44" s="270"/>
      <c r="C44" s="22">
        <f t="shared" ref="C44:J44" si="30">C45+C46+C47</f>
        <v>24542</v>
      </c>
      <c r="D44" s="22">
        <f t="shared" si="30"/>
        <v>20516</v>
      </c>
      <c r="E44" s="22">
        <f t="shared" si="30"/>
        <v>4026</v>
      </c>
      <c r="F44" s="22">
        <f t="shared" si="30"/>
        <v>2914</v>
      </c>
      <c r="G44" s="22">
        <f t="shared" si="30"/>
        <v>1108</v>
      </c>
      <c r="H44" s="22">
        <f t="shared" si="30"/>
        <v>3</v>
      </c>
      <c r="I44" s="22">
        <f t="shared" si="30"/>
        <v>1</v>
      </c>
      <c r="J44" s="22">
        <f t="shared" si="30"/>
        <v>0</v>
      </c>
    </row>
    <row r="45" spans="1:10" s="21" customFormat="1" ht="12" customHeight="1" x14ac:dyDescent="0.2">
      <c r="A45" s="30"/>
      <c r="B45" s="24" t="s">
        <v>41</v>
      </c>
      <c r="C45" s="22">
        <f t="shared" ref="C45:J45" si="31">C80+C113+C102+C186+C106+C111+C130</f>
        <v>12450</v>
      </c>
      <c r="D45" s="22">
        <f t="shared" si="31"/>
        <v>9829</v>
      </c>
      <c r="E45" s="22">
        <f t="shared" si="31"/>
        <v>2621</v>
      </c>
      <c r="F45" s="22">
        <f t="shared" si="31"/>
        <v>1922</v>
      </c>
      <c r="G45" s="22">
        <f t="shared" si="31"/>
        <v>695</v>
      </c>
      <c r="H45" s="22">
        <f t="shared" si="31"/>
        <v>3</v>
      </c>
      <c r="I45" s="22">
        <f t="shared" si="31"/>
        <v>1</v>
      </c>
      <c r="J45" s="22">
        <f t="shared" si="31"/>
        <v>0</v>
      </c>
    </row>
    <row r="46" spans="1:10" s="21" customFormat="1" ht="12" customHeight="1" x14ac:dyDescent="0.2">
      <c r="A46" s="30"/>
      <c r="B46" s="24" t="s">
        <v>42</v>
      </c>
      <c r="C46" s="22">
        <f t="shared" ref="C46:J46" si="32">C90+C119+C121+C128</f>
        <v>11146</v>
      </c>
      <c r="D46" s="22">
        <f t="shared" si="32"/>
        <v>9835</v>
      </c>
      <c r="E46" s="22">
        <f t="shared" si="32"/>
        <v>1311</v>
      </c>
      <c r="F46" s="22">
        <f t="shared" si="32"/>
        <v>935</v>
      </c>
      <c r="G46" s="22">
        <f t="shared" si="32"/>
        <v>376</v>
      </c>
      <c r="H46" s="22">
        <f t="shared" si="32"/>
        <v>0</v>
      </c>
      <c r="I46" s="22">
        <f t="shared" si="32"/>
        <v>0</v>
      </c>
      <c r="J46" s="22">
        <f t="shared" si="32"/>
        <v>0</v>
      </c>
    </row>
    <row r="47" spans="1:10" s="21" customFormat="1" ht="12" customHeight="1" x14ac:dyDescent="0.2">
      <c r="A47" s="30"/>
      <c r="B47" s="25" t="s">
        <v>43</v>
      </c>
      <c r="C47" s="22">
        <f t="shared" ref="C47:J47" si="33">C84+C94+C95+C131</f>
        <v>946</v>
      </c>
      <c r="D47" s="22">
        <f t="shared" si="33"/>
        <v>852</v>
      </c>
      <c r="E47" s="22">
        <f t="shared" si="33"/>
        <v>94</v>
      </c>
      <c r="F47" s="22">
        <f t="shared" si="33"/>
        <v>57</v>
      </c>
      <c r="G47" s="22">
        <f t="shared" si="33"/>
        <v>37</v>
      </c>
      <c r="H47" s="22">
        <f t="shared" si="33"/>
        <v>0</v>
      </c>
      <c r="I47" s="22">
        <f t="shared" si="33"/>
        <v>0</v>
      </c>
      <c r="J47" s="22">
        <f t="shared" si="33"/>
        <v>0</v>
      </c>
    </row>
    <row r="48" spans="1:10" s="21" customFormat="1" ht="12" customHeight="1" x14ac:dyDescent="0.2">
      <c r="A48" s="264" t="s">
        <v>44</v>
      </c>
      <c r="B48" s="264"/>
      <c r="C48" s="22">
        <f t="shared" ref="C48:J48" si="34">C49+C50+C51</f>
        <v>21989</v>
      </c>
      <c r="D48" s="22">
        <f t="shared" si="34"/>
        <v>17395</v>
      </c>
      <c r="E48" s="22">
        <f t="shared" si="34"/>
        <v>4594</v>
      </c>
      <c r="F48" s="22">
        <f t="shared" si="34"/>
        <v>3356</v>
      </c>
      <c r="G48" s="22">
        <f t="shared" si="34"/>
        <v>1232</v>
      </c>
      <c r="H48" s="22">
        <f t="shared" si="34"/>
        <v>5</v>
      </c>
      <c r="I48" s="22">
        <f t="shared" si="34"/>
        <v>1</v>
      </c>
      <c r="J48" s="22">
        <f t="shared" si="34"/>
        <v>0</v>
      </c>
    </row>
    <row r="49" spans="1:10" s="21" customFormat="1" ht="12" customHeight="1" x14ac:dyDescent="0.2">
      <c r="A49" s="30"/>
      <c r="B49" s="24" t="s">
        <v>45</v>
      </c>
      <c r="C49" s="22">
        <f t="shared" ref="C49:J49" si="35">+C76+C77+C86+C112</f>
        <v>2612</v>
      </c>
      <c r="D49" s="22">
        <f t="shared" si="35"/>
        <v>2323</v>
      </c>
      <c r="E49" s="22">
        <f t="shared" si="35"/>
        <v>289</v>
      </c>
      <c r="F49" s="22">
        <f t="shared" si="35"/>
        <v>186</v>
      </c>
      <c r="G49" s="22">
        <f t="shared" si="35"/>
        <v>103</v>
      </c>
      <c r="H49" s="22">
        <f t="shared" si="35"/>
        <v>0</v>
      </c>
      <c r="I49" s="22">
        <f t="shared" si="35"/>
        <v>0</v>
      </c>
      <c r="J49" s="22">
        <f t="shared" si="35"/>
        <v>0</v>
      </c>
    </row>
    <row r="50" spans="1:10" s="21" customFormat="1" ht="12" customHeight="1" x14ac:dyDescent="0.2">
      <c r="A50" s="30"/>
      <c r="B50" s="24" t="s">
        <v>46</v>
      </c>
      <c r="C50" s="22">
        <f t="shared" ref="C50:J50" si="36">C79+C81+C98+C100+C114+C118+C124+C127</f>
        <v>5934</v>
      </c>
      <c r="D50" s="22">
        <f t="shared" si="36"/>
        <v>5032</v>
      </c>
      <c r="E50" s="22">
        <f t="shared" si="36"/>
        <v>902</v>
      </c>
      <c r="F50" s="22">
        <f t="shared" si="36"/>
        <v>649</v>
      </c>
      <c r="G50" s="22">
        <f t="shared" si="36"/>
        <v>253</v>
      </c>
      <c r="H50" s="22">
        <f t="shared" si="36"/>
        <v>0</v>
      </c>
      <c r="I50" s="22">
        <f t="shared" si="36"/>
        <v>0</v>
      </c>
      <c r="J50" s="22">
        <f t="shared" si="36"/>
        <v>0</v>
      </c>
    </row>
    <row r="51" spans="1:10" s="21" customFormat="1" ht="12" customHeight="1" x14ac:dyDescent="0.2">
      <c r="A51" s="30"/>
      <c r="B51" s="30" t="s">
        <v>47</v>
      </c>
      <c r="C51" s="28">
        <f t="shared" ref="C51:J51" si="37">C75+C82+C93+C105+C117+C122+C132</f>
        <v>13443</v>
      </c>
      <c r="D51" s="28">
        <f t="shared" si="37"/>
        <v>10040</v>
      </c>
      <c r="E51" s="28">
        <f t="shared" si="37"/>
        <v>3403</v>
      </c>
      <c r="F51" s="28">
        <f t="shared" si="37"/>
        <v>2521</v>
      </c>
      <c r="G51" s="28">
        <f t="shared" si="37"/>
        <v>876</v>
      </c>
      <c r="H51" s="28">
        <f t="shared" si="37"/>
        <v>5</v>
      </c>
      <c r="I51" s="28">
        <f t="shared" si="37"/>
        <v>1</v>
      </c>
      <c r="J51" s="28">
        <f t="shared" si="37"/>
        <v>0</v>
      </c>
    </row>
    <row r="52" spans="1:10" s="21" customFormat="1" ht="12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 s="19" customFormat="1" ht="12" customHeight="1" x14ac:dyDescent="0.2">
      <c r="A53" s="263" t="s">
        <v>48</v>
      </c>
      <c r="B53" s="263"/>
      <c r="C53" s="20">
        <f t="shared" ref="C53:J53" si="38">C54+C55+C56</f>
        <v>53560</v>
      </c>
      <c r="D53" s="20">
        <f t="shared" si="38"/>
        <v>41709</v>
      </c>
      <c r="E53" s="20">
        <f t="shared" si="38"/>
        <v>11851</v>
      </c>
      <c r="F53" s="20">
        <f t="shared" si="38"/>
        <v>7755</v>
      </c>
      <c r="G53" s="20">
        <f t="shared" si="38"/>
        <v>3940</v>
      </c>
      <c r="H53" s="20">
        <f t="shared" si="38"/>
        <v>113</v>
      </c>
      <c r="I53" s="20">
        <f t="shared" si="38"/>
        <v>40</v>
      </c>
      <c r="J53" s="20">
        <f t="shared" si="38"/>
        <v>3</v>
      </c>
    </row>
    <row r="54" spans="1:10" s="21" customFormat="1" ht="12" customHeight="1" x14ac:dyDescent="0.2">
      <c r="A54" s="264" t="s">
        <v>49</v>
      </c>
      <c r="B54" s="264"/>
      <c r="C54" s="22">
        <f t="shared" ref="C54:J54" si="39">C59+C63+C68+C72</f>
        <v>18639</v>
      </c>
      <c r="D54" s="22">
        <f t="shared" si="39"/>
        <v>13286</v>
      </c>
      <c r="E54" s="22">
        <f t="shared" si="39"/>
        <v>5353</v>
      </c>
      <c r="F54" s="22">
        <f t="shared" si="39"/>
        <v>3551</v>
      </c>
      <c r="G54" s="22">
        <f t="shared" si="39"/>
        <v>1657</v>
      </c>
      <c r="H54" s="22">
        <f t="shared" si="39"/>
        <v>105</v>
      </c>
      <c r="I54" s="22">
        <f t="shared" si="39"/>
        <v>37</v>
      </c>
      <c r="J54" s="22">
        <f t="shared" si="39"/>
        <v>3</v>
      </c>
    </row>
    <row r="55" spans="1:10" s="21" customFormat="1" ht="12" customHeight="1" x14ac:dyDescent="0.2">
      <c r="A55" s="264" t="s">
        <v>50</v>
      </c>
      <c r="B55" s="264"/>
      <c r="C55" s="22">
        <f t="shared" ref="C55:J55" si="40">C78+C60+C83+C85+C64+C65+C66+C107+C109+C67+C69+C70+C125+C71</f>
        <v>30961</v>
      </c>
      <c r="D55" s="22">
        <f t="shared" si="40"/>
        <v>24842</v>
      </c>
      <c r="E55" s="22">
        <f t="shared" si="40"/>
        <v>6119</v>
      </c>
      <c r="F55" s="22">
        <f t="shared" si="40"/>
        <v>3924</v>
      </c>
      <c r="G55" s="22">
        <f t="shared" si="40"/>
        <v>2185</v>
      </c>
      <c r="H55" s="22">
        <f t="shared" si="40"/>
        <v>7</v>
      </c>
      <c r="I55" s="22">
        <f t="shared" si="40"/>
        <v>3</v>
      </c>
      <c r="J55" s="22">
        <f t="shared" si="40"/>
        <v>0</v>
      </c>
    </row>
    <row r="56" spans="1:10" s="21" customFormat="1" ht="12" customHeight="1" x14ac:dyDescent="0.2">
      <c r="A56" s="267" t="s">
        <v>51</v>
      </c>
      <c r="B56" s="267"/>
      <c r="C56" s="28">
        <f t="shared" ref="C56:J56" si="41">C62+C61</f>
        <v>3960</v>
      </c>
      <c r="D56" s="28">
        <f t="shared" si="41"/>
        <v>3581</v>
      </c>
      <c r="E56" s="28">
        <f t="shared" si="41"/>
        <v>379</v>
      </c>
      <c r="F56" s="28">
        <f t="shared" si="41"/>
        <v>280</v>
      </c>
      <c r="G56" s="28">
        <f t="shared" si="41"/>
        <v>98</v>
      </c>
      <c r="H56" s="28">
        <f t="shared" si="41"/>
        <v>1</v>
      </c>
      <c r="I56" s="28">
        <f t="shared" si="41"/>
        <v>0</v>
      </c>
      <c r="J56" s="28">
        <f t="shared" si="41"/>
        <v>0</v>
      </c>
    </row>
    <row r="57" spans="1:10" s="21" customFormat="1" ht="12" customHeight="1" x14ac:dyDescent="0.2">
      <c r="A57" s="25"/>
      <c r="B57" s="31"/>
      <c r="C57" s="32"/>
      <c r="D57" s="32"/>
      <c r="E57" s="32"/>
      <c r="F57" s="32"/>
      <c r="G57" s="32"/>
      <c r="H57" s="32"/>
      <c r="I57" s="32"/>
      <c r="J57" s="32"/>
    </row>
    <row r="58" spans="1:10" s="21" customFormat="1" ht="12" customHeight="1" x14ac:dyDescent="0.2">
      <c r="A58" s="269" t="s">
        <v>52</v>
      </c>
      <c r="B58" s="269"/>
      <c r="C58" s="18">
        <f t="shared" ref="C58:J58" si="42">SUM(C59:C72)</f>
        <v>48729</v>
      </c>
      <c r="D58" s="18">
        <f t="shared" si="42"/>
        <v>37941</v>
      </c>
      <c r="E58" s="18">
        <f t="shared" si="42"/>
        <v>10788</v>
      </c>
      <c r="F58" s="18">
        <f t="shared" si="42"/>
        <v>7100</v>
      </c>
      <c r="G58" s="18">
        <f t="shared" si="42"/>
        <v>3532</v>
      </c>
      <c r="H58" s="18">
        <f t="shared" si="42"/>
        <v>113</v>
      </c>
      <c r="I58" s="18">
        <f t="shared" si="42"/>
        <v>40</v>
      </c>
      <c r="J58" s="18">
        <f t="shared" si="42"/>
        <v>3</v>
      </c>
    </row>
    <row r="59" spans="1:10" s="21" customFormat="1" ht="12" customHeight="1" x14ac:dyDescent="0.2">
      <c r="A59" s="264" t="s">
        <v>53</v>
      </c>
      <c r="B59" s="264"/>
      <c r="C59" s="22">
        <f t="shared" ref="C59:C72" si="43">SUM(D59:E59)</f>
        <v>3349</v>
      </c>
      <c r="D59" s="22">
        <v>2645</v>
      </c>
      <c r="E59" s="22">
        <v>704</v>
      </c>
      <c r="F59" s="22">
        <v>512</v>
      </c>
      <c r="G59" s="22">
        <v>190</v>
      </c>
      <c r="H59" s="22">
        <v>2</v>
      </c>
      <c r="I59" s="22">
        <v>0</v>
      </c>
      <c r="J59" s="22">
        <v>0</v>
      </c>
    </row>
    <row r="60" spans="1:10" s="21" customFormat="1" ht="12" customHeight="1" x14ac:dyDescent="0.2">
      <c r="A60" s="264" t="s">
        <v>54</v>
      </c>
      <c r="B60" s="264"/>
      <c r="C60" s="22">
        <f t="shared" si="43"/>
        <v>601</v>
      </c>
      <c r="D60" s="22">
        <v>547</v>
      </c>
      <c r="E60" s="22">
        <v>54</v>
      </c>
      <c r="F60" s="22">
        <v>38</v>
      </c>
      <c r="G60" s="22">
        <v>16</v>
      </c>
      <c r="H60" s="22">
        <v>0</v>
      </c>
      <c r="I60" s="22">
        <v>0</v>
      </c>
      <c r="J60" s="22">
        <v>0</v>
      </c>
    </row>
    <row r="61" spans="1:10" s="21" customFormat="1" ht="12" customHeight="1" x14ac:dyDescent="0.2">
      <c r="A61" s="264" t="s">
        <v>55</v>
      </c>
      <c r="B61" s="264"/>
      <c r="C61" s="22">
        <f t="shared" si="43"/>
        <v>1960</v>
      </c>
      <c r="D61" s="22">
        <v>1794</v>
      </c>
      <c r="E61" s="22">
        <v>166</v>
      </c>
      <c r="F61" s="22">
        <v>126</v>
      </c>
      <c r="G61" s="22">
        <v>40</v>
      </c>
      <c r="H61" s="22">
        <v>0</v>
      </c>
      <c r="I61" s="22">
        <v>0</v>
      </c>
      <c r="J61" s="22">
        <v>0</v>
      </c>
    </row>
    <row r="62" spans="1:10" s="21" customFormat="1" ht="12" customHeight="1" x14ac:dyDescent="0.2">
      <c r="A62" s="264" t="s">
        <v>56</v>
      </c>
      <c r="B62" s="264"/>
      <c r="C62" s="22">
        <f t="shared" si="43"/>
        <v>2000</v>
      </c>
      <c r="D62" s="22">
        <v>1787</v>
      </c>
      <c r="E62" s="22">
        <v>213</v>
      </c>
      <c r="F62" s="22">
        <v>154</v>
      </c>
      <c r="G62" s="22">
        <v>58</v>
      </c>
      <c r="H62" s="22">
        <v>1</v>
      </c>
      <c r="I62" s="22">
        <v>0</v>
      </c>
      <c r="J62" s="22">
        <v>0</v>
      </c>
    </row>
    <row r="63" spans="1:10" s="21" customFormat="1" ht="12" customHeight="1" x14ac:dyDescent="0.2">
      <c r="A63" s="264" t="s">
        <v>57</v>
      </c>
      <c r="B63" s="264"/>
      <c r="C63" s="22">
        <f t="shared" si="43"/>
        <v>7737</v>
      </c>
      <c r="D63" s="22">
        <v>4842</v>
      </c>
      <c r="E63" s="22">
        <v>2895</v>
      </c>
      <c r="F63" s="22">
        <v>1806</v>
      </c>
      <c r="G63" s="22">
        <v>952</v>
      </c>
      <c r="H63" s="22">
        <v>98</v>
      </c>
      <c r="I63" s="22">
        <v>36</v>
      </c>
      <c r="J63" s="22">
        <v>3</v>
      </c>
    </row>
    <row r="64" spans="1:10" s="21" customFormat="1" ht="12" customHeight="1" x14ac:dyDescent="0.2">
      <c r="A64" s="264" t="s">
        <v>58</v>
      </c>
      <c r="B64" s="264"/>
      <c r="C64" s="22">
        <f t="shared" si="43"/>
        <v>2681</v>
      </c>
      <c r="D64" s="22">
        <v>2173</v>
      </c>
      <c r="E64" s="22">
        <v>508</v>
      </c>
      <c r="F64" s="22">
        <v>316</v>
      </c>
      <c r="G64" s="22">
        <v>191</v>
      </c>
      <c r="H64" s="22">
        <v>1</v>
      </c>
      <c r="I64" s="22">
        <v>0</v>
      </c>
      <c r="J64" s="22">
        <v>0</v>
      </c>
    </row>
    <row r="65" spans="1:10" s="21" customFormat="1" ht="12" customHeight="1" x14ac:dyDescent="0.2">
      <c r="A65" s="264" t="s">
        <v>59</v>
      </c>
      <c r="B65" s="264"/>
      <c r="C65" s="22">
        <f t="shared" si="43"/>
        <v>1713</v>
      </c>
      <c r="D65" s="22">
        <v>1439</v>
      </c>
      <c r="E65" s="22">
        <v>274</v>
      </c>
      <c r="F65" s="22">
        <v>187</v>
      </c>
      <c r="G65" s="22">
        <v>86</v>
      </c>
      <c r="H65" s="22">
        <v>1</v>
      </c>
      <c r="I65" s="22">
        <v>0</v>
      </c>
      <c r="J65" s="22">
        <v>0</v>
      </c>
    </row>
    <row r="66" spans="1:10" s="21" customFormat="1" ht="12" customHeight="1" x14ac:dyDescent="0.2">
      <c r="A66" s="264" t="s">
        <v>60</v>
      </c>
      <c r="B66" s="264"/>
      <c r="C66" s="22">
        <f t="shared" si="43"/>
        <v>11582</v>
      </c>
      <c r="D66" s="22">
        <v>9137</v>
      </c>
      <c r="E66" s="22">
        <v>2445</v>
      </c>
      <c r="F66" s="22">
        <v>1436</v>
      </c>
      <c r="G66" s="22">
        <v>1006</v>
      </c>
      <c r="H66" s="22">
        <v>2</v>
      </c>
      <c r="I66" s="22">
        <v>1</v>
      </c>
      <c r="J66" s="22">
        <v>0</v>
      </c>
    </row>
    <row r="67" spans="1:10" s="21" customFormat="1" ht="12" customHeight="1" x14ac:dyDescent="0.2">
      <c r="A67" s="264" t="s">
        <v>61</v>
      </c>
      <c r="B67" s="264"/>
      <c r="C67" s="22">
        <f t="shared" si="43"/>
        <v>317</v>
      </c>
      <c r="D67" s="22">
        <v>288</v>
      </c>
      <c r="E67" s="22">
        <v>29</v>
      </c>
      <c r="F67" s="22">
        <v>18</v>
      </c>
      <c r="G67" s="22">
        <v>11</v>
      </c>
      <c r="H67" s="22">
        <v>0</v>
      </c>
      <c r="I67" s="22">
        <v>0</v>
      </c>
      <c r="J67" s="22">
        <v>0</v>
      </c>
    </row>
    <row r="68" spans="1:10" s="21" customFormat="1" ht="12" customHeight="1" x14ac:dyDescent="0.2">
      <c r="A68" s="264" t="s">
        <v>62</v>
      </c>
      <c r="B68" s="264"/>
      <c r="C68" s="22">
        <f t="shared" si="43"/>
        <v>4506</v>
      </c>
      <c r="D68" s="22">
        <v>3482</v>
      </c>
      <c r="E68" s="22">
        <v>1024</v>
      </c>
      <c r="F68" s="22">
        <v>715</v>
      </c>
      <c r="G68" s="22">
        <v>307</v>
      </c>
      <c r="H68" s="22">
        <v>2</v>
      </c>
      <c r="I68" s="22">
        <v>0</v>
      </c>
      <c r="J68" s="22">
        <v>0</v>
      </c>
    </row>
    <row r="69" spans="1:10" s="21" customFormat="1" ht="12" customHeight="1" x14ac:dyDescent="0.2">
      <c r="A69" s="264" t="s">
        <v>63</v>
      </c>
      <c r="B69" s="264"/>
      <c r="C69" s="22">
        <f t="shared" si="43"/>
        <v>2405</v>
      </c>
      <c r="D69" s="22">
        <v>2033</v>
      </c>
      <c r="E69" s="22">
        <v>372</v>
      </c>
      <c r="F69" s="22">
        <v>298</v>
      </c>
      <c r="G69" s="22">
        <v>74</v>
      </c>
      <c r="H69" s="22">
        <v>0</v>
      </c>
      <c r="I69" s="22">
        <v>0</v>
      </c>
      <c r="J69" s="22">
        <v>0</v>
      </c>
    </row>
    <row r="70" spans="1:10" s="21" customFormat="1" ht="12" customHeight="1" x14ac:dyDescent="0.2">
      <c r="A70" s="264" t="s">
        <v>64</v>
      </c>
      <c r="B70" s="264"/>
      <c r="C70" s="22">
        <f t="shared" si="43"/>
        <v>2490</v>
      </c>
      <c r="D70" s="22">
        <v>2084</v>
      </c>
      <c r="E70" s="22">
        <v>406</v>
      </c>
      <c r="F70" s="22">
        <v>290</v>
      </c>
      <c r="G70" s="22">
        <v>116</v>
      </c>
      <c r="H70" s="22">
        <v>0</v>
      </c>
      <c r="I70" s="22">
        <v>0</v>
      </c>
      <c r="J70" s="22">
        <v>0</v>
      </c>
    </row>
    <row r="71" spans="1:10" s="21" customFormat="1" ht="12" customHeight="1" x14ac:dyDescent="0.2">
      <c r="A71" s="264" t="s">
        <v>65</v>
      </c>
      <c r="B71" s="264"/>
      <c r="C71" s="22">
        <f t="shared" si="43"/>
        <v>4341</v>
      </c>
      <c r="D71" s="22">
        <v>3373</v>
      </c>
      <c r="E71" s="22">
        <v>968</v>
      </c>
      <c r="F71" s="22">
        <v>686</v>
      </c>
      <c r="G71" s="22">
        <v>277</v>
      </c>
      <c r="H71" s="22">
        <v>3</v>
      </c>
      <c r="I71" s="22">
        <v>2</v>
      </c>
      <c r="J71" s="22">
        <v>0</v>
      </c>
    </row>
    <row r="72" spans="1:10" s="21" customFormat="1" ht="12" customHeight="1" x14ac:dyDescent="0.2">
      <c r="A72" s="315" t="s">
        <v>66</v>
      </c>
      <c r="B72" s="315"/>
      <c r="C72" s="28">
        <f t="shared" si="43"/>
        <v>3047</v>
      </c>
      <c r="D72" s="28">
        <v>2317</v>
      </c>
      <c r="E72" s="28">
        <v>730</v>
      </c>
      <c r="F72" s="28">
        <v>518</v>
      </c>
      <c r="G72" s="28">
        <v>208</v>
      </c>
      <c r="H72" s="28">
        <v>3</v>
      </c>
      <c r="I72" s="28">
        <v>1</v>
      </c>
      <c r="J72" s="28">
        <v>0</v>
      </c>
    </row>
    <row r="73" spans="1:10" s="21" customFormat="1" ht="12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 s="21" customFormat="1" ht="12" customHeight="1" x14ac:dyDescent="0.2">
      <c r="A74" s="263" t="s">
        <v>67</v>
      </c>
      <c r="B74" s="263"/>
      <c r="C74" s="20">
        <f t="shared" ref="C74:J74" si="44">SUM(C75:C134)</f>
        <v>141661</v>
      </c>
      <c r="D74" s="20">
        <f t="shared" si="44"/>
        <v>100475</v>
      </c>
      <c r="E74" s="20">
        <f t="shared" si="44"/>
        <v>41186</v>
      </c>
      <c r="F74" s="20">
        <f t="shared" si="44"/>
        <v>26647</v>
      </c>
      <c r="G74" s="20">
        <f t="shared" si="44"/>
        <v>14074</v>
      </c>
      <c r="H74" s="20">
        <f t="shared" si="44"/>
        <v>317</v>
      </c>
      <c r="I74" s="20">
        <f t="shared" si="44"/>
        <v>119</v>
      </c>
      <c r="J74" s="20">
        <f t="shared" si="44"/>
        <v>29</v>
      </c>
    </row>
    <row r="75" spans="1:10" s="21" customFormat="1" ht="12" customHeight="1" x14ac:dyDescent="0.2">
      <c r="A75" s="264" t="s">
        <v>68</v>
      </c>
      <c r="B75" s="264"/>
      <c r="C75" s="22">
        <f t="shared" ref="C75:C134" si="45">SUM(D75:E75)</f>
        <v>3981</v>
      </c>
      <c r="D75" s="22">
        <v>2747</v>
      </c>
      <c r="E75" s="22">
        <v>1234</v>
      </c>
      <c r="F75" s="22">
        <v>921</v>
      </c>
      <c r="G75" s="22">
        <v>312</v>
      </c>
      <c r="H75" s="22">
        <v>1</v>
      </c>
      <c r="I75" s="22">
        <v>0</v>
      </c>
      <c r="J75" s="22">
        <v>0</v>
      </c>
    </row>
    <row r="76" spans="1:10" s="21" customFormat="1" ht="12" customHeight="1" x14ac:dyDescent="0.2">
      <c r="A76" s="264" t="s">
        <v>69</v>
      </c>
      <c r="B76" s="264"/>
      <c r="C76" s="22">
        <f t="shared" si="45"/>
        <v>1316</v>
      </c>
      <c r="D76" s="22">
        <v>1225</v>
      </c>
      <c r="E76" s="22">
        <v>91</v>
      </c>
      <c r="F76" s="22">
        <v>62</v>
      </c>
      <c r="G76" s="22">
        <v>29</v>
      </c>
      <c r="H76" s="22">
        <v>0</v>
      </c>
      <c r="I76" s="22">
        <v>0</v>
      </c>
      <c r="J76" s="22">
        <v>0</v>
      </c>
    </row>
    <row r="77" spans="1:10" s="21" customFormat="1" ht="12" customHeight="1" x14ac:dyDescent="0.2">
      <c r="A77" s="264" t="s">
        <v>70</v>
      </c>
      <c r="B77" s="264"/>
      <c r="C77" s="22">
        <f t="shared" si="45"/>
        <v>308</v>
      </c>
      <c r="D77" s="22">
        <v>265</v>
      </c>
      <c r="E77" s="22">
        <v>43</v>
      </c>
      <c r="F77" s="22">
        <v>29</v>
      </c>
      <c r="G77" s="22">
        <v>14</v>
      </c>
      <c r="H77" s="22">
        <v>0</v>
      </c>
      <c r="I77" s="22">
        <v>0</v>
      </c>
      <c r="J77" s="22">
        <v>0</v>
      </c>
    </row>
    <row r="78" spans="1:10" s="21" customFormat="1" ht="12" customHeight="1" x14ac:dyDescent="0.2">
      <c r="A78" s="264" t="s">
        <v>71</v>
      </c>
      <c r="B78" s="264"/>
      <c r="C78" s="22">
        <f t="shared" si="45"/>
        <v>953</v>
      </c>
      <c r="D78" s="22">
        <v>829</v>
      </c>
      <c r="E78" s="22">
        <v>124</v>
      </c>
      <c r="F78" s="22">
        <v>91</v>
      </c>
      <c r="G78" s="22">
        <v>33</v>
      </c>
      <c r="H78" s="22">
        <v>0</v>
      </c>
      <c r="I78" s="22">
        <v>0</v>
      </c>
      <c r="J78" s="22">
        <v>0</v>
      </c>
    </row>
    <row r="79" spans="1:10" s="21" customFormat="1" ht="12" customHeight="1" x14ac:dyDescent="0.2">
      <c r="A79" s="264" t="s">
        <v>72</v>
      </c>
      <c r="B79" s="264"/>
      <c r="C79" s="22">
        <f t="shared" si="45"/>
        <v>291</v>
      </c>
      <c r="D79" s="22">
        <v>256</v>
      </c>
      <c r="E79" s="22">
        <v>35</v>
      </c>
      <c r="F79" s="22">
        <v>24</v>
      </c>
      <c r="G79" s="22">
        <v>11</v>
      </c>
      <c r="H79" s="22">
        <v>0</v>
      </c>
      <c r="I79" s="22">
        <v>0</v>
      </c>
      <c r="J79" s="22">
        <v>0</v>
      </c>
    </row>
    <row r="80" spans="1:10" s="21" customFormat="1" ht="12" customHeight="1" x14ac:dyDescent="0.2">
      <c r="A80" s="264" t="s">
        <v>73</v>
      </c>
      <c r="B80" s="264"/>
      <c r="C80" s="22">
        <f t="shared" si="45"/>
        <v>1438</v>
      </c>
      <c r="D80" s="22">
        <v>1184</v>
      </c>
      <c r="E80" s="22">
        <v>254</v>
      </c>
      <c r="F80" s="22">
        <v>206</v>
      </c>
      <c r="G80" s="22">
        <v>48</v>
      </c>
      <c r="H80" s="22">
        <v>0</v>
      </c>
      <c r="I80" s="22">
        <v>0</v>
      </c>
      <c r="J80" s="22">
        <v>0</v>
      </c>
    </row>
    <row r="81" spans="1:10" s="21" customFormat="1" ht="12" customHeight="1" x14ac:dyDescent="0.2">
      <c r="A81" s="264" t="s">
        <v>74</v>
      </c>
      <c r="B81" s="264"/>
      <c r="C81" s="22">
        <f t="shared" si="45"/>
        <v>625</v>
      </c>
      <c r="D81" s="22">
        <v>570</v>
      </c>
      <c r="E81" s="22">
        <v>55</v>
      </c>
      <c r="F81" s="22">
        <v>44</v>
      </c>
      <c r="G81" s="22">
        <v>11</v>
      </c>
      <c r="H81" s="22">
        <v>0</v>
      </c>
      <c r="I81" s="22">
        <v>0</v>
      </c>
      <c r="J81" s="22">
        <v>0</v>
      </c>
    </row>
    <row r="82" spans="1:10" s="21" customFormat="1" ht="12" customHeight="1" x14ac:dyDescent="0.2">
      <c r="A82" s="264" t="s">
        <v>75</v>
      </c>
      <c r="B82" s="264"/>
      <c r="C82" s="22">
        <f t="shared" si="45"/>
        <v>2379</v>
      </c>
      <c r="D82" s="22">
        <v>1962</v>
      </c>
      <c r="E82" s="22">
        <v>417</v>
      </c>
      <c r="F82" s="22">
        <v>311</v>
      </c>
      <c r="G82" s="22">
        <v>103</v>
      </c>
      <c r="H82" s="22">
        <v>2</v>
      </c>
      <c r="I82" s="22">
        <v>1</v>
      </c>
      <c r="J82" s="22">
        <v>0</v>
      </c>
    </row>
    <row r="83" spans="1:10" s="21" customFormat="1" ht="12" customHeight="1" x14ac:dyDescent="0.2">
      <c r="A83" s="264" t="s">
        <v>77</v>
      </c>
      <c r="B83" s="264"/>
      <c r="C83" s="22">
        <f t="shared" si="45"/>
        <v>845</v>
      </c>
      <c r="D83" s="22">
        <v>551</v>
      </c>
      <c r="E83" s="22">
        <v>294</v>
      </c>
      <c r="F83" s="22">
        <v>155</v>
      </c>
      <c r="G83" s="22">
        <v>139</v>
      </c>
      <c r="H83" s="22">
        <v>0</v>
      </c>
      <c r="I83" s="22">
        <v>0</v>
      </c>
      <c r="J83" s="22">
        <v>0</v>
      </c>
    </row>
    <row r="84" spans="1:10" s="21" customFormat="1" ht="12" customHeight="1" x14ac:dyDescent="0.2">
      <c r="A84" s="264" t="s">
        <v>78</v>
      </c>
      <c r="B84" s="264"/>
      <c r="C84" s="22">
        <f t="shared" si="45"/>
        <v>142</v>
      </c>
      <c r="D84" s="22">
        <v>114</v>
      </c>
      <c r="E84" s="22">
        <v>28</v>
      </c>
      <c r="F84" s="22">
        <v>12</v>
      </c>
      <c r="G84" s="22">
        <v>16</v>
      </c>
      <c r="H84" s="22">
        <v>0</v>
      </c>
      <c r="I84" s="22">
        <v>0</v>
      </c>
      <c r="J84" s="22">
        <v>0</v>
      </c>
    </row>
    <row r="85" spans="1:10" s="21" customFormat="1" ht="12" customHeight="1" x14ac:dyDescent="0.2">
      <c r="A85" s="264" t="s">
        <v>79</v>
      </c>
      <c r="B85" s="264"/>
      <c r="C85" s="22">
        <f t="shared" si="45"/>
        <v>425</v>
      </c>
      <c r="D85" s="22">
        <v>380</v>
      </c>
      <c r="E85" s="22">
        <v>45</v>
      </c>
      <c r="F85" s="22">
        <v>27</v>
      </c>
      <c r="G85" s="22">
        <v>18</v>
      </c>
      <c r="H85" s="22">
        <v>0</v>
      </c>
      <c r="I85" s="22">
        <v>0</v>
      </c>
      <c r="J85" s="22">
        <v>0</v>
      </c>
    </row>
    <row r="86" spans="1:10" s="21" customFormat="1" ht="12" customHeight="1" x14ac:dyDescent="0.2">
      <c r="A86" s="264" t="s">
        <v>80</v>
      </c>
      <c r="B86" s="264"/>
      <c r="C86" s="22">
        <f t="shared" si="45"/>
        <v>718</v>
      </c>
      <c r="D86" s="22">
        <v>587</v>
      </c>
      <c r="E86" s="22">
        <v>131</v>
      </c>
      <c r="F86" s="22">
        <v>76</v>
      </c>
      <c r="G86" s="22">
        <v>55</v>
      </c>
      <c r="H86" s="22">
        <v>0</v>
      </c>
      <c r="I86" s="22">
        <v>0</v>
      </c>
      <c r="J86" s="22">
        <v>0</v>
      </c>
    </row>
    <row r="87" spans="1:10" s="21" customFormat="1" ht="12" customHeight="1" x14ac:dyDescent="0.2">
      <c r="A87" s="264" t="s">
        <v>81</v>
      </c>
      <c r="B87" s="264"/>
      <c r="C87" s="22">
        <f t="shared" si="45"/>
        <v>1435</v>
      </c>
      <c r="D87" s="22">
        <v>1038</v>
      </c>
      <c r="E87" s="22">
        <v>397</v>
      </c>
      <c r="F87" s="22">
        <v>338</v>
      </c>
      <c r="G87" s="22">
        <v>52</v>
      </c>
      <c r="H87" s="22">
        <v>6</v>
      </c>
      <c r="I87" s="22">
        <v>1</v>
      </c>
      <c r="J87" s="22">
        <v>0</v>
      </c>
    </row>
    <row r="88" spans="1:10" s="21" customFormat="1" ht="12" customHeight="1" x14ac:dyDescent="0.2">
      <c r="A88" s="264" t="s">
        <v>82</v>
      </c>
      <c r="B88" s="264"/>
      <c r="C88" s="22">
        <f t="shared" si="45"/>
        <v>1976</v>
      </c>
      <c r="D88" s="22">
        <v>1645</v>
      </c>
      <c r="E88" s="22">
        <v>331</v>
      </c>
      <c r="F88" s="22">
        <v>226</v>
      </c>
      <c r="G88" s="22">
        <v>104</v>
      </c>
      <c r="H88" s="22">
        <v>0</v>
      </c>
      <c r="I88" s="22">
        <v>1</v>
      </c>
      <c r="J88" s="22">
        <v>0</v>
      </c>
    </row>
    <row r="89" spans="1:10" s="21" customFormat="1" ht="12" customHeight="1" x14ac:dyDescent="0.2">
      <c r="A89" s="264" t="s">
        <v>84</v>
      </c>
      <c r="B89" s="264"/>
      <c r="C89" s="22">
        <f t="shared" si="45"/>
        <v>1963</v>
      </c>
      <c r="D89" s="22">
        <v>1595</v>
      </c>
      <c r="E89" s="22">
        <v>368</v>
      </c>
      <c r="F89" s="22">
        <v>234</v>
      </c>
      <c r="G89" s="22">
        <v>127</v>
      </c>
      <c r="H89" s="22">
        <v>7</v>
      </c>
      <c r="I89" s="22">
        <v>0</v>
      </c>
      <c r="J89" s="22">
        <v>0</v>
      </c>
    </row>
    <row r="90" spans="1:10" s="21" customFormat="1" ht="12" customHeight="1" x14ac:dyDescent="0.2">
      <c r="A90" s="264" t="s">
        <v>85</v>
      </c>
      <c r="B90" s="264"/>
      <c r="C90" s="22">
        <f t="shared" si="45"/>
        <v>6285</v>
      </c>
      <c r="D90" s="22">
        <v>5606</v>
      </c>
      <c r="E90" s="22">
        <v>679</v>
      </c>
      <c r="F90" s="22">
        <v>461</v>
      </c>
      <c r="G90" s="22">
        <v>218</v>
      </c>
      <c r="H90" s="22">
        <v>0</v>
      </c>
      <c r="I90" s="22">
        <v>0</v>
      </c>
      <c r="J90" s="22">
        <v>0</v>
      </c>
    </row>
    <row r="91" spans="1:10" s="21" customFormat="1" ht="12" customHeight="1" x14ac:dyDescent="0.2">
      <c r="A91" s="264" t="s">
        <v>86</v>
      </c>
      <c r="B91" s="264"/>
      <c r="C91" s="22">
        <f t="shared" si="45"/>
        <v>113</v>
      </c>
      <c r="D91" s="22">
        <v>93</v>
      </c>
      <c r="E91" s="22">
        <v>20</v>
      </c>
      <c r="F91" s="22">
        <v>10</v>
      </c>
      <c r="G91" s="22">
        <v>10</v>
      </c>
      <c r="H91" s="22">
        <v>0</v>
      </c>
      <c r="I91" s="22">
        <v>0</v>
      </c>
      <c r="J91" s="22">
        <v>0</v>
      </c>
    </row>
    <row r="92" spans="1:10" s="21" customFormat="1" ht="12" customHeight="1" x14ac:dyDescent="0.2">
      <c r="A92" s="264" t="s">
        <v>87</v>
      </c>
      <c r="B92" s="264"/>
      <c r="C92" s="22">
        <f t="shared" si="45"/>
        <v>812</v>
      </c>
      <c r="D92" s="22">
        <v>647</v>
      </c>
      <c r="E92" s="22">
        <v>165</v>
      </c>
      <c r="F92" s="22">
        <v>98</v>
      </c>
      <c r="G92" s="22">
        <v>67</v>
      </c>
      <c r="H92" s="22">
        <v>0</v>
      </c>
      <c r="I92" s="22">
        <v>0</v>
      </c>
      <c r="J92" s="22">
        <v>0</v>
      </c>
    </row>
    <row r="93" spans="1:10" s="21" customFormat="1" ht="12" customHeight="1" x14ac:dyDescent="0.2">
      <c r="A93" s="264" t="s">
        <v>88</v>
      </c>
      <c r="B93" s="264"/>
      <c r="C93" s="22">
        <f t="shared" si="45"/>
        <v>3988</v>
      </c>
      <c r="D93" s="22">
        <v>2885</v>
      </c>
      <c r="E93" s="22">
        <v>1103</v>
      </c>
      <c r="F93" s="22">
        <v>809</v>
      </c>
      <c r="G93" s="22">
        <v>293</v>
      </c>
      <c r="H93" s="22">
        <v>1</v>
      </c>
      <c r="I93" s="22">
        <v>0</v>
      </c>
      <c r="J93" s="22">
        <v>0</v>
      </c>
    </row>
    <row r="94" spans="1:10" s="21" customFormat="1" ht="12" customHeight="1" x14ac:dyDescent="0.2">
      <c r="A94" s="264" t="s">
        <v>89</v>
      </c>
      <c r="B94" s="264"/>
      <c r="C94" s="22">
        <f t="shared" si="45"/>
        <v>64</v>
      </c>
      <c r="D94" s="22">
        <v>53</v>
      </c>
      <c r="E94" s="22">
        <v>11</v>
      </c>
      <c r="F94" s="22">
        <v>8</v>
      </c>
      <c r="G94" s="22">
        <v>3</v>
      </c>
      <c r="H94" s="22">
        <v>0</v>
      </c>
      <c r="I94" s="22">
        <v>0</v>
      </c>
      <c r="J94" s="22">
        <v>0</v>
      </c>
    </row>
    <row r="95" spans="1:10" s="21" customFormat="1" ht="12" customHeight="1" x14ac:dyDescent="0.2">
      <c r="A95" s="264" t="s">
        <v>90</v>
      </c>
      <c r="B95" s="264"/>
      <c r="C95" s="22">
        <f t="shared" si="45"/>
        <v>118</v>
      </c>
      <c r="D95" s="22">
        <v>113</v>
      </c>
      <c r="E95" s="22">
        <v>5</v>
      </c>
      <c r="F95" s="22">
        <v>2</v>
      </c>
      <c r="G95" s="22">
        <v>3</v>
      </c>
      <c r="H95" s="22">
        <v>0</v>
      </c>
      <c r="I95" s="22">
        <v>0</v>
      </c>
      <c r="J95" s="22">
        <v>0</v>
      </c>
    </row>
    <row r="96" spans="1:10" s="21" customFormat="1" ht="12" customHeight="1" x14ac:dyDescent="0.2">
      <c r="A96" s="264" t="s">
        <v>91</v>
      </c>
      <c r="B96" s="264"/>
      <c r="C96" s="22">
        <f t="shared" si="45"/>
        <v>4217</v>
      </c>
      <c r="D96" s="22">
        <v>3111</v>
      </c>
      <c r="E96" s="22">
        <v>1106</v>
      </c>
      <c r="F96" s="22">
        <v>588</v>
      </c>
      <c r="G96" s="22">
        <v>514</v>
      </c>
      <c r="H96" s="22">
        <v>4</v>
      </c>
      <c r="I96" s="22">
        <v>0</v>
      </c>
      <c r="J96" s="22">
        <v>0</v>
      </c>
    </row>
    <row r="97" spans="1:10" s="21" customFormat="1" ht="12" customHeight="1" x14ac:dyDescent="0.2">
      <c r="A97" s="264" t="s">
        <v>92</v>
      </c>
      <c r="B97" s="264"/>
      <c r="C97" s="22">
        <f t="shared" si="45"/>
        <v>1981</v>
      </c>
      <c r="D97" s="22">
        <v>1761</v>
      </c>
      <c r="E97" s="22">
        <v>220</v>
      </c>
      <c r="F97" s="22">
        <v>158</v>
      </c>
      <c r="G97" s="22">
        <v>62</v>
      </c>
      <c r="H97" s="22">
        <v>0</v>
      </c>
      <c r="I97" s="22">
        <v>0</v>
      </c>
      <c r="J97" s="22">
        <v>0</v>
      </c>
    </row>
    <row r="98" spans="1:10" s="21" customFormat="1" ht="12" customHeight="1" x14ac:dyDescent="0.2">
      <c r="A98" s="264" t="s">
        <v>93</v>
      </c>
      <c r="B98" s="264"/>
      <c r="C98" s="22">
        <f t="shared" si="45"/>
        <v>861</v>
      </c>
      <c r="D98" s="22">
        <v>719</v>
      </c>
      <c r="E98" s="22">
        <v>142</v>
      </c>
      <c r="F98" s="22">
        <v>109</v>
      </c>
      <c r="G98" s="22">
        <v>33</v>
      </c>
      <c r="H98" s="22">
        <v>0</v>
      </c>
      <c r="I98" s="22">
        <v>0</v>
      </c>
      <c r="J98" s="22">
        <v>0</v>
      </c>
    </row>
    <row r="99" spans="1:10" s="21" customFormat="1" ht="12" customHeight="1" x14ac:dyDescent="0.2">
      <c r="A99" s="264" t="s">
        <v>94</v>
      </c>
      <c r="B99" s="264"/>
      <c r="C99" s="22">
        <f t="shared" si="45"/>
        <v>1325</v>
      </c>
      <c r="D99" s="22">
        <v>1131</v>
      </c>
      <c r="E99" s="22">
        <v>194</v>
      </c>
      <c r="F99" s="22">
        <v>133</v>
      </c>
      <c r="G99" s="22">
        <v>61</v>
      </c>
      <c r="H99" s="22">
        <v>0</v>
      </c>
      <c r="I99" s="22">
        <v>0</v>
      </c>
      <c r="J99" s="22">
        <v>0</v>
      </c>
    </row>
    <row r="100" spans="1:10" s="21" customFormat="1" ht="12" customHeight="1" x14ac:dyDescent="0.2">
      <c r="A100" s="264" t="s">
        <v>95</v>
      </c>
      <c r="B100" s="264"/>
      <c r="C100" s="22">
        <f t="shared" si="45"/>
        <v>501</v>
      </c>
      <c r="D100" s="22">
        <v>441</v>
      </c>
      <c r="E100" s="22">
        <v>60</v>
      </c>
      <c r="F100" s="22">
        <v>49</v>
      </c>
      <c r="G100" s="22">
        <v>11</v>
      </c>
      <c r="H100" s="22">
        <v>0</v>
      </c>
      <c r="I100" s="22">
        <v>0</v>
      </c>
      <c r="J100" s="22">
        <v>0</v>
      </c>
    </row>
    <row r="101" spans="1:10" s="21" customFormat="1" ht="12" customHeight="1" x14ac:dyDescent="0.2">
      <c r="A101" s="264" t="s">
        <v>96</v>
      </c>
      <c r="B101" s="264"/>
      <c r="C101" s="22">
        <f t="shared" si="45"/>
        <v>463</v>
      </c>
      <c r="D101" s="22">
        <v>310</v>
      </c>
      <c r="E101" s="22">
        <v>153</v>
      </c>
      <c r="F101" s="22">
        <v>132</v>
      </c>
      <c r="G101" s="22">
        <v>21</v>
      </c>
      <c r="H101" s="22">
        <v>0</v>
      </c>
      <c r="I101" s="22">
        <v>0</v>
      </c>
      <c r="J101" s="22">
        <v>0</v>
      </c>
    </row>
    <row r="102" spans="1:10" s="21" customFormat="1" ht="12" customHeight="1" x14ac:dyDescent="0.2">
      <c r="A102" s="264" t="s">
        <v>97</v>
      </c>
      <c r="B102" s="264"/>
      <c r="C102" s="22">
        <f t="shared" si="45"/>
        <v>1181</v>
      </c>
      <c r="D102" s="22">
        <v>1005</v>
      </c>
      <c r="E102" s="22">
        <v>176</v>
      </c>
      <c r="F102" s="22">
        <v>143</v>
      </c>
      <c r="G102" s="22">
        <v>33</v>
      </c>
      <c r="H102" s="22">
        <v>0</v>
      </c>
      <c r="I102" s="22">
        <v>0</v>
      </c>
      <c r="J102" s="22">
        <v>0</v>
      </c>
    </row>
    <row r="103" spans="1:10" s="21" customFormat="1" ht="12" customHeight="1" x14ac:dyDescent="0.2">
      <c r="A103" s="264" t="s">
        <v>98</v>
      </c>
      <c r="B103" s="264"/>
      <c r="C103" s="22">
        <f t="shared" si="45"/>
        <v>1654</v>
      </c>
      <c r="D103" s="22">
        <v>1009</v>
      </c>
      <c r="E103" s="22">
        <v>645</v>
      </c>
      <c r="F103" s="22">
        <v>540</v>
      </c>
      <c r="G103" s="22">
        <v>104</v>
      </c>
      <c r="H103" s="22">
        <v>1</v>
      </c>
      <c r="I103" s="22">
        <v>0</v>
      </c>
      <c r="J103" s="22">
        <v>0</v>
      </c>
    </row>
    <row r="104" spans="1:10" s="21" customFormat="1" ht="12" customHeight="1" x14ac:dyDescent="0.2">
      <c r="A104" s="264" t="s">
        <v>99</v>
      </c>
      <c r="B104" s="264"/>
      <c r="C104" s="22">
        <f t="shared" si="45"/>
        <v>54667</v>
      </c>
      <c r="D104" s="22">
        <v>33999</v>
      </c>
      <c r="E104" s="22">
        <v>20668</v>
      </c>
      <c r="F104" s="22">
        <v>12731</v>
      </c>
      <c r="G104" s="22">
        <v>7608</v>
      </c>
      <c r="H104" s="22">
        <v>233</v>
      </c>
      <c r="I104" s="22">
        <v>73</v>
      </c>
      <c r="J104" s="22">
        <v>23</v>
      </c>
    </row>
    <row r="105" spans="1:10" s="21" customFormat="1" ht="12" customHeight="1" x14ac:dyDescent="0.2">
      <c r="A105" s="264" t="s">
        <v>100</v>
      </c>
      <c r="B105" s="264"/>
      <c r="C105" s="22">
        <f t="shared" si="45"/>
        <v>1452</v>
      </c>
      <c r="D105" s="22">
        <v>1150</v>
      </c>
      <c r="E105" s="22">
        <v>302</v>
      </c>
      <c r="F105" s="22">
        <v>231</v>
      </c>
      <c r="G105" s="22">
        <v>70</v>
      </c>
      <c r="H105" s="22">
        <v>1</v>
      </c>
      <c r="I105" s="22">
        <v>0</v>
      </c>
      <c r="J105" s="22">
        <v>0</v>
      </c>
    </row>
    <row r="106" spans="1:10" s="21" customFormat="1" ht="12" customHeight="1" x14ac:dyDescent="0.2">
      <c r="A106" s="264" t="s">
        <v>101</v>
      </c>
      <c r="B106" s="264"/>
      <c r="C106" s="22">
        <f t="shared" si="45"/>
        <v>1241</v>
      </c>
      <c r="D106" s="22">
        <v>997</v>
      </c>
      <c r="E106" s="22">
        <v>244</v>
      </c>
      <c r="F106" s="22">
        <v>193</v>
      </c>
      <c r="G106" s="22">
        <v>49</v>
      </c>
      <c r="H106" s="22">
        <v>2</v>
      </c>
      <c r="I106" s="22">
        <v>0</v>
      </c>
      <c r="J106" s="22">
        <v>0</v>
      </c>
    </row>
    <row r="107" spans="1:10" s="21" customFormat="1" ht="12" customHeight="1" x14ac:dyDescent="0.2">
      <c r="A107" s="264" t="s">
        <v>102</v>
      </c>
      <c r="B107" s="264"/>
      <c r="C107" s="22">
        <f t="shared" si="45"/>
        <v>557</v>
      </c>
      <c r="D107" s="22">
        <v>405</v>
      </c>
      <c r="E107" s="22">
        <v>152</v>
      </c>
      <c r="F107" s="22">
        <v>105</v>
      </c>
      <c r="G107" s="22">
        <v>47</v>
      </c>
      <c r="H107" s="22">
        <v>0</v>
      </c>
      <c r="I107" s="22">
        <v>0</v>
      </c>
      <c r="J107" s="22">
        <v>0</v>
      </c>
    </row>
    <row r="108" spans="1:10" s="21" customFormat="1" ht="12" customHeight="1" x14ac:dyDescent="0.2">
      <c r="A108" s="264" t="s">
        <v>103</v>
      </c>
      <c r="B108" s="264"/>
      <c r="C108" s="22">
        <f t="shared" si="45"/>
        <v>5852</v>
      </c>
      <c r="D108" s="22">
        <v>3534</v>
      </c>
      <c r="E108" s="22">
        <v>2318</v>
      </c>
      <c r="F108" s="22">
        <v>1557</v>
      </c>
      <c r="G108" s="22">
        <v>712</v>
      </c>
      <c r="H108" s="22">
        <v>23</v>
      </c>
      <c r="I108" s="22">
        <v>20</v>
      </c>
      <c r="J108" s="22">
        <v>6</v>
      </c>
    </row>
    <row r="109" spans="1:10" s="21" customFormat="1" ht="12" customHeight="1" x14ac:dyDescent="0.2">
      <c r="A109" s="264" t="s">
        <v>104</v>
      </c>
      <c r="B109" s="264"/>
      <c r="C109" s="22">
        <f t="shared" si="45"/>
        <v>1306</v>
      </c>
      <c r="D109" s="22">
        <v>984</v>
      </c>
      <c r="E109" s="22">
        <v>322</v>
      </c>
      <c r="F109" s="22">
        <v>197</v>
      </c>
      <c r="G109" s="22">
        <v>125</v>
      </c>
      <c r="H109" s="22">
        <v>0</v>
      </c>
      <c r="I109" s="22">
        <v>0</v>
      </c>
      <c r="J109" s="22">
        <v>0</v>
      </c>
    </row>
    <row r="110" spans="1:10" s="21" customFormat="1" ht="12" customHeight="1" x14ac:dyDescent="0.2">
      <c r="A110" s="264" t="s">
        <v>105</v>
      </c>
      <c r="B110" s="264"/>
      <c r="C110" s="22">
        <f t="shared" si="45"/>
        <v>1612</v>
      </c>
      <c r="D110" s="22">
        <v>1063</v>
      </c>
      <c r="E110" s="22">
        <v>549</v>
      </c>
      <c r="F110" s="22">
        <v>370</v>
      </c>
      <c r="G110" s="22">
        <v>179</v>
      </c>
      <c r="H110" s="22">
        <v>0</v>
      </c>
      <c r="I110" s="22">
        <v>0</v>
      </c>
      <c r="J110" s="22">
        <v>0</v>
      </c>
    </row>
    <row r="111" spans="1:10" s="21" customFormat="1" ht="12" customHeight="1" x14ac:dyDescent="0.2">
      <c r="A111" s="264" t="s">
        <v>106</v>
      </c>
      <c r="B111" s="264"/>
      <c r="C111" s="22">
        <f t="shared" si="45"/>
        <v>1174</v>
      </c>
      <c r="D111" s="22">
        <v>1020</v>
      </c>
      <c r="E111" s="22">
        <v>154</v>
      </c>
      <c r="F111" s="22">
        <v>115</v>
      </c>
      <c r="G111" s="22">
        <v>39</v>
      </c>
      <c r="H111" s="22">
        <v>0</v>
      </c>
      <c r="I111" s="22">
        <v>0</v>
      </c>
      <c r="J111" s="22">
        <v>0</v>
      </c>
    </row>
    <row r="112" spans="1:10" s="21" customFormat="1" ht="12" customHeight="1" x14ac:dyDescent="0.2">
      <c r="A112" s="264" t="s">
        <v>107</v>
      </c>
      <c r="B112" s="264"/>
      <c r="C112" s="22">
        <f t="shared" si="45"/>
        <v>270</v>
      </c>
      <c r="D112" s="22">
        <v>246</v>
      </c>
      <c r="E112" s="22">
        <v>24</v>
      </c>
      <c r="F112" s="22">
        <v>19</v>
      </c>
      <c r="G112" s="22">
        <v>5</v>
      </c>
      <c r="H112" s="22">
        <v>0</v>
      </c>
      <c r="I112" s="22">
        <v>0</v>
      </c>
      <c r="J112" s="22">
        <v>0</v>
      </c>
    </row>
    <row r="113" spans="1:10" s="21" customFormat="1" ht="12" customHeight="1" x14ac:dyDescent="0.2">
      <c r="A113" s="264" t="s">
        <v>336</v>
      </c>
      <c r="B113" s="264"/>
      <c r="C113" s="22">
        <f t="shared" si="45"/>
        <v>4080</v>
      </c>
      <c r="D113" s="22">
        <v>3172</v>
      </c>
      <c r="E113" s="22">
        <v>908</v>
      </c>
      <c r="F113" s="22">
        <v>516</v>
      </c>
      <c r="G113" s="22">
        <v>392</v>
      </c>
      <c r="H113" s="22">
        <v>0</v>
      </c>
      <c r="I113" s="22">
        <v>0</v>
      </c>
      <c r="J113" s="22">
        <v>0</v>
      </c>
    </row>
    <row r="114" spans="1:10" s="21" customFormat="1" ht="12" customHeight="1" x14ac:dyDescent="0.2">
      <c r="A114" s="264" t="s">
        <v>108</v>
      </c>
      <c r="B114" s="264"/>
      <c r="C114" s="22">
        <f t="shared" si="45"/>
        <v>871</v>
      </c>
      <c r="D114" s="22">
        <v>723</v>
      </c>
      <c r="E114" s="22">
        <v>148</v>
      </c>
      <c r="F114" s="22">
        <v>104</v>
      </c>
      <c r="G114" s="22">
        <v>44</v>
      </c>
      <c r="H114" s="22">
        <v>0</v>
      </c>
      <c r="I114" s="22">
        <v>0</v>
      </c>
      <c r="J114" s="22">
        <v>0</v>
      </c>
    </row>
    <row r="115" spans="1:10" s="21" customFormat="1" ht="12" customHeight="1" x14ac:dyDescent="0.2">
      <c r="A115" s="264" t="s">
        <v>109</v>
      </c>
      <c r="B115" s="264"/>
      <c r="C115" s="22">
        <f t="shared" si="45"/>
        <v>722</v>
      </c>
      <c r="D115" s="22">
        <v>455</v>
      </c>
      <c r="E115" s="22">
        <v>267</v>
      </c>
      <c r="F115" s="22">
        <v>156</v>
      </c>
      <c r="G115" s="22">
        <v>111</v>
      </c>
      <c r="H115" s="22">
        <v>0</v>
      </c>
      <c r="I115" s="22">
        <v>0</v>
      </c>
      <c r="J115" s="22">
        <v>0</v>
      </c>
    </row>
    <row r="116" spans="1:10" s="21" customFormat="1" ht="12" customHeight="1" x14ac:dyDescent="0.2">
      <c r="A116" s="264" t="s">
        <v>110</v>
      </c>
      <c r="B116" s="264"/>
      <c r="C116" s="22">
        <f t="shared" si="45"/>
        <v>751</v>
      </c>
      <c r="D116" s="22">
        <v>629</v>
      </c>
      <c r="E116" s="22">
        <v>122</v>
      </c>
      <c r="F116" s="22">
        <v>99</v>
      </c>
      <c r="G116" s="22">
        <v>23</v>
      </c>
      <c r="H116" s="22">
        <v>0</v>
      </c>
      <c r="I116" s="22">
        <v>0</v>
      </c>
      <c r="J116" s="22">
        <v>0</v>
      </c>
    </row>
    <row r="117" spans="1:10" s="21" customFormat="1" ht="12" customHeight="1" x14ac:dyDescent="0.2">
      <c r="A117" s="264" t="s">
        <v>111</v>
      </c>
      <c r="B117" s="264"/>
      <c r="C117" s="22">
        <f t="shared" si="45"/>
        <v>327</v>
      </c>
      <c r="D117" s="22">
        <v>282</v>
      </c>
      <c r="E117" s="22">
        <v>45</v>
      </c>
      <c r="F117" s="22">
        <v>35</v>
      </c>
      <c r="G117" s="22">
        <v>10</v>
      </c>
      <c r="H117" s="22">
        <v>0</v>
      </c>
      <c r="I117" s="22">
        <v>0</v>
      </c>
      <c r="J117" s="22">
        <v>0</v>
      </c>
    </row>
    <row r="118" spans="1:10" s="21" customFormat="1" ht="12" customHeight="1" x14ac:dyDescent="0.2">
      <c r="A118" s="264" t="s">
        <v>112</v>
      </c>
      <c r="B118" s="264"/>
      <c r="C118" s="22">
        <f t="shared" si="45"/>
        <v>810</v>
      </c>
      <c r="D118" s="22">
        <v>736</v>
      </c>
      <c r="E118" s="22">
        <v>74</v>
      </c>
      <c r="F118" s="22">
        <v>41</v>
      </c>
      <c r="G118" s="22">
        <v>33</v>
      </c>
      <c r="H118" s="22">
        <v>0</v>
      </c>
      <c r="I118" s="22">
        <v>0</v>
      </c>
      <c r="J118" s="22">
        <v>0</v>
      </c>
    </row>
    <row r="119" spans="1:10" s="21" customFormat="1" ht="12" customHeight="1" x14ac:dyDescent="0.2">
      <c r="A119" s="264" t="s">
        <v>113</v>
      </c>
      <c r="B119" s="264"/>
      <c r="C119" s="22">
        <f t="shared" si="45"/>
        <v>1355</v>
      </c>
      <c r="D119" s="22">
        <v>1118</v>
      </c>
      <c r="E119" s="22">
        <v>237</v>
      </c>
      <c r="F119" s="22">
        <v>169</v>
      </c>
      <c r="G119" s="22">
        <v>68</v>
      </c>
      <c r="H119" s="22">
        <v>0</v>
      </c>
      <c r="I119" s="22">
        <v>0</v>
      </c>
      <c r="J119" s="22">
        <v>0</v>
      </c>
    </row>
    <row r="120" spans="1:10" s="21" customFormat="1" ht="12" customHeight="1" x14ac:dyDescent="0.2">
      <c r="A120" s="264" t="s">
        <v>114</v>
      </c>
      <c r="B120" s="264"/>
      <c r="C120" s="22">
        <f t="shared" si="45"/>
        <v>3606</v>
      </c>
      <c r="D120" s="22">
        <v>1762</v>
      </c>
      <c r="E120" s="22">
        <v>1844</v>
      </c>
      <c r="F120" s="22">
        <v>1051</v>
      </c>
      <c r="G120" s="22">
        <v>753</v>
      </c>
      <c r="H120" s="22">
        <v>31</v>
      </c>
      <c r="I120" s="22">
        <v>9</v>
      </c>
      <c r="J120" s="22">
        <v>0</v>
      </c>
    </row>
    <row r="121" spans="1:10" s="21" customFormat="1" ht="12" customHeight="1" x14ac:dyDescent="0.2">
      <c r="A121" s="264" t="s">
        <v>115</v>
      </c>
      <c r="B121" s="264"/>
      <c r="C121" s="22">
        <f t="shared" si="45"/>
        <v>1669</v>
      </c>
      <c r="D121" s="22">
        <v>1457</v>
      </c>
      <c r="E121" s="22">
        <v>212</v>
      </c>
      <c r="F121" s="22">
        <v>175</v>
      </c>
      <c r="G121" s="22">
        <v>37</v>
      </c>
      <c r="H121" s="22">
        <v>0</v>
      </c>
      <c r="I121" s="22">
        <v>0</v>
      </c>
      <c r="J121" s="22">
        <v>0</v>
      </c>
    </row>
    <row r="122" spans="1:10" s="21" customFormat="1" ht="12" customHeight="1" x14ac:dyDescent="0.2">
      <c r="A122" s="264" t="s">
        <v>116</v>
      </c>
      <c r="B122" s="264"/>
      <c r="C122" s="22">
        <f t="shared" si="45"/>
        <v>773</v>
      </c>
      <c r="D122" s="22">
        <v>572</v>
      </c>
      <c r="E122" s="22">
        <v>201</v>
      </c>
      <c r="F122" s="22">
        <v>150</v>
      </c>
      <c r="G122" s="22">
        <v>51</v>
      </c>
      <c r="H122" s="22">
        <v>0</v>
      </c>
      <c r="I122" s="22">
        <v>0</v>
      </c>
      <c r="J122" s="22">
        <v>0</v>
      </c>
    </row>
    <row r="123" spans="1:10" s="21" customFormat="1" ht="12" customHeight="1" x14ac:dyDescent="0.2">
      <c r="A123" s="264" t="s">
        <v>117</v>
      </c>
      <c r="B123" s="264"/>
      <c r="C123" s="22">
        <f t="shared" si="45"/>
        <v>1446</v>
      </c>
      <c r="D123" s="22">
        <v>1156</v>
      </c>
      <c r="E123" s="22">
        <v>290</v>
      </c>
      <c r="F123" s="22">
        <v>203</v>
      </c>
      <c r="G123" s="22">
        <v>87</v>
      </c>
      <c r="H123" s="22">
        <v>0</v>
      </c>
      <c r="I123" s="22">
        <v>0</v>
      </c>
      <c r="J123" s="22">
        <v>0</v>
      </c>
    </row>
    <row r="124" spans="1:10" s="21" customFormat="1" ht="12" customHeight="1" x14ac:dyDescent="0.2">
      <c r="A124" s="264" t="s">
        <v>118</v>
      </c>
      <c r="B124" s="264"/>
      <c r="C124" s="22">
        <f t="shared" si="45"/>
        <v>1317</v>
      </c>
      <c r="D124" s="22">
        <v>1055</v>
      </c>
      <c r="E124" s="22">
        <v>262</v>
      </c>
      <c r="F124" s="22">
        <v>185</v>
      </c>
      <c r="G124" s="22">
        <v>77</v>
      </c>
      <c r="H124" s="22">
        <v>0</v>
      </c>
      <c r="I124" s="22">
        <v>0</v>
      </c>
      <c r="J124" s="22">
        <v>0</v>
      </c>
    </row>
    <row r="125" spans="1:10" s="21" customFormat="1" ht="12" customHeight="1" x14ac:dyDescent="0.2">
      <c r="A125" s="264" t="s">
        <v>120</v>
      </c>
      <c r="B125" s="264"/>
      <c r="C125" s="22">
        <f t="shared" si="45"/>
        <v>745</v>
      </c>
      <c r="D125" s="22">
        <v>619</v>
      </c>
      <c r="E125" s="22">
        <v>126</v>
      </c>
      <c r="F125" s="22">
        <v>80</v>
      </c>
      <c r="G125" s="22">
        <v>46</v>
      </c>
      <c r="H125" s="22">
        <v>0</v>
      </c>
      <c r="I125" s="22">
        <v>0</v>
      </c>
      <c r="J125" s="22">
        <v>0</v>
      </c>
    </row>
    <row r="126" spans="1:10" s="21" customFormat="1" ht="12" customHeight="1" x14ac:dyDescent="0.2">
      <c r="A126" s="264" t="s">
        <v>121</v>
      </c>
      <c r="B126" s="264"/>
      <c r="C126" s="22">
        <f t="shared" si="45"/>
        <v>2101</v>
      </c>
      <c r="D126" s="22">
        <v>1425</v>
      </c>
      <c r="E126" s="22">
        <v>676</v>
      </c>
      <c r="F126" s="22">
        <v>445</v>
      </c>
      <c r="G126" s="22">
        <v>220</v>
      </c>
      <c r="H126" s="22">
        <v>0</v>
      </c>
      <c r="I126" s="22">
        <v>11</v>
      </c>
      <c r="J126" s="22">
        <v>0</v>
      </c>
    </row>
    <row r="127" spans="1:10" s="21" customFormat="1" ht="12" customHeight="1" x14ac:dyDescent="0.2">
      <c r="A127" s="264" t="s">
        <v>122</v>
      </c>
      <c r="B127" s="264"/>
      <c r="C127" s="22">
        <f t="shared" si="45"/>
        <v>658</v>
      </c>
      <c r="D127" s="22">
        <v>532</v>
      </c>
      <c r="E127" s="22">
        <v>126</v>
      </c>
      <c r="F127" s="22">
        <v>93</v>
      </c>
      <c r="G127" s="22">
        <v>33</v>
      </c>
      <c r="H127" s="22">
        <v>0</v>
      </c>
      <c r="I127" s="22">
        <v>0</v>
      </c>
      <c r="J127" s="22">
        <v>0</v>
      </c>
    </row>
    <row r="128" spans="1:10" s="21" customFormat="1" ht="12" customHeight="1" x14ac:dyDescent="0.2">
      <c r="A128" s="264" t="s">
        <v>124</v>
      </c>
      <c r="B128" s="264"/>
      <c r="C128" s="22">
        <f t="shared" si="45"/>
        <v>1837</v>
      </c>
      <c r="D128" s="22">
        <v>1654</v>
      </c>
      <c r="E128" s="22">
        <v>183</v>
      </c>
      <c r="F128" s="22">
        <v>130</v>
      </c>
      <c r="G128" s="22">
        <v>53</v>
      </c>
      <c r="H128" s="22">
        <v>0</v>
      </c>
      <c r="I128" s="22">
        <v>0</v>
      </c>
      <c r="J128" s="22">
        <v>0</v>
      </c>
    </row>
    <row r="129" spans="1:10" s="21" customFormat="1" ht="12" customHeight="1" x14ac:dyDescent="0.2">
      <c r="A129" s="264" t="s">
        <v>125</v>
      </c>
      <c r="B129" s="264"/>
      <c r="C129" s="22">
        <f t="shared" si="45"/>
        <v>1706</v>
      </c>
      <c r="D129" s="22">
        <v>1114</v>
      </c>
      <c r="E129" s="22">
        <v>592</v>
      </c>
      <c r="F129" s="22">
        <v>231</v>
      </c>
      <c r="G129" s="22">
        <v>361</v>
      </c>
      <c r="H129" s="22">
        <v>0</v>
      </c>
      <c r="I129" s="22">
        <v>0</v>
      </c>
      <c r="J129" s="22">
        <v>0</v>
      </c>
    </row>
    <row r="130" spans="1:10" s="21" customFormat="1" ht="12" customHeight="1" x14ac:dyDescent="0.2">
      <c r="A130" s="264" t="s">
        <v>126</v>
      </c>
      <c r="B130" s="264"/>
      <c r="C130" s="22">
        <f t="shared" si="45"/>
        <v>2969</v>
      </c>
      <c r="D130" s="22">
        <v>2111</v>
      </c>
      <c r="E130" s="22">
        <v>858</v>
      </c>
      <c r="F130" s="22">
        <v>728</v>
      </c>
      <c r="G130" s="22">
        <v>128</v>
      </c>
      <c r="H130" s="22">
        <v>1</v>
      </c>
      <c r="I130" s="22">
        <v>1</v>
      </c>
      <c r="J130" s="22">
        <v>0</v>
      </c>
    </row>
    <row r="131" spans="1:10" s="21" customFormat="1" ht="12" customHeight="1" x14ac:dyDescent="0.2">
      <c r="A131" s="264" t="s">
        <v>127</v>
      </c>
      <c r="B131" s="264"/>
      <c r="C131" s="22">
        <f t="shared" si="45"/>
        <v>622</v>
      </c>
      <c r="D131" s="22">
        <v>572</v>
      </c>
      <c r="E131" s="22">
        <v>50</v>
      </c>
      <c r="F131" s="22">
        <v>35</v>
      </c>
      <c r="G131" s="22">
        <v>15</v>
      </c>
      <c r="H131" s="22">
        <v>0</v>
      </c>
      <c r="I131" s="22">
        <v>0</v>
      </c>
      <c r="J131" s="22">
        <v>0</v>
      </c>
    </row>
    <row r="132" spans="1:10" s="21" customFormat="1" ht="12" customHeight="1" x14ac:dyDescent="0.2">
      <c r="A132" s="264" t="s">
        <v>128</v>
      </c>
      <c r="B132" s="264"/>
      <c r="C132" s="22">
        <f t="shared" si="45"/>
        <v>543</v>
      </c>
      <c r="D132" s="22">
        <v>442</v>
      </c>
      <c r="E132" s="22">
        <v>101</v>
      </c>
      <c r="F132" s="22">
        <v>64</v>
      </c>
      <c r="G132" s="22">
        <v>37</v>
      </c>
      <c r="H132" s="22">
        <v>0</v>
      </c>
      <c r="I132" s="22">
        <v>0</v>
      </c>
      <c r="J132" s="22">
        <v>0</v>
      </c>
    </row>
    <row r="133" spans="1:10" s="21" customFormat="1" ht="12" customHeight="1" x14ac:dyDescent="0.2">
      <c r="A133" s="264" t="s">
        <v>129</v>
      </c>
      <c r="B133" s="264"/>
      <c r="C133" s="22">
        <f t="shared" si="45"/>
        <v>1907</v>
      </c>
      <c r="D133" s="22">
        <v>1438</v>
      </c>
      <c r="E133" s="22">
        <v>469</v>
      </c>
      <c r="F133" s="22">
        <v>380</v>
      </c>
      <c r="G133" s="22">
        <v>83</v>
      </c>
      <c r="H133" s="22">
        <v>4</v>
      </c>
      <c r="I133" s="22">
        <v>2</v>
      </c>
      <c r="J133" s="22">
        <v>0</v>
      </c>
    </row>
    <row r="134" spans="1:10" s="21" customFormat="1" ht="12" customHeight="1" x14ac:dyDescent="0.2">
      <c r="A134" s="315" t="s">
        <v>130</v>
      </c>
      <c r="B134" s="315"/>
      <c r="C134" s="28">
        <f t="shared" si="45"/>
        <v>357</v>
      </c>
      <c r="D134" s="28">
        <v>221</v>
      </c>
      <c r="E134" s="28">
        <v>136</v>
      </c>
      <c r="F134" s="28">
        <v>63</v>
      </c>
      <c r="G134" s="28">
        <v>73</v>
      </c>
      <c r="H134" s="28">
        <v>0</v>
      </c>
      <c r="I134" s="28">
        <v>0</v>
      </c>
      <c r="J134" s="28">
        <v>0</v>
      </c>
    </row>
    <row r="135" spans="1:10" s="21" customFormat="1" ht="12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</row>
    <row r="136" spans="1:10" s="21" customFormat="1" ht="12" customHeight="1" x14ac:dyDescent="0.2">
      <c r="A136" s="263" t="s">
        <v>131</v>
      </c>
      <c r="B136" s="263"/>
      <c r="C136" s="20">
        <f t="shared" ref="C136:J136" si="46">SUM(C137:C165)</f>
        <v>61707</v>
      </c>
      <c r="D136" s="20">
        <f t="shared" si="46"/>
        <v>46997</v>
      </c>
      <c r="E136" s="20">
        <f t="shared" si="46"/>
        <v>14710</v>
      </c>
      <c r="F136" s="20">
        <f t="shared" si="46"/>
        <v>10685</v>
      </c>
      <c r="G136" s="20">
        <f t="shared" si="46"/>
        <v>3938</v>
      </c>
      <c r="H136" s="20">
        <f t="shared" si="46"/>
        <v>69</v>
      </c>
      <c r="I136" s="20">
        <f t="shared" si="46"/>
        <v>18</v>
      </c>
      <c r="J136" s="20">
        <f t="shared" si="46"/>
        <v>0</v>
      </c>
    </row>
    <row r="137" spans="1:10" s="21" customFormat="1" ht="12" customHeight="1" x14ac:dyDescent="0.2">
      <c r="A137" s="264" t="s">
        <v>132</v>
      </c>
      <c r="B137" s="264"/>
      <c r="C137" s="22">
        <f t="shared" ref="C137:C165" si="47">SUM(D137:E137)</f>
        <v>5489</v>
      </c>
      <c r="D137" s="22">
        <v>3906</v>
      </c>
      <c r="E137" s="22">
        <v>1583</v>
      </c>
      <c r="F137" s="22">
        <v>1021</v>
      </c>
      <c r="G137" s="22">
        <v>562</v>
      </c>
      <c r="H137" s="22">
        <v>0</v>
      </c>
      <c r="I137" s="22">
        <v>0</v>
      </c>
      <c r="J137" s="22">
        <v>0</v>
      </c>
    </row>
    <row r="138" spans="1:10" s="21" customFormat="1" ht="12" customHeight="1" x14ac:dyDescent="0.2">
      <c r="A138" s="264" t="s">
        <v>133</v>
      </c>
      <c r="B138" s="264"/>
      <c r="C138" s="22">
        <f t="shared" si="47"/>
        <v>201</v>
      </c>
      <c r="D138" s="22">
        <v>190</v>
      </c>
      <c r="E138" s="22">
        <v>11</v>
      </c>
      <c r="F138" s="22">
        <v>9</v>
      </c>
      <c r="G138" s="22">
        <v>2</v>
      </c>
      <c r="H138" s="22">
        <v>0</v>
      </c>
      <c r="I138" s="22">
        <v>0</v>
      </c>
      <c r="J138" s="22">
        <v>0</v>
      </c>
    </row>
    <row r="139" spans="1:10" s="21" customFormat="1" ht="12" customHeight="1" x14ac:dyDescent="0.2">
      <c r="A139" s="264" t="s">
        <v>134</v>
      </c>
      <c r="B139" s="264"/>
      <c r="C139" s="22">
        <f t="shared" si="47"/>
        <v>525</v>
      </c>
      <c r="D139" s="22">
        <v>439</v>
      </c>
      <c r="E139" s="22">
        <v>86</v>
      </c>
      <c r="F139" s="22">
        <v>54</v>
      </c>
      <c r="G139" s="22">
        <v>32</v>
      </c>
      <c r="H139" s="22">
        <v>0</v>
      </c>
      <c r="I139" s="22">
        <v>0</v>
      </c>
      <c r="J139" s="22">
        <v>0</v>
      </c>
    </row>
    <row r="140" spans="1:10" s="21" customFormat="1" ht="12" customHeight="1" x14ac:dyDescent="0.2">
      <c r="A140" s="264" t="s">
        <v>135</v>
      </c>
      <c r="B140" s="264"/>
      <c r="C140" s="22">
        <f t="shared" si="47"/>
        <v>1816</v>
      </c>
      <c r="D140" s="22">
        <v>1458</v>
      </c>
      <c r="E140" s="22">
        <v>358</v>
      </c>
      <c r="F140" s="22">
        <v>212</v>
      </c>
      <c r="G140" s="22">
        <v>139</v>
      </c>
      <c r="H140" s="22">
        <v>5</v>
      </c>
      <c r="I140" s="22">
        <v>2</v>
      </c>
      <c r="J140" s="22">
        <v>0</v>
      </c>
    </row>
    <row r="141" spans="1:10" s="21" customFormat="1" ht="12" customHeight="1" x14ac:dyDescent="0.2">
      <c r="A141" s="264" t="s">
        <v>137</v>
      </c>
      <c r="B141" s="264"/>
      <c r="C141" s="22">
        <f t="shared" si="47"/>
        <v>689</v>
      </c>
      <c r="D141" s="22">
        <v>647</v>
      </c>
      <c r="E141" s="22">
        <v>42</v>
      </c>
      <c r="F141" s="22">
        <v>31</v>
      </c>
      <c r="G141" s="22">
        <v>11</v>
      </c>
      <c r="H141" s="22">
        <v>0</v>
      </c>
      <c r="I141" s="22">
        <v>0</v>
      </c>
      <c r="J141" s="22">
        <v>0</v>
      </c>
    </row>
    <row r="142" spans="1:10" s="21" customFormat="1" ht="12" customHeight="1" x14ac:dyDescent="0.2">
      <c r="A142" s="264" t="s">
        <v>138</v>
      </c>
      <c r="B142" s="264"/>
      <c r="C142" s="22">
        <f t="shared" si="47"/>
        <v>1122</v>
      </c>
      <c r="D142" s="22">
        <v>1020</v>
      </c>
      <c r="E142" s="22">
        <v>102</v>
      </c>
      <c r="F142" s="22">
        <v>70</v>
      </c>
      <c r="G142" s="22">
        <v>32</v>
      </c>
      <c r="H142" s="22">
        <v>0</v>
      </c>
      <c r="I142" s="22">
        <v>0</v>
      </c>
      <c r="J142" s="22">
        <v>0</v>
      </c>
    </row>
    <row r="143" spans="1:10" s="21" customFormat="1" ht="12" customHeight="1" x14ac:dyDescent="0.2">
      <c r="A143" s="264" t="s">
        <v>140</v>
      </c>
      <c r="B143" s="264"/>
      <c r="C143" s="22">
        <f t="shared" si="47"/>
        <v>12</v>
      </c>
      <c r="D143" s="22">
        <v>11</v>
      </c>
      <c r="E143" s="22">
        <v>1</v>
      </c>
      <c r="F143" s="22">
        <v>1</v>
      </c>
      <c r="G143" s="22">
        <v>0</v>
      </c>
      <c r="H143" s="22">
        <v>0</v>
      </c>
      <c r="I143" s="22">
        <v>0</v>
      </c>
      <c r="J143" s="22">
        <v>0</v>
      </c>
    </row>
    <row r="144" spans="1:10" s="21" customFormat="1" ht="12" customHeight="1" x14ac:dyDescent="0.2">
      <c r="A144" s="264" t="s">
        <v>141</v>
      </c>
      <c r="B144" s="264"/>
      <c r="C144" s="22">
        <f t="shared" si="47"/>
        <v>2848</v>
      </c>
      <c r="D144" s="22">
        <v>2435</v>
      </c>
      <c r="E144" s="22">
        <v>413</v>
      </c>
      <c r="F144" s="22">
        <v>317</v>
      </c>
      <c r="G144" s="22">
        <v>95</v>
      </c>
      <c r="H144" s="22">
        <v>1</v>
      </c>
      <c r="I144" s="22">
        <v>0</v>
      </c>
      <c r="J144" s="22">
        <v>0</v>
      </c>
    </row>
    <row r="145" spans="1:10" s="21" customFormat="1" ht="12" customHeight="1" x14ac:dyDescent="0.2">
      <c r="A145" s="264" t="s">
        <v>142</v>
      </c>
      <c r="B145" s="264"/>
      <c r="C145" s="22">
        <f t="shared" si="47"/>
        <v>105</v>
      </c>
      <c r="D145" s="22">
        <v>103</v>
      </c>
      <c r="E145" s="22">
        <v>2</v>
      </c>
      <c r="F145" s="22">
        <v>1</v>
      </c>
      <c r="G145" s="22">
        <v>1</v>
      </c>
      <c r="H145" s="22">
        <v>0</v>
      </c>
      <c r="I145" s="22">
        <v>0</v>
      </c>
      <c r="J145" s="22">
        <v>0</v>
      </c>
    </row>
    <row r="146" spans="1:10" s="107" customFormat="1" ht="12" customHeight="1" x14ac:dyDescent="0.2">
      <c r="A146" s="316" t="s">
        <v>337</v>
      </c>
      <c r="B146" s="316"/>
      <c r="C146" s="22">
        <f t="shared" si="47"/>
        <v>4888</v>
      </c>
      <c r="D146" s="106">
        <v>3944</v>
      </c>
      <c r="E146" s="106">
        <v>944</v>
      </c>
      <c r="F146" s="106">
        <v>670</v>
      </c>
      <c r="G146" s="106">
        <v>272</v>
      </c>
      <c r="H146" s="106">
        <v>1</v>
      </c>
      <c r="I146" s="106">
        <v>1</v>
      </c>
      <c r="J146" s="106">
        <v>0</v>
      </c>
    </row>
    <row r="147" spans="1:10" s="21" customFormat="1" ht="12" customHeight="1" x14ac:dyDescent="0.2">
      <c r="A147" s="264" t="s">
        <v>144</v>
      </c>
      <c r="B147" s="264"/>
      <c r="C147" s="22">
        <f t="shared" si="47"/>
        <v>4355</v>
      </c>
      <c r="D147" s="22">
        <v>3618</v>
      </c>
      <c r="E147" s="22">
        <v>737</v>
      </c>
      <c r="F147" s="22">
        <v>594</v>
      </c>
      <c r="G147" s="22">
        <v>143</v>
      </c>
      <c r="H147" s="22">
        <v>0</v>
      </c>
      <c r="I147" s="22">
        <v>0</v>
      </c>
      <c r="J147" s="22">
        <v>0</v>
      </c>
    </row>
    <row r="148" spans="1:10" s="21" customFormat="1" ht="12" customHeight="1" x14ac:dyDescent="0.2">
      <c r="A148" s="264" t="s">
        <v>145</v>
      </c>
      <c r="B148" s="264"/>
      <c r="C148" s="22">
        <f t="shared" si="47"/>
        <v>31</v>
      </c>
      <c r="D148" s="22">
        <v>31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 s="22">
        <v>0</v>
      </c>
    </row>
    <row r="149" spans="1:10" s="21" customFormat="1" ht="12" customHeight="1" x14ac:dyDescent="0.2">
      <c r="A149" s="264" t="s">
        <v>147</v>
      </c>
      <c r="B149" s="264"/>
      <c r="C149" s="22">
        <f t="shared" si="47"/>
        <v>330</v>
      </c>
      <c r="D149" s="22">
        <v>287</v>
      </c>
      <c r="E149" s="22">
        <v>43</v>
      </c>
      <c r="F149" s="22">
        <v>30</v>
      </c>
      <c r="G149" s="22">
        <v>13</v>
      </c>
      <c r="H149" s="22">
        <v>0</v>
      </c>
      <c r="I149" s="22">
        <v>0</v>
      </c>
      <c r="J149" s="22">
        <v>0</v>
      </c>
    </row>
    <row r="150" spans="1:10" s="21" customFormat="1" ht="12" customHeight="1" x14ac:dyDescent="0.2">
      <c r="A150" s="264" t="s">
        <v>148</v>
      </c>
      <c r="B150" s="264"/>
      <c r="C150" s="22">
        <f t="shared" si="47"/>
        <v>1174</v>
      </c>
      <c r="D150" s="22">
        <v>905</v>
      </c>
      <c r="E150" s="22">
        <v>269</v>
      </c>
      <c r="F150" s="22">
        <v>198</v>
      </c>
      <c r="G150" s="22">
        <v>69</v>
      </c>
      <c r="H150" s="22">
        <v>0</v>
      </c>
      <c r="I150" s="22">
        <v>2</v>
      </c>
      <c r="J150" s="22">
        <v>0</v>
      </c>
    </row>
    <row r="151" spans="1:10" s="21" customFormat="1" ht="12" customHeight="1" x14ac:dyDescent="0.2">
      <c r="A151" s="264" t="s">
        <v>149</v>
      </c>
      <c r="B151" s="264"/>
      <c r="C151" s="22">
        <f t="shared" si="47"/>
        <v>15153</v>
      </c>
      <c r="D151" s="22">
        <v>9930</v>
      </c>
      <c r="E151" s="22">
        <v>5223</v>
      </c>
      <c r="F151" s="22">
        <v>3937</v>
      </c>
      <c r="G151" s="22">
        <v>1231</v>
      </c>
      <c r="H151" s="22">
        <v>47</v>
      </c>
      <c r="I151" s="22">
        <v>8</v>
      </c>
      <c r="J151" s="22">
        <v>0</v>
      </c>
    </row>
    <row r="152" spans="1:10" s="21" customFormat="1" ht="12" customHeight="1" x14ac:dyDescent="0.2">
      <c r="A152" s="264" t="s">
        <v>150</v>
      </c>
      <c r="B152" s="264"/>
      <c r="C152" s="22">
        <f t="shared" si="47"/>
        <v>6397</v>
      </c>
      <c r="D152" s="22">
        <v>5032</v>
      </c>
      <c r="E152" s="22">
        <v>1365</v>
      </c>
      <c r="F152" s="22">
        <v>1039</v>
      </c>
      <c r="G152" s="22">
        <v>322</v>
      </c>
      <c r="H152" s="22">
        <v>3</v>
      </c>
      <c r="I152" s="22">
        <v>1</v>
      </c>
      <c r="J152" s="22">
        <v>0</v>
      </c>
    </row>
    <row r="153" spans="1:10" s="21" customFormat="1" ht="12" customHeight="1" x14ac:dyDescent="0.2">
      <c r="A153" s="264" t="s">
        <v>152</v>
      </c>
      <c r="B153" s="264"/>
      <c r="C153" s="22">
        <f t="shared" si="47"/>
        <v>220</v>
      </c>
      <c r="D153" s="22">
        <v>198</v>
      </c>
      <c r="E153" s="22">
        <v>22</v>
      </c>
      <c r="F153" s="22">
        <v>8</v>
      </c>
      <c r="G153" s="22">
        <v>14</v>
      </c>
      <c r="H153" s="22">
        <v>0</v>
      </c>
      <c r="I153" s="22">
        <v>0</v>
      </c>
      <c r="J153" s="22">
        <v>0</v>
      </c>
    </row>
    <row r="154" spans="1:10" s="21" customFormat="1" ht="12" customHeight="1" x14ac:dyDescent="0.2">
      <c r="A154" s="264" t="s">
        <v>153</v>
      </c>
      <c r="B154" s="264"/>
      <c r="C154" s="22">
        <f t="shared" si="47"/>
        <v>6942</v>
      </c>
      <c r="D154" s="22">
        <v>5437</v>
      </c>
      <c r="E154" s="22">
        <v>1505</v>
      </c>
      <c r="F154" s="22">
        <v>1127</v>
      </c>
      <c r="G154" s="22">
        <v>376</v>
      </c>
      <c r="H154" s="22">
        <v>1</v>
      </c>
      <c r="I154" s="22">
        <v>1</v>
      </c>
      <c r="J154" s="22">
        <v>0</v>
      </c>
    </row>
    <row r="155" spans="1:10" s="21" customFormat="1" ht="12" customHeight="1" x14ac:dyDescent="0.2">
      <c r="A155" s="264" t="s">
        <v>154</v>
      </c>
      <c r="B155" s="264"/>
      <c r="C155" s="22">
        <f t="shared" si="47"/>
        <v>52</v>
      </c>
      <c r="D155" s="22">
        <v>49</v>
      </c>
      <c r="E155" s="22">
        <v>3</v>
      </c>
      <c r="F155" s="22">
        <v>1</v>
      </c>
      <c r="G155" s="22">
        <v>2</v>
      </c>
      <c r="H155" s="22">
        <v>0</v>
      </c>
      <c r="I155" s="22">
        <v>0</v>
      </c>
      <c r="J155" s="22">
        <v>0</v>
      </c>
    </row>
    <row r="156" spans="1:10" s="21" customFormat="1" ht="12" customHeight="1" x14ac:dyDescent="0.2">
      <c r="A156" s="264" t="s">
        <v>155</v>
      </c>
      <c r="B156" s="264"/>
      <c r="C156" s="22">
        <f t="shared" si="47"/>
        <v>2769</v>
      </c>
      <c r="D156" s="22">
        <v>2057</v>
      </c>
      <c r="E156" s="22">
        <v>712</v>
      </c>
      <c r="F156" s="22">
        <v>464</v>
      </c>
      <c r="G156" s="22">
        <v>234</v>
      </c>
      <c r="H156" s="22">
        <v>11</v>
      </c>
      <c r="I156" s="22">
        <v>3</v>
      </c>
      <c r="J156" s="22">
        <v>0</v>
      </c>
    </row>
    <row r="157" spans="1:10" s="21" customFormat="1" ht="12" customHeight="1" x14ac:dyDescent="0.2">
      <c r="A157" s="264" t="s">
        <v>156</v>
      </c>
      <c r="B157" s="264"/>
      <c r="C157" s="22">
        <f t="shared" si="47"/>
        <v>282</v>
      </c>
      <c r="D157" s="22">
        <v>271</v>
      </c>
      <c r="E157" s="22">
        <v>11</v>
      </c>
      <c r="F157" s="22">
        <v>8</v>
      </c>
      <c r="G157" s="22">
        <v>3</v>
      </c>
      <c r="H157" s="22">
        <v>0</v>
      </c>
      <c r="I157" s="22">
        <v>0</v>
      </c>
      <c r="J157" s="22">
        <v>0</v>
      </c>
    </row>
    <row r="158" spans="1:10" s="21" customFormat="1" ht="12" customHeight="1" x14ac:dyDescent="0.2">
      <c r="A158" s="264" t="s">
        <v>157</v>
      </c>
      <c r="B158" s="264"/>
      <c r="C158" s="22">
        <f t="shared" si="47"/>
        <v>755</v>
      </c>
      <c r="D158" s="22">
        <v>600</v>
      </c>
      <c r="E158" s="22">
        <v>155</v>
      </c>
      <c r="F158" s="22">
        <v>80</v>
      </c>
      <c r="G158" s="22">
        <v>75</v>
      </c>
      <c r="H158" s="22">
        <v>0</v>
      </c>
      <c r="I158" s="22">
        <v>0</v>
      </c>
      <c r="J158" s="22">
        <v>0</v>
      </c>
    </row>
    <row r="159" spans="1:10" s="21" customFormat="1" ht="12" customHeight="1" x14ac:dyDescent="0.2">
      <c r="A159" s="264" t="s">
        <v>159</v>
      </c>
      <c r="B159" s="264"/>
      <c r="C159" s="22">
        <f t="shared" si="47"/>
        <v>678</v>
      </c>
      <c r="D159" s="22">
        <v>497</v>
      </c>
      <c r="E159" s="22">
        <v>181</v>
      </c>
      <c r="F159" s="22">
        <v>106</v>
      </c>
      <c r="G159" s="22">
        <v>75</v>
      </c>
      <c r="H159" s="22">
        <v>0</v>
      </c>
      <c r="I159" s="22">
        <v>0</v>
      </c>
      <c r="J159" s="22">
        <v>0</v>
      </c>
    </row>
    <row r="160" spans="1:10" s="21" customFormat="1" ht="12" customHeight="1" x14ac:dyDescent="0.2">
      <c r="A160" s="264" t="s">
        <v>162</v>
      </c>
      <c r="B160" s="264"/>
      <c r="C160" s="22">
        <f t="shared" si="47"/>
        <v>93</v>
      </c>
      <c r="D160" s="22">
        <v>88</v>
      </c>
      <c r="E160" s="22">
        <v>5</v>
      </c>
      <c r="F160" s="22">
        <v>4</v>
      </c>
      <c r="G160" s="22">
        <v>1</v>
      </c>
      <c r="H160" s="22">
        <v>0</v>
      </c>
      <c r="I160" s="22">
        <v>0</v>
      </c>
      <c r="J160" s="22">
        <v>0</v>
      </c>
    </row>
    <row r="161" spans="1:10" s="21" customFormat="1" ht="12" customHeight="1" x14ac:dyDescent="0.2">
      <c r="A161" s="264" t="s">
        <v>163</v>
      </c>
      <c r="B161" s="264"/>
      <c r="C161" s="22">
        <f t="shared" si="47"/>
        <v>730</v>
      </c>
      <c r="D161" s="22">
        <v>635</v>
      </c>
      <c r="E161" s="22">
        <v>95</v>
      </c>
      <c r="F161" s="22">
        <v>71</v>
      </c>
      <c r="G161" s="22">
        <v>24</v>
      </c>
      <c r="H161" s="22">
        <v>0</v>
      </c>
      <c r="I161" s="22">
        <v>0</v>
      </c>
      <c r="J161" s="22">
        <v>0</v>
      </c>
    </row>
    <row r="162" spans="1:10" s="21" customFormat="1" ht="12" customHeight="1" x14ac:dyDescent="0.2">
      <c r="A162" s="264" t="s">
        <v>164</v>
      </c>
      <c r="B162" s="264"/>
      <c r="C162" s="22">
        <f t="shared" si="47"/>
        <v>2600</v>
      </c>
      <c r="D162" s="22">
        <v>1926</v>
      </c>
      <c r="E162" s="22">
        <v>674</v>
      </c>
      <c r="F162" s="22">
        <v>516</v>
      </c>
      <c r="G162" s="22">
        <v>158</v>
      </c>
      <c r="H162" s="22">
        <v>0</v>
      </c>
      <c r="I162" s="22">
        <v>0</v>
      </c>
      <c r="J162" s="22">
        <v>0</v>
      </c>
    </row>
    <row r="163" spans="1:10" s="21" customFormat="1" ht="12" customHeight="1" x14ac:dyDescent="0.2">
      <c r="A163" s="264" t="s">
        <v>165</v>
      </c>
      <c r="B163" s="264"/>
      <c r="C163" s="22">
        <f t="shared" si="47"/>
        <v>64</v>
      </c>
      <c r="D163" s="22">
        <v>61</v>
      </c>
      <c r="E163" s="22">
        <v>3</v>
      </c>
      <c r="F163" s="22">
        <v>3</v>
      </c>
      <c r="G163" s="22">
        <v>0</v>
      </c>
      <c r="H163" s="22">
        <v>0</v>
      </c>
      <c r="I163" s="22">
        <v>0</v>
      </c>
      <c r="J163" s="22">
        <v>0</v>
      </c>
    </row>
    <row r="164" spans="1:10" s="21" customFormat="1" ht="12" customHeight="1" x14ac:dyDescent="0.2">
      <c r="A164" s="264" t="s">
        <v>166</v>
      </c>
      <c r="B164" s="264"/>
      <c r="C164" s="22">
        <f t="shared" si="47"/>
        <v>1104</v>
      </c>
      <c r="D164" s="22">
        <v>959</v>
      </c>
      <c r="E164" s="22">
        <v>145</v>
      </c>
      <c r="F164" s="22">
        <v>105</v>
      </c>
      <c r="G164" s="22">
        <v>40</v>
      </c>
      <c r="H164" s="22">
        <v>0</v>
      </c>
      <c r="I164" s="22">
        <v>0</v>
      </c>
      <c r="J164" s="22">
        <v>0</v>
      </c>
    </row>
    <row r="165" spans="1:10" s="21" customFormat="1" ht="12" customHeight="1" x14ac:dyDescent="0.2">
      <c r="A165" s="267" t="s">
        <v>168</v>
      </c>
      <c r="B165" s="267"/>
      <c r="C165" s="28">
        <f t="shared" si="47"/>
        <v>283</v>
      </c>
      <c r="D165" s="28">
        <v>263</v>
      </c>
      <c r="E165" s="28">
        <v>20</v>
      </c>
      <c r="F165" s="28">
        <v>8</v>
      </c>
      <c r="G165" s="28">
        <v>12</v>
      </c>
      <c r="H165" s="28">
        <v>0</v>
      </c>
      <c r="I165" s="28">
        <v>0</v>
      </c>
      <c r="J165" s="28">
        <v>0</v>
      </c>
    </row>
    <row r="166" spans="1:10" s="21" customFormat="1" ht="12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</row>
    <row r="167" spans="1:10" s="21" customFormat="1" ht="12" customHeight="1" x14ac:dyDescent="0.2">
      <c r="A167" s="263" t="s">
        <v>169</v>
      </c>
      <c r="B167" s="263"/>
      <c r="C167" s="20">
        <f t="shared" ref="C167:J167" si="48">SUM(C168:C175)</f>
        <v>5762</v>
      </c>
      <c r="D167" s="20">
        <f t="shared" si="48"/>
        <v>5149</v>
      </c>
      <c r="E167" s="20">
        <f t="shared" si="48"/>
        <v>613</v>
      </c>
      <c r="F167" s="20">
        <f t="shared" si="48"/>
        <v>434</v>
      </c>
      <c r="G167" s="20">
        <f t="shared" si="48"/>
        <v>179</v>
      </c>
      <c r="H167" s="20">
        <f t="shared" si="48"/>
        <v>0</v>
      </c>
      <c r="I167" s="20">
        <f t="shared" si="48"/>
        <v>0</v>
      </c>
      <c r="J167" s="20">
        <f t="shared" si="48"/>
        <v>0</v>
      </c>
    </row>
    <row r="168" spans="1:10" s="21" customFormat="1" ht="12" customHeight="1" x14ac:dyDescent="0.2">
      <c r="A168" s="264" t="s">
        <v>170</v>
      </c>
      <c r="B168" s="264"/>
      <c r="C168" s="22">
        <f t="shared" ref="C168:C175" si="49">SUM(D168:E168)</f>
        <v>1372</v>
      </c>
      <c r="D168" s="22">
        <v>1256</v>
      </c>
      <c r="E168" s="22">
        <v>116</v>
      </c>
      <c r="F168" s="22">
        <v>77</v>
      </c>
      <c r="G168" s="22">
        <v>39</v>
      </c>
      <c r="H168" s="22">
        <v>0</v>
      </c>
      <c r="I168" s="22">
        <v>0</v>
      </c>
      <c r="J168" s="22">
        <v>0</v>
      </c>
    </row>
    <row r="169" spans="1:10" s="21" customFormat="1" ht="12" customHeight="1" x14ac:dyDescent="0.2">
      <c r="A169" s="264" t="s">
        <v>171</v>
      </c>
      <c r="B169" s="264"/>
      <c r="C169" s="22">
        <f t="shared" si="49"/>
        <v>48</v>
      </c>
      <c r="D169" s="22">
        <v>44</v>
      </c>
      <c r="E169" s="22">
        <v>4</v>
      </c>
      <c r="F169" s="22">
        <v>2</v>
      </c>
      <c r="G169" s="22">
        <v>2</v>
      </c>
      <c r="H169" s="22">
        <v>0</v>
      </c>
      <c r="I169" s="22">
        <v>0</v>
      </c>
      <c r="J169" s="22">
        <v>0</v>
      </c>
    </row>
    <row r="170" spans="1:10" s="21" customFormat="1" ht="12" customHeight="1" x14ac:dyDescent="0.2">
      <c r="A170" s="264" t="s">
        <v>172</v>
      </c>
      <c r="B170" s="264"/>
      <c r="C170" s="22">
        <f t="shared" si="49"/>
        <v>49</v>
      </c>
      <c r="D170" s="22">
        <v>46</v>
      </c>
      <c r="E170" s="22">
        <v>3</v>
      </c>
      <c r="F170" s="22">
        <v>1</v>
      </c>
      <c r="G170" s="22">
        <v>2</v>
      </c>
      <c r="H170" s="22">
        <v>0</v>
      </c>
      <c r="I170" s="22">
        <v>0</v>
      </c>
      <c r="J170" s="22">
        <v>0</v>
      </c>
    </row>
    <row r="171" spans="1:10" s="21" customFormat="1" ht="12" customHeight="1" x14ac:dyDescent="0.2">
      <c r="A171" s="264" t="s">
        <v>173</v>
      </c>
      <c r="B171" s="264"/>
      <c r="C171" s="22">
        <f t="shared" si="49"/>
        <v>60</v>
      </c>
      <c r="D171" s="22">
        <v>53</v>
      </c>
      <c r="E171" s="22">
        <v>7</v>
      </c>
      <c r="F171" s="22">
        <v>2</v>
      </c>
      <c r="G171" s="22">
        <v>5</v>
      </c>
      <c r="H171" s="22">
        <v>0</v>
      </c>
      <c r="I171" s="22">
        <v>0</v>
      </c>
      <c r="J171" s="22">
        <v>0</v>
      </c>
    </row>
    <row r="172" spans="1:10" s="21" customFormat="1" ht="12" customHeight="1" x14ac:dyDescent="0.2">
      <c r="A172" s="264" t="s">
        <v>174</v>
      </c>
      <c r="B172" s="264"/>
      <c r="C172" s="22">
        <f t="shared" si="49"/>
        <v>1203</v>
      </c>
      <c r="D172" s="22">
        <v>1034</v>
      </c>
      <c r="E172" s="22">
        <v>169</v>
      </c>
      <c r="F172" s="22">
        <v>122</v>
      </c>
      <c r="G172" s="22">
        <v>47</v>
      </c>
      <c r="H172" s="22">
        <v>0</v>
      </c>
      <c r="I172" s="22">
        <v>0</v>
      </c>
      <c r="J172" s="22">
        <v>0</v>
      </c>
    </row>
    <row r="173" spans="1:10" s="21" customFormat="1" ht="12" customHeight="1" x14ac:dyDescent="0.2">
      <c r="A173" s="264" t="s">
        <v>175</v>
      </c>
      <c r="B173" s="264"/>
      <c r="C173" s="22">
        <f t="shared" si="49"/>
        <v>535</v>
      </c>
      <c r="D173" s="22">
        <v>500</v>
      </c>
      <c r="E173" s="22">
        <v>35</v>
      </c>
      <c r="F173" s="22">
        <v>17</v>
      </c>
      <c r="G173" s="22">
        <v>18</v>
      </c>
      <c r="H173" s="22">
        <v>0</v>
      </c>
      <c r="I173" s="22">
        <v>0</v>
      </c>
      <c r="J173" s="22">
        <v>0</v>
      </c>
    </row>
    <row r="174" spans="1:10" s="21" customFormat="1" ht="12" customHeight="1" x14ac:dyDescent="0.2">
      <c r="A174" s="264" t="s">
        <v>176</v>
      </c>
      <c r="B174" s="264"/>
      <c r="C174" s="22">
        <f t="shared" si="49"/>
        <v>48</v>
      </c>
      <c r="D174" s="22">
        <v>44</v>
      </c>
      <c r="E174" s="22">
        <v>4</v>
      </c>
      <c r="F174" s="22">
        <v>3</v>
      </c>
      <c r="G174" s="22">
        <v>1</v>
      </c>
      <c r="H174" s="22">
        <v>0</v>
      </c>
      <c r="I174" s="22">
        <v>0</v>
      </c>
      <c r="J174" s="22">
        <v>0</v>
      </c>
    </row>
    <row r="175" spans="1:10" s="21" customFormat="1" ht="12" customHeight="1" x14ac:dyDescent="0.2">
      <c r="A175" s="315" t="s">
        <v>177</v>
      </c>
      <c r="B175" s="315"/>
      <c r="C175" s="28">
        <f t="shared" si="49"/>
        <v>2447</v>
      </c>
      <c r="D175" s="28">
        <v>2172</v>
      </c>
      <c r="E175" s="28">
        <v>275</v>
      </c>
      <c r="F175" s="28">
        <v>210</v>
      </c>
      <c r="G175" s="28">
        <v>65</v>
      </c>
      <c r="H175" s="28">
        <v>0</v>
      </c>
      <c r="I175" s="28">
        <v>0</v>
      </c>
      <c r="J175" s="28">
        <v>0</v>
      </c>
    </row>
    <row r="176" spans="1:10" s="21" customFormat="1" ht="12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</row>
    <row r="177" spans="1:10" s="21" customFormat="1" ht="12" customHeight="1" x14ac:dyDescent="0.2">
      <c r="A177" s="263" t="s">
        <v>178</v>
      </c>
      <c r="B177" s="263"/>
      <c r="C177" s="20">
        <f t="shared" ref="C177:J177" si="50">SUM(C178:C194)</f>
        <v>48231</v>
      </c>
      <c r="D177" s="20">
        <f t="shared" si="50"/>
        <v>35775</v>
      </c>
      <c r="E177" s="20">
        <f t="shared" si="50"/>
        <v>12456</v>
      </c>
      <c r="F177" s="20">
        <f t="shared" si="50"/>
        <v>9540</v>
      </c>
      <c r="G177" s="20">
        <f t="shared" si="50"/>
        <v>2791</v>
      </c>
      <c r="H177" s="20">
        <f t="shared" si="50"/>
        <v>99</v>
      </c>
      <c r="I177" s="20">
        <f t="shared" si="50"/>
        <v>26</v>
      </c>
      <c r="J177" s="20">
        <f t="shared" si="50"/>
        <v>0</v>
      </c>
    </row>
    <row r="178" spans="1:10" s="21" customFormat="1" ht="12" customHeight="1" x14ac:dyDescent="0.2">
      <c r="A178" s="264" t="s">
        <v>179</v>
      </c>
      <c r="B178" s="264"/>
      <c r="C178" s="22">
        <f t="shared" ref="C178:C194" si="51">SUM(D178:E178)</f>
        <v>4262</v>
      </c>
      <c r="D178" s="22">
        <v>3030</v>
      </c>
      <c r="E178" s="22">
        <v>1232</v>
      </c>
      <c r="F178" s="22">
        <v>978</v>
      </c>
      <c r="G178" s="22">
        <v>245</v>
      </c>
      <c r="H178" s="22">
        <v>9</v>
      </c>
      <c r="I178" s="22">
        <v>0</v>
      </c>
      <c r="J178" s="22">
        <v>0</v>
      </c>
    </row>
    <row r="179" spans="1:10" s="21" customFormat="1" ht="12" customHeight="1" x14ac:dyDescent="0.2">
      <c r="A179" s="264" t="s">
        <v>180</v>
      </c>
      <c r="B179" s="264"/>
      <c r="C179" s="22">
        <f t="shared" si="51"/>
        <v>17373</v>
      </c>
      <c r="D179" s="22">
        <v>12287</v>
      </c>
      <c r="E179" s="22">
        <v>5086</v>
      </c>
      <c r="F179" s="22">
        <v>3764</v>
      </c>
      <c r="G179" s="22">
        <v>1262</v>
      </c>
      <c r="H179" s="22">
        <v>42</v>
      </c>
      <c r="I179" s="22">
        <v>18</v>
      </c>
      <c r="J179" s="22">
        <v>0</v>
      </c>
    </row>
    <row r="180" spans="1:10" s="21" customFormat="1" ht="12" customHeight="1" x14ac:dyDescent="0.2">
      <c r="A180" s="264" t="s">
        <v>181</v>
      </c>
      <c r="B180" s="264"/>
      <c r="C180" s="22">
        <f t="shared" si="51"/>
        <v>2332</v>
      </c>
      <c r="D180" s="22">
        <v>1517</v>
      </c>
      <c r="E180" s="22">
        <v>815</v>
      </c>
      <c r="F180" s="22">
        <v>606</v>
      </c>
      <c r="G180" s="22">
        <v>202</v>
      </c>
      <c r="H180" s="22">
        <v>2</v>
      </c>
      <c r="I180" s="22">
        <v>5</v>
      </c>
      <c r="J180" s="22">
        <v>0</v>
      </c>
    </row>
    <row r="181" spans="1:10" s="21" customFormat="1" ht="12" customHeight="1" x14ac:dyDescent="0.2">
      <c r="A181" s="264" t="s">
        <v>182</v>
      </c>
      <c r="B181" s="264"/>
      <c r="C181" s="22">
        <f t="shared" si="51"/>
        <v>2658</v>
      </c>
      <c r="D181" s="22">
        <v>2180</v>
      </c>
      <c r="E181" s="22">
        <v>478</v>
      </c>
      <c r="F181" s="22">
        <v>364</v>
      </c>
      <c r="G181" s="22">
        <v>113</v>
      </c>
      <c r="H181" s="22">
        <v>1</v>
      </c>
      <c r="I181" s="22">
        <v>0</v>
      </c>
      <c r="J181" s="22">
        <v>0</v>
      </c>
    </row>
    <row r="182" spans="1:10" s="21" customFormat="1" ht="12" customHeight="1" x14ac:dyDescent="0.2">
      <c r="A182" s="264" t="s">
        <v>183</v>
      </c>
      <c r="B182" s="264"/>
      <c r="C182" s="22">
        <f t="shared" si="51"/>
        <v>8335</v>
      </c>
      <c r="D182" s="22">
        <v>6094</v>
      </c>
      <c r="E182" s="22">
        <v>2241</v>
      </c>
      <c r="F182" s="22">
        <v>1795</v>
      </c>
      <c r="G182" s="22">
        <v>418</v>
      </c>
      <c r="H182" s="22">
        <v>28</v>
      </c>
      <c r="I182" s="22">
        <v>0</v>
      </c>
      <c r="J182" s="22">
        <v>0</v>
      </c>
    </row>
    <row r="183" spans="1:10" s="21" customFormat="1" ht="12" customHeight="1" x14ac:dyDescent="0.2">
      <c r="A183" s="264" t="s">
        <v>184</v>
      </c>
      <c r="B183" s="264"/>
      <c r="C183" s="22">
        <f t="shared" si="51"/>
        <v>681</v>
      </c>
      <c r="D183" s="22">
        <v>596</v>
      </c>
      <c r="E183" s="22">
        <v>85</v>
      </c>
      <c r="F183" s="22">
        <v>64</v>
      </c>
      <c r="G183" s="22">
        <v>21</v>
      </c>
      <c r="H183" s="22">
        <v>0</v>
      </c>
      <c r="I183" s="22">
        <v>0</v>
      </c>
      <c r="J183" s="22">
        <v>0</v>
      </c>
    </row>
    <row r="184" spans="1:10" s="21" customFormat="1" ht="12" customHeight="1" x14ac:dyDescent="0.2">
      <c r="A184" s="264" t="s">
        <v>185</v>
      </c>
      <c r="B184" s="264"/>
      <c r="C184" s="22">
        <f t="shared" si="51"/>
        <v>699</v>
      </c>
      <c r="D184" s="22">
        <v>606</v>
      </c>
      <c r="E184" s="22">
        <v>93</v>
      </c>
      <c r="F184" s="22">
        <v>74</v>
      </c>
      <c r="G184" s="22">
        <v>19</v>
      </c>
      <c r="H184" s="22">
        <v>0</v>
      </c>
      <c r="I184" s="22">
        <v>0</v>
      </c>
      <c r="J184" s="22">
        <v>0</v>
      </c>
    </row>
    <row r="185" spans="1:10" s="21" customFormat="1" ht="12" customHeight="1" x14ac:dyDescent="0.2">
      <c r="A185" s="264" t="s">
        <v>186</v>
      </c>
      <c r="B185" s="264"/>
      <c r="C185" s="22">
        <f t="shared" si="51"/>
        <v>781</v>
      </c>
      <c r="D185" s="22">
        <v>666</v>
      </c>
      <c r="E185" s="22">
        <v>115</v>
      </c>
      <c r="F185" s="22">
        <v>104</v>
      </c>
      <c r="G185" s="22">
        <v>11</v>
      </c>
      <c r="H185" s="22">
        <v>0</v>
      </c>
      <c r="I185" s="22">
        <v>0</v>
      </c>
      <c r="J185" s="22">
        <v>0</v>
      </c>
    </row>
    <row r="186" spans="1:10" s="21" customFormat="1" ht="12" customHeight="1" x14ac:dyDescent="0.2">
      <c r="A186" s="264" t="s">
        <v>187</v>
      </c>
      <c r="B186" s="264"/>
      <c r="C186" s="22">
        <f t="shared" si="51"/>
        <v>367</v>
      </c>
      <c r="D186" s="22">
        <v>340</v>
      </c>
      <c r="E186" s="22">
        <v>27</v>
      </c>
      <c r="F186" s="22">
        <v>21</v>
      </c>
      <c r="G186" s="22">
        <v>6</v>
      </c>
      <c r="H186" s="22">
        <v>0</v>
      </c>
      <c r="I186" s="22">
        <v>0</v>
      </c>
      <c r="J186" s="22">
        <v>0</v>
      </c>
    </row>
    <row r="187" spans="1:10" s="21" customFormat="1" ht="12" customHeight="1" x14ac:dyDescent="0.2">
      <c r="A187" s="264" t="s">
        <v>188</v>
      </c>
      <c r="B187" s="264"/>
      <c r="C187" s="22">
        <f t="shared" si="51"/>
        <v>1313</v>
      </c>
      <c r="D187" s="22">
        <v>1121</v>
      </c>
      <c r="E187" s="22">
        <v>192</v>
      </c>
      <c r="F187" s="22">
        <v>144</v>
      </c>
      <c r="G187" s="22">
        <v>45</v>
      </c>
      <c r="H187" s="22">
        <v>2</v>
      </c>
      <c r="I187" s="22">
        <v>1</v>
      </c>
      <c r="J187" s="22">
        <v>0</v>
      </c>
    </row>
    <row r="188" spans="1:10" s="21" customFormat="1" ht="12" customHeight="1" x14ac:dyDescent="0.2">
      <c r="A188" s="264" t="s">
        <v>190</v>
      </c>
      <c r="B188" s="264"/>
      <c r="C188" s="22">
        <f t="shared" si="51"/>
        <v>116</v>
      </c>
      <c r="D188" s="22">
        <v>100</v>
      </c>
      <c r="E188" s="22">
        <v>16</v>
      </c>
      <c r="F188" s="22">
        <v>15</v>
      </c>
      <c r="G188" s="22">
        <v>1</v>
      </c>
      <c r="H188" s="22">
        <v>0</v>
      </c>
      <c r="I188" s="22">
        <v>0</v>
      </c>
      <c r="J188" s="22">
        <v>0</v>
      </c>
    </row>
    <row r="189" spans="1:10" s="21" customFormat="1" ht="12" customHeight="1" x14ac:dyDescent="0.2">
      <c r="A189" s="264" t="s">
        <v>191</v>
      </c>
      <c r="B189" s="264"/>
      <c r="C189" s="22">
        <f t="shared" si="51"/>
        <v>2648</v>
      </c>
      <c r="D189" s="22">
        <v>2088</v>
      </c>
      <c r="E189" s="22">
        <v>560</v>
      </c>
      <c r="F189" s="22">
        <v>432</v>
      </c>
      <c r="G189" s="22">
        <v>121</v>
      </c>
      <c r="H189" s="22">
        <v>7</v>
      </c>
      <c r="I189" s="22">
        <v>0</v>
      </c>
      <c r="J189" s="22">
        <v>0</v>
      </c>
    </row>
    <row r="190" spans="1:10" s="21" customFormat="1" ht="12" customHeight="1" x14ac:dyDescent="0.2">
      <c r="A190" s="264" t="s">
        <v>192</v>
      </c>
      <c r="B190" s="264"/>
      <c r="C190" s="22">
        <f t="shared" si="51"/>
        <v>573</v>
      </c>
      <c r="D190" s="22">
        <v>520</v>
      </c>
      <c r="E190" s="22">
        <v>53</v>
      </c>
      <c r="F190" s="22">
        <v>36</v>
      </c>
      <c r="G190" s="22">
        <v>17</v>
      </c>
      <c r="H190" s="22">
        <v>0</v>
      </c>
      <c r="I190" s="22">
        <v>0</v>
      </c>
      <c r="J190" s="22">
        <v>0</v>
      </c>
    </row>
    <row r="191" spans="1:10" s="21" customFormat="1" ht="12" customHeight="1" x14ac:dyDescent="0.2">
      <c r="A191" s="264" t="s">
        <v>193</v>
      </c>
      <c r="B191" s="264"/>
      <c r="C191" s="22">
        <f t="shared" si="51"/>
        <v>556</v>
      </c>
      <c r="D191" s="22">
        <v>500</v>
      </c>
      <c r="E191" s="22">
        <v>56</v>
      </c>
      <c r="F191" s="22">
        <v>40</v>
      </c>
      <c r="G191" s="22">
        <v>16</v>
      </c>
      <c r="H191" s="22">
        <v>0</v>
      </c>
      <c r="I191" s="22">
        <v>0</v>
      </c>
      <c r="J191" s="22">
        <v>0</v>
      </c>
    </row>
    <row r="192" spans="1:10" s="21" customFormat="1" ht="12" customHeight="1" x14ac:dyDescent="0.2">
      <c r="A192" s="264" t="s">
        <v>194</v>
      </c>
      <c r="B192" s="264"/>
      <c r="C192" s="22">
        <f t="shared" si="51"/>
        <v>2274</v>
      </c>
      <c r="D192" s="22">
        <v>1631</v>
      </c>
      <c r="E192" s="22">
        <v>643</v>
      </c>
      <c r="F192" s="22">
        <v>511</v>
      </c>
      <c r="G192" s="22">
        <v>125</v>
      </c>
      <c r="H192" s="22">
        <v>5</v>
      </c>
      <c r="I192" s="22">
        <v>2</v>
      </c>
      <c r="J192" s="22">
        <v>0</v>
      </c>
    </row>
    <row r="193" spans="1:10" s="21" customFormat="1" ht="12" customHeight="1" x14ac:dyDescent="0.2">
      <c r="A193" s="264" t="s">
        <v>195</v>
      </c>
      <c r="B193" s="264"/>
      <c r="C193" s="22">
        <f t="shared" si="51"/>
        <v>207</v>
      </c>
      <c r="D193" s="22">
        <v>196</v>
      </c>
      <c r="E193" s="22">
        <v>11</v>
      </c>
      <c r="F193" s="22">
        <v>10</v>
      </c>
      <c r="G193" s="22">
        <v>1</v>
      </c>
      <c r="H193" s="22">
        <v>0</v>
      </c>
      <c r="I193" s="22">
        <v>0</v>
      </c>
      <c r="J193" s="22">
        <v>0</v>
      </c>
    </row>
    <row r="194" spans="1:10" s="21" customFormat="1" ht="12" customHeight="1" x14ac:dyDescent="0.2">
      <c r="A194" s="267" t="s">
        <v>196</v>
      </c>
      <c r="B194" s="267"/>
      <c r="C194" s="28">
        <f t="shared" si="51"/>
        <v>3056</v>
      </c>
      <c r="D194" s="28">
        <v>2303</v>
      </c>
      <c r="E194" s="28">
        <v>753</v>
      </c>
      <c r="F194" s="28">
        <v>582</v>
      </c>
      <c r="G194" s="28">
        <v>168</v>
      </c>
      <c r="H194" s="28">
        <v>3</v>
      </c>
      <c r="I194" s="28">
        <v>0</v>
      </c>
      <c r="J194" s="28">
        <v>0</v>
      </c>
    </row>
    <row r="195" spans="1:10" s="21" customFormat="1" ht="12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</row>
    <row r="196" spans="1:10" s="21" customFormat="1" ht="12" customHeight="1" x14ac:dyDescent="0.2">
      <c r="A196" s="263" t="s">
        <v>197</v>
      </c>
      <c r="B196" s="263"/>
      <c r="C196" s="20">
        <f t="shared" ref="C196:J196" si="52">SUM(C197:C202)</f>
        <v>12533</v>
      </c>
      <c r="D196" s="20">
        <f t="shared" si="52"/>
        <v>8652</v>
      </c>
      <c r="E196" s="20">
        <f t="shared" si="52"/>
        <v>3881</v>
      </c>
      <c r="F196" s="20">
        <f t="shared" si="52"/>
        <v>2933</v>
      </c>
      <c r="G196" s="20">
        <f t="shared" si="52"/>
        <v>887</v>
      </c>
      <c r="H196" s="20">
        <f t="shared" si="52"/>
        <v>56</v>
      </c>
      <c r="I196" s="20">
        <f t="shared" si="52"/>
        <v>5</v>
      </c>
      <c r="J196" s="20">
        <f t="shared" si="52"/>
        <v>0</v>
      </c>
    </row>
    <row r="197" spans="1:10" s="21" customFormat="1" ht="12" customHeight="1" x14ac:dyDescent="0.2">
      <c r="A197" s="264" t="s">
        <v>198</v>
      </c>
      <c r="B197" s="264"/>
      <c r="C197" s="22">
        <f t="shared" ref="C197:C202" si="53">SUM(D197:E197)</f>
        <v>6080</v>
      </c>
      <c r="D197" s="22">
        <v>3811</v>
      </c>
      <c r="E197" s="22">
        <v>2269</v>
      </c>
      <c r="F197" s="22">
        <v>1741</v>
      </c>
      <c r="G197" s="22">
        <v>467</v>
      </c>
      <c r="H197" s="22">
        <v>56</v>
      </c>
      <c r="I197" s="22">
        <v>5</v>
      </c>
      <c r="J197" s="22">
        <v>0</v>
      </c>
    </row>
    <row r="198" spans="1:10" s="21" customFormat="1" ht="12" customHeight="1" x14ac:dyDescent="0.2">
      <c r="A198" s="264" t="s">
        <v>199</v>
      </c>
      <c r="B198" s="264"/>
      <c r="C198" s="22">
        <f t="shared" si="53"/>
        <v>2588</v>
      </c>
      <c r="D198" s="22">
        <v>2144</v>
      </c>
      <c r="E198" s="22">
        <v>444</v>
      </c>
      <c r="F198" s="22">
        <v>350</v>
      </c>
      <c r="G198" s="22">
        <v>94</v>
      </c>
      <c r="H198" s="22">
        <v>0</v>
      </c>
      <c r="I198" s="22">
        <v>0</v>
      </c>
      <c r="J198" s="22">
        <v>0</v>
      </c>
    </row>
    <row r="199" spans="1:10" s="21" customFormat="1" ht="12" customHeight="1" x14ac:dyDescent="0.2">
      <c r="A199" s="264" t="s">
        <v>200</v>
      </c>
      <c r="B199" s="264"/>
      <c r="C199" s="22">
        <f t="shared" si="53"/>
        <v>618</v>
      </c>
      <c r="D199" s="22">
        <v>414</v>
      </c>
      <c r="E199" s="22">
        <v>204</v>
      </c>
      <c r="F199" s="22">
        <v>129</v>
      </c>
      <c r="G199" s="22">
        <v>75</v>
      </c>
      <c r="H199" s="22">
        <v>0</v>
      </c>
      <c r="I199" s="22">
        <v>0</v>
      </c>
      <c r="J199" s="22">
        <v>0</v>
      </c>
    </row>
    <row r="200" spans="1:10" s="21" customFormat="1" ht="12" customHeight="1" x14ac:dyDescent="0.2">
      <c r="A200" s="264" t="s">
        <v>201</v>
      </c>
      <c r="B200" s="264"/>
      <c r="C200" s="22">
        <f t="shared" si="53"/>
        <v>551</v>
      </c>
      <c r="D200" s="22">
        <v>421</v>
      </c>
      <c r="E200" s="22">
        <v>130</v>
      </c>
      <c r="F200" s="22">
        <v>87</v>
      </c>
      <c r="G200" s="22">
        <v>43</v>
      </c>
      <c r="H200" s="22">
        <v>0</v>
      </c>
      <c r="I200" s="22">
        <v>0</v>
      </c>
      <c r="J200" s="22">
        <v>0</v>
      </c>
    </row>
    <row r="201" spans="1:10" s="21" customFormat="1" ht="12" customHeight="1" x14ac:dyDescent="0.2">
      <c r="A201" s="264" t="s">
        <v>202</v>
      </c>
      <c r="B201" s="264"/>
      <c r="C201" s="22">
        <f t="shared" si="53"/>
        <v>1663</v>
      </c>
      <c r="D201" s="22">
        <v>1184</v>
      </c>
      <c r="E201" s="22">
        <v>479</v>
      </c>
      <c r="F201" s="22">
        <v>366</v>
      </c>
      <c r="G201" s="22">
        <v>113</v>
      </c>
      <c r="H201" s="22">
        <v>0</v>
      </c>
      <c r="I201" s="22">
        <v>0</v>
      </c>
      <c r="J201" s="22">
        <v>0</v>
      </c>
    </row>
    <row r="202" spans="1:10" s="21" customFormat="1" ht="12" customHeight="1" x14ac:dyDescent="0.2">
      <c r="A202" s="267" t="s">
        <v>203</v>
      </c>
      <c r="B202" s="267"/>
      <c r="C202" s="28">
        <f t="shared" si="53"/>
        <v>1033</v>
      </c>
      <c r="D202" s="28">
        <v>678</v>
      </c>
      <c r="E202" s="28">
        <v>355</v>
      </c>
      <c r="F202" s="28">
        <v>260</v>
      </c>
      <c r="G202" s="28">
        <v>95</v>
      </c>
      <c r="H202" s="28">
        <v>0</v>
      </c>
      <c r="I202" s="28">
        <v>0</v>
      </c>
      <c r="J202" s="28">
        <v>0</v>
      </c>
    </row>
    <row r="203" spans="1:10" s="21" customFormat="1" ht="12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</row>
    <row r="204" spans="1:10" s="21" customFormat="1" ht="12" customHeight="1" x14ac:dyDescent="0.2">
      <c r="A204" s="263" t="s">
        <v>204</v>
      </c>
      <c r="B204" s="263"/>
      <c r="C204" s="20">
        <f t="shared" ref="C204:J204" si="54">SUM(C205:C209)</f>
        <v>5530</v>
      </c>
      <c r="D204" s="20">
        <f t="shared" si="54"/>
        <v>5075</v>
      </c>
      <c r="E204" s="20">
        <f t="shared" si="54"/>
        <v>455</v>
      </c>
      <c r="F204" s="20">
        <f t="shared" si="54"/>
        <v>288</v>
      </c>
      <c r="G204" s="20">
        <f t="shared" si="54"/>
        <v>165</v>
      </c>
      <c r="H204" s="20">
        <f t="shared" si="54"/>
        <v>0</v>
      </c>
      <c r="I204" s="20">
        <f t="shared" si="54"/>
        <v>2</v>
      </c>
      <c r="J204" s="20">
        <f t="shared" si="54"/>
        <v>0</v>
      </c>
    </row>
    <row r="205" spans="1:10" s="21" customFormat="1" ht="12" customHeight="1" x14ac:dyDescent="0.2">
      <c r="A205" s="264" t="s">
        <v>205</v>
      </c>
      <c r="B205" s="264"/>
      <c r="C205" s="22">
        <f>SUM(D205:E205)</f>
        <v>1841</v>
      </c>
      <c r="D205" s="22">
        <v>1639</v>
      </c>
      <c r="E205" s="22">
        <v>202</v>
      </c>
      <c r="F205" s="22">
        <v>131</v>
      </c>
      <c r="G205" s="22">
        <v>71</v>
      </c>
      <c r="H205" s="22">
        <v>0</v>
      </c>
      <c r="I205" s="22">
        <v>0</v>
      </c>
      <c r="J205" s="22">
        <v>0</v>
      </c>
    </row>
    <row r="206" spans="1:10" s="21" customFormat="1" ht="12" customHeight="1" x14ac:dyDescent="0.2">
      <c r="A206" s="264" t="s">
        <v>206</v>
      </c>
      <c r="B206" s="264"/>
      <c r="C206" s="22">
        <f>SUM(D206:E206)</f>
        <v>1697</v>
      </c>
      <c r="D206" s="22">
        <v>1589</v>
      </c>
      <c r="E206" s="22">
        <v>108</v>
      </c>
      <c r="F206" s="22">
        <v>69</v>
      </c>
      <c r="G206" s="22">
        <v>39</v>
      </c>
      <c r="H206" s="22">
        <v>0</v>
      </c>
      <c r="I206" s="22">
        <v>0</v>
      </c>
      <c r="J206" s="22">
        <v>0</v>
      </c>
    </row>
    <row r="207" spans="1:10" s="21" customFormat="1" ht="12" customHeight="1" x14ac:dyDescent="0.2">
      <c r="A207" s="264" t="s">
        <v>207</v>
      </c>
      <c r="B207" s="264"/>
      <c r="C207" s="22">
        <f>SUM(D207:E207)</f>
        <v>349</v>
      </c>
      <c r="D207" s="22">
        <v>329</v>
      </c>
      <c r="E207" s="22">
        <v>20</v>
      </c>
      <c r="F207" s="22">
        <v>14</v>
      </c>
      <c r="G207" s="22">
        <v>6</v>
      </c>
      <c r="H207" s="22">
        <v>0</v>
      </c>
      <c r="I207" s="22">
        <v>0</v>
      </c>
      <c r="J207" s="22">
        <v>0</v>
      </c>
    </row>
    <row r="208" spans="1:10" s="21" customFormat="1" ht="12" customHeight="1" x14ac:dyDescent="0.2">
      <c r="A208" s="264" t="s">
        <v>208</v>
      </c>
      <c r="B208" s="264"/>
      <c r="C208" s="22">
        <f>SUM(D208:E208)</f>
        <v>1311</v>
      </c>
      <c r="D208" s="22">
        <v>1197</v>
      </c>
      <c r="E208" s="22">
        <v>114</v>
      </c>
      <c r="F208" s="22">
        <v>66</v>
      </c>
      <c r="G208" s="22">
        <v>46</v>
      </c>
      <c r="H208" s="22">
        <v>0</v>
      </c>
      <c r="I208" s="22">
        <v>2</v>
      </c>
      <c r="J208" s="22">
        <v>0</v>
      </c>
    </row>
    <row r="209" spans="1:10" s="21" customFormat="1" ht="12" customHeight="1" x14ac:dyDescent="0.2">
      <c r="A209" s="267" t="s">
        <v>209</v>
      </c>
      <c r="B209" s="267"/>
      <c r="C209" s="28">
        <f>SUM(D209:E209)</f>
        <v>332</v>
      </c>
      <c r="D209" s="28">
        <v>321</v>
      </c>
      <c r="E209" s="28">
        <v>11</v>
      </c>
      <c r="F209" s="28">
        <v>8</v>
      </c>
      <c r="G209" s="28">
        <v>3</v>
      </c>
      <c r="H209" s="28">
        <v>0</v>
      </c>
      <c r="I209" s="28">
        <v>0</v>
      </c>
      <c r="J209" s="28">
        <v>0</v>
      </c>
    </row>
    <row r="210" spans="1:10" s="21" customFormat="1" ht="12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</row>
    <row r="211" spans="1:10" s="21" customFormat="1" ht="12" customHeight="1" x14ac:dyDescent="0.2">
      <c r="A211" s="263" t="s">
        <v>210</v>
      </c>
      <c r="B211" s="263"/>
      <c r="C211" s="20">
        <f t="shared" ref="C211:J211" si="55">SUM(C212:C229)</f>
        <v>9600</v>
      </c>
      <c r="D211" s="20">
        <f t="shared" si="55"/>
        <v>6834</v>
      </c>
      <c r="E211" s="20">
        <f t="shared" si="55"/>
        <v>2766</v>
      </c>
      <c r="F211" s="20">
        <f t="shared" si="55"/>
        <v>1755</v>
      </c>
      <c r="G211" s="20">
        <f t="shared" si="55"/>
        <v>996</v>
      </c>
      <c r="H211" s="20">
        <f t="shared" si="55"/>
        <v>14</v>
      </c>
      <c r="I211" s="20">
        <f t="shared" si="55"/>
        <v>1</v>
      </c>
      <c r="J211" s="20">
        <f t="shared" si="55"/>
        <v>0</v>
      </c>
    </row>
    <row r="212" spans="1:10" s="21" customFormat="1" ht="12" customHeight="1" x14ac:dyDescent="0.2">
      <c r="A212" s="264" t="s">
        <v>211</v>
      </c>
      <c r="B212" s="264"/>
      <c r="C212" s="22">
        <f t="shared" ref="C212:C229" si="56">SUM(D212:E212)</f>
        <v>1558</v>
      </c>
      <c r="D212" s="22">
        <v>1223</v>
      </c>
      <c r="E212" s="22">
        <v>335</v>
      </c>
      <c r="F212" s="22">
        <v>206</v>
      </c>
      <c r="G212" s="22">
        <v>128</v>
      </c>
      <c r="H212" s="22">
        <v>0</v>
      </c>
      <c r="I212" s="22">
        <v>1</v>
      </c>
      <c r="J212" s="22">
        <v>0</v>
      </c>
    </row>
    <row r="213" spans="1:10" s="21" customFormat="1" ht="12" customHeight="1" x14ac:dyDescent="0.2">
      <c r="A213" s="264" t="s">
        <v>212</v>
      </c>
      <c r="B213" s="264"/>
      <c r="C213" s="22">
        <f t="shared" si="56"/>
        <v>107</v>
      </c>
      <c r="D213" s="22">
        <v>90</v>
      </c>
      <c r="E213" s="22">
        <v>17</v>
      </c>
      <c r="F213" s="22">
        <v>13</v>
      </c>
      <c r="G213" s="22">
        <v>4</v>
      </c>
      <c r="H213" s="22">
        <v>0</v>
      </c>
      <c r="I213" s="22">
        <v>0</v>
      </c>
      <c r="J213" s="22">
        <v>0</v>
      </c>
    </row>
    <row r="214" spans="1:10" s="21" customFormat="1" ht="12" customHeight="1" x14ac:dyDescent="0.2">
      <c r="A214" s="264" t="s">
        <v>213</v>
      </c>
      <c r="B214" s="264"/>
      <c r="C214" s="22">
        <f t="shared" si="56"/>
        <v>64</v>
      </c>
      <c r="D214" s="22">
        <v>57</v>
      </c>
      <c r="E214" s="22">
        <v>7</v>
      </c>
      <c r="F214" s="22">
        <v>4</v>
      </c>
      <c r="G214" s="22">
        <v>3</v>
      </c>
      <c r="H214" s="22">
        <v>0</v>
      </c>
      <c r="I214" s="22">
        <v>0</v>
      </c>
      <c r="J214" s="22">
        <v>0</v>
      </c>
    </row>
    <row r="215" spans="1:10" s="21" customFormat="1" ht="12" customHeight="1" x14ac:dyDescent="0.2">
      <c r="A215" s="264" t="s">
        <v>214</v>
      </c>
      <c r="B215" s="264"/>
      <c r="C215" s="22">
        <f t="shared" si="56"/>
        <v>980</v>
      </c>
      <c r="D215" s="22">
        <v>543</v>
      </c>
      <c r="E215" s="22">
        <v>437</v>
      </c>
      <c r="F215" s="22">
        <v>299</v>
      </c>
      <c r="G215" s="22">
        <v>132</v>
      </c>
      <c r="H215" s="22">
        <v>6</v>
      </c>
      <c r="I215" s="22">
        <v>0</v>
      </c>
      <c r="J215" s="22">
        <v>0</v>
      </c>
    </row>
    <row r="216" spans="1:10" s="21" customFormat="1" ht="12" customHeight="1" x14ac:dyDescent="0.2">
      <c r="A216" s="264" t="s">
        <v>215</v>
      </c>
      <c r="B216" s="264"/>
      <c r="C216" s="22">
        <f t="shared" si="56"/>
        <v>41</v>
      </c>
      <c r="D216" s="22">
        <v>37</v>
      </c>
      <c r="E216" s="22">
        <v>4</v>
      </c>
      <c r="F216" s="22">
        <v>2</v>
      </c>
      <c r="G216" s="22">
        <v>2</v>
      </c>
      <c r="H216" s="22">
        <v>0</v>
      </c>
      <c r="I216" s="22">
        <v>0</v>
      </c>
      <c r="J216" s="22">
        <v>0</v>
      </c>
    </row>
    <row r="217" spans="1:10" s="21" customFormat="1" ht="12" customHeight="1" x14ac:dyDescent="0.2">
      <c r="A217" s="264" t="s">
        <v>216</v>
      </c>
      <c r="B217" s="264"/>
      <c r="C217" s="22">
        <f t="shared" si="56"/>
        <v>55</v>
      </c>
      <c r="D217" s="22">
        <v>54</v>
      </c>
      <c r="E217" s="22">
        <v>1</v>
      </c>
      <c r="F217" s="22">
        <v>0</v>
      </c>
      <c r="G217" s="22">
        <v>1</v>
      </c>
      <c r="H217" s="22">
        <v>0</v>
      </c>
      <c r="I217" s="22">
        <v>0</v>
      </c>
      <c r="J217" s="22">
        <v>0</v>
      </c>
    </row>
    <row r="218" spans="1:10" s="21" customFormat="1" ht="12" customHeight="1" x14ac:dyDescent="0.2">
      <c r="A218" s="264" t="s">
        <v>217</v>
      </c>
      <c r="B218" s="264"/>
      <c r="C218" s="22">
        <f t="shared" si="56"/>
        <v>81</v>
      </c>
      <c r="D218" s="22">
        <v>74</v>
      </c>
      <c r="E218" s="22">
        <v>7</v>
      </c>
      <c r="F218" s="22">
        <v>5</v>
      </c>
      <c r="G218" s="22">
        <v>2</v>
      </c>
      <c r="H218" s="22">
        <v>0</v>
      </c>
      <c r="I218" s="22">
        <v>0</v>
      </c>
      <c r="J218" s="22">
        <v>0</v>
      </c>
    </row>
    <row r="219" spans="1:10" s="21" customFormat="1" ht="12" customHeight="1" x14ac:dyDescent="0.2">
      <c r="A219" s="264" t="s">
        <v>218</v>
      </c>
      <c r="B219" s="264"/>
      <c r="C219" s="22">
        <f t="shared" si="56"/>
        <v>394</v>
      </c>
      <c r="D219" s="22">
        <v>380</v>
      </c>
      <c r="E219" s="22">
        <v>14</v>
      </c>
      <c r="F219" s="22">
        <v>10</v>
      </c>
      <c r="G219" s="22">
        <v>4</v>
      </c>
      <c r="H219" s="22">
        <v>0</v>
      </c>
      <c r="I219" s="22">
        <v>0</v>
      </c>
      <c r="J219" s="22">
        <v>0</v>
      </c>
    </row>
    <row r="220" spans="1:10" s="21" customFormat="1" ht="12" customHeight="1" x14ac:dyDescent="0.2">
      <c r="A220" s="264" t="s">
        <v>219</v>
      </c>
      <c r="B220" s="264"/>
      <c r="C220" s="22">
        <f t="shared" si="56"/>
        <v>174</v>
      </c>
      <c r="D220" s="22">
        <v>161</v>
      </c>
      <c r="E220" s="22">
        <v>13</v>
      </c>
      <c r="F220" s="22">
        <v>12</v>
      </c>
      <c r="G220" s="22">
        <v>1</v>
      </c>
      <c r="H220" s="22">
        <v>0</v>
      </c>
      <c r="I220" s="22">
        <v>0</v>
      </c>
      <c r="J220" s="22">
        <v>0</v>
      </c>
    </row>
    <row r="221" spans="1:10" s="21" customFormat="1" ht="12" customHeight="1" x14ac:dyDescent="0.2">
      <c r="A221" s="264" t="s">
        <v>220</v>
      </c>
      <c r="B221" s="264"/>
      <c r="C221" s="22">
        <f t="shared" si="56"/>
        <v>1942</v>
      </c>
      <c r="D221" s="22">
        <v>1373</v>
      </c>
      <c r="E221" s="22">
        <v>569</v>
      </c>
      <c r="F221" s="22">
        <v>438</v>
      </c>
      <c r="G221" s="22">
        <v>131</v>
      </c>
      <c r="H221" s="22">
        <v>0</v>
      </c>
      <c r="I221" s="22">
        <v>0</v>
      </c>
      <c r="J221" s="22">
        <v>0</v>
      </c>
    </row>
    <row r="222" spans="1:10" s="21" customFormat="1" ht="12" customHeight="1" x14ac:dyDescent="0.2">
      <c r="A222" s="264" t="s">
        <v>221</v>
      </c>
      <c r="B222" s="264"/>
      <c r="C222" s="22">
        <f t="shared" si="56"/>
        <v>848</v>
      </c>
      <c r="D222" s="22">
        <v>623</v>
      </c>
      <c r="E222" s="22">
        <v>225</v>
      </c>
      <c r="F222" s="22">
        <v>164</v>
      </c>
      <c r="G222" s="22">
        <v>55</v>
      </c>
      <c r="H222" s="22">
        <v>6</v>
      </c>
      <c r="I222" s="22">
        <v>0</v>
      </c>
      <c r="J222" s="22">
        <v>0</v>
      </c>
    </row>
    <row r="223" spans="1:10" s="21" customFormat="1" ht="12" customHeight="1" x14ac:dyDescent="0.2">
      <c r="A223" s="264" t="s">
        <v>222</v>
      </c>
      <c r="B223" s="264"/>
      <c r="C223" s="22">
        <f t="shared" si="56"/>
        <v>562</v>
      </c>
      <c r="D223" s="22">
        <v>193</v>
      </c>
      <c r="E223" s="22">
        <v>369</v>
      </c>
      <c r="F223" s="22">
        <v>102</v>
      </c>
      <c r="G223" s="22">
        <v>267</v>
      </c>
      <c r="H223" s="22">
        <v>0</v>
      </c>
      <c r="I223" s="22">
        <v>0</v>
      </c>
      <c r="J223" s="22">
        <v>0</v>
      </c>
    </row>
    <row r="224" spans="1:10" s="21" customFormat="1" ht="12" customHeight="1" x14ac:dyDescent="0.2">
      <c r="A224" s="264" t="s">
        <v>223</v>
      </c>
      <c r="B224" s="264"/>
      <c r="C224" s="22">
        <f t="shared" si="56"/>
        <v>127</v>
      </c>
      <c r="D224" s="22">
        <v>122</v>
      </c>
      <c r="E224" s="22">
        <v>5</v>
      </c>
      <c r="F224" s="22">
        <v>4</v>
      </c>
      <c r="G224" s="22">
        <v>1</v>
      </c>
      <c r="H224" s="22">
        <v>0</v>
      </c>
      <c r="I224" s="22">
        <v>0</v>
      </c>
      <c r="J224" s="22">
        <v>0</v>
      </c>
    </row>
    <row r="225" spans="1:10" s="21" customFormat="1" ht="12" customHeight="1" x14ac:dyDescent="0.2">
      <c r="A225" s="264" t="s">
        <v>224</v>
      </c>
      <c r="B225" s="264"/>
      <c r="C225" s="22">
        <f t="shared" si="56"/>
        <v>345</v>
      </c>
      <c r="D225" s="22">
        <v>276</v>
      </c>
      <c r="E225" s="22">
        <v>69</v>
      </c>
      <c r="F225" s="22">
        <v>47</v>
      </c>
      <c r="G225" s="22">
        <v>22</v>
      </c>
      <c r="H225" s="22">
        <v>0</v>
      </c>
      <c r="I225" s="22">
        <v>0</v>
      </c>
      <c r="J225" s="22">
        <v>0</v>
      </c>
    </row>
    <row r="226" spans="1:10" s="21" customFormat="1" ht="12" customHeight="1" x14ac:dyDescent="0.2">
      <c r="A226" s="264" t="s">
        <v>225</v>
      </c>
      <c r="B226" s="264"/>
      <c r="C226" s="22">
        <f t="shared" si="56"/>
        <v>807</v>
      </c>
      <c r="D226" s="22">
        <v>413</v>
      </c>
      <c r="E226" s="22">
        <v>394</v>
      </c>
      <c r="F226" s="22">
        <v>225</v>
      </c>
      <c r="G226" s="22">
        <v>168</v>
      </c>
      <c r="H226" s="22">
        <v>1</v>
      </c>
      <c r="I226" s="22">
        <v>0</v>
      </c>
      <c r="J226" s="22">
        <v>0</v>
      </c>
    </row>
    <row r="227" spans="1:10" s="21" customFormat="1" ht="12" customHeight="1" x14ac:dyDescent="0.2">
      <c r="A227" s="264" t="s">
        <v>226</v>
      </c>
      <c r="B227" s="264"/>
      <c r="C227" s="22">
        <f t="shared" si="56"/>
        <v>436</v>
      </c>
      <c r="D227" s="22">
        <v>331</v>
      </c>
      <c r="E227" s="22">
        <v>105</v>
      </c>
      <c r="F227" s="22">
        <v>73</v>
      </c>
      <c r="G227" s="22">
        <v>32</v>
      </c>
      <c r="H227" s="22">
        <v>0</v>
      </c>
      <c r="I227" s="22">
        <v>0</v>
      </c>
      <c r="J227" s="22">
        <v>0</v>
      </c>
    </row>
    <row r="228" spans="1:10" s="21" customFormat="1" ht="12" customHeight="1" x14ac:dyDescent="0.2">
      <c r="A228" s="264" t="s">
        <v>227</v>
      </c>
      <c r="B228" s="264"/>
      <c r="C228" s="22">
        <f t="shared" si="56"/>
        <v>1006</v>
      </c>
      <c r="D228" s="22">
        <v>812</v>
      </c>
      <c r="E228" s="22">
        <v>194</v>
      </c>
      <c r="F228" s="22">
        <v>151</v>
      </c>
      <c r="G228" s="22">
        <v>42</v>
      </c>
      <c r="H228" s="22">
        <v>1</v>
      </c>
      <c r="I228" s="22">
        <v>0</v>
      </c>
      <c r="J228" s="22">
        <v>0</v>
      </c>
    </row>
    <row r="229" spans="1:10" s="21" customFormat="1" ht="12" customHeight="1" x14ac:dyDescent="0.2">
      <c r="A229" s="315" t="s">
        <v>228</v>
      </c>
      <c r="B229" s="315"/>
      <c r="C229" s="28">
        <f t="shared" si="56"/>
        <v>73</v>
      </c>
      <c r="D229" s="28">
        <v>72</v>
      </c>
      <c r="E229" s="28">
        <v>1</v>
      </c>
      <c r="F229" s="28">
        <v>0</v>
      </c>
      <c r="G229" s="28">
        <v>1</v>
      </c>
      <c r="H229" s="28">
        <v>0</v>
      </c>
      <c r="I229" s="28">
        <v>0</v>
      </c>
      <c r="J229" s="28">
        <v>0</v>
      </c>
    </row>
    <row r="230" spans="1:10" s="21" customFormat="1" ht="12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</row>
    <row r="231" spans="1:10" s="21" customFormat="1" ht="12" customHeight="1" x14ac:dyDescent="0.2">
      <c r="A231" s="263" t="s">
        <v>229</v>
      </c>
      <c r="B231" s="263"/>
      <c r="C231" s="20">
        <f t="shared" ref="C231:J231" si="57">SUM(C232:C239)</f>
        <v>333753</v>
      </c>
      <c r="D231" s="20">
        <f t="shared" si="57"/>
        <v>246898</v>
      </c>
      <c r="E231" s="20">
        <f t="shared" si="57"/>
        <v>86855</v>
      </c>
      <c r="F231" s="20">
        <f t="shared" si="57"/>
        <v>59382</v>
      </c>
      <c r="G231" s="20">
        <f t="shared" si="57"/>
        <v>26562</v>
      </c>
      <c r="H231" s="20">
        <f t="shared" si="57"/>
        <v>668</v>
      </c>
      <c r="I231" s="20">
        <f t="shared" si="57"/>
        <v>211</v>
      </c>
      <c r="J231" s="20">
        <f t="shared" si="57"/>
        <v>32</v>
      </c>
    </row>
    <row r="232" spans="1:10" s="21" customFormat="1" ht="12" customHeight="1" x14ac:dyDescent="0.2">
      <c r="A232" s="264" t="s">
        <v>230</v>
      </c>
      <c r="B232" s="264"/>
      <c r="C232" s="22">
        <f t="shared" ref="C232:J232" si="58">SUM(C59:C72)</f>
        <v>48729</v>
      </c>
      <c r="D232" s="22">
        <f t="shared" si="58"/>
        <v>37941</v>
      </c>
      <c r="E232" s="22">
        <f t="shared" si="58"/>
        <v>10788</v>
      </c>
      <c r="F232" s="22">
        <f t="shared" si="58"/>
        <v>7100</v>
      </c>
      <c r="G232" s="22">
        <f t="shared" si="58"/>
        <v>3532</v>
      </c>
      <c r="H232" s="22">
        <f t="shared" si="58"/>
        <v>113</v>
      </c>
      <c r="I232" s="22">
        <f t="shared" si="58"/>
        <v>40</v>
      </c>
      <c r="J232" s="22">
        <f t="shared" si="58"/>
        <v>3</v>
      </c>
    </row>
    <row r="233" spans="1:10" s="21" customFormat="1" ht="12" customHeight="1" x14ac:dyDescent="0.2">
      <c r="A233" s="264" t="s">
        <v>231</v>
      </c>
      <c r="B233" s="264"/>
      <c r="C233" s="22">
        <f t="shared" ref="C233:J233" si="59">SUM(C75:C134)</f>
        <v>141661</v>
      </c>
      <c r="D233" s="22">
        <f t="shared" si="59"/>
        <v>100475</v>
      </c>
      <c r="E233" s="22">
        <f t="shared" si="59"/>
        <v>41186</v>
      </c>
      <c r="F233" s="22">
        <f t="shared" si="59"/>
        <v>26647</v>
      </c>
      <c r="G233" s="22">
        <f t="shared" si="59"/>
        <v>14074</v>
      </c>
      <c r="H233" s="22">
        <f t="shared" si="59"/>
        <v>317</v>
      </c>
      <c r="I233" s="22">
        <f t="shared" si="59"/>
        <v>119</v>
      </c>
      <c r="J233" s="22">
        <f t="shared" si="59"/>
        <v>29</v>
      </c>
    </row>
    <row r="234" spans="1:10" s="21" customFormat="1" ht="12" customHeight="1" x14ac:dyDescent="0.2">
      <c r="A234" s="264" t="s">
        <v>232</v>
      </c>
      <c r="B234" s="264"/>
      <c r="C234" s="22">
        <f t="shared" ref="C234:J234" si="60">SUM(C137:C165)</f>
        <v>61707</v>
      </c>
      <c r="D234" s="22">
        <f t="shared" si="60"/>
        <v>46997</v>
      </c>
      <c r="E234" s="22">
        <f t="shared" si="60"/>
        <v>14710</v>
      </c>
      <c r="F234" s="22">
        <f t="shared" si="60"/>
        <v>10685</v>
      </c>
      <c r="G234" s="22">
        <f t="shared" si="60"/>
        <v>3938</v>
      </c>
      <c r="H234" s="22">
        <f t="shared" si="60"/>
        <v>69</v>
      </c>
      <c r="I234" s="22">
        <f t="shared" si="60"/>
        <v>18</v>
      </c>
      <c r="J234" s="22">
        <f t="shared" si="60"/>
        <v>0</v>
      </c>
    </row>
    <row r="235" spans="1:10" s="21" customFormat="1" ht="12" customHeight="1" x14ac:dyDescent="0.2">
      <c r="A235" s="264" t="s">
        <v>233</v>
      </c>
      <c r="B235" s="264"/>
      <c r="C235" s="22">
        <f t="shared" ref="C235:J235" si="61">SUM(C168:C175)</f>
        <v>5762</v>
      </c>
      <c r="D235" s="22">
        <f t="shared" si="61"/>
        <v>5149</v>
      </c>
      <c r="E235" s="22">
        <f t="shared" si="61"/>
        <v>613</v>
      </c>
      <c r="F235" s="22">
        <f t="shared" si="61"/>
        <v>434</v>
      </c>
      <c r="G235" s="22">
        <f t="shared" si="61"/>
        <v>179</v>
      </c>
      <c r="H235" s="22">
        <f t="shared" si="61"/>
        <v>0</v>
      </c>
      <c r="I235" s="22">
        <f t="shared" si="61"/>
        <v>0</v>
      </c>
      <c r="J235" s="22">
        <f t="shared" si="61"/>
        <v>0</v>
      </c>
    </row>
    <row r="236" spans="1:10" s="21" customFormat="1" ht="12" customHeight="1" x14ac:dyDescent="0.2">
      <c r="A236" s="264" t="s">
        <v>234</v>
      </c>
      <c r="B236" s="264"/>
      <c r="C236" s="22">
        <f t="shared" ref="C236:J236" si="62">SUM(C178:C194)</f>
        <v>48231</v>
      </c>
      <c r="D236" s="22">
        <f t="shared" si="62"/>
        <v>35775</v>
      </c>
      <c r="E236" s="22">
        <f t="shared" si="62"/>
        <v>12456</v>
      </c>
      <c r="F236" s="22">
        <f t="shared" si="62"/>
        <v>9540</v>
      </c>
      <c r="G236" s="22">
        <f t="shared" si="62"/>
        <v>2791</v>
      </c>
      <c r="H236" s="22">
        <f t="shared" si="62"/>
        <v>99</v>
      </c>
      <c r="I236" s="22">
        <f t="shared" si="62"/>
        <v>26</v>
      </c>
      <c r="J236" s="22">
        <f t="shared" si="62"/>
        <v>0</v>
      </c>
    </row>
    <row r="237" spans="1:10" s="21" customFormat="1" ht="12" customHeight="1" x14ac:dyDescent="0.2">
      <c r="A237" s="264" t="s">
        <v>235</v>
      </c>
      <c r="B237" s="264"/>
      <c r="C237" s="22">
        <f t="shared" ref="C237:J237" si="63">SUM(C197:C202)</f>
        <v>12533</v>
      </c>
      <c r="D237" s="22">
        <f t="shared" si="63"/>
        <v>8652</v>
      </c>
      <c r="E237" s="22">
        <f t="shared" si="63"/>
        <v>3881</v>
      </c>
      <c r="F237" s="22">
        <f t="shared" si="63"/>
        <v>2933</v>
      </c>
      <c r="G237" s="22">
        <f t="shared" si="63"/>
        <v>887</v>
      </c>
      <c r="H237" s="22">
        <f t="shared" si="63"/>
        <v>56</v>
      </c>
      <c r="I237" s="22">
        <f t="shared" si="63"/>
        <v>5</v>
      </c>
      <c r="J237" s="22">
        <f t="shared" si="63"/>
        <v>0</v>
      </c>
    </row>
    <row r="238" spans="1:10" s="21" customFormat="1" ht="12" customHeight="1" x14ac:dyDescent="0.2">
      <c r="A238" s="264" t="s">
        <v>236</v>
      </c>
      <c r="B238" s="264"/>
      <c r="C238" s="22">
        <f t="shared" ref="C238:J238" si="64">SUM(C205:C209)</f>
        <v>5530</v>
      </c>
      <c r="D238" s="22">
        <f t="shared" si="64"/>
        <v>5075</v>
      </c>
      <c r="E238" s="22">
        <f t="shared" si="64"/>
        <v>455</v>
      </c>
      <c r="F238" s="22">
        <f t="shared" si="64"/>
        <v>288</v>
      </c>
      <c r="G238" s="22">
        <f t="shared" si="64"/>
        <v>165</v>
      </c>
      <c r="H238" s="22">
        <f t="shared" si="64"/>
        <v>0</v>
      </c>
      <c r="I238" s="22">
        <f t="shared" si="64"/>
        <v>2</v>
      </c>
      <c r="J238" s="22">
        <f t="shared" si="64"/>
        <v>0</v>
      </c>
    </row>
    <row r="239" spans="1:10" s="21" customFormat="1" ht="12" customHeight="1" x14ac:dyDescent="0.2">
      <c r="A239" s="267" t="s">
        <v>237</v>
      </c>
      <c r="B239" s="267"/>
      <c r="C239" s="28">
        <f t="shared" ref="C239:J239" si="65">SUM(C212:C229)</f>
        <v>9600</v>
      </c>
      <c r="D239" s="28">
        <f t="shared" si="65"/>
        <v>6834</v>
      </c>
      <c r="E239" s="28">
        <f t="shared" si="65"/>
        <v>2766</v>
      </c>
      <c r="F239" s="28">
        <f t="shared" si="65"/>
        <v>1755</v>
      </c>
      <c r="G239" s="28">
        <f t="shared" si="65"/>
        <v>996</v>
      </c>
      <c r="H239" s="28">
        <f t="shared" si="65"/>
        <v>14</v>
      </c>
      <c r="I239" s="28">
        <f t="shared" si="65"/>
        <v>1</v>
      </c>
      <c r="J239" s="28">
        <f t="shared" si="65"/>
        <v>0</v>
      </c>
    </row>
    <row r="240" spans="1:10" s="21" customFormat="1" ht="12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</row>
    <row r="241" spans="1:10" s="21" customFormat="1" ht="12" customHeight="1" x14ac:dyDescent="0.2">
      <c r="A241" s="263" t="s">
        <v>364</v>
      </c>
      <c r="B241" s="263"/>
      <c r="C241" s="20">
        <f t="shared" ref="C241:J241" si="66">SUM(C242:C245)</f>
        <v>293048</v>
      </c>
      <c r="D241" s="20">
        <f t="shared" si="66"/>
        <v>215196</v>
      </c>
      <c r="E241" s="20">
        <f t="shared" si="66"/>
        <v>77852</v>
      </c>
      <c r="F241" s="20">
        <f t="shared" si="66"/>
        <v>53286</v>
      </c>
      <c r="G241" s="20">
        <f t="shared" si="66"/>
        <v>23740</v>
      </c>
      <c r="H241" s="20">
        <f t="shared" si="66"/>
        <v>593</v>
      </c>
      <c r="I241" s="20">
        <f t="shared" si="66"/>
        <v>201</v>
      </c>
      <c r="J241" s="20">
        <f t="shared" si="66"/>
        <v>32</v>
      </c>
    </row>
    <row r="242" spans="1:10" s="21" customFormat="1" ht="12" customHeight="1" x14ac:dyDescent="0.2">
      <c r="A242" s="264" t="s">
        <v>234</v>
      </c>
      <c r="B242" s="264"/>
      <c r="C242" s="22">
        <f t="shared" ref="C242:J242" si="67">C178+C179+C180+C181+C182+C183+C184+C185+C187+C189+C190+C192+C194+C198+C191</f>
        <v>50129</v>
      </c>
      <c r="D242" s="22">
        <f t="shared" si="67"/>
        <v>37283</v>
      </c>
      <c r="E242" s="22">
        <f t="shared" si="67"/>
        <v>12846</v>
      </c>
      <c r="F242" s="22">
        <f t="shared" si="67"/>
        <v>9844</v>
      </c>
      <c r="G242" s="22">
        <f t="shared" si="67"/>
        <v>2877</v>
      </c>
      <c r="H242" s="22">
        <f t="shared" si="67"/>
        <v>99</v>
      </c>
      <c r="I242" s="22">
        <f t="shared" si="67"/>
        <v>26</v>
      </c>
      <c r="J242" s="22">
        <f t="shared" si="67"/>
        <v>0</v>
      </c>
    </row>
    <row r="243" spans="1:10" s="21" customFormat="1" ht="12" customHeight="1" x14ac:dyDescent="0.2">
      <c r="A243" s="264" t="s">
        <v>238</v>
      </c>
      <c r="B243" s="264"/>
      <c r="C243" s="22">
        <f t="shared" ref="C243:J243" si="68">+C59+C60+C62+C63+C64+C65+C66+C68+C69+C70+C71+C72+C85+C61</f>
        <v>48837</v>
      </c>
      <c r="D243" s="22">
        <f t="shared" si="68"/>
        <v>38033</v>
      </c>
      <c r="E243" s="22">
        <f t="shared" si="68"/>
        <v>10804</v>
      </c>
      <c r="F243" s="22">
        <f t="shared" si="68"/>
        <v>7109</v>
      </c>
      <c r="G243" s="22">
        <f t="shared" si="68"/>
        <v>3539</v>
      </c>
      <c r="H243" s="22">
        <f t="shared" si="68"/>
        <v>113</v>
      </c>
      <c r="I243" s="22">
        <f t="shared" si="68"/>
        <v>40</v>
      </c>
      <c r="J243" s="22">
        <f t="shared" si="68"/>
        <v>3</v>
      </c>
    </row>
    <row r="244" spans="1:10" s="21" customFormat="1" ht="12" customHeight="1" x14ac:dyDescent="0.2">
      <c r="A244" s="264" t="s">
        <v>232</v>
      </c>
      <c r="B244" s="264"/>
      <c r="C244" s="22">
        <f t="shared" ref="C244:J244" si="69">C137+C139+C141+C144+C147+C151+C152+C154+C156+C158+C159+C161+C162+C164+C168+C175+C150+C146</f>
        <v>60915</v>
      </c>
      <c r="D244" s="22">
        <f t="shared" si="69"/>
        <v>46395</v>
      </c>
      <c r="E244" s="22">
        <f t="shared" si="69"/>
        <v>14520</v>
      </c>
      <c r="F244" s="22">
        <f t="shared" si="69"/>
        <v>10617</v>
      </c>
      <c r="G244" s="22">
        <f t="shared" si="69"/>
        <v>3823</v>
      </c>
      <c r="H244" s="22">
        <f t="shared" si="69"/>
        <v>64</v>
      </c>
      <c r="I244" s="22">
        <f t="shared" si="69"/>
        <v>16</v>
      </c>
      <c r="J244" s="22">
        <f t="shared" si="69"/>
        <v>0</v>
      </c>
    </row>
    <row r="245" spans="1:10" s="21" customFormat="1" ht="12" customHeight="1" x14ac:dyDescent="0.2">
      <c r="A245" s="267" t="s">
        <v>231</v>
      </c>
      <c r="B245" s="267"/>
      <c r="C245" s="28">
        <f t="shared" ref="C245:J245" si="70">+C75+C76+C77+C80+C81+C83+C82+C87+C86+C90+C88+C91+C89+C92+C93+C98+C97+C96+C99+C100+C101+C102+C103+C105+C104+C106+C107+C109+C108+C111+C110+C115+C117+C116+C119+C118+C120+C121+C122+C123+C124+C125+C126+C128+C129+C130+C132+C133+C134</f>
        <v>133167</v>
      </c>
      <c r="D245" s="28">
        <f t="shared" si="70"/>
        <v>93485</v>
      </c>
      <c r="E245" s="28">
        <f t="shared" si="70"/>
        <v>39682</v>
      </c>
      <c r="F245" s="28">
        <f t="shared" si="70"/>
        <v>25716</v>
      </c>
      <c r="G245" s="28">
        <f t="shared" si="70"/>
        <v>13501</v>
      </c>
      <c r="H245" s="28">
        <f t="shared" si="70"/>
        <v>317</v>
      </c>
      <c r="I245" s="28">
        <f t="shared" si="70"/>
        <v>119</v>
      </c>
      <c r="J245" s="28">
        <f t="shared" si="70"/>
        <v>29</v>
      </c>
    </row>
    <row r="246" spans="1:10" s="33" customFormat="1" ht="5.25" customHeight="1" x14ac:dyDescent="0.15">
      <c r="A246" s="317"/>
      <c r="B246" s="317"/>
      <c r="C246" s="317"/>
      <c r="D246" s="317"/>
      <c r="E246" s="317"/>
      <c r="F246" s="317"/>
      <c r="G246" s="317"/>
      <c r="H246" s="317"/>
      <c r="I246" s="317"/>
      <c r="J246" s="317"/>
    </row>
    <row r="247" spans="1:10" s="34" customFormat="1" ht="11.25" x14ac:dyDescent="0.2">
      <c r="A247" s="286" t="s">
        <v>338</v>
      </c>
      <c r="B247" s="286"/>
      <c r="C247" s="286"/>
      <c r="D247" s="286"/>
      <c r="E247" s="286"/>
      <c r="F247" s="286"/>
      <c r="G247" s="286"/>
      <c r="H247" s="286"/>
      <c r="I247" s="286"/>
      <c r="J247" s="286"/>
    </row>
    <row r="248" spans="1:10" s="34" customFormat="1" ht="12" customHeight="1" x14ac:dyDescent="0.2">
      <c r="A248" s="286" t="s">
        <v>363</v>
      </c>
      <c r="B248" s="286"/>
      <c r="C248" s="286"/>
      <c r="D248" s="286"/>
      <c r="E248" s="286"/>
      <c r="F248" s="286"/>
      <c r="G248" s="286"/>
      <c r="H248" s="286"/>
      <c r="I248" s="286"/>
    </row>
    <row r="249" spans="1:10" s="33" customFormat="1" ht="5.25" customHeight="1" x14ac:dyDescent="0.2">
      <c r="A249" s="314"/>
      <c r="B249" s="314"/>
      <c r="C249" s="314"/>
      <c r="D249" s="314"/>
      <c r="E249" s="314"/>
      <c r="F249" s="314"/>
      <c r="G249" s="314"/>
      <c r="H249" s="314"/>
      <c r="I249" s="314"/>
      <c r="J249" s="314"/>
    </row>
    <row r="250" spans="1:10" s="35" customFormat="1" ht="11.25" x14ac:dyDescent="0.2">
      <c r="A250" s="286" t="s">
        <v>339</v>
      </c>
      <c r="B250" s="286"/>
      <c r="C250" s="286"/>
      <c r="D250" s="286"/>
      <c r="E250" s="286"/>
      <c r="F250" s="286"/>
      <c r="G250" s="286"/>
      <c r="H250" s="286"/>
      <c r="I250" s="286"/>
      <c r="J250" s="286"/>
    </row>
    <row r="251" spans="1:10" s="33" customFormat="1" ht="5.25" customHeight="1" x14ac:dyDescent="0.15">
      <c r="A251" s="317"/>
      <c r="B251" s="317"/>
      <c r="C251" s="317"/>
      <c r="D251" s="317"/>
      <c r="E251" s="317"/>
      <c r="F251" s="317"/>
      <c r="G251" s="317"/>
      <c r="H251" s="317"/>
      <c r="I251" s="317"/>
      <c r="J251" s="317"/>
    </row>
    <row r="252" spans="1:10" s="36" customFormat="1" ht="11.25" customHeight="1" x14ac:dyDescent="0.2">
      <c r="A252" s="286" t="s">
        <v>351</v>
      </c>
      <c r="B252" s="286"/>
      <c r="C252" s="286"/>
      <c r="D252" s="286"/>
      <c r="E252" s="286"/>
      <c r="F252" s="286"/>
      <c r="G252" s="286"/>
      <c r="H252" s="286"/>
      <c r="I252" s="286"/>
      <c r="J252" s="286"/>
    </row>
    <row r="253" spans="1:10" s="36" customFormat="1" ht="12" customHeight="1" x14ac:dyDescent="0.2">
      <c r="A253" s="286" t="s">
        <v>352</v>
      </c>
      <c r="B253" s="286"/>
      <c r="C253" s="286"/>
      <c r="D253" s="286"/>
      <c r="E253" s="286"/>
      <c r="F253" s="286"/>
      <c r="G253" s="286"/>
      <c r="H253" s="286"/>
      <c r="I253" s="286"/>
      <c r="J253" s="286"/>
    </row>
  </sheetData>
  <mergeCells count="221">
    <mergeCell ref="A253:J253"/>
    <mergeCell ref="A187:B187"/>
    <mergeCell ref="A207:B207"/>
    <mergeCell ref="A215:B215"/>
    <mergeCell ref="A222:B222"/>
    <mergeCell ref="A189:B189"/>
    <mergeCell ref="A190:B190"/>
    <mergeCell ref="A191:B191"/>
    <mergeCell ref="A192:B192"/>
    <mergeCell ref="A193:B193"/>
    <mergeCell ref="A197:B197"/>
    <mergeCell ref="A198:B198"/>
    <mergeCell ref="A199:B199"/>
    <mergeCell ref="A200:B200"/>
    <mergeCell ref="A201:B201"/>
    <mergeCell ref="A202:B202"/>
    <mergeCell ref="A204:B204"/>
    <mergeCell ref="A205:B205"/>
    <mergeCell ref="A206:B206"/>
    <mergeCell ref="A208:B208"/>
    <mergeCell ref="A209:B209"/>
    <mergeCell ref="A211:B211"/>
    <mergeCell ref="A212:B212"/>
    <mergeCell ref="A213:B213"/>
    <mergeCell ref="A1:J1"/>
    <mergeCell ref="A2:J2"/>
    <mergeCell ref="A3:J3"/>
    <mergeCell ref="A4:J4"/>
    <mergeCell ref="A5:B5"/>
    <mergeCell ref="A6:B6"/>
    <mergeCell ref="E5:J5"/>
    <mergeCell ref="E6:J6"/>
    <mergeCell ref="A7:B7"/>
    <mergeCell ref="A8:B8"/>
    <mergeCell ref="A9:B9"/>
    <mergeCell ref="A10:B10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42:B42"/>
    <mergeCell ref="A43:B43"/>
    <mergeCell ref="A44:B44"/>
    <mergeCell ref="A48:B48"/>
    <mergeCell ref="A53:B53"/>
    <mergeCell ref="A54:B54"/>
    <mergeCell ref="A55:B55"/>
    <mergeCell ref="A56:B56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6:B136"/>
    <mergeCell ref="A137:B137"/>
    <mergeCell ref="A139:B139"/>
    <mergeCell ref="A140:B140"/>
    <mergeCell ref="A141:B141"/>
    <mergeCell ref="A138:B138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8:B178"/>
    <mergeCell ref="A177:B177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8:B188"/>
    <mergeCell ref="A194:B194"/>
    <mergeCell ref="A196:B196"/>
    <mergeCell ref="A214:B214"/>
    <mergeCell ref="A216:B216"/>
    <mergeCell ref="A217:B217"/>
    <mergeCell ref="A218:B218"/>
    <mergeCell ref="A219:B219"/>
    <mergeCell ref="A220:B220"/>
    <mergeCell ref="A221:B221"/>
    <mergeCell ref="A223:B223"/>
    <mergeCell ref="A224:B224"/>
    <mergeCell ref="A225:B225"/>
    <mergeCell ref="A226:B226"/>
    <mergeCell ref="A227:B227"/>
    <mergeCell ref="A241:B241"/>
    <mergeCell ref="A228:B228"/>
    <mergeCell ref="A229:B229"/>
    <mergeCell ref="A231:B231"/>
    <mergeCell ref="A232:B232"/>
    <mergeCell ref="A233:B233"/>
    <mergeCell ref="A234:B234"/>
    <mergeCell ref="A252:J252"/>
    <mergeCell ref="A246:J246"/>
    <mergeCell ref="A247:J247"/>
    <mergeCell ref="A249:J249"/>
    <mergeCell ref="A250:J250"/>
    <mergeCell ref="A235:B235"/>
    <mergeCell ref="A236:B236"/>
    <mergeCell ref="A237:B237"/>
    <mergeCell ref="A238:B238"/>
    <mergeCell ref="A239:B239"/>
    <mergeCell ref="A248:I248"/>
    <mergeCell ref="A243:B243"/>
    <mergeCell ref="A242:B242"/>
    <mergeCell ref="A244:B244"/>
    <mergeCell ref="A245:B245"/>
    <mergeCell ref="A251:J251"/>
  </mergeCells>
  <phoneticPr fontId="0" type="noConversion"/>
  <pageMargins left="0" right="0" top="0" bottom="0" header="0" footer="0"/>
  <pageSetup paperSize="9" scale="83" orientation="portrait" horizontalDpi="1200" verticalDpi="1200" r:id="rId1"/>
  <headerFooter alignWithMargins="0"/>
  <ignoredErrors>
    <ignoredError sqref="C59:C72 C75:C134 C137:C245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4"/>
  <dimension ref="A1:I265"/>
  <sheetViews>
    <sheetView workbookViewId="0">
      <selection sqref="A1:I1"/>
    </sheetView>
  </sheetViews>
  <sheetFormatPr defaultRowHeight="12" customHeight="1" x14ac:dyDescent="0.2"/>
  <cols>
    <col min="1" max="1" width="2.7109375" style="1" customWidth="1"/>
    <col min="2" max="2" width="26.5703125" style="1" customWidth="1"/>
    <col min="3" max="9" width="11.7109375" style="2" customWidth="1"/>
    <col min="10" max="16384" width="9.140625" style="1"/>
  </cols>
  <sheetData>
    <row r="1" spans="1:9" customFormat="1" ht="12.75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</row>
    <row r="2" spans="1:9" s="3" customFormat="1" ht="12.75" customHeight="1" x14ac:dyDescent="0.2">
      <c r="A2" s="320" t="s">
        <v>0</v>
      </c>
      <c r="B2" s="320"/>
      <c r="C2" s="320"/>
      <c r="D2" s="320"/>
      <c r="E2" s="320"/>
      <c r="F2" s="320"/>
      <c r="G2" s="320"/>
      <c r="H2" s="320"/>
      <c r="I2" s="320"/>
    </row>
    <row r="3" spans="1:9" s="4" customFormat="1" ht="12.75" customHeight="1" x14ac:dyDescent="0.25">
      <c r="A3" s="311"/>
      <c r="B3" s="311"/>
      <c r="C3" s="311"/>
      <c r="D3" s="311"/>
      <c r="E3" s="311"/>
      <c r="F3" s="311"/>
      <c r="G3" s="311"/>
      <c r="H3" s="311"/>
      <c r="I3" s="311"/>
    </row>
    <row r="4" spans="1:9" s="4" customFormat="1" ht="12.75" customHeight="1" x14ac:dyDescent="0.25">
      <c r="A4" s="311"/>
      <c r="B4" s="311"/>
      <c r="C4" s="311"/>
      <c r="D4" s="311"/>
      <c r="E4" s="311"/>
      <c r="F4" s="311"/>
      <c r="G4" s="311"/>
      <c r="H4" s="311"/>
      <c r="I4" s="311"/>
    </row>
    <row r="5" spans="1:9" s="5" customFormat="1" ht="12" customHeight="1" x14ac:dyDescent="0.2">
      <c r="A5" s="321"/>
      <c r="B5" s="321"/>
      <c r="C5" s="6" t="s">
        <v>1</v>
      </c>
      <c r="D5" s="7" t="s">
        <v>2</v>
      </c>
      <c r="E5" s="322" t="s">
        <v>3</v>
      </c>
      <c r="F5" s="323"/>
      <c r="G5" s="323"/>
      <c r="H5" s="323"/>
      <c r="I5" s="323"/>
    </row>
    <row r="6" spans="1:9" s="5" customFormat="1" ht="12" customHeight="1" x14ac:dyDescent="0.2">
      <c r="A6" s="318"/>
      <c r="B6" s="318"/>
      <c r="C6" s="8"/>
      <c r="D6" s="9"/>
      <c r="E6" s="318"/>
      <c r="F6" s="318"/>
      <c r="G6" s="318"/>
      <c r="H6" s="318"/>
      <c r="I6" s="318"/>
    </row>
    <row r="7" spans="1:9" s="5" customFormat="1" ht="12" customHeight="1" x14ac:dyDescent="0.2">
      <c r="A7" s="318"/>
      <c r="B7" s="318"/>
      <c r="C7" s="10"/>
      <c r="D7" s="10"/>
      <c r="E7" s="10"/>
      <c r="F7" s="10"/>
      <c r="G7" s="10"/>
      <c r="H7" s="10"/>
      <c r="I7" s="10"/>
    </row>
    <row r="8" spans="1:9" s="5" customFormat="1" ht="12" customHeight="1" x14ac:dyDescent="0.2">
      <c r="A8" s="318"/>
      <c r="B8" s="318"/>
      <c r="C8" s="10"/>
      <c r="D8" s="10"/>
      <c r="E8" s="11"/>
      <c r="F8" s="11"/>
      <c r="G8" s="11"/>
      <c r="H8" s="11" t="s">
        <v>4</v>
      </c>
      <c r="I8" s="11" t="s">
        <v>5</v>
      </c>
    </row>
    <row r="9" spans="1:9" s="5" customFormat="1" ht="13.5" customHeight="1" x14ac:dyDescent="0.2">
      <c r="A9" s="319"/>
      <c r="B9" s="319"/>
      <c r="C9" s="12"/>
      <c r="D9" s="13"/>
      <c r="E9" s="14" t="s">
        <v>1</v>
      </c>
      <c r="F9" s="14" t="s">
        <v>6</v>
      </c>
      <c r="G9" s="14" t="s">
        <v>7</v>
      </c>
      <c r="H9" s="14" t="s">
        <v>8</v>
      </c>
      <c r="I9" s="14" t="s">
        <v>9</v>
      </c>
    </row>
    <row r="10" spans="1:9" s="15" customFormat="1" ht="12" customHeight="1" x14ac:dyDescent="0.2">
      <c r="A10" s="272" t="s">
        <v>10</v>
      </c>
      <c r="B10" s="272"/>
      <c r="C10" s="16">
        <f t="shared" ref="C10:I10" si="0">C12+C23+C38+C42+C53</f>
        <v>335720</v>
      </c>
      <c r="D10" s="16">
        <f t="shared" si="0"/>
        <v>250381</v>
      </c>
      <c r="E10" s="16">
        <f t="shared" si="0"/>
        <v>85339</v>
      </c>
      <c r="F10" s="16">
        <f t="shared" si="0"/>
        <v>60569</v>
      </c>
      <c r="G10" s="16">
        <f t="shared" si="0"/>
        <v>24415</v>
      </c>
      <c r="H10" s="16">
        <f t="shared" si="0"/>
        <v>89</v>
      </c>
      <c r="I10" s="16">
        <f t="shared" si="0"/>
        <v>266</v>
      </c>
    </row>
    <row r="11" spans="1:9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</row>
    <row r="12" spans="1:9" s="19" customFormat="1" ht="12" customHeight="1" x14ac:dyDescent="0.2">
      <c r="A12" s="263" t="s">
        <v>11</v>
      </c>
      <c r="B12" s="263"/>
      <c r="C12" s="20">
        <f t="shared" ref="C12:I12" si="1">C13+C17+C21</f>
        <v>29265</v>
      </c>
      <c r="D12" s="20">
        <f t="shared" si="1"/>
        <v>22174</v>
      </c>
      <c r="E12" s="20">
        <f t="shared" si="1"/>
        <v>7091</v>
      </c>
      <c r="F12" s="20">
        <f t="shared" si="1"/>
        <v>5215</v>
      </c>
      <c r="G12" s="20">
        <f t="shared" si="1"/>
        <v>1854</v>
      </c>
      <c r="H12" s="20">
        <f t="shared" si="1"/>
        <v>0</v>
      </c>
      <c r="I12" s="20">
        <f t="shared" si="1"/>
        <v>22</v>
      </c>
    </row>
    <row r="13" spans="1:9" s="21" customFormat="1" ht="12" customHeight="1" x14ac:dyDescent="0.2">
      <c r="A13" s="264" t="s">
        <v>12</v>
      </c>
      <c r="B13" s="264"/>
      <c r="C13" s="22">
        <f t="shared" ref="C13:I13" si="2">C14+C15+C16</f>
        <v>9834</v>
      </c>
      <c r="D13" s="22">
        <f t="shared" si="2"/>
        <v>7038</v>
      </c>
      <c r="E13" s="22">
        <f t="shared" si="2"/>
        <v>2796</v>
      </c>
      <c r="F13" s="22">
        <f t="shared" si="2"/>
        <v>1855</v>
      </c>
      <c r="G13" s="22">
        <f t="shared" si="2"/>
        <v>937</v>
      </c>
      <c r="H13" s="22">
        <f t="shared" si="2"/>
        <v>0</v>
      </c>
      <c r="I13" s="22">
        <f t="shared" si="2"/>
        <v>4</v>
      </c>
    </row>
    <row r="14" spans="1:9" s="21" customFormat="1" ht="12" customHeight="1" x14ac:dyDescent="0.2">
      <c r="A14" s="23"/>
      <c r="B14" s="24" t="s">
        <v>13</v>
      </c>
      <c r="C14" s="22">
        <f t="shared" ref="C14:I14" si="3">C224+C226+C232+C239+C240</f>
        <v>3270</v>
      </c>
      <c r="D14" s="22">
        <f t="shared" si="3"/>
        <v>2619</v>
      </c>
      <c r="E14" s="22">
        <f t="shared" si="3"/>
        <v>651</v>
      </c>
      <c r="F14" s="22">
        <f t="shared" si="3"/>
        <v>481</v>
      </c>
      <c r="G14" s="22">
        <f t="shared" si="3"/>
        <v>169</v>
      </c>
      <c r="H14" s="22">
        <f t="shared" si="3"/>
        <v>0</v>
      </c>
      <c r="I14" s="22">
        <f t="shared" si="3"/>
        <v>1</v>
      </c>
    </row>
    <row r="15" spans="1:9" s="21" customFormat="1" ht="12" customHeight="1" x14ac:dyDescent="0.2">
      <c r="A15" s="23"/>
      <c r="B15" s="24" t="s">
        <v>14</v>
      </c>
      <c r="C15" s="22">
        <f t="shared" ref="C15:I15" si="4">+C225+C233+C228+C229+C230+C231+C235+C236+C241</f>
        <v>3494</v>
      </c>
      <c r="D15" s="22">
        <f t="shared" si="4"/>
        <v>2457</v>
      </c>
      <c r="E15" s="22">
        <f t="shared" si="4"/>
        <v>1037</v>
      </c>
      <c r="F15" s="22">
        <f t="shared" si="4"/>
        <v>612</v>
      </c>
      <c r="G15" s="22">
        <f t="shared" si="4"/>
        <v>423</v>
      </c>
      <c r="H15" s="22">
        <f t="shared" si="4"/>
        <v>0</v>
      </c>
      <c r="I15" s="22">
        <f t="shared" si="4"/>
        <v>2</v>
      </c>
    </row>
    <row r="16" spans="1:9" s="21" customFormat="1" ht="12" customHeight="1" x14ac:dyDescent="0.2">
      <c r="A16" s="23"/>
      <c r="B16" s="25" t="s">
        <v>15</v>
      </c>
      <c r="C16" s="22">
        <f t="shared" ref="C16:I16" si="5">C227+C234+C237+C238</f>
        <v>3070</v>
      </c>
      <c r="D16" s="22">
        <f t="shared" si="5"/>
        <v>1962</v>
      </c>
      <c r="E16" s="22">
        <f t="shared" si="5"/>
        <v>1108</v>
      </c>
      <c r="F16" s="22">
        <f t="shared" si="5"/>
        <v>762</v>
      </c>
      <c r="G16" s="22">
        <f t="shared" si="5"/>
        <v>345</v>
      </c>
      <c r="H16" s="22">
        <f t="shared" si="5"/>
        <v>0</v>
      </c>
      <c r="I16" s="22">
        <f t="shared" si="5"/>
        <v>1</v>
      </c>
    </row>
    <row r="17" spans="1:9" s="21" customFormat="1" ht="12" customHeight="1" x14ac:dyDescent="0.2">
      <c r="A17" s="264" t="s">
        <v>16</v>
      </c>
      <c r="B17" s="264"/>
      <c r="C17" s="22">
        <f t="shared" ref="C17:I17" si="6">C18+C19+C20</f>
        <v>5682</v>
      </c>
      <c r="D17" s="22">
        <f t="shared" si="6"/>
        <v>5240</v>
      </c>
      <c r="E17" s="22">
        <f t="shared" si="6"/>
        <v>442</v>
      </c>
      <c r="F17" s="22">
        <f t="shared" si="6"/>
        <v>293</v>
      </c>
      <c r="G17" s="22">
        <f t="shared" si="6"/>
        <v>148</v>
      </c>
      <c r="H17" s="22">
        <f t="shared" si="6"/>
        <v>0</v>
      </c>
      <c r="I17" s="22">
        <f t="shared" si="6"/>
        <v>1</v>
      </c>
    </row>
    <row r="18" spans="1:9" s="21" customFormat="1" ht="12" customHeight="1" x14ac:dyDescent="0.2">
      <c r="A18" s="23"/>
      <c r="B18" s="24" t="s">
        <v>17</v>
      </c>
      <c r="C18" s="22">
        <f t="shared" ref="C18:I18" si="7">+C218</f>
        <v>1792</v>
      </c>
      <c r="D18" s="22">
        <f t="shared" si="7"/>
        <v>1673</v>
      </c>
      <c r="E18" s="22">
        <f t="shared" si="7"/>
        <v>119</v>
      </c>
      <c r="F18" s="22">
        <f t="shared" si="7"/>
        <v>78</v>
      </c>
      <c r="G18" s="22">
        <f t="shared" si="7"/>
        <v>40</v>
      </c>
      <c r="H18" s="22">
        <f t="shared" si="7"/>
        <v>0</v>
      </c>
      <c r="I18" s="22">
        <f t="shared" si="7"/>
        <v>1</v>
      </c>
    </row>
    <row r="19" spans="1:9" s="21" customFormat="1" ht="12" customHeight="1" x14ac:dyDescent="0.2">
      <c r="A19" s="23"/>
      <c r="B19" s="24" t="s">
        <v>18</v>
      </c>
      <c r="C19" s="22">
        <f t="shared" ref="C19:I19" si="8">+C217</f>
        <v>1841</v>
      </c>
      <c r="D19" s="22">
        <f t="shared" si="8"/>
        <v>1656</v>
      </c>
      <c r="E19" s="22">
        <f t="shared" si="8"/>
        <v>185</v>
      </c>
      <c r="F19" s="22">
        <f t="shared" si="8"/>
        <v>126</v>
      </c>
      <c r="G19" s="22">
        <f t="shared" si="8"/>
        <v>59</v>
      </c>
      <c r="H19" s="22">
        <f t="shared" si="8"/>
        <v>0</v>
      </c>
      <c r="I19" s="22">
        <f t="shared" si="8"/>
        <v>0</v>
      </c>
    </row>
    <row r="20" spans="1:9" s="21" customFormat="1" ht="12" customHeight="1" x14ac:dyDescent="0.2">
      <c r="A20" s="26"/>
      <c r="B20" s="24" t="s">
        <v>19</v>
      </c>
      <c r="C20" s="22">
        <f t="shared" ref="C20:I20" si="9">C219+C220+C221</f>
        <v>2049</v>
      </c>
      <c r="D20" s="22">
        <f t="shared" si="9"/>
        <v>1911</v>
      </c>
      <c r="E20" s="22">
        <f t="shared" si="9"/>
        <v>138</v>
      </c>
      <c r="F20" s="22">
        <f t="shared" si="9"/>
        <v>89</v>
      </c>
      <c r="G20" s="22">
        <f t="shared" si="9"/>
        <v>49</v>
      </c>
      <c r="H20" s="22">
        <f t="shared" si="9"/>
        <v>0</v>
      </c>
      <c r="I20" s="22">
        <f t="shared" si="9"/>
        <v>0</v>
      </c>
    </row>
    <row r="21" spans="1:9" s="21" customFormat="1" ht="12" customHeight="1" x14ac:dyDescent="0.2">
      <c r="A21" s="267" t="s">
        <v>20</v>
      </c>
      <c r="B21" s="267"/>
      <c r="C21" s="28">
        <f t="shared" ref="C21:I21" si="10">C209+C210+C211+C194+C212+C213+C200+C214+C203</f>
        <v>13749</v>
      </c>
      <c r="D21" s="28">
        <f t="shared" si="10"/>
        <v>9896</v>
      </c>
      <c r="E21" s="28">
        <f t="shared" si="10"/>
        <v>3853</v>
      </c>
      <c r="F21" s="28">
        <f t="shared" si="10"/>
        <v>3067</v>
      </c>
      <c r="G21" s="28">
        <f t="shared" si="10"/>
        <v>769</v>
      </c>
      <c r="H21" s="28">
        <f t="shared" si="10"/>
        <v>0</v>
      </c>
      <c r="I21" s="28">
        <f t="shared" si="10"/>
        <v>17</v>
      </c>
    </row>
    <row r="22" spans="1:9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</row>
    <row r="23" spans="1:9" s="19" customFormat="1" ht="12" customHeight="1" x14ac:dyDescent="0.2">
      <c r="A23" s="263" t="s">
        <v>21</v>
      </c>
      <c r="B23" s="263"/>
      <c r="C23" s="20">
        <f t="shared" ref="C23:I23" si="11">C24+C25+C26+C29+C32+C33</f>
        <v>67224</v>
      </c>
      <c r="D23" s="20">
        <f t="shared" si="11"/>
        <v>52308</v>
      </c>
      <c r="E23" s="20">
        <f t="shared" si="11"/>
        <v>14916</v>
      </c>
      <c r="F23" s="20">
        <f t="shared" si="11"/>
        <v>11155</v>
      </c>
      <c r="G23" s="20">
        <f t="shared" si="11"/>
        <v>3721</v>
      </c>
      <c r="H23" s="20">
        <f t="shared" si="11"/>
        <v>0</v>
      </c>
      <c r="I23" s="20">
        <f t="shared" si="11"/>
        <v>40</v>
      </c>
    </row>
    <row r="24" spans="1:9" s="21" customFormat="1" ht="12" customHeight="1" x14ac:dyDescent="0.2">
      <c r="A24" s="264" t="s">
        <v>22</v>
      </c>
      <c r="B24" s="264"/>
      <c r="C24" s="22">
        <f t="shared" ref="C24:I24" si="12">C140+C142+C143+C157+C158+C161+C163+C165+C167</f>
        <v>40744</v>
      </c>
      <c r="D24" s="22">
        <f t="shared" si="12"/>
        <v>29829</v>
      </c>
      <c r="E24" s="22">
        <f t="shared" si="12"/>
        <v>10915</v>
      </c>
      <c r="F24" s="22">
        <f t="shared" si="12"/>
        <v>8177</v>
      </c>
      <c r="G24" s="22">
        <f t="shared" si="12"/>
        <v>2709</v>
      </c>
      <c r="H24" s="22">
        <f t="shared" si="12"/>
        <v>0</v>
      </c>
      <c r="I24" s="22">
        <f t="shared" si="12"/>
        <v>29</v>
      </c>
    </row>
    <row r="25" spans="1:9" s="21" customFormat="1" ht="12" customHeight="1" x14ac:dyDescent="0.2">
      <c r="A25" s="264" t="s">
        <v>23</v>
      </c>
      <c r="B25" s="264"/>
      <c r="C25" s="22">
        <f t="shared" ref="C25:I25" si="13">C144+C151+C154+C159+C166+C168+C169+C175</f>
        <v>4060</v>
      </c>
      <c r="D25" s="22">
        <f t="shared" si="13"/>
        <v>3322</v>
      </c>
      <c r="E25" s="22">
        <f t="shared" si="13"/>
        <v>738</v>
      </c>
      <c r="F25" s="22">
        <f t="shared" si="13"/>
        <v>513</v>
      </c>
      <c r="G25" s="22">
        <f t="shared" si="13"/>
        <v>222</v>
      </c>
      <c r="H25" s="22">
        <f t="shared" si="13"/>
        <v>0</v>
      </c>
      <c r="I25" s="22">
        <f t="shared" si="13"/>
        <v>3</v>
      </c>
    </row>
    <row r="26" spans="1:9" s="21" customFormat="1" ht="12" customHeight="1" x14ac:dyDescent="0.2">
      <c r="A26" s="264" t="s">
        <v>24</v>
      </c>
      <c r="B26" s="264"/>
      <c r="C26" s="22">
        <f t="shared" ref="C26:I26" si="14">C27+C28</f>
        <v>12034</v>
      </c>
      <c r="D26" s="22">
        <f t="shared" si="14"/>
        <v>9871</v>
      </c>
      <c r="E26" s="22">
        <f t="shared" si="14"/>
        <v>2163</v>
      </c>
      <c r="F26" s="22">
        <f t="shared" si="14"/>
        <v>1696</v>
      </c>
      <c r="G26" s="22">
        <f t="shared" si="14"/>
        <v>462</v>
      </c>
      <c r="H26" s="22">
        <f t="shared" si="14"/>
        <v>0</v>
      </c>
      <c r="I26" s="22">
        <f t="shared" si="14"/>
        <v>5</v>
      </c>
    </row>
    <row r="27" spans="1:9" s="21" customFormat="1" ht="12" customHeight="1" x14ac:dyDescent="0.2">
      <c r="A27" s="29"/>
      <c r="B27" s="24" t="s">
        <v>25</v>
      </c>
      <c r="C27" s="22">
        <f t="shared" ref="C27:I27" si="15">C141+C148+C150+C160+C170+C176</f>
        <v>930</v>
      </c>
      <c r="D27" s="22">
        <f t="shared" si="15"/>
        <v>879</v>
      </c>
      <c r="E27" s="22">
        <f t="shared" si="15"/>
        <v>51</v>
      </c>
      <c r="F27" s="22">
        <f t="shared" si="15"/>
        <v>29</v>
      </c>
      <c r="G27" s="22">
        <f t="shared" si="15"/>
        <v>22</v>
      </c>
      <c r="H27" s="22">
        <f t="shared" si="15"/>
        <v>0</v>
      </c>
      <c r="I27" s="22">
        <f t="shared" si="15"/>
        <v>0</v>
      </c>
    </row>
    <row r="28" spans="1:9" s="21" customFormat="1" ht="12" customHeight="1" x14ac:dyDescent="0.2">
      <c r="A28" s="26"/>
      <c r="B28" s="24" t="s">
        <v>26</v>
      </c>
      <c r="C28" s="22">
        <f t="shared" ref="C28:I28" si="16">C149+C152+C156+C172</f>
        <v>11104</v>
      </c>
      <c r="D28" s="22">
        <f t="shared" si="16"/>
        <v>8992</v>
      </c>
      <c r="E28" s="22">
        <f t="shared" si="16"/>
        <v>2112</v>
      </c>
      <c r="F28" s="22">
        <f t="shared" si="16"/>
        <v>1667</v>
      </c>
      <c r="G28" s="22">
        <f t="shared" si="16"/>
        <v>440</v>
      </c>
      <c r="H28" s="22">
        <f t="shared" si="16"/>
        <v>0</v>
      </c>
      <c r="I28" s="22">
        <f t="shared" si="16"/>
        <v>5</v>
      </c>
    </row>
    <row r="29" spans="1:9" s="21" customFormat="1" ht="12" customHeight="1" x14ac:dyDescent="0.2">
      <c r="A29" s="264" t="s">
        <v>27</v>
      </c>
      <c r="B29" s="264"/>
      <c r="C29" s="22">
        <f t="shared" ref="C29:I29" si="17">C30+C31</f>
        <v>3718</v>
      </c>
      <c r="D29" s="22">
        <f t="shared" si="17"/>
        <v>3292</v>
      </c>
      <c r="E29" s="22">
        <f t="shared" si="17"/>
        <v>426</v>
      </c>
      <c r="F29" s="22">
        <f t="shared" si="17"/>
        <v>287</v>
      </c>
      <c r="G29" s="22">
        <f t="shared" si="17"/>
        <v>138</v>
      </c>
      <c r="H29" s="22">
        <f t="shared" si="17"/>
        <v>0</v>
      </c>
      <c r="I29" s="22">
        <f t="shared" si="17"/>
        <v>1</v>
      </c>
    </row>
    <row r="30" spans="1:9" s="21" customFormat="1" ht="12" customHeight="1" x14ac:dyDescent="0.2">
      <c r="A30" s="29"/>
      <c r="B30" s="24" t="s">
        <v>28</v>
      </c>
      <c r="C30" s="22">
        <f t="shared" ref="C30:I30" si="18">+C146</f>
        <v>1142</v>
      </c>
      <c r="D30" s="22">
        <f t="shared" si="18"/>
        <v>1023</v>
      </c>
      <c r="E30" s="22">
        <f t="shared" si="18"/>
        <v>119</v>
      </c>
      <c r="F30" s="22">
        <f t="shared" si="18"/>
        <v>76</v>
      </c>
      <c r="G30" s="22">
        <f t="shared" si="18"/>
        <v>43</v>
      </c>
      <c r="H30" s="22">
        <f t="shared" si="18"/>
        <v>0</v>
      </c>
      <c r="I30" s="22">
        <f t="shared" si="18"/>
        <v>0</v>
      </c>
    </row>
    <row r="31" spans="1:9" s="21" customFormat="1" ht="12" customHeight="1" x14ac:dyDescent="0.2">
      <c r="A31" s="26"/>
      <c r="B31" s="24" t="s">
        <v>29</v>
      </c>
      <c r="C31" s="22">
        <f t="shared" ref="C31:I31" si="19">C145+C171+C174</f>
        <v>2576</v>
      </c>
      <c r="D31" s="22">
        <f t="shared" si="19"/>
        <v>2269</v>
      </c>
      <c r="E31" s="22">
        <f t="shared" si="19"/>
        <v>307</v>
      </c>
      <c r="F31" s="22">
        <f t="shared" si="19"/>
        <v>211</v>
      </c>
      <c r="G31" s="22">
        <f t="shared" si="19"/>
        <v>95</v>
      </c>
      <c r="H31" s="22">
        <f t="shared" si="19"/>
        <v>0</v>
      </c>
      <c r="I31" s="22">
        <f t="shared" si="19"/>
        <v>1</v>
      </c>
    </row>
    <row r="32" spans="1:9" s="21" customFormat="1" ht="12" customHeight="1" x14ac:dyDescent="0.2">
      <c r="A32" s="264" t="s">
        <v>30</v>
      </c>
      <c r="B32" s="264"/>
      <c r="C32" s="22">
        <f t="shared" ref="C32:I32" si="20">C153+C155+C162+C164+C173</f>
        <v>797</v>
      </c>
      <c r="D32" s="22">
        <f t="shared" si="20"/>
        <v>731</v>
      </c>
      <c r="E32" s="22">
        <f t="shared" si="20"/>
        <v>66</v>
      </c>
      <c r="F32" s="22">
        <f t="shared" si="20"/>
        <v>44</v>
      </c>
      <c r="G32" s="22">
        <f t="shared" si="20"/>
        <v>22</v>
      </c>
      <c r="H32" s="22">
        <f t="shared" si="20"/>
        <v>0</v>
      </c>
      <c r="I32" s="22">
        <f t="shared" si="20"/>
        <v>0</v>
      </c>
    </row>
    <row r="33" spans="1:9" s="21" customFormat="1" ht="12" customHeight="1" x14ac:dyDescent="0.2">
      <c r="A33" s="264" t="s">
        <v>31</v>
      </c>
      <c r="B33" s="264"/>
      <c r="C33" s="22">
        <f t="shared" ref="C33:I33" si="21">C34+C35+C36</f>
        <v>5871</v>
      </c>
      <c r="D33" s="22">
        <f t="shared" si="21"/>
        <v>5263</v>
      </c>
      <c r="E33" s="22">
        <f t="shared" si="21"/>
        <v>608</v>
      </c>
      <c r="F33" s="22">
        <f t="shared" si="21"/>
        <v>438</v>
      </c>
      <c r="G33" s="22">
        <f t="shared" si="21"/>
        <v>168</v>
      </c>
      <c r="H33" s="22">
        <f t="shared" si="21"/>
        <v>0</v>
      </c>
      <c r="I33" s="22">
        <f t="shared" si="21"/>
        <v>2</v>
      </c>
    </row>
    <row r="34" spans="1:9" s="21" customFormat="1" ht="12" customHeight="1" x14ac:dyDescent="0.2">
      <c r="A34" s="29"/>
      <c r="B34" s="24" t="s">
        <v>32</v>
      </c>
      <c r="C34" s="22">
        <f t="shared" ref="C34:I34" si="22">C184</f>
        <v>573</v>
      </c>
      <c r="D34" s="22">
        <f t="shared" si="22"/>
        <v>543</v>
      </c>
      <c r="E34" s="22">
        <f t="shared" si="22"/>
        <v>30</v>
      </c>
      <c r="F34" s="22">
        <f t="shared" si="22"/>
        <v>15</v>
      </c>
      <c r="G34" s="22">
        <f t="shared" si="22"/>
        <v>15</v>
      </c>
      <c r="H34" s="22">
        <f t="shared" si="22"/>
        <v>0</v>
      </c>
      <c r="I34" s="22">
        <f t="shared" si="22"/>
        <v>0</v>
      </c>
    </row>
    <row r="35" spans="1:9" s="21" customFormat="1" ht="12" customHeight="1" x14ac:dyDescent="0.2">
      <c r="A35" s="23"/>
      <c r="B35" s="24" t="s">
        <v>33</v>
      </c>
      <c r="C35" s="22">
        <f t="shared" ref="C35:I35" si="23">C180+C181+C182+C185</f>
        <v>209</v>
      </c>
      <c r="D35" s="22">
        <f t="shared" si="23"/>
        <v>194</v>
      </c>
      <c r="E35" s="22">
        <f t="shared" si="23"/>
        <v>15</v>
      </c>
      <c r="F35" s="22">
        <f t="shared" si="23"/>
        <v>5</v>
      </c>
      <c r="G35" s="22">
        <f t="shared" si="23"/>
        <v>10</v>
      </c>
      <c r="H35" s="22">
        <f t="shared" si="23"/>
        <v>0</v>
      </c>
      <c r="I35" s="22">
        <f t="shared" si="23"/>
        <v>0</v>
      </c>
    </row>
    <row r="36" spans="1:9" s="21" customFormat="1" ht="12" customHeight="1" x14ac:dyDescent="0.2">
      <c r="A36" s="23"/>
      <c r="B36" s="30" t="s">
        <v>34</v>
      </c>
      <c r="C36" s="28">
        <f t="shared" ref="C36:I36" si="24">C179+C183+C186</f>
        <v>5089</v>
      </c>
      <c r="D36" s="28">
        <f t="shared" si="24"/>
        <v>4526</v>
      </c>
      <c r="E36" s="28">
        <f t="shared" si="24"/>
        <v>563</v>
      </c>
      <c r="F36" s="28">
        <f t="shared" si="24"/>
        <v>418</v>
      </c>
      <c r="G36" s="28">
        <f t="shared" si="24"/>
        <v>143</v>
      </c>
      <c r="H36" s="28">
        <f t="shared" si="24"/>
        <v>0</v>
      </c>
      <c r="I36" s="28">
        <f t="shared" si="24"/>
        <v>2</v>
      </c>
    </row>
    <row r="37" spans="1:9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</row>
    <row r="38" spans="1:9" s="19" customFormat="1" ht="12" customHeight="1" x14ac:dyDescent="0.2">
      <c r="A38" s="263" t="s">
        <v>35</v>
      </c>
      <c r="B38" s="263"/>
      <c r="C38" s="20">
        <f t="shared" ref="C38:I38" si="25">C39+C40</f>
        <v>47174</v>
      </c>
      <c r="D38" s="20">
        <f t="shared" si="25"/>
        <v>34731</v>
      </c>
      <c r="E38" s="20">
        <f t="shared" si="25"/>
        <v>12443</v>
      </c>
      <c r="F38" s="20">
        <f t="shared" si="25"/>
        <v>9824</v>
      </c>
      <c r="G38" s="20">
        <f t="shared" si="25"/>
        <v>2579</v>
      </c>
      <c r="H38" s="20">
        <f t="shared" si="25"/>
        <v>1</v>
      </c>
      <c r="I38" s="20">
        <f t="shared" si="25"/>
        <v>39</v>
      </c>
    </row>
    <row r="39" spans="1:9" s="21" customFormat="1" ht="12" customHeight="1" x14ac:dyDescent="0.2">
      <c r="A39" s="264" t="s">
        <v>36</v>
      </c>
      <c r="B39" s="264"/>
      <c r="C39" s="22">
        <f t="shared" ref="C39:I39" si="26">C189+C190+C192+C193+C195+C198+C201+C202+C205+C206</f>
        <v>40908</v>
      </c>
      <c r="D39" s="22">
        <f t="shared" si="26"/>
        <v>30317</v>
      </c>
      <c r="E39" s="22">
        <f t="shared" si="26"/>
        <v>10591</v>
      </c>
      <c r="F39" s="22">
        <f t="shared" si="26"/>
        <v>8370</v>
      </c>
      <c r="G39" s="22">
        <f t="shared" si="26"/>
        <v>2184</v>
      </c>
      <c r="H39" s="22">
        <f t="shared" si="26"/>
        <v>1</v>
      </c>
      <c r="I39" s="22">
        <f t="shared" si="26"/>
        <v>36</v>
      </c>
    </row>
    <row r="40" spans="1:9" s="21" customFormat="1" ht="12" customHeight="1" x14ac:dyDescent="0.2">
      <c r="A40" s="267" t="s">
        <v>37</v>
      </c>
      <c r="B40" s="267"/>
      <c r="C40" s="28">
        <f t="shared" ref="C40:I40" si="27">+C191+C147+C196+C204</f>
        <v>6266</v>
      </c>
      <c r="D40" s="28">
        <f t="shared" si="27"/>
        <v>4414</v>
      </c>
      <c r="E40" s="28">
        <f t="shared" si="27"/>
        <v>1852</v>
      </c>
      <c r="F40" s="28">
        <f t="shared" si="27"/>
        <v>1454</v>
      </c>
      <c r="G40" s="28">
        <f t="shared" si="27"/>
        <v>395</v>
      </c>
      <c r="H40" s="28">
        <f t="shared" si="27"/>
        <v>0</v>
      </c>
      <c r="I40" s="28">
        <f t="shared" si="27"/>
        <v>3</v>
      </c>
    </row>
    <row r="41" spans="1:9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</row>
    <row r="42" spans="1:9" s="19" customFormat="1" ht="12" customHeight="1" x14ac:dyDescent="0.2">
      <c r="A42" s="263" t="s">
        <v>38</v>
      </c>
      <c r="B42" s="263"/>
      <c r="C42" s="20">
        <f t="shared" ref="C42:I42" si="28">C43+C44+C48</f>
        <v>138280</v>
      </c>
      <c r="D42" s="20">
        <f t="shared" si="28"/>
        <v>98833</v>
      </c>
      <c r="E42" s="20">
        <f t="shared" si="28"/>
        <v>39447</v>
      </c>
      <c r="F42" s="20">
        <f t="shared" si="28"/>
        <v>26561</v>
      </c>
      <c r="G42" s="20">
        <f t="shared" si="28"/>
        <v>12723</v>
      </c>
      <c r="H42" s="20">
        <f t="shared" si="28"/>
        <v>31</v>
      </c>
      <c r="I42" s="20">
        <f t="shared" si="28"/>
        <v>132</v>
      </c>
    </row>
    <row r="43" spans="1:9" s="21" customFormat="1" ht="12" customHeight="1" x14ac:dyDescent="0.2">
      <c r="A43" s="264" t="s">
        <v>39</v>
      </c>
      <c r="B43" s="264"/>
      <c r="C43" s="22">
        <f t="shared" ref="C43:I43" si="29">C88+C89+C91+C93+C94+C98+C99+C101+C103+C105+C106+C110+C112+C116+C117+C121+C124+C128+C132+C136+C137</f>
        <v>91636</v>
      </c>
      <c r="D43" s="22">
        <f t="shared" si="29"/>
        <v>60441</v>
      </c>
      <c r="E43" s="22">
        <f t="shared" si="29"/>
        <v>31195</v>
      </c>
      <c r="F43" s="22">
        <f t="shared" si="29"/>
        <v>20235</v>
      </c>
      <c r="G43" s="22">
        <f t="shared" si="29"/>
        <v>10819</v>
      </c>
      <c r="H43" s="22">
        <f t="shared" si="29"/>
        <v>30</v>
      </c>
      <c r="I43" s="22">
        <f t="shared" si="29"/>
        <v>111</v>
      </c>
    </row>
    <row r="44" spans="1:9" s="21" customFormat="1" ht="12" customHeight="1" x14ac:dyDescent="0.2">
      <c r="A44" s="270" t="s">
        <v>40</v>
      </c>
      <c r="B44" s="270"/>
      <c r="C44" s="22">
        <f t="shared" ref="C44:I44" si="30">C45+C46+C47</f>
        <v>24383</v>
      </c>
      <c r="D44" s="22">
        <f t="shared" si="30"/>
        <v>20672</v>
      </c>
      <c r="E44" s="22">
        <f t="shared" si="30"/>
        <v>3711</v>
      </c>
      <c r="F44" s="22">
        <f t="shared" si="30"/>
        <v>2927</v>
      </c>
      <c r="G44" s="22">
        <f t="shared" si="30"/>
        <v>778</v>
      </c>
      <c r="H44" s="22">
        <f t="shared" si="30"/>
        <v>0</v>
      </c>
      <c r="I44" s="22">
        <f t="shared" si="30"/>
        <v>6</v>
      </c>
    </row>
    <row r="45" spans="1:9" s="21" customFormat="1" ht="12" customHeight="1" x14ac:dyDescent="0.2">
      <c r="A45" s="30"/>
      <c r="B45" s="24" t="s">
        <v>41</v>
      </c>
      <c r="C45" s="22">
        <f t="shared" ref="C45:I45" si="31">C80+C83+C90+C104+C197+C108+C199+C113+C126+C130+C133</f>
        <v>12309</v>
      </c>
      <c r="D45" s="22">
        <f t="shared" si="31"/>
        <v>9928</v>
      </c>
      <c r="E45" s="22">
        <f t="shared" si="31"/>
        <v>2381</v>
      </c>
      <c r="F45" s="22">
        <f t="shared" si="31"/>
        <v>1943</v>
      </c>
      <c r="G45" s="22">
        <f t="shared" si="31"/>
        <v>435</v>
      </c>
      <c r="H45" s="22">
        <f t="shared" si="31"/>
        <v>0</v>
      </c>
      <c r="I45" s="22">
        <f t="shared" si="31"/>
        <v>3</v>
      </c>
    </row>
    <row r="46" spans="1:9" s="21" customFormat="1" ht="12" customHeight="1" x14ac:dyDescent="0.2">
      <c r="A46" s="30"/>
      <c r="B46" s="24" t="s">
        <v>42</v>
      </c>
      <c r="C46" s="22">
        <f t="shared" ref="C46:I46" si="32">C92+C120+C122+C131</f>
        <v>11134</v>
      </c>
      <c r="D46" s="22">
        <f t="shared" si="32"/>
        <v>9888</v>
      </c>
      <c r="E46" s="22">
        <f t="shared" si="32"/>
        <v>1246</v>
      </c>
      <c r="F46" s="22">
        <f t="shared" si="32"/>
        <v>930</v>
      </c>
      <c r="G46" s="22">
        <f t="shared" si="32"/>
        <v>313</v>
      </c>
      <c r="H46" s="22">
        <f t="shared" si="32"/>
        <v>0</v>
      </c>
      <c r="I46" s="22">
        <f t="shared" si="32"/>
        <v>3</v>
      </c>
    </row>
    <row r="47" spans="1:9" s="21" customFormat="1" ht="12" customHeight="1" x14ac:dyDescent="0.2">
      <c r="A47" s="30"/>
      <c r="B47" s="25" t="s">
        <v>43</v>
      </c>
      <c r="C47" s="22">
        <f t="shared" ref="C47:I47" si="33">C85+C96+C97+C134</f>
        <v>940</v>
      </c>
      <c r="D47" s="22">
        <f t="shared" si="33"/>
        <v>856</v>
      </c>
      <c r="E47" s="22">
        <f t="shared" si="33"/>
        <v>84</v>
      </c>
      <c r="F47" s="22">
        <f t="shared" si="33"/>
        <v>54</v>
      </c>
      <c r="G47" s="22">
        <f t="shared" si="33"/>
        <v>30</v>
      </c>
      <c r="H47" s="22">
        <f t="shared" si="33"/>
        <v>0</v>
      </c>
      <c r="I47" s="22">
        <f t="shared" si="33"/>
        <v>0</v>
      </c>
    </row>
    <row r="48" spans="1:9" s="21" customFormat="1" ht="12" customHeight="1" x14ac:dyDescent="0.2">
      <c r="A48" s="264" t="s">
        <v>44</v>
      </c>
      <c r="B48" s="264"/>
      <c r="C48" s="22">
        <f t="shared" ref="C48:I48" si="34">C49+C50+C51</f>
        <v>22261</v>
      </c>
      <c r="D48" s="22">
        <f t="shared" si="34"/>
        <v>17720</v>
      </c>
      <c r="E48" s="22">
        <f t="shared" si="34"/>
        <v>4541</v>
      </c>
      <c r="F48" s="22">
        <f t="shared" si="34"/>
        <v>3399</v>
      </c>
      <c r="G48" s="22">
        <f t="shared" si="34"/>
        <v>1126</v>
      </c>
      <c r="H48" s="22">
        <f t="shared" si="34"/>
        <v>1</v>
      </c>
      <c r="I48" s="22">
        <f t="shared" si="34"/>
        <v>15</v>
      </c>
    </row>
    <row r="49" spans="1:9" s="21" customFormat="1" ht="12" customHeight="1" x14ac:dyDescent="0.2">
      <c r="A49" s="30"/>
      <c r="B49" s="24" t="s">
        <v>45</v>
      </c>
      <c r="C49" s="22">
        <f t="shared" ref="C49:I49" si="35">+C76+C77+C87+C114</f>
        <v>2572</v>
      </c>
      <c r="D49" s="22">
        <f t="shared" si="35"/>
        <v>2312</v>
      </c>
      <c r="E49" s="22">
        <f t="shared" si="35"/>
        <v>260</v>
      </c>
      <c r="F49" s="22">
        <f t="shared" si="35"/>
        <v>176</v>
      </c>
      <c r="G49" s="22">
        <f t="shared" si="35"/>
        <v>83</v>
      </c>
      <c r="H49" s="22">
        <f t="shared" si="35"/>
        <v>0</v>
      </c>
      <c r="I49" s="22">
        <f t="shared" si="35"/>
        <v>1</v>
      </c>
    </row>
    <row r="50" spans="1:9" s="21" customFormat="1" ht="12" customHeight="1" x14ac:dyDescent="0.2">
      <c r="A50" s="30"/>
      <c r="B50" s="24" t="s">
        <v>46</v>
      </c>
      <c r="C50" s="22">
        <f t="shared" ref="C50:I50" si="36">C79+C81+C100+C102+C115+C119+C125+C129</f>
        <v>6037</v>
      </c>
      <c r="D50" s="22">
        <f t="shared" si="36"/>
        <v>5152</v>
      </c>
      <c r="E50" s="22">
        <f t="shared" si="36"/>
        <v>885</v>
      </c>
      <c r="F50" s="22">
        <f t="shared" si="36"/>
        <v>664</v>
      </c>
      <c r="G50" s="22">
        <f t="shared" si="36"/>
        <v>218</v>
      </c>
      <c r="H50" s="22">
        <f t="shared" si="36"/>
        <v>0</v>
      </c>
      <c r="I50" s="22">
        <f t="shared" si="36"/>
        <v>3</v>
      </c>
    </row>
    <row r="51" spans="1:9" s="21" customFormat="1" ht="12" customHeight="1" x14ac:dyDescent="0.2">
      <c r="A51" s="30"/>
      <c r="B51" s="30" t="s">
        <v>47</v>
      </c>
      <c r="C51" s="28">
        <f t="shared" ref="C51:I51" si="37">C75+C82+C95+C107+C118+C123+C135</f>
        <v>13652</v>
      </c>
      <c r="D51" s="28">
        <f t="shared" si="37"/>
        <v>10256</v>
      </c>
      <c r="E51" s="28">
        <f t="shared" si="37"/>
        <v>3396</v>
      </c>
      <c r="F51" s="28">
        <f t="shared" si="37"/>
        <v>2559</v>
      </c>
      <c r="G51" s="28">
        <f t="shared" si="37"/>
        <v>825</v>
      </c>
      <c r="H51" s="28">
        <f t="shared" si="37"/>
        <v>1</v>
      </c>
      <c r="I51" s="28">
        <f t="shared" si="37"/>
        <v>11</v>
      </c>
    </row>
    <row r="52" spans="1:9" s="21" customFormat="1" ht="12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</row>
    <row r="53" spans="1:9" s="19" customFormat="1" ht="12" customHeight="1" x14ac:dyDescent="0.2">
      <c r="A53" s="263" t="s">
        <v>48</v>
      </c>
      <c r="B53" s="263"/>
      <c r="C53" s="20">
        <f t="shared" ref="C53:I53" si="38">C54+C55+C56</f>
        <v>53777</v>
      </c>
      <c r="D53" s="20">
        <f t="shared" si="38"/>
        <v>42335</v>
      </c>
      <c r="E53" s="20">
        <f t="shared" si="38"/>
        <v>11442</v>
      </c>
      <c r="F53" s="20">
        <f t="shared" si="38"/>
        <v>7814</v>
      </c>
      <c r="G53" s="20">
        <f t="shared" si="38"/>
        <v>3538</v>
      </c>
      <c r="H53" s="20">
        <f t="shared" si="38"/>
        <v>57</v>
      </c>
      <c r="I53" s="20">
        <f t="shared" si="38"/>
        <v>33</v>
      </c>
    </row>
    <row r="54" spans="1:9" s="21" customFormat="1" ht="12" customHeight="1" x14ac:dyDescent="0.2">
      <c r="A54" s="264" t="s">
        <v>49</v>
      </c>
      <c r="B54" s="264"/>
      <c r="C54" s="22">
        <f t="shared" ref="C54:I54" si="39">C59+C63+C68+C72</f>
        <v>18720</v>
      </c>
      <c r="D54" s="22">
        <f t="shared" si="39"/>
        <v>13577</v>
      </c>
      <c r="E54" s="22">
        <f t="shared" si="39"/>
        <v>5143</v>
      </c>
      <c r="F54" s="22">
        <f t="shared" si="39"/>
        <v>3592</v>
      </c>
      <c r="G54" s="22">
        <f t="shared" si="39"/>
        <v>1479</v>
      </c>
      <c r="H54" s="22">
        <f t="shared" si="39"/>
        <v>55</v>
      </c>
      <c r="I54" s="22">
        <f t="shared" si="39"/>
        <v>17</v>
      </c>
    </row>
    <row r="55" spans="1:9" s="21" customFormat="1" ht="12" customHeight="1" x14ac:dyDescent="0.2">
      <c r="A55" s="264" t="s">
        <v>50</v>
      </c>
      <c r="B55" s="264"/>
      <c r="C55" s="22">
        <f t="shared" ref="C55:I55" si="40">C78+C60+C84+C86+C64+C65+C66+C109+C111+C67+C69+C70+C127+C71</f>
        <v>31046</v>
      </c>
      <c r="D55" s="22">
        <f t="shared" si="40"/>
        <v>25124</v>
      </c>
      <c r="E55" s="22">
        <f t="shared" si="40"/>
        <v>5922</v>
      </c>
      <c r="F55" s="22">
        <f t="shared" si="40"/>
        <v>3951</v>
      </c>
      <c r="G55" s="22">
        <f t="shared" si="40"/>
        <v>1953</v>
      </c>
      <c r="H55" s="22">
        <f t="shared" si="40"/>
        <v>2</v>
      </c>
      <c r="I55" s="22">
        <f t="shared" si="40"/>
        <v>16</v>
      </c>
    </row>
    <row r="56" spans="1:9" s="21" customFormat="1" ht="12" customHeight="1" x14ac:dyDescent="0.2">
      <c r="A56" s="267" t="s">
        <v>51</v>
      </c>
      <c r="B56" s="267"/>
      <c r="C56" s="28">
        <f t="shared" ref="C56:I56" si="41">C62+C61</f>
        <v>4011</v>
      </c>
      <c r="D56" s="28">
        <f t="shared" si="41"/>
        <v>3634</v>
      </c>
      <c r="E56" s="28">
        <f t="shared" si="41"/>
        <v>377</v>
      </c>
      <c r="F56" s="28">
        <f t="shared" si="41"/>
        <v>271</v>
      </c>
      <c r="G56" s="28">
        <f t="shared" si="41"/>
        <v>106</v>
      </c>
      <c r="H56" s="28">
        <f t="shared" si="41"/>
        <v>0</v>
      </c>
      <c r="I56" s="28">
        <f t="shared" si="41"/>
        <v>0</v>
      </c>
    </row>
    <row r="57" spans="1:9" s="21" customFormat="1" ht="12" customHeight="1" x14ac:dyDescent="0.2">
      <c r="A57" s="25"/>
      <c r="B57" s="31"/>
      <c r="C57" s="32"/>
      <c r="D57" s="32"/>
      <c r="E57" s="32"/>
      <c r="F57" s="32"/>
      <c r="G57" s="32"/>
      <c r="H57" s="32"/>
      <c r="I57" s="32"/>
    </row>
    <row r="58" spans="1:9" s="21" customFormat="1" ht="12" customHeight="1" x14ac:dyDescent="0.2">
      <c r="A58" s="269" t="s">
        <v>52</v>
      </c>
      <c r="B58" s="269"/>
      <c r="C58" s="18">
        <f t="shared" ref="C58:I58" si="42">SUM(C59:C72)</f>
        <v>48851</v>
      </c>
      <c r="D58" s="18">
        <f t="shared" si="42"/>
        <v>38443</v>
      </c>
      <c r="E58" s="18">
        <f t="shared" si="42"/>
        <v>10408</v>
      </c>
      <c r="F58" s="18">
        <f t="shared" si="42"/>
        <v>7166</v>
      </c>
      <c r="G58" s="18">
        <f t="shared" si="42"/>
        <v>3160</v>
      </c>
      <c r="H58" s="18">
        <f t="shared" si="42"/>
        <v>56</v>
      </c>
      <c r="I58" s="18">
        <f t="shared" si="42"/>
        <v>26</v>
      </c>
    </row>
    <row r="59" spans="1:9" s="21" customFormat="1" ht="12" customHeight="1" x14ac:dyDescent="0.2">
      <c r="A59" s="264" t="s">
        <v>53</v>
      </c>
      <c r="B59" s="264"/>
      <c r="C59" s="22">
        <v>3421</v>
      </c>
      <c r="D59" s="22">
        <v>2733</v>
      </c>
      <c r="E59" s="22">
        <v>688</v>
      </c>
      <c r="F59" s="22">
        <v>508</v>
      </c>
      <c r="G59" s="22">
        <v>177</v>
      </c>
      <c r="H59" s="22">
        <v>0</v>
      </c>
      <c r="I59" s="22">
        <v>3</v>
      </c>
    </row>
    <row r="60" spans="1:9" s="21" customFormat="1" ht="12" customHeight="1" x14ac:dyDescent="0.2">
      <c r="A60" s="264" t="s">
        <v>54</v>
      </c>
      <c r="B60" s="264"/>
      <c r="C60" s="22">
        <v>641</v>
      </c>
      <c r="D60" s="22">
        <v>579</v>
      </c>
      <c r="E60" s="22">
        <v>62</v>
      </c>
      <c r="F60" s="22">
        <v>39</v>
      </c>
      <c r="G60" s="22">
        <v>22</v>
      </c>
      <c r="H60" s="22">
        <v>0</v>
      </c>
      <c r="I60" s="22">
        <v>1</v>
      </c>
    </row>
    <row r="61" spans="1:9" s="21" customFormat="1" ht="12" customHeight="1" x14ac:dyDescent="0.2">
      <c r="A61" s="264" t="s">
        <v>55</v>
      </c>
      <c r="B61" s="264"/>
      <c r="C61" s="22">
        <v>1929</v>
      </c>
      <c r="D61" s="22">
        <v>1767</v>
      </c>
      <c r="E61" s="22">
        <v>162</v>
      </c>
      <c r="F61" s="22">
        <v>118</v>
      </c>
      <c r="G61" s="22">
        <v>44</v>
      </c>
      <c r="H61" s="22">
        <v>0</v>
      </c>
      <c r="I61" s="22">
        <v>0</v>
      </c>
    </row>
    <row r="62" spans="1:9" s="21" customFormat="1" ht="12" customHeight="1" x14ac:dyDescent="0.2">
      <c r="A62" s="264" t="s">
        <v>56</v>
      </c>
      <c r="B62" s="264"/>
      <c r="C62" s="22">
        <v>2082</v>
      </c>
      <c r="D62" s="22">
        <v>1867</v>
      </c>
      <c r="E62" s="22">
        <v>215</v>
      </c>
      <c r="F62" s="22">
        <v>153</v>
      </c>
      <c r="G62" s="22">
        <v>62</v>
      </c>
      <c r="H62" s="22">
        <v>0</v>
      </c>
      <c r="I62" s="22">
        <v>0</v>
      </c>
    </row>
    <row r="63" spans="1:9" s="21" customFormat="1" ht="12" customHeight="1" x14ac:dyDescent="0.2">
      <c r="A63" s="264" t="s">
        <v>57</v>
      </c>
      <c r="B63" s="264"/>
      <c r="C63" s="22">
        <v>7763</v>
      </c>
      <c r="D63" s="22">
        <v>5000</v>
      </c>
      <c r="E63" s="22">
        <v>2763</v>
      </c>
      <c r="F63" s="22">
        <v>1869</v>
      </c>
      <c r="G63" s="22">
        <v>828</v>
      </c>
      <c r="H63" s="22">
        <v>55</v>
      </c>
      <c r="I63" s="22">
        <v>11</v>
      </c>
    </row>
    <row r="64" spans="1:9" s="21" customFormat="1" ht="12" customHeight="1" x14ac:dyDescent="0.2">
      <c r="A64" s="264" t="s">
        <v>58</v>
      </c>
      <c r="B64" s="264"/>
      <c r="C64" s="22">
        <v>2681</v>
      </c>
      <c r="D64" s="22">
        <v>2188</v>
      </c>
      <c r="E64" s="22">
        <v>493</v>
      </c>
      <c r="F64" s="22">
        <v>317</v>
      </c>
      <c r="G64" s="22">
        <v>173</v>
      </c>
      <c r="H64" s="22">
        <v>1</v>
      </c>
      <c r="I64" s="22">
        <v>2</v>
      </c>
    </row>
    <row r="65" spans="1:9" s="21" customFormat="1" ht="12" customHeight="1" x14ac:dyDescent="0.2">
      <c r="A65" s="264" t="s">
        <v>59</v>
      </c>
      <c r="B65" s="264"/>
      <c r="C65" s="22">
        <v>1702</v>
      </c>
      <c r="D65" s="22">
        <v>1450</v>
      </c>
      <c r="E65" s="22">
        <v>252</v>
      </c>
      <c r="F65" s="22">
        <v>187</v>
      </c>
      <c r="G65" s="22">
        <v>64</v>
      </c>
      <c r="H65" s="22">
        <v>0</v>
      </c>
      <c r="I65" s="22">
        <v>1</v>
      </c>
    </row>
    <row r="66" spans="1:9" s="21" customFormat="1" ht="12" customHeight="1" x14ac:dyDescent="0.2">
      <c r="A66" s="264" t="s">
        <v>60</v>
      </c>
      <c r="B66" s="264"/>
      <c r="C66" s="22">
        <v>11561</v>
      </c>
      <c r="D66" s="22">
        <v>9251</v>
      </c>
      <c r="E66" s="22">
        <v>2310</v>
      </c>
      <c r="F66" s="22">
        <v>1414</v>
      </c>
      <c r="G66" s="22">
        <v>893</v>
      </c>
      <c r="H66" s="22">
        <v>0</v>
      </c>
      <c r="I66" s="22">
        <v>3</v>
      </c>
    </row>
    <row r="67" spans="1:9" s="21" customFormat="1" ht="12" customHeight="1" x14ac:dyDescent="0.2">
      <c r="A67" s="264" t="s">
        <v>61</v>
      </c>
      <c r="B67" s="264"/>
      <c r="C67" s="22">
        <v>331</v>
      </c>
      <c r="D67" s="22">
        <v>310</v>
      </c>
      <c r="E67" s="22">
        <v>21</v>
      </c>
      <c r="F67" s="22">
        <v>17</v>
      </c>
      <c r="G67" s="22">
        <v>4</v>
      </c>
      <c r="H67" s="22">
        <v>0</v>
      </c>
      <c r="I67" s="22">
        <v>0</v>
      </c>
    </row>
    <row r="68" spans="1:9" s="21" customFormat="1" ht="12" customHeight="1" x14ac:dyDescent="0.2">
      <c r="A68" s="264" t="s">
        <v>62</v>
      </c>
      <c r="B68" s="264"/>
      <c r="C68" s="22">
        <v>4532</v>
      </c>
      <c r="D68" s="22">
        <v>3520</v>
      </c>
      <c r="E68" s="22">
        <v>1012</v>
      </c>
      <c r="F68" s="22">
        <v>722</v>
      </c>
      <c r="G68" s="22">
        <v>287</v>
      </c>
      <c r="H68" s="22">
        <v>0</v>
      </c>
      <c r="I68" s="22">
        <v>3</v>
      </c>
    </row>
    <row r="69" spans="1:9" s="21" customFormat="1" ht="12" customHeight="1" x14ac:dyDescent="0.2">
      <c r="A69" s="264" t="s">
        <v>63</v>
      </c>
      <c r="B69" s="264"/>
      <c r="C69" s="22">
        <v>2440</v>
      </c>
      <c r="D69" s="22">
        <v>2057</v>
      </c>
      <c r="E69" s="22">
        <v>383</v>
      </c>
      <c r="F69" s="22">
        <v>323</v>
      </c>
      <c r="G69" s="22">
        <v>60</v>
      </c>
      <c r="H69" s="22">
        <v>0</v>
      </c>
      <c r="I69" s="22">
        <v>0</v>
      </c>
    </row>
    <row r="70" spans="1:9" s="21" customFormat="1" ht="12" customHeight="1" x14ac:dyDescent="0.2">
      <c r="A70" s="264" t="s">
        <v>64</v>
      </c>
      <c r="B70" s="264"/>
      <c r="C70" s="22">
        <v>2490</v>
      </c>
      <c r="D70" s="22">
        <v>2090</v>
      </c>
      <c r="E70" s="22">
        <v>400</v>
      </c>
      <c r="F70" s="22">
        <v>302</v>
      </c>
      <c r="G70" s="22">
        <v>98</v>
      </c>
      <c r="H70" s="22">
        <v>0</v>
      </c>
      <c r="I70" s="22">
        <v>0</v>
      </c>
    </row>
    <row r="71" spans="1:9" s="21" customFormat="1" ht="12" customHeight="1" x14ac:dyDescent="0.2">
      <c r="A71" s="264" t="s">
        <v>65</v>
      </c>
      <c r="B71" s="264"/>
      <c r="C71" s="22">
        <v>4274</v>
      </c>
      <c r="D71" s="22">
        <v>3307</v>
      </c>
      <c r="E71" s="22">
        <v>967</v>
      </c>
      <c r="F71" s="22">
        <v>704</v>
      </c>
      <c r="G71" s="22">
        <v>261</v>
      </c>
      <c r="H71" s="22">
        <v>0</v>
      </c>
      <c r="I71" s="22">
        <v>2</v>
      </c>
    </row>
    <row r="72" spans="1:9" s="21" customFormat="1" ht="12" customHeight="1" x14ac:dyDescent="0.2">
      <c r="A72" s="267" t="s">
        <v>66</v>
      </c>
      <c r="B72" s="267"/>
      <c r="C72" s="28">
        <v>3004</v>
      </c>
      <c r="D72" s="28">
        <v>2324</v>
      </c>
      <c r="E72" s="28">
        <v>680</v>
      </c>
      <c r="F72" s="28">
        <v>493</v>
      </c>
      <c r="G72" s="28">
        <v>187</v>
      </c>
      <c r="H72" s="28">
        <v>0</v>
      </c>
      <c r="I72" s="28">
        <v>0</v>
      </c>
    </row>
    <row r="73" spans="1:9" s="21" customFormat="1" ht="12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</row>
    <row r="74" spans="1:9" s="21" customFormat="1" ht="12" customHeight="1" x14ac:dyDescent="0.2">
      <c r="A74" s="263" t="s">
        <v>67</v>
      </c>
      <c r="B74" s="263"/>
      <c r="C74" s="20">
        <f t="shared" ref="C74:I74" si="43">SUM(C75:C137)</f>
        <v>142477</v>
      </c>
      <c r="D74" s="20">
        <f t="shared" si="43"/>
        <v>102054</v>
      </c>
      <c r="E74" s="20">
        <f t="shared" si="43"/>
        <v>40423</v>
      </c>
      <c r="F74" s="20">
        <f t="shared" si="43"/>
        <v>27166</v>
      </c>
      <c r="G74" s="20">
        <f t="shared" si="43"/>
        <v>13086</v>
      </c>
      <c r="H74" s="20">
        <f t="shared" si="43"/>
        <v>32</v>
      </c>
      <c r="I74" s="20">
        <f t="shared" si="43"/>
        <v>139</v>
      </c>
    </row>
    <row r="75" spans="1:9" s="21" customFormat="1" ht="12" customHeight="1" x14ac:dyDescent="0.2">
      <c r="A75" s="264" t="s">
        <v>68</v>
      </c>
      <c r="B75" s="264"/>
      <c r="C75" s="22">
        <v>4066</v>
      </c>
      <c r="D75" s="22">
        <v>2842</v>
      </c>
      <c r="E75" s="22">
        <v>1224</v>
      </c>
      <c r="F75" s="22">
        <v>944</v>
      </c>
      <c r="G75" s="22">
        <v>275</v>
      </c>
      <c r="H75" s="22">
        <v>0</v>
      </c>
      <c r="I75" s="22">
        <v>5</v>
      </c>
    </row>
    <row r="76" spans="1:9" s="21" customFormat="1" ht="12" customHeight="1" x14ac:dyDescent="0.2">
      <c r="A76" s="264" t="s">
        <v>69</v>
      </c>
      <c r="B76" s="264"/>
      <c r="C76" s="22">
        <v>1295</v>
      </c>
      <c r="D76" s="22">
        <v>1217</v>
      </c>
      <c r="E76" s="22">
        <v>78</v>
      </c>
      <c r="F76" s="22">
        <v>58</v>
      </c>
      <c r="G76" s="22">
        <v>20</v>
      </c>
      <c r="H76" s="22">
        <v>0</v>
      </c>
      <c r="I76" s="22">
        <v>0</v>
      </c>
    </row>
    <row r="77" spans="1:9" s="21" customFormat="1" ht="12" customHeight="1" x14ac:dyDescent="0.2">
      <c r="A77" s="264" t="s">
        <v>70</v>
      </c>
      <c r="B77" s="264"/>
      <c r="C77" s="22">
        <v>318</v>
      </c>
      <c r="D77" s="22">
        <v>278</v>
      </c>
      <c r="E77" s="22">
        <v>40</v>
      </c>
      <c r="F77" s="22">
        <v>27</v>
      </c>
      <c r="G77" s="22">
        <v>13</v>
      </c>
      <c r="H77" s="22">
        <v>0</v>
      </c>
      <c r="I77" s="22">
        <v>0</v>
      </c>
    </row>
    <row r="78" spans="1:9" s="21" customFormat="1" ht="12" customHeight="1" x14ac:dyDescent="0.2">
      <c r="A78" s="264" t="s">
        <v>71</v>
      </c>
      <c r="B78" s="264"/>
      <c r="C78" s="22">
        <v>994</v>
      </c>
      <c r="D78" s="22">
        <v>871</v>
      </c>
      <c r="E78" s="22">
        <v>123</v>
      </c>
      <c r="F78" s="22">
        <v>94</v>
      </c>
      <c r="G78" s="22">
        <v>28</v>
      </c>
      <c r="H78" s="22">
        <v>0</v>
      </c>
      <c r="I78" s="22">
        <v>1</v>
      </c>
    </row>
    <row r="79" spans="1:9" s="21" customFormat="1" ht="12" customHeight="1" x14ac:dyDescent="0.2">
      <c r="A79" s="264" t="s">
        <v>72</v>
      </c>
      <c r="B79" s="264"/>
      <c r="C79" s="22">
        <v>311</v>
      </c>
      <c r="D79" s="22">
        <v>272</v>
      </c>
      <c r="E79" s="22">
        <v>39</v>
      </c>
      <c r="F79" s="22">
        <v>26</v>
      </c>
      <c r="G79" s="22">
        <v>12</v>
      </c>
      <c r="H79" s="22">
        <v>0</v>
      </c>
      <c r="I79" s="22">
        <v>1</v>
      </c>
    </row>
    <row r="80" spans="1:9" s="21" customFormat="1" ht="12" customHeight="1" x14ac:dyDescent="0.2">
      <c r="A80" s="264" t="s">
        <v>73</v>
      </c>
      <c r="B80" s="264"/>
      <c r="C80" s="22">
        <v>1425</v>
      </c>
      <c r="D80" s="22">
        <v>1186</v>
      </c>
      <c r="E80" s="22">
        <v>239</v>
      </c>
      <c r="F80" s="22">
        <v>202</v>
      </c>
      <c r="G80" s="22">
        <v>37</v>
      </c>
      <c r="H80" s="22">
        <v>0</v>
      </c>
      <c r="I80" s="22">
        <v>0</v>
      </c>
    </row>
    <row r="81" spans="1:9" s="21" customFormat="1" ht="12" customHeight="1" x14ac:dyDescent="0.2">
      <c r="A81" s="264" t="s">
        <v>74</v>
      </c>
      <c r="B81" s="264"/>
      <c r="C81" s="22">
        <v>653</v>
      </c>
      <c r="D81" s="22">
        <v>596</v>
      </c>
      <c r="E81" s="22">
        <v>57</v>
      </c>
      <c r="F81" s="22">
        <v>44</v>
      </c>
      <c r="G81" s="22">
        <v>13</v>
      </c>
      <c r="H81" s="22">
        <v>0</v>
      </c>
      <c r="I81" s="22">
        <v>0</v>
      </c>
    </row>
    <row r="82" spans="1:9" s="21" customFormat="1" ht="12" customHeight="1" x14ac:dyDescent="0.2">
      <c r="A82" s="264" t="s">
        <v>75</v>
      </c>
      <c r="B82" s="264"/>
      <c r="C82" s="22">
        <v>2415</v>
      </c>
      <c r="D82" s="22">
        <v>1993</v>
      </c>
      <c r="E82" s="22">
        <v>422</v>
      </c>
      <c r="F82" s="22">
        <v>314</v>
      </c>
      <c r="G82" s="22">
        <v>107</v>
      </c>
      <c r="H82" s="22">
        <v>0</v>
      </c>
      <c r="I82" s="22">
        <v>1</v>
      </c>
    </row>
    <row r="83" spans="1:9" s="21" customFormat="1" ht="12" customHeight="1" x14ac:dyDescent="0.2">
      <c r="A83" s="264" t="s">
        <v>76</v>
      </c>
      <c r="B83" s="264"/>
      <c r="C83" s="22">
        <v>625</v>
      </c>
      <c r="D83" s="22">
        <v>523</v>
      </c>
      <c r="E83" s="22">
        <v>102</v>
      </c>
      <c r="F83" s="22">
        <v>74</v>
      </c>
      <c r="G83" s="22">
        <v>28</v>
      </c>
      <c r="H83" s="22">
        <v>0</v>
      </c>
      <c r="I83" s="22">
        <v>0</v>
      </c>
    </row>
    <row r="84" spans="1:9" s="21" customFormat="1" ht="12" customHeight="1" x14ac:dyDescent="0.2">
      <c r="A84" s="264" t="s">
        <v>77</v>
      </c>
      <c r="B84" s="264"/>
      <c r="C84" s="22">
        <v>816</v>
      </c>
      <c r="D84" s="22">
        <v>529</v>
      </c>
      <c r="E84" s="22">
        <v>287</v>
      </c>
      <c r="F84" s="22">
        <v>152</v>
      </c>
      <c r="G84" s="22">
        <v>131</v>
      </c>
      <c r="H84" s="22">
        <v>1</v>
      </c>
      <c r="I84" s="22">
        <v>3</v>
      </c>
    </row>
    <row r="85" spans="1:9" s="21" customFormat="1" ht="12" customHeight="1" x14ac:dyDescent="0.2">
      <c r="A85" s="264" t="s">
        <v>78</v>
      </c>
      <c r="B85" s="264"/>
      <c r="C85" s="22">
        <v>131</v>
      </c>
      <c r="D85" s="22">
        <v>113</v>
      </c>
      <c r="E85" s="22">
        <v>18</v>
      </c>
      <c r="F85" s="22">
        <v>7</v>
      </c>
      <c r="G85" s="22">
        <v>11</v>
      </c>
      <c r="H85" s="22">
        <v>0</v>
      </c>
      <c r="I85" s="22">
        <v>0</v>
      </c>
    </row>
    <row r="86" spans="1:9" s="21" customFormat="1" ht="12" customHeight="1" x14ac:dyDescent="0.2">
      <c r="A86" s="264" t="s">
        <v>79</v>
      </c>
      <c r="B86" s="264"/>
      <c r="C86" s="22">
        <v>474</v>
      </c>
      <c r="D86" s="22">
        <v>423</v>
      </c>
      <c r="E86" s="22">
        <v>51</v>
      </c>
      <c r="F86" s="22">
        <v>28</v>
      </c>
      <c r="G86" s="22">
        <v>23</v>
      </c>
      <c r="H86" s="22">
        <v>0</v>
      </c>
      <c r="I86" s="22">
        <v>0</v>
      </c>
    </row>
    <row r="87" spans="1:9" s="21" customFormat="1" ht="12" customHeight="1" x14ac:dyDescent="0.2">
      <c r="A87" s="264" t="s">
        <v>80</v>
      </c>
      <c r="B87" s="264"/>
      <c r="C87" s="22">
        <v>686</v>
      </c>
      <c r="D87" s="22">
        <v>571</v>
      </c>
      <c r="E87" s="22">
        <v>115</v>
      </c>
      <c r="F87" s="22">
        <v>71</v>
      </c>
      <c r="G87" s="22">
        <v>43</v>
      </c>
      <c r="H87" s="22">
        <v>0</v>
      </c>
      <c r="I87" s="22">
        <v>1</v>
      </c>
    </row>
    <row r="88" spans="1:9" s="21" customFormat="1" ht="12" customHeight="1" x14ac:dyDescent="0.2">
      <c r="A88" s="264" t="s">
        <v>81</v>
      </c>
      <c r="B88" s="264"/>
      <c r="C88" s="22">
        <v>1500</v>
      </c>
      <c r="D88" s="22">
        <v>1055</v>
      </c>
      <c r="E88" s="22">
        <v>445</v>
      </c>
      <c r="F88" s="22">
        <v>365</v>
      </c>
      <c r="G88" s="22">
        <v>76</v>
      </c>
      <c r="H88" s="22">
        <v>0</v>
      </c>
      <c r="I88" s="22">
        <v>4</v>
      </c>
    </row>
    <row r="89" spans="1:9" s="21" customFormat="1" ht="12" customHeight="1" x14ac:dyDescent="0.2">
      <c r="A89" s="264" t="s">
        <v>82</v>
      </c>
      <c r="B89" s="264"/>
      <c r="C89" s="22">
        <v>1995</v>
      </c>
      <c r="D89" s="22">
        <v>1698</v>
      </c>
      <c r="E89" s="22">
        <v>297</v>
      </c>
      <c r="F89" s="22">
        <v>210</v>
      </c>
      <c r="G89" s="22">
        <v>85</v>
      </c>
      <c r="H89" s="22">
        <v>0</v>
      </c>
      <c r="I89" s="22">
        <v>2</v>
      </c>
    </row>
    <row r="90" spans="1:9" s="21" customFormat="1" ht="12" customHeight="1" x14ac:dyDescent="0.2">
      <c r="A90" s="264" t="s">
        <v>83</v>
      </c>
      <c r="B90" s="264"/>
      <c r="C90" s="22">
        <v>733</v>
      </c>
      <c r="D90" s="22">
        <v>677</v>
      </c>
      <c r="E90" s="22">
        <v>56</v>
      </c>
      <c r="F90" s="22">
        <v>47</v>
      </c>
      <c r="G90" s="22">
        <v>9</v>
      </c>
      <c r="H90" s="22">
        <v>0</v>
      </c>
      <c r="I90" s="22">
        <v>0</v>
      </c>
    </row>
    <row r="91" spans="1:9" s="21" customFormat="1" ht="12" customHeight="1" x14ac:dyDescent="0.2">
      <c r="A91" s="264" t="s">
        <v>84</v>
      </c>
      <c r="B91" s="264"/>
      <c r="C91" s="22">
        <v>1909</v>
      </c>
      <c r="D91" s="22">
        <v>1547</v>
      </c>
      <c r="E91" s="22">
        <v>362</v>
      </c>
      <c r="F91" s="22">
        <v>242</v>
      </c>
      <c r="G91" s="22">
        <v>120</v>
      </c>
      <c r="H91" s="22">
        <v>0</v>
      </c>
      <c r="I91" s="22">
        <v>0</v>
      </c>
    </row>
    <row r="92" spans="1:9" s="21" customFormat="1" ht="12" customHeight="1" x14ac:dyDescent="0.2">
      <c r="A92" s="264" t="s">
        <v>85</v>
      </c>
      <c r="B92" s="264"/>
      <c r="C92" s="22">
        <v>6274</v>
      </c>
      <c r="D92" s="22">
        <v>5639</v>
      </c>
      <c r="E92" s="22">
        <v>635</v>
      </c>
      <c r="F92" s="22">
        <v>469</v>
      </c>
      <c r="G92" s="22">
        <v>164</v>
      </c>
      <c r="H92" s="22">
        <v>0</v>
      </c>
      <c r="I92" s="22">
        <v>2</v>
      </c>
    </row>
    <row r="93" spans="1:9" s="21" customFormat="1" ht="12" customHeight="1" x14ac:dyDescent="0.2">
      <c r="A93" s="264" t="s">
        <v>86</v>
      </c>
      <c r="B93" s="264"/>
      <c r="C93" s="22">
        <v>120</v>
      </c>
      <c r="D93" s="22">
        <v>96</v>
      </c>
      <c r="E93" s="22">
        <v>24</v>
      </c>
      <c r="F93" s="22">
        <v>14</v>
      </c>
      <c r="G93" s="22">
        <v>10</v>
      </c>
      <c r="H93" s="22">
        <v>0</v>
      </c>
      <c r="I93" s="22">
        <v>0</v>
      </c>
    </row>
    <row r="94" spans="1:9" s="21" customFormat="1" ht="12" customHeight="1" x14ac:dyDescent="0.2">
      <c r="A94" s="264" t="s">
        <v>87</v>
      </c>
      <c r="B94" s="264"/>
      <c r="C94" s="22">
        <v>774</v>
      </c>
      <c r="D94" s="22">
        <v>618</v>
      </c>
      <c r="E94" s="22">
        <v>156</v>
      </c>
      <c r="F94" s="22">
        <v>102</v>
      </c>
      <c r="G94" s="22">
        <v>54</v>
      </c>
      <c r="H94" s="22">
        <v>0</v>
      </c>
      <c r="I94" s="22">
        <v>0</v>
      </c>
    </row>
    <row r="95" spans="1:9" s="21" customFormat="1" ht="12" customHeight="1" x14ac:dyDescent="0.2">
      <c r="A95" s="264" t="s">
        <v>88</v>
      </c>
      <c r="B95" s="264"/>
      <c r="C95" s="22">
        <v>3996</v>
      </c>
      <c r="D95" s="22">
        <v>2926</v>
      </c>
      <c r="E95" s="22">
        <v>1070</v>
      </c>
      <c r="F95" s="22">
        <v>802</v>
      </c>
      <c r="G95" s="22">
        <v>266</v>
      </c>
      <c r="H95" s="22">
        <v>1</v>
      </c>
      <c r="I95" s="22">
        <v>1</v>
      </c>
    </row>
    <row r="96" spans="1:9" s="21" customFormat="1" ht="12" customHeight="1" x14ac:dyDescent="0.2">
      <c r="A96" s="264" t="s">
        <v>89</v>
      </c>
      <c r="B96" s="264"/>
      <c r="C96" s="22">
        <v>60</v>
      </c>
      <c r="D96" s="22">
        <v>51</v>
      </c>
      <c r="E96" s="22">
        <v>9</v>
      </c>
      <c r="F96" s="22">
        <v>7</v>
      </c>
      <c r="G96" s="22">
        <v>2</v>
      </c>
      <c r="H96" s="22">
        <v>0</v>
      </c>
      <c r="I96" s="22">
        <v>0</v>
      </c>
    </row>
    <row r="97" spans="1:9" s="21" customFormat="1" ht="12" customHeight="1" x14ac:dyDescent="0.2">
      <c r="A97" s="264" t="s">
        <v>90</v>
      </c>
      <c r="B97" s="264"/>
      <c r="C97" s="22">
        <v>130</v>
      </c>
      <c r="D97" s="22">
        <v>122</v>
      </c>
      <c r="E97" s="22">
        <v>8</v>
      </c>
      <c r="F97" s="22">
        <v>5</v>
      </c>
      <c r="G97" s="22">
        <v>3</v>
      </c>
      <c r="H97" s="22">
        <v>0</v>
      </c>
      <c r="I97" s="22">
        <v>0</v>
      </c>
    </row>
    <row r="98" spans="1:9" s="21" customFormat="1" ht="12" customHeight="1" x14ac:dyDescent="0.2">
      <c r="A98" s="264" t="s">
        <v>91</v>
      </c>
      <c r="B98" s="264"/>
      <c r="C98" s="22">
        <v>4486</v>
      </c>
      <c r="D98" s="22">
        <v>3134</v>
      </c>
      <c r="E98" s="22">
        <v>1352</v>
      </c>
      <c r="F98" s="22">
        <v>602</v>
      </c>
      <c r="G98" s="22">
        <v>742</v>
      </c>
      <c r="H98" s="22">
        <v>1</v>
      </c>
      <c r="I98" s="22">
        <v>7</v>
      </c>
    </row>
    <row r="99" spans="1:9" s="21" customFormat="1" ht="12" customHeight="1" x14ac:dyDescent="0.2">
      <c r="A99" s="264" t="s">
        <v>92</v>
      </c>
      <c r="B99" s="264"/>
      <c r="C99" s="22">
        <v>1905</v>
      </c>
      <c r="D99" s="22">
        <v>1696</v>
      </c>
      <c r="E99" s="22">
        <v>209</v>
      </c>
      <c r="F99" s="22">
        <v>153</v>
      </c>
      <c r="G99" s="22">
        <v>56</v>
      </c>
      <c r="H99" s="22">
        <v>0</v>
      </c>
      <c r="I99" s="22">
        <v>0</v>
      </c>
    </row>
    <row r="100" spans="1:9" s="21" customFormat="1" ht="12" customHeight="1" x14ac:dyDescent="0.2">
      <c r="A100" s="264" t="s">
        <v>93</v>
      </c>
      <c r="B100" s="264"/>
      <c r="C100" s="22">
        <v>851</v>
      </c>
      <c r="D100" s="22">
        <v>725</v>
      </c>
      <c r="E100" s="22">
        <v>126</v>
      </c>
      <c r="F100" s="22">
        <v>97</v>
      </c>
      <c r="G100" s="22">
        <v>29</v>
      </c>
      <c r="H100" s="22">
        <v>0</v>
      </c>
      <c r="I100" s="22">
        <v>0</v>
      </c>
    </row>
    <row r="101" spans="1:9" s="21" customFormat="1" ht="12" customHeight="1" x14ac:dyDescent="0.2">
      <c r="A101" s="264" t="s">
        <v>94</v>
      </c>
      <c r="B101" s="264"/>
      <c r="C101" s="22">
        <v>1307</v>
      </c>
      <c r="D101" s="22">
        <v>1113</v>
      </c>
      <c r="E101" s="22">
        <v>194</v>
      </c>
      <c r="F101" s="22">
        <v>134</v>
      </c>
      <c r="G101" s="22">
        <v>58</v>
      </c>
      <c r="H101" s="22">
        <v>0</v>
      </c>
      <c r="I101" s="22">
        <v>2</v>
      </c>
    </row>
    <row r="102" spans="1:9" s="21" customFormat="1" ht="12" customHeight="1" x14ac:dyDescent="0.2">
      <c r="A102" s="264" t="s">
        <v>95</v>
      </c>
      <c r="B102" s="264"/>
      <c r="C102" s="22">
        <v>532</v>
      </c>
      <c r="D102" s="22">
        <v>466</v>
      </c>
      <c r="E102" s="22">
        <v>66</v>
      </c>
      <c r="F102" s="22">
        <v>55</v>
      </c>
      <c r="G102" s="22">
        <v>11</v>
      </c>
      <c r="H102" s="22">
        <v>0</v>
      </c>
      <c r="I102" s="22">
        <v>0</v>
      </c>
    </row>
    <row r="103" spans="1:9" s="21" customFormat="1" ht="12" customHeight="1" x14ac:dyDescent="0.2">
      <c r="A103" s="264" t="s">
        <v>96</v>
      </c>
      <c r="B103" s="264"/>
      <c r="C103" s="22">
        <v>497</v>
      </c>
      <c r="D103" s="22">
        <v>325</v>
      </c>
      <c r="E103" s="22">
        <v>172</v>
      </c>
      <c r="F103" s="22">
        <v>139</v>
      </c>
      <c r="G103" s="22">
        <v>32</v>
      </c>
      <c r="H103" s="22">
        <v>0</v>
      </c>
      <c r="I103" s="22">
        <v>1</v>
      </c>
    </row>
    <row r="104" spans="1:9" s="21" customFormat="1" ht="12" customHeight="1" x14ac:dyDescent="0.2">
      <c r="A104" s="264" t="s">
        <v>97</v>
      </c>
      <c r="B104" s="264"/>
      <c r="C104" s="22">
        <v>1194</v>
      </c>
      <c r="D104" s="22">
        <v>1012</v>
      </c>
      <c r="E104" s="22">
        <v>182</v>
      </c>
      <c r="F104" s="22">
        <v>146</v>
      </c>
      <c r="G104" s="22">
        <v>36</v>
      </c>
      <c r="H104" s="22">
        <v>0</v>
      </c>
      <c r="I104" s="22">
        <v>0</v>
      </c>
    </row>
    <row r="105" spans="1:9" s="21" customFormat="1" ht="12" customHeight="1" x14ac:dyDescent="0.2">
      <c r="A105" s="264" t="s">
        <v>98</v>
      </c>
      <c r="B105" s="264"/>
      <c r="C105" s="22">
        <v>1606</v>
      </c>
      <c r="D105" s="22">
        <v>1016</v>
      </c>
      <c r="E105" s="22">
        <v>590</v>
      </c>
      <c r="F105" s="22">
        <v>503</v>
      </c>
      <c r="G105" s="22">
        <v>86</v>
      </c>
      <c r="H105" s="22">
        <v>0</v>
      </c>
      <c r="I105" s="22">
        <v>1</v>
      </c>
    </row>
    <row r="106" spans="1:9" s="21" customFormat="1" ht="12" customHeight="1" x14ac:dyDescent="0.2">
      <c r="A106" s="264" t="s">
        <v>99</v>
      </c>
      <c r="B106" s="264"/>
      <c r="C106" s="22">
        <v>55060</v>
      </c>
      <c r="D106" s="22">
        <v>34874</v>
      </c>
      <c r="E106" s="22">
        <v>20186</v>
      </c>
      <c r="F106" s="22">
        <v>13070</v>
      </c>
      <c r="G106" s="22">
        <v>7021</v>
      </c>
      <c r="H106" s="22">
        <v>27</v>
      </c>
      <c r="I106" s="22">
        <v>68</v>
      </c>
    </row>
    <row r="107" spans="1:9" s="21" customFormat="1" ht="12" customHeight="1" x14ac:dyDescent="0.2">
      <c r="A107" s="264" t="s">
        <v>100</v>
      </c>
      <c r="B107" s="264"/>
      <c r="C107" s="22">
        <v>1467</v>
      </c>
      <c r="D107" s="22">
        <v>1157</v>
      </c>
      <c r="E107" s="22">
        <v>310</v>
      </c>
      <c r="F107" s="22">
        <v>235</v>
      </c>
      <c r="G107" s="22">
        <v>74</v>
      </c>
      <c r="H107" s="22">
        <v>0</v>
      </c>
      <c r="I107" s="22">
        <v>1</v>
      </c>
    </row>
    <row r="108" spans="1:9" s="21" customFormat="1" ht="12" customHeight="1" x14ac:dyDescent="0.2">
      <c r="A108" s="264" t="s">
        <v>101</v>
      </c>
      <c r="B108" s="264"/>
      <c r="C108" s="22">
        <v>1263</v>
      </c>
      <c r="D108" s="22">
        <v>1028</v>
      </c>
      <c r="E108" s="22">
        <v>235</v>
      </c>
      <c r="F108" s="22">
        <v>198</v>
      </c>
      <c r="G108" s="22">
        <v>36</v>
      </c>
      <c r="H108" s="22">
        <v>0</v>
      </c>
      <c r="I108" s="22">
        <v>1</v>
      </c>
    </row>
    <row r="109" spans="1:9" s="21" customFormat="1" ht="12" customHeight="1" x14ac:dyDescent="0.2">
      <c r="A109" s="264" t="s">
        <v>102</v>
      </c>
      <c r="B109" s="264"/>
      <c r="C109" s="22">
        <v>592</v>
      </c>
      <c r="D109" s="22">
        <v>434</v>
      </c>
      <c r="E109" s="22">
        <v>158</v>
      </c>
      <c r="F109" s="22">
        <v>112</v>
      </c>
      <c r="G109" s="22">
        <v>46</v>
      </c>
      <c r="H109" s="22">
        <v>0</v>
      </c>
      <c r="I109" s="22">
        <v>0</v>
      </c>
    </row>
    <row r="110" spans="1:9" s="21" customFormat="1" ht="12" customHeight="1" x14ac:dyDescent="0.2">
      <c r="A110" s="264" t="s">
        <v>103</v>
      </c>
      <c r="B110" s="264"/>
      <c r="C110" s="22">
        <v>5918</v>
      </c>
      <c r="D110" s="22">
        <v>3611</v>
      </c>
      <c r="E110" s="22">
        <v>2307</v>
      </c>
      <c r="F110" s="22">
        <v>1612</v>
      </c>
      <c r="G110" s="22">
        <v>683</v>
      </c>
      <c r="H110" s="22">
        <v>2</v>
      </c>
      <c r="I110" s="22">
        <v>10</v>
      </c>
    </row>
    <row r="111" spans="1:9" s="21" customFormat="1" ht="12" customHeight="1" x14ac:dyDescent="0.2">
      <c r="A111" s="264" t="s">
        <v>104</v>
      </c>
      <c r="B111" s="264"/>
      <c r="C111" s="22">
        <v>1297</v>
      </c>
      <c r="D111" s="22">
        <v>996</v>
      </c>
      <c r="E111" s="22">
        <v>301</v>
      </c>
      <c r="F111" s="22">
        <v>183</v>
      </c>
      <c r="G111" s="22">
        <v>115</v>
      </c>
      <c r="H111" s="22">
        <v>0</v>
      </c>
      <c r="I111" s="22">
        <v>3</v>
      </c>
    </row>
    <row r="112" spans="1:9" s="21" customFormat="1" ht="12" customHeight="1" x14ac:dyDescent="0.2">
      <c r="A112" s="264" t="s">
        <v>105</v>
      </c>
      <c r="B112" s="264"/>
      <c r="C112" s="22">
        <v>1633</v>
      </c>
      <c r="D112" s="22">
        <v>1104</v>
      </c>
      <c r="E112" s="22">
        <v>529</v>
      </c>
      <c r="F112" s="22">
        <v>379</v>
      </c>
      <c r="G112" s="22">
        <v>150</v>
      </c>
      <c r="H112" s="22">
        <v>0</v>
      </c>
      <c r="I112" s="22">
        <v>0</v>
      </c>
    </row>
    <row r="113" spans="1:9" s="21" customFormat="1" ht="12" customHeight="1" x14ac:dyDescent="0.2">
      <c r="A113" s="264" t="s">
        <v>106</v>
      </c>
      <c r="B113" s="264"/>
      <c r="C113" s="22">
        <v>1159</v>
      </c>
      <c r="D113" s="22">
        <v>1025</v>
      </c>
      <c r="E113" s="22">
        <v>134</v>
      </c>
      <c r="F113" s="22">
        <v>105</v>
      </c>
      <c r="G113" s="22">
        <v>29</v>
      </c>
      <c r="H113" s="22">
        <v>0</v>
      </c>
      <c r="I113" s="22">
        <v>0</v>
      </c>
    </row>
    <row r="114" spans="1:9" s="21" customFormat="1" ht="12" customHeight="1" x14ac:dyDescent="0.2">
      <c r="A114" s="264" t="s">
        <v>107</v>
      </c>
      <c r="B114" s="264"/>
      <c r="C114" s="22">
        <v>273</v>
      </c>
      <c r="D114" s="22">
        <v>246</v>
      </c>
      <c r="E114" s="22">
        <v>27</v>
      </c>
      <c r="F114" s="22">
        <v>20</v>
      </c>
      <c r="G114" s="22">
        <v>7</v>
      </c>
      <c r="H114" s="22">
        <v>0</v>
      </c>
      <c r="I114" s="22">
        <v>0</v>
      </c>
    </row>
    <row r="115" spans="1:9" s="21" customFormat="1" ht="12" customHeight="1" x14ac:dyDescent="0.2">
      <c r="A115" s="264" t="s">
        <v>108</v>
      </c>
      <c r="B115" s="264"/>
      <c r="C115" s="22">
        <v>889</v>
      </c>
      <c r="D115" s="22">
        <v>734</v>
      </c>
      <c r="E115" s="22">
        <v>155</v>
      </c>
      <c r="F115" s="22">
        <v>115</v>
      </c>
      <c r="G115" s="22">
        <v>40</v>
      </c>
      <c r="H115" s="22">
        <v>0</v>
      </c>
      <c r="I115" s="22">
        <v>0</v>
      </c>
    </row>
    <row r="116" spans="1:9" s="21" customFormat="1" ht="12" customHeight="1" x14ac:dyDescent="0.2">
      <c r="A116" s="264" t="s">
        <v>109</v>
      </c>
      <c r="B116" s="264"/>
      <c r="C116" s="22">
        <v>746</v>
      </c>
      <c r="D116" s="22">
        <v>499</v>
      </c>
      <c r="E116" s="22">
        <v>247</v>
      </c>
      <c r="F116" s="22">
        <v>155</v>
      </c>
      <c r="G116" s="22">
        <v>92</v>
      </c>
      <c r="H116" s="22">
        <v>0</v>
      </c>
      <c r="I116" s="22">
        <v>0</v>
      </c>
    </row>
    <row r="117" spans="1:9" s="21" customFormat="1" ht="12" customHeight="1" x14ac:dyDescent="0.2">
      <c r="A117" s="264" t="s">
        <v>110</v>
      </c>
      <c r="B117" s="264"/>
      <c r="C117" s="22">
        <v>860</v>
      </c>
      <c r="D117" s="22">
        <v>694</v>
      </c>
      <c r="E117" s="22">
        <v>166</v>
      </c>
      <c r="F117" s="22">
        <v>114</v>
      </c>
      <c r="G117" s="22">
        <v>52</v>
      </c>
      <c r="H117" s="22">
        <v>0</v>
      </c>
      <c r="I117" s="22">
        <v>0</v>
      </c>
    </row>
    <row r="118" spans="1:9" s="21" customFormat="1" ht="12" customHeight="1" x14ac:dyDescent="0.2">
      <c r="A118" s="264" t="s">
        <v>111</v>
      </c>
      <c r="B118" s="264"/>
      <c r="C118" s="22">
        <v>341</v>
      </c>
      <c r="D118" s="22">
        <v>299</v>
      </c>
      <c r="E118" s="22">
        <v>42</v>
      </c>
      <c r="F118" s="22">
        <v>32</v>
      </c>
      <c r="G118" s="22">
        <v>10</v>
      </c>
      <c r="H118" s="22">
        <v>0</v>
      </c>
      <c r="I118" s="22">
        <v>0</v>
      </c>
    </row>
    <row r="119" spans="1:9" s="21" customFormat="1" ht="12" customHeight="1" x14ac:dyDescent="0.2">
      <c r="A119" s="264" t="s">
        <v>112</v>
      </c>
      <c r="B119" s="264"/>
      <c r="C119" s="22">
        <v>823</v>
      </c>
      <c r="D119" s="22">
        <v>747</v>
      </c>
      <c r="E119" s="22">
        <v>76</v>
      </c>
      <c r="F119" s="22">
        <v>46</v>
      </c>
      <c r="G119" s="22">
        <v>29</v>
      </c>
      <c r="H119" s="22">
        <v>0</v>
      </c>
      <c r="I119" s="22">
        <v>1</v>
      </c>
    </row>
    <row r="120" spans="1:9" s="21" customFormat="1" ht="12" customHeight="1" x14ac:dyDescent="0.2">
      <c r="A120" s="264" t="s">
        <v>113</v>
      </c>
      <c r="B120" s="264"/>
      <c r="C120" s="22">
        <v>1367</v>
      </c>
      <c r="D120" s="22">
        <v>1145</v>
      </c>
      <c r="E120" s="22">
        <v>222</v>
      </c>
      <c r="F120" s="22">
        <v>168</v>
      </c>
      <c r="G120" s="22">
        <v>53</v>
      </c>
      <c r="H120" s="22">
        <v>0</v>
      </c>
      <c r="I120" s="22">
        <v>1</v>
      </c>
    </row>
    <row r="121" spans="1:9" s="21" customFormat="1" ht="12" customHeight="1" x14ac:dyDescent="0.2">
      <c r="A121" s="264" t="s">
        <v>114</v>
      </c>
      <c r="B121" s="264"/>
      <c r="C121" s="22">
        <v>3658</v>
      </c>
      <c r="D121" s="22">
        <v>1855</v>
      </c>
      <c r="E121" s="22">
        <v>1803</v>
      </c>
      <c r="F121" s="22">
        <v>1106</v>
      </c>
      <c r="G121" s="22">
        <v>688</v>
      </c>
      <c r="H121" s="22">
        <v>0</v>
      </c>
      <c r="I121" s="22">
        <v>9</v>
      </c>
    </row>
    <row r="122" spans="1:9" s="21" customFormat="1" ht="12" customHeight="1" x14ac:dyDescent="0.2">
      <c r="A122" s="264" t="s">
        <v>115</v>
      </c>
      <c r="B122" s="264"/>
      <c r="C122" s="22">
        <v>1645</v>
      </c>
      <c r="D122" s="22">
        <v>1435</v>
      </c>
      <c r="E122" s="22">
        <v>210</v>
      </c>
      <c r="F122" s="22">
        <v>166</v>
      </c>
      <c r="G122" s="22">
        <v>44</v>
      </c>
      <c r="H122" s="22">
        <v>0</v>
      </c>
      <c r="I122" s="22">
        <v>0</v>
      </c>
    </row>
    <row r="123" spans="1:9" s="21" customFormat="1" ht="12" customHeight="1" x14ac:dyDescent="0.2">
      <c r="A123" s="264" t="s">
        <v>116</v>
      </c>
      <c r="B123" s="264"/>
      <c r="C123" s="22">
        <v>807</v>
      </c>
      <c r="D123" s="22">
        <v>583</v>
      </c>
      <c r="E123" s="22">
        <v>224</v>
      </c>
      <c r="F123" s="22">
        <v>164</v>
      </c>
      <c r="G123" s="22">
        <v>60</v>
      </c>
      <c r="H123" s="22">
        <v>0</v>
      </c>
      <c r="I123" s="22">
        <v>0</v>
      </c>
    </row>
    <row r="124" spans="1:9" s="21" customFormat="1" ht="12" customHeight="1" x14ac:dyDescent="0.2">
      <c r="A124" s="264" t="s">
        <v>117</v>
      </c>
      <c r="B124" s="264"/>
      <c r="C124" s="22">
        <v>1515</v>
      </c>
      <c r="D124" s="22">
        <v>1217</v>
      </c>
      <c r="E124" s="22">
        <v>298</v>
      </c>
      <c r="F124" s="22">
        <v>219</v>
      </c>
      <c r="G124" s="22">
        <v>78</v>
      </c>
      <c r="H124" s="22">
        <v>0</v>
      </c>
      <c r="I124" s="22">
        <v>1</v>
      </c>
    </row>
    <row r="125" spans="1:9" s="21" customFormat="1" ht="12" customHeight="1" x14ac:dyDescent="0.2">
      <c r="A125" s="264" t="s">
        <v>118</v>
      </c>
      <c r="B125" s="264"/>
      <c r="C125" s="22">
        <v>1306</v>
      </c>
      <c r="D125" s="22">
        <v>1066</v>
      </c>
      <c r="E125" s="22">
        <v>240</v>
      </c>
      <c r="F125" s="22">
        <v>186</v>
      </c>
      <c r="G125" s="22">
        <v>54</v>
      </c>
      <c r="H125" s="22">
        <v>0</v>
      </c>
      <c r="I125" s="22">
        <v>0</v>
      </c>
    </row>
    <row r="126" spans="1:9" s="21" customFormat="1" ht="12" customHeight="1" x14ac:dyDescent="0.2">
      <c r="A126" s="264" t="s">
        <v>119</v>
      </c>
      <c r="B126" s="264"/>
      <c r="C126" s="22">
        <v>1594</v>
      </c>
      <c r="D126" s="22">
        <v>1273</v>
      </c>
      <c r="E126" s="22">
        <v>321</v>
      </c>
      <c r="F126" s="22">
        <v>267</v>
      </c>
      <c r="G126" s="22">
        <v>53</v>
      </c>
      <c r="H126" s="22">
        <v>0</v>
      </c>
      <c r="I126" s="22">
        <v>1</v>
      </c>
    </row>
    <row r="127" spans="1:9" s="21" customFormat="1" ht="12" customHeight="1" x14ac:dyDescent="0.2">
      <c r="A127" s="264" t="s">
        <v>120</v>
      </c>
      <c r="B127" s="264"/>
      <c r="C127" s="22">
        <v>753</v>
      </c>
      <c r="D127" s="22">
        <v>639</v>
      </c>
      <c r="E127" s="22">
        <v>114</v>
      </c>
      <c r="F127" s="22">
        <v>79</v>
      </c>
      <c r="G127" s="22">
        <v>35</v>
      </c>
      <c r="H127" s="22">
        <v>0</v>
      </c>
      <c r="I127" s="22">
        <v>0</v>
      </c>
    </row>
    <row r="128" spans="1:9" s="21" customFormat="1" ht="12" customHeight="1" x14ac:dyDescent="0.2">
      <c r="A128" s="264" t="s">
        <v>121</v>
      </c>
      <c r="B128" s="264"/>
      <c r="C128" s="22">
        <v>2107</v>
      </c>
      <c r="D128" s="22">
        <v>1436</v>
      </c>
      <c r="E128" s="22">
        <v>671</v>
      </c>
      <c r="F128" s="22">
        <v>443</v>
      </c>
      <c r="G128" s="22">
        <v>223</v>
      </c>
      <c r="H128" s="22">
        <v>0</v>
      </c>
      <c r="I128" s="22">
        <v>5</v>
      </c>
    </row>
    <row r="129" spans="1:9" s="21" customFormat="1" ht="12" customHeight="1" x14ac:dyDescent="0.2">
      <c r="A129" s="264" t="s">
        <v>122</v>
      </c>
      <c r="B129" s="264"/>
      <c r="C129" s="22">
        <v>672</v>
      </c>
      <c r="D129" s="22">
        <v>546</v>
      </c>
      <c r="E129" s="22">
        <v>126</v>
      </c>
      <c r="F129" s="22">
        <v>95</v>
      </c>
      <c r="G129" s="22">
        <v>30</v>
      </c>
      <c r="H129" s="22">
        <v>0</v>
      </c>
      <c r="I129" s="22">
        <v>1</v>
      </c>
    </row>
    <row r="130" spans="1:9" s="21" customFormat="1" ht="12" customHeight="1" x14ac:dyDescent="0.2">
      <c r="A130" s="264" t="s">
        <v>123</v>
      </c>
      <c r="B130" s="264"/>
      <c r="C130" s="22">
        <v>596</v>
      </c>
      <c r="D130" s="22">
        <v>422</v>
      </c>
      <c r="E130" s="22">
        <v>174</v>
      </c>
      <c r="F130" s="22">
        <v>99</v>
      </c>
      <c r="G130" s="22">
        <v>74</v>
      </c>
      <c r="H130" s="22">
        <v>0</v>
      </c>
      <c r="I130" s="22">
        <v>1</v>
      </c>
    </row>
    <row r="131" spans="1:9" s="21" customFormat="1" ht="12" customHeight="1" x14ac:dyDescent="0.2">
      <c r="A131" s="264" t="s">
        <v>124</v>
      </c>
      <c r="B131" s="264"/>
      <c r="C131" s="22">
        <v>1848</v>
      </c>
      <c r="D131" s="22">
        <v>1669</v>
      </c>
      <c r="E131" s="22">
        <v>179</v>
      </c>
      <c r="F131" s="22">
        <v>127</v>
      </c>
      <c r="G131" s="22">
        <v>52</v>
      </c>
      <c r="H131" s="22">
        <v>0</v>
      </c>
      <c r="I131" s="22">
        <v>0</v>
      </c>
    </row>
    <row r="132" spans="1:9" s="21" customFormat="1" ht="12" customHeight="1" x14ac:dyDescent="0.2">
      <c r="A132" s="264" t="s">
        <v>125</v>
      </c>
      <c r="B132" s="264"/>
      <c r="C132" s="22">
        <v>1752</v>
      </c>
      <c r="D132" s="22">
        <v>1172</v>
      </c>
      <c r="E132" s="22">
        <v>580</v>
      </c>
      <c r="F132" s="22">
        <v>221</v>
      </c>
      <c r="G132" s="22">
        <v>359</v>
      </c>
      <c r="H132" s="22">
        <v>0</v>
      </c>
      <c r="I132" s="22">
        <v>0</v>
      </c>
    </row>
    <row r="133" spans="1:9" s="21" customFormat="1" ht="12" customHeight="1" x14ac:dyDescent="0.2">
      <c r="A133" s="264" t="s">
        <v>126</v>
      </c>
      <c r="B133" s="264"/>
      <c r="C133" s="22">
        <v>2991</v>
      </c>
      <c r="D133" s="22">
        <v>2111</v>
      </c>
      <c r="E133" s="22">
        <v>880</v>
      </c>
      <c r="F133" s="22">
        <v>762</v>
      </c>
      <c r="G133" s="22">
        <v>118</v>
      </c>
      <c r="H133" s="22">
        <v>0</v>
      </c>
      <c r="I133" s="22">
        <v>0</v>
      </c>
    </row>
    <row r="134" spans="1:9" s="21" customFormat="1" ht="12" customHeight="1" x14ac:dyDescent="0.2">
      <c r="A134" s="264" t="s">
        <v>127</v>
      </c>
      <c r="B134" s="264"/>
      <c r="C134" s="22">
        <v>619</v>
      </c>
      <c r="D134" s="22">
        <v>570</v>
      </c>
      <c r="E134" s="22">
        <v>49</v>
      </c>
      <c r="F134" s="22">
        <v>35</v>
      </c>
      <c r="G134" s="22">
        <v>14</v>
      </c>
      <c r="H134" s="22">
        <v>0</v>
      </c>
      <c r="I134" s="22">
        <v>0</v>
      </c>
    </row>
    <row r="135" spans="1:9" s="21" customFormat="1" ht="12" customHeight="1" x14ac:dyDescent="0.2">
      <c r="A135" s="264" t="s">
        <v>128</v>
      </c>
      <c r="B135" s="264"/>
      <c r="C135" s="22">
        <v>560</v>
      </c>
      <c r="D135" s="22">
        <v>456</v>
      </c>
      <c r="E135" s="22">
        <v>104</v>
      </c>
      <c r="F135" s="22">
        <v>68</v>
      </c>
      <c r="G135" s="22">
        <v>33</v>
      </c>
      <c r="H135" s="22">
        <v>0</v>
      </c>
      <c r="I135" s="22">
        <v>3</v>
      </c>
    </row>
    <row r="136" spans="1:9" s="21" customFormat="1" ht="12" customHeight="1" x14ac:dyDescent="0.2">
      <c r="A136" s="264" t="s">
        <v>129</v>
      </c>
      <c r="B136" s="264"/>
      <c r="C136" s="22">
        <v>1950</v>
      </c>
      <c r="D136" s="22">
        <v>1467</v>
      </c>
      <c r="E136" s="22">
        <v>483</v>
      </c>
      <c r="F136" s="22">
        <v>386</v>
      </c>
      <c r="G136" s="22">
        <v>96</v>
      </c>
      <c r="H136" s="22">
        <v>0</v>
      </c>
      <c r="I136" s="22">
        <v>1</v>
      </c>
    </row>
    <row r="137" spans="1:9" s="21" customFormat="1" ht="12" customHeight="1" x14ac:dyDescent="0.2">
      <c r="A137" s="315" t="s">
        <v>130</v>
      </c>
      <c r="B137" s="315"/>
      <c r="C137" s="28">
        <v>338</v>
      </c>
      <c r="D137" s="28">
        <v>214</v>
      </c>
      <c r="E137" s="28">
        <v>124</v>
      </c>
      <c r="F137" s="28">
        <v>66</v>
      </c>
      <c r="G137" s="28">
        <v>58</v>
      </c>
      <c r="H137" s="28">
        <v>0</v>
      </c>
      <c r="I137" s="28">
        <v>0</v>
      </c>
    </row>
    <row r="138" spans="1:9" s="21" customFormat="1" ht="12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 s="21" customFormat="1" ht="12" customHeight="1" x14ac:dyDescent="0.2">
      <c r="A139" s="263" t="s">
        <v>131</v>
      </c>
      <c r="B139" s="263"/>
      <c r="C139" s="20">
        <f t="shared" ref="C139:I139" si="44">SUM(C140:C176)</f>
        <v>62199</v>
      </c>
      <c r="D139" s="20">
        <f t="shared" si="44"/>
        <v>47664</v>
      </c>
      <c r="E139" s="20">
        <f t="shared" si="44"/>
        <v>14535</v>
      </c>
      <c r="F139" s="20">
        <f t="shared" si="44"/>
        <v>10878</v>
      </c>
      <c r="G139" s="20">
        <f t="shared" si="44"/>
        <v>3619</v>
      </c>
      <c r="H139" s="20">
        <f t="shared" si="44"/>
        <v>0</v>
      </c>
      <c r="I139" s="20">
        <f t="shared" si="44"/>
        <v>38</v>
      </c>
    </row>
    <row r="140" spans="1:9" s="21" customFormat="1" ht="12" customHeight="1" x14ac:dyDescent="0.2">
      <c r="A140" s="264" t="s">
        <v>132</v>
      </c>
      <c r="B140" s="264"/>
      <c r="C140" s="22">
        <v>5488</v>
      </c>
      <c r="D140" s="22">
        <v>3978</v>
      </c>
      <c r="E140" s="22">
        <v>1510</v>
      </c>
      <c r="F140" s="22">
        <v>1027</v>
      </c>
      <c r="G140" s="22">
        <v>480</v>
      </c>
      <c r="H140" s="22">
        <v>0</v>
      </c>
      <c r="I140" s="22">
        <v>3</v>
      </c>
    </row>
    <row r="141" spans="1:9" s="21" customFormat="1" ht="12" customHeight="1" x14ac:dyDescent="0.2">
      <c r="A141" s="264" t="s">
        <v>133</v>
      </c>
      <c r="B141" s="264"/>
      <c r="C141" s="22">
        <v>208</v>
      </c>
      <c r="D141" s="22">
        <v>198</v>
      </c>
      <c r="E141" s="22">
        <v>10</v>
      </c>
      <c r="F141" s="22">
        <v>7</v>
      </c>
      <c r="G141" s="22">
        <v>3</v>
      </c>
      <c r="H141" s="22">
        <v>0</v>
      </c>
      <c r="I141" s="22">
        <v>0</v>
      </c>
    </row>
    <row r="142" spans="1:9" s="21" customFormat="1" ht="12" customHeight="1" x14ac:dyDescent="0.2">
      <c r="A142" s="264" t="s">
        <v>134</v>
      </c>
      <c r="B142" s="264"/>
      <c r="C142" s="22">
        <v>563</v>
      </c>
      <c r="D142" s="22">
        <v>451</v>
      </c>
      <c r="E142" s="22">
        <v>112</v>
      </c>
      <c r="F142" s="22">
        <v>74</v>
      </c>
      <c r="G142" s="22">
        <v>37</v>
      </c>
      <c r="H142" s="22">
        <v>0</v>
      </c>
      <c r="I142" s="22">
        <v>1</v>
      </c>
    </row>
    <row r="143" spans="1:9" s="21" customFormat="1" ht="12" customHeight="1" x14ac:dyDescent="0.2">
      <c r="A143" s="264" t="s">
        <v>135</v>
      </c>
      <c r="B143" s="264"/>
      <c r="C143" s="22">
        <v>1847</v>
      </c>
      <c r="D143" s="22">
        <v>1510</v>
      </c>
      <c r="E143" s="22">
        <v>337</v>
      </c>
      <c r="F143" s="22">
        <v>213</v>
      </c>
      <c r="G143" s="22">
        <v>123</v>
      </c>
      <c r="H143" s="22">
        <v>0</v>
      </c>
      <c r="I143" s="22">
        <v>1</v>
      </c>
    </row>
    <row r="144" spans="1:9" s="21" customFormat="1" ht="12" customHeight="1" x14ac:dyDescent="0.2">
      <c r="A144" s="264" t="s">
        <v>136</v>
      </c>
      <c r="B144" s="264"/>
      <c r="C144" s="22">
        <v>118</v>
      </c>
      <c r="D144" s="22">
        <v>105</v>
      </c>
      <c r="E144" s="22">
        <v>13</v>
      </c>
      <c r="F144" s="22">
        <v>8</v>
      </c>
      <c r="G144" s="22">
        <v>5</v>
      </c>
      <c r="H144" s="22">
        <v>0</v>
      </c>
      <c r="I144" s="22">
        <v>0</v>
      </c>
    </row>
    <row r="145" spans="1:9" s="21" customFormat="1" ht="12" customHeight="1" x14ac:dyDescent="0.2">
      <c r="A145" s="264" t="s">
        <v>137</v>
      </c>
      <c r="B145" s="264"/>
      <c r="C145" s="22">
        <v>719</v>
      </c>
      <c r="D145" s="22">
        <v>671</v>
      </c>
      <c r="E145" s="22">
        <v>48</v>
      </c>
      <c r="F145" s="22">
        <v>27</v>
      </c>
      <c r="G145" s="22">
        <v>21</v>
      </c>
      <c r="H145" s="22">
        <v>0</v>
      </c>
      <c r="I145" s="22">
        <v>0</v>
      </c>
    </row>
    <row r="146" spans="1:9" s="21" customFormat="1" ht="12" customHeight="1" x14ac:dyDescent="0.2">
      <c r="A146" s="264" t="s">
        <v>138</v>
      </c>
      <c r="B146" s="264"/>
      <c r="C146" s="22">
        <v>1142</v>
      </c>
      <c r="D146" s="22">
        <v>1023</v>
      </c>
      <c r="E146" s="22">
        <v>119</v>
      </c>
      <c r="F146" s="22">
        <v>76</v>
      </c>
      <c r="G146" s="22">
        <v>43</v>
      </c>
      <c r="H146" s="22">
        <v>0</v>
      </c>
      <c r="I146" s="22">
        <v>0</v>
      </c>
    </row>
    <row r="147" spans="1:9" s="21" customFormat="1" ht="12" customHeight="1" x14ac:dyDescent="0.2">
      <c r="A147" s="264" t="s">
        <v>139</v>
      </c>
      <c r="B147" s="264"/>
      <c r="C147" s="22">
        <v>846</v>
      </c>
      <c r="D147" s="22">
        <v>619</v>
      </c>
      <c r="E147" s="22">
        <v>227</v>
      </c>
      <c r="F147" s="22">
        <v>161</v>
      </c>
      <c r="G147" s="22">
        <v>66</v>
      </c>
      <c r="H147" s="22">
        <v>0</v>
      </c>
      <c r="I147" s="22">
        <v>0</v>
      </c>
    </row>
    <row r="148" spans="1:9" s="21" customFormat="1" ht="12" customHeight="1" x14ac:dyDescent="0.2">
      <c r="A148" s="264" t="s">
        <v>140</v>
      </c>
      <c r="B148" s="264"/>
      <c r="C148" s="22">
        <v>15</v>
      </c>
      <c r="D148" s="22">
        <v>14</v>
      </c>
      <c r="E148" s="22">
        <v>1</v>
      </c>
      <c r="F148" s="22">
        <v>1</v>
      </c>
      <c r="G148" s="22">
        <v>0</v>
      </c>
      <c r="H148" s="22">
        <v>0</v>
      </c>
      <c r="I148" s="22">
        <v>0</v>
      </c>
    </row>
    <row r="149" spans="1:9" s="21" customFormat="1" ht="12" customHeight="1" x14ac:dyDescent="0.2">
      <c r="A149" s="264" t="s">
        <v>141</v>
      </c>
      <c r="B149" s="264"/>
      <c r="C149" s="22">
        <v>2863</v>
      </c>
      <c r="D149" s="22">
        <v>2463</v>
      </c>
      <c r="E149" s="22">
        <v>400</v>
      </c>
      <c r="F149" s="22">
        <v>317</v>
      </c>
      <c r="G149" s="22">
        <v>82</v>
      </c>
      <c r="H149" s="22">
        <v>0</v>
      </c>
      <c r="I149" s="22">
        <v>1</v>
      </c>
    </row>
    <row r="150" spans="1:9" s="21" customFormat="1" ht="12" customHeight="1" x14ac:dyDescent="0.2">
      <c r="A150" s="264" t="s">
        <v>142</v>
      </c>
      <c r="B150" s="264"/>
      <c r="C150" s="22">
        <v>113</v>
      </c>
      <c r="D150" s="22">
        <v>109</v>
      </c>
      <c r="E150" s="22">
        <v>4</v>
      </c>
      <c r="F150" s="22">
        <v>2</v>
      </c>
      <c r="G150" s="22">
        <v>2</v>
      </c>
      <c r="H150" s="22">
        <v>0</v>
      </c>
      <c r="I150" s="22">
        <v>0</v>
      </c>
    </row>
    <row r="151" spans="1:9" s="21" customFormat="1" ht="12" customHeight="1" x14ac:dyDescent="0.2">
      <c r="A151" s="264" t="s">
        <v>143</v>
      </c>
      <c r="B151" s="264"/>
      <c r="C151" s="22">
        <v>305</v>
      </c>
      <c r="D151" s="22">
        <v>257</v>
      </c>
      <c r="E151" s="22">
        <v>48</v>
      </c>
      <c r="F151" s="22">
        <v>36</v>
      </c>
      <c r="G151" s="22">
        <v>12</v>
      </c>
      <c r="H151" s="22">
        <v>0</v>
      </c>
      <c r="I151" s="22">
        <v>0</v>
      </c>
    </row>
    <row r="152" spans="1:9" s="21" customFormat="1" ht="12" customHeight="1" x14ac:dyDescent="0.2">
      <c r="A152" s="264" t="s">
        <v>144</v>
      </c>
      <c r="B152" s="264"/>
      <c r="C152" s="22">
        <v>4398</v>
      </c>
      <c r="D152" s="22">
        <v>3660</v>
      </c>
      <c r="E152" s="22">
        <v>738</v>
      </c>
      <c r="F152" s="22">
        <v>596</v>
      </c>
      <c r="G152" s="22">
        <v>140</v>
      </c>
      <c r="H152" s="22">
        <v>0</v>
      </c>
      <c r="I152" s="22">
        <v>2</v>
      </c>
    </row>
    <row r="153" spans="1:9" s="21" customFormat="1" ht="12" customHeight="1" x14ac:dyDescent="0.2">
      <c r="A153" s="264" t="s">
        <v>145</v>
      </c>
      <c r="B153" s="264"/>
      <c r="C153" s="22">
        <v>30</v>
      </c>
      <c r="D153" s="22">
        <v>30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</row>
    <row r="154" spans="1:9" s="21" customFormat="1" ht="12" customHeight="1" x14ac:dyDescent="0.2">
      <c r="A154" s="264" t="s">
        <v>146</v>
      </c>
      <c r="B154" s="264"/>
      <c r="C154" s="22">
        <v>43</v>
      </c>
      <c r="D154" s="22">
        <v>40</v>
      </c>
      <c r="E154" s="22">
        <v>3</v>
      </c>
      <c r="F154" s="22">
        <v>1</v>
      </c>
      <c r="G154" s="22">
        <v>2</v>
      </c>
      <c r="H154" s="22">
        <v>0</v>
      </c>
      <c r="I154" s="22">
        <v>0</v>
      </c>
    </row>
    <row r="155" spans="1:9" s="21" customFormat="1" ht="12" customHeight="1" x14ac:dyDescent="0.2">
      <c r="A155" s="264" t="s">
        <v>147</v>
      </c>
      <c r="B155" s="264"/>
      <c r="C155" s="22">
        <v>351</v>
      </c>
      <c r="D155" s="22">
        <v>311</v>
      </c>
      <c r="E155" s="22">
        <v>40</v>
      </c>
      <c r="F155" s="22">
        <v>27</v>
      </c>
      <c r="G155" s="22">
        <v>13</v>
      </c>
      <c r="H155" s="22">
        <v>0</v>
      </c>
      <c r="I155" s="22">
        <v>0</v>
      </c>
    </row>
    <row r="156" spans="1:9" s="21" customFormat="1" ht="12" customHeight="1" x14ac:dyDescent="0.2">
      <c r="A156" s="264" t="s">
        <v>148</v>
      </c>
      <c r="B156" s="264"/>
      <c r="C156" s="22">
        <v>1226</v>
      </c>
      <c r="D156" s="22">
        <v>928</v>
      </c>
      <c r="E156" s="22">
        <v>298</v>
      </c>
      <c r="F156" s="22">
        <v>229</v>
      </c>
      <c r="G156" s="22">
        <v>69</v>
      </c>
      <c r="H156" s="22">
        <v>0</v>
      </c>
      <c r="I156" s="22">
        <v>0</v>
      </c>
    </row>
    <row r="157" spans="1:9" s="21" customFormat="1" ht="12" customHeight="1" x14ac:dyDescent="0.2">
      <c r="A157" s="264" t="s">
        <v>149</v>
      </c>
      <c r="B157" s="264"/>
      <c r="C157" s="22">
        <v>15185</v>
      </c>
      <c r="D157" s="22">
        <v>10075</v>
      </c>
      <c r="E157" s="22">
        <v>5110</v>
      </c>
      <c r="F157" s="22">
        <v>3954</v>
      </c>
      <c r="G157" s="22">
        <v>1141</v>
      </c>
      <c r="H157" s="22">
        <v>0</v>
      </c>
      <c r="I157" s="22">
        <v>15</v>
      </c>
    </row>
    <row r="158" spans="1:9" s="21" customFormat="1" ht="12" customHeight="1" x14ac:dyDescent="0.2">
      <c r="A158" s="264" t="s">
        <v>150</v>
      </c>
      <c r="B158" s="264"/>
      <c r="C158" s="22">
        <v>6452</v>
      </c>
      <c r="D158" s="22">
        <v>5099</v>
      </c>
      <c r="E158" s="22">
        <v>1353</v>
      </c>
      <c r="F158" s="22">
        <v>1060</v>
      </c>
      <c r="G158" s="22">
        <v>290</v>
      </c>
      <c r="H158" s="22">
        <v>0</v>
      </c>
      <c r="I158" s="22">
        <v>3</v>
      </c>
    </row>
    <row r="159" spans="1:9" s="21" customFormat="1" ht="12" customHeight="1" x14ac:dyDescent="0.2">
      <c r="A159" s="264" t="s">
        <v>151</v>
      </c>
      <c r="B159" s="264"/>
      <c r="C159" s="22">
        <v>1688</v>
      </c>
      <c r="D159" s="22">
        <v>1310</v>
      </c>
      <c r="E159" s="22">
        <v>378</v>
      </c>
      <c r="F159" s="22">
        <v>263</v>
      </c>
      <c r="G159" s="22">
        <v>112</v>
      </c>
      <c r="H159" s="22">
        <v>0</v>
      </c>
      <c r="I159" s="22">
        <v>3</v>
      </c>
    </row>
    <row r="160" spans="1:9" s="21" customFormat="1" ht="12" customHeight="1" x14ac:dyDescent="0.2">
      <c r="A160" s="264" t="s">
        <v>152</v>
      </c>
      <c r="B160" s="264"/>
      <c r="C160" s="22">
        <v>218</v>
      </c>
      <c r="D160" s="22">
        <v>200</v>
      </c>
      <c r="E160" s="22">
        <v>18</v>
      </c>
      <c r="F160" s="22">
        <v>8</v>
      </c>
      <c r="G160" s="22">
        <v>10</v>
      </c>
      <c r="H160" s="22">
        <v>0</v>
      </c>
      <c r="I160" s="22">
        <v>0</v>
      </c>
    </row>
    <row r="161" spans="1:9" s="21" customFormat="1" ht="12" customHeight="1" x14ac:dyDescent="0.2">
      <c r="A161" s="264" t="s">
        <v>153</v>
      </c>
      <c r="B161" s="264"/>
      <c r="C161" s="22">
        <v>6966</v>
      </c>
      <c r="D161" s="22">
        <v>5508</v>
      </c>
      <c r="E161" s="22">
        <v>1458</v>
      </c>
      <c r="F161" s="22">
        <v>1150</v>
      </c>
      <c r="G161" s="22">
        <v>305</v>
      </c>
      <c r="H161" s="22">
        <v>0</v>
      </c>
      <c r="I161" s="22">
        <v>3</v>
      </c>
    </row>
    <row r="162" spans="1:9" s="21" customFormat="1" ht="12" customHeight="1" x14ac:dyDescent="0.2">
      <c r="A162" s="264" t="s">
        <v>154</v>
      </c>
      <c r="B162" s="264"/>
      <c r="C162" s="22">
        <v>59</v>
      </c>
      <c r="D162" s="22">
        <v>54</v>
      </c>
      <c r="E162" s="22">
        <v>5</v>
      </c>
      <c r="F162" s="22">
        <v>2</v>
      </c>
      <c r="G162" s="22">
        <v>3</v>
      </c>
      <c r="H162" s="22">
        <v>0</v>
      </c>
      <c r="I162" s="22">
        <v>0</v>
      </c>
    </row>
    <row r="163" spans="1:9" s="21" customFormat="1" ht="12" customHeight="1" x14ac:dyDescent="0.2">
      <c r="A163" s="264" t="s">
        <v>155</v>
      </c>
      <c r="B163" s="264"/>
      <c r="C163" s="22">
        <v>2799</v>
      </c>
      <c r="D163" s="22">
        <v>2074</v>
      </c>
      <c r="E163" s="22">
        <v>725</v>
      </c>
      <c r="F163" s="22">
        <v>510</v>
      </c>
      <c r="G163" s="22">
        <v>214</v>
      </c>
      <c r="H163" s="22">
        <v>0</v>
      </c>
      <c r="I163" s="22">
        <v>1</v>
      </c>
    </row>
    <row r="164" spans="1:9" s="21" customFormat="1" ht="12" customHeight="1" x14ac:dyDescent="0.2">
      <c r="A164" s="264" t="s">
        <v>156</v>
      </c>
      <c r="B164" s="264"/>
      <c r="C164" s="22">
        <v>295</v>
      </c>
      <c r="D164" s="22">
        <v>279</v>
      </c>
      <c r="E164" s="22">
        <v>16</v>
      </c>
      <c r="F164" s="22">
        <v>11</v>
      </c>
      <c r="G164" s="22">
        <v>5</v>
      </c>
      <c r="H164" s="22">
        <v>0</v>
      </c>
      <c r="I164" s="22">
        <v>0</v>
      </c>
    </row>
    <row r="165" spans="1:9" s="21" customFormat="1" ht="12" customHeight="1" x14ac:dyDescent="0.2">
      <c r="A165" s="264" t="s">
        <v>157</v>
      </c>
      <c r="B165" s="264"/>
      <c r="C165" s="22">
        <v>768</v>
      </c>
      <c r="D165" s="22">
        <v>625</v>
      </c>
      <c r="E165" s="22">
        <v>143</v>
      </c>
      <c r="F165" s="22">
        <v>87</v>
      </c>
      <c r="G165" s="22">
        <v>55</v>
      </c>
      <c r="H165" s="22">
        <v>0</v>
      </c>
      <c r="I165" s="22">
        <v>1</v>
      </c>
    </row>
    <row r="166" spans="1:9" s="21" customFormat="1" ht="12" customHeight="1" x14ac:dyDescent="0.2">
      <c r="A166" s="264" t="s">
        <v>158</v>
      </c>
      <c r="B166" s="264"/>
      <c r="C166" s="22">
        <v>392</v>
      </c>
      <c r="D166" s="22">
        <v>342</v>
      </c>
      <c r="E166" s="22">
        <v>50</v>
      </c>
      <c r="F166" s="22">
        <v>39</v>
      </c>
      <c r="G166" s="22">
        <v>11</v>
      </c>
      <c r="H166" s="22">
        <v>0</v>
      </c>
      <c r="I166" s="22">
        <v>0</v>
      </c>
    </row>
    <row r="167" spans="1:9" s="21" customFormat="1" ht="12" customHeight="1" x14ac:dyDescent="0.2">
      <c r="A167" s="264" t="s">
        <v>159</v>
      </c>
      <c r="B167" s="264"/>
      <c r="C167" s="22">
        <v>676</v>
      </c>
      <c r="D167" s="22">
        <v>509</v>
      </c>
      <c r="E167" s="22">
        <v>167</v>
      </c>
      <c r="F167" s="22">
        <v>102</v>
      </c>
      <c r="G167" s="22">
        <v>64</v>
      </c>
      <c r="H167" s="22">
        <v>0</v>
      </c>
      <c r="I167" s="22">
        <v>1</v>
      </c>
    </row>
    <row r="168" spans="1:9" s="21" customFormat="1" ht="12" customHeight="1" x14ac:dyDescent="0.2">
      <c r="A168" s="264" t="s">
        <v>160</v>
      </c>
      <c r="B168" s="264"/>
      <c r="C168" s="22">
        <v>698</v>
      </c>
      <c r="D168" s="22">
        <v>586</v>
      </c>
      <c r="E168" s="22">
        <v>112</v>
      </c>
      <c r="F168" s="22">
        <v>83</v>
      </c>
      <c r="G168" s="22">
        <v>29</v>
      </c>
      <c r="H168" s="22">
        <v>0</v>
      </c>
      <c r="I168" s="22">
        <v>0</v>
      </c>
    </row>
    <row r="169" spans="1:9" s="21" customFormat="1" ht="12" customHeight="1" x14ac:dyDescent="0.2">
      <c r="A169" s="264" t="s">
        <v>161</v>
      </c>
      <c r="B169" s="264"/>
      <c r="C169" s="22">
        <v>137</v>
      </c>
      <c r="D169" s="22">
        <v>117</v>
      </c>
      <c r="E169" s="22">
        <v>20</v>
      </c>
      <c r="F169" s="22">
        <v>13</v>
      </c>
      <c r="G169" s="22">
        <v>7</v>
      </c>
      <c r="H169" s="22">
        <v>0</v>
      </c>
      <c r="I169" s="22">
        <v>0</v>
      </c>
    </row>
    <row r="170" spans="1:9" s="21" customFormat="1" ht="12" customHeight="1" x14ac:dyDescent="0.2">
      <c r="A170" s="264" t="s">
        <v>162</v>
      </c>
      <c r="B170" s="264"/>
      <c r="C170" s="22">
        <v>89</v>
      </c>
      <c r="D170" s="22">
        <v>84</v>
      </c>
      <c r="E170" s="22">
        <v>5</v>
      </c>
      <c r="F170" s="22">
        <v>4</v>
      </c>
      <c r="G170" s="22">
        <v>1</v>
      </c>
      <c r="H170" s="22">
        <v>0</v>
      </c>
      <c r="I170" s="22">
        <v>0</v>
      </c>
    </row>
    <row r="171" spans="1:9" s="21" customFormat="1" ht="12" customHeight="1" x14ac:dyDescent="0.2">
      <c r="A171" s="264" t="s">
        <v>163</v>
      </c>
      <c r="B171" s="264"/>
      <c r="C171" s="22">
        <v>743</v>
      </c>
      <c r="D171" s="22">
        <v>645</v>
      </c>
      <c r="E171" s="22">
        <v>98</v>
      </c>
      <c r="F171" s="22">
        <v>79</v>
      </c>
      <c r="G171" s="22">
        <v>19</v>
      </c>
      <c r="H171" s="22">
        <v>0</v>
      </c>
      <c r="I171" s="22">
        <v>0</v>
      </c>
    </row>
    <row r="172" spans="1:9" s="21" customFormat="1" ht="12" customHeight="1" x14ac:dyDescent="0.2">
      <c r="A172" s="264" t="s">
        <v>164</v>
      </c>
      <c r="B172" s="264"/>
      <c r="C172" s="22">
        <v>2617</v>
      </c>
      <c r="D172" s="22">
        <v>1941</v>
      </c>
      <c r="E172" s="22">
        <v>676</v>
      </c>
      <c r="F172" s="22">
        <v>525</v>
      </c>
      <c r="G172" s="22">
        <v>149</v>
      </c>
      <c r="H172" s="22">
        <v>0</v>
      </c>
      <c r="I172" s="22">
        <v>2</v>
      </c>
    </row>
    <row r="173" spans="1:9" s="21" customFormat="1" ht="12" customHeight="1" x14ac:dyDescent="0.2">
      <c r="A173" s="264" t="s">
        <v>165</v>
      </c>
      <c r="B173" s="264"/>
      <c r="C173" s="22">
        <v>62</v>
      </c>
      <c r="D173" s="22">
        <v>57</v>
      </c>
      <c r="E173" s="22">
        <v>5</v>
      </c>
      <c r="F173" s="22">
        <v>4</v>
      </c>
      <c r="G173" s="22">
        <v>1</v>
      </c>
      <c r="H173" s="22">
        <v>0</v>
      </c>
      <c r="I173" s="22">
        <v>0</v>
      </c>
    </row>
    <row r="174" spans="1:9" s="21" customFormat="1" ht="12" customHeight="1" x14ac:dyDescent="0.2">
      <c r="A174" s="264" t="s">
        <v>166</v>
      </c>
      <c r="B174" s="264"/>
      <c r="C174" s="22">
        <v>1114</v>
      </c>
      <c r="D174" s="22">
        <v>953</v>
      </c>
      <c r="E174" s="22">
        <v>161</v>
      </c>
      <c r="F174" s="22">
        <v>105</v>
      </c>
      <c r="G174" s="22">
        <v>55</v>
      </c>
      <c r="H174" s="22">
        <v>0</v>
      </c>
      <c r="I174" s="22">
        <v>1</v>
      </c>
    </row>
    <row r="175" spans="1:9" s="21" customFormat="1" ht="12" customHeight="1" x14ac:dyDescent="0.2">
      <c r="A175" s="264" t="s">
        <v>167</v>
      </c>
      <c r="B175" s="264"/>
      <c r="C175" s="22">
        <v>679</v>
      </c>
      <c r="D175" s="22">
        <v>565</v>
      </c>
      <c r="E175" s="22">
        <v>114</v>
      </c>
      <c r="F175" s="22">
        <v>70</v>
      </c>
      <c r="G175" s="22">
        <v>44</v>
      </c>
      <c r="H175" s="22">
        <v>0</v>
      </c>
      <c r="I175" s="22">
        <v>0</v>
      </c>
    </row>
    <row r="176" spans="1:9" s="21" customFormat="1" ht="12" customHeight="1" x14ac:dyDescent="0.2">
      <c r="A176" s="267" t="s">
        <v>168</v>
      </c>
      <c r="B176" s="267"/>
      <c r="C176" s="28">
        <v>287</v>
      </c>
      <c r="D176" s="28">
        <v>274</v>
      </c>
      <c r="E176" s="28">
        <v>13</v>
      </c>
      <c r="F176" s="28">
        <v>7</v>
      </c>
      <c r="G176" s="28">
        <v>6</v>
      </c>
      <c r="H176" s="28">
        <v>0</v>
      </c>
      <c r="I176" s="28">
        <v>0</v>
      </c>
    </row>
    <row r="177" spans="1:9" s="21" customFormat="1" ht="12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</row>
    <row r="178" spans="1:9" s="21" customFormat="1" ht="12" customHeight="1" x14ac:dyDescent="0.2">
      <c r="A178" s="263" t="s">
        <v>169</v>
      </c>
      <c r="B178" s="263"/>
      <c r="C178" s="20">
        <f t="shared" ref="C178:I178" si="45">SUM(C179:C186)</f>
        <v>5871</v>
      </c>
      <c r="D178" s="20">
        <f t="shared" si="45"/>
        <v>5263</v>
      </c>
      <c r="E178" s="20">
        <f t="shared" si="45"/>
        <v>608</v>
      </c>
      <c r="F178" s="20">
        <f t="shared" si="45"/>
        <v>438</v>
      </c>
      <c r="G178" s="20">
        <f t="shared" si="45"/>
        <v>168</v>
      </c>
      <c r="H178" s="20">
        <f t="shared" si="45"/>
        <v>0</v>
      </c>
      <c r="I178" s="20">
        <f t="shared" si="45"/>
        <v>2</v>
      </c>
    </row>
    <row r="179" spans="1:9" s="21" customFormat="1" ht="12" customHeight="1" x14ac:dyDescent="0.2">
      <c r="A179" s="264" t="s">
        <v>170</v>
      </c>
      <c r="B179" s="264"/>
      <c r="C179" s="22">
        <v>1412</v>
      </c>
      <c r="D179" s="22">
        <v>1286</v>
      </c>
      <c r="E179" s="22">
        <v>126</v>
      </c>
      <c r="F179" s="22">
        <v>78</v>
      </c>
      <c r="G179" s="22">
        <v>48</v>
      </c>
      <c r="H179" s="22">
        <v>0</v>
      </c>
      <c r="I179" s="22">
        <v>0</v>
      </c>
    </row>
    <row r="180" spans="1:9" s="21" customFormat="1" ht="12" customHeight="1" x14ac:dyDescent="0.2">
      <c r="A180" s="264" t="s">
        <v>171</v>
      </c>
      <c r="B180" s="264"/>
      <c r="C180" s="22">
        <v>54</v>
      </c>
      <c r="D180" s="22">
        <v>50</v>
      </c>
      <c r="E180" s="22">
        <v>4</v>
      </c>
      <c r="F180" s="22">
        <v>1</v>
      </c>
      <c r="G180" s="22">
        <v>3</v>
      </c>
      <c r="H180" s="22">
        <v>0</v>
      </c>
      <c r="I180" s="22">
        <v>0</v>
      </c>
    </row>
    <row r="181" spans="1:9" s="21" customFormat="1" ht="12" customHeight="1" x14ac:dyDescent="0.2">
      <c r="A181" s="264" t="s">
        <v>172</v>
      </c>
      <c r="B181" s="264"/>
      <c r="C181" s="22">
        <v>52</v>
      </c>
      <c r="D181" s="22">
        <v>50</v>
      </c>
      <c r="E181" s="22">
        <v>2</v>
      </c>
      <c r="F181" s="22">
        <v>1</v>
      </c>
      <c r="G181" s="22">
        <v>1</v>
      </c>
      <c r="H181" s="22">
        <v>0</v>
      </c>
      <c r="I181" s="22">
        <v>0</v>
      </c>
    </row>
    <row r="182" spans="1:9" s="21" customFormat="1" ht="12" customHeight="1" x14ac:dyDescent="0.2">
      <c r="A182" s="264" t="s">
        <v>173</v>
      </c>
      <c r="B182" s="264"/>
      <c r="C182" s="22">
        <v>57</v>
      </c>
      <c r="D182" s="22">
        <v>52</v>
      </c>
      <c r="E182" s="22">
        <v>5</v>
      </c>
      <c r="F182" s="22">
        <v>0</v>
      </c>
      <c r="G182" s="22">
        <v>5</v>
      </c>
      <c r="H182" s="22">
        <v>0</v>
      </c>
      <c r="I182" s="22">
        <v>0</v>
      </c>
    </row>
    <row r="183" spans="1:9" s="21" customFormat="1" ht="12" customHeight="1" x14ac:dyDescent="0.2">
      <c r="A183" s="264" t="s">
        <v>174</v>
      </c>
      <c r="B183" s="264"/>
      <c r="C183" s="22">
        <v>1222</v>
      </c>
      <c r="D183" s="22">
        <v>1052</v>
      </c>
      <c r="E183" s="22">
        <v>170</v>
      </c>
      <c r="F183" s="22">
        <v>130</v>
      </c>
      <c r="G183" s="22">
        <v>39</v>
      </c>
      <c r="H183" s="22">
        <v>0</v>
      </c>
      <c r="I183" s="22">
        <v>1</v>
      </c>
    </row>
    <row r="184" spans="1:9" s="21" customFormat="1" ht="12" customHeight="1" x14ac:dyDescent="0.2">
      <c r="A184" s="264" t="s">
        <v>175</v>
      </c>
      <c r="B184" s="264"/>
      <c r="C184" s="22">
        <v>573</v>
      </c>
      <c r="D184" s="22">
        <v>543</v>
      </c>
      <c r="E184" s="22">
        <v>30</v>
      </c>
      <c r="F184" s="22">
        <v>15</v>
      </c>
      <c r="G184" s="22">
        <v>15</v>
      </c>
      <c r="H184" s="22">
        <v>0</v>
      </c>
      <c r="I184" s="22">
        <v>0</v>
      </c>
    </row>
    <row r="185" spans="1:9" s="21" customFormat="1" ht="12" customHeight="1" x14ac:dyDescent="0.2">
      <c r="A185" s="264" t="s">
        <v>176</v>
      </c>
      <c r="B185" s="264"/>
      <c r="C185" s="22">
        <v>46</v>
      </c>
      <c r="D185" s="22">
        <v>42</v>
      </c>
      <c r="E185" s="22">
        <v>4</v>
      </c>
      <c r="F185" s="22">
        <v>3</v>
      </c>
      <c r="G185" s="22">
        <v>1</v>
      </c>
      <c r="H185" s="22">
        <v>0</v>
      </c>
      <c r="I185" s="22">
        <v>0</v>
      </c>
    </row>
    <row r="186" spans="1:9" s="21" customFormat="1" ht="12" customHeight="1" x14ac:dyDescent="0.2">
      <c r="A186" s="267" t="s">
        <v>177</v>
      </c>
      <c r="B186" s="267"/>
      <c r="C186" s="28">
        <v>2455</v>
      </c>
      <c r="D186" s="28">
        <v>2188</v>
      </c>
      <c r="E186" s="28">
        <v>267</v>
      </c>
      <c r="F186" s="28">
        <v>210</v>
      </c>
      <c r="G186" s="28">
        <v>56</v>
      </c>
      <c r="H186" s="28">
        <v>0</v>
      </c>
      <c r="I186" s="28">
        <v>1</v>
      </c>
    </row>
    <row r="187" spans="1:9" s="21" customFormat="1" ht="12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</row>
    <row r="188" spans="1:9" s="21" customFormat="1" ht="12" customHeight="1" x14ac:dyDescent="0.2">
      <c r="A188" s="263" t="s">
        <v>178</v>
      </c>
      <c r="B188" s="263"/>
      <c r="C188" s="20">
        <f t="shared" ref="C188:I188" si="46">SUM(C189:C206)</f>
        <v>48406</v>
      </c>
      <c r="D188" s="20">
        <f t="shared" si="46"/>
        <v>35962</v>
      </c>
      <c r="E188" s="20">
        <f t="shared" si="46"/>
        <v>12444</v>
      </c>
      <c r="F188" s="20">
        <f t="shared" si="46"/>
        <v>9840</v>
      </c>
      <c r="G188" s="20">
        <f t="shared" si="46"/>
        <v>2564</v>
      </c>
      <c r="H188" s="20">
        <f t="shared" si="46"/>
        <v>1</v>
      </c>
      <c r="I188" s="20">
        <f t="shared" si="46"/>
        <v>39</v>
      </c>
    </row>
    <row r="189" spans="1:9" s="21" customFormat="1" ht="12" customHeight="1" x14ac:dyDescent="0.2">
      <c r="A189" s="264" t="s">
        <v>179</v>
      </c>
      <c r="B189" s="264"/>
      <c r="C189" s="22">
        <v>4200</v>
      </c>
      <c r="D189" s="22">
        <v>2994</v>
      </c>
      <c r="E189" s="22">
        <v>1206</v>
      </c>
      <c r="F189" s="22">
        <v>982</v>
      </c>
      <c r="G189" s="22">
        <v>220</v>
      </c>
      <c r="H189" s="22">
        <v>0</v>
      </c>
      <c r="I189" s="22">
        <v>4</v>
      </c>
    </row>
    <row r="190" spans="1:9" s="21" customFormat="1" ht="12" customHeight="1" x14ac:dyDescent="0.2">
      <c r="A190" s="264" t="s">
        <v>180</v>
      </c>
      <c r="B190" s="264"/>
      <c r="C190" s="22">
        <v>17323</v>
      </c>
      <c r="D190" s="22">
        <v>12284</v>
      </c>
      <c r="E190" s="22">
        <v>5039</v>
      </c>
      <c r="F190" s="22">
        <v>3854</v>
      </c>
      <c r="G190" s="22">
        <v>1169</v>
      </c>
      <c r="H190" s="22">
        <v>1</v>
      </c>
      <c r="I190" s="22">
        <v>15</v>
      </c>
    </row>
    <row r="191" spans="1:9" s="21" customFormat="1" ht="12" customHeight="1" x14ac:dyDescent="0.2">
      <c r="A191" s="264" t="s">
        <v>181</v>
      </c>
      <c r="B191" s="264"/>
      <c r="C191" s="22">
        <v>2347</v>
      </c>
      <c r="D191" s="22">
        <v>1508</v>
      </c>
      <c r="E191" s="22">
        <v>839</v>
      </c>
      <c r="F191" s="22">
        <v>639</v>
      </c>
      <c r="G191" s="22">
        <v>198</v>
      </c>
      <c r="H191" s="22">
        <v>0</v>
      </c>
      <c r="I191" s="22">
        <v>2</v>
      </c>
    </row>
    <row r="192" spans="1:9" s="21" customFormat="1" ht="12" customHeight="1" x14ac:dyDescent="0.2">
      <c r="A192" s="264" t="s">
        <v>182</v>
      </c>
      <c r="B192" s="264"/>
      <c r="C192" s="22">
        <v>2706</v>
      </c>
      <c r="D192" s="22">
        <v>2227</v>
      </c>
      <c r="E192" s="22">
        <v>479</v>
      </c>
      <c r="F192" s="22">
        <v>372</v>
      </c>
      <c r="G192" s="22">
        <v>106</v>
      </c>
      <c r="H192" s="22">
        <v>0</v>
      </c>
      <c r="I192" s="22">
        <v>1</v>
      </c>
    </row>
    <row r="193" spans="1:9" s="21" customFormat="1" ht="12" customHeight="1" x14ac:dyDescent="0.2">
      <c r="A193" s="264" t="s">
        <v>183</v>
      </c>
      <c r="B193" s="264"/>
      <c r="C193" s="22">
        <v>8285</v>
      </c>
      <c r="D193" s="22">
        <v>6086</v>
      </c>
      <c r="E193" s="22">
        <v>2199</v>
      </c>
      <c r="F193" s="22">
        <v>1832</v>
      </c>
      <c r="G193" s="22">
        <v>357</v>
      </c>
      <c r="H193" s="22">
        <v>0</v>
      </c>
      <c r="I193" s="22">
        <v>10</v>
      </c>
    </row>
    <row r="194" spans="1:9" s="21" customFormat="1" ht="12" customHeight="1" x14ac:dyDescent="0.2">
      <c r="A194" s="264" t="s">
        <v>184</v>
      </c>
      <c r="B194" s="264"/>
      <c r="C194" s="22">
        <v>670</v>
      </c>
      <c r="D194" s="22">
        <v>579</v>
      </c>
      <c r="E194" s="22">
        <v>91</v>
      </c>
      <c r="F194" s="22">
        <v>70</v>
      </c>
      <c r="G194" s="22">
        <v>21</v>
      </c>
      <c r="H194" s="22">
        <v>0</v>
      </c>
      <c r="I194" s="22">
        <v>0</v>
      </c>
    </row>
    <row r="195" spans="1:9" s="21" customFormat="1" ht="12" customHeight="1" x14ac:dyDescent="0.2">
      <c r="A195" s="264" t="s">
        <v>185</v>
      </c>
      <c r="B195" s="264"/>
      <c r="C195" s="22">
        <v>734</v>
      </c>
      <c r="D195" s="22">
        <v>633</v>
      </c>
      <c r="E195" s="22">
        <v>101</v>
      </c>
      <c r="F195" s="22">
        <v>84</v>
      </c>
      <c r="G195" s="22">
        <v>17</v>
      </c>
      <c r="H195" s="22">
        <v>0</v>
      </c>
      <c r="I195" s="22">
        <v>0</v>
      </c>
    </row>
    <row r="196" spans="1:9" s="21" customFormat="1" ht="12" customHeight="1" x14ac:dyDescent="0.2">
      <c r="A196" s="264" t="s">
        <v>186</v>
      </c>
      <c r="B196" s="264"/>
      <c r="C196" s="22">
        <v>811</v>
      </c>
      <c r="D196" s="22">
        <v>672</v>
      </c>
      <c r="E196" s="22">
        <v>139</v>
      </c>
      <c r="F196" s="22">
        <v>114</v>
      </c>
      <c r="G196" s="22">
        <v>25</v>
      </c>
      <c r="H196" s="22">
        <v>0</v>
      </c>
      <c r="I196" s="22">
        <v>0</v>
      </c>
    </row>
    <row r="197" spans="1:9" s="21" customFormat="1" ht="12" customHeight="1" x14ac:dyDescent="0.2">
      <c r="A197" s="264" t="s">
        <v>187</v>
      </c>
      <c r="B197" s="264"/>
      <c r="C197" s="22">
        <v>378</v>
      </c>
      <c r="D197" s="22">
        <v>342</v>
      </c>
      <c r="E197" s="22">
        <v>36</v>
      </c>
      <c r="F197" s="22">
        <v>29</v>
      </c>
      <c r="G197" s="22">
        <v>7</v>
      </c>
      <c r="H197" s="22">
        <v>0</v>
      </c>
      <c r="I197" s="22">
        <v>0</v>
      </c>
    </row>
    <row r="198" spans="1:9" s="21" customFormat="1" ht="12" customHeight="1" x14ac:dyDescent="0.2">
      <c r="A198" s="264" t="s">
        <v>188</v>
      </c>
      <c r="B198" s="264"/>
      <c r="C198" s="22">
        <v>1309</v>
      </c>
      <c r="D198" s="22">
        <v>1113</v>
      </c>
      <c r="E198" s="22">
        <v>196</v>
      </c>
      <c r="F198" s="22">
        <v>148</v>
      </c>
      <c r="G198" s="22">
        <v>48</v>
      </c>
      <c r="H198" s="22">
        <v>0</v>
      </c>
      <c r="I198" s="22">
        <v>0</v>
      </c>
    </row>
    <row r="199" spans="1:9" s="21" customFormat="1" ht="12" customHeight="1" x14ac:dyDescent="0.2">
      <c r="A199" s="264" t="s">
        <v>189</v>
      </c>
      <c r="B199" s="264"/>
      <c r="C199" s="22">
        <v>351</v>
      </c>
      <c r="D199" s="22">
        <v>329</v>
      </c>
      <c r="E199" s="22">
        <v>22</v>
      </c>
      <c r="F199" s="22">
        <v>14</v>
      </c>
      <c r="G199" s="22">
        <v>8</v>
      </c>
      <c r="H199" s="22">
        <v>0</v>
      </c>
      <c r="I199" s="22">
        <v>0</v>
      </c>
    </row>
    <row r="200" spans="1:9" s="21" customFormat="1" ht="12" customHeight="1" x14ac:dyDescent="0.2">
      <c r="A200" s="264" t="s">
        <v>190</v>
      </c>
      <c r="B200" s="264"/>
      <c r="C200" s="22">
        <v>116</v>
      </c>
      <c r="D200" s="22">
        <v>97</v>
      </c>
      <c r="E200" s="22">
        <v>19</v>
      </c>
      <c r="F200" s="22">
        <v>18</v>
      </c>
      <c r="G200" s="22">
        <v>1</v>
      </c>
      <c r="H200" s="22">
        <v>0</v>
      </c>
      <c r="I200" s="22">
        <v>0</v>
      </c>
    </row>
    <row r="201" spans="1:9" s="21" customFormat="1" ht="12" customHeight="1" x14ac:dyDescent="0.2">
      <c r="A201" s="264" t="s">
        <v>191</v>
      </c>
      <c r="B201" s="264"/>
      <c r="C201" s="22">
        <v>2546</v>
      </c>
      <c r="D201" s="22">
        <v>1991</v>
      </c>
      <c r="E201" s="22">
        <v>555</v>
      </c>
      <c r="F201" s="22">
        <v>449</v>
      </c>
      <c r="G201" s="22">
        <v>104</v>
      </c>
      <c r="H201" s="22">
        <v>0</v>
      </c>
      <c r="I201" s="22">
        <v>2</v>
      </c>
    </row>
    <row r="202" spans="1:9" s="21" customFormat="1" ht="12" customHeight="1" x14ac:dyDescent="0.2">
      <c r="A202" s="264" t="s">
        <v>192</v>
      </c>
      <c r="B202" s="264"/>
      <c r="C202" s="22">
        <v>561</v>
      </c>
      <c r="D202" s="22">
        <v>513</v>
      </c>
      <c r="E202" s="22">
        <v>48</v>
      </c>
      <c r="F202" s="22">
        <v>33</v>
      </c>
      <c r="G202" s="22">
        <v>14</v>
      </c>
      <c r="H202" s="22">
        <v>0</v>
      </c>
      <c r="I202" s="22">
        <v>1</v>
      </c>
    </row>
    <row r="203" spans="1:9" s="21" customFormat="1" ht="12" customHeight="1" x14ac:dyDescent="0.2">
      <c r="A203" s="264" t="s">
        <v>193</v>
      </c>
      <c r="B203" s="264"/>
      <c r="C203" s="22">
        <v>563</v>
      </c>
      <c r="D203" s="22">
        <v>503</v>
      </c>
      <c r="E203" s="22">
        <v>60</v>
      </c>
      <c r="F203" s="22">
        <v>46</v>
      </c>
      <c r="G203" s="22">
        <v>14</v>
      </c>
      <c r="H203" s="22">
        <v>0</v>
      </c>
      <c r="I203" s="22">
        <v>0</v>
      </c>
    </row>
    <row r="204" spans="1:9" s="21" customFormat="1" ht="12" customHeight="1" x14ac:dyDescent="0.2">
      <c r="A204" s="264" t="s">
        <v>194</v>
      </c>
      <c r="B204" s="264"/>
      <c r="C204" s="22">
        <v>2262</v>
      </c>
      <c r="D204" s="22">
        <v>1615</v>
      </c>
      <c r="E204" s="22">
        <v>647</v>
      </c>
      <c r="F204" s="22">
        <v>540</v>
      </c>
      <c r="G204" s="22">
        <v>106</v>
      </c>
      <c r="H204" s="22">
        <v>0</v>
      </c>
      <c r="I204" s="22">
        <v>1</v>
      </c>
    </row>
    <row r="205" spans="1:9" s="21" customFormat="1" ht="12" customHeight="1" x14ac:dyDescent="0.2">
      <c r="A205" s="264" t="s">
        <v>195</v>
      </c>
      <c r="B205" s="264"/>
      <c r="C205" s="22">
        <v>203</v>
      </c>
      <c r="D205" s="22">
        <v>186</v>
      </c>
      <c r="E205" s="22">
        <v>17</v>
      </c>
      <c r="F205" s="22">
        <v>15</v>
      </c>
      <c r="G205" s="22">
        <v>2</v>
      </c>
      <c r="H205" s="22">
        <v>0</v>
      </c>
      <c r="I205" s="22">
        <v>0</v>
      </c>
    </row>
    <row r="206" spans="1:9" s="21" customFormat="1" ht="12" customHeight="1" x14ac:dyDescent="0.2">
      <c r="A206" s="267" t="s">
        <v>196</v>
      </c>
      <c r="B206" s="267"/>
      <c r="C206" s="28">
        <v>3041</v>
      </c>
      <c r="D206" s="28">
        <v>2290</v>
      </c>
      <c r="E206" s="28">
        <v>751</v>
      </c>
      <c r="F206" s="28">
        <v>601</v>
      </c>
      <c r="G206" s="28">
        <v>147</v>
      </c>
      <c r="H206" s="28">
        <v>0</v>
      </c>
      <c r="I206" s="28">
        <v>3</v>
      </c>
    </row>
    <row r="207" spans="1:9" s="21" customFormat="1" ht="12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</row>
    <row r="208" spans="1:9" s="21" customFormat="1" ht="12" customHeight="1" x14ac:dyDescent="0.2">
      <c r="A208" s="263" t="s">
        <v>197</v>
      </c>
      <c r="B208" s="263"/>
      <c r="C208" s="20">
        <f t="shared" ref="C208:I208" si="47">SUM(C209:C214)</f>
        <v>12400</v>
      </c>
      <c r="D208" s="20">
        <f t="shared" si="47"/>
        <v>8717</v>
      </c>
      <c r="E208" s="20">
        <f t="shared" si="47"/>
        <v>3683</v>
      </c>
      <c r="F208" s="20">
        <f t="shared" si="47"/>
        <v>2933</v>
      </c>
      <c r="G208" s="20">
        <f t="shared" si="47"/>
        <v>733</v>
      </c>
      <c r="H208" s="20">
        <f t="shared" si="47"/>
        <v>0</v>
      </c>
      <c r="I208" s="20">
        <f t="shared" si="47"/>
        <v>17</v>
      </c>
    </row>
    <row r="209" spans="1:9" s="21" customFormat="1" ht="12" customHeight="1" x14ac:dyDescent="0.2">
      <c r="A209" s="264" t="s">
        <v>198</v>
      </c>
      <c r="B209" s="264"/>
      <c r="C209" s="22">
        <v>5955</v>
      </c>
      <c r="D209" s="22">
        <v>3840</v>
      </c>
      <c r="E209" s="22">
        <v>2115</v>
      </c>
      <c r="F209" s="22">
        <v>1756</v>
      </c>
      <c r="G209" s="22">
        <v>350</v>
      </c>
      <c r="H209" s="22">
        <v>0</v>
      </c>
      <c r="I209" s="22">
        <v>9</v>
      </c>
    </row>
    <row r="210" spans="1:9" s="21" customFormat="1" ht="12" customHeight="1" x14ac:dyDescent="0.2">
      <c r="A210" s="264" t="s">
        <v>199</v>
      </c>
      <c r="B210" s="264"/>
      <c r="C210" s="22">
        <v>2570</v>
      </c>
      <c r="D210" s="22">
        <v>2144</v>
      </c>
      <c r="E210" s="22">
        <v>426</v>
      </c>
      <c r="F210" s="22">
        <v>338</v>
      </c>
      <c r="G210" s="22">
        <v>84</v>
      </c>
      <c r="H210" s="22">
        <v>0</v>
      </c>
      <c r="I210" s="22">
        <v>4</v>
      </c>
    </row>
    <row r="211" spans="1:9" s="21" customFormat="1" ht="12" customHeight="1" x14ac:dyDescent="0.2">
      <c r="A211" s="264" t="s">
        <v>200</v>
      </c>
      <c r="B211" s="264"/>
      <c r="C211" s="22">
        <v>626</v>
      </c>
      <c r="D211" s="22">
        <v>420</v>
      </c>
      <c r="E211" s="22">
        <v>206</v>
      </c>
      <c r="F211" s="22">
        <v>129</v>
      </c>
      <c r="G211" s="22">
        <v>76</v>
      </c>
      <c r="H211" s="22">
        <v>0</v>
      </c>
      <c r="I211" s="22">
        <v>1</v>
      </c>
    </row>
    <row r="212" spans="1:9" s="21" customFormat="1" ht="12" customHeight="1" x14ac:dyDescent="0.2">
      <c r="A212" s="264" t="s">
        <v>201</v>
      </c>
      <c r="B212" s="264"/>
      <c r="C212" s="22">
        <v>568</v>
      </c>
      <c r="D212" s="22">
        <v>445</v>
      </c>
      <c r="E212" s="22">
        <v>123</v>
      </c>
      <c r="F212" s="22">
        <v>90</v>
      </c>
      <c r="G212" s="22">
        <v>31</v>
      </c>
      <c r="H212" s="22">
        <v>0</v>
      </c>
      <c r="I212" s="22">
        <v>2</v>
      </c>
    </row>
    <row r="213" spans="1:9" s="21" customFormat="1" ht="12" customHeight="1" x14ac:dyDescent="0.2">
      <c r="A213" s="264" t="s">
        <v>202</v>
      </c>
      <c r="B213" s="264"/>
      <c r="C213" s="22">
        <v>1641</v>
      </c>
      <c r="D213" s="22">
        <v>1184</v>
      </c>
      <c r="E213" s="22">
        <v>457</v>
      </c>
      <c r="F213" s="22">
        <v>342</v>
      </c>
      <c r="G213" s="22">
        <v>114</v>
      </c>
      <c r="H213" s="22">
        <v>0</v>
      </c>
      <c r="I213" s="22">
        <v>1</v>
      </c>
    </row>
    <row r="214" spans="1:9" s="21" customFormat="1" ht="12" customHeight="1" x14ac:dyDescent="0.2">
      <c r="A214" s="267" t="s">
        <v>203</v>
      </c>
      <c r="B214" s="267"/>
      <c r="C214" s="28">
        <v>1040</v>
      </c>
      <c r="D214" s="28">
        <v>684</v>
      </c>
      <c r="E214" s="28">
        <v>356</v>
      </c>
      <c r="F214" s="28">
        <v>278</v>
      </c>
      <c r="G214" s="28">
        <v>78</v>
      </c>
      <c r="H214" s="28">
        <v>0</v>
      </c>
      <c r="I214" s="28">
        <v>0</v>
      </c>
    </row>
    <row r="215" spans="1:9" s="21" customFormat="1" ht="12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</row>
    <row r="216" spans="1:9" s="21" customFormat="1" ht="12" customHeight="1" x14ac:dyDescent="0.2">
      <c r="A216" s="263" t="s">
        <v>204</v>
      </c>
      <c r="B216" s="263"/>
      <c r="C216" s="20">
        <f t="shared" ref="C216:I216" si="48">SUM(C217:C221)</f>
        <v>5682</v>
      </c>
      <c r="D216" s="20">
        <f t="shared" si="48"/>
        <v>5240</v>
      </c>
      <c r="E216" s="20">
        <f t="shared" si="48"/>
        <v>442</v>
      </c>
      <c r="F216" s="20">
        <f t="shared" si="48"/>
        <v>293</v>
      </c>
      <c r="G216" s="20">
        <f t="shared" si="48"/>
        <v>148</v>
      </c>
      <c r="H216" s="20">
        <f t="shared" si="48"/>
        <v>0</v>
      </c>
      <c r="I216" s="20">
        <f t="shared" si="48"/>
        <v>1</v>
      </c>
    </row>
    <row r="217" spans="1:9" s="21" customFormat="1" ht="12" customHeight="1" x14ac:dyDescent="0.2">
      <c r="A217" s="264" t="s">
        <v>205</v>
      </c>
      <c r="B217" s="264"/>
      <c r="C217" s="22">
        <v>1841</v>
      </c>
      <c r="D217" s="22">
        <v>1656</v>
      </c>
      <c r="E217" s="22">
        <v>185</v>
      </c>
      <c r="F217" s="22">
        <v>126</v>
      </c>
      <c r="G217" s="22">
        <v>59</v>
      </c>
      <c r="H217" s="22">
        <v>0</v>
      </c>
      <c r="I217" s="22">
        <v>0</v>
      </c>
    </row>
    <row r="218" spans="1:9" s="21" customFormat="1" ht="12" customHeight="1" x14ac:dyDescent="0.2">
      <c r="A218" s="264" t="s">
        <v>206</v>
      </c>
      <c r="B218" s="264"/>
      <c r="C218" s="22">
        <v>1792</v>
      </c>
      <c r="D218" s="22">
        <v>1673</v>
      </c>
      <c r="E218" s="22">
        <v>119</v>
      </c>
      <c r="F218" s="22">
        <v>78</v>
      </c>
      <c r="G218" s="22">
        <v>40</v>
      </c>
      <c r="H218" s="22">
        <v>0</v>
      </c>
      <c r="I218" s="22">
        <v>1</v>
      </c>
    </row>
    <row r="219" spans="1:9" s="21" customFormat="1" ht="12" customHeight="1" x14ac:dyDescent="0.2">
      <c r="A219" s="264" t="s">
        <v>207</v>
      </c>
      <c r="B219" s="264"/>
      <c r="C219" s="22">
        <v>378</v>
      </c>
      <c r="D219" s="22">
        <v>358</v>
      </c>
      <c r="E219" s="22">
        <v>20</v>
      </c>
      <c r="F219" s="22">
        <v>15</v>
      </c>
      <c r="G219" s="22">
        <v>5</v>
      </c>
      <c r="H219" s="22">
        <v>0</v>
      </c>
      <c r="I219" s="22">
        <v>0</v>
      </c>
    </row>
    <row r="220" spans="1:9" s="21" customFormat="1" ht="12" customHeight="1" x14ac:dyDescent="0.2">
      <c r="A220" s="264" t="s">
        <v>208</v>
      </c>
      <c r="B220" s="264"/>
      <c r="C220" s="22">
        <v>1316</v>
      </c>
      <c r="D220" s="22">
        <v>1211</v>
      </c>
      <c r="E220" s="22">
        <v>105</v>
      </c>
      <c r="F220" s="22">
        <v>66</v>
      </c>
      <c r="G220" s="22">
        <v>39</v>
      </c>
      <c r="H220" s="22">
        <v>0</v>
      </c>
      <c r="I220" s="22">
        <v>0</v>
      </c>
    </row>
    <row r="221" spans="1:9" s="21" customFormat="1" ht="12" customHeight="1" x14ac:dyDescent="0.2">
      <c r="A221" s="267" t="s">
        <v>209</v>
      </c>
      <c r="B221" s="267"/>
      <c r="C221" s="28">
        <v>355</v>
      </c>
      <c r="D221" s="28">
        <v>342</v>
      </c>
      <c r="E221" s="28">
        <v>13</v>
      </c>
      <c r="F221" s="28">
        <v>8</v>
      </c>
      <c r="G221" s="28">
        <v>5</v>
      </c>
      <c r="H221" s="28">
        <v>0</v>
      </c>
      <c r="I221" s="28">
        <v>0</v>
      </c>
    </row>
    <row r="222" spans="1:9" s="21" customFormat="1" ht="12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</row>
    <row r="223" spans="1:9" s="21" customFormat="1" ht="12" customHeight="1" x14ac:dyDescent="0.2">
      <c r="A223" s="263" t="s">
        <v>210</v>
      </c>
      <c r="B223" s="263"/>
      <c r="C223" s="20">
        <f t="shared" ref="C223:I223" si="49">SUM(C224:C241)</f>
        <v>9834</v>
      </c>
      <c r="D223" s="20">
        <f t="shared" si="49"/>
        <v>7038</v>
      </c>
      <c r="E223" s="20">
        <f t="shared" si="49"/>
        <v>2796</v>
      </c>
      <c r="F223" s="20">
        <f t="shared" si="49"/>
        <v>1855</v>
      </c>
      <c r="G223" s="20">
        <f t="shared" si="49"/>
        <v>937</v>
      </c>
      <c r="H223" s="20">
        <f t="shared" si="49"/>
        <v>0</v>
      </c>
      <c r="I223" s="20">
        <f t="shared" si="49"/>
        <v>4</v>
      </c>
    </row>
    <row r="224" spans="1:9" s="21" customFormat="1" ht="12" customHeight="1" x14ac:dyDescent="0.2">
      <c r="A224" s="264" t="s">
        <v>211</v>
      </c>
      <c r="B224" s="264"/>
      <c r="C224" s="22">
        <v>1535</v>
      </c>
      <c r="D224" s="22">
        <v>1218</v>
      </c>
      <c r="E224" s="22">
        <v>317</v>
      </c>
      <c r="F224" s="22">
        <v>221</v>
      </c>
      <c r="G224" s="22">
        <v>96</v>
      </c>
      <c r="H224" s="22">
        <v>0</v>
      </c>
      <c r="I224" s="22">
        <v>0</v>
      </c>
    </row>
    <row r="225" spans="1:9" s="21" customFormat="1" ht="12" customHeight="1" x14ac:dyDescent="0.2">
      <c r="A225" s="264" t="s">
        <v>212</v>
      </c>
      <c r="B225" s="264"/>
      <c r="C225" s="22">
        <v>106</v>
      </c>
      <c r="D225" s="22">
        <v>86</v>
      </c>
      <c r="E225" s="22">
        <v>20</v>
      </c>
      <c r="F225" s="22">
        <v>18</v>
      </c>
      <c r="G225" s="22">
        <v>2</v>
      </c>
      <c r="H225" s="22">
        <v>0</v>
      </c>
      <c r="I225" s="22">
        <v>0</v>
      </c>
    </row>
    <row r="226" spans="1:9" s="21" customFormat="1" ht="12" customHeight="1" x14ac:dyDescent="0.2">
      <c r="A226" s="264" t="s">
        <v>213</v>
      </c>
      <c r="B226" s="264"/>
      <c r="C226" s="22">
        <v>67</v>
      </c>
      <c r="D226" s="22">
        <v>56</v>
      </c>
      <c r="E226" s="22">
        <v>11</v>
      </c>
      <c r="F226" s="22">
        <v>4</v>
      </c>
      <c r="G226" s="22">
        <v>7</v>
      </c>
      <c r="H226" s="22">
        <v>0</v>
      </c>
      <c r="I226" s="22">
        <v>0</v>
      </c>
    </row>
    <row r="227" spans="1:9" s="21" customFormat="1" ht="12" customHeight="1" x14ac:dyDescent="0.2">
      <c r="A227" s="264" t="s">
        <v>214</v>
      </c>
      <c r="B227" s="264"/>
      <c r="C227" s="22">
        <v>978</v>
      </c>
      <c r="D227" s="22">
        <v>565</v>
      </c>
      <c r="E227" s="22">
        <v>413</v>
      </c>
      <c r="F227" s="22">
        <v>299</v>
      </c>
      <c r="G227" s="22">
        <v>113</v>
      </c>
      <c r="H227" s="22">
        <v>0</v>
      </c>
      <c r="I227" s="22">
        <v>1</v>
      </c>
    </row>
    <row r="228" spans="1:9" s="21" customFormat="1" ht="12" customHeight="1" x14ac:dyDescent="0.2">
      <c r="A228" s="264" t="s">
        <v>215</v>
      </c>
      <c r="B228" s="264"/>
      <c r="C228" s="22">
        <v>47</v>
      </c>
      <c r="D228" s="22">
        <v>41</v>
      </c>
      <c r="E228" s="22">
        <v>6</v>
      </c>
      <c r="F228" s="22">
        <v>2</v>
      </c>
      <c r="G228" s="22">
        <v>4</v>
      </c>
      <c r="H228" s="22">
        <v>0</v>
      </c>
      <c r="I228" s="22">
        <v>0</v>
      </c>
    </row>
    <row r="229" spans="1:9" s="21" customFormat="1" ht="12" customHeight="1" x14ac:dyDescent="0.2">
      <c r="A229" s="264" t="s">
        <v>216</v>
      </c>
      <c r="B229" s="264"/>
      <c r="C229" s="22">
        <v>62</v>
      </c>
      <c r="D229" s="22">
        <v>60</v>
      </c>
      <c r="E229" s="22">
        <v>2</v>
      </c>
      <c r="F229" s="22">
        <v>1</v>
      </c>
      <c r="G229" s="22">
        <v>1</v>
      </c>
      <c r="H229" s="22">
        <v>0</v>
      </c>
      <c r="I229" s="22">
        <v>0</v>
      </c>
    </row>
    <row r="230" spans="1:9" s="21" customFormat="1" ht="12" customHeight="1" x14ac:dyDescent="0.2">
      <c r="A230" s="264" t="s">
        <v>217</v>
      </c>
      <c r="B230" s="264"/>
      <c r="C230" s="22">
        <v>85</v>
      </c>
      <c r="D230" s="22">
        <v>79</v>
      </c>
      <c r="E230" s="22">
        <v>6</v>
      </c>
      <c r="F230" s="22">
        <v>5</v>
      </c>
      <c r="G230" s="22">
        <v>1</v>
      </c>
      <c r="H230" s="22">
        <v>0</v>
      </c>
      <c r="I230" s="22">
        <v>0</v>
      </c>
    </row>
    <row r="231" spans="1:9" s="21" customFormat="1" ht="12" customHeight="1" x14ac:dyDescent="0.2">
      <c r="A231" s="264" t="s">
        <v>218</v>
      </c>
      <c r="B231" s="264"/>
      <c r="C231" s="22">
        <v>405</v>
      </c>
      <c r="D231" s="22">
        <v>389</v>
      </c>
      <c r="E231" s="22">
        <v>16</v>
      </c>
      <c r="F231" s="22">
        <v>13</v>
      </c>
      <c r="G231" s="22">
        <v>3</v>
      </c>
      <c r="H231" s="22">
        <v>0</v>
      </c>
      <c r="I231" s="22">
        <v>0</v>
      </c>
    </row>
    <row r="232" spans="1:9" s="21" customFormat="1" ht="12" customHeight="1" x14ac:dyDescent="0.2">
      <c r="A232" s="264" t="s">
        <v>219</v>
      </c>
      <c r="B232" s="264"/>
      <c r="C232" s="22">
        <v>181</v>
      </c>
      <c r="D232" s="22">
        <v>166</v>
      </c>
      <c r="E232" s="22">
        <v>15</v>
      </c>
      <c r="F232" s="22">
        <v>14</v>
      </c>
      <c r="G232" s="22">
        <v>1</v>
      </c>
      <c r="H232" s="22">
        <v>0</v>
      </c>
      <c r="I232" s="22">
        <v>0</v>
      </c>
    </row>
    <row r="233" spans="1:9" s="21" customFormat="1" ht="12" customHeight="1" x14ac:dyDescent="0.2">
      <c r="A233" s="264" t="s">
        <v>220</v>
      </c>
      <c r="B233" s="264"/>
      <c r="C233" s="22">
        <v>2006</v>
      </c>
      <c r="D233" s="22">
        <v>1398</v>
      </c>
      <c r="E233" s="22">
        <v>608</v>
      </c>
      <c r="F233" s="22">
        <v>469</v>
      </c>
      <c r="G233" s="22">
        <v>137</v>
      </c>
      <c r="H233" s="22">
        <v>0</v>
      </c>
      <c r="I233" s="22">
        <v>2</v>
      </c>
    </row>
    <row r="234" spans="1:9" s="21" customFormat="1" ht="12" customHeight="1" x14ac:dyDescent="0.2">
      <c r="A234" s="264" t="s">
        <v>221</v>
      </c>
      <c r="B234" s="264"/>
      <c r="C234" s="22">
        <v>865</v>
      </c>
      <c r="D234" s="22">
        <v>662</v>
      </c>
      <c r="E234" s="22">
        <v>203</v>
      </c>
      <c r="F234" s="22">
        <v>161</v>
      </c>
      <c r="G234" s="22">
        <v>42</v>
      </c>
      <c r="H234" s="22">
        <v>0</v>
      </c>
      <c r="I234" s="22">
        <v>0</v>
      </c>
    </row>
    <row r="235" spans="1:9" s="21" customFormat="1" ht="12" customHeight="1" x14ac:dyDescent="0.2">
      <c r="A235" s="264" t="s">
        <v>222</v>
      </c>
      <c r="B235" s="264"/>
      <c r="C235" s="22">
        <v>570</v>
      </c>
      <c r="D235" s="22">
        <v>199</v>
      </c>
      <c r="E235" s="22">
        <v>371</v>
      </c>
      <c r="F235" s="22">
        <v>98</v>
      </c>
      <c r="G235" s="22">
        <v>273</v>
      </c>
      <c r="H235" s="22">
        <v>0</v>
      </c>
      <c r="I235" s="22">
        <v>0</v>
      </c>
    </row>
    <row r="236" spans="1:9" s="21" customFormat="1" ht="12" customHeight="1" x14ac:dyDescent="0.2">
      <c r="A236" s="264" t="s">
        <v>223</v>
      </c>
      <c r="B236" s="264"/>
      <c r="C236" s="22">
        <v>132</v>
      </c>
      <c r="D236" s="22">
        <v>124</v>
      </c>
      <c r="E236" s="22">
        <v>8</v>
      </c>
      <c r="F236" s="22">
        <v>6</v>
      </c>
      <c r="G236" s="22">
        <v>2</v>
      </c>
      <c r="H236" s="22">
        <v>0</v>
      </c>
      <c r="I236" s="22">
        <v>0</v>
      </c>
    </row>
    <row r="237" spans="1:9" s="21" customFormat="1" ht="12" customHeight="1" x14ac:dyDescent="0.2">
      <c r="A237" s="264" t="s">
        <v>224</v>
      </c>
      <c r="B237" s="264"/>
      <c r="C237" s="22">
        <v>366</v>
      </c>
      <c r="D237" s="22">
        <v>289</v>
      </c>
      <c r="E237" s="22">
        <v>77</v>
      </c>
      <c r="F237" s="22">
        <v>51</v>
      </c>
      <c r="G237" s="22">
        <v>26</v>
      </c>
      <c r="H237" s="22">
        <v>0</v>
      </c>
      <c r="I237" s="22">
        <v>0</v>
      </c>
    </row>
    <row r="238" spans="1:9" s="21" customFormat="1" ht="12" customHeight="1" x14ac:dyDescent="0.2">
      <c r="A238" s="264" t="s">
        <v>225</v>
      </c>
      <c r="B238" s="264"/>
      <c r="C238" s="22">
        <v>861</v>
      </c>
      <c r="D238" s="22">
        <v>446</v>
      </c>
      <c r="E238" s="22">
        <v>415</v>
      </c>
      <c r="F238" s="22">
        <v>251</v>
      </c>
      <c r="G238" s="22">
        <v>164</v>
      </c>
      <c r="H238" s="22">
        <v>0</v>
      </c>
      <c r="I238" s="22">
        <v>0</v>
      </c>
    </row>
    <row r="239" spans="1:9" s="21" customFormat="1" ht="12" customHeight="1" x14ac:dyDescent="0.2">
      <c r="A239" s="264" t="s">
        <v>226</v>
      </c>
      <c r="B239" s="264"/>
      <c r="C239" s="22">
        <v>451</v>
      </c>
      <c r="D239" s="22">
        <v>338</v>
      </c>
      <c r="E239" s="22">
        <v>113</v>
      </c>
      <c r="F239" s="22">
        <v>81</v>
      </c>
      <c r="G239" s="22">
        <v>32</v>
      </c>
      <c r="H239" s="22">
        <v>0</v>
      </c>
      <c r="I239" s="22">
        <v>0</v>
      </c>
    </row>
    <row r="240" spans="1:9" s="21" customFormat="1" ht="12" customHeight="1" x14ac:dyDescent="0.2">
      <c r="A240" s="264" t="s">
        <v>227</v>
      </c>
      <c r="B240" s="264"/>
      <c r="C240" s="22">
        <v>1036</v>
      </c>
      <c r="D240" s="22">
        <v>841</v>
      </c>
      <c r="E240" s="22">
        <v>195</v>
      </c>
      <c r="F240" s="22">
        <v>161</v>
      </c>
      <c r="G240" s="22">
        <v>33</v>
      </c>
      <c r="H240" s="22">
        <v>0</v>
      </c>
      <c r="I240" s="22">
        <v>1</v>
      </c>
    </row>
    <row r="241" spans="1:9" s="21" customFormat="1" ht="12" customHeight="1" x14ac:dyDescent="0.2">
      <c r="A241" s="267" t="s">
        <v>228</v>
      </c>
      <c r="B241" s="267"/>
      <c r="C241" s="28">
        <v>81</v>
      </c>
      <c r="D241" s="28">
        <v>81</v>
      </c>
      <c r="E241" s="28">
        <v>0</v>
      </c>
      <c r="F241" s="28">
        <v>0</v>
      </c>
      <c r="G241" s="28">
        <v>0</v>
      </c>
      <c r="H241" s="28">
        <v>0</v>
      </c>
      <c r="I241" s="28">
        <v>0</v>
      </c>
    </row>
    <row r="242" spans="1:9" s="21" customFormat="1" ht="12" customHeight="1" x14ac:dyDescent="0.2">
      <c r="A242" s="25"/>
      <c r="B242" s="25"/>
      <c r="C242" s="25"/>
      <c r="D242" s="25"/>
      <c r="E242" s="25"/>
      <c r="F242" s="25"/>
      <c r="G242" s="25"/>
      <c r="H242" s="25"/>
      <c r="I242" s="25"/>
    </row>
    <row r="243" spans="1:9" s="21" customFormat="1" ht="12" customHeight="1" x14ac:dyDescent="0.2">
      <c r="A243" s="263" t="s">
        <v>229</v>
      </c>
      <c r="B243" s="263"/>
      <c r="C243" s="20">
        <f t="shared" ref="C243:I243" si="50">SUM(C244:C251)</f>
        <v>335720</v>
      </c>
      <c r="D243" s="20">
        <f t="shared" si="50"/>
        <v>250381</v>
      </c>
      <c r="E243" s="20">
        <f t="shared" si="50"/>
        <v>85339</v>
      </c>
      <c r="F243" s="20">
        <f t="shared" si="50"/>
        <v>60569</v>
      </c>
      <c r="G243" s="20">
        <f t="shared" si="50"/>
        <v>24415</v>
      </c>
      <c r="H243" s="20">
        <f t="shared" si="50"/>
        <v>89</v>
      </c>
      <c r="I243" s="20">
        <f t="shared" si="50"/>
        <v>266</v>
      </c>
    </row>
    <row r="244" spans="1:9" s="21" customFormat="1" ht="12" customHeight="1" x14ac:dyDescent="0.2">
      <c r="A244" s="264" t="s">
        <v>230</v>
      </c>
      <c r="B244" s="264"/>
      <c r="C244" s="22">
        <f t="shared" ref="C244:I244" si="51">SUM(C59:C72)</f>
        <v>48851</v>
      </c>
      <c r="D244" s="22">
        <f t="shared" si="51"/>
        <v>38443</v>
      </c>
      <c r="E244" s="22">
        <f t="shared" si="51"/>
        <v>10408</v>
      </c>
      <c r="F244" s="22">
        <f t="shared" si="51"/>
        <v>7166</v>
      </c>
      <c r="G244" s="22">
        <f t="shared" si="51"/>
        <v>3160</v>
      </c>
      <c r="H244" s="22">
        <f t="shared" si="51"/>
        <v>56</v>
      </c>
      <c r="I244" s="22">
        <f t="shared" si="51"/>
        <v>26</v>
      </c>
    </row>
    <row r="245" spans="1:9" s="21" customFormat="1" ht="12" customHeight="1" x14ac:dyDescent="0.2">
      <c r="A245" s="264" t="s">
        <v>231</v>
      </c>
      <c r="B245" s="264"/>
      <c r="C245" s="22">
        <f t="shared" ref="C245:I245" si="52">SUM(C75:C137)</f>
        <v>142477</v>
      </c>
      <c r="D245" s="22">
        <f t="shared" si="52"/>
        <v>102054</v>
      </c>
      <c r="E245" s="22">
        <f t="shared" si="52"/>
        <v>40423</v>
      </c>
      <c r="F245" s="22">
        <f t="shared" si="52"/>
        <v>27166</v>
      </c>
      <c r="G245" s="22">
        <f t="shared" si="52"/>
        <v>13086</v>
      </c>
      <c r="H245" s="22">
        <f t="shared" si="52"/>
        <v>32</v>
      </c>
      <c r="I245" s="22">
        <f t="shared" si="52"/>
        <v>139</v>
      </c>
    </row>
    <row r="246" spans="1:9" s="21" customFormat="1" ht="12" customHeight="1" x14ac:dyDescent="0.2">
      <c r="A246" s="264" t="s">
        <v>232</v>
      </c>
      <c r="B246" s="264"/>
      <c r="C246" s="22">
        <f t="shared" ref="C246:I246" si="53">SUM(C140:C176)</f>
        <v>62199</v>
      </c>
      <c r="D246" s="22">
        <f t="shared" si="53"/>
        <v>47664</v>
      </c>
      <c r="E246" s="22">
        <f t="shared" si="53"/>
        <v>14535</v>
      </c>
      <c r="F246" s="22">
        <f t="shared" si="53"/>
        <v>10878</v>
      </c>
      <c r="G246" s="22">
        <f t="shared" si="53"/>
        <v>3619</v>
      </c>
      <c r="H246" s="22">
        <f t="shared" si="53"/>
        <v>0</v>
      </c>
      <c r="I246" s="22">
        <f t="shared" si="53"/>
        <v>38</v>
      </c>
    </row>
    <row r="247" spans="1:9" s="21" customFormat="1" ht="12" customHeight="1" x14ac:dyDescent="0.2">
      <c r="A247" s="264" t="s">
        <v>233</v>
      </c>
      <c r="B247" s="264"/>
      <c r="C247" s="22">
        <f t="shared" ref="C247:I247" si="54">SUM(C179:C186)</f>
        <v>5871</v>
      </c>
      <c r="D247" s="22">
        <f t="shared" si="54"/>
        <v>5263</v>
      </c>
      <c r="E247" s="22">
        <f t="shared" si="54"/>
        <v>608</v>
      </c>
      <c r="F247" s="22">
        <f t="shared" si="54"/>
        <v>438</v>
      </c>
      <c r="G247" s="22">
        <f t="shared" si="54"/>
        <v>168</v>
      </c>
      <c r="H247" s="22">
        <f t="shared" si="54"/>
        <v>0</v>
      </c>
      <c r="I247" s="22">
        <f t="shared" si="54"/>
        <v>2</v>
      </c>
    </row>
    <row r="248" spans="1:9" s="21" customFormat="1" ht="12" customHeight="1" x14ac:dyDescent="0.2">
      <c r="A248" s="264" t="s">
        <v>234</v>
      </c>
      <c r="B248" s="264"/>
      <c r="C248" s="22">
        <f t="shared" ref="C248:I248" si="55">SUM(C189:C206)</f>
        <v>48406</v>
      </c>
      <c r="D248" s="22">
        <f t="shared" si="55"/>
        <v>35962</v>
      </c>
      <c r="E248" s="22">
        <f t="shared" si="55"/>
        <v>12444</v>
      </c>
      <c r="F248" s="22">
        <f t="shared" si="55"/>
        <v>9840</v>
      </c>
      <c r="G248" s="22">
        <f t="shared" si="55"/>
        <v>2564</v>
      </c>
      <c r="H248" s="22">
        <f t="shared" si="55"/>
        <v>1</v>
      </c>
      <c r="I248" s="22">
        <f t="shared" si="55"/>
        <v>39</v>
      </c>
    </row>
    <row r="249" spans="1:9" s="21" customFormat="1" ht="12" customHeight="1" x14ac:dyDescent="0.2">
      <c r="A249" s="264" t="s">
        <v>235</v>
      </c>
      <c r="B249" s="264"/>
      <c r="C249" s="22">
        <f t="shared" ref="C249:I249" si="56">SUM(C209:C214)</f>
        <v>12400</v>
      </c>
      <c r="D249" s="22">
        <f t="shared" si="56"/>
        <v>8717</v>
      </c>
      <c r="E249" s="22">
        <f t="shared" si="56"/>
        <v>3683</v>
      </c>
      <c r="F249" s="22">
        <f t="shared" si="56"/>
        <v>2933</v>
      </c>
      <c r="G249" s="22">
        <f t="shared" si="56"/>
        <v>733</v>
      </c>
      <c r="H249" s="22">
        <f t="shared" si="56"/>
        <v>0</v>
      </c>
      <c r="I249" s="22">
        <f t="shared" si="56"/>
        <v>17</v>
      </c>
    </row>
    <row r="250" spans="1:9" s="21" customFormat="1" ht="12" customHeight="1" x14ac:dyDescent="0.2">
      <c r="A250" s="264" t="s">
        <v>236</v>
      </c>
      <c r="B250" s="264"/>
      <c r="C250" s="22">
        <f t="shared" ref="C250:I250" si="57">SUM(C217:C221)</f>
        <v>5682</v>
      </c>
      <c r="D250" s="22">
        <f t="shared" si="57"/>
        <v>5240</v>
      </c>
      <c r="E250" s="22">
        <f t="shared" si="57"/>
        <v>442</v>
      </c>
      <c r="F250" s="22">
        <f t="shared" si="57"/>
        <v>293</v>
      </c>
      <c r="G250" s="22">
        <f t="shared" si="57"/>
        <v>148</v>
      </c>
      <c r="H250" s="22">
        <f t="shared" si="57"/>
        <v>0</v>
      </c>
      <c r="I250" s="22">
        <f t="shared" si="57"/>
        <v>1</v>
      </c>
    </row>
    <row r="251" spans="1:9" s="21" customFormat="1" ht="12" customHeight="1" x14ac:dyDescent="0.2">
      <c r="A251" s="267" t="s">
        <v>237</v>
      </c>
      <c r="B251" s="267"/>
      <c r="C251" s="28">
        <f t="shared" ref="C251:I251" si="58">SUM(C224:C241)</f>
        <v>9834</v>
      </c>
      <c r="D251" s="28">
        <f t="shared" si="58"/>
        <v>7038</v>
      </c>
      <c r="E251" s="28">
        <f t="shared" si="58"/>
        <v>2796</v>
      </c>
      <c r="F251" s="28">
        <f t="shared" si="58"/>
        <v>1855</v>
      </c>
      <c r="G251" s="28">
        <f t="shared" si="58"/>
        <v>937</v>
      </c>
      <c r="H251" s="28">
        <f t="shared" si="58"/>
        <v>0</v>
      </c>
      <c r="I251" s="28">
        <f t="shared" si="58"/>
        <v>4</v>
      </c>
    </row>
    <row r="252" spans="1:9" s="21" customFormat="1" ht="12" customHeight="1" x14ac:dyDescent="0.2">
      <c r="A252" s="25"/>
      <c r="B252" s="25"/>
      <c r="C252" s="25"/>
      <c r="D252" s="25"/>
      <c r="E252" s="25"/>
      <c r="F252" s="25"/>
      <c r="G252" s="25"/>
      <c r="H252" s="25"/>
      <c r="I252" s="25"/>
    </row>
    <row r="253" spans="1:9" s="21" customFormat="1" ht="12" customHeight="1" x14ac:dyDescent="0.2">
      <c r="A253" s="263" t="s">
        <v>364</v>
      </c>
      <c r="B253" s="263"/>
      <c r="C253" s="20">
        <f t="shared" ref="C253:I253" si="59">SUM(C254:C257)</f>
        <v>292872</v>
      </c>
      <c r="D253" s="20">
        <f t="shared" si="59"/>
        <v>216324</v>
      </c>
      <c r="E253" s="20">
        <f t="shared" si="59"/>
        <v>76548</v>
      </c>
      <c r="F253" s="20">
        <f t="shared" si="59"/>
        <v>54179</v>
      </c>
      <c r="G253" s="20">
        <f t="shared" si="59"/>
        <v>22038</v>
      </c>
      <c r="H253" s="20">
        <f t="shared" si="59"/>
        <v>89</v>
      </c>
      <c r="I253" s="20">
        <f t="shared" si="59"/>
        <v>242</v>
      </c>
    </row>
    <row r="254" spans="1:9" s="21" customFormat="1" ht="12" customHeight="1" x14ac:dyDescent="0.2">
      <c r="A254" s="264" t="s">
        <v>234</v>
      </c>
      <c r="B254" s="264"/>
      <c r="C254" s="22">
        <f t="shared" ref="C254:I254" si="60">C189+C190+C191+C192+C193+C194+C195+C196+C198+C201+C202+C204+C206+C210+C147+C203</f>
        <v>50774</v>
      </c>
      <c r="D254" s="22">
        <f t="shared" si="60"/>
        <v>37771</v>
      </c>
      <c r="E254" s="22">
        <f t="shared" si="60"/>
        <v>13003</v>
      </c>
      <c r="F254" s="22">
        <f t="shared" si="60"/>
        <v>10263</v>
      </c>
      <c r="G254" s="22">
        <f t="shared" si="60"/>
        <v>2696</v>
      </c>
      <c r="H254" s="22">
        <f t="shared" si="60"/>
        <v>1</v>
      </c>
      <c r="I254" s="22">
        <f t="shared" si="60"/>
        <v>43</v>
      </c>
    </row>
    <row r="255" spans="1:9" s="21" customFormat="1" ht="12" customHeight="1" x14ac:dyDescent="0.2">
      <c r="A255" s="264" t="s">
        <v>238</v>
      </c>
      <c r="B255" s="264"/>
      <c r="C255" s="22">
        <f t="shared" ref="C255:I255" si="61">+C59+C60+C62+C63+C64+C65+C66+C68+C69+C70+C71+C72+C86+C61</f>
        <v>48994</v>
      </c>
      <c r="D255" s="22">
        <f t="shared" si="61"/>
        <v>38556</v>
      </c>
      <c r="E255" s="22">
        <f t="shared" si="61"/>
        <v>10438</v>
      </c>
      <c r="F255" s="22">
        <f t="shared" si="61"/>
        <v>7177</v>
      </c>
      <c r="G255" s="22">
        <f t="shared" si="61"/>
        <v>3179</v>
      </c>
      <c r="H255" s="22">
        <f t="shared" si="61"/>
        <v>56</v>
      </c>
      <c r="I255" s="22">
        <f t="shared" si="61"/>
        <v>26</v>
      </c>
    </row>
    <row r="256" spans="1:9" s="21" customFormat="1" ht="12" customHeight="1" x14ac:dyDescent="0.2">
      <c r="A256" s="264" t="s">
        <v>232</v>
      </c>
      <c r="B256" s="264"/>
      <c r="C256" s="22">
        <f t="shared" ref="C256:I256" si="62">C140+C142+C145+C149+C152+C157+C158+C161+C163+C165+C167+C171+C172+C174+C179+C186+C156+C159</f>
        <v>58132</v>
      </c>
      <c r="D256" s="22">
        <f t="shared" si="62"/>
        <v>44364</v>
      </c>
      <c r="E256" s="22">
        <f t="shared" si="62"/>
        <v>13768</v>
      </c>
      <c r="F256" s="22">
        <f t="shared" si="62"/>
        <v>10393</v>
      </c>
      <c r="G256" s="22">
        <f t="shared" si="62"/>
        <v>3337</v>
      </c>
      <c r="H256" s="22">
        <f t="shared" si="62"/>
        <v>0</v>
      </c>
      <c r="I256" s="22">
        <f t="shared" si="62"/>
        <v>38</v>
      </c>
    </row>
    <row r="257" spans="1:9" s="21" customFormat="1" ht="12" customHeight="1" x14ac:dyDescent="0.2">
      <c r="A257" s="267" t="s">
        <v>231</v>
      </c>
      <c r="B257" s="267"/>
      <c r="C257" s="28">
        <f t="shared" ref="C257:I257" si="63">+C75+C76+C77+C80+C81+C84+C82+C88+C87+C92+C89+C93+C91+C94+C95+C100+C99+C98+C101+C102+C103+C104+C105+C107+C106+C108+C109+C111+C110+C113+C112+C116+C118+C117+C120+C119+C121+C122+C123+C124+C125+C127+C128+C131+C130+C132+C133+C135+C136+C137</f>
        <v>134972</v>
      </c>
      <c r="D257" s="28">
        <f t="shared" si="63"/>
        <v>95633</v>
      </c>
      <c r="E257" s="28">
        <f t="shared" si="63"/>
        <v>39339</v>
      </c>
      <c r="F257" s="28">
        <f t="shared" si="63"/>
        <v>26346</v>
      </c>
      <c r="G257" s="28">
        <f t="shared" si="63"/>
        <v>12826</v>
      </c>
      <c r="H257" s="28">
        <f t="shared" si="63"/>
        <v>32</v>
      </c>
      <c r="I257" s="28">
        <f t="shared" si="63"/>
        <v>135</v>
      </c>
    </row>
    <row r="258" spans="1:9" s="33" customFormat="1" ht="5.25" x14ac:dyDescent="0.15">
      <c r="A258" s="317"/>
      <c r="B258" s="317"/>
      <c r="C258" s="317"/>
      <c r="D258" s="317"/>
      <c r="E258" s="317"/>
      <c r="F258" s="317"/>
      <c r="G258" s="317"/>
      <c r="H258" s="317"/>
      <c r="I258" s="317"/>
    </row>
    <row r="259" spans="1:9" s="34" customFormat="1" ht="12" customHeight="1" x14ac:dyDescent="0.2">
      <c r="A259" s="286" t="s">
        <v>239</v>
      </c>
      <c r="B259" s="286"/>
      <c r="C259" s="286"/>
      <c r="D259" s="286"/>
      <c r="E259" s="286"/>
      <c r="F259" s="286"/>
      <c r="G259" s="286"/>
      <c r="H259" s="286"/>
      <c r="I259" s="286"/>
    </row>
    <row r="260" spans="1:9" s="34" customFormat="1" ht="12" customHeight="1" x14ac:dyDescent="0.2">
      <c r="A260" s="286" t="s">
        <v>363</v>
      </c>
      <c r="B260" s="286"/>
      <c r="C260" s="286"/>
      <c r="D260" s="286"/>
      <c r="E260" s="286"/>
      <c r="F260" s="286"/>
      <c r="G260" s="286"/>
      <c r="H260" s="286"/>
      <c r="I260" s="286"/>
    </row>
    <row r="261" spans="1:9" s="33" customFormat="1" ht="11.25" x14ac:dyDescent="0.2">
      <c r="A261" s="314"/>
      <c r="B261" s="314"/>
      <c r="C261" s="314"/>
      <c r="D261" s="314"/>
      <c r="E261" s="314"/>
      <c r="F261" s="314"/>
      <c r="G261" s="314"/>
      <c r="H261" s="314"/>
      <c r="I261" s="314"/>
    </row>
    <row r="262" spans="1:9" s="35" customFormat="1" ht="11.25" x14ac:dyDescent="0.2">
      <c r="A262" s="324" t="s">
        <v>240</v>
      </c>
      <c r="B262" s="324"/>
      <c r="C262" s="324"/>
      <c r="D262" s="324"/>
      <c r="E262" s="324"/>
      <c r="F262" s="324"/>
      <c r="G262" s="324"/>
      <c r="H262" s="324"/>
      <c r="I262" s="324"/>
    </row>
    <row r="263" spans="1:9" s="33" customFormat="1" ht="5.25" x14ac:dyDescent="0.15">
      <c r="A263" s="317"/>
      <c r="B263" s="317"/>
      <c r="C263" s="317"/>
      <c r="D263" s="317"/>
      <c r="E263" s="317"/>
      <c r="F263" s="317"/>
      <c r="G263" s="317"/>
      <c r="H263" s="317"/>
      <c r="I263" s="317"/>
    </row>
    <row r="264" spans="1:9" s="36" customFormat="1" ht="12" customHeight="1" x14ac:dyDescent="0.2">
      <c r="A264" s="286" t="s">
        <v>351</v>
      </c>
      <c r="B264" s="286"/>
      <c r="C264" s="286"/>
      <c r="D264" s="286"/>
      <c r="E264" s="286"/>
      <c r="F264" s="286"/>
      <c r="G264" s="286"/>
      <c r="H264" s="286"/>
      <c r="I264" s="286"/>
    </row>
    <row r="265" spans="1:9" s="36" customFormat="1" ht="12" customHeight="1" x14ac:dyDescent="0.2">
      <c r="A265" s="286" t="s">
        <v>352</v>
      </c>
      <c r="B265" s="286"/>
      <c r="C265" s="286"/>
      <c r="D265" s="286"/>
      <c r="E265" s="286"/>
      <c r="F265" s="286"/>
      <c r="G265" s="286"/>
      <c r="H265" s="286"/>
      <c r="I265" s="286"/>
    </row>
  </sheetData>
  <mergeCells count="233">
    <mergeCell ref="A264:I264"/>
    <mergeCell ref="A265:I265"/>
    <mergeCell ref="A262:I262"/>
    <mergeCell ref="A263:I263"/>
    <mergeCell ref="A257:B257"/>
    <mergeCell ref="A258:I258"/>
    <mergeCell ref="A259:I259"/>
    <mergeCell ref="A261:I261"/>
    <mergeCell ref="A260:I260"/>
    <mergeCell ref="A253:B253"/>
    <mergeCell ref="A254:B254"/>
    <mergeCell ref="A255:B255"/>
    <mergeCell ref="A256:B256"/>
    <mergeCell ref="A248:B248"/>
    <mergeCell ref="A249:B249"/>
    <mergeCell ref="A250:B250"/>
    <mergeCell ref="A251:B251"/>
    <mergeCell ref="A244:B244"/>
    <mergeCell ref="A245:B245"/>
    <mergeCell ref="A246:B246"/>
    <mergeCell ref="A247:B247"/>
    <mergeCell ref="A239:B239"/>
    <mergeCell ref="A240:B240"/>
    <mergeCell ref="A241:B241"/>
    <mergeCell ref="A243:B243"/>
    <mergeCell ref="A235:B235"/>
    <mergeCell ref="A236:B236"/>
    <mergeCell ref="A237:B237"/>
    <mergeCell ref="A238:B238"/>
    <mergeCell ref="A231:B231"/>
    <mergeCell ref="A232:B232"/>
    <mergeCell ref="A233:B233"/>
    <mergeCell ref="A234:B234"/>
    <mergeCell ref="A227:B227"/>
    <mergeCell ref="A228:B228"/>
    <mergeCell ref="A229:B229"/>
    <mergeCell ref="A230:B230"/>
    <mergeCell ref="A223:B223"/>
    <mergeCell ref="A224:B224"/>
    <mergeCell ref="A225:B225"/>
    <mergeCell ref="A226:B226"/>
    <mergeCell ref="A218:B218"/>
    <mergeCell ref="A219:B219"/>
    <mergeCell ref="A220:B220"/>
    <mergeCell ref="A221:B221"/>
    <mergeCell ref="A213:B213"/>
    <mergeCell ref="A214:B214"/>
    <mergeCell ref="A216:B216"/>
    <mergeCell ref="A217:B217"/>
    <mergeCell ref="A209:B209"/>
    <mergeCell ref="A210:B210"/>
    <mergeCell ref="A211:B211"/>
    <mergeCell ref="A212:B212"/>
    <mergeCell ref="A204:B204"/>
    <mergeCell ref="A205:B205"/>
    <mergeCell ref="A206:B206"/>
    <mergeCell ref="A208:B208"/>
    <mergeCell ref="A200:B200"/>
    <mergeCell ref="A201:B201"/>
    <mergeCell ref="A202:B202"/>
    <mergeCell ref="A203:B203"/>
    <mergeCell ref="A196:B196"/>
    <mergeCell ref="A197:B197"/>
    <mergeCell ref="A198:B198"/>
    <mergeCell ref="A199:B199"/>
    <mergeCell ref="A192:B192"/>
    <mergeCell ref="A193:B193"/>
    <mergeCell ref="A194:B194"/>
    <mergeCell ref="A195:B195"/>
    <mergeCell ref="A188:B188"/>
    <mergeCell ref="A189:B189"/>
    <mergeCell ref="A190:B190"/>
    <mergeCell ref="A191:B191"/>
    <mergeCell ref="A183:B183"/>
    <mergeCell ref="A184:B184"/>
    <mergeCell ref="A185:B185"/>
    <mergeCell ref="A186:B186"/>
    <mergeCell ref="A179:B179"/>
    <mergeCell ref="A180:B180"/>
    <mergeCell ref="A181:B181"/>
    <mergeCell ref="A182:B182"/>
    <mergeCell ref="A174:B174"/>
    <mergeCell ref="A175:B175"/>
    <mergeCell ref="A176:B176"/>
    <mergeCell ref="A178:B178"/>
    <mergeCell ref="A170:B170"/>
    <mergeCell ref="A171:B171"/>
    <mergeCell ref="A172:B172"/>
    <mergeCell ref="A173:B173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50:B150"/>
    <mergeCell ref="A151:B151"/>
    <mergeCell ref="A152:B152"/>
    <mergeCell ref="A153:B153"/>
    <mergeCell ref="A146:B146"/>
    <mergeCell ref="A147:B147"/>
    <mergeCell ref="A148:B148"/>
    <mergeCell ref="A149:B149"/>
    <mergeCell ref="A142:B142"/>
    <mergeCell ref="A143:B143"/>
    <mergeCell ref="A144:B144"/>
    <mergeCell ref="A145:B145"/>
    <mergeCell ref="A137:B137"/>
    <mergeCell ref="A139:B139"/>
    <mergeCell ref="A140:B140"/>
    <mergeCell ref="A141:B141"/>
    <mergeCell ref="A133:B133"/>
    <mergeCell ref="A134:B134"/>
    <mergeCell ref="A135:B135"/>
    <mergeCell ref="A136:B136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85:B85"/>
    <mergeCell ref="A86:B86"/>
    <mergeCell ref="A87:B87"/>
    <mergeCell ref="A88:B88"/>
    <mergeCell ref="A81:B81"/>
    <mergeCell ref="A82:B82"/>
    <mergeCell ref="A83:B83"/>
    <mergeCell ref="A84:B84"/>
    <mergeCell ref="A77:B77"/>
    <mergeCell ref="A78:B78"/>
    <mergeCell ref="A79:B79"/>
    <mergeCell ref="A80:B80"/>
    <mergeCell ref="A72:B72"/>
    <mergeCell ref="A74:B74"/>
    <mergeCell ref="A75:B75"/>
    <mergeCell ref="A76:B76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5:B55"/>
    <mergeCell ref="A56:B56"/>
    <mergeCell ref="A58:B58"/>
    <mergeCell ref="A59:B59"/>
    <mergeCell ref="A44:B44"/>
    <mergeCell ref="A48:B48"/>
    <mergeCell ref="A53:B53"/>
    <mergeCell ref="A54:B54"/>
    <mergeCell ref="A39:B39"/>
    <mergeCell ref="A40:B40"/>
    <mergeCell ref="A42:B42"/>
    <mergeCell ref="A43:B43"/>
    <mergeCell ref="A29:B29"/>
    <mergeCell ref="A32:B32"/>
    <mergeCell ref="A33:B33"/>
    <mergeCell ref="A38:B38"/>
    <mergeCell ref="A24:B24"/>
    <mergeCell ref="A25:B25"/>
    <mergeCell ref="A26:B26"/>
    <mergeCell ref="A12:B12"/>
    <mergeCell ref="A13:B13"/>
    <mergeCell ref="A17:B17"/>
    <mergeCell ref="A21:B21"/>
    <mergeCell ref="A7:B7"/>
    <mergeCell ref="A8:B8"/>
    <mergeCell ref="A9:B9"/>
    <mergeCell ref="A10:B10"/>
    <mergeCell ref="A5:B5"/>
    <mergeCell ref="E5:I5"/>
    <mergeCell ref="A6:B6"/>
    <mergeCell ref="E6:I6"/>
    <mergeCell ref="A1:I1"/>
    <mergeCell ref="A2:I2"/>
    <mergeCell ref="A3:I3"/>
    <mergeCell ref="A4:I4"/>
    <mergeCell ref="A23:B23"/>
  </mergeCells>
  <phoneticPr fontId="0" type="noConversion"/>
  <pageMargins left="0" right="0" top="0" bottom="0" header="0" footer="0"/>
  <pageSetup paperSize="9" scale="85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oglio5"/>
  <dimension ref="A1:J277"/>
  <sheetViews>
    <sheetView workbookViewId="0">
      <selection sqref="A1:I1"/>
    </sheetView>
  </sheetViews>
  <sheetFormatPr defaultRowHeight="12" customHeight="1" x14ac:dyDescent="0.2"/>
  <cols>
    <col min="1" max="1" width="1.7109375" style="1" customWidth="1"/>
    <col min="2" max="2" width="30.7109375" style="1" customWidth="1"/>
    <col min="3" max="9" width="11.28515625" style="2" customWidth="1"/>
    <col min="10" max="16384" width="9.140625" style="1"/>
  </cols>
  <sheetData>
    <row r="1" spans="1:9" s="4" customFormat="1" ht="12" customHeight="1" x14ac:dyDescent="0.2">
      <c r="A1" s="329"/>
      <c r="B1" s="329"/>
      <c r="C1" s="329"/>
      <c r="D1" s="329"/>
      <c r="E1" s="329"/>
      <c r="F1" s="329"/>
      <c r="G1" s="329"/>
      <c r="H1" s="329"/>
      <c r="I1" s="329"/>
    </row>
    <row r="2" spans="1:9" s="3" customFormat="1" ht="12.75" customHeight="1" x14ac:dyDescent="0.2">
      <c r="A2" s="330" t="s">
        <v>241</v>
      </c>
      <c r="B2" s="330"/>
      <c r="C2" s="330"/>
      <c r="D2" s="330"/>
      <c r="E2" s="330"/>
      <c r="F2" s="330"/>
      <c r="G2" s="330"/>
      <c r="H2" s="330"/>
      <c r="I2" s="330"/>
    </row>
    <row r="3" spans="1:9" s="4" customFormat="1" ht="15" customHeight="1" x14ac:dyDescent="0.25">
      <c r="A3" s="331"/>
      <c r="B3" s="331"/>
      <c r="C3" s="331"/>
      <c r="D3" s="331"/>
      <c r="E3" s="331"/>
      <c r="F3" s="331"/>
      <c r="G3" s="331"/>
      <c r="H3" s="331"/>
      <c r="I3" s="331"/>
    </row>
    <row r="4" spans="1:9" s="4" customFormat="1" ht="15" customHeight="1" x14ac:dyDescent="0.25">
      <c r="A4" s="331"/>
      <c r="B4" s="331"/>
      <c r="C4" s="331"/>
      <c r="D4" s="331"/>
      <c r="E4" s="331"/>
      <c r="F4" s="331"/>
      <c r="G4" s="331"/>
      <c r="H4" s="331"/>
      <c r="I4" s="331"/>
    </row>
    <row r="5" spans="1:9" s="5" customFormat="1" ht="12" customHeight="1" x14ac:dyDescent="0.2">
      <c r="A5" s="326"/>
      <c r="B5" s="326"/>
      <c r="C5" s="327">
        <v>2008</v>
      </c>
      <c r="D5" s="328"/>
      <c r="E5" s="328"/>
      <c r="F5" s="328"/>
      <c r="G5" s="328"/>
      <c r="H5" s="328"/>
      <c r="I5" s="328"/>
    </row>
    <row r="6" spans="1:9" s="5" customFormat="1" ht="12" customHeight="1" x14ac:dyDescent="0.2">
      <c r="A6" s="325"/>
      <c r="B6" s="325"/>
      <c r="C6" s="37" t="s">
        <v>1</v>
      </c>
      <c r="D6" s="38" t="s">
        <v>2</v>
      </c>
      <c r="E6" s="325" t="s">
        <v>3</v>
      </c>
      <c r="F6" s="325"/>
      <c r="G6" s="325"/>
      <c r="H6" s="325"/>
      <c r="I6" s="325"/>
    </row>
    <row r="7" spans="1:9" s="5" customFormat="1" ht="12" customHeight="1" x14ac:dyDescent="0.2">
      <c r="A7" s="325"/>
      <c r="B7" s="325"/>
      <c r="C7" s="38"/>
      <c r="D7" s="38"/>
      <c r="E7" s="38"/>
      <c r="F7" s="38"/>
      <c r="G7" s="38"/>
      <c r="H7" s="38"/>
      <c r="I7" s="38"/>
    </row>
    <row r="8" spans="1:9" s="5" customFormat="1" ht="12" customHeight="1" x14ac:dyDescent="0.2">
      <c r="A8" s="325"/>
      <c r="B8" s="325"/>
      <c r="C8" s="38"/>
      <c r="D8" s="38"/>
      <c r="E8" s="39"/>
      <c r="F8" s="39"/>
      <c r="G8" s="39"/>
      <c r="H8" s="39" t="s">
        <v>4</v>
      </c>
      <c r="I8" s="39" t="s">
        <v>5</v>
      </c>
    </row>
    <row r="9" spans="1:9" s="5" customFormat="1" ht="13.5" customHeight="1" x14ac:dyDescent="0.2">
      <c r="A9" s="332"/>
      <c r="B9" s="332"/>
      <c r="C9" s="40"/>
      <c r="D9" s="41"/>
      <c r="E9" s="42" t="s">
        <v>1</v>
      </c>
      <c r="F9" s="42" t="s">
        <v>6</v>
      </c>
      <c r="G9" s="42" t="s">
        <v>7</v>
      </c>
      <c r="H9" s="42" t="s">
        <v>8</v>
      </c>
      <c r="I9" s="42" t="s">
        <v>9</v>
      </c>
    </row>
    <row r="10" spans="1:9" s="15" customFormat="1" ht="12" customHeight="1" x14ac:dyDescent="0.2">
      <c r="A10" s="333" t="s">
        <v>10</v>
      </c>
      <c r="B10" s="333"/>
      <c r="C10" s="43">
        <f t="shared" ref="C10:I10" si="0">C12+C23+C38+C42+C53</f>
        <v>332736</v>
      </c>
      <c r="D10" s="43">
        <f t="shared" si="0"/>
        <v>248274</v>
      </c>
      <c r="E10" s="43">
        <f t="shared" si="0"/>
        <v>84462</v>
      </c>
      <c r="F10" s="43">
        <f t="shared" si="0"/>
        <v>61153</v>
      </c>
      <c r="G10" s="43">
        <f t="shared" si="0"/>
        <v>22892</v>
      </c>
      <c r="H10" s="43">
        <f t="shared" si="0"/>
        <v>176</v>
      </c>
      <c r="I10" s="43">
        <f t="shared" si="0"/>
        <v>241</v>
      </c>
    </row>
    <row r="11" spans="1:9" s="15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</row>
    <row r="12" spans="1:9" s="19" customFormat="1" ht="12" customHeight="1" x14ac:dyDescent="0.2">
      <c r="A12" s="263" t="s">
        <v>11</v>
      </c>
      <c r="B12" s="263"/>
      <c r="C12" s="20">
        <f t="shared" ref="C12:I12" si="1">C13+C17+C21</f>
        <v>29145</v>
      </c>
      <c r="D12" s="20">
        <f t="shared" si="1"/>
        <v>22105</v>
      </c>
      <c r="E12" s="20">
        <f t="shared" si="1"/>
        <v>7040</v>
      </c>
      <c r="F12" s="20">
        <f t="shared" si="1"/>
        <v>5320</v>
      </c>
      <c r="G12" s="20">
        <f t="shared" si="1"/>
        <v>1700</v>
      </c>
      <c r="H12" s="20">
        <f t="shared" si="1"/>
        <v>0</v>
      </c>
      <c r="I12" s="20">
        <f t="shared" si="1"/>
        <v>20</v>
      </c>
    </row>
    <row r="13" spans="1:9" s="21" customFormat="1" ht="12" customHeight="1" x14ac:dyDescent="0.2">
      <c r="A13" s="264" t="s">
        <v>12</v>
      </c>
      <c r="B13" s="264"/>
      <c r="C13" s="22">
        <f t="shared" ref="C13:I13" si="2">C14+C15+C16</f>
        <v>9838</v>
      </c>
      <c r="D13" s="22">
        <f t="shared" si="2"/>
        <v>7089</v>
      </c>
      <c r="E13" s="22">
        <f t="shared" si="2"/>
        <v>2749</v>
      </c>
      <c r="F13" s="22">
        <f t="shared" si="2"/>
        <v>1867</v>
      </c>
      <c r="G13" s="22">
        <f t="shared" si="2"/>
        <v>873</v>
      </c>
      <c r="H13" s="22">
        <f t="shared" si="2"/>
        <v>0</v>
      </c>
      <c r="I13" s="22">
        <f t="shared" si="2"/>
        <v>9</v>
      </c>
    </row>
    <row r="14" spans="1:9" s="21" customFormat="1" ht="12" customHeight="1" x14ac:dyDescent="0.2">
      <c r="A14" s="23"/>
      <c r="B14" s="24" t="s">
        <v>13</v>
      </c>
      <c r="C14" s="22">
        <f t="shared" ref="C14:I14" si="3">C236+C238+C244+C251+C252</f>
        <v>3335</v>
      </c>
      <c r="D14" s="22">
        <f t="shared" si="3"/>
        <v>2665</v>
      </c>
      <c r="E14" s="22">
        <f t="shared" si="3"/>
        <v>670</v>
      </c>
      <c r="F14" s="22">
        <f t="shared" si="3"/>
        <v>486</v>
      </c>
      <c r="G14" s="22">
        <f t="shared" si="3"/>
        <v>180</v>
      </c>
      <c r="H14" s="22">
        <f t="shared" si="3"/>
        <v>0</v>
      </c>
      <c r="I14" s="22">
        <f t="shared" si="3"/>
        <v>4</v>
      </c>
    </row>
    <row r="15" spans="1:9" s="21" customFormat="1" ht="12" customHeight="1" x14ac:dyDescent="0.2">
      <c r="A15" s="23"/>
      <c r="B15" s="24" t="s">
        <v>14</v>
      </c>
      <c r="C15" s="22">
        <f t="shared" ref="C15:I15" si="4">+C237+C245+C240+C241+C242+C243+C247+C248+C253</f>
        <v>3407</v>
      </c>
      <c r="D15" s="22">
        <f t="shared" si="4"/>
        <v>2442</v>
      </c>
      <c r="E15" s="22">
        <f t="shared" si="4"/>
        <v>965</v>
      </c>
      <c r="F15" s="22">
        <f t="shared" si="4"/>
        <v>609</v>
      </c>
      <c r="G15" s="22">
        <f t="shared" si="4"/>
        <v>352</v>
      </c>
      <c r="H15" s="22">
        <f t="shared" si="4"/>
        <v>0</v>
      </c>
      <c r="I15" s="22">
        <f t="shared" si="4"/>
        <v>4</v>
      </c>
    </row>
    <row r="16" spans="1:9" s="21" customFormat="1" ht="12" customHeight="1" x14ac:dyDescent="0.2">
      <c r="A16" s="23"/>
      <c r="B16" s="25" t="s">
        <v>15</v>
      </c>
      <c r="C16" s="22">
        <f t="shared" ref="C16:I16" si="5">C239+C246+C249+C250</f>
        <v>3096</v>
      </c>
      <c r="D16" s="22">
        <f t="shared" si="5"/>
        <v>1982</v>
      </c>
      <c r="E16" s="22">
        <f t="shared" si="5"/>
        <v>1114</v>
      </c>
      <c r="F16" s="22">
        <f t="shared" si="5"/>
        <v>772</v>
      </c>
      <c r="G16" s="22">
        <f t="shared" si="5"/>
        <v>341</v>
      </c>
      <c r="H16" s="22">
        <f t="shared" si="5"/>
        <v>0</v>
      </c>
      <c r="I16" s="22">
        <f t="shared" si="5"/>
        <v>1</v>
      </c>
    </row>
    <row r="17" spans="1:9" s="21" customFormat="1" ht="12" customHeight="1" x14ac:dyDescent="0.2">
      <c r="A17" s="264" t="s">
        <v>16</v>
      </c>
      <c r="B17" s="264"/>
      <c r="C17" s="22">
        <f t="shared" ref="C17:I17" si="6">C18+C19+C20</f>
        <v>5697</v>
      </c>
      <c r="D17" s="22">
        <f t="shared" si="6"/>
        <v>5239</v>
      </c>
      <c r="E17" s="22">
        <f t="shared" si="6"/>
        <v>458</v>
      </c>
      <c r="F17" s="22">
        <f t="shared" si="6"/>
        <v>302</v>
      </c>
      <c r="G17" s="22">
        <f t="shared" si="6"/>
        <v>156</v>
      </c>
      <c r="H17" s="22">
        <f t="shared" si="6"/>
        <v>0</v>
      </c>
      <c r="I17" s="22">
        <f t="shared" si="6"/>
        <v>0</v>
      </c>
    </row>
    <row r="18" spans="1:9" s="21" customFormat="1" ht="12" customHeight="1" x14ac:dyDescent="0.2">
      <c r="A18" s="23"/>
      <c r="B18" s="24" t="s">
        <v>17</v>
      </c>
      <c r="C18" s="22">
        <f t="shared" ref="C18:I18" si="7">+C230</f>
        <v>1825</v>
      </c>
      <c r="D18" s="22">
        <f t="shared" si="7"/>
        <v>1705</v>
      </c>
      <c r="E18" s="22">
        <f t="shared" si="7"/>
        <v>120</v>
      </c>
      <c r="F18" s="22">
        <f t="shared" si="7"/>
        <v>83</v>
      </c>
      <c r="G18" s="22">
        <f t="shared" si="7"/>
        <v>37</v>
      </c>
      <c r="H18" s="22">
        <f t="shared" si="7"/>
        <v>0</v>
      </c>
      <c r="I18" s="22">
        <f t="shared" si="7"/>
        <v>0</v>
      </c>
    </row>
    <row r="19" spans="1:9" s="21" customFormat="1" ht="12" customHeight="1" x14ac:dyDescent="0.2">
      <c r="A19" s="23"/>
      <c r="B19" s="24" t="s">
        <v>18</v>
      </c>
      <c r="C19" s="22">
        <f t="shared" ref="C19:I19" si="8">+C229</f>
        <v>1835</v>
      </c>
      <c r="D19" s="22">
        <f t="shared" si="8"/>
        <v>1644</v>
      </c>
      <c r="E19" s="22">
        <f t="shared" si="8"/>
        <v>191</v>
      </c>
      <c r="F19" s="22">
        <f t="shared" si="8"/>
        <v>124</v>
      </c>
      <c r="G19" s="22">
        <f t="shared" si="8"/>
        <v>67</v>
      </c>
      <c r="H19" s="22">
        <f t="shared" si="8"/>
        <v>0</v>
      </c>
      <c r="I19" s="22">
        <f t="shared" si="8"/>
        <v>0</v>
      </c>
    </row>
    <row r="20" spans="1:9" s="21" customFormat="1" ht="12" customHeight="1" x14ac:dyDescent="0.2">
      <c r="A20" s="26"/>
      <c r="B20" s="24" t="s">
        <v>19</v>
      </c>
      <c r="C20" s="22">
        <f t="shared" ref="C20:I20" si="9">C231+C232+C233</f>
        <v>2037</v>
      </c>
      <c r="D20" s="22">
        <f t="shared" si="9"/>
        <v>1890</v>
      </c>
      <c r="E20" s="22">
        <f t="shared" si="9"/>
        <v>147</v>
      </c>
      <c r="F20" s="22">
        <f t="shared" si="9"/>
        <v>95</v>
      </c>
      <c r="G20" s="22">
        <f t="shared" si="9"/>
        <v>52</v>
      </c>
      <c r="H20" s="22">
        <f t="shared" si="9"/>
        <v>0</v>
      </c>
      <c r="I20" s="22">
        <f t="shared" si="9"/>
        <v>0</v>
      </c>
    </row>
    <row r="21" spans="1:9" s="21" customFormat="1" ht="12" customHeight="1" x14ac:dyDescent="0.2">
      <c r="A21" s="267" t="s">
        <v>20</v>
      </c>
      <c r="B21" s="267"/>
      <c r="C21" s="28">
        <f t="shared" ref="C21:I21" si="10">C221+C222+C223+C206+C224+C225+C212+C226+C215</f>
        <v>13610</v>
      </c>
      <c r="D21" s="28">
        <f t="shared" si="10"/>
        <v>9777</v>
      </c>
      <c r="E21" s="28">
        <f t="shared" si="10"/>
        <v>3833</v>
      </c>
      <c r="F21" s="28">
        <f t="shared" si="10"/>
        <v>3151</v>
      </c>
      <c r="G21" s="28">
        <f t="shared" si="10"/>
        <v>671</v>
      </c>
      <c r="H21" s="28">
        <f t="shared" si="10"/>
        <v>0</v>
      </c>
      <c r="I21" s="28">
        <f t="shared" si="10"/>
        <v>11</v>
      </c>
    </row>
    <row r="22" spans="1:9" s="21" customFormat="1" ht="12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</row>
    <row r="23" spans="1:9" s="19" customFormat="1" ht="12" customHeight="1" x14ac:dyDescent="0.2">
      <c r="A23" s="263" t="s">
        <v>21</v>
      </c>
      <c r="B23" s="263"/>
      <c r="C23" s="20">
        <f t="shared" ref="C23:I23" si="11">C24+C25+C26+C29+C32+C33</f>
        <v>66821</v>
      </c>
      <c r="D23" s="20">
        <f t="shared" si="11"/>
        <v>51917</v>
      </c>
      <c r="E23" s="20">
        <f t="shared" si="11"/>
        <v>14904</v>
      </c>
      <c r="F23" s="20">
        <f t="shared" si="11"/>
        <v>11308</v>
      </c>
      <c r="G23" s="20">
        <f t="shared" si="11"/>
        <v>3559</v>
      </c>
      <c r="H23" s="20">
        <f t="shared" si="11"/>
        <v>0</v>
      </c>
      <c r="I23" s="20">
        <f t="shared" si="11"/>
        <v>37</v>
      </c>
    </row>
    <row r="24" spans="1:9" s="21" customFormat="1" ht="12" customHeight="1" x14ac:dyDescent="0.2">
      <c r="A24" s="264" t="s">
        <v>22</v>
      </c>
      <c r="B24" s="264"/>
      <c r="C24" s="22">
        <f t="shared" ref="C24:I24" si="12">C150+C153+C154+C168+C169+C172+C174+C176+C179</f>
        <v>40585</v>
      </c>
      <c r="D24" s="22">
        <f t="shared" si="12"/>
        <v>29656</v>
      </c>
      <c r="E24" s="22">
        <f t="shared" si="12"/>
        <v>10929</v>
      </c>
      <c r="F24" s="22">
        <f t="shared" si="12"/>
        <v>8269</v>
      </c>
      <c r="G24" s="22">
        <f t="shared" si="12"/>
        <v>2636</v>
      </c>
      <c r="H24" s="22">
        <f t="shared" si="12"/>
        <v>0</v>
      </c>
      <c r="I24" s="22">
        <f t="shared" si="12"/>
        <v>24</v>
      </c>
    </row>
    <row r="25" spans="1:9" s="21" customFormat="1" ht="12" customHeight="1" x14ac:dyDescent="0.2">
      <c r="A25" s="264" t="s">
        <v>23</v>
      </c>
      <c r="B25" s="264"/>
      <c r="C25" s="22">
        <f t="shared" ref="C25:I25" si="13">C155+C161+C164+C170+C178+C180+C181+C187</f>
        <v>4004</v>
      </c>
      <c r="D25" s="22">
        <f t="shared" si="13"/>
        <v>3289</v>
      </c>
      <c r="E25" s="22">
        <f t="shared" si="13"/>
        <v>715</v>
      </c>
      <c r="F25" s="22">
        <f t="shared" si="13"/>
        <v>516</v>
      </c>
      <c r="G25" s="22">
        <f t="shared" si="13"/>
        <v>194</v>
      </c>
      <c r="H25" s="22">
        <f t="shared" si="13"/>
        <v>0</v>
      </c>
      <c r="I25" s="22">
        <f t="shared" si="13"/>
        <v>5</v>
      </c>
    </row>
    <row r="26" spans="1:9" s="21" customFormat="1" ht="12" customHeight="1" x14ac:dyDescent="0.2">
      <c r="A26" s="264" t="s">
        <v>24</v>
      </c>
      <c r="B26" s="264"/>
      <c r="C26" s="22">
        <f t="shared" ref="C26:I26" si="14">C27+C28</f>
        <v>11892</v>
      </c>
      <c r="D26" s="22">
        <f t="shared" si="14"/>
        <v>9739</v>
      </c>
      <c r="E26" s="22">
        <f t="shared" si="14"/>
        <v>2153</v>
      </c>
      <c r="F26" s="22">
        <f t="shared" si="14"/>
        <v>1726</v>
      </c>
      <c r="G26" s="22">
        <f t="shared" si="14"/>
        <v>419</v>
      </c>
      <c r="H26" s="22">
        <f t="shared" si="14"/>
        <v>0</v>
      </c>
      <c r="I26" s="22">
        <f t="shared" si="14"/>
        <v>8</v>
      </c>
    </row>
    <row r="27" spans="1:9" s="21" customFormat="1" ht="12" customHeight="1" x14ac:dyDescent="0.2">
      <c r="A27" s="29"/>
      <c r="B27" s="24" t="s">
        <v>25</v>
      </c>
      <c r="C27" s="22">
        <f t="shared" ref="C27:I27" si="15">C152+C158+C160+C171+C182+C188</f>
        <v>937</v>
      </c>
      <c r="D27" s="22">
        <f t="shared" si="15"/>
        <v>878</v>
      </c>
      <c r="E27" s="22">
        <f t="shared" si="15"/>
        <v>59</v>
      </c>
      <c r="F27" s="22">
        <f t="shared" si="15"/>
        <v>27</v>
      </c>
      <c r="G27" s="22">
        <f t="shared" si="15"/>
        <v>31</v>
      </c>
      <c r="H27" s="22">
        <f t="shared" si="15"/>
        <v>0</v>
      </c>
      <c r="I27" s="22">
        <f t="shared" si="15"/>
        <v>1</v>
      </c>
    </row>
    <row r="28" spans="1:9" s="21" customFormat="1" ht="12" customHeight="1" x14ac:dyDescent="0.2">
      <c r="A28" s="26"/>
      <c r="B28" s="24" t="s">
        <v>26</v>
      </c>
      <c r="C28" s="22">
        <f t="shared" ref="C28:I28" si="16">C159+C162+C167+C184</f>
        <v>10955</v>
      </c>
      <c r="D28" s="22">
        <f t="shared" si="16"/>
        <v>8861</v>
      </c>
      <c r="E28" s="22">
        <f t="shared" si="16"/>
        <v>2094</v>
      </c>
      <c r="F28" s="22">
        <f t="shared" si="16"/>
        <v>1699</v>
      </c>
      <c r="G28" s="22">
        <f t="shared" si="16"/>
        <v>388</v>
      </c>
      <c r="H28" s="22">
        <f t="shared" si="16"/>
        <v>0</v>
      </c>
      <c r="I28" s="22">
        <f t="shared" si="16"/>
        <v>7</v>
      </c>
    </row>
    <row r="29" spans="1:9" s="21" customFormat="1" ht="12" customHeight="1" x14ac:dyDescent="0.2">
      <c r="A29" s="264" t="s">
        <v>27</v>
      </c>
      <c r="B29" s="264"/>
      <c r="C29" s="22">
        <f t="shared" ref="C29:I29" si="17">C30+C31</f>
        <v>3722</v>
      </c>
      <c r="D29" s="22">
        <f t="shared" si="17"/>
        <v>3292</v>
      </c>
      <c r="E29" s="22">
        <f t="shared" si="17"/>
        <v>430</v>
      </c>
      <c r="F29" s="22">
        <f t="shared" si="17"/>
        <v>294</v>
      </c>
      <c r="G29" s="22">
        <f t="shared" si="17"/>
        <v>136</v>
      </c>
      <c r="H29" s="22">
        <f t="shared" si="17"/>
        <v>0</v>
      </c>
      <c r="I29" s="22">
        <f t="shared" si="17"/>
        <v>0</v>
      </c>
    </row>
    <row r="30" spans="1:9" s="21" customFormat="1" ht="12" customHeight="1" x14ac:dyDescent="0.2">
      <c r="A30" s="29"/>
      <c r="B30" s="24" t="s">
        <v>28</v>
      </c>
      <c r="C30" s="22">
        <f t="shared" ref="C30:I30" si="18">C151+C165+C177</f>
        <v>1143</v>
      </c>
      <c r="D30" s="22">
        <f t="shared" si="18"/>
        <v>1026</v>
      </c>
      <c r="E30" s="22">
        <f t="shared" si="18"/>
        <v>117</v>
      </c>
      <c r="F30" s="22">
        <f t="shared" si="18"/>
        <v>73</v>
      </c>
      <c r="G30" s="22">
        <f t="shared" si="18"/>
        <v>44</v>
      </c>
      <c r="H30" s="22">
        <f t="shared" si="18"/>
        <v>0</v>
      </c>
      <c r="I30" s="22">
        <f t="shared" si="18"/>
        <v>0</v>
      </c>
    </row>
    <row r="31" spans="1:9" s="21" customFormat="1" ht="12" customHeight="1" x14ac:dyDescent="0.2">
      <c r="A31" s="26"/>
      <c r="B31" s="24" t="s">
        <v>29</v>
      </c>
      <c r="C31" s="22">
        <f t="shared" ref="C31:I31" si="19">C156+C183+C186</f>
        <v>2579</v>
      </c>
      <c r="D31" s="22">
        <f t="shared" si="19"/>
        <v>2266</v>
      </c>
      <c r="E31" s="22">
        <f t="shared" si="19"/>
        <v>313</v>
      </c>
      <c r="F31" s="22">
        <f t="shared" si="19"/>
        <v>221</v>
      </c>
      <c r="G31" s="22">
        <f t="shared" si="19"/>
        <v>92</v>
      </c>
      <c r="H31" s="22">
        <f t="shared" si="19"/>
        <v>0</v>
      </c>
      <c r="I31" s="22">
        <f t="shared" si="19"/>
        <v>0</v>
      </c>
    </row>
    <row r="32" spans="1:9" s="21" customFormat="1" ht="12" customHeight="1" x14ac:dyDescent="0.2">
      <c r="A32" s="264" t="s">
        <v>30</v>
      </c>
      <c r="B32" s="264"/>
      <c r="C32" s="22">
        <f t="shared" ref="C32:I32" si="20">C163+C166+C173+C175+C185</f>
        <v>792</v>
      </c>
      <c r="D32" s="22">
        <f t="shared" si="20"/>
        <v>727</v>
      </c>
      <c r="E32" s="22">
        <f t="shared" si="20"/>
        <v>65</v>
      </c>
      <c r="F32" s="22">
        <f t="shared" si="20"/>
        <v>48</v>
      </c>
      <c r="G32" s="22">
        <f t="shared" si="20"/>
        <v>17</v>
      </c>
      <c r="H32" s="22">
        <f t="shared" si="20"/>
        <v>0</v>
      </c>
      <c r="I32" s="22">
        <f t="shared" si="20"/>
        <v>0</v>
      </c>
    </row>
    <row r="33" spans="1:9" s="21" customFormat="1" ht="12" customHeight="1" x14ac:dyDescent="0.2">
      <c r="A33" s="264" t="s">
        <v>31</v>
      </c>
      <c r="B33" s="264"/>
      <c r="C33" s="22">
        <f t="shared" ref="C33:I33" si="21">C34+C35+C36</f>
        <v>5826</v>
      </c>
      <c r="D33" s="22">
        <f t="shared" si="21"/>
        <v>5214</v>
      </c>
      <c r="E33" s="22">
        <f t="shared" si="21"/>
        <v>612</v>
      </c>
      <c r="F33" s="22">
        <f t="shared" si="21"/>
        <v>455</v>
      </c>
      <c r="G33" s="22">
        <f t="shared" si="21"/>
        <v>157</v>
      </c>
      <c r="H33" s="22">
        <f t="shared" si="21"/>
        <v>0</v>
      </c>
      <c r="I33" s="22">
        <f t="shared" si="21"/>
        <v>0</v>
      </c>
    </row>
    <row r="34" spans="1:9" s="21" customFormat="1" ht="12" customHeight="1" x14ac:dyDescent="0.2">
      <c r="A34" s="29"/>
      <c r="B34" s="24" t="s">
        <v>32</v>
      </c>
      <c r="C34" s="22">
        <f t="shared" ref="C34:I34" si="22">C196</f>
        <v>572</v>
      </c>
      <c r="D34" s="22">
        <f t="shared" si="22"/>
        <v>545</v>
      </c>
      <c r="E34" s="22">
        <f t="shared" si="22"/>
        <v>27</v>
      </c>
      <c r="F34" s="22">
        <f t="shared" si="22"/>
        <v>15</v>
      </c>
      <c r="G34" s="22">
        <f t="shared" si="22"/>
        <v>12</v>
      </c>
      <c r="H34" s="22">
        <f t="shared" si="22"/>
        <v>0</v>
      </c>
      <c r="I34" s="22">
        <f t="shared" si="22"/>
        <v>0</v>
      </c>
    </row>
    <row r="35" spans="1:9" s="21" customFormat="1" ht="12" customHeight="1" x14ac:dyDescent="0.2">
      <c r="A35" s="23"/>
      <c r="B35" s="24" t="s">
        <v>33</v>
      </c>
      <c r="C35" s="22">
        <f t="shared" ref="C35:I35" si="23">C192+C193+C194+C197</f>
        <v>224</v>
      </c>
      <c r="D35" s="22">
        <f t="shared" si="23"/>
        <v>206</v>
      </c>
      <c r="E35" s="22">
        <f t="shared" si="23"/>
        <v>18</v>
      </c>
      <c r="F35" s="22">
        <f t="shared" si="23"/>
        <v>7</v>
      </c>
      <c r="G35" s="22">
        <f t="shared" si="23"/>
        <v>11</v>
      </c>
      <c r="H35" s="22">
        <f t="shared" si="23"/>
        <v>0</v>
      </c>
      <c r="I35" s="22">
        <f t="shared" si="23"/>
        <v>0</v>
      </c>
    </row>
    <row r="36" spans="1:9" s="21" customFormat="1" ht="12" customHeight="1" x14ac:dyDescent="0.2">
      <c r="A36" s="23"/>
      <c r="B36" s="30" t="s">
        <v>34</v>
      </c>
      <c r="C36" s="28">
        <f t="shared" ref="C36:I36" si="24">C191+C195+C198</f>
        <v>5030</v>
      </c>
      <c r="D36" s="28">
        <f t="shared" si="24"/>
        <v>4463</v>
      </c>
      <c r="E36" s="28">
        <f t="shared" si="24"/>
        <v>567</v>
      </c>
      <c r="F36" s="28">
        <f t="shared" si="24"/>
        <v>433</v>
      </c>
      <c r="G36" s="28">
        <f t="shared" si="24"/>
        <v>134</v>
      </c>
      <c r="H36" s="28">
        <f t="shared" si="24"/>
        <v>0</v>
      </c>
      <c r="I36" s="28">
        <f t="shared" si="24"/>
        <v>0</v>
      </c>
    </row>
    <row r="37" spans="1:9" s="21" customFormat="1" ht="12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</row>
    <row r="38" spans="1:9" s="19" customFormat="1" ht="12" customHeight="1" x14ac:dyDescent="0.2">
      <c r="A38" s="263" t="s">
        <v>35</v>
      </c>
      <c r="B38" s="263"/>
      <c r="C38" s="20">
        <f t="shared" ref="C38:I38" si="25">C39+C40</f>
        <v>46549</v>
      </c>
      <c r="D38" s="20">
        <f t="shared" si="25"/>
        <v>34146</v>
      </c>
      <c r="E38" s="20">
        <f t="shared" si="25"/>
        <v>12403</v>
      </c>
      <c r="F38" s="20">
        <f t="shared" si="25"/>
        <v>9948</v>
      </c>
      <c r="G38" s="20">
        <f t="shared" si="25"/>
        <v>2425</v>
      </c>
      <c r="H38" s="20">
        <f t="shared" si="25"/>
        <v>1</v>
      </c>
      <c r="I38" s="20">
        <f t="shared" si="25"/>
        <v>29</v>
      </c>
    </row>
    <row r="39" spans="1:9" s="21" customFormat="1" ht="12" customHeight="1" x14ac:dyDescent="0.2">
      <c r="A39" s="264" t="s">
        <v>36</v>
      </c>
      <c r="B39" s="264"/>
      <c r="C39" s="22">
        <f t="shared" ref="C39:I39" si="26">C201+C202+C204+C205+C207+C210+C213+C214+C217+C218</f>
        <v>40427</v>
      </c>
      <c r="D39" s="22">
        <f t="shared" si="26"/>
        <v>29850</v>
      </c>
      <c r="E39" s="22">
        <f t="shared" si="26"/>
        <v>10577</v>
      </c>
      <c r="F39" s="22">
        <f t="shared" si="26"/>
        <v>8488</v>
      </c>
      <c r="G39" s="22">
        <f t="shared" si="26"/>
        <v>2062</v>
      </c>
      <c r="H39" s="22">
        <f t="shared" si="26"/>
        <v>1</v>
      </c>
      <c r="I39" s="22">
        <f t="shared" si="26"/>
        <v>26</v>
      </c>
    </row>
    <row r="40" spans="1:9" s="21" customFormat="1" ht="12" customHeight="1" x14ac:dyDescent="0.2">
      <c r="A40" s="267" t="s">
        <v>37</v>
      </c>
      <c r="B40" s="267"/>
      <c r="C40" s="28">
        <f t="shared" ref="C40:I40" si="27">+C203+C157+C208+C216</f>
        <v>6122</v>
      </c>
      <c r="D40" s="28">
        <f t="shared" si="27"/>
        <v>4296</v>
      </c>
      <c r="E40" s="28">
        <f t="shared" si="27"/>
        <v>1826</v>
      </c>
      <c r="F40" s="28">
        <f t="shared" si="27"/>
        <v>1460</v>
      </c>
      <c r="G40" s="28">
        <f t="shared" si="27"/>
        <v>363</v>
      </c>
      <c r="H40" s="28">
        <f t="shared" si="27"/>
        <v>0</v>
      </c>
      <c r="I40" s="28">
        <f t="shared" si="27"/>
        <v>3</v>
      </c>
    </row>
    <row r="41" spans="1:9" s="21" customFormat="1" ht="12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</row>
    <row r="42" spans="1:9" s="19" customFormat="1" ht="12" customHeight="1" x14ac:dyDescent="0.2">
      <c r="A42" s="263" t="s">
        <v>38</v>
      </c>
      <c r="B42" s="263"/>
      <c r="C42" s="20">
        <f t="shared" ref="C42:I42" si="28">C43+C44+C48</f>
        <v>136673</v>
      </c>
      <c r="D42" s="20">
        <f t="shared" si="28"/>
        <v>98089</v>
      </c>
      <c r="E42" s="20">
        <f t="shared" si="28"/>
        <v>38584</v>
      </c>
      <c r="F42" s="20">
        <f t="shared" si="28"/>
        <v>26600</v>
      </c>
      <c r="G42" s="20">
        <f t="shared" si="28"/>
        <v>11821</v>
      </c>
      <c r="H42" s="20">
        <f t="shared" si="28"/>
        <v>34</v>
      </c>
      <c r="I42" s="20">
        <f t="shared" si="28"/>
        <v>129</v>
      </c>
    </row>
    <row r="43" spans="1:9" s="21" customFormat="1" ht="12" customHeight="1" x14ac:dyDescent="0.2">
      <c r="A43" s="264" t="s">
        <v>39</v>
      </c>
      <c r="B43" s="264"/>
      <c r="C43" s="22">
        <f t="shared" ref="C43:I43" si="29">C98+C99+C101+C103+C104+C108+C109+C111+C113+C115+C116+C120+C122+C126+C127+C131+C134+C138+C142+C146+C147</f>
        <v>90623</v>
      </c>
      <c r="D43" s="22">
        <f t="shared" si="29"/>
        <v>60140</v>
      </c>
      <c r="E43" s="22">
        <f t="shared" si="29"/>
        <v>30483</v>
      </c>
      <c r="F43" s="22">
        <f t="shared" si="29"/>
        <v>20303</v>
      </c>
      <c r="G43" s="22">
        <f t="shared" si="29"/>
        <v>10040</v>
      </c>
      <c r="H43" s="22">
        <f t="shared" si="29"/>
        <v>33</v>
      </c>
      <c r="I43" s="22">
        <f t="shared" si="29"/>
        <v>107</v>
      </c>
    </row>
    <row r="44" spans="1:9" s="21" customFormat="1" ht="12" customHeight="1" x14ac:dyDescent="0.2">
      <c r="A44" s="270" t="s">
        <v>40</v>
      </c>
      <c r="B44" s="270"/>
      <c r="C44" s="22">
        <f t="shared" ref="C44:I44" si="30">C45+C46+C47</f>
        <v>24037</v>
      </c>
      <c r="D44" s="22">
        <f t="shared" si="30"/>
        <v>20391</v>
      </c>
      <c r="E44" s="22">
        <f t="shared" si="30"/>
        <v>3646</v>
      </c>
      <c r="F44" s="22">
        <f t="shared" si="30"/>
        <v>2900</v>
      </c>
      <c r="G44" s="22">
        <f t="shared" si="30"/>
        <v>732</v>
      </c>
      <c r="H44" s="22">
        <f t="shared" si="30"/>
        <v>0</v>
      </c>
      <c r="I44" s="22">
        <f t="shared" si="30"/>
        <v>14</v>
      </c>
    </row>
    <row r="45" spans="1:9" s="21" customFormat="1" ht="12" customHeight="1" x14ac:dyDescent="0.2">
      <c r="A45" s="30"/>
      <c r="B45" s="24" t="s">
        <v>41</v>
      </c>
      <c r="C45" s="22">
        <f t="shared" ref="C45:I45" si="31">C90+C93+C100+C114+C209+C118+C211+C123+C136+C140+C143</f>
        <v>12133</v>
      </c>
      <c r="D45" s="22">
        <f t="shared" si="31"/>
        <v>9770</v>
      </c>
      <c r="E45" s="22">
        <f t="shared" si="31"/>
        <v>2363</v>
      </c>
      <c r="F45" s="22">
        <f t="shared" si="31"/>
        <v>1918</v>
      </c>
      <c r="G45" s="22">
        <f t="shared" si="31"/>
        <v>434</v>
      </c>
      <c r="H45" s="22">
        <f t="shared" si="31"/>
        <v>0</v>
      </c>
      <c r="I45" s="22">
        <f t="shared" si="31"/>
        <v>11</v>
      </c>
    </row>
    <row r="46" spans="1:9" s="21" customFormat="1" ht="12" customHeight="1" x14ac:dyDescent="0.2">
      <c r="A46" s="30"/>
      <c r="B46" s="24" t="s">
        <v>42</v>
      </c>
      <c r="C46" s="22">
        <f t="shared" ref="C46:I46" si="32">C102+C130+C132+C141</f>
        <v>11004</v>
      </c>
      <c r="D46" s="22">
        <f t="shared" si="32"/>
        <v>9799</v>
      </c>
      <c r="E46" s="22">
        <f t="shared" si="32"/>
        <v>1205</v>
      </c>
      <c r="F46" s="22">
        <f t="shared" si="32"/>
        <v>929</v>
      </c>
      <c r="G46" s="22">
        <f t="shared" si="32"/>
        <v>273</v>
      </c>
      <c r="H46" s="22">
        <f t="shared" si="32"/>
        <v>0</v>
      </c>
      <c r="I46" s="22">
        <f t="shared" si="32"/>
        <v>3</v>
      </c>
    </row>
    <row r="47" spans="1:9" s="21" customFormat="1" ht="12" customHeight="1" x14ac:dyDescent="0.2">
      <c r="A47" s="30"/>
      <c r="B47" s="25" t="s">
        <v>43</v>
      </c>
      <c r="C47" s="22">
        <f t="shared" ref="C47:I47" si="33">C95+C106+C107+C144</f>
        <v>900</v>
      </c>
      <c r="D47" s="22">
        <f t="shared" si="33"/>
        <v>822</v>
      </c>
      <c r="E47" s="22">
        <f t="shared" si="33"/>
        <v>78</v>
      </c>
      <c r="F47" s="22">
        <f t="shared" si="33"/>
        <v>53</v>
      </c>
      <c r="G47" s="22">
        <f t="shared" si="33"/>
        <v>25</v>
      </c>
      <c r="H47" s="22">
        <f t="shared" si="33"/>
        <v>0</v>
      </c>
      <c r="I47" s="22">
        <f t="shared" si="33"/>
        <v>0</v>
      </c>
    </row>
    <row r="48" spans="1:9" s="21" customFormat="1" ht="12" customHeight="1" x14ac:dyDescent="0.2">
      <c r="A48" s="264" t="s">
        <v>44</v>
      </c>
      <c r="B48" s="264"/>
      <c r="C48" s="22">
        <f t="shared" ref="C48:I48" si="34">C49+C50+C51</f>
        <v>22013</v>
      </c>
      <c r="D48" s="22">
        <f t="shared" si="34"/>
        <v>17558</v>
      </c>
      <c r="E48" s="22">
        <f t="shared" si="34"/>
        <v>4455</v>
      </c>
      <c r="F48" s="22">
        <f t="shared" si="34"/>
        <v>3397</v>
      </c>
      <c r="G48" s="22">
        <f t="shared" si="34"/>
        <v>1049</v>
      </c>
      <c r="H48" s="22">
        <f t="shared" si="34"/>
        <v>1</v>
      </c>
      <c r="I48" s="22">
        <f t="shared" si="34"/>
        <v>8</v>
      </c>
    </row>
    <row r="49" spans="1:9" s="21" customFormat="1" ht="12" customHeight="1" x14ac:dyDescent="0.2">
      <c r="A49" s="30"/>
      <c r="B49" s="24" t="s">
        <v>45</v>
      </c>
      <c r="C49" s="22">
        <f t="shared" ref="C49:I49" si="35">+C86+C87+C97+C124</f>
        <v>2587</v>
      </c>
      <c r="D49" s="22">
        <f t="shared" si="35"/>
        <v>2320</v>
      </c>
      <c r="E49" s="22">
        <f t="shared" si="35"/>
        <v>267</v>
      </c>
      <c r="F49" s="22">
        <f t="shared" si="35"/>
        <v>183</v>
      </c>
      <c r="G49" s="22">
        <f t="shared" si="35"/>
        <v>83</v>
      </c>
      <c r="H49" s="22">
        <f t="shared" si="35"/>
        <v>0</v>
      </c>
      <c r="I49" s="22">
        <f t="shared" si="35"/>
        <v>1</v>
      </c>
    </row>
    <row r="50" spans="1:9" s="21" customFormat="1" ht="12" customHeight="1" x14ac:dyDescent="0.2">
      <c r="A50" s="30"/>
      <c r="B50" s="24" t="s">
        <v>46</v>
      </c>
      <c r="C50" s="22">
        <f t="shared" ref="C50:I50" si="36">C89+C91+C110+C112+C125+C129+C135+C139</f>
        <v>6047</v>
      </c>
      <c r="D50" s="22">
        <f t="shared" si="36"/>
        <v>5166</v>
      </c>
      <c r="E50" s="22">
        <f t="shared" si="36"/>
        <v>881</v>
      </c>
      <c r="F50" s="22">
        <f t="shared" si="36"/>
        <v>672</v>
      </c>
      <c r="G50" s="22">
        <f t="shared" si="36"/>
        <v>207</v>
      </c>
      <c r="H50" s="22">
        <f t="shared" si="36"/>
        <v>0</v>
      </c>
      <c r="I50" s="22">
        <f t="shared" si="36"/>
        <v>2</v>
      </c>
    </row>
    <row r="51" spans="1:9" s="21" customFormat="1" ht="12" customHeight="1" x14ac:dyDescent="0.2">
      <c r="A51" s="30"/>
      <c r="B51" s="30" t="s">
        <v>47</v>
      </c>
      <c r="C51" s="28">
        <f t="shared" ref="C51:I51" si="37">C85+C92+C105+C117+C128+C133+C145</f>
        <v>13379</v>
      </c>
      <c r="D51" s="28">
        <f t="shared" si="37"/>
        <v>10072</v>
      </c>
      <c r="E51" s="28">
        <f t="shared" si="37"/>
        <v>3307</v>
      </c>
      <c r="F51" s="28">
        <f t="shared" si="37"/>
        <v>2542</v>
      </c>
      <c r="G51" s="28">
        <f t="shared" si="37"/>
        <v>759</v>
      </c>
      <c r="H51" s="28">
        <f t="shared" si="37"/>
        <v>1</v>
      </c>
      <c r="I51" s="28">
        <f t="shared" si="37"/>
        <v>5</v>
      </c>
    </row>
    <row r="52" spans="1:9" s="21" customFormat="1" ht="12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</row>
    <row r="53" spans="1:9" s="19" customFormat="1" ht="12" customHeight="1" x14ac:dyDescent="0.2">
      <c r="A53" s="263" t="s">
        <v>48</v>
      </c>
      <c r="B53" s="263"/>
      <c r="C53" s="20">
        <f t="shared" ref="C53:I53" si="38">C54+C55+C56</f>
        <v>53548</v>
      </c>
      <c r="D53" s="20">
        <f t="shared" si="38"/>
        <v>42017</v>
      </c>
      <c r="E53" s="20">
        <f t="shared" si="38"/>
        <v>11531</v>
      </c>
      <c r="F53" s="20">
        <f t="shared" si="38"/>
        <v>7977</v>
      </c>
      <c r="G53" s="20">
        <f t="shared" si="38"/>
        <v>3387</v>
      </c>
      <c r="H53" s="20">
        <f t="shared" si="38"/>
        <v>141</v>
      </c>
      <c r="I53" s="20">
        <f t="shared" si="38"/>
        <v>26</v>
      </c>
    </row>
    <row r="54" spans="1:9" s="21" customFormat="1" ht="12" customHeight="1" x14ac:dyDescent="0.2">
      <c r="A54" s="264" t="s">
        <v>49</v>
      </c>
      <c r="B54" s="264"/>
      <c r="C54" s="22">
        <f t="shared" ref="C54:I54" si="39">C60+C67+C73+C82</f>
        <v>18713</v>
      </c>
      <c r="D54" s="22">
        <f t="shared" si="39"/>
        <v>13482</v>
      </c>
      <c r="E54" s="22">
        <f t="shared" si="39"/>
        <v>5231</v>
      </c>
      <c r="F54" s="22">
        <f t="shared" si="39"/>
        <v>3667</v>
      </c>
      <c r="G54" s="22">
        <f t="shared" si="39"/>
        <v>1415</v>
      </c>
      <c r="H54" s="22">
        <f t="shared" si="39"/>
        <v>135</v>
      </c>
      <c r="I54" s="22">
        <f t="shared" si="39"/>
        <v>14</v>
      </c>
    </row>
    <row r="55" spans="1:9" s="21" customFormat="1" ht="12" customHeight="1" x14ac:dyDescent="0.2">
      <c r="A55" s="264" t="s">
        <v>50</v>
      </c>
      <c r="B55" s="264"/>
      <c r="C55" s="22">
        <f t="shared" ref="C55:I55" si="40">C88+C59+C61+C94+C96+C65+C68+C69+C70+C119+C121+C71+C72+C76+C77+C78+C137+C80+C81</f>
        <v>30811</v>
      </c>
      <c r="D55" s="22">
        <f t="shared" si="40"/>
        <v>24908</v>
      </c>
      <c r="E55" s="22">
        <f t="shared" si="40"/>
        <v>5903</v>
      </c>
      <c r="F55" s="22">
        <f t="shared" si="40"/>
        <v>4013</v>
      </c>
      <c r="G55" s="22">
        <f t="shared" si="40"/>
        <v>1873</v>
      </c>
      <c r="H55" s="22">
        <f t="shared" si="40"/>
        <v>6</v>
      </c>
      <c r="I55" s="22">
        <f t="shared" si="40"/>
        <v>11</v>
      </c>
    </row>
    <row r="56" spans="1:9" s="21" customFormat="1" ht="12" customHeight="1" x14ac:dyDescent="0.2">
      <c r="A56" s="267" t="s">
        <v>51</v>
      </c>
      <c r="B56" s="267"/>
      <c r="C56" s="28">
        <f t="shared" ref="C56:I56" si="41">C62+C63+C64+C66+C74+C75+C79</f>
        <v>4024</v>
      </c>
      <c r="D56" s="28">
        <f t="shared" si="41"/>
        <v>3627</v>
      </c>
      <c r="E56" s="28">
        <f t="shared" si="41"/>
        <v>397</v>
      </c>
      <c r="F56" s="28">
        <f t="shared" si="41"/>
        <v>297</v>
      </c>
      <c r="G56" s="28">
        <f t="shared" si="41"/>
        <v>99</v>
      </c>
      <c r="H56" s="28">
        <f t="shared" si="41"/>
        <v>0</v>
      </c>
      <c r="I56" s="28">
        <f t="shared" si="41"/>
        <v>1</v>
      </c>
    </row>
    <row r="57" spans="1:9" s="21" customFormat="1" ht="12" customHeight="1" x14ac:dyDescent="0.2">
      <c r="A57" s="30"/>
      <c r="B57" s="27"/>
      <c r="C57" s="44"/>
      <c r="D57" s="44"/>
      <c r="E57" s="44"/>
      <c r="F57" s="44"/>
      <c r="G57" s="44"/>
      <c r="H57" s="44"/>
      <c r="I57" s="44"/>
    </row>
    <row r="58" spans="1:9" s="21" customFormat="1" ht="12" customHeight="1" x14ac:dyDescent="0.2">
      <c r="A58" s="263" t="s">
        <v>52</v>
      </c>
      <c r="B58" s="263"/>
      <c r="C58" s="20">
        <f t="shared" ref="C58:I58" si="42">SUM(C59:C82)</f>
        <v>48672</v>
      </c>
      <c r="D58" s="20">
        <f t="shared" si="42"/>
        <v>38164</v>
      </c>
      <c r="E58" s="20">
        <f t="shared" si="42"/>
        <v>10508</v>
      </c>
      <c r="F58" s="20">
        <f t="shared" si="42"/>
        <v>7298</v>
      </c>
      <c r="G58" s="20">
        <f t="shared" si="42"/>
        <v>3045</v>
      </c>
      <c r="H58" s="20">
        <f t="shared" si="42"/>
        <v>140</v>
      </c>
      <c r="I58" s="20">
        <f t="shared" si="42"/>
        <v>25</v>
      </c>
    </row>
    <row r="59" spans="1:9" s="21" customFormat="1" ht="12" customHeight="1" x14ac:dyDescent="0.2">
      <c r="A59" s="264" t="s">
        <v>242</v>
      </c>
      <c r="B59" s="264"/>
      <c r="C59" s="22">
        <v>1131</v>
      </c>
      <c r="D59" s="22">
        <v>985</v>
      </c>
      <c r="E59" s="22">
        <v>146</v>
      </c>
      <c r="F59" s="22">
        <v>108</v>
      </c>
      <c r="G59" s="22">
        <v>38</v>
      </c>
      <c r="H59" s="22">
        <v>0</v>
      </c>
      <c r="I59" s="22">
        <v>0</v>
      </c>
    </row>
    <row r="60" spans="1:9" s="21" customFormat="1" ht="12" customHeight="1" x14ac:dyDescent="0.2">
      <c r="A60" s="264" t="s">
        <v>53</v>
      </c>
      <c r="B60" s="264"/>
      <c r="C60" s="22">
        <v>3468</v>
      </c>
      <c r="D60" s="22">
        <v>2759</v>
      </c>
      <c r="E60" s="22">
        <v>709</v>
      </c>
      <c r="F60" s="22">
        <v>528</v>
      </c>
      <c r="G60" s="22">
        <v>176</v>
      </c>
      <c r="H60" s="22">
        <v>2</v>
      </c>
      <c r="I60" s="22">
        <v>3</v>
      </c>
    </row>
    <row r="61" spans="1:9" s="21" customFormat="1" ht="12" customHeight="1" x14ac:dyDescent="0.2">
      <c r="A61" s="264" t="s">
        <v>54</v>
      </c>
      <c r="B61" s="264"/>
      <c r="C61" s="22">
        <v>638</v>
      </c>
      <c r="D61" s="22">
        <v>582</v>
      </c>
      <c r="E61" s="22">
        <v>56</v>
      </c>
      <c r="F61" s="22">
        <v>40</v>
      </c>
      <c r="G61" s="22">
        <v>16</v>
      </c>
      <c r="H61" s="22">
        <v>0</v>
      </c>
      <c r="I61" s="22">
        <v>0</v>
      </c>
    </row>
    <row r="62" spans="1:9" s="21" customFormat="1" ht="12" customHeight="1" x14ac:dyDescent="0.2">
      <c r="A62" s="264" t="s">
        <v>243</v>
      </c>
      <c r="B62" s="264"/>
      <c r="C62" s="22">
        <v>180</v>
      </c>
      <c r="D62" s="22">
        <v>170</v>
      </c>
      <c r="E62" s="22">
        <v>10</v>
      </c>
      <c r="F62" s="22">
        <v>8</v>
      </c>
      <c r="G62" s="22">
        <v>2</v>
      </c>
      <c r="H62" s="22">
        <v>0</v>
      </c>
      <c r="I62" s="22">
        <v>0</v>
      </c>
    </row>
    <row r="63" spans="1:9" s="21" customFormat="1" ht="12" customHeight="1" x14ac:dyDescent="0.2">
      <c r="A63" s="264" t="s">
        <v>244</v>
      </c>
      <c r="B63" s="264"/>
      <c r="C63" s="22">
        <v>193</v>
      </c>
      <c r="D63" s="22">
        <v>176</v>
      </c>
      <c r="E63" s="22">
        <v>17</v>
      </c>
      <c r="F63" s="22">
        <v>15</v>
      </c>
      <c r="G63" s="22">
        <v>2</v>
      </c>
      <c r="H63" s="22">
        <v>0</v>
      </c>
      <c r="I63" s="22">
        <v>0</v>
      </c>
    </row>
    <row r="64" spans="1:9" s="21" customFormat="1" ht="12" customHeight="1" x14ac:dyDescent="0.2">
      <c r="A64" s="316" t="s">
        <v>245</v>
      </c>
      <c r="B64" s="316"/>
      <c r="C64" s="22">
        <v>333</v>
      </c>
      <c r="D64" s="22">
        <v>314</v>
      </c>
      <c r="E64" s="22">
        <v>19</v>
      </c>
      <c r="F64" s="22">
        <v>15</v>
      </c>
      <c r="G64" s="22">
        <v>4</v>
      </c>
      <c r="H64" s="22">
        <v>0</v>
      </c>
      <c r="I64" s="22">
        <v>0</v>
      </c>
    </row>
    <row r="65" spans="1:9" s="21" customFormat="1" ht="12" customHeight="1" x14ac:dyDescent="0.2">
      <c r="A65" s="264" t="s">
        <v>246</v>
      </c>
      <c r="B65" s="264"/>
      <c r="C65" s="22">
        <v>769</v>
      </c>
      <c r="D65" s="22">
        <v>610</v>
      </c>
      <c r="E65" s="22">
        <v>159</v>
      </c>
      <c r="F65" s="22">
        <v>108</v>
      </c>
      <c r="G65" s="22">
        <v>51</v>
      </c>
      <c r="H65" s="22">
        <v>0</v>
      </c>
      <c r="I65" s="22">
        <v>0</v>
      </c>
    </row>
    <row r="66" spans="1:9" s="21" customFormat="1" ht="12" customHeight="1" x14ac:dyDescent="0.2">
      <c r="A66" s="264" t="s">
        <v>56</v>
      </c>
      <c r="B66" s="264"/>
      <c r="C66" s="22">
        <v>2112</v>
      </c>
      <c r="D66" s="22">
        <v>1875</v>
      </c>
      <c r="E66" s="22">
        <v>237</v>
      </c>
      <c r="F66" s="22">
        <v>168</v>
      </c>
      <c r="G66" s="22">
        <v>68</v>
      </c>
      <c r="H66" s="22">
        <v>0</v>
      </c>
      <c r="I66" s="22">
        <v>1</v>
      </c>
    </row>
    <row r="67" spans="1:9" s="21" customFormat="1" ht="12" customHeight="1" x14ac:dyDescent="0.2">
      <c r="A67" s="264" t="s">
        <v>57</v>
      </c>
      <c r="B67" s="264"/>
      <c r="C67" s="22">
        <v>7853</v>
      </c>
      <c r="D67" s="22">
        <v>4997</v>
      </c>
      <c r="E67" s="22">
        <v>2856</v>
      </c>
      <c r="F67" s="22">
        <v>1943</v>
      </c>
      <c r="G67" s="22">
        <v>777</v>
      </c>
      <c r="H67" s="22">
        <v>128</v>
      </c>
      <c r="I67" s="22">
        <v>8</v>
      </c>
    </row>
    <row r="68" spans="1:9" s="21" customFormat="1" ht="12" customHeight="1" x14ac:dyDescent="0.2">
      <c r="A68" s="264" t="s">
        <v>58</v>
      </c>
      <c r="B68" s="264"/>
      <c r="C68" s="22">
        <v>2623</v>
      </c>
      <c r="D68" s="22">
        <v>2148</v>
      </c>
      <c r="E68" s="22">
        <v>475</v>
      </c>
      <c r="F68" s="22">
        <v>316</v>
      </c>
      <c r="G68" s="22">
        <v>156</v>
      </c>
      <c r="H68" s="22">
        <v>1</v>
      </c>
      <c r="I68" s="22">
        <v>2</v>
      </c>
    </row>
    <row r="69" spans="1:9" s="21" customFormat="1" ht="12" customHeight="1" x14ac:dyDescent="0.2">
      <c r="A69" s="264" t="s">
        <v>247</v>
      </c>
      <c r="B69" s="264"/>
      <c r="C69" s="22">
        <v>919</v>
      </c>
      <c r="D69" s="22">
        <v>776</v>
      </c>
      <c r="E69" s="22">
        <v>143</v>
      </c>
      <c r="F69" s="22">
        <v>113</v>
      </c>
      <c r="G69" s="22">
        <v>30</v>
      </c>
      <c r="H69" s="22">
        <v>0</v>
      </c>
      <c r="I69" s="22">
        <v>0</v>
      </c>
    </row>
    <row r="70" spans="1:9" s="21" customFormat="1" ht="12" customHeight="1" x14ac:dyDescent="0.2">
      <c r="A70" s="264" t="s">
        <v>59</v>
      </c>
      <c r="B70" s="264"/>
      <c r="C70" s="22">
        <v>1666</v>
      </c>
      <c r="D70" s="22">
        <v>1413</v>
      </c>
      <c r="E70" s="22">
        <v>253</v>
      </c>
      <c r="F70" s="22">
        <v>182</v>
      </c>
      <c r="G70" s="22">
        <v>70</v>
      </c>
      <c r="H70" s="22">
        <v>0</v>
      </c>
      <c r="I70" s="22">
        <v>1</v>
      </c>
    </row>
    <row r="71" spans="1:9" s="21" customFormat="1" ht="12" customHeight="1" x14ac:dyDescent="0.2">
      <c r="A71" s="264" t="s">
        <v>60</v>
      </c>
      <c r="B71" s="264"/>
      <c r="C71" s="22">
        <v>6804</v>
      </c>
      <c r="D71" s="22">
        <v>5208</v>
      </c>
      <c r="E71" s="22">
        <v>1596</v>
      </c>
      <c r="F71" s="22">
        <v>920</v>
      </c>
      <c r="G71" s="22">
        <v>673</v>
      </c>
      <c r="H71" s="22">
        <v>0</v>
      </c>
      <c r="I71" s="22">
        <v>3</v>
      </c>
    </row>
    <row r="72" spans="1:9" s="21" customFormat="1" ht="12" customHeight="1" x14ac:dyDescent="0.2">
      <c r="A72" s="264" t="s">
        <v>61</v>
      </c>
      <c r="B72" s="264"/>
      <c r="C72" s="22">
        <v>335</v>
      </c>
      <c r="D72" s="22">
        <v>316</v>
      </c>
      <c r="E72" s="22">
        <v>19</v>
      </c>
      <c r="F72" s="22">
        <v>13</v>
      </c>
      <c r="G72" s="22">
        <v>6</v>
      </c>
      <c r="H72" s="22">
        <v>0</v>
      </c>
      <c r="I72" s="22">
        <v>0</v>
      </c>
    </row>
    <row r="73" spans="1:9" s="21" customFormat="1" ht="12" customHeight="1" x14ac:dyDescent="0.2">
      <c r="A73" s="264" t="s">
        <v>62</v>
      </c>
      <c r="B73" s="264"/>
      <c r="C73" s="22">
        <v>4438</v>
      </c>
      <c r="D73" s="22">
        <v>3456</v>
      </c>
      <c r="E73" s="22">
        <v>982</v>
      </c>
      <c r="F73" s="22">
        <v>702</v>
      </c>
      <c r="G73" s="22">
        <v>279</v>
      </c>
      <c r="H73" s="22">
        <v>0</v>
      </c>
      <c r="I73" s="22">
        <v>1</v>
      </c>
    </row>
    <row r="74" spans="1:9" s="21" customFormat="1" ht="12" customHeight="1" x14ac:dyDescent="0.2">
      <c r="A74" s="264" t="s">
        <v>248</v>
      </c>
      <c r="B74" s="264"/>
      <c r="C74" s="22">
        <v>687</v>
      </c>
      <c r="D74" s="22">
        <v>616</v>
      </c>
      <c r="E74" s="22">
        <v>71</v>
      </c>
      <c r="F74" s="22">
        <v>58</v>
      </c>
      <c r="G74" s="22">
        <v>13</v>
      </c>
      <c r="H74" s="22">
        <v>0</v>
      </c>
      <c r="I74" s="22">
        <v>0</v>
      </c>
    </row>
    <row r="75" spans="1:9" s="21" customFormat="1" ht="12" customHeight="1" x14ac:dyDescent="0.2">
      <c r="A75" s="264" t="s">
        <v>249</v>
      </c>
      <c r="B75" s="264"/>
      <c r="C75" s="22">
        <v>211</v>
      </c>
      <c r="D75" s="22">
        <v>201</v>
      </c>
      <c r="E75" s="22">
        <v>10</v>
      </c>
      <c r="F75" s="22">
        <v>7</v>
      </c>
      <c r="G75" s="22">
        <v>3</v>
      </c>
      <c r="H75" s="22">
        <v>0</v>
      </c>
      <c r="I75" s="22">
        <v>0</v>
      </c>
    </row>
    <row r="76" spans="1:9" s="21" customFormat="1" ht="12" customHeight="1" x14ac:dyDescent="0.2">
      <c r="A76" s="264" t="s">
        <v>63</v>
      </c>
      <c r="B76" s="264"/>
      <c r="C76" s="22">
        <v>2408</v>
      </c>
      <c r="D76" s="22">
        <v>2029</v>
      </c>
      <c r="E76" s="22">
        <v>379</v>
      </c>
      <c r="F76" s="22">
        <v>314</v>
      </c>
      <c r="G76" s="22">
        <v>64</v>
      </c>
      <c r="H76" s="22">
        <v>0</v>
      </c>
      <c r="I76" s="22">
        <v>1</v>
      </c>
    </row>
    <row r="77" spans="1:9" s="21" customFormat="1" ht="12" customHeight="1" x14ac:dyDescent="0.2">
      <c r="A77" s="264" t="s">
        <v>250</v>
      </c>
      <c r="B77" s="264"/>
      <c r="C77" s="22">
        <v>1463</v>
      </c>
      <c r="D77" s="22">
        <v>1220</v>
      </c>
      <c r="E77" s="22">
        <v>243</v>
      </c>
      <c r="F77" s="22">
        <v>178</v>
      </c>
      <c r="G77" s="22">
        <v>65</v>
      </c>
      <c r="H77" s="22">
        <v>0</v>
      </c>
      <c r="I77" s="22">
        <v>0</v>
      </c>
    </row>
    <row r="78" spans="1:9" s="21" customFormat="1" ht="12" customHeight="1" x14ac:dyDescent="0.2">
      <c r="A78" s="264" t="s">
        <v>64</v>
      </c>
      <c r="B78" s="264"/>
      <c r="C78" s="22">
        <v>2489</v>
      </c>
      <c r="D78" s="22">
        <v>2081</v>
      </c>
      <c r="E78" s="22">
        <v>408</v>
      </c>
      <c r="F78" s="22">
        <v>311</v>
      </c>
      <c r="G78" s="22">
        <v>96</v>
      </c>
      <c r="H78" s="22">
        <v>0</v>
      </c>
      <c r="I78" s="22">
        <v>1</v>
      </c>
    </row>
    <row r="79" spans="1:9" s="21" customFormat="1" ht="12" customHeight="1" x14ac:dyDescent="0.2">
      <c r="A79" s="264" t="s">
        <v>251</v>
      </c>
      <c r="B79" s="264"/>
      <c r="C79" s="22">
        <v>308</v>
      </c>
      <c r="D79" s="22">
        <v>275</v>
      </c>
      <c r="E79" s="22">
        <v>33</v>
      </c>
      <c r="F79" s="22">
        <v>26</v>
      </c>
      <c r="G79" s="22">
        <v>7</v>
      </c>
      <c r="H79" s="22">
        <v>0</v>
      </c>
      <c r="I79" s="22">
        <v>0</v>
      </c>
    </row>
    <row r="80" spans="1:9" s="21" customFormat="1" ht="12" customHeight="1" x14ac:dyDescent="0.2">
      <c r="A80" s="264" t="s">
        <v>65</v>
      </c>
      <c r="B80" s="264"/>
      <c r="C80" s="22">
        <v>4222</v>
      </c>
      <c r="D80" s="22">
        <v>3253</v>
      </c>
      <c r="E80" s="22">
        <v>969</v>
      </c>
      <c r="F80" s="22">
        <v>712</v>
      </c>
      <c r="G80" s="22">
        <v>251</v>
      </c>
      <c r="H80" s="22">
        <v>4</v>
      </c>
      <c r="I80" s="22">
        <v>2</v>
      </c>
    </row>
    <row r="81" spans="1:9" s="21" customFormat="1" ht="12" customHeight="1" x14ac:dyDescent="0.2">
      <c r="A81" s="264" t="s">
        <v>252</v>
      </c>
      <c r="B81" s="264"/>
      <c r="C81" s="22">
        <v>468</v>
      </c>
      <c r="D81" s="22">
        <v>434</v>
      </c>
      <c r="E81" s="22">
        <v>34</v>
      </c>
      <c r="F81" s="22">
        <v>19</v>
      </c>
      <c r="G81" s="22">
        <v>15</v>
      </c>
      <c r="H81" s="22">
        <v>0</v>
      </c>
      <c r="I81" s="22">
        <v>0</v>
      </c>
    </row>
    <row r="82" spans="1:9" s="21" customFormat="1" ht="12" customHeight="1" x14ac:dyDescent="0.2">
      <c r="A82" s="267" t="s">
        <v>66</v>
      </c>
      <c r="B82" s="267"/>
      <c r="C82" s="28">
        <v>2954</v>
      </c>
      <c r="D82" s="28">
        <v>2270</v>
      </c>
      <c r="E82" s="28">
        <v>684</v>
      </c>
      <c r="F82" s="28">
        <v>494</v>
      </c>
      <c r="G82" s="28">
        <v>183</v>
      </c>
      <c r="H82" s="28">
        <v>5</v>
      </c>
      <c r="I82" s="28">
        <v>2</v>
      </c>
    </row>
    <row r="83" spans="1:9" s="21" customFormat="1" ht="12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</row>
    <row r="84" spans="1:9" s="21" customFormat="1" ht="12" customHeight="1" x14ac:dyDescent="0.2">
      <c r="A84" s="263" t="s">
        <v>67</v>
      </c>
      <c r="B84" s="263"/>
      <c r="C84" s="20">
        <f t="shared" ref="C84:I84" si="43">SUM(C85:C147)</f>
        <v>140821</v>
      </c>
      <c r="D84" s="20">
        <f t="shared" si="43"/>
        <v>101264</v>
      </c>
      <c r="E84" s="20">
        <f t="shared" si="43"/>
        <v>39557</v>
      </c>
      <c r="F84" s="20">
        <f t="shared" si="43"/>
        <v>27240</v>
      </c>
      <c r="G84" s="20">
        <f t="shared" si="43"/>
        <v>12152</v>
      </c>
      <c r="H84" s="20">
        <f t="shared" si="43"/>
        <v>35</v>
      </c>
      <c r="I84" s="20">
        <f t="shared" si="43"/>
        <v>130</v>
      </c>
    </row>
    <row r="85" spans="1:9" s="21" customFormat="1" ht="12" customHeight="1" x14ac:dyDescent="0.2">
      <c r="A85" s="264" t="s">
        <v>68</v>
      </c>
      <c r="B85" s="264"/>
      <c r="C85" s="22">
        <v>3922</v>
      </c>
      <c r="D85" s="22">
        <v>2725</v>
      </c>
      <c r="E85" s="22">
        <v>1197</v>
      </c>
      <c r="F85" s="22">
        <v>917</v>
      </c>
      <c r="G85" s="22">
        <v>277</v>
      </c>
      <c r="H85" s="22">
        <v>0</v>
      </c>
      <c r="I85" s="22">
        <v>3</v>
      </c>
    </row>
    <row r="86" spans="1:9" s="21" customFormat="1" ht="12" customHeight="1" x14ac:dyDescent="0.2">
      <c r="A86" s="264" t="s">
        <v>69</v>
      </c>
      <c r="B86" s="264"/>
      <c r="C86" s="22">
        <v>1285</v>
      </c>
      <c r="D86" s="22">
        <v>1204</v>
      </c>
      <c r="E86" s="22">
        <v>81</v>
      </c>
      <c r="F86" s="22">
        <v>63</v>
      </c>
      <c r="G86" s="22">
        <v>18</v>
      </c>
      <c r="H86" s="22">
        <v>0</v>
      </c>
      <c r="I86" s="22">
        <v>0</v>
      </c>
    </row>
    <row r="87" spans="1:9" s="21" customFormat="1" ht="12" customHeight="1" x14ac:dyDescent="0.2">
      <c r="A87" s="264" t="s">
        <v>70</v>
      </c>
      <c r="B87" s="264"/>
      <c r="C87" s="22">
        <v>326</v>
      </c>
      <c r="D87" s="22">
        <v>285</v>
      </c>
      <c r="E87" s="22">
        <v>41</v>
      </c>
      <c r="F87" s="22">
        <v>26</v>
      </c>
      <c r="G87" s="22">
        <v>15</v>
      </c>
      <c r="H87" s="22">
        <v>0</v>
      </c>
      <c r="I87" s="22">
        <v>0</v>
      </c>
    </row>
    <row r="88" spans="1:9" s="21" customFormat="1" ht="12" customHeight="1" x14ac:dyDescent="0.2">
      <c r="A88" s="264" t="s">
        <v>71</v>
      </c>
      <c r="B88" s="264"/>
      <c r="C88" s="22">
        <v>989</v>
      </c>
      <c r="D88" s="22">
        <v>869</v>
      </c>
      <c r="E88" s="22">
        <v>120</v>
      </c>
      <c r="F88" s="22">
        <v>85</v>
      </c>
      <c r="G88" s="22">
        <v>35</v>
      </c>
      <c r="H88" s="22">
        <v>0</v>
      </c>
      <c r="I88" s="22">
        <v>0</v>
      </c>
    </row>
    <row r="89" spans="1:9" s="21" customFormat="1" ht="12" customHeight="1" x14ac:dyDescent="0.2">
      <c r="A89" s="264" t="s">
        <v>72</v>
      </c>
      <c r="B89" s="264"/>
      <c r="C89" s="22">
        <v>312</v>
      </c>
      <c r="D89" s="22">
        <v>279</v>
      </c>
      <c r="E89" s="22">
        <v>33</v>
      </c>
      <c r="F89" s="22">
        <v>23</v>
      </c>
      <c r="G89" s="22">
        <v>10</v>
      </c>
      <c r="H89" s="22">
        <v>0</v>
      </c>
      <c r="I89" s="22">
        <v>0</v>
      </c>
    </row>
    <row r="90" spans="1:9" s="21" customFormat="1" ht="12" customHeight="1" x14ac:dyDescent="0.2">
      <c r="A90" s="264" t="s">
        <v>73</v>
      </c>
      <c r="B90" s="264"/>
      <c r="C90" s="22">
        <v>1375</v>
      </c>
      <c r="D90" s="22">
        <v>1130</v>
      </c>
      <c r="E90" s="22">
        <v>245</v>
      </c>
      <c r="F90" s="22">
        <v>199</v>
      </c>
      <c r="G90" s="22">
        <v>44</v>
      </c>
      <c r="H90" s="22">
        <v>0</v>
      </c>
      <c r="I90" s="22">
        <v>2</v>
      </c>
    </row>
    <row r="91" spans="1:9" s="21" customFormat="1" ht="12" customHeight="1" x14ac:dyDescent="0.2">
      <c r="A91" s="264" t="s">
        <v>74</v>
      </c>
      <c r="B91" s="264"/>
      <c r="C91" s="22">
        <v>627</v>
      </c>
      <c r="D91" s="22">
        <v>570</v>
      </c>
      <c r="E91" s="22">
        <v>57</v>
      </c>
      <c r="F91" s="22">
        <v>46</v>
      </c>
      <c r="G91" s="22">
        <v>11</v>
      </c>
      <c r="H91" s="22">
        <v>0</v>
      </c>
      <c r="I91" s="22">
        <v>0</v>
      </c>
    </row>
    <row r="92" spans="1:9" s="21" customFormat="1" ht="12" customHeight="1" x14ac:dyDescent="0.2">
      <c r="A92" s="264" t="s">
        <v>75</v>
      </c>
      <c r="B92" s="264"/>
      <c r="C92" s="22">
        <v>2391</v>
      </c>
      <c r="D92" s="22">
        <v>1964</v>
      </c>
      <c r="E92" s="22">
        <v>427</v>
      </c>
      <c r="F92" s="22">
        <v>333</v>
      </c>
      <c r="G92" s="22">
        <v>94</v>
      </c>
      <c r="H92" s="22">
        <v>0</v>
      </c>
      <c r="I92" s="22">
        <v>0</v>
      </c>
    </row>
    <row r="93" spans="1:9" s="21" customFormat="1" ht="12" customHeight="1" x14ac:dyDescent="0.2">
      <c r="A93" s="264" t="s">
        <v>76</v>
      </c>
      <c r="B93" s="264"/>
      <c r="C93" s="22">
        <v>629</v>
      </c>
      <c r="D93" s="22">
        <v>513</v>
      </c>
      <c r="E93" s="22">
        <v>116</v>
      </c>
      <c r="F93" s="22">
        <v>89</v>
      </c>
      <c r="G93" s="22">
        <v>26</v>
      </c>
      <c r="H93" s="22">
        <v>0</v>
      </c>
      <c r="I93" s="22">
        <v>1</v>
      </c>
    </row>
    <row r="94" spans="1:9" s="21" customFormat="1" ht="12" customHeight="1" x14ac:dyDescent="0.2">
      <c r="A94" s="264" t="s">
        <v>77</v>
      </c>
      <c r="B94" s="264"/>
      <c r="C94" s="22">
        <v>823</v>
      </c>
      <c r="D94" s="22">
        <v>532</v>
      </c>
      <c r="E94" s="22">
        <v>291</v>
      </c>
      <c r="F94" s="22">
        <v>183</v>
      </c>
      <c r="G94" s="22">
        <v>106</v>
      </c>
      <c r="H94" s="22">
        <v>1</v>
      </c>
      <c r="I94" s="22">
        <v>1</v>
      </c>
    </row>
    <row r="95" spans="1:9" s="21" customFormat="1" ht="12" customHeight="1" x14ac:dyDescent="0.2">
      <c r="A95" s="264" t="s">
        <v>78</v>
      </c>
      <c r="B95" s="264"/>
      <c r="C95" s="22">
        <v>124</v>
      </c>
      <c r="D95" s="22">
        <v>108</v>
      </c>
      <c r="E95" s="22">
        <v>16</v>
      </c>
      <c r="F95" s="22">
        <v>7</v>
      </c>
      <c r="G95" s="22">
        <v>9</v>
      </c>
      <c r="H95" s="22">
        <v>0</v>
      </c>
      <c r="I95" s="22">
        <v>0</v>
      </c>
    </row>
    <row r="96" spans="1:9" s="21" customFormat="1" ht="12" customHeight="1" x14ac:dyDescent="0.2">
      <c r="A96" s="264" t="s">
        <v>79</v>
      </c>
      <c r="B96" s="264"/>
      <c r="C96" s="22">
        <v>454</v>
      </c>
      <c r="D96" s="22">
        <v>415</v>
      </c>
      <c r="E96" s="22">
        <v>39</v>
      </c>
      <c r="F96" s="22">
        <v>31</v>
      </c>
      <c r="G96" s="22">
        <v>8</v>
      </c>
      <c r="H96" s="22">
        <v>0</v>
      </c>
      <c r="I96" s="22">
        <v>0</v>
      </c>
    </row>
    <row r="97" spans="1:9" s="21" customFormat="1" ht="12" customHeight="1" x14ac:dyDescent="0.2">
      <c r="A97" s="264" t="s">
        <v>80</v>
      </c>
      <c r="B97" s="264"/>
      <c r="C97" s="22">
        <v>708</v>
      </c>
      <c r="D97" s="22">
        <v>592</v>
      </c>
      <c r="E97" s="22">
        <v>116</v>
      </c>
      <c r="F97" s="22">
        <v>73</v>
      </c>
      <c r="G97" s="22">
        <v>42</v>
      </c>
      <c r="H97" s="22">
        <v>0</v>
      </c>
      <c r="I97" s="22">
        <v>1</v>
      </c>
    </row>
    <row r="98" spans="1:9" s="21" customFormat="1" ht="12" customHeight="1" x14ac:dyDescent="0.2">
      <c r="A98" s="264" t="s">
        <v>81</v>
      </c>
      <c r="B98" s="264"/>
      <c r="C98" s="22">
        <v>1462</v>
      </c>
      <c r="D98" s="22">
        <v>1020</v>
      </c>
      <c r="E98" s="22">
        <v>442</v>
      </c>
      <c r="F98" s="22">
        <v>367</v>
      </c>
      <c r="G98" s="22">
        <v>72</v>
      </c>
      <c r="H98" s="22">
        <v>0</v>
      </c>
      <c r="I98" s="22">
        <v>3</v>
      </c>
    </row>
    <row r="99" spans="1:9" s="21" customFormat="1" ht="12" customHeight="1" x14ac:dyDescent="0.2">
      <c r="A99" s="264" t="s">
        <v>82</v>
      </c>
      <c r="B99" s="264"/>
      <c r="C99" s="22">
        <v>1948</v>
      </c>
      <c r="D99" s="22">
        <v>1677</v>
      </c>
      <c r="E99" s="22">
        <v>271</v>
      </c>
      <c r="F99" s="22">
        <v>203</v>
      </c>
      <c r="G99" s="22">
        <v>67</v>
      </c>
      <c r="H99" s="22">
        <v>0</v>
      </c>
      <c r="I99" s="22">
        <v>1</v>
      </c>
    </row>
    <row r="100" spans="1:9" s="21" customFormat="1" ht="12" customHeight="1" x14ac:dyDescent="0.2">
      <c r="A100" s="264" t="s">
        <v>83</v>
      </c>
      <c r="B100" s="264"/>
      <c r="C100" s="22">
        <v>752</v>
      </c>
      <c r="D100" s="22">
        <v>687</v>
      </c>
      <c r="E100" s="22">
        <v>65</v>
      </c>
      <c r="F100" s="22">
        <v>56</v>
      </c>
      <c r="G100" s="22">
        <v>9</v>
      </c>
      <c r="H100" s="22">
        <v>0</v>
      </c>
      <c r="I100" s="22">
        <v>0</v>
      </c>
    </row>
    <row r="101" spans="1:9" s="21" customFormat="1" ht="12" customHeight="1" x14ac:dyDescent="0.2">
      <c r="A101" s="264" t="s">
        <v>84</v>
      </c>
      <c r="B101" s="264"/>
      <c r="C101" s="22">
        <v>1879</v>
      </c>
      <c r="D101" s="22">
        <v>1535</v>
      </c>
      <c r="E101" s="22">
        <v>344</v>
      </c>
      <c r="F101" s="22">
        <v>235</v>
      </c>
      <c r="G101" s="22">
        <v>107</v>
      </c>
      <c r="H101" s="22">
        <v>0</v>
      </c>
      <c r="I101" s="22">
        <v>2</v>
      </c>
    </row>
    <row r="102" spans="1:9" s="21" customFormat="1" ht="12" customHeight="1" x14ac:dyDescent="0.2">
      <c r="A102" s="264" t="s">
        <v>85</v>
      </c>
      <c r="B102" s="264"/>
      <c r="C102" s="22">
        <v>6169</v>
      </c>
      <c r="D102" s="22">
        <v>5552</v>
      </c>
      <c r="E102" s="22">
        <v>617</v>
      </c>
      <c r="F102" s="22">
        <v>472</v>
      </c>
      <c r="G102" s="22">
        <v>142</v>
      </c>
      <c r="H102" s="22">
        <v>0</v>
      </c>
      <c r="I102" s="22">
        <v>3</v>
      </c>
    </row>
    <row r="103" spans="1:9" s="21" customFormat="1" ht="12" customHeight="1" x14ac:dyDescent="0.2">
      <c r="A103" s="264" t="s">
        <v>86</v>
      </c>
      <c r="B103" s="264"/>
      <c r="C103" s="22">
        <v>116</v>
      </c>
      <c r="D103" s="22">
        <v>98</v>
      </c>
      <c r="E103" s="22">
        <v>18</v>
      </c>
      <c r="F103" s="22">
        <v>14</v>
      </c>
      <c r="G103" s="22">
        <v>4</v>
      </c>
      <c r="H103" s="22">
        <v>0</v>
      </c>
      <c r="I103" s="22">
        <v>0</v>
      </c>
    </row>
    <row r="104" spans="1:9" s="21" customFormat="1" ht="12" customHeight="1" x14ac:dyDescent="0.2">
      <c r="A104" s="264" t="s">
        <v>87</v>
      </c>
      <c r="B104" s="264"/>
      <c r="C104" s="22">
        <v>770</v>
      </c>
      <c r="D104" s="22">
        <v>620</v>
      </c>
      <c r="E104" s="22">
        <v>150</v>
      </c>
      <c r="F104" s="22">
        <v>93</v>
      </c>
      <c r="G104" s="22">
        <v>57</v>
      </c>
      <c r="H104" s="22">
        <v>0</v>
      </c>
      <c r="I104" s="22">
        <v>0</v>
      </c>
    </row>
    <row r="105" spans="1:9" s="21" customFormat="1" ht="12" customHeight="1" x14ac:dyDescent="0.2">
      <c r="A105" s="264" t="s">
        <v>88</v>
      </c>
      <c r="B105" s="264"/>
      <c r="C105" s="22">
        <v>3935</v>
      </c>
      <c r="D105" s="22">
        <v>2894</v>
      </c>
      <c r="E105" s="22">
        <v>1041</v>
      </c>
      <c r="F105" s="22">
        <v>808</v>
      </c>
      <c r="G105" s="22">
        <v>232</v>
      </c>
      <c r="H105" s="22">
        <v>1</v>
      </c>
      <c r="I105" s="22">
        <v>0</v>
      </c>
    </row>
    <row r="106" spans="1:9" s="21" customFormat="1" ht="12" customHeight="1" x14ac:dyDescent="0.2">
      <c r="A106" s="264" t="s">
        <v>89</v>
      </c>
      <c r="B106" s="264"/>
      <c r="C106" s="22">
        <v>62</v>
      </c>
      <c r="D106" s="22">
        <v>53</v>
      </c>
      <c r="E106" s="22">
        <v>9</v>
      </c>
      <c r="F106" s="22">
        <v>7</v>
      </c>
      <c r="G106" s="22">
        <v>2</v>
      </c>
      <c r="H106" s="22">
        <v>0</v>
      </c>
      <c r="I106" s="22">
        <v>0</v>
      </c>
    </row>
    <row r="107" spans="1:9" s="21" customFormat="1" ht="12" customHeight="1" x14ac:dyDescent="0.2">
      <c r="A107" s="264" t="s">
        <v>90</v>
      </c>
      <c r="B107" s="264"/>
      <c r="C107" s="22">
        <v>120</v>
      </c>
      <c r="D107" s="22">
        <v>113</v>
      </c>
      <c r="E107" s="22">
        <v>7</v>
      </c>
      <c r="F107" s="22">
        <v>5</v>
      </c>
      <c r="G107" s="22">
        <v>2</v>
      </c>
      <c r="H107" s="22">
        <v>0</v>
      </c>
      <c r="I107" s="22">
        <v>0</v>
      </c>
    </row>
    <row r="108" spans="1:9" s="21" customFormat="1" ht="12" customHeight="1" x14ac:dyDescent="0.2">
      <c r="A108" s="264" t="s">
        <v>91</v>
      </c>
      <c r="B108" s="264"/>
      <c r="C108" s="22">
        <v>4442</v>
      </c>
      <c r="D108" s="22">
        <v>3176</v>
      </c>
      <c r="E108" s="22">
        <v>1266</v>
      </c>
      <c r="F108" s="22">
        <v>586</v>
      </c>
      <c r="G108" s="22">
        <v>677</v>
      </c>
      <c r="H108" s="22">
        <v>1</v>
      </c>
      <c r="I108" s="22">
        <v>2</v>
      </c>
    </row>
    <row r="109" spans="1:9" s="21" customFormat="1" ht="12" customHeight="1" x14ac:dyDescent="0.2">
      <c r="A109" s="264" t="s">
        <v>92</v>
      </c>
      <c r="B109" s="264"/>
      <c r="C109" s="22">
        <v>1843</v>
      </c>
      <c r="D109" s="22">
        <v>1637</v>
      </c>
      <c r="E109" s="22">
        <v>206</v>
      </c>
      <c r="F109" s="22">
        <v>139</v>
      </c>
      <c r="G109" s="22">
        <v>67</v>
      </c>
      <c r="H109" s="22">
        <v>0</v>
      </c>
      <c r="I109" s="22">
        <v>0</v>
      </c>
    </row>
    <row r="110" spans="1:9" s="21" customFormat="1" ht="12" customHeight="1" x14ac:dyDescent="0.2">
      <c r="A110" s="264" t="s">
        <v>93</v>
      </c>
      <c r="B110" s="264"/>
      <c r="C110" s="22">
        <v>860</v>
      </c>
      <c r="D110" s="22">
        <v>728</v>
      </c>
      <c r="E110" s="22">
        <v>132</v>
      </c>
      <c r="F110" s="22">
        <v>93</v>
      </c>
      <c r="G110" s="22">
        <v>38</v>
      </c>
      <c r="H110" s="22">
        <v>0</v>
      </c>
      <c r="I110" s="22">
        <v>1</v>
      </c>
    </row>
    <row r="111" spans="1:9" s="21" customFormat="1" ht="12" customHeight="1" x14ac:dyDescent="0.2">
      <c r="A111" s="264" t="s">
        <v>94</v>
      </c>
      <c r="B111" s="264"/>
      <c r="C111" s="22">
        <v>1314</v>
      </c>
      <c r="D111" s="22">
        <v>1116</v>
      </c>
      <c r="E111" s="22">
        <v>198</v>
      </c>
      <c r="F111" s="22">
        <v>150</v>
      </c>
      <c r="G111" s="22">
        <v>48</v>
      </c>
      <c r="H111" s="22">
        <v>0</v>
      </c>
      <c r="I111" s="22">
        <v>0</v>
      </c>
    </row>
    <row r="112" spans="1:9" s="21" customFormat="1" ht="12" customHeight="1" x14ac:dyDescent="0.2">
      <c r="A112" s="264" t="s">
        <v>95</v>
      </c>
      <c r="B112" s="264"/>
      <c r="C112" s="22">
        <v>530</v>
      </c>
      <c r="D112" s="22">
        <v>460</v>
      </c>
      <c r="E112" s="22">
        <v>70</v>
      </c>
      <c r="F112" s="22">
        <v>59</v>
      </c>
      <c r="G112" s="22">
        <v>11</v>
      </c>
      <c r="H112" s="22">
        <v>0</v>
      </c>
      <c r="I112" s="22">
        <v>0</v>
      </c>
    </row>
    <row r="113" spans="1:9" s="21" customFormat="1" ht="12" customHeight="1" x14ac:dyDescent="0.2">
      <c r="A113" s="264" t="s">
        <v>96</v>
      </c>
      <c r="B113" s="264"/>
      <c r="C113" s="22">
        <v>479</v>
      </c>
      <c r="D113" s="22">
        <v>310</v>
      </c>
      <c r="E113" s="22">
        <v>169</v>
      </c>
      <c r="F113" s="22">
        <v>135</v>
      </c>
      <c r="G113" s="22">
        <v>34</v>
      </c>
      <c r="H113" s="22">
        <v>0</v>
      </c>
      <c r="I113" s="22">
        <v>0</v>
      </c>
    </row>
    <row r="114" spans="1:9" s="21" customFormat="1" ht="12" customHeight="1" x14ac:dyDescent="0.2">
      <c r="A114" s="264" t="s">
        <v>97</v>
      </c>
      <c r="B114" s="264"/>
      <c r="C114" s="22">
        <v>1197</v>
      </c>
      <c r="D114" s="22">
        <v>1002</v>
      </c>
      <c r="E114" s="22">
        <v>195</v>
      </c>
      <c r="F114" s="22">
        <v>157</v>
      </c>
      <c r="G114" s="22">
        <v>37</v>
      </c>
      <c r="H114" s="22">
        <v>0</v>
      </c>
      <c r="I114" s="22">
        <v>1</v>
      </c>
    </row>
    <row r="115" spans="1:9" s="21" customFormat="1" ht="12" customHeight="1" x14ac:dyDescent="0.2">
      <c r="A115" s="264" t="s">
        <v>98</v>
      </c>
      <c r="B115" s="264"/>
      <c r="C115" s="22">
        <v>1618</v>
      </c>
      <c r="D115" s="22">
        <v>1018</v>
      </c>
      <c r="E115" s="22">
        <v>600</v>
      </c>
      <c r="F115" s="22">
        <v>523</v>
      </c>
      <c r="G115" s="22">
        <v>77</v>
      </c>
      <c r="H115" s="22">
        <v>0</v>
      </c>
      <c r="I115" s="22">
        <v>0</v>
      </c>
    </row>
    <row r="116" spans="1:9" s="21" customFormat="1" ht="12" customHeight="1" x14ac:dyDescent="0.2">
      <c r="A116" s="264" t="s">
        <v>99</v>
      </c>
      <c r="B116" s="264"/>
      <c r="C116" s="22">
        <v>54437</v>
      </c>
      <c r="D116" s="22">
        <v>34726</v>
      </c>
      <c r="E116" s="22">
        <v>19711</v>
      </c>
      <c r="F116" s="22">
        <v>13096</v>
      </c>
      <c r="G116" s="22">
        <v>6519</v>
      </c>
      <c r="H116" s="22">
        <v>29</v>
      </c>
      <c r="I116" s="22">
        <v>67</v>
      </c>
    </row>
    <row r="117" spans="1:9" s="21" customFormat="1" ht="12" customHeight="1" x14ac:dyDescent="0.2">
      <c r="A117" s="264" t="s">
        <v>100</v>
      </c>
      <c r="B117" s="264"/>
      <c r="C117" s="22">
        <v>1453</v>
      </c>
      <c r="D117" s="22">
        <v>1164</v>
      </c>
      <c r="E117" s="22">
        <v>289</v>
      </c>
      <c r="F117" s="22">
        <v>231</v>
      </c>
      <c r="G117" s="22">
        <v>56</v>
      </c>
      <c r="H117" s="22">
        <v>0</v>
      </c>
      <c r="I117" s="22">
        <v>2</v>
      </c>
    </row>
    <row r="118" spans="1:9" s="21" customFormat="1" ht="12" customHeight="1" x14ac:dyDescent="0.2">
      <c r="A118" s="264" t="s">
        <v>101</v>
      </c>
      <c r="B118" s="264"/>
      <c r="C118" s="22">
        <v>1236</v>
      </c>
      <c r="D118" s="22">
        <v>1013</v>
      </c>
      <c r="E118" s="22">
        <v>223</v>
      </c>
      <c r="F118" s="22">
        <v>184</v>
      </c>
      <c r="G118" s="22">
        <v>38</v>
      </c>
      <c r="H118" s="22">
        <v>0</v>
      </c>
      <c r="I118" s="22">
        <v>1</v>
      </c>
    </row>
    <row r="119" spans="1:9" s="21" customFormat="1" ht="12" customHeight="1" x14ac:dyDescent="0.2">
      <c r="A119" s="264" t="s">
        <v>102</v>
      </c>
      <c r="B119" s="264"/>
      <c r="C119" s="22">
        <v>584</v>
      </c>
      <c r="D119" s="22">
        <v>424</v>
      </c>
      <c r="E119" s="22">
        <v>160</v>
      </c>
      <c r="F119" s="22">
        <v>122</v>
      </c>
      <c r="G119" s="22">
        <v>38</v>
      </c>
      <c r="H119" s="22">
        <v>0</v>
      </c>
      <c r="I119" s="22">
        <v>0</v>
      </c>
    </row>
    <row r="120" spans="1:9" s="21" customFormat="1" ht="12" customHeight="1" x14ac:dyDescent="0.2">
      <c r="A120" s="264" t="s">
        <v>103</v>
      </c>
      <c r="B120" s="264"/>
      <c r="C120" s="22">
        <v>5823</v>
      </c>
      <c r="D120" s="22">
        <v>3578</v>
      </c>
      <c r="E120" s="22">
        <v>2245</v>
      </c>
      <c r="F120" s="22">
        <v>1631</v>
      </c>
      <c r="G120" s="22">
        <v>603</v>
      </c>
      <c r="H120" s="22">
        <v>3</v>
      </c>
      <c r="I120" s="22">
        <v>8</v>
      </c>
    </row>
    <row r="121" spans="1:9" s="21" customFormat="1" ht="12" customHeight="1" x14ac:dyDescent="0.2">
      <c r="A121" s="264" t="s">
        <v>104</v>
      </c>
      <c r="B121" s="264"/>
      <c r="C121" s="22">
        <v>1265</v>
      </c>
      <c r="D121" s="22">
        <v>974</v>
      </c>
      <c r="E121" s="22">
        <v>291</v>
      </c>
      <c r="F121" s="22">
        <v>176</v>
      </c>
      <c r="G121" s="22">
        <v>115</v>
      </c>
      <c r="H121" s="22">
        <v>0</v>
      </c>
      <c r="I121" s="22">
        <v>0</v>
      </c>
    </row>
    <row r="122" spans="1:9" s="21" customFormat="1" ht="12" customHeight="1" x14ac:dyDescent="0.2">
      <c r="A122" s="264" t="s">
        <v>105</v>
      </c>
      <c r="B122" s="264"/>
      <c r="C122" s="22">
        <v>1649</v>
      </c>
      <c r="D122" s="22">
        <v>1121</v>
      </c>
      <c r="E122" s="22">
        <v>528</v>
      </c>
      <c r="F122" s="22">
        <v>386</v>
      </c>
      <c r="G122" s="22">
        <v>137</v>
      </c>
      <c r="H122" s="22">
        <v>0</v>
      </c>
      <c r="I122" s="22">
        <v>5</v>
      </c>
    </row>
    <row r="123" spans="1:9" s="21" customFormat="1" ht="12" customHeight="1" x14ac:dyDescent="0.2">
      <c r="A123" s="264" t="s">
        <v>106</v>
      </c>
      <c r="B123" s="264"/>
      <c r="C123" s="22">
        <v>1110</v>
      </c>
      <c r="D123" s="22">
        <v>975</v>
      </c>
      <c r="E123" s="22">
        <v>135</v>
      </c>
      <c r="F123" s="22">
        <v>108</v>
      </c>
      <c r="G123" s="22">
        <v>27</v>
      </c>
      <c r="H123" s="22">
        <v>0</v>
      </c>
      <c r="I123" s="22">
        <v>0</v>
      </c>
    </row>
    <row r="124" spans="1:9" s="21" customFormat="1" ht="12" customHeight="1" x14ac:dyDescent="0.2">
      <c r="A124" s="264" t="s">
        <v>107</v>
      </c>
      <c r="B124" s="264"/>
      <c r="C124" s="22">
        <v>268</v>
      </c>
      <c r="D124" s="22">
        <v>239</v>
      </c>
      <c r="E124" s="22">
        <v>29</v>
      </c>
      <c r="F124" s="22">
        <v>21</v>
      </c>
      <c r="G124" s="22">
        <v>8</v>
      </c>
      <c r="H124" s="22">
        <v>0</v>
      </c>
      <c r="I124" s="22">
        <v>0</v>
      </c>
    </row>
    <row r="125" spans="1:9" s="21" customFormat="1" ht="12" customHeight="1" x14ac:dyDescent="0.2">
      <c r="A125" s="264" t="s">
        <v>108</v>
      </c>
      <c r="B125" s="264"/>
      <c r="C125" s="22">
        <v>882</v>
      </c>
      <c r="D125" s="22">
        <v>735</v>
      </c>
      <c r="E125" s="22">
        <v>147</v>
      </c>
      <c r="F125" s="22">
        <v>113</v>
      </c>
      <c r="G125" s="22">
        <v>34</v>
      </c>
      <c r="H125" s="22">
        <v>0</v>
      </c>
      <c r="I125" s="22">
        <v>0</v>
      </c>
    </row>
    <row r="126" spans="1:9" s="21" customFormat="1" ht="12" customHeight="1" x14ac:dyDescent="0.2">
      <c r="A126" s="264" t="s">
        <v>109</v>
      </c>
      <c r="B126" s="264"/>
      <c r="C126" s="22">
        <v>752</v>
      </c>
      <c r="D126" s="22">
        <v>501</v>
      </c>
      <c r="E126" s="22">
        <v>251</v>
      </c>
      <c r="F126" s="22">
        <v>160</v>
      </c>
      <c r="G126" s="22">
        <v>91</v>
      </c>
      <c r="H126" s="22">
        <v>0</v>
      </c>
      <c r="I126" s="22">
        <v>0</v>
      </c>
    </row>
    <row r="127" spans="1:9" s="21" customFormat="1" ht="12" customHeight="1" x14ac:dyDescent="0.2">
      <c r="A127" s="264" t="s">
        <v>110</v>
      </c>
      <c r="B127" s="264"/>
      <c r="C127" s="22">
        <v>869</v>
      </c>
      <c r="D127" s="22">
        <v>706</v>
      </c>
      <c r="E127" s="22">
        <v>163</v>
      </c>
      <c r="F127" s="22">
        <v>117</v>
      </c>
      <c r="G127" s="22">
        <v>44</v>
      </c>
      <c r="H127" s="22">
        <v>0</v>
      </c>
      <c r="I127" s="22">
        <v>2</v>
      </c>
    </row>
    <row r="128" spans="1:9" s="21" customFormat="1" ht="12" customHeight="1" x14ac:dyDescent="0.2">
      <c r="A128" s="264" t="s">
        <v>111</v>
      </c>
      <c r="B128" s="264"/>
      <c r="C128" s="22">
        <v>349</v>
      </c>
      <c r="D128" s="22">
        <v>302</v>
      </c>
      <c r="E128" s="22">
        <v>47</v>
      </c>
      <c r="F128" s="22">
        <v>34</v>
      </c>
      <c r="G128" s="22">
        <v>13</v>
      </c>
      <c r="H128" s="22">
        <v>0</v>
      </c>
      <c r="I128" s="22">
        <v>0</v>
      </c>
    </row>
    <row r="129" spans="1:9" s="21" customFormat="1" ht="12" customHeight="1" x14ac:dyDescent="0.2">
      <c r="A129" s="264" t="s">
        <v>112</v>
      </c>
      <c r="B129" s="264"/>
      <c r="C129" s="22">
        <v>837</v>
      </c>
      <c r="D129" s="22">
        <v>761</v>
      </c>
      <c r="E129" s="22">
        <v>76</v>
      </c>
      <c r="F129" s="22">
        <v>52</v>
      </c>
      <c r="G129" s="22">
        <v>24</v>
      </c>
      <c r="H129" s="22">
        <v>0</v>
      </c>
      <c r="I129" s="22">
        <v>0</v>
      </c>
    </row>
    <row r="130" spans="1:9" s="21" customFormat="1" ht="12" customHeight="1" x14ac:dyDescent="0.2">
      <c r="A130" s="264" t="s">
        <v>113</v>
      </c>
      <c r="B130" s="264"/>
      <c r="C130" s="22">
        <v>1337</v>
      </c>
      <c r="D130" s="22">
        <v>1128</v>
      </c>
      <c r="E130" s="22">
        <v>209</v>
      </c>
      <c r="F130" s="22">
        <v>158</v>
      </c>
      <c r="G130" s="22">
        <v>51</v>
      </c>
      <c r="H130" s="22">
        <v>0</v>
      </c>
      <c r="I130" s="22">
        <v>0</v>
      </c>
    </row>
    <row r="131" spans="1:9" s="21" customFormat="1" ht="12" customHeight="1" x14ac:dyDescent="0.2">
      <c r="A131" s="264" t="s">
        <v>114</v>
      </c>
      <c r="B131" s="264"/>
      <c r="C131" s="22">
        <v>3637</v>
      </c>
      <c r="D131" s="22">
        <v>1843</v>
      </c>
      <c r="E131" s="22">
        <v>1794</v>
      </c>
      <c r="F131" s="22">
        <v>1133</v>
      </c>
      <c r="G131" s="22">
        <v>649</v>
      </c>
      <c r="H131" s="22">
        <v>0</v>
      </c>
      <c r="I131" s="22">
        <v>12</v>
      </c>
    </row>
    <row r="132" spans="1:9" s="21" customFormat="1" ht="12" customHeight="1" x14ac:dyDescent="0.2">
      <c r="A132" s="264" t="s">
        <v>115</v>
      </c>
      <c r="B132" s="264"/>
      <c r="C132" s="22">
        <v>1645</v>
      </c>
      <c r="D132" s="22">
        <v>1437</v>
      </c>
      <c r="E132" s="22">
        <v>208</v>
      </c>
      <c r="F132" s="22">
        <v>176</v>
      </c>
      <c r="G132" s="22">
        <v>32</v>
      </c>
      <c r="H132" s="22">
        <v>0</v>
      </c>
      <c r="I132" s="22">
        <v>0</v>
      </c>
    </row>
    <row r="133" spans="1:9" s="21" customFormat="1" ht="12" customHeight="1" x14ac:dyDescent="0.2">
      <c r="A133" s="264" t="s">
        <v>116</v>
      </c>
      <c r="B133" s="264"/>
      <c r="C133" s="22">
        <v>806</v>
      </c>
      <c r="D133" s="22">
        <v>586</v>
      </c>
      <c r="E133" s="22">
        <v>220</v>
      </c>
      <c r="F133" s="22">
        <v>158</v>
      </c>
      <c r="G133" s="22">
        <v>62</v>
      </c>
      <c r="H133" s="22">
        <v>0</v>
      </c>
      <c r="I133" s="22">
        <v>0</v>
      </c>
    </row>
    <row r="134" spans="1:9" s="21" customFormat="1" ht="12" customHeight="1" x14ac:dyDescent="0.2">
      <c r="A134" s="264" t="s">
        <v>117</v>
      </c>
      <c r="B134" s="264"/>
      <c r="C134" s="22">
        <v>1498</v>
      </c>
      <c r="D134" s="22">
        <v>1208</v>
      </c>
      <c r="E134" s="22">
        <v>290</v>
      </c>
      <c r="F134" s="22">
        <v>213</v>
      </c>
      <c r="G134" s="22">
        <v>76</v>
      </c>
      <c r="H134" s="22">
        <v>0</v>
      </c>
      <c r="I134" s="22">
        <v>1</v>
      </c>
    </row>
    <row r="135" spans="1:9" s="21" customFormat="1" ht="12" customHeight="1" x14ac:dyDescent="0.2">
      <c r="A135" s="264" t="s">
        <v>118</v>
      </c>
      <c r="B135" s="264"/>
      <c r="C135" s="22">
        <v>1324</v>
      </c>
      <c r="D135" s="22">
        <v>1085</v>
      </c>
      <c r="E135" s="22">
        <v>239</v>
      </c>
      <c r="F135" s="22">
        <v>186</v>
      </c>
      <c r="G135" s="22">
        <v>52</v>
      </c>
      <c r="H135" s="22">
        <v>0</v>
      </c>
      <c r="I135" s="22">
        <v>1</v>
      </c>
    </row>
    <row r="136" spans="1:9" s="21" customFormat="1" ht="12" customHeight="1" x14ac:dyDescent="0.2">
      <c r="A136" s="264" t="s">
        <v>119</v>
      </c>
      <c r="B136" s="264"/>
      <c r="C136" s="22">
        <v>1592</v>
      </c>
      <c r="D136" s="22">
        <v>1269</v>
      </c>
      <c r="E136" s="22">
        <v>323</v>
      </c>
      <c r="F136" s="22">
        <v>264</v>
      </c>
      <c r="G136" s="22">
        <v>58</v>
      </c>
      <c r="H136" s="22">
        <v>0</v>
      </c>
      <c r="I136" s="22">
        <v>1</v>
      </c>
    </row>
    <row r="137" spans="1:9" s="21" customFormat="1" ht="12" customHeight="1" x14ac:dyDescent="0.2">
      <c r="A137" s="264" t="s">
        <v>120</v>
      </c>
      <c r="B137" s="264"/>
      <c r="C137" s="22">
        <v>761</v>
      </c>
      <c r="D137" s="22">
        <v>639</v>
      </c>
      <c r="E137" s="22">
        <v>122</v>
      </c>
      <c r="F137" s="22">
        <v>82</v>
      </c>
      <c r="G137" s="22">
        <v>40</v>
      </c>
      <c r="H137" s="22">
        <v>0</v>
      </c>
      <c r="I137" s="22">
        <v>0</v>
      </c>
    </row>
    <row r="138" spans="1:9" s="21" customFormat="1" ht="12" customHeight="1" x14ac:dyDescent="0.2">
      <c r="A138" s="264" t="s">
        <v>121</v>
      </c>
      <c r="B138" s="264"/>
      <c r="C138" s="22">
        <v>2055</v>
      </c>
      <c r="D138" s="22">
        <v>1422</v>
      </c>
      <c r="E138" s="22">
        <v>633</v>
      </c>
      <c r="F138" s="22">
        <v>434</v>
      </c>
      <c r="G138" s="22">
        <v>197</v>
      </c>
      <c r="H138" s="22">
        <v>0</v>
      </c>
      <c r="I138" s="22">
        <v>2</v>
      </c>
    </row>
    <row r="139" spans="1:9" s="21" customFormat="1" ht="12" customHeight="1" x14ac:dyDescent="0.2">
      <c r="A139" s="264" t="s">
        <v>122</v>
      </c>
      <c r="B139" s="264"/>
      <c r="C139" s="22">
        <v>675</v>
      </c>
      <c r="D139" s="22">
        <v>548</v>
      </c>
      <c r="E139" s="22">
        <v>127</v>
      </c>
      <c r="F139" s="22">
        <v>100</v>
      </c>
      <c r="G139" s="22">
        <v>27</v>
      </c>
      <c r="H139" s="22">
        <v>0</v>
      </c>
      <c r="I139" s="22">
        <v>0</v>
      </c>
    </row>
    <row r="140" spans="1:9" s="21" customFormat="1" ht="12" customHeight="1" x14ac:dyDescent="0.2">
      <c r="A140" s="264" t="s">
        <v>123</v>
      </c>
      <c r="B140" s="264"/>
      <c r="C140" s="22">
        <v>596</v>
      </c>
      <c r="D140" s="22">
        <v>415</v>
      </c>
      <c r="E140" s="22">
        <v>181</v>
      </c>
      <c r="F140" s="22">
        <v>95</v>
      </c>
      <c r="G140" s="22">
        <v>85</v>
      </c>
      <c r="H140" s="22">
        <v>0</v>
      </c>
      <c r="I140" s="22">
        <v>1</v>
      </c>
    </row>
    <row r="141" spans="1:9" s="21" customFormat="1" ht="12" customHeight="1" x14ac:dyDescent="0.2">
      <c r="A141" s="264" t="s">
        <v>124</v>
      </c>
      <c r="B141" s="264"/>
      <c r="C141" s="22">
        <v>1853</v>
      </c>
      <c r="D141" s="22">
        <v>1682</v>
      </c>
      <c r="E141" s="22">
        <v>171</v>
      </c>
      <c r="F141" s="22">
        <v>123</v>
      </c>
      <c r="G141" s="22">
        <v>48</v>
      </c>
      <c r="H141" s="22">
        <v>0</v>
      </c>
      <c r="I141" s="22">
        <v>0</v>
      </c>
    </row>
    <row r="142" spans="1:9" s="21" customFormat="1" ht="12" customHeight="1" x14ac:dyDescent="0.2">
      <c r="A142" s="264" t="s">
        <v>125</v>
      </c>
      <c r="B142" s="264"/>
      <c r="C142" s="22">
        <v>1772</v>
      </c>
      <c r="D142" s="22">
        <v>1178</v>
      </c>
      <c r="E142" s="22">
        <v>594</v>
      </c>
      <c r="F142" s="22">
        <v>233</v>
      </c>
      <c r="G142" s="22">
        <v>361</v>
      </c>
      <c r="H142" s="22">
        <v>0</v>
      </c>
      <c r="I142" s="22">
        <v>0</v>
      </c>
    </row>
    <row r="143" spans="1:9" s="21" customFormat="1" ht="12" customHeight="1" x14ac:dyDescent="0.2">
      <c r="A143" s="264" t="s">
        <v>126</v>
      </c>
      <c r="B143" s="264"/>
      <c r="C143" s="22">
        <v>2918</v>
      </c>
      <c r="D143" s="22">
        <v>2088</v>
      </c>
      <c r="E143" s="22">
        <v>830</v>
      </c>
      <c r="F143" s="22">
        <v>727</v>
      </c>
      <c r="G143" s="22">
        <v>99</v>
      </c>
      <c r="H143" s="22">
        <v>0</v>
      </c>
      <c r="I143" s="22">
        <v>4</v>
      </c>
    </row>
    <row r="144" spans="1:9" s="21" customFormat="1" ht="12" customHeight="1" x14ac:dyDescent="0.2">
      <c r="A144" s="264" t="s">
        <v>127</v>
      </c>
      <c r="B144" s="264"/>
      <c r="C144" s="22">
        <v>594</v>
      </c>
      <c r="D144" s="22">
        <v>548</v>
      </c>
      <c r="E144" s="22">
        <v>46</v>
      </c>
      <c r="F144" s="22">
        <v>34</v>
      </c>
      <c r="G144" s="22">
        <v>12</v>
      </c>
      <c r="H144" s="22">
        <v>0</v>
      </c>
      <c r="I144" s="22">
        <v>0</v>
      </c>
    </row>
    <row r="145" spans="1:9" s="21" customFormat="1" ht="12" customHeight="1" x14ac:dyDescent="0.2">
      <c r="A145" s="264" t="s">
        <v>128</v>
      </c>
      <c r="B145" s="264"/>
      <c r="C145" s="22">
        <v>523</v>
      </c>
      <c r="D145" s="22">
        <v>437</v>
      </c>
      <c r="E145" s="22">
        <v>86</v>
      </c>
      <c r="F145" s="22">
        <v>61</v>
      </c>
      <c r="G145" s="22">
        <v>25</v>
      </c>
      <c r="H145" s="22">
        <v>0</v>
      </c>
      <c r="I145" s="22">
        <v>0</v>
      </c>
    </row>
    <row r="146" spans="1:9" s="21" customFormat="1" ht="12" customHeight="1" x14ac:dyDescent="0.2">
      <c r="A146" s="264" t="s">
        <v>129</v>
      </c>
      <c r="B146" s="264"/>
      <c r="C146" s="22">
        <v>1917</v>
      </c>
      <c r="D146" s="22">
        <v>1428</v>
      </c>
      <c r="E146" s="22">
        <v>489</v>
      </c>
      <c r="F146" s="22">
        <v>395</v>
      </c>
      <c r="G146" s="22">
        <v>93</v>
      </c>
      <c r="H146" s="22">
        <v>0</v>
      </c>
      <c r="I146" s="22">
        <v>1</v>
      </c>
    </row>
    <row r="147" spans="1:9" s="21" customFormat="1" ht="12" customHeight="1" x14ac:dyDescent="0.2">
      <c r="A147" s="264" t="s">
        <v>130</v>
      </c>
      <c r="B147" s="264"/>
      <c r="C147" s="22">
        <v>343</v>
      </c>
      <c r="D147" s="22">
        <v>222</v>
      </c>
      <c r="E147" s="22">
        <v>121</v>
      </c>
      <c r="F147" s="22">
        <v>60</v>
      </c>
      <c r="G147" s="22">
        <v>60</v>
      </c>
      <c r="H147" s="22">
        <v>0</v>
      </c>
      <c r="I147" s="22">
        <v>1</v>
      </c>
    </row>
    <row r="148" spans="1:9" s="21" customFormat="1" ht="12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 s="21" customFormat="1" ht="12" customHeight="1" x14ac:dyDescent="0.2">
      <c r="A149" s="263" t="s">
        <v>131</v>
      </c>
      <c r="B149" s="263"/>
      <c r="C149" s="20">
        <f t="shared" ref="C149:I149" si="44">SUM(C150:C188)</f>
        <v>61814</v>
      </c>
      <c r="D149" s="20">
        <f t="shared" si="44"/>
        <v>47317</v>
      </c>
      <c r="E149" s="20">
        <f t="shared" si="44"/>
        <v>14497</v>
      </c>
      <c r="F149" s="20">
        <f t="shared" si="44"/>
        <v>11010</v>
      </c>
      <c r="G149" s="20">
        <f t="shared" si="44"/>
        <v>3449</v>
      </c>
      <c r="H149" s="20">
        <f t="shared" si="44"/>
        <v>0</v>
      </c>
      <c r="I149" s="20">
        <f t="shared" si="44"/>
        <v>38</v>
      </c>
    </row>
    <row r="150" spans="1:9" s="21" customFormat="1" ht="12" customHeight="1" x14ac:dyDescent="0.2">
      <c r="A150" s="264" t="s">
        <v>132</v>
      </c>
      <c r="B150" s="264"/>
      <c r="C150" s="22">
        <v>5533</v>
      </c>
      <c r="D150" s="22">
        <v>4006</v>
      </c>
      <c r="E150" s="22">
        <v>1527</v>
      </c>
      <c r="F150" s="22">
        <v>1063</v>
      </c>
      <c r="G150" s="22">
        <v>460</v>
      </c>
      <c r="H150" s="22">
        <v>0</v>
      </c>
      <c r="I150" s="22">
        <v>4</v>
      </c>
    </row>
    <row r="151" spans="1:9" s="21" customFormat="1" ht="12" customHeight="1" x14ac:dyDescent="0.2">
      <c r="A151" s="264" t="s">
        <v>253</v>
      </c>
      <c r="B151" s="264"/>
      <c r="C151" s="22">
        <v>123</v>
      </c>
      <c r="D151" s="22">
        <v>117</v>
      </c>
      <c r="E151" s="22">
        <v>6</v>
      </c>
      <c r="F151" s="22">
        <v>4</v>
      </c>
      <c r="G151" s="22">
        <v>2</v>
      </c>
      <c r="H151" s="22">
        <v>0</v>
      </c>
      <c r="I151" s="22">
        <v>0</v>
      </c>
    </row>
    <row r="152" spans="1:9" s="21" customFormat="1" ht="12" customHeight="1" x14ac:dyDescent="0.2">
      <c r="A152" s="264" t="s">
        <v>133</v>
      </c>
      <c r="B152" s="264"/>
      <c r="C152" s="22">
        <v>205</v>
      </c>
      <c r="D152" s="22">
        <v>195</v>
      </c>
      <c r="E152" s="22">
        <v>10</v>
      </c>
      <c r="F152" s="22">
        <v>3</v>
      </c>
      <c r="G152" s="22">
        <v>7</v>
      </c>
      <c r="H152" s="22">
        <v>0</v>
      </c>
      <c r="I152" s="22">
        <v>0</v>
      </c>
    </row>
    <row r="153" spans="1:9" s="21" customFormat="1" ht="12" customHeight="1" x14ac:dyDescent="0.2">
      <c r="A153" s="264" t="s">
        <v>134</v>
      </c>
      <c r="B153" s="264"/>
      <c r="C153" s="22">
        <v>560</v>
      </c>
      <c r="D153" s="22">
        <v>452</v>
      </c>
      <c r="E153" s="22">
        <v>108</v>
      </c>
      <c r="F153" s="22">
        <v>71</v>
      </c>
      <c r="G153" s="22">
        <v>35</v>
      </c>
      <c r="H153" s="22">
        <v>0</v>
      </c>
      <c r="I153" s="22">
        <v>2</v>
      </c>
    </row>
    <row r="154" spans="1:9" s="21" customFormat="1" ht="12" customHeight="1" x14ac:dyDescent="0.2">
      <c r="A154" s="264" t="s">
        <v>135</v>
      </c>
      <c r="B154" s="264"/>
      <c r="C154" s="22">
        <v>1865</v>
      </c>
      <c r="D154" s="22">
        <v>1524</v>
      </c>
      <c r="E154" s="22">
        <v>341</v>
      </c>
      <c r="F154" s="22">
        <v>211</v>
      </c>
      <c r="G154" s="22">
        <v>129</v>
      </c>
      <c r="H154" s="22">
        <v>0</v>
      </c>
      <c r="I154" s="22">
        <v>1</v>
      </c>
    </row>
    <row r="155" spans="1:9" s="21" customFormat="1" ht="12" customHeight="1" x14ac:dyDescent="0.2">
      <c r="A155" s="264" t="s">
        <v>136</v>
      </c>
      <c r="B155" s="264"/>
      <c r="C155" s="22">
        <v>112</v>
      </c>
      <c r="D155" s="22">
        <v>102</v>
      </c>
      <c r="E155" s="22">
        <v>10</v>
      </c>
      <c r="F155" s="22">
        <v>8</v>
      </c>
      <c r="G155" s="22">
        <v>2</v>
      </c>
      <c r="H155" s="22">
        <v>0</v>
      </c>
      <c r="I155" s="22">
        <v>0</v>
      </c>
    </row>
    <row r="156" spans="1:9" s="21" customFormat="1" ht="12" customHeight="1" x14ac:dyDescent="0.2">
      <c r="A156" s="264" t="s">
        <v>137</v>
      </c>
      <c r="B156" s="264"/>
      <c r="C156" s="22">
        <v>729</v>
      </c>
      <c r="D156" s="22">
        <v>676</v>
      </c>
      <c r="E156" s="22">
        <v>53</v>
      </c>
      <c r="F156" s="22">
        <v>30</v>
      </c>
      <c r="G156" s="22">
        <v>23</v>
      </c>
      <c r="H156" s="22">
        <v>0</v>
      </c>
      <c r="I156" s="22">
        <v>0</v>
      </c>
    </row>
    <row r="157" spans="1:9" s="21" customFormat="1" ht="12" customHeight="1" x14ac:dyDescent="0.2">
      <c r="A157" s="264" t="s">
        <v>139</v>
      </c>
      <c r="B157" s="264"/>
      <c r="C157" s="22">
        <v>819</v>
      </c>
      <c r="D157" s="22">
        <v>614</v>
      </c>
      <c r="E157" s="22">
        <v>205</v>
      </c>
      <c r="F157" s="22">
        <v>157</v>
      </c>
      <c r="G157" s="22">
        <v>47</v>
      </c>
      <c r="H157" s="22">
        <v>0</v>
      </c>
      <c r="I157" s="22">
        <v>1</v>
      </c>
    </row>
    <row r="158" spans="1:9" s="21" customFormat="1" ht="12" customHeight="1" x14ac:dyDescent="0.2">
      <c r="A158" s="264" t="s">
        <v>140</v>
      </c>
      <c r="B158" s="264"/>
      <c r="C158" s="22">
        <v>18</v>
      </c>
      <c r="D158" s="22">
        <v>17</v>
      </c>
      <c r="E158" s="22">
        <v>1</v>
      </c>
      <c r="F158" s="22">
        <v>1</v>
      </c>
      <c r="G158" s="22">
        <v>0</v>
      </c>
      <c r="H158" s="22">
        <v>0</v>
      </c>
      <c r="I158" s="22">
        <v>0</v>
      </c>
    </row>
    <row r="159" spans="1:9" s="21" customFormat="1" ht="12" customHeight="1" x14ac:dyDescent="0.2">
      <c r="A159" s="264" t="s">
        <v>141</v>
      </c>
      <c r="B159" s="264"/>
      <c r="C159" s="22">
        <v>2785</v>
      </c>
      <c r="D159" s="22">
        <v>2393</v>
      </c>
      <c r="E159" s="22">
        <v>392</v>
      </c>
      <c r="F159" s="22">
        <v>320</v>
      </c>
      <c r="G159" s="22">
        <v>70</v>
      </c>
      <c r="H159" s="22">
        <v>0</v>
      </c>
      <c r="I159" s="22">
        <v>2</v>
      </c>
    </row>
    <row r="160" spans="1:9" s="21" customFormat="1" ht="12" customHeight="1" x14ac:dyDescent="0.2">
      <c r="A160" s="264" t="s">
        <v>142</v>
      </c>
      <c r="B160" s="264"/>
      <c r="C160" s="22">
        <v>117</v>
      </c>
      <c r="D160" s="22">
        <v>108</v>
      </c>
      <c r="E160" s="22">
        <v>9</v>
      </c>
      <c r="F160" s="22">
        <v>6</v>
      </c>
      <c r="G160" s="22">
        <v>3</v>
      </c>
      <c r="H160" s="22">
        <v>0</v>
      </c>
      <c r="I160" s="22">
        <v>0</v>
      </c>
    </row>
    <row r="161" spans="1:9" s="21" customFormat="1" ht="12" customHeight="1" x14ac:dyDescent="0.2">
      <c r="A161" s="264" t="s">
        <v>143</v>
      </c>
      <c r="B161" s="264"/>
      <c r="C161" s="22">
        <v>303</v>
      </c>
      <c r="D161" s="22">
        <v>253</v>
      </c>
      <c r="E161" s="22">
        <v>50</v>
      </c>
      <c r="F161" s="22">
        <v>32</v>
      </c>
      <c r="G161" s="22">
        <v>18</v>
      </c>
      <c r="H161" s="22">
        <v>0</v>
      </c>
      <c r="I161" s="22">
        <v>0</v>
      </c>
    </row>
    <row r="162" spans="1:9" s="21" customFormat="1" ht="12" customHeight="1" x14ac:dyDescent="0.2">
      <c r="A162" s="264" t="s">
        <v>144</v>
      </c>
      <c r="B162" s="264"/>
      <c r="C162" s="22">
        <v>4400</v>
      </c>
      <c r="D162" s="22">
        <v>3653</v>
      </c>
      <c r="E162" s="22">
        <v>747</v>
      </c>
      <c r="F162" s="22">
        <v>619</v>
      </c>
      <c r="G162" s="22">
        <v>128</v>
      </c>
      <c r="H162" s="22">
        <v>0</v>
      </c>
      <c r="I162" s="22">
        <v>0</v>
      </c>
    </row>
    <row r="163" spans="1:9" s="21" customFormat="1" ht="12" customHeight="1" x14ac:dyDescent="0.2">
      <c r="A163" s="264" t="s">
        <v>145</v>
      </c>
      <c r="B163" s="264"/>
      <c r="C163" s="22">
        <v>27</v>
      </c>
      <c r="D163" s="22">
        <v>26</v>
      </c>
      <c r="E163" s="22">
        <v>1</v>
      </c>
      <c r="F163" s="22">
        <v>1</v>
      </c>
      <c r="G163" s="22">
        <v>0</v>
      </c>
      <c r="H163" s="22">
        <v>0</v>
      </c>
      <c r="I163" s="22">
        <v>0</v>
      </c>
    </row>
    <row r="164" spans="1:9" s="21" customFormat="1" ht="12" customHeight="1" x14ac:dyDescent="0.2">
      <c r="A164" s="264" t="s">
        <v>146</v>
      </c>
      <c r="B164" s="264"/>
      <c r="C164" s="22">
        <v>43</v>
      </c>
      <c r="D164" s="22">
        <v>41</v>
      </c>
      <c r="E164" s="22">
        <v>2</v>
      </c>
      <c r="F164" s="22">
        <v>0</v>
      </c>
      <c r="G164" s="22">
        <v>2</v>
      </c>
      <c r="H164" s="22">
        <v>0</v>
      </c>
      <c r="I164" s="22">
        <v>0</v>
      </c>
    </row>
    <row r="165" spans="1:9" s="21" customFormat="1" ht="12" customHeight="1" x14ac:dyDescent="0.2">
      <c r="A165" s="264" t="s">
        <v>254</v>
      </c>
      <c r="B165" s="264"/>
      <c r="C165" s="22">
        <v>897</v>
      </c>
      <c r="D165" s="22">
        <v>799</v>
      </c>
      <c r="E165" s="22">
        <v>98</v>
      </c>
      <c r="F165" s="22">
        <v>60</v>
      </c>
      <c r="G165" s="22">
        <v>38</v>
      </c>
      <c r="H165" s="22">
        <v>0</v>
      </c>
      <c r="I165" s="22">
        <v>0</v>
      </c>
    </row>
    <row r="166" spans="1:9" s="21" customFormat="1" ht="12" customHeight="1" x14ac:dyDescent="0.2">
      <c r="A166" s="264" t="s">
        <v>147</v>
      </c>
      <c r="B166" s="264"/>
      <c r="C166" s="22">
        <v>350</v>
      </c>
      <c r="D166" s="22">
        <v>311</v>
      </c>
      <c r="E166" s="22">
        <v>39</v>
      </c>
      <c r="F166" s="22">
        <v>28</v>
      </c>
      <c r="G166" s="22">
        <v>11</v>
      </c>
      <c r="H166" s="22">
        <v>0</v>
      </c>
      <c r="I166" s="22">
        <v>0</v>
      </c>
    </row>
    <row r="167" spans="1:9" s="21" customFormat="1" ht="12" customHeight="1" x14ac:dyDescent="0.2">
      <c r="A167" s="264" t="s">
        <v>148</v>
      </c>
      <c r="B167" s="264"/>
      <c r="C167" s="22">
        <v>1227</v>
      </c>
      <c r="D167" s="22">
        <v>938</v>
      </c>
      <c r="E167" s="22">
        <v>289</v>
      </c>
      <c r="F167" s="22">
        <v>221</v>
      </c>
      <c r="G167" s="22">
        <v>66</v>
      </c>
      <c r="H167" s="22">
        <v>0</v>
      </c>
      <c r="I167" s="22">
        <v>2</v>
      </c>
    </row>
    <row r="168" spans="1:9" s="21" customFormat="1" ht="12" customHeight="1" x14ac:dyDescent="0.2">
      <c r="A168" s="264" t="s">
        <v>149</v>
      </c>
      <c r="B168" s="264"/>
      <c r="C168" s="22">
        <v>15123</v>
      </c>
      <c r="D168" s="22">
        <v>9990</v>
      </c>
      <c r="E168" s="22">
        <v>5133</v>
      </c>
      <c r="F168" s="22">
        <v>3958</v>
      </c>
      <c r="G168" s="22">
        <v>1163</v>
      </c>
      <c r="H168" s="22">
        <v>0</v>
      </c>
      <c r="I168" s="22">
        <v>12</v>
      </c>
    </row>
    <row r="169" spans="1:9" s="21" customFormat="1" ht="12" customHeight="1" x14ac:dyDescent="0.2">
      <c r="A169" s="264" t="s">
        <v>150</v>
      </c>
      <c r="B169" s="264"/>
      <c r="C169" s="22">
        <v>6368</v>
      </c>
      <c r="D169" s="22">
        <v>5045</v>
      </c>
      <c r="E169" s="22">
        <v>1323</v>
      </c>
      <c r="F169" s="22">
        <v>1055</v>
      </c>
      <c r="G169" s="22">
        <v>267</v>
      </c>
      <c r="H169" s="22">
        <v>0</v>
      </c>
      <c r="I169" s="22">
        <v>1</v>
      </c>
    </row>
    <row r="170" spans="1:9" s="21" customFormat="1" ht="12" customHeight="1" x14ac:dyDescent="0.2">
      <c r="A170" s="264" t="s">
        <v>151</v>
      </c>
      <c r="B170" s="264"/>
      <c r="C170" s="22">
        <v>1642</v>
      </c>
      <c r="D170" s="22">
        <v>1294</v>
      </c>
      <c r="E170" s="22">
        <v>348</v>
      </c>
      <c r="F170" s="22">
        <v>255</v>
      </c>
      <c r="G170" s="22">
        <v>89</v>
      </c>
      <c r="H170" s="22">
        <v>0</v>
      </c>
      <c r="I170" s="22">
        <v>4</v>
      </c>
    </row>
    <row r="171" spans="1:9" s="21" customFormat="1" ht="12" customHeight="1" x14ac:dyDescent="0.2">
      <c r="A171" s="264" t="s">
        <v>152</v>
      </c>
      <c r="B171" s="264"/>
      <c r="C171" s="22">
        <v>223</v>
      </c>
      <c r="D171" s="22">
        <v>203</v>
      </c>
      <c r="E171" s="22">
        <v>20</v>
      </c>
      <c r="F171" s="22">
        <v>8</v>
      </c>
      <c r="G171" s="22">
        <v>12</v>
      </c>
      <c r="H171" s="22">
        <v>0</v>
      </c>
      <c r="I171" s="22">
        <v>0</v>
      </c>
    </row>
    <row r="172" spans="1:9" s="21" customFormat="1" ht="12" customHeight="1" x14ac:dyDescent="0.2">
      <c r="A172" s="264" t="s">
        <v>153</v>
      </c>
      <c r="B172" s="264"/>
      <c r="C172" s="22">
        <v>6903</v>
      </c>
      <c r="D172" s="22">
        <v>5466</v>
      </c>
      <c r="E172" s="22">
        <v>1437</v>
      </c>
      <c r="F172" s="22">
        <v>1171</v>
      </c>
      <c r="G172" s="22">
        <v>265</v>
      </c>
      <c r="H172" s="22">
        <v>0</v>
      </c>
      <c r="I172" s="22">
        <v>1</v>
      </c>
    </row>
    <row r="173" spans="1:9" s="21" customFormat="1" ht="12" customHeight="1" x14ac:dyDescent="0.2">
      <c r="A173" s="264" t="s">
        <v>154</v>
      </c>
      <c r="B173" s="264"/>
      <c r="C173" s="22">
        <v>58</v>
      </c>
      <c r="D173" s="22">
        <v>53</v>
      </c>
      <c r="E173" s="22">
        <v>5</v>
      </c>
      <c r="F173" s="22">
        <v>3</v>
      </c>
      <c r="G173" s="22">
        <v>2</v>
      </c>
      <c r="H173" s="22">
        <v>0</v>
      </c>
      <c r="I173" s="22">
        <v>0</v>
      </c>
    </row>
    <row r="174" spans="1:9" s="21" customFormat="1" ht="12" customHeight="1" x14ac:dyDescent="0.2">
      <c r="A174" s="264" t="s">
        <v>155</v>
      </c>
      <c r="B174" s="264"/>
      <c r="C174" s="22">
        <v>2824</v>
      </c>
      <c r="D174" s="22">
        <v>2063</v>
      </c>
      <c r="E174" s="22">
        <v>761</v>
      </c>
      <c r="F174" s="22">
        <v>561</v>
      </c>
      <c r="G174" s="22">
        <v>197</v>
      </c>
      <c r="H174" s="22">
        <v>0</v>
      </c>
      <c r="I174" s="22">
        <v>3</v>
      </c>
    </row>
    <row r="175" spans="1:9" s="21" customFormat="1" ht="12" customHeight="1" x14ac:dyDescent="0.2">
      <c r="A175" s="264" t="s">
        <v>156</v>
      </c>
      <c r="B175" s="264"/>
      <c r="C175" s="22">
        <v>292</v>
      </c>
      <c r="D175" s="22">
        <v>277</v>
      </c>
      <c r="E175" s="22">
        <v>15</v>
      </c>
      <c r="F175" s="22">
        <v>12</v>
      </c>
      <c r="G175" s="22">
        <v>3</v>
      </c>
      <c r="H175" s="22">
        <v>0</v>
      </c>
      <c r="I175" s="22">
        <v>0</v>
      </c>
    </row>
    <row r="176" spans="1:9" s="21" customFormat="1" ht="12" customHeight="1" x14ac:dyDescent="0.2">
      <c r="A176" s="264" t="s">
        <v>157</v>
      </c>
      <c r="B176" s="264"/>
      <c r="C176" s="22">
        <v>749</v>
      </c>
      <c r="D176" s="22">
        <v>614</v>
      </c>
      <c r="E176" s="22">
        <v>135</v>
      </c>
      <c r="F176" s="22">
        <v>86</v>
      </c>
      <c r="G176" s="22">
        <v>49</v>
      </c>
      <c r="H176" s="22">
        <v>0</v>
      </c>
      <c r="I176" s="22">
        <v>0</v>
      </c>
    </row>
    <row r="177" spans="1:9" s="21" customFormat="1" ht="12" customHeight="1" x14ac:dyDescent="0.2">
      <c r="A177" s="264" t="s">
        <v>255</v>
      </c>
      <c r="B177" s="264"/>
      <c r="C177" s="22">
        <v>123</v>
      </c>
      <c r="D177" s="22">
        <v>110</v>
      </c>
      <c r="E177" s="22">
        <v>13</v>
      </c>
      <c r="F177" s="22">
        <v>9</v>
      </c>
      <c r="G177" s="22">
        <v>4</v>
      </c>
      <c r="H177" s="22">
        <v>0</v>
      </c>
      <c r="I177" s="22">
        <v>0</v>
      </c>
    </row>
    <row r="178" spans="1:9" s="21" customFormat="1" ht="12" customHeight="1" x14ac:dyDescent="0.2">
      <c r="A178" s="264" t="s">
        <v>158</v>
      </c>
      <c r="B178" s="264"/>
      <c r="C178" s="22">
        <v>395</v>
      </c>
      <c r="D178" s="22">
        <v>337</v>
      </c>
      <c r="E178" s="22">
        <v>58</v>
      </c>
      <c r="F178" s="22">
        <v>46</v>
      </c>
      <c r="G178" s="22">
        <v>12</v>
      </c>
      <c r="H178" s="22">
        <v>0</v>
      </c>
      <c r="I178" s="22">
        <v>0</v>
      </c>
    </row>
    <row r="179" spans="1:9" s="21" customFormat="1" ht="12" customHeight="1" x14ac:dyDescent="0.2">
      <c r="A179" s="264" t="s">
        <v>159</v>
      </c>
      <c r="B179" s="264"/>
      <c r="C179" s="22">
        <v>660</v>
      </c>
      <c r="D179" s="22">
        <v>496</v>
      </c>
      <c r="E179" s="22">
        <v>164</v>
      </c>
      <c r="F179" s="22">
        <v>93</v>
      </c>
      <c r="G179" s="22">
        <v>71</v>
      </c>
      <c r="H179" s="22">
        <v>0</v>
      </c>
      <c r="I179" s="22">
        <v>0</v>
      </c>
    </row>
    <row r="180" spans="1:9" s="21" customFormat="1" ht="12" customHeight="1" x14ac:dyDescent="0.2">
      <c r="A180" s="264" t="s">
        <v>160</v>
      </c>
      <c r="B180" s="264"/>
      <c r="C180" s="22">
        <v>708</v>
      </c>
      <c r="D180" s="22">
        <v>586</v>
      </c>
      <c r="E180" s="22">
        <v>122</v>
      </c>
      <c r="F180" s="22">
        <v>86</v>
      </c>
      <c r="G180" s="22">
        <v>35</v>
      </c>
      <c r="H180" s="22">
        <v>0</v>
      </c>
      <c r="I180" s="22">
        <v>1</v>
      </c>
    </row>
    <row r="181" spans="1:9" s="21" customFormat="1" ht="12" customHeight="1" x14ac:dyDescent="0.2">
      <c r="A181" s="264" t="s">
        <v>161</v>
      </c>
      <c r="B181" s="264"/>
      <c r="C181" s="22">
        <v>136</v>
      </c>
      <c r="D181" s="22">
        <v>115</v>
      </c>
      <c r="E181" s="22">
        <v>21</v>
      </c>
      <c r="F181" s="22">
        <v>15</v>
      </c>
      <c r="G181" s="22">
        <v>6</v>
      </c>
      <c r="H181" s="22">
        <v>0</v>
      </c>
      <c r="I181" s="22">
        <v>0</v>
      </c>
    </row>
    <row r="182" spans="1:9" s="21" customFormat="1" ht="12" customHeight="1" x14ac:dyDescent="0.2">
      <c r="A182" s="264" t="s">
        <v>162</v>
      </c>
      <c r="B182" s="264"/>
      <c r="C182" s="22">
        <v>85</v>
      </c>
      <c r="D182" s="22">
        <v>81</v>
      </c>
      <c r="E182" s="22">
        <v>4</v>
      </c>
      <c r="F182" s="22">
        <v>2</v>
      </c>
      <c r="G182" s="22">
        <v>1</v>
      </c>
      <c r="H182" s="22">
        <v>0</v>
      </c>
      <c r="I182" s="22">
        <v>1</v>
      </c>
    </row>
    <row r="183" spans="1:9" s="21" customFormat="1" ht="12" customHeight="1" x14ac:dyDescent="0.2">
      <c r="A183" s="264" t="s">
        <v>163</v>
      </c>
      <c r="B183" s="264"/>
      <c r="C183" s="22">
        <v>740</v>
      </c>
      <c r="D183" s="22">
        <v>639</v>
      </c>
      <c r="E183" s="22">
        <v>101</v>
      </c>
      <c r="F183" s="22">
        <v>81</v>
      </c>
      <c r="G183" s="22">
        <v>20</v>
      </c>
      <c r="H183" s="22">
        <v>0</v>
      </c>
      <c r="I183" s="22">
        <v>0</v>
      </c>
    </row>
    <row r="184" spans="1:9" s="21" customFormat="1" ht="12" customHeight="1" x14ac:dyDescent="0.2">
      <c r="A184" s="264" t="s">
        <v>164</v>
      </c>
      <c r="B184" s="264"/>
      <c r="C184" s="22">
        <v>2543</v>
      </c>
      <c r="D184" s="22">
        <v>1877</v>
      </c>
      <c r="E184" s="22">
        <v>666</v>
      </c>
      <c r="F184" s="22">
        <v>539</v>
      </c>
      <c r="G184" s="22">
        <v>124</v>
      </c>
      <c r="H184" s="22">
        <v>0</v>
      </c>
      <c r="I184" s="22">
        <v>3</v>
      </c>
    </row>
    <row r="185" spans="1:9" s="21" customFormat="1" ht="12" customHeight="1" x14ac:dyDescent="0.2">
      <c r="A185" s="264" t="s">
        <v>165</v>
      </c>
      <c r="B185" s="264"/>
      <c r="C185" s="22">
        <v>65</v>
      </c>
      <c r="D185" s="22">
        <v>60</v>
      </c>
      <c r="E185" s="22">
        <v>5</v>
      </c>
      <c r="F185" s="22">
        <v>4</v>
      </c>
      <c r="G185" s="22">
        <v>1</v>
      </c>
      <c r="H185" s="22">
        <v>0</v>
      </c>
      <c r="I185" s="22">
        <v>0</v>
      </c>
    </row>
    <row r="186" spans="1:9" s="21" customFormat="1" ht="12" customHeight="1" x14ac:dyDescent="0.2">
      <c r="A186" s="264" t="s">
        <v>166</v>
      </c>
      <c r="B186" s="264"/>
      <c r="C186" s="22">
        <v>1110</v>
      </c>
      <c r="D186" s="22">
        <v>951</v>
      </c>
      <c r="E186" s="22">
        <v>159</v>
      </c>
      <c r="F186" s="22">
        <v>110</v>
      </c>
      <c r="G186" s="22">
        <v>49</v>
      </c>
      <c r="H186" s="22">
        <v>0</v>
      </c>
      <c r="I186" s="22">
        <v>0</v>
      </c>
    </row>
    <row r="187" spans="1:9" s="21" customFormat="1" ht="12" customHeight="1" x14ac:dyDescent="0.2">
      <c r="A187" s="264" t="s">
        <v>167</v>
      </c>
      <c r="B187" s="264"/>
      <c r="C187" s="22">
        <v>665</v>
      </c>
      <c r="D187" s="22">
        <v>561</v>
      </c>
      <c r="E187" s="22">
        <v>104</v>
      </c>
      <c r="F187" s="22">
        <v>74</v>
      </c>
      <c r="G187" s="22">
        <v>30</v>
      </c>
      <c r="H187" s="22">
        <v>0</v>
      </c>
      <c r="I187" s="22">
        <v>0</v>
      </c>
    </row>
    <row r="188" spans="1:9" s="21" customFormat="1" ht="12" customHeight="1" x14ac:dyDescent="0.2">
      <c r="A188" s="267" t="s">
        <v>168</v>
      </c>
      <c r="B188" s="267"/>
      <c r="C188" s="28">
        <v>289</v>
      </c>
      <c r="D188" s="28">
        <v>274</v>
      </c>
      <c r="E188" s="28">
        <v>15</v>
      </c>
      <c r="F188" s="28">
        <v>7</v>
      </c>
      <c r="G188" s="28">
        <v>8</v>
      </c>
      <c r="H188" s="28">
        <v>0</v>
      </c>
      <c r="I188" s="28">
        <v>0</v>
      </c>
    </row>
    <row r="189" spans="1:9" s="21" customFormat="1" ht="12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</row>
    <row r="190" spans="1:9" s="21" customFormat="1" ht="12" customHeight="1" x14ac:dyDescent="0.2">
      <c r="A190" s="263" t="s">
        <v>169</v>
      </c>
      <c r="B190" s="263"/>
      <c r="C190" s="20">
        <f t="shared" ref="C190:I190" si="45">SUM(C191:C198)</f>
        <v>5826</v>
      </c>
      <c r="D190" s="20">
        <f t="shared" si="45"/>
        <v>5214</v>
      </c>
      <c r="E190" s="20">
        <f t="shared" si="45"/>
        <v>612</v>
      </c>
      <c r="F190" s="20">
        <f t="shared" si="45"/>
        <v>455</v>
      </c>
      <c r="G190" s="20">
        <f t="shared" si="45"/>
        <v>157</v>
      </c>
      <c r="H190" s="20">
        <f t="shared" si="45"/>
        <v>0</v>
      </c>
      <c r="I190" s="20">
        <f t="shared" si="45"/>
        <v>0</v>
      </c>
    </row>
    <row r="191" spans="1:9" s="21" customFormat="1" ht="12" customHeight="1" x14ac:dyDescent="0.2">
      <c r="A191" s="264" t="s">
        <v>170</v>
      </c>
      <c r="B191" s="264"/>
      <c r="C191" s="22">
        <v>1399</v>
      </c>
      <c r="D191" s="22">
        <v>1275</v>
      </c>
      <c r="E191" s="22">
        <v>124</v>
      </c>
      <c r="F191" s="22">
        <v>84</v>
      </c>
      <c r="G191" s="22">
        <v>40</v>
      </c>
      <c r="H191" s="22">
        <v>0</v>
      </c>
      <c r="I191" s="22">
        <v>0</v>
      </c>
    </row>
    <row r="192" spans="1:9" s="21" customFormat="1" ht="12" customHeight="1" x14ac:dyDescent="0.2">
      <c r="A192" s="264" t="s">
        <v>171</v>
      </c>
      <c r="B192" s="264"/>
      <c r="C192" s="22">
        <v>53</v>
      </c>
      <c r="D192" s="22">
        <v>49</v>
      </c>
      <c r="E192" s="22">
        <v>4</v>
      </c>
      <c r="F192" s="22">
        <v>1</v>
      </c>
      <c r="G192" s="22">
        <v>3</v>
      </c>
      <c r="H192" s="22">
        <v>0</v>
      </c>
      <c r="I192" s="22">
        <v>0</v>
      </c>
    </row>
    <row r="193" spans="1:9" s="21" customFormat="1" ht="12" customHeight="1" x14ac:dyDescent="0.2">
      <c r="A193" s="264" t="s">
        <v>172</v>
      </c>
      <c r="B193" s="264"/>
      <c r="C193" s="22">
        <v>57</v>
      </c>
      <c r="D193" s="22">
        <v>52</v>
      </c>
      <c r="E193" s="22">
        <v>5</v>
      </c>
      <c r="F193" s="22">
        <v>3</v>
      </c>
      <c r="G193" s="22">
        <v>2</v>
      </c>
      <c r="H193" s="22">
        <v>0</v>
      </c>
      <c r="I193" s="22">
        <v>0</v>
      </c>
    </row>
    <row r="194" spans="1:9" s="21" customFormat="1" ht="12" customHeight="1" x14ac:dyDescent="0.2">
      <c r="A194" s="264" t="s">
        <v>173</v>
      </c>
      <c r="B194" s="264"/>
      <c r="C194" s="22">
        <v>65</v>
      </c>
      <c r="D194" s="22">
        <v>60</v>
      </c>
      <c r="E194" s="22">
        <v>5</v>
      </c>
      <c r="F194" s="22">
        <v>0</v>
      </c>
      <c r="G194" s="22">
        <v>5</v>
      </c>
      <c r="H194" s="22">
        <v>0</v>
      </c>
      <c r="I194" s="22">
        <v>0</v>
      </c>
    </row>
    <row r="195" spans="1:9" s="21" customFormat="1" ht="12" customHeight="1" x14ac:dyDescent="0.2">
      <c r="A195" s="264" t="s">
        <v>174</v>
      </c>
      <c r="B195" s="264"/>
      <c r="C195" s="22">
        <v>1218</v>
      </c>
      <c r="D195" s="22">
        <v>1039</v>
      </c>
      <c r="E195" s="22">
        <v>179</v>
      </c>
      <c r="F195" s="22">
        <v>142</v>
      </c>
      <c r="G195" s="22">
        <v>37</v>
      </c>
      <c r="H195" s="22">
        <v>0</v>
      </c>
      <c r="I195" s="22">
        <v>0</v>
      </c>
    </row>
    <row r="196" spans="1:9" s="21" customFormat="1" ht="12" customHeight="1" x14ac:dyDescent="0.2">
      <c r="A196" s="264" t="s">
        <v>175</v>
      </c>
      <c r="B196" s="264"/>
      <c r="C196" s="22">
        <v>572</v>
      </c>
      <c r="D196" s="22">
        <v>545</v>
      </c>
      <c r="E196" s="22">
        <v>27</v>
      </c>
      <c r="F196" s="22">
        <v>15</v>
      </c>
      <c r="G196" s="22">
        <v>12</v>
      </c>
      <c r="H196" s="22">
        <v>0</v>
      </c>
      <c r="I196" s="22">
        <v>0</v>
      </c>
    </row>
    <row r="197" spans="1:9" s="21" customFormat="1" ht="12" customHeight="1" x14ac:dyDescent="0.2">
      <c r="A197" s="264" t="s">
        <v>176</v>
      </c>
      <c r="B197" s="264"/>
      <c r="C197" s="22">
        <v>49</v>
      </c>
      <c r="D197" s="22">
        <v>45</v>
      </c>
      <c r="E197" s="22">
        <v>4</v>
      </c>
      <c r="F197" s="22">
        <v>3</v>
      </c>
      <c r="G197" s="22">
        <v>1</v>
      </c>
      <c r="H197" s="22">
        <v>0</v>
      </c>
      <c r="I197" s="22">
        <v>0</v>
      </c>
    </row>
    <row r="198" spans="1:9" s="21" customFormat="1" ht="12" customHeight="1" x14ac:dyDescent="0.2">
      <c r="A198" s="267" t="s">
        <v>177</v>
      </c>
      <c r="B198" s="267"/>
      <c r="C198" s="28">
        <v>2413</v>
      </c>
      <c r="D198" s="28">
        <v>2149</v>
      </c>
      <c r="E198" s="28">
        <v>264</v>
      </c>
      <c r="F198" s="28">
        <v>207</v>
      </c>
      <c r="G198" s="28">
        <v>57</v>
      </c>
      <c r="H198" s="28">
        <v>0</v>
      </c>
      <c r="I198" s="28">
        <v>0</v>
      </c>
    </row>
    <row r="199" spans="1:9" s="21" customFormat="1" ht="12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</row>
    <row r="200" spans="1:9" s="21" customFormat="1" ht="12" customHeight="1" x14ac:dyDescent="0.2">
      <c r="A200" s="263" t="s">
        <v>178</v>
      </c>
      <c r="B200" s="263"/>
      <c r="C200" s="20">
        <f t="shared" ref="C200:I200" si="46">SUM(C201:C218)</f>
        <v>47786</v>
      </c>
      <c r="D200" s="20">
        <f t="shared" si="46"/>
        <v>35368</v>
      </c>
      <c r="E200" s="20">
        <f t="shared" si="46"/>
        <v>12418</v>
      </c>
      <c r="F200" s="20">
        <f t="shared" si="46"/>
        <v>9966</v>
      </c>
      <c r="G200" s="20">
        <f t="shared" si="46"/>
        <v>2422</v>
      </c>
      <c r="H200" s="20">
        <f t="shared" si="46"/>
        <v>1</v>
      </c>
      <c r="I200" s="20">
        <f t="shared" si="46"/>
        <v>29</v>
      </c>
    </row>
    <row r="201" spans="1:9" s="21" customFormat="1" ht="12" customHeight="1" x14ac:dyDescent="0.2">
      <c r="A201" s="264" t="s">
        <v>179</v>
      </c>
      <c r="B201" s="264"/>
      <c r="C201" s="22">
        <v>4133</v>
      </c>
      <c r="D201" s="22">
        <v>2914</v>
      </c>
      <c r="E201" s="22">
        <v>1219</v>
      </c>
      <c r="F201" s="22">
        <v>994</v>
      </c>
      <c r="G201" s="22">
        <v>220</v>
      </c>
      <c r="H201" s="22">
        <v>0</v>
      </c>
      <c r="I201" s="22">
        <v>5</v>
      </c>
    </row>
    <row r="202" spans="1:9" s="21" customFormat="1" ht="12" customHeight="1" x14ac:dyDescent="0.2">
      <c r="A202" s="264" t="s">
        <v>180</v>
      </c>
      <c r="B202" s="264"/>
      <c r="C202" s="22">
        <v>17286</v>
      </c>
      <c r="D202" s="22">
        <v>12209</v>
      </c>
      <c r="E202" s="22">
        <v>5077</v>
      </c>
      <c r="F202" s="22">
        <v>3959</v>
      </c>
      <c r="G202" s="22">
        <v>1103</v>
      </c>
      <c r="H202" s="22">
        <v>1</v>
      </c>
      <c r="I202" s="22">
        <v>14</v>
      </c>
    </row>
    <row r="203" spans="1:9" s="21" customFormat="1" ht="12" customHeight="1" x14ac:dyDescent="0.2">
      <c r="A203" s="264" t="s">
        <v>181</v>
      </c>
      <c r="B203" s="264"/>
      <c r="C203" s="22">
        <v>2279</v>
      </c>
      <c r="D203" s="22">
        <v>1455</v>
      </c>
      <c r="E203" s="22">
        <v>824</v>
      </c>
      <c r="F203" s="22">
        <v>634</v>
      </c>
      <c r="G203" s="22">
        <v>188</v>
      </c>
      <c r="H203" s="22">
        <v>0</v>
      </c>
      <c r="I203" s="22">
        <v>2</v>
      </c>
    </row>
    <row r="204" spans="1:9" s="21" customFormat="1" ht="12" customHeight="1" x14ac:dyDescent="0.2">
      <c r="A204" s="264" t="s">
        <v>182</v>
      </c>
      <c r="B204" s="264"/>
      <c r="C204" s="22">
        <v>2610</v>
      </c>
      <c r="D204" s="22">
        <v>2189</v>
      </c>
      <c r="E204" s="22">
        <v>421</v>
      </c>
      <c r="F204" s="22">
        <v>342</v>
      </c>
      <c r="G204" s="22">
        <v>79</v>
      </c>
      <c r="H204" s="22">
        <v>0</v>
      </c>
      <c r="I204" s="22">
        <v>0</v>
      </c>
    </row>
    <row r="205" spans="1:9" s="21" customFormat="1" ht="12" customHeight="1" x14ac:dyDescent="0.2">
      <c r="A205" s="264" t="s">
        <v>183</v>
      </c>
      <c r="B205" s="264"/>
      <c r="C205" s="22">
        <v>8188</v>
      </c>
      <c r="D205" s="22">
        <v>5953</v>
      </c>
      <c r="E205" s="22">
        <v>2235</v>
      </c>
      <c r="F205" s="22">
        <v>1875</v>
      </c>
      <c r="G205" s="22">
        <v>355</v>
      </c>
      <c r="H205" s="22">
        <v>0</v>
      </c>
      <c r="I205" s="22">
        <v>5</v>
      </c>
    </row>
    <row r="206" spans="1:9" s="21" customFormat="1" ht="12" customHeight="1" x14ac:dyDescent="0.2">
      <c r="A206" s="264" t="s">
        <v>184</v>
      </c>
      <c r="B206" s="264"/>
      <c r="C206" s="22">
        <v>652</v>
      </c>
      <c r="D206" s="22">
        <v>568</v>
      </c>
      <c r="E206" s="22">
        <v>84</v>
      </c>
      <c r="F206" s="22">
        <v>64</v>
      </c>
      <c r="G206" s="22">
        <v>20</v>
      </c>
      <c r="H206" s="22">
        <v>0</v>
      </c>
      <c r="I206" s="22">
        <v>0</v>
      </c>
    </row>
    <row r="207" spans="1:9" s="21" customFormat="1" ht="12" customHeight="1" x14ac:dyDescent="0.2">
      <c r="A207" s="264" t="s">
        <v>185</v>
      </c>
      <c r="B207" s="264"/>
      <c r="C207" s="22">
        <v>719</v>
      </c>
      <c r="D207" s="22">
        <v>621</v>
      </c>
      <c r="E207" s="22">
        <v>98</v>
      </c>
      <c r="F207" s="22">
        <v>83</v>
      </c>
      <c r="G207" s="22">
        <v>15</v>
      </c>
      <c r="H207" s="22">
        <v>0</v>
      </c>
      <c r="I207" s="22">
        <v>0</v>
      </c>
    </row>
    <row r="208" spans="1:9" s="21" customFormat="1" ht="12" customHeight="1" x14ac:dyDescent="0.2">
      <c r="A208" s="264" t="s">
        <v>186</v>
      </c>
      <c r="B208" s="264"/>
      <c r="C208" s="22">
        <v>783</v>
      </c>
      <c r="D208" s="22">
        <v>651</v>
      </c>
      <c r="E208" s="22">
        <v>132</v>
      </c>
      <c r="F208" s="22">
        <v>108</v>
      </c>
      <c r="G208" s="22">
        <v>24</v>
      </c>
      <c r="H208" s="22">
        <v>0</v>
      </c>
      <c r="I208" s="22">
        <v>0</v>
      </c>
    </row>
    <row r="209" spans="1:9" s="21" customFormat="1" ht="12" customHeight="1" x14ac:dyDescent="0.2">
      <c r="A209" s="264" t="s">
        <v>187</v>
      </c>
      <c r="B209" s="264"/>
      <c r="C209" s="22">
        <v>377</v>
      </c>
      <c r="D209" s="22">
        <v>347</v>
      </c>
      <c r="E209" s="22">
        <v>30</v>
      </c>
      <c r="F209" s="22">
        <v>25</v>
      </c>
      <c r="G209" s="22">
        <v>5</v>
      </c>
      <c r="H209" s="22">
        <v>0</v>
      </c>
      <c r="I209" s="22">
        <v>0</v>
      </c>
    </row>
    <row r="210" spans="1:9" s="21" customFormat="1" ht="12" customHeight="1" x14ac:dyDescent="0.2">
      <c r="A210" s="264" t="s">
        <v>188</v>
      </c>
      <c r="B210" s="264"/>
      <c r="C210" s="22">
        <v>1274</v>
      </c>
      <c r="D210" s="22">
        <v>1093</v>
      </c>
      <c r="E210" s="22">
        <v>181</v>
      </c>
      <c r="F210" s="22">
        <v>142</v>
      </c>
      <c r="G210" s="22">
        <v>39</v>
      </c>
      <c r="H210" s="22">
        <v>0</v>
      </c>
      <c r="I210" s="22">
        <v>0</v>
      </c>
    </row>
    <row r="211" spans="1:9" s="21" customFormat="1" ht="12" customHeight="1" x14ac:dyDescent="0.2">
      <c r="A211" s="264" t="s">
        <v>189</v>
      </c>
      <c r="B211" s="264"/>
      <c r="C211" s="22">
        <v>351</v>
      </c>
      <c r="D211" s="22">
        <v>331</v>
      </c>
      <c r="E211" s="22">
        <v>20</v>
      </c>
      <c r="F211" s="22">
        <v>14</v>
      </c>
      <c r="G211" s="22">
        <v>6</v>
      </c>
      <c r="H211" s="22">
        <v>0</v>
      </c>
      <c r="I211" s="22">
        <v>0</v>
      </c>
    </row>
    <row r="212" spans="1:9" s="21" customFormat="1" ht="12" customHeight="1" x14ac:dyDescent="0.2">
      <c r="A212" s="264" t="s">
        <v>190</v>
      </c>
      <c r="B212" s="264"/>
      <c r="C212" s="22">
        <v>112</v>
      </c>
      <c r="D212" s="22">
        <v>93</v>
      </c>
      <c r="E212" s="22">
        <v>19</v>
      </c>
      <c r="F212" s="22">
        <v>17</v>
      </c>
      <c r="G212" s="22">
        <v>2</v>
      </c>
      <c r="H212" s="22">
        <v>0</v>
      </c>
      <c r="I212" s="22">
        <v>0</v>
      </c>
    </row>
    <row r="213" spans="1:9" s="21" customFormat="1" ht="12" customHeight="1" x14ac:dyDescent="0.2">
      <c r="A213" s="264" t="s">
        <v>191</v>
      </c>
      <c r="B213" s="264"/>
      <c r="C213" s="22">
        <v>2464</v>
      </c>
      <c r="D213" s="22">
        <v>1915</v>
      </c>
      <c r="E213" s="22">
        <v>549</v>
      </c>
      <c r="F213" s="22">
        <v>448</v>
      </c>
      <c r="G213" s="22">
        <v>101</v>
      </c>
      <c r="H213" s="22">
        <v>0</v>
      </c>
      <c r="I213" s="22">
        <v>0</v>
      </c>
    </row>
    <row r="214" spans="1:9" s="21" customFormat="1" ht="12" customHeight="1" x14ac:dyDescent="0.2">
      <c r="A214" s="264" t="s">
        <v>192</v>
      </c>
      <c r="B214" s="264"/>
      <c r="C214" s="22">
        <v>540</v>
      </c>
      <c r="D214" s="22">
        <v>499</v>
      </c>
      <c r="E214" s="22">
        <v>41</v>
      </c>
      <c r="F214" s="22">
        <v>32</v>
      </c>
      <c r="G214" s="22">
        <v>9</v>
      </c>
      <c r="H214" s="22">
        <v>0</v>
      </c>
      <c r="I214" s="22">
        <v>0</v>
      </c>
    </row>
    <row r="215" spans="1:9" s="21" customFormat="1" ht="12" customHeight="1" x14ac:dyDescent="0.2">
      <c r="A215" s="264" t="s">
        <v>193</v>
      </c>
      <c r="B215" s="264"/>
      <c r="C215" s="22">
        <v>564</v>
      </c>
      <c r="D215" s="22">
        <v>497</v>
      </c>
      <c r="E215" s="22">
        <v>67</v>
      </c>
      <c r="F215" s="22">
        <v>55</v>
      </c>
      <c r="G215" s="22">
        <v>11</v>
      </c>
      <c r="H215" s="22">
        <v>0</v>
      </c>
      <c r="I215" s="22">
        <v>1</v>
      </c>
    </row>
    <row r="216" spans="1:9" s="21" customFormat="1" ht="12" customHeight="1" x14ac:dyDescent="0.2">
      <c r="A216" s="264" t="s">
        <v>194</v>
      </c>
      <c r="B216" s="264"/>
      <c r="C216" s="22">
        <v>2241</v>
      </c>
      <c r="D216" s="22">
        <v>1576</v>
      </c>
      <c r="E216" s="22">
        <v>665</v>
      </c>
      <c r="F216" s="22">
        <v>561</v>
      </c>
      <c r="G216" s="22">
        <v>104</v>
      </c>
      <c r="H216" s="22">
        <v>0</v>
      </c>
      <c r="I216" s="22">
        <v>0</v>
      </c>
    </row>
    <row r="217" spans="1:9" s="21" customFormat="1" ht="12" customHeight="1" x14ac:dyDescent="0.2">
      <c r="A217" s="264" t="s">
        <v>195</v>
      </c>
      <c r="B217" s="264"/>
      <c r="C217" s="22">
        <v>201</v>
      </c>
      <c r="D217" s="22">
        <v>189</v>
      </c>
      <c r="E217" s="22">
        <v>12</v>
      </c>
      <c r="F217" s="22">
        <v>10</v>
      </c>
      <c r="G217" s="22">
        <v>2</v>
      </c>
      <c r="H217" s="22">
        <v>0</v>
      </c>
      <c r="I217" s="22">
        <v>0</v>
      </c>
    </row>
    <row r="218" spans="1:9" s="21" customFormat="1" ht="12" customHeight="1" x14ac:dyDescent="0.2">
      <c r="A218" s="267" t="s">
        <v>196</v>
      </c>
      <c r="B218" s="267"/>
      <c r="C218" s="28">
        <v>3012</v>
      </c>
      <c r="D218" s="28">
        <v>2268</v>
      </c>
      <c r="E218" s="28">
        <v>744</v>
      </c>
      <c r="F218" s="28">
        <v>603</v>
      </c>
      <c r="G218" s="28">
        <v>139</v>
      </c>
      <c r="H218" s="28">
        <v>0</v>
      </c>
      <c r="I218" s="28">
        <v>2</v>
      </c>
    </row>
    <row r="219" spans="1:9" s="21" customFormat="1" ht="12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</row>
    <row r="220" spans="1:9" s="21" customFormat="1" ht="12" customHeight="1" x14ac:dyDescent="0.2">
      <c r="A220" s="263" t="s">
        <v>197</v>
      </c>
      <c r="B220" s="263"/>
      <c r="C220" s="20">
        <f t="shared" ref="C220:I220" si="47">SUM(C221:C226)</f>
        <v>12282</v>
      </c>
      <c r="D220" s="20">
        <f t="shared" si="47"/>
        <v>8619</v>
      </c>
      <c r="E220" s="20">
        <f t="shared" si="47"/>
        <v>3663</v>
      </c>
      <c r="F220" s="20">
        <f t="shared" si="47"/>
        <v>3015</v>
      </c>
      <c r="G220" s="20">
        <f t="shared" si="47"/>
        <v>638</v>
      </c>
      <c r="H220" s="20">
        <f t="shared" si="47"/>
        <v>0</v>
      </c>
      <c r="I220" s="20">
        <f t="shared" si="47"/>
        <v>10</v>
      </c>
    </row>
    <row r="221" spans="1:9" s="21" customFormat="1" ht="12" customHeight="1" x14ac:dyDescent="0.2">
      <c r="A221" s="264" t="s">
        <v>198</v>
      </c>
      <c r="B221" s="264"/>
      <c r="C221" s="22">
        <v>5956</v>
      </c>
      <c r="D221" s="22">
        <v>3834</v>
      </c>
      <c r="E221" s="22">
        <v>2122</v>
      </c>
      <c r="F221" s="22">
        <v>1798</v>
      </c>
      <c r="G221" s="22">
        <v>316</v>
      </c>
      <c r="H221" s="22">
        <v>0</v>
      </c>
      <c r="I221" s="22">
        <v>8</v>
      </c>
    </row>
    <row r="222" spans="1:9" s="21" customFormat="1" ht="12" customHeight="1" x14ac:dyDescent="0.2">
      <c r="A222" s="264" t="s">
        <v>199</v>
      </c>
      <c r="B222" s="264"/>
      <c r="C222" s="22">
        <v>2521</v>
      </c>
      <c r="D222" s="22">
        <v>2101</v>
      </c>
      <c r="E222" s="22">
        <v>420</v>
      </c>
      <c r="F222" s="22">
        <v>347</v>
      </c>
      <c r="G222" s="22">
        <v>72</v>
      </c>
      <c r="H222" s="22">
        <v>0</v>
      </c>
      <c r="I222" s="22">
        <v>1</v>
      </c>
    </row>
    <row r="223" spans="1:9" s="21" customFormat="1" ht="12" customHeight="1" x14ac:dyDescent="0.2">
      <c r="A223" s="264" t="s">
        <v>200</v>
      </c>
      <c r="B223" s="264"/>
      <c r="C223" s="22">
        <v>620</v>
      </c>
      <c r="D223" s="22">
        <v>426</v>
      </c>
      <c r="E223" s="22">
        <v>194</v>
      </c>
      <c r="F223" s="22">
        <v>122</v>
      </c>
      <c r="G223" s="22">
        <v>71</v>
      </c>
      <c r="H223" s="22">
        <v>0</v>
      </c>
      <c r="I223" s="22">
        <v>1</v>
      </c>
    </row>
    <row r="224" spans="1:9" s="21" customFormat="1" ht="12" customHeight="1" x14ac:dyDescent="0.2">
      <c r="A224" s="264" t="s">
        <v>201</v>
      </c>
      <c r="B224" s="264"/>
      <c r="C224" s="22">
        <v>552</v>
      </c>
      <c r="D224" s="22">
        <v>432</v>
      </c>
      <c r="E224" s="22">
        <v>120</v>
      </c>
      <c r="F224" s="22">
        <v>93</v>
      </c>
      <c r="G224" s="22">
        <v>27</v>
      </c>
      <c r="H224" s="22">
        <v>0</v>
      </c>
      <c r="I224" s="22">
        <v>0</v>
      </c>
    </row>
    <row r="225" spans="1:9" s="21" customFormat="1" ht="12" customHeight="1" x14ac:dyDescent="0.2">
      <c r="A225" s="264" t="s">
        <v>202</v>
      </c>
      <c r="B225" s="264"/>
      <c r="C225" s="22">
        <v>1604</v>
      </c>
      <c r="D225" s="22">
        <v>1170</v>
      </c>
      <c r="E225" s="22">
        <v>434</v>
      </c>
      <c r="F225" s="22">
        <v>347</v>
      </c>
      <c r="G225" s="22">
        <v>87</v>
      </c>
      <c r="H225" s="22">
        <v>0</v>
      </c>
      <c r="I225" s="22">
        <v>0</v>
      </c>
    </row>
    <row r="226" spans="1:9" s="21" customFormat="1" ht="12" customHeight="1" x14ac:dyDescent="0.2">
      <c r="A226" s="267" t="s">
        <v>203</v>
      </c>
      <c r="B226" s="267"/>
      <c r="C226" s="28">
        <v>1029</v>
      </c>
      <c r="D226" s="28">
        <v>656</v>
      </c>
      <c r="E226" s="28">
        <v>373</v>
      </c>
      <c r="F226" s="28">
        <v>308</v>
      </c>
      <c r="G226" s="28">
        <v>65</v>
      </c>
      <c r="H226" s="28">
        <v>0</v>
      </c>
      <c r="I226" s="28">
        <v>0</v>
      </c>
    </row>
    <row r="227" spans="1:9" s="21" customFormat="1" ht="12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</row>
    <row r="228" spans="1:9" s="21" customFormat="1" ht="12" customHeight="1" x14ac:dyDescent="0.2">
      <c r="A228" s="263" t="s">
        <v>204</v>
      </c>
      <c r="B228" s="263"/>
      <c r="C228" s="20">
        <f t="shared" ref="C228:I228" si="48">SUM(C229:C233)</f>
        <v>5697</v>
      </c>
      <c r="D228" s="20">
        <f t="shared" si="48"/>
        <v>5239</v>
      </c>
      <c r="E228" s="20">
        <f t="shared" si="48"/>
        <v>458</v>
      </c>
      <c r="F228" s="20">
        <f t="shared" si="48"/>
        <v>302</v>
      </c>
      <c r="G228" s="20">
        <f t="shared" si="48"/>
        <v>156</v>
      </c>
      <c r="H228" s="20">
        <f t="shared" si="48"/>
        <v>0</v>
      </c>
      <c r="I228" s="20">
        <f t="shared" si="48"/>
        <v>0</v>
      </c>
    </row>
    <row r="229" spans="1:9" s="21" customFormat="1" ht="12" customHeight="1" x14ac:dyDescent="0.2">
      <c r="A229" s="264" t="s">
        <v>205</v>
      </c>
      <c r="B229" s="264"/>
      <c r="C229" s="22">
        <v>1835</v>
      </c>
      <c r="D229" s="22">
        <v>1644</v>
      </c>
      <c r="E229" s="22">
        <v>191</v>
      </c>
      <c r="F229" s="22">
        <v>124</v>
      </c>
      <c r="G229" s="22">
        <v>67</v>
      </c>
      <c r="H229" s="22">
        <v>0</v>
      </c>
      <c r="I229" s="22">
        <v>0</v>
      </c>
    </row>
    <row r="230" spans="1:9" s="21" customFormat="1" ht="12" customHeight="1" x14ac:dyDescent="0.2">
      <c r="A230" s="264" t="s">
        <v>206</v>
      </c>
      <c r="B230" s="264"/>
      <c r="C230" s="22">
        <v>1825</v>
      </c>
      <c r="D230" s="22">
        <v>1705</v>
      </c>
      <c r="E230" s="22">
        <v>120</v>
      </c>
      <c r="F230" s="22">
        <v>83</v>
      </c>
      <c r="G230" s="22">
        <v>37</v>
      </c>
      <c r="H230" s="22">
        <v>0</v>
      </c>
      <c r="I230" s="22">
        <v>0</v>
      </c>
    </row>
    <row r="231" spans="1:9" s="21" customFormat="1" ht="12" customHeight="1" x14ac:dyDescent="0.2">
      <c r="A231" s="264" t="s">
        <v>207</v>
      </c>
      <c r="B231" s="264"/>
      <c r="C231" s="22">
        <v>372</v>
      </c>
      <c r="D231" s="22">
        <v>349</v>
      </c>
      <c r="E231" s="22">
        <v>23</v>
      </c>
      <c r="F231" s="22">
        <v>17</v>
      </c>
      <c r="G231" s="22">
        <v>6</v>
      </c>
      <c r="H231" s="22">
        <v>0</v>
      </c>
      <c r="I231" s="22">
        <v>0</v>
      </c>
    </row>
    <row r="232" spans="1:9" s="21" customFormat="1" ht="12" customHeight="1" x14ac:dyDescent="0.2">
      <c r="A232" s="264" t="s">
        <v>208</v>
      </c>
      <c r="B232" s="264"/>
      <c r="C232" s="22">
        <v>1314</v>
      </c>
      <c r="D232" s="22">
        <v>1201</v>
      </c>
      <c r="E232" s="22">
        <v>113</v>
      </c>
      <c r="F232" s="22">
        <v>70</v>
      </c>
      <c r="G232" s="22">
        <v>43</v>
      </c>
      <c r="H232" s="22">
        <v>0</v>
      </c>
      <c r="I232" s="22">
        <v>0</v>
      </c>
    </row>
    <row r="233" spans="1:9" s="21" customFormat="1" ht="12" customHeight="1" x14ac:dyDescent="0.2">
      <c r="A233" s="267" t="s">
        <v>209</v>
      </c>
      <c r="B233" s="267"/>
      <c r="C233" s="28">
        <v>351</v>
      </c>
      <c r="D233" s="28">
        <v>340</v>
      </c>
      <c r="E233" s="28">
        <v>11</v>
      </c>
      <c r="F233" s="28">
        <v>8</v>
      </c>
      <c r="G233" s="28">
        <v>3</v>
      </c>
      <c r="H233" s="28">
        <v>0</v>
      </c>
      <c r="I233" s="28">
        <v>0</v>
      </c>
    </row>
    <row r="234" spans="1:9" s="21" customFormat="1" ht="12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</row>
    <row r="235" spans="1:9" s="21" customFormat="1" ht="12" customHeight="1" x14ac:dyDescent="0.2">
      <c r="A235" s="263" t="s">
        <v>210</v>
      </c>
      <c r="B235" s="263"/>
      <c r="C235" s="20">
        <f t="shared" ref="C235:I235" si="49">SUM(C236:C253)</f>
        <v>9838</v>
      </c>
      <c r="D235" s="20">
        <f t="shared" si="49"/>
        <v>7089</v>
      </c>
      <c r="E235" s="20">
        <f t="shared" si="49"/>
        <v>2749</v>
      </c>
      <c r="F235" s="20">
        <f t="shared" si="49"/>
        <v>1867</v>
      </c>
      <c r="G235" s="20">
        <f t="shared" si="49"/>
        <v>873</v>
      </c>
      <c r="H235" s="20">
        <f t="shared" si="49"/>
        <v>0</v>
      </c>
      <c r="I235" s="20">
        <f t="shared" si="49"/>
        <v>9</v>
      </c>
    </row>
    <row r="236" spans="1:9" s="21" customFormat="1" ht="12" customHeight="1" x14ac:dyDescent="0.2">
      <c r="A236" s="264" t="s">
        <v>211</v>
      </c>
      <c r="B236" s="264"/>
      <c r="C236" s="22">
        <v>1555</v>
      </c>
      <c r="D236" s="22">
        <v>1221</v>
      </c>
      <c r="E236" s="22">
        <v>334</v>
      </c>
      <c r="F236" s="22">
        <v>222</v>
      </c>
      <c r="G236" s="22">
        <v>109</v>
      </c>
      <c r="H236" s="22">
        <v>0</v>
      </c>
      <c r="I236" s="22">
        <v>3</v>
      </c>
    </row>
    <row r="237" spans="1:9" s="21" customFormat="1" ht="12" customHeight="1" x14ac:dyDescent="0.2">
      <c r="A237" s="264" t="s">
        <v>212</v>
      </c>
      <c r="B237" s="264"/>
      <c r="C237" s="22">
        <v>106</v>
      </c>
      <c r="D237" s="22">
        <v>85</v>
      </c>
      <c r="E237" s="22">
        <v>21</v>
      </c>
      <c r="F237" s="22">
        <v>19</v>
      </c>
      <c r="G237" s="22">
        <v>2</v>
      </c>
      <c r="H237" s="22">
        <v>0</v>
      </c>
      <c r="I237" s="22">
        <v>0</v>
      </c>
    </row>
    <row r="238" spans="1:9" s="21" customFormat="1" ht="12" customHeight="1" x14ac:dyDescent="0.2">
      <c r="A238" s="264" t="s">
        <v>213</v>
      </c>
      <c r="B238" s="264"/>
      <c r="C238" s="22">
        <v>74</v>
      </c>
      <c r="D238" s="22">
        <v>65</v>
      </c>
      <c r="E238" s="22">
        <v>9</v>
      </c>
      <c r="F238" s="22">
        <v>3</v>
      </c>
      <c r="G238" s="22">
        <v>6</v>
      </c>
      <c r="H238" s="22">
        <v>0</v>
      </c>
      <c r="I238" s="22">
        <v>0</v>
      </c>
    </row>
    <row r="239" spans="1:9" s="21" customFormat="1" ht="12" customHeight="1" x14ac:dyDescent="0.2">
      <c r="A239" s="264" t="s">
        <v>214</v>
      </c>
      <c r="B239" s="264"/>
      <c r="C239" s="22">
        <v>993</v>
      </c>
      <c r="D239" s="22">
        <v>563</v>
      </c>
      <c r="E239" s="22">
        <v>430</v>
      </c>
      <c r="F239" s="22">
        <v>318</v>
      </c>
      <c r="G239" s="22">
        <v>111</v>
      </c>
      <c r="H239" s="22">
        <v>0</v>
      </c>
      <c r="I239" s="22">
        <v>1</v>
      </c>
    </row>
    <row r="240" spans="1:9" s="21" customFormat="1" ht="12" customHeight="1" x14ac:dyDescent="0.2">
      <c r="A240" s="264" t="s">
        <v>215</v>
      </c>
      <c r="B240" s="264"/>
      <c r="C240" s="22">
        <v>43</v>
      </c>
      <c r="D240" s="22">
        <v>39</v>
      </c>
      <c r="E240" s="22">
        <v>4</v>
      </c>
      <c r="F240" s="22">
        <v>2</v>
      </c>
      <c r="G240" s="22">
        <v>2</v>
      </c>
      <c r="H240" s="22">
        <v>0</v>
      </c>
      <c r="I240" s="22">
        <v>0</v>
      </c>
    </row>
    <row r="241" spans="1:9" s="21" customFormat="1" ht="12" customHeight="1" x14ac:dyDescent="0.2">
      <c r="A241" s="264" t="s">
        <v>216</v>
      </c>
      <c r="B241" s="264"/>
      <c r="C241" s="22">
        <v>59</v>
      </c>
      <c r="D241" s="22">
        <v>57</v>
      </c>
      <c r="E241" s="22">
        <v>2</v>
      </c>
      <c r="F241" s="22">
        <v>1</v>
      </c>
      <c r="G241" s="22">
        <v>1</v>
      </c>
      <c r="H241" s="22">
        <v>0</v>
      </c>
      <c r="I241" s="22">
        <v>0</v>
      </c>
    </row>
    <row r="242" spans="1:9" s="21" customFormat="1" ht="12" customHeight="1" x14ac:dyDescent="0.2">
      <c r="A242" s="264" t="s">
        <v>217</v>
      </c>
      <c r="B242" s="264"/>
      <c r="C242" s="22">
        <v>84</v>
      </c>
      <c r="D242" s="22">
        <v>78</v>
      </c>
      <c r="E242" s="22">
        <v>6</v>
      </c>
      <c r="F242" s="22">
        <v>6</v>
      </c>
      <c r="G242" s="22">
        <v>0</v>
      </c>
      <c r="H242" s="22">
        <v>0</v>
      </c>
      <c r="I242" s="22">
        <v>0</v>
      </c>
    </row>
    <row r="243" spans="1:9" s="21" customFormat="1" ht="12" customHeight="1" x14ac:dyDescent="0.2">
      <c r="A243" s="264" t="s">
        <v>218</v>
      </c>
      <c r="B243" s="264"/>
      <c r="C243" s="22">
        <v>401</v>
      </c>
      <c r="D243" s="22">
        <v>385</v>
      </c>
      <c r="E243" s="22">
        <v>16</v>
      </c>
      <c r="F243" s="22">
        <v>13</v>
      </c>
      <c r="G243" s="22">
        <v>3</v>
      </c>
      <c r="H243" s="22">
        <v>0</v>
      </c>
      <c r="I243" s="22">
        <v>0</v>
      </c>
    </row>
    <row r="244" spans="1:9" s="21" customFormat="1" ht="12" customHeight="1" x14ac:dyDescent="0.2">
      <c r="A244" s="264" t="s">
        <v>219</v>
      </c>
      <c r="B244" s="264"/>
      <c r="C244" s="22">
        <v>189</v>
      </c>
      <c r="D244" s="22">
        <v>173</v>
      </c>
      <c r="E244" s="22">
        <v>16</v>
      </c>
      <c r="F244" s="22">
        <v>14</v>
      </c>
      <c r="G244" s="22">
        <v>2</v>
      </c>
      <c r="H244" s="22">
        <v>0</v>
      </c>
      <c r="I244" s="22">
        <v>0</v>
      </c>
    </row>
    <row r="245" spans="1:9" s="21" customFormat="1" ht="12" customHeight="1" x14ac:dyDescent="0.2">
      <c r="A245" s="264" t="s">
        <v>220</v>
      </c>
      <c r="B245" s="264"/>
      <c r="C245" s="22">
        <v>1991</v>
      </c>
      <c r="D245" s="22">
        <v>1402</v>
      </c>
      <c r="E245" s="22">
        <v>589</v>
      </c>
      <c r="F245" s="22">
        <v>467</v>
      </c>
      <c r="G245" s="22">
        <v>119</v>
      </c>
      <c r="H245" s="22">
        <v>0</v>
      </c>
      <c r="I245" s="22">
        <v>3</v>
      </c>
    </row>
    <row r="246" spans="1:9" s="21" customFormat="1" ht="12" customHeight="1" x14ac:dyDescent="0.2">
      <c r="A246" s="264" t="s">
        <v>221</v>
      </c>
      <c r="B246" s="264"/>
      <c r="C246" s="22">
        <v>889</v>
      </c>
      <c r="D246" s="22">
        <v>683</v>
      </c>
      <c r="E246" s="22">
        <v>206</v>
      </c>
      <c r="F246" s="22">
        <v>163</v>
      </c>
      <c r="G246" s="22">
        <v>43</v>
      </c>
      <c r="H246" s="22">
        <v>0</v>
      </c>
      <c r="I246" s="22">
        <v>0</v>
      </c>
    </row>
    <row r="247" spans="1:9" s="21" customFormat="1" ht="12" customHeight="1" x14ac:dyDescent="0.2">
      <c r="A247" s="264" t="s">
        <v>222</v>
      </c>
      <c r="B247" s="264"/>
      <c r="C247" s="22">
        <v>513</v>
      </c>
      <c r="D247" s="22">
        <v>197</v>
      </c>
      <c r="E247" s="22">
        <v>316</v>
      </c>
      <c r="F247" s="22">
        <v>94</v>
      </c>
      <c r="G247" s="22">
        <v>221</v>
      </c>
      <c r="H247" s="22">
        <v>0</v>
      </c>
      <c r="I247" s="22">
        <v>1</v>
      </c>
    </row>
    <row r="248" spans="1:9" s="21" customFormat="1" ht="12" customHeight="1" x14ac:dyDescent="0.2">
      <c r="A248" s="264" t="s">
        <v>223</v>
      </c>
      <c r="B248" s="264"/>
      <c r="C248" s="22">
        <v>125</v>
      </c>
      <c r="D248" s="22">
        <v>116</v>
      </c>
      <c r="E248" s="22">
        <v>9</v>
      </c>
      <c r="F248" s="22">
        <v>7</v>
      </c>
      <c r="G248" s="22">
        <v>2</v>
      </c>
      <c r="H248" s="22">
        <v>0</v>
      </c>
      <c r="I248" s="22">
        <v>0</v>
      </c>
    </row>
    <row r="249" spans="1:9" s="21" customFormat="1" ht="12" customHeight="1" x14ac:dyDescent="0.2">
      <c r="A249" s="264" t="s">
        <v>224</v>
      </c>
      <c r="B249" s="264"/>
      <c r="C249" s="22">
        <v>359</v>
      </c>
      <c r="D249" s="22">
        <v>288</v>
      </c>
      <c r="E249" s="22">
        <v>71</v>
      </c>
      <c r="F249" s="22">
        <v>53</v>
      </c>
      <c r="G249" s="22">
        <v>18</v>
      </c>
      <c r="H249" s="22">
        <v>0</v>
      </c>
      <c r="I249" s="22">
        <v>0</v>
      </c>
    </row>
    <row r="250" spans="1:9" s="21" customFormat="1" ht="12" customHeight="1" x14ac:dyDescent="0.2">
      <c r="A250" s="264" t="s">
        <v>225</v>
      </c>
      <c r="B250" s="264"/>
      <c r="C250" s="22">
        <v>855</v>
      </c>
      <c r="D250" s="22">
        <v>448</v>
      </c>
      <c r="E250" s="22">
        <v>407</v>
      </c>
      <c r="F250" s="22">
        <v>238</v>
      </c>
      <c r="G250" s="22">
        <v>169</v>
      </c>
      <c r="H250" s="22">
        <v>0</v>
      </c>
      <c r="I250" s="22">
        <v>0</v>
      </c>
    </row>
    <row r="251" spans="1:9" s="21" customFormat="1" ht="12" customHeight="1" x14ac:dyDescent="0.2">
      <c r="A251" s="264" t="s">
        <v>226</v>
      </c>
      <c r="B251" s="264"/>
      <c r="C251" s="22">
        <v>455</v>
      </c>
      <c r="D251" s="22">
        <v>336</v>
      </c>
      <c r="E251" s="22">
        <v>119</v>
      </c>
      <c r="F251" s="22">
        <v>85</v>
      </c>
      <c r="G251" s="22">
        <v>33</v>
      </c>
      <c r="H251" s="22">
        <v>0</v>
      </c>
      <c r="I251" s="22">
        <v>1</v>
      </c>
    </row>
    <row r="252" spans="1:9" s="21" customFormat="1" ht="12" customHeight="1" x14ac:dyDescent="0.2">
      <c r="A252" s="264" t="s">
        <v>227</v>
      </c>
      <c r="B252" s="264"/>
      <c r="C252" s="22">
        <v>1062</v>
      </c>
      <c r="D252" s="22">
        <v>870</v>
      </c>
      <c r="E252" s="22">
        <v>192</v>
      </c>
      <c r="F252" s="22">
        <v>162</v>
      </c>
      <c r="G252" s="22">
        <v>30</v>
      </c>
      <c r="H252" s="22">
        <v>0</v>
      </c>
      <c r="I252" s="22">
        <v>0</v>
      </c>
    </row>
    <row r="253" spans="1:9" s="21" customFormat="1" ht="12" customHeight="1" x14ac:dyDescent="0.2">
      <c r="A253" s="267" t="s">
        <v>228</v>
      </c>
      <c r="B253" s="267"/>
      <c r="C253" s="28">
        <v>85</v>
      </c>
      <c r="D253" s="28">
        <v>83</v>
      </c>
      <c r="E253" s="28">
        <v>2</v>
      </c>
      <c r="F253" s="28">
        <v>0</v>
      </c>
      <c r="G253" s="28">
        <v>2</v>
      </c>
      <c r="H253" s="28">
        <v>0</v>
      </c>
      <c r="I253" s="28">
        <v>0</v>
      </c>
    </row>
    <row r="254" spans="1:9" s="21" customFormat="1" ht="12" customHeight="1" x14ac:dyDescent="0.2">
      <c r="A254" s="25"/>
      <c r="B254" s="25"/>
      <c r="C254" s="25"/>
      <c r="D254" s="25"/>
      <c r="E254" s="25"/>
      <c r="F254" s="25"/>
      <c r="G254" s="25"/>
      <c r="H254" s="25"/>
      <c r="I254" s="25"/>
    </row>
    <row r="255" spans="1:9" s="21" customFormat="1" ht="12" customHeight="1" x14ac:dyDescent="0.2">
      <c r="A255" s="263" t="s">
        <v>229</v>
      </c>
      <c r="B255" s="263"/>
      <c r="C255" s="20">
        <f t="shared" ref="C255:I255" si="50">SUM(C256:C263)</f>
        <v>332736</v>
      </c>
      <c r="D255" s="20">
        <f t="shared" si="50"/>
        <v>248274</v>
      </c>
      <c r="E255" s="20">
        <f t="shared" si="50"/>
        <v>84462</v>
      </c>
      <c r="F255" s="20">
        <f t="shared" si="50"/>
        <v>61153</v>
      </c>
      <c r="G255" s="20">
        <f t="shared" si="50"/>
        <v>22892</v>
      </c>
      <c r="H255" s="20">
        <f t="shared" si="50"/>
        <v>176</v>
      </c>
      <c r="I255" s="20">
        <f t="shared" si="50"/>
        <v>241</v>
      </c>
    </row>
    <row r="256" spans="1:9" s="21" customFormat="1" ht="12" customHeight="1" x14ac:dyDescent="0.2">
      <c r="A256" s="264" t="s">
        <v>230</v>
      </c>
      <c r="B256" s="264"/>
      <c r="C256" s="22">
        <f t="shared" ref="C256:I256" si="51">SUM(C59:C82)</f>
        <v>48672</v>
      </c>
      <c r="D256" s="22">
        <f t="shared" si="51"/>
        <v>38164</v>
      </c>
      <c r="E256" s="22">
        <f t="shared" si="51"/>
        <v>10508</v>
      </c>
      <c r="F256" s="22">
        <f t="shared" si="51"/>
        <v>7298</v>
      </c>
      <c r="G256" s="22">
        <f t="shared" si="51"/>
        <v>3045</v>
      </c>
      <c r="H256" s="22">
        <f t="shared" si="51"/>
        <v>140</v>
      </c>
      <c r="I256" s="22">
        <f t="shared" si="51"/>
        <v>25</v>
      </c>
    </row>
    <row r="257" spans="1:9" s="21" customFormat="1" ht="12" customHeight="1" x14ac:dyDescent="0.2">
      <c r="A257" s="264" t="s">
        <v>231</v>
      </c>
      <c r="B257" s="264"/>
      <c r="C257" s="22">
        <f t="shared" ref="C257:I257" si="52">SUM(C85:C147)</f>
        <v>140821</v>
      </c>
      <c r="D257" s="22">
        <f t="shared" si="52"/>
        <v>101264</v>
      </c>
      <c r="E257" s="22">
        <f t="shared" si="52"/>
        <v>39557</v>
      </c>
      <c r="F257" s="22">
        <f t="shared" si="52"/>
        <v>27240</v>
      </c>
      <c r="G257" s="22">
        <f t="shared" si="52"/>
        <v>12152</v>
      </c>
      <c r="H257" s="22">
        <f t="shared" si="52"/>
        <v>35</v>
      </c>
      <c r="I257" s="22">
        <f t="shared" si="52"/>
        <v>130</v>
      </c>
    </row>
    <row r="258" spans="1:9" s="21" customFormat="1" ht="12" customHeight="1" x14ac:dyDescent="0.2">
      <c r="A258" s="264" t="s">
        <v>232</v>
      </c>
      <c r="B258" s="264"/>
      <c r="C258" s="22">
        <f t="shared" ref="C258:I258" si="53">SUM(C150:C188)</f>
        <v>61814</v>
      </c>
      <c r="D258" s="22">
        <f t="shared" si="53"/>
        <v>47317</v>
      </c>
      <c r="E258" s="22">
        <f t="shared" si="53"/>
        <v>14497</v>
      </c>
      <c r="F258" s="22">
        <f t="shared" si="53"/>
        <v>11010</v>
      </c>
      <c r="G258" s="22">
        <f t="shared" si="53"/>
        <v>3449</v>
      </c>
      <c r="H258" s="22">
        <f t="shared" si="53"/>
        <v>0</v>
      </c>
      <c r="I258" s="22">
        <f t="shared" si="53"/>
        <v>38</v>
      </c>
    </row>
    <row r="259" spans="1:9" s="21" customFormat="1" ht="12" customHeight="1" x14ac:dyDescent="0.2">
      <c r="A259" s="264" t="s">
        <v>233</v>
      </c>
      <c r="B259" s="264"/>
      <c r="C259" s="22">
        <f t="shared" ref="C259:I259" si="54">SUM(C191:C198)</f>
        <v>5826</v>
      </c>
      <c r="D259" s="22">
        <f t="shared" si="54"/>
        <v>5214</v>
      </c>
      <c r="E259" s="22">
        <f t="shared" si="54"/>
        <v>612</v>
      </c>
      <c r="F259" s="22">
        <f t="shared" si="54"/>
        <v>455</v>
      </c>
      <c r="G259" s="22">
        <f t="shared" si="54"/>
        <v>157</v>
      </c>
      <c r="H259" s="22">
        <f t="shared" si="54"/>
        <v>0</v>
      </c>
      <c r="I259" s="22">
        <f t="shared" si="54"/>
        <v>0</v>
      </c>
    </row>
    <row r="260" spans="1:9" s="21" customFormat="1" ht="12" customHeight="1" x14ac:dyDescent="0.2">
      <c r="A260" s="264" t="s">
        <v>234</v>
      </c>
      <c r="B260" s="264"/>
      <c r="C260" s="22">
        <f t="shared" ref="C260:I260" si="55">SUM(C201:C218)</f>
        <v>47786</v>
      </c>
      <c r="D260" s="22">
        <f t="shared" si="55"/>
        <v>35368</v>
      </c>
      <c r="E260" s="22">
        <f t="shared" si="55"/>
        <v>12418</v>
      </c>
      <c r="F260" s="22">
        <f t="shared" si="55"/>
        <v>9966</v>
      </c>
      <c r="G260" s="22">
        <f t="shared" si="55"/>
        <v>2422</v>
      </c>
      <c r="H260" s="22">
        <f t="shared" si="55"/>
        <v>1</v>
      </c>
      <c r="I260" s="22">
        <f t="shared" si="55"/>
        <v>29</v>
      </c>
    </row>
    <row r="261" spans="1:9" s="21" customFormat="1" ht="12" customHeight="1" x14ac:dyDescent="0.2">
      <c r="A261" s="264" t="s">
        <v>235</v>
      </c>
      <c r="B261" s="264"/>
      <c r="C261" s="22">
        <f t="shared" ref="C261:I261" si="56">SUM(C221:C226)</f>
        <v>12282</v>
      </c>
      <c r="D261" s="22">
        <f t="shared" si="56"/>
        <v>8619</v>
      </c>
      <c r="E261" s="22">
        <f t="shared" si="56"/>
        <v>3663</v>
      </c>
      <c r="F261" s="22">
        <f t="shared" si="56"/>
        <v>3015</v>
      </c>
      <c r="G261" s="22">
        <f t="shared" si="56"/>
        <v>638</v>
      </c>
      <c r="H261" s="22">
        <f t="shared" si="56"/>
        <v>0</v>
      </c>
      <c r="I261" s="22">
        <f t="shared" si="56"/>
        <v>10</v>
      </c>
    </row>
    <row r="262" spans="1:9" s="21" customFormat="1" ht="12" customHeight="1" x14ac:dyDescent="0.2">
      <c r="A262" s="264" t="s">
        <v>236</v>
      </c>
      <c r="B262" s="264"/>
      <c r="C262" s="22">
        <f t="shared" ref="C262:I262" si="57">SUM(C229:C233)</f>
        <v>5697</v>
      </c>
      <c r="D262" s="22">
        <f t="shared" si="57"/>
        <v>5239</v>
      </c>
      <c r="E262" s="22">
        <f t="shared" si="57"/>
        <v>458</v>
      </c>
      <c r="F262" s="22">
        <f t="shared" si="57"/>
        <v>302</v>
      </c>
      <c r="G262" s="22">
        <f t="shared" si="57"/>
        <v>156</v>
      </c>
      <c r="H262" s="22">
        <f t="shared" si="57"/>
        <v>0</v>
      </c>
      <c r="I262" s="22">
        <f t="shared" si="57"/>
        <v>0</v>
      </c>
    </row>
    <row r="263" spans="1:9" s="21" customFormat="1" ht="12" customHeight="1" x14ac:dyDescent="0.2">
      <c r="A263" s="267" t="s">
        <v>237</v>
      </c>
      <c r="B263" s="267"/>
      <c r="C263" s="28">
        <f t="shared" ref="C263:I263" si="58">SUM(C236:C253)</f>
        <v>9838</v>
      </c>
      <c r="D263" s="28">
        <f t="shared" si="58"/>
        <v>7089</v>
      </c>
      <c r="E263" s="28">
        <f t="shared" si="58"/>
        <v>2749</v>
      </c>
      <c r="F263" s="28">
        <f t="shared" si="58"/>
        <v>1867</v>
      </c>
      <c r="G263" s="28">
        <f t="shared" si="58"/>
        <v>873</v>
      </c>
      <c r="H263" s="28">
        <f t="shared" si="58"/>
        <v>0</v>
      </c>
      <c r="I263" s="28">
        <f t="shared" si="58"/>
        <v>9</v>
      </c>
    </row>
    <row r="264" spans="1:9" s="21" customFormat="1" ht="12" customHeight="1" x14ac:dyDescent="0.2">
      <c r="A264" s="25"/>
      <c r="B264" s="25"/>
      <c r="C264" s="25"/>
      <c r="D264" s="25"/>
      <c r="E264" s="25"/>
      <c r="F264" s="25"/>
      <c r="G264" s="25"/>
      <c r="H264" s="25"/>
      <c r="I264" s="25"/>
    </row>
    <row r="265" spans="1:9" s="21" customFormat="1" ht="12" customHeight="1" x14ac:dyDescent="0.2">
      <c r="A265" s="263" t="s">
        <v>364</v>
      </c>
      <c r="B265" s="263"/>
      <c r="C265" s="20">
        <f t="shared" ref="C265:I265" si="59">SUM(C266:C269)</f>
        <v>289932</v>
      </c>
      <c r="D265" s="20">
        <f t="shared" si="59"/>
        <v>214189</v>
      </c>
      <c r="E265" s="20">
        <f t="shared" si="59"/>
        <v>75743</v>
      </c>
      <c r="F265" s="20">
        <f t="shared" si="59"/>
        <v>54664</v>
      </c>
      <c r="G265" s="20">
        <f t="shared" si="59"/>
        <v>20685</v>
      </c>
      <c r="H265" s="20">
        <f t="shared" si="59"/>
        <v>176</v>
      </c>
      <c r="I265" s="20">
        <f t="shared" si="59"/>
        <v>218</v>
      </c>
    </row>
    <row r="266" spans="1:9" s="21" customFormat="1" ht="12" customHeight="1" x14ac:dyDescent="0.2">
      <c r="A266" s="264" t="s">
        <v>234</v>
      </c>
      <c r="B266" s="264"/>
      <c r="C266" s="22">
        <f t="shared" ref="C266:I266" si="60">C201+C202+C203+C204+C205+C206+C207+C208+C210+C213+C214+C216+C218+C222+C157+C215</f>
        <v>50085</v>
      </c>
      <c r="D266" s="22">
        <f t="shared" si="60"/>
        <v>37123</v>
      </c>
      <c r="E266" s="22">
        <f t="shared" si="60"/>
        <v>12962</v>
      </c>
      <c r="F266" s="22">
        <f t="shared" si="60"/>
        <v>10404</v>
      </c>
      <c r="G266" s="22">
        <f t="shared" si="60"/>
        <v>2526</v>
      </c>
      <c r="H266" s="22">
        <f t="shared" si="60"/>
        <v>1</v>
      </c>
      <c r="I266" s="22">
        <f t="shared" si="60"/>
        <v>31</v>
      </c>
    </row>
    <row r="267" spans="1:9" s="21" customFormat="1" ht="12" customHeight="1" x14ac:dyDescent="0.2">
      <c r="A267" s="264" t="s">
        <v>238</v>
      </c>
      <c r="B267" s="264"/>
      <c r="C267" s="22">
        <f t="shared" ref="C267:I267" si="61">C59+C60+C61+C65+C66+C67+C68+C69+C70+C71+C73+C74+C76+C77+C78+C79+C80+C81+C82+C96</f>
        <v>47874</v>
      </c>
      <c r="D267" s="22">
        <f t="shared" si="61"/>
        <v>37402</v>
      </c>
      <c r="E267" s="22">
        <f t="shared" si="61"/>
        <v>10472</v>
      </c>
      <c r="F267" s="22">
        <f t="shared" si="61"/>
        <v>7271</v>
      </c>
      <c r="G267" s="22">
        <f t="shared" si="61"/>
        <v>3036</v>
      </c>
      <c r="H267" s="22">
        <f t="shared" si="61"/>
        <v>140</v>
      </c>
      <c r="I267" s="22">
        <f t="shared" si="61"/>
        <v>25</v>
      </c>
    </row>
    <row r="268" spans="1:9" s="21" customFormat="1" ht="12" customHeight="1" x14ac:dyDescent="0.2">
      <c r="A268" s="264" t="s">
        <v>232</v>
      </c>
      <c r="B268" s="264"/>
      <c r="C268" s="22">
        <f t="shared" ref="C268:I268" si="62">C150+C153+C156+C159+C162+C168+C169+C172+C174+C176+C179+C183+C184+C186+C191+C198+C165+C167+C170</f>
        <v>58605</v>
      </c>
      <c r="D268" s="22">
        <f t="shared" si="62"/>
        <v>44776</v>
      </c>
      <c r="E268" s="22">
        <f t="shared" si="62"/>
        <v>13829</v>
      </c>
      <c r="F268" s="22">
        <f t="shared" si="62"/>
        <v>10584</v>
      </c>
      <c r="G268" s="22">
        <f t="shared" si="62"/>
        <v>3211</v>
      </c>
      <c r="H268" s="22">
        <f t="shared" si="62"/>
        <v>0</v>
      </c>
      <c r="I268" s="22">
        <f t="shared" si="62"/>
        <v>34</v>
      </c>
    </row>
    <row r="269" spans="1:9" s="21" customFormat="1" ht="12" customHeight="1" x14ac:dyDescent="0.2">
      <c r="A269" s="267" t="s">
        <v>231</v>
      </c>
      <c r="B269" s="267"/>
      <c r="C269" s="28">
        <f t="shared" ref="C269:I269" si="63">+C85+C86+C87+C90+C91+C94+C92+C98+C97+C102+C99+C103+C101+C104+C105+C110+C109+C108+C111+C112+C113+C114+C115+C117+C116+C118+C119+C121+C120+C123+C122+C126+C128+C127+C130+C129+C131+C132+C133+C134+C135+C137+C138+C141+C140+C142+C143+C145+C146+C147</f>
        <v>133368</v>
      </c>
      <c r="D269" s="28">
        <f t="shared" si="63"/>
        <v>94888</v>
      </c>
      <c r="E269" s="28">
        <f t="shared" si="63"/>
        <v>38480</v>
      </c>
      <c r="F269" s="28">
        <f t="shared" si="63"/>
        <v>26405</v>
      </c>
      <c r="G269" s="28">
        <f t="shared" si="63"/>
        <v>11912</v>
      </c>
      <c r="H269" s="28">
        <f t="shared" si="63"/>
        <v>35</v>
      </c>
      <c r="I269" s="28">
        <f t="shared" si="63"/>
        <v>128</v>
      </c>
    </row>
    <row r="270" spans="1:9" s="33" customFormat="1" ht="12" customHeight="1" x14ac:dyDescent="0.15">
      <c r="A270" s="317"/>
      <c r="B270" s="317"/>
      <c r="C270" s="317"/>
      <c r="D270" s="317"/>
      <c r="E270" s="317"/>
      <c r="F270" s="317"/>
      <c r="G270" s="317"/>
      <c r="H270" s="317"/>
      <c r="I270" s="317"/>
    </row>
    <row r="271" spans="1:9" s="34" customFormat="1" ht="12" customHeight="1" x14ac:dyDescent="0.2">
      <c r="A271" s="286" t="s">
        <v>256</v>
      </c>
      <c r="B271" s="286"/>
      <c r="C271" s="286"/>
      <c r="D271" s="286"/>
      <c r="E271" s="286"/>
      <c r="F271" s="286"/>
      <c r="G271" s="286"/>
      <c r="H271" s="286"/>
      <c r="I271" s="286"/>
    </row>
    <row r="272" spans="1:9" s="34" customFormat="1" ht="12" customHeight="1" x14ac:dyDescent="0.2">
      <c r="A272" s="286" t="s">
        <v>363</v>
      </c>
      <c r="B272" s="286"/>
      <c r="C272" s="286"/>
      <c r="D272" s="286"/>
      <c r="E272" s="286"/>
      <c r="F272" s="286"/>
      <c r="G272" s="286"/>
      <c r="H272" s="286"/>
      <c r="I272" s="286"/>
    </row>
    <row r="273" spans="1:10" s="33" customFormat="1" ht="12" customHeight="1" x14ac:dyDescent="0.2">
      <c r="A273" s="314"/>
      <c r="B273" s="314"/>
      <c r="C273" s="314"/>
      <c r="D273" s="314"/>
      <c r="E273" s="314"/>
      <c r="F273" s="314"/>
      <c r="G273" s="314"/>
      <c r="H273" s="314"/>
      <c r="I273" s="314"/>
    </row>
    <row r="274" spans="1:10" s="35" customFormat="1" ht="12" customHeight="1" x14ac:dyDescent="0.2">
      <c r="A274" s="324" t="s">
        <v>240</v>
      </c>
      <c r="B274" s="324"/>
      <c r="C274" s="324"/>
      <c r="D274" s="324"/>
      <c r="E274" s="324"/>
      <c r="F274" s="324"/>
      <c r="G274" s="324"/>
      <c r="H274" s="324"/>
      <c r="I274" s="324"/>
    </row>
    <row r="275" spans="1:10" s="33" customFormat="1" ht="12" customHeight="1" x14ac:dyDescent="0.15">
      <c r="A275" s="317"/>
      <c r="B275" s="317"/>
      <c r="C275" s="317"/>
      <c r="D275" s="317"/>
      <c r="E275" s="317"/>
      <c r="F275" s="317"/>
      <c r="G275" s="317"/>
      <c r="H275" s="317"/>
      <c r="I275" s="317"/>
    </row>
    <row r="276" spans="1:10" s="36" customFormat="1" ht="12" customHeight="1" x14ac:dyDescent="0.2">
      <c r="A276" s="286" t="s">
        <v>351</v>
      </c>
      <c r="B276" s="286"/>
      <c r="C276" s="286"/>
      <c r="D276" s="286"/>
      <c r="E276" s="286"/>
      <c r="F276" s="286"/>
      <c r="G276" s="286"/>
      <c r="H276" s="286"/>
      <c r="I276" s="286"/>
      <c r="J276" s="286"/>
    </row>
    <row r="277" spans="1:10" s="36" customFormat="1" ht="12" customHeight="1" x14ac:dyDescent="0.2">
      <c r="A277" s="286" t="s">
        <v>352</v>
      </c>
      <c r="B277" s="286"/>
      <c r="C277" s="286"/>
      <c r="D277" s="286"/>
      <c r="E277" s="286"/>
      <c r="F277" s="286"/>
      <c r="G277" s="286"/>
      <c r="H277" s="286"/>
      <c r="I277" s="286"/>
      <c r="J277" s="286"/>
    </row>
  </sheetData>
  <mergeCells count="245">
    <mergeCell ref="A276:J276"/>
    <mergeCell ref="A277:J277"/>
    <mergeCell ref="A274:I274"/>
    <mergeCell ref="A275:I275"/>
    <mergeCell ref="A269:B269"/>
    <mergeCell ref="A270:I270"/>
    <mergeCell ref="A271:I271"/>
    <mergeCell ref="A273:I273"/>
    <mergeCell ref="A272:I272"/>
    <mergeCell ref="A265:B265"/>
    <mergeCell ref="A266:B266"/>
    <mergeCell ref="A267:B267"/>
    <mergeCell ref="A268:B268"/>
    <mergeCell ref="A260:B260"/>
    <mergeCell ref="A261:B261"/>
    <mergeCell ref="A262:B262"/>
    <mergeCell ref="A263:B263"/>
    <mergeCell ref="A256:B256"/>
    <mergeCell ref="A257:B257"/>
    <mergeCell ref="A258:B258"/>
    <mergeCell ref="A259:B259"/>
    <mergeCell ref="A251:B251"/>
    <mergeCell ref="A252:B252"/>
    <mergeCell ref="A253:B253"/>
    <mergeCell ref="A255:B255"/>
    <mergeCell ref="A247:B247"/>
    <mergeCell ref="A248:B248"/>
    <mergeCell ref="A249:B249"/>
    <mergeCell ref="A250:B250"/>
    <mergeCell ref="A243:B243"/>
    <mergeCell ref="A244:B244"/>
    <mergeCell ref="A245:B245"/>
    <mergeCell ref="A246:B246"/>
    <mergeCell ref="A239:B239"/>
    <mergeCell ref="A240:B240"/>
    <mergeCell ref="A241:B241"/>
    <mergeCell ref="A242:B242"/>
    <mergeCell ref="A235:B235"/>
    <mergeCell ref="A236:B236"/>
    <mergeCell ref="A237:B237"/>
    <mergeCell ref="A238:B238"/>
    <mergeCell ref="A230:B230"/>
    <mergeCell ref="A231:B231"/>
    <mergeCell ref="A232:B232"/>
    <mergeCell ref="A233:B233"/>
    <mergeCell ref="A225:B225"/>
    <mergeCell ref="A226:B226"/>
    <mergeCell ref="A228:B228"/>
    <mergeCell ref="A229:B229"/>
    <mergeCell ref="A221:B221"/>
    <mergeCell ref="A222:B222"/>
    <mergeCell ref="A223:B223"/>
    <mergeCell ref="A224:B224"/>
    <mergeCell ref="A216:B216"/>
    <mergeCell ref="A217:B217"/>
    <mergeCell ref="A218:B218"/>
    <mergeCell ref="A220:B220"/>
    <mergeCell ref="A212:B212"/>
    <mergeCell ref="A213:B213"/>
    <mergeCell ref="A214:B214"/>
    <mergeCell ref="A215:B215"/>
    <mergeCell ref="A208:B208"/>
    <mergeCell ref="A209:B209"/>
    <mergeCell ref="A210:B210"/>
    <mergeCell ref="A211:B211"/>
    <mergeCell ref="A204:B204"/>
    <mergeCell ref="A205:B205"/>
    <mergeCell ref="A206:B206"/>
    <mergeCell ref="A207:B207"/>
    <mergeCell ref="A200:B200"/>
    <mergeCell ref="A201:B201"/>
    <mergeCell ref="A202:B202"/>
    <mergeCell ref="A203:B203"/>
    <mergeCell ref="A195:B195"/>
    <mergeCell ref="A196:B196"/>
    <mergeCell ref="A197:B197"/>
    <mergeCell ref="A198:B198"/>
    <mergeCell ref="A191:B191"/>
    <mergeCell ref="A192:B192"/>
    <mergeCell ref="A193:B193"/>
    <mergeCell ref="A194:B194"/>
    <mergeCell ref="A186:B186"/>
    <mergeCell ref="A187:B187"/>
    <mergeCell ref="A188:B188"/>
    <mergeCell ref="A190:B190"/>
    <mergeCell ref="A182:B182"/>
    <mergeCell ref="A183:B183"/>
    <mergeCell ref="A184:B184"/>
    <mergeCell ref="A185:B185"/>
    <mergeCell ref="A178:B178"/>
    <mergeCell ref="A179:B179"/>
    <mergeCell ref="A180:B180"/>
    <mergeCell ref="A181:B181"/>
    <mergeCell ref="A174:B174"/>
    <mergeCell ref="A175:B175"/>
    <mergeCell ref="A176:B176"/>
    <mergeCell ref="A177:B177"/>
    <mergeCell ref="A170:B170"/>
    <mergeCell ref="A171:B171"/>
    <mergeCell ref="A172:B172"/>
    <mergeCell ref="A173:B173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4:B154"/>
    <mergeCell ref="A155:B155"/>
    <mergeCell ref="A156:B156"/>
    <mergeCell ref="A157:B157"/>
    <mergeCell ref="A150:B150"/>
    <mergeCell ref="A151:B151"/>
    <mergeCell ref="A152:B152"/>
    <mergeCell ref="A153:B153"/>
    <mergeCell ref="A145:B145"/>
    <mergeCell ref="A146:B146"/>
    <mergeCell ref="A147:B147"/>
    <mergeCell ref="A149:B149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33:B133"/>
    <mergeCell ref="A134:B134"/>
    <mergeCell ref="A135:B135"/>
    <mergeCell ref="A136:B136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85:B85"/>
    <mergeCell ref="A86:B86"/>
    <mergeCell ref="A87:B87"/>
    <mergeCell ref="A88:B88"/>
    <mergeCell ref="A80:B80"/>
    <mergeCell ref="A81:B81"/>
    <mergeCell ref="A82:B82"/>
    <mergeCell ref="A84:B84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5:B55"/>
    <mergeCell ref="A56:B56"/>
    <mergeCell ref="A58:B58"/>
    <mergeCell ref="A59:B59"/>
    <mergeCell ref="A44:B44"/>
    <mergeCell ref="A48:B48"/>
    <mergeCell ref="A53:B53"/>
    <mergeCell ref="A54:B54"/>
    <mergeCell ref="A39:B39"/>
    <mergeCell ref="A40:B40"/>
    <mergeCell ref="A42:B42"/>
    <mergeCell ref="A43:B43"/>
    <mergeCell ref="A29:B29"/>
    <mergeCell ref="A32:B32"/>
    <mergeCell ref="A33:B33"/>
    <mergeCell ref="A38:B38"/>
    <mergeCell ref="A23:B23"/>
    <mergeCell ref="A24:B24"/>
    <mergeCell ref="A25:B25"/>
    <mergeCell ref="A26:B26"/>
    <mergeCell ref="A12:B12"/>
    <mergeCell ref="A13:B13"/>
    <mergeCell ref="A17:B17"/>
    <mergeCell ref="A21:B21"/>
    <mergeCell ref="A9:B9"/>
    <mergeCell ref="A10:B10"/>
    <mergeCell ref="A8:B8"/>
    <mergeCell ref="A5:B5"/>
    <mergeCell ref="C5:I5"/>
    <mergeCell ref="A6:B6"/>
    <mergeCell ref="E6:I6"/>
    <mergeCell ref="A1:I1"/>
    <mergeCell ref="A2:I2"/>
    <mergeCell ref="A3:I3"/>
    <mergeCell ref="A4:I4"/>
    <mergeCell ref="A7:B7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oglio6"/>
  <dimension ref="A1:J286"/>
  <sheetViews>
    <sheetView workbookViewId="0">
      <selection sqref="A1:I1"/>
    </sheetView>
  </sheetViews>
  <sheetFormatPr defaultRowHeight="12.75" x14ac:dyDescent="0.2"/>
  <cols>
    <col min="1" max="1" width="1.7109375" customWidth="1"/>
    <col min="2" max="2" width="28.42578125" customWidth="1"/>
    <col min="5" max="9" width="11.7109375" customWidth="1"/>
  </cols>
  <sheetData>
    <row r="1" spans="1:9" s="1" customFormat="1" ht="12" customHeight="1" x14ac:dyDescent="0.2">
      <c r="A1" s="337"/>
      <c r="B1" s="337"/>
      <c r="C1" s="337"/>
      <c r="D1" s="337"/>
      <c r="E1" s="337"/>
      <c r="F1" s="337"/>
      <c r="G1" s="337"/>
      <c r="H1" s="337"/>
      <c r="I1" s="337"/>
    </row>
    <row r="2" spans="1:9" s="3" customFormat="1" x14ac:dyDescent="0.2">
      <c r="A2" s="338" t="s">
        <v>257</v>
      </c>
      <c r="B2" s="338"/>
      <c r="C2" s="338"/>
      <c r="D2" s="338"/>
      <c r="E2" s="338"/>
      <c r="F2" s="338"/>
      <c r="G2" s="338"/>
      <c r="H2" s="338"/>
      <c r="I2" s="338"/>
    </row>
    <row r="3" spans="1:9" s="3" customFormat="1" x14ac:dyDescent="0.2">
      <c r="A3" s="338"/>
      <c r="B3" s="338"/>
      <c r="C3" s="338"/>
      <c r="D3" s="338"/>
      <c r="E3" s="338"/>
      <c r="F3" s="338"/>
      <c r="G3" s="338"/>
      <c r="H3" s="338"/>
      <c r="I3" s="338"/>
    </row>
    <row r="4" spans="1:9" s="3" customFormat="1" x14ac:dyDescent="0.2">
      <c r="A4" s="338"/>
      <c r="B4" s="338"/>
      <c r="C4" s="338"/>
      <c r="D4" s="338"/>
      <c r="E4" s="338"/>
      <c r="F4" s="338"/>
      <c r="G4" s="338"/>
      <c r="H4" s="338"/>
      <c r="I4" s="338"/>
    </row>
    <row r="5" spans="1:9" s="1" customFormat="1" ht="12" customHeight="1" x14ac:dyDescent="0.2">
      <c r="A5" s="335"/>
      <c r="B5" s="335"/>
      <c r="C5" s="334">
        <v>2007</v>
      </c>
      <c r="D5" s="335"/>
      <c r="E5" s="335"/>
      <c r="F5" s="335"/>
      <c r="G5" s="335"/>
      <c r="H5" s="335"/>
      <c r="I5" s="335"/>
    </row>
    <row r="6" spans="1:9" s="1" customFormat="1" ht="12" customHeight="1" x14ac:dyDescent="0.2">
      <c r="A6" s="336"/>
      <c r="B6" s="336"/>
      <c r="C6" s="46" t="s">
        <v>1</v>
      </c>
      <c r="D6" s="47" t="s">
        <v>2</v>
      </c>
      <c r="E6" s="336" t="s">
        <v>3</v>
      </c>
      <c r="F6" s="336"/>
      <c r="G6" s="336"/>
      <c r="H6" s="336"/>
      <c r="I6" s="336"/>
    </row>
    <row r="7" spans="1:9" s="1" customFormat="1" ht="12" customHeight="1" x14ac:dyDescent="0.2">
      <c r="A7" s="339"/>
      <c r="B7" s="339"/>
      <c r="C7" s="47"/>
      <c r="D7" s="48"/>
      <c r="E7" s="48"/>
      <c r="F7" s="47"/>
      <c r="G7" s="47"/>
      <c r="H7" s="47"/>
      <c r="I7" s="47"/>
    </row>
    <row r="8" spans="1:9" s="1" customFormat="1" ht="12" customHeight="1" x14ac:dyDescent="0.2">
      <c r="A8" s="339"/>
      <c r="B8" s="339"/>
      <c r="C8" s="49"/>
      <c r="D8" s="49"/>
      <c r="E8" s="49"/>
      <c r="F8" s="49"/>
      <c r="G8" s="49"/>
      <c r="H8" s="50" t="s">
        <v>4</v>
      </c>
      <c r="I8" s="50" t="s">
        <v>5</v>
      </c>
    </row>
    <row r="9" spans="1:9" s="1" customFormat="1" ht="13.5" customHeight="1" x14ac:dyDescent="0.2">
      <c r="A9" s="340"/>
      <c r="B9" s="340"/>
      <c r="C9" s="51"/>
      <c r="D9" s="52"/>
      <c r="E9" s="53" t="s">
        <v>1</v>
      </c>
      <c r="F9" s="53" t="s">
        <v>6</v>
      </c>
      <c r="G9" s="53" t="s">
        <v>7</v>
      </c>
      <c r="H9" s="53" t="s">
        <v>8</v>
      </c>
      <c r="I9" s="53" t="s">
        <v>9</v>
      </c>
    </row>
    <row r="10" spans="1:9" s="21" customFormat="1" ht="11.25" customHeight="1" x14ac:dyDescent="0.2">
      <c r="A10" s="333" t="s">
        <v>10</v>
      </c>
      <c r="B10" s="333"/>
      <c r="C10" s="43">
        <f t="shared" ref="C10:I10" si="0">C12+C23+C38+C42+C53</f>
        <v>328580</v>
      </c>
      <c r="D10" s="43">
        <f t="shared" si="0"/>
        <v>245786</v>
      </c>
      <c r="E10" s="43">
        <f t="shared" si="0"/>
        <v>82794</v>
      </c>
      <c r="F10" s="43">
        <f t="shared" si="0"/>
        <v>61226</v>
      </c>
      <c r="G10" s="43">
        <f t="shared" si="0"/>
        <v>21178</v>
      </c>
      <c r="H10" s="43">
        <f t="shared" si="0"/>
        <v>156</v>
      </c>
      <c r="I10" s="43">
        <f t="shared" si="0"/>
        <v>234</v>
      </c>
    </row>
    <row r="11" spans="1:9" s="21" customFormat="1" ht="11.25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</row>
    <row r="12" spans="1:9" s="21" customFormat="1" ht="11.25" customHeight="1" x14ac:dyDescent="0.2">
      <c r="A12" s="263" t="s">
        <v>11</v>
      </c>
      <c r="B12" s="263"/>
      <c r="C12" s="20">
        <f t="shared" ref="C12:I12" si="1">C13+C17+C21</f>
        <v>29137</v>
      </c>
      <c r="D12" s="20">
        <f t="shared" si="1"/>
        <v>22018</v>
      </c>
      <c r="E12" s="20">
        <f t="shared" si="1"/>
        <v>7119</v>
      </c>
      <c r="F12" s="20">
        <f t="shared" si="1"/>
        <v>5383</v>
      </c>
      <c r="G12" s="20">
        <f t="shared" si="1"/>
        <v>1726</v>
      </c>
      <c r="H12" s="20">
        <f t="shared" si="1"/>
        <v>10</v>
      </c>
      <c r="I12" s="20">
        <f t="shared" si="1"/>
        <v>0</v>
      </c>
    </row>
    <row r="13" spans="1:9" s="21" customFormat="1" ht="11.25" customHeight="1" x14ac:dyDescent="0.2">
      <c r="A13" s="264" t="s">
        <v>12</v>
      </c>
      <c r="B13" s="264"/>
      <c r="C13" s="22">
        <f t="shared" ref="C13:I13" si="2">C14+C15+C16</f>
        <v>9943</v>
      </c>
      <c r="D13" s="22">
        <f t="shared" si="2"/>
        <v>7120</v>
      </c>
      <c r="E13" s="22">
        <f t="shared" si="2"/>
        <v>2823</v>
      </c>
      <c r="F13" s="22">
        <f t="shared" si="2"/>
        <v>1906</v>
      </c>
      <c r="G13" s="22">
        <f t="shared" si="2"/>
        <v>914</v>
      </c>
      <c r="H13" s="22">
        <f t="shared" si="2"/>
        <v>3</v>
      </c>
      <c r="I13" s="22">
        <f t="shared" si="2"/>
        <v>0</v>
      </c>
    </row>
    <row r="14" spans="1:9" s="21" customFormat="1" ht="11.25" customHeight="1" x14ac:dyDescent="0.2">
      <c r="A14" s="23"/>
      <c r="B14" s="24" t="s">
        <v>13</v>
      </c>
      <c r="C14" s="22">
        <f t="shared" ref="C14:I14" si="3">C245+C247+C253+C260+C261</f>
        <v>3358</v>
      </c>
      <c r="D14" s="22">
        <f t="shared" si="3"/>
        <v>2650</v>
      </c>
      <c r="E14" s="22">
        <f t="shared" si="3"/>
        <v>708</v>
      </c>
      <c r="F14" s="22">
        <f t="shared" si="3"/>
        <v>508</v>
      </c>
      <c r="G14" s="22">
        <f t="shared" si="3"/>
        <v>199</v>
      </c>
      <c r="H14" s="22">
        <f t="shared" si="3"/>
        <v>1</v>
      </c>
      <c r="I14" s="22">
        <f t="shared" si="3"/>
        <v>0</v>
      </c>
    </row>
    <row r="15" spans="1:9" s="21" customFormat="1" ht="11.25" customHeight="1" x14ac:dyDescent="0.2">
      <c r="A15" s="23"/>
      <c r="B15" s="24" t="s">
        <v>14</v>
      </c>
      <c r="C15" s="22">
        <f t="shared" ref="C15:I15" si="4">+C246+C254+C249+C250+C251+C252+C256+C257+C262</f>
        <v>3403</v>
      </c>
      <c r="D15" s="22">
        <f t="shared" si="4"/>
        <v>2446</v>
      </c>
      <c r="E15" s="22">
        <f t="shared" si="4"/>
        <v>957</v>
      </c>
      <c r="F15" s="22">
        <f t="shared" si="4"/>
        <v>609</v>
      </c>
      <c r="G15" s="22">
        <f t="shared" si="4"/>
        <v>348</v>
      </c>
      <c r="H15" s="22">
        <f t="shared" si="4"/>
        <v>0</v>
      </c>
      <c r="I15" s="22">
        <f t="shared" si="4"/>
        <v>0</v>
      </c>
    </row>
    <row r="16" spans="1:9" s="21" customFormat="1" ht="11.25" customHeight="1" x14ac:dyDescent="0.2">
      <c r="A16" s="23"/>
      <c r="B16" s="25" t="s">
        <v>15</v>
      </c>
      <c r="C16" s="22">
        <f t="shared" ref="C16:I16" si="5">C248+C255+C258+C259</f>
        <v>3182</v>
      </c>
      <c r="D16" s="22">
        <f t="shared" si="5"/>
        <v>2024</v>
      </c>
      <c r="E16" s="22">
        <f t="shared" si="5"/>
        <v>1158</v>
      </c>
      <c r="F16" s="22">
        <f t="shared" si="5"/>
        <v>789</v>
      </c>
      <c r="G16" s="22">
        <f t="shared" si="5"/>
        <v>367</v>
      </c>
      <c r="H16" s="22">
        <f t="shared" si="5"/>
        <v>2</v>
      </c>
      <c r="I16" s="22">
        <f t="shared" si="5"/>
        <v>0</v>
      </c>
    </row>
    <row r="17" spans="1:9" s="21" customFormat="1" ht="11.25" customHeight="1" x14ac:dyDescent="0.2">
      <c r="A17" s="264" t="s">
        <v>16</v>
      </c>
      <c r="B17" s="264"/>
      <c r="C17" s="22">
        <f t="shared" ref="C17:I17" si="6">C18+C19+C20</f>
        <v>5672</v>
      </c>
      <c r="D17" s="22">
        <f t="shared" si="6"/>
        <v>5225</v>
      </c>
      <c r="E17" s="22">
        <f t="shared" si="6"/>
        <v>447</v>
      </c>
      <c r="F17" s="22">
        <f t="shared" si="6"/>
        <v>298</v>
      </c>
      <c r="G17" s="22">
        <f t="shared" si="6"/>
        <v>148</v>
      </c>
      <c r="H17" s="22">
        <f t="shared" si="6"/>
        <v>1</v>
      </c>
      <c r="I17" s="22">
        <f t="shared" si="6"/>
        <v>0</v>
      </c>
    </row>
    <row r="18" spans="1:9" s="21" customFormat="1" ht="11.25" customHeight="1" x14ac:dyDescent="0.2">
      <c r="A18" s="23"/>
      <c r="B18" s="24" t="s">
        <v>17</v>
      </c>
      <c r="C18" s="22">
        <f t="shared" ref="C18:I18" si="7">+C239</f>
        <v>1813</v>
      </c>
      <c r="D18" s="22">
        <f t="shared" si="7"/>
        <v>1696</v>
      </c>
      <c r="E18" s="22">
        <f t="shared" si="7"/>
        <v>117</v>
      </c>
      <c r="F18" s="22">
        <f t="shared" si="7"/>
        <v>84</v>
      </c>
      <c r="G18" s="22">
        <f t="shared" si="7"/>
        <v>32</v>
      </c>
      <c r="H18" s="22">
        <f t="shared" si="7"/>
        <v>1</v>
      </c>
      <c r="I18" s="22">
        <f t="shared" si="7"/>
        <v>0</v>
      </c>
    </row>
    <row r="19" spans="1:9" s="21" customFormat="1" ht="11.25" customHeight="1" x14ac:dyDescent="0.2">
      <c r="A19" s="23"/>
      <c r="B19" s="24" t="s">
        <v>18</v>
      </c>
      <c r="C19" s="22">
        <f t="shared" ref="C19:I19" si="8">+C238</f>
        <v>1849</v>
      </c>
      <c r="D19" s="22">
        <f t="shared" si="8"/>
        <v>1657</v>
      </c>
      <c r="E19" s="22">
        <f t="shared" si="8"/>
        <v>192</v>
      </c>
      <c r="F19" s="22">
        <f t="shared" si="8"/>
        <v>123</v>
      </c>
      <c r="G19" s="22">
        <f t="shared" si="8"/>
        <v>69</v>
      </c>
      <c r="H19" s="22">
        <f t="shared" si="8"/>
        <v>0</v>
      </c>
      <c r="I19" s="22">
        <f t="shared" si="8"/>
        <v>0</v>
      </c>
    </row>
    <row r="20" spans="1:9" s="21" customFormat="1" ht="11.25" customHeight="1" x14ac:dyDescent="0.2">
      <c r="A20" s="26"/>
      <c r="B20" s="24" t="s">
        <v>19</v>
      </c>
      <c r="C20" s="22">
        <f t="shared" ref="C20:I20" si="9">C240+C241+C242</f>
        <v>2010</v>
      </c>
      <c r="D20" s="22">
        <f t="shared" si="9"/>
        <v>1872</v>
      </c>
      <c r="E20" s="22">
        <f t="shared" si="9"/>
        <v>138</v>
      </c>
      <c r="F20" s="22">
        <f t="shared" si="9"/>
        <v>91</v>
      </c>
      <c r="G20" s="22">
        <f t="shared" si="9"/>
        <v>47</v>
      </c>
      <c r="H20" s="22">
        <f t="shared" si="9"/>
        <v>0</v>
      </c>
      <c r="I20" s="22">
        <f t="shared" si="9"/>
        <v>0</v>
      </c>
    </row>
    <row r="21" spans="1:9" s="21" customFormat="1" ht="11.25" customHeight="1" x14ac:dyDescent="0.2">
      <c r="A21" s="267" t="s">
        <v>20</v>
      </c>
      <c r="B21" s="267"/>
      <c r="C21" s="28">
        <f t="shared" ref="C21:I21" si="10">C230+C231+C232+C215+C233+C234+C221+C235+C224</f>
        <v>13522</v>
      </c>
      <c r="D21" s="28">
        <f t="shared" si="10"/>
        <v>9673</v>
      </c>
      <c r="E21" s="28">
        <f t="shared" si="10"/>
        <v>3849</v>
      </c>
      <c r="F21" s="28">
        <f t="shared" si="10"/>
        <v>3179</v>
      </c>
      <c r="G21" s="28">
        <f t="shared" si="10"/>
        <v>664</v>
      </c>
      <c r="H21" s="28">
        <f t="shared" si="10"/>
        <v>6</v>
      </c>
      <c r="I21" s="28">
        <f t="shared" si="10"/>
        <v>0</v>
      </c>
    </row>
    <row r="22" spans="1:9" s="21" customFormat="1" ht="11.25" customHeight="1" x14ac:dyDescent="0.2">
      <c r="A22" s="26"/>
      <c r="B22" s="26"/>
      <c r="C22" s="26"/>
      <c r="D22" s="26"/>
      <c r="E22" s="26"/>
      <c r="F22" s="26"/>
      <c r="G22" s="26"/>
      <c r="H22" s="26"/>
      <c r="I22" s="26"/>
    </row>
    <row r="23" spans="1:9" s="21" customFormat="1" ht="11.25" customHeight="1" x14ac:dyDescent="0.2">
      <c r="A23" s="263" t="s">
        <v>21</v>
      </c>
      <c r="B23" s="263"/>
      <c r="C23" s="20">
        <f t="shared" ref="C23:I23" si="11">C24+C25+C26+C29+C32+C33</f>
        <v>66190</v>
      </c>
      <c r="D23" s="20">
        <f t="shared" si="11"/>
        <v>51442</v>
      </c>
      <c r="E23" s="20">
        <f t="shared" si="11"/>
        <v>14748</v>
      </c>
      <c r="F23" s="20">
        <f t="shared" si="11"/>
        <v>11357</v>
      </c>
      <c r="G23" s="20">
        <f t="shared" si="11"/>
        <v>3363</v>
      </c>
      <c r="H23" s="20">
        <f t="shared" si="11"/>
        <v>28</v>
      </c>
      <c r="I23" s="20">
        <f t="shared" si="11"/>
        <v>0</v>
      </c>
    </row>
    <row r="24" spans="1:9" s="21" customFormat="1" ht="11.25" customHeight="1" x14ac:dyDescent="0.2">
      <c r="A24" s="264" t="s">
        <v>22</v>
      </c>
      <c r="B24" s="264"/>
      <c r="C24" s="22">
        <f t="shared" ref="C24:I24" si="12">C157+C160+C161+C176+C177+C180+C182+C184+C187</f>
        <v>40300</v>
      </c>
      <c r="D24" s="22">
        <f t="shared" si="12"/>
        <v>29428</v>
      </c>
      <c r="E24" s="22">
        <f t="shared" si="12"/>
        <v>10872</v>
      </c>
      <c r="F24" s="22">
        <f t="shared" si="12"/>
        <v>8348</v>
      </c>
      <c r="G24" s="22">
        <f t="shared" si="12"/>
        <v>2502</v>
      </c>
      <c r="H24" s="22">
        <f t="shared" si="12"/>
        <v>22</v>
      </c>
      <c r="I24" s="22">
        <f t="shared" si="12"/>
        <v>0</v>
      </c>
    </row>
    <row r="25" spans="1:9" s="21" customFormat="1" ht="11.25" customHeight="1" x14ac:dyDescent="0.2">
      <c r="A25" s="264" t="s">
        <v>23</v>
      </c>
      <c r="B25" s="264"/>
      <c r="C25" s="22">
        <f t="shared" ref="C25:I25" si="13">C162+C168+C172+C178+C186+C188+C189+C195</f>
        <v>3951</v>
      </c>
      <c r="D25" s="22">
        <f t="shared" si="13"/>
        <v>3274</v>
      </c>
      <c r="E25" s="22">
        <f t="shared" si="13"/>
        <v>677</v>
      </c>
      <c r="F25" s="22">
        <f t="shared" si="13"/>
        <v>499</v>
      </c>
      <c r="G25" s="22">
        <f t="shared" si="13"/>
        <v>176</v>
      </c>
      <c r="H25" s="22">
        <f t="shared" si="13"/>
        <v>2</v>
      </c>
      <c r="I25" s="22">
        <f t="shared" si="13"/>
        <v>0</v>
      </c>
    </row>
    <row r="26" spans="1:9" s="21" customFormat="1" ht="11.25" customHeight="1" x14ac:dyDescent="0.2">
      <c r="A26" s="264" t="s">
        <v>24</v>
      </c>
      <c r="B26" s="264"/>
      <c r="C26" s="22">
        <f t="shared" ref="C26:I26" si="14">C27+C28</f>
        <v>11655</v>
      </c>
      <c r="D26" s="22">
        <f t="shared" si="14"/>
        <v>9531</v>
      </c>
      <c r="E26" s="22">
        <f t="shared" si="14"/>
        <v>2124</v>
      </c>
      <c r="F26" s="22">
        <f t="shared" si="14"/>
        <v>1735</v>
      </c>
      <c r="G26" s="22">
        <f t="shared" si="14"/>
        <v>385</v>
      </c>
      <c r="H26" s="22">
        <f t="shared" si="14"/>
        <v>4</v>
      </c>
      <c r="I26" s="22">
        <f t="shared" si="14"/>
        <v>0</v>
      </c>
    </row>
    <row r="27" spans="1:9" s="21" customFormat="1" ht="11.25" customHeight="1" x14ac:dyDescent="0.2">
      <c r="A27" s="29"/>
      <c r="B27" s="24" t="s">
        <v>25</v>
      </c>
      <c r="C27" s="22">
        <f t="shared" ref="C27:I27" si="15">C159+C165+C167+C179+C190+C196</f>
        <v>914</v>
      </c>
      <c r="D27" s="22">
        <f t="shared" si="15"/>
        <v>869</v>
      </c>
      <c r="E27" s="22">
        <f t="shared" si="15"/>
        <v>45</v>
      </c>
      <c r="F27" s="22">
        <f t="shared" si="15"/>
        <v>24</v>
      </c>
      <c r="G27" s="22">
        <f t="shared" si="15"/>
        <v>21</v>
      </c>
      <c r="H27" s="22">
        <f t="shared" si="15"/>
        <v>0</v>
      </c>
      <c r="I27" s="22">
        <f t="shared" si="15"/>
        <v>0</v>
      </c>
    </row>
    <row r="28" spans="1:9" s="21" customFormat="1" ht="11.25" customHeight="1" x14ac:dyDescent="0.2">
      <c r="A28" s="26"/>
      <c r="B28" s="24" t="s">
        <v>26</v>
      </c>
      <c r="C28" s="22">
        <f t="shared" ref="C28:I28" si="16">C166+C169+C170+C175+C192</f>
        <v>10741</v>
      </c>
      <c r="D28" s="22">
        <f t="shared" si="16"/>
        <v>8662</v>
      </c>
      <c r="E28" s="22">
        <f t="shared" si="16"/>
        <v>2079</v>
      </c>
      <c r="F28" s="22">
        <f t="shared" si="16"/>
        <v>1711</v>
      </c>
      <c r="G28" s="22">
        <f t="shared" si="16"/>
        <v>364</v>
      </c>
      <c r="H28" s="22">
        <f t="shared" si="16"/>
        <v>4</v>
      </c>
      <c r="I28" s="22">
        <f t="shared" si="16"/>
        <v>0</v>
      </c>
    </row>
    <row r="29" spans="1:9" s="21" customFormat="1" ht="11.25" customHeight="1" x14ac:dyDescent="0.2">
      <c r="A29" s="264" t="s">
        <v>27</v>
      </c>
      <c r="B29" s="264"/>
      <c r="C29" s="22">
        <f t="shared" ref="C29:I29" si="17">C30+C31</f>
        <v>3680</v>
      </c>
      <c r="D29" s="22">
        <f t="shared" si="17"/>
        <v>3284</v>
      </c>
      <c r="E29" s="22">
        <f t="shared" si="17"/>
        <v>396</v>
      </c>
      <c r="F29" s="22">
        <f t="shared" si="17"/>
        <v>272</v>
      </c>
      <c r="G29" s="22">
        <f t="shared" si="17"/>
        <v>124</v>
      </c>
      <c r="H29" s="22">
        <f t="shared" si="17"/>
        <v>0</v>
      </c>
      <c r="I29" s="22">
        <f t="shared" si="17"/>
        <v>0</v>
      </c>
    </row>
    <row r="30" spans="1:9" s="21" customFormat="1" ht="11.25" customHeight="1" x14ac:dyDescent="0.2">
      <c r="A30" s="29"/>
      <c r="B30" s="24" t="s">
        <v>28</v>
      </c>
      <c r="C30" s="22">
        <f t="shared" ref="C30:I30" si="18">C158+C173+C185</f>
        <v>1120</v>
      </c>
      <c r="D30" s="22">
        <f t="shared" si="18"/>
        <v>1017</v>
      </c>
      <c r="E30" s="22">
        <f t="shared" si="18"/>
        <v>103</v>
      </c>
      <c r="F30" s="22">
        <f t="shared" si="18"/>
        <v>70</v>
      </c>
      <c r="G30" s="22">
        <f t="shared" si="18"/>
        <v>33</v>
      </c>
      <c r="H30" s="22">
        <f t="shared" si="18"/>
        <v>0</v>
      </c>
      <c r="I30" s="22">
        <f t="shared" si="18"/>
        <v>0</v>
      </c>
    </row>
    <row r="31" spans="1:9" s="21" customFormat="1" ht="11.25" customHeight="1" x14ac:dyDescent="0.2">
      <c r="A31" s="26"/>
      <c r="B31" s="24" t="s">
        <v>29</v>
      </c>
      <c r="C31" s="22">
        <f t="shared" ref="C31:I31" si="19">C163+C191+C194</f>
        <v>2560</v>
      </c>
      <c r="D31" s="22">
        <f t="shared" si="19"/>
        <v>2267</v>
      </c>
      <c r="E31" s="22">
        <f t="shared" si="19"/>
        <v>293</v>
      </c>
      <c r="F31" s="22">
        <f t="shared" si="19"/>
        <v>202</v>
      </c>
      <c r="G31" s="22">
        <f t="shared" si="19"/>
        <v>91</v>
      </c>
      <c r="H31" s="22">
        <f t="shared" si="19"/>
        <v>0</v>
      </c>
      <c r="I31" s="22">
        <f t="shared" si="19"/>
        <v>0</v>
      </c>
    </row>
    <row r="32" spans="1:9" s="21" customFormat="1" ht="11.25" customHeight="1" x14ac:dyDescent="0.2">
      <c r="A32" s="264" t="s">
        <v>30</v>
      </c>
      <c r="B32" s="264"/>
      <c r="C32" s="22">
        <f t="shared" ref="C32:I32" si="20">C171+C174+C181+C183+C193</f>
        <v>785</v>
      </c>
      <c r="D32" s="22">
        <f t="shared" si="20"/>
        <v>720</v>
      </c>
      <c r="E32" s="22">
        <f t="shared" si="20"/>
        <v>65</v>
      </c>
      <c r="F32" s="22">
        <f t="shared" si="20"/>
        <v>48</v>
      </c>
      <c r="G32" s="22">
        <f t="shared" si="20"/>
        <v>17</v>
      </c>
      <c r="H32" s="22">
        <f t="shared" si="20"/>
        <v>0</v>
      </c>
      <c r="I32" s="22">
        <f t="shared" si="20"/>
        <v>0</v>
      </c>
    </row>
    <row r="33" spans="1:9" s="21" customFormat="1" ht="11.25" customHeight="1" x14ac:dyDescent="0.2">
      <c r="A33" s="264" t="s">
        <v>31</v>
      </c>
      <c r="B33" s="264"/>
      <c r="C33" s="22">
        <f t="shared" ref="C33:I33" si="21">C34+C35+C36</f>
        <v>5819</v>
      </c>
      <c r="D33" s="22">
        <f t="shared" si="21"/>
        <v>5205</v>
      </c>
      <c r="E33" s="22">
        <f t="shared" si="21"/>
        <v>614</v>
      </c>
      <c r="F33" s="22">
        <f t="shared" si="21"/>
        <v>455</v>
      </c>
      <c r="G33" s="22">
        <f t="shared" si="21"/>
        <v>159</v>
      </c>
      <c r="H33" s="22">
        <f t="shared" si="21"/>
        <v>0</v>
      </c>
      <c r="I33" s="22">
        <f t="shared" si="21"/>
        <v>0</v>
      </c>
    </row>
    <row r="34" spans="1:9" s="21" customFormat="1" ht="11.25" customHeight="1" x14ac:dyDescent="0.2">
      <c r="A34" s="29"/>
      <c r="B34" s="24" t="s">
        <v>32</v>
      </c>
      <c r="C34" s="22">
        <f t="shared" ref="C34:I34" si="22">C205</f>
        <v>578</v>
      </c>
      <c r="D34" s="22">
        <f t="shared" si="22"/>
        <v>556</v>
      </c>
      <c r="E34" s="22">
        <f t="shared" si="22"/>
        <v>22</v>
      </c>
      <c r="F34" s="22">
        <f t="shared" si="22"/>
        <v>15</v>
      </c>
      <c r="G34" s="22">
        <f t="shared" si="22"/>
        <v>7</v>
      </c>
      <c r="H34" s="22">
        <f t="shared" si="22"/>
        <v>0</v>
      </c>
      <c r="I34" s="22">
        <f t="shared" si="22"/>
        <v>0</v>
      </c>
    </row>
    <row r="35" spans="1:9" s="21" customFormat="1" ht="11.25" customHeight="1" x14ac:dyDescent="0.2">
      <c r="A35" s="23"/>
      <c r="B35" s="24" t="s">
        <v>33</v>
      </c>
      <c r="C35" s="22">
        <f t="shared" ref="C35:I35" si="23">C200+C201+C202+C206</f>
        <v>220</v>
      </c>
      <c r="D35" s="22">
        <f t="shared" si="23"/>
        <v>201</v>
      </c>
      <c r="E35" s="22">
        <f t="shared" si="23"/>
        <v>19</v>
      </c>
      <c r="F35" s="22">
        <f t="shared" si="23"/>
        <v>8</v>
      </c>
      <c r="G35" s="22">
        <f t="shared" si="23"/>
        <v>11</v>
      </c>
      <c r="H35" s="22">
        <f t="shared" si="23"/>
        <v>0</v>
      </c>
      <c r="I35" s="22">
        <f t="shared" si="23"/>
        <v>0</v>
      </c>
    </row>
    <row r="36" spans="1:9" s="21" customFormat="1" ht="11.25" customHeight="1" x14ac:dyDescent="0.2">
      <c r="A36" s="23"/>
      <c r="B36" s="30" t="s">
        <v>34</v>
      </c>
      <c r="C36" s="28">
        <f t="shared" ref="C36:I36" si="24">C199+C203+C204+C207</f>
        <v>5021</v>
      </c>
      <c r="D36" s="28">
        <f t="shared" si="24"/>
        <v>4448</v>
      </c>
      <c r="E36" s="28">
        <f t="shared" si="24"/>
        <v>573</v>
      </c>
      <c r="F36" s="28">
        <f t="shared" si="24"/>
        <v>432</v>
      </c>
      <c r="G36" s="28">
        <f t="shared" si="24"/>
        <v>141</v>
      </c>
      <c r="H36" s="28">
        <f t="shared" si="24"/>
        <v>0</v>
      </c>
      <c r="I36" s="28">
        <f t="shared" si="24"/>
        <v>0</v>
      </c>
    </row>
    <row r="37" spans="1:9" s="21" customFormat="1" ht="11.2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</row>
    <row r="38" spans="1:9" s="21" customFormat="1" ht="11.25" customHeight="1" x14ac:dyDescent="0.2">
      <c r="A38" s="263" t="s">
        <v>35</v>
      </c>
      <c r="B38" s="263"/>
      <c r="C38" s="20">
        <f t="shared" ref="C38:I38" si="25">C39+C40</f>
        <v>45871</v>
      </c>
      <c r="D38" s="20">
        <f t="shared" si="25"/>
        <v>33381</v>
      </c>
      <c r="E38" s="20">
        <f t="shared" si="25"/>
        <v>12490</v>
      </c>
      <c r="F38" s="20">
        <f t="shared" si="25"/>
        <v>10158</v>
      </c>
      <c r="G38" s="20">
        <f t="shared" si="25"/>
        <v>2307</v>
      </c>
      <c r="H38" s="20">
        <f t="shared" si="25"/>
        <v>24</v>
      </c>
      <c r="I38" s="20">
        <f t="shared" si="25"/>
        <v>1</v>
      </c>
    </row>
    <row r="39" spans="1:9" s="21" customFormat="1" ht="11.25" customHeight="1" x14ac:dyDescent="0.2">
      <c r="A39" s="264" t="s">
        <v>36</v>
      </c>
      <c r="B39" s="264"/>
      <c r="C39" s="22">
        <f t="shared" ref="C39:I39" si="26">C210+C211+C213+C214+C216+C219+C222+C223+C226+C227</f>
        <v>39860</v>
      </c>
      <c r="D39" s="22">
        <f t="shared" si="26"/>
        <v>29186</v>
      </c>
      <c r="E39" s="22">
        <f t="shared" si="26"/>
        <v>10674</v>
      </c>
      <c r="F39" s="22">
        <f t="shared" si="26"/>
        <v>8700</v>
      </c>
      <c r="G39" s="22">
        <f t="shared" si="26"/>
        <v>1950</v>
      </c>
      <c r="H39" s="22">
        <f t="shared" si="26"/>
        <v>23</v>
      </c>
      <c r="I39" s="22">
        <f t="shared" si="26"/>
        <v>1</v>
      </c>
    </row>
    <row r="40" spans="1:9" s="21" customFormat="1" ht="11.25" customHeight="1" x14ac:dyDescent="0.2">
      <c r="A40" s="267" t="s">
        <v>37</v>
      </c>
      <c r="B40" s="267"/>
      <c r="C40" s="28">
        <f t="shared" ref="C40:I40" si="27">+C212+C164+C217+C225</f>
        <v>6011</v>
      </c>
      <c r="D40" s="28">
        <f t="shared" si="27"/>
        <v>4195</v>
      </c>
      <c r="E40" s="28">
        <f t="shared" si="27"/>
        <v>1816</v>
      </c>
      <c r="F40" s="28">
        <f t="shared" si="27"/>
        <v>1458</v>
      </c>
      <c r="G40" s="28">
        <f t="shared" si="27"/>
        <v>357</v>
      </c>
      <c r="H40" s="28">
        <f t="shared" si="27"/>
        <v>1</v>
      </c>
      <c r="I40" s="28">
        <f t="shared" si="27"/>
        <v>0</v>
      </c>
    </row>
    <row r="41" spans="1:9" s="21" customFormat="1" ht="11.2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</row>
    <row r="42" spans="1:9" s="21" customFormat="1" ht="11.25" customHeight="1" x14ac:dyDescent="0.2">
      <c r="A42" s="263" t="s">
        <v>38</v>
      </c>
      <c r="B42" s="263"/>
      <c r="C42" s="20">
        <f t="shared" ref="C42:I42" si="28">C43+C44+C48</f>
        <v>134356</v>
      </c>
      <c r="D42" s="20">
        <f t="shared" si="28"/>
        <v>97136</v>
      </c>
      <c r="E42" s="20">
        <f t="shared" si="28"/>
        <v>37220</v>
      </c>
      <c r="F42" s="20">
        <f t="shared" si="28"/>
        <v>26449</v>
      </c>
      <c r="G42" s="20">
        <f t="shared" si="28"/>
        <v>10662</v>
      </c>
      <c r="H42" s="20">
        <f t="shared" si="28"/>
        <v>74</v>
      </c>
      <c r="I42" s="20">
        <f t="shared" si="28"/>
        <v>35</v>
      </c>
    </row>
    <row r="43" spans="1:9" s="21" customFormat="1" ht="11.25" customHeight="1" x14ac:dyDescent="0.2">
      <c r="A43" s="264" t="s">
        <v>39</v>
      </c>
      <c r="B43" s="264"/>
      <c r="C43" s="22">
        <f t="shared" ref="C43:I43" si="29">C90+C100+C101+C103+C105+C106+C107+C111+C112+C115+C117+C120+C122+C126+C128+C132+C133+C137+C140+C144+C148+C152+C153</f>
        <v>88411</v>
      </c>
      <c r="D43" s="22">
        <f t="shared" si="29"/>
        <v>59088</v>
      </c>
      <c r="E43" s="22">
        <f t="shared" si="29"/>
        <v>29323</v>
      </c>
      <c r="F43" s="22">
        <f t="shared" si="29"/>
        <v>20248</v>
      </c>
      <c r="G43" s="22">
        <f t="shared" si="29"/>
        <v>8985</v>
      </c>
      <c r="H43" s="22">
        <f t="shared" si="29"/>
        <v>58</v>
      </c>
      <c r="I43" s="22">
        <f t="shared" si="29"/>
        <v>32</v>
      </c>
    </row>
    <row r="44" spans="1:9" s="21" customFormat="1" ht="11.25" customHeight="1" x14ac:dyDescent="0.2">
      <c r="A44" s="270" t="s">
        <v>40</v>
      </c>
      <c r="B44" s="270"/>
      <c r="C44" s="22">
        <f t="shared" ref="C44:I44" si="30">C45+C46+C47</f>
        <v>24124</v>
      </c>
      <c r="D44" s="22">
        <f t="shared" si="30"/>
        <v>20629</v>
      </c>
      <c r="E44" s="22">
        <f t="shared" si="30"/>
        <v>3495</v>
      </c>
      <c r="F44" s="22">
        <f t="shared" si="30"/>
        <v>2804</v>
      </c>
      <c r="G44" s="22">
        <f t="shared" si="30"/>
        <v>682</v>
      </c>
      <c r="H44" s="22">
        <f t="shared" si="30"/>
        <v>8</v>
      </c>
      <c r="I44" s="22">
        <f t="shared" si="30"/>
        <v>1</v>
      </c>
    </row>
    <row r="45" spans="1:9" s="21" customFormat="1" ht="11.25" customHeight="1" x14ac:dyDescent="0.2">
      <c r="A45" s="30"/>
      <c r="B45" s="24" t="s">
        <v>41</v>
      </c>
      <c r="C45" s="22">
        <f t="shared" ref="C45:I45" si="31">C91+C95+C102+C118+C218+C124+C220+C129+C142+C146+C149</f>
        <v>11851</v>
      </c>
      <c r="D45" s="22">
        <f t="shared" si="31"/>
        <v>9607</v>
      </c>
      <c r="E45" s="22">
        <f t="shared" si="31"/>
        <v>2244</v>
      </c>
      <c r="F45" s="22">
        <f t="shared" si="31"/>
        <v>1853</v>
      </c>
      <c r="G45" s="22">
        <f t="shared" si="31"/>
        <v>388</v>
      </c>
      <c r="H45" s="22">
        <f t="shared" si="31"/>
        <v>3</v>
      </c>
      <c r="I45" s="22">
        <f t="shared" si="31"/>
        <v>0</v>
      </c>
    </row>
    <row r="46" spans="1:9" s="21" customFormat="1" ht="11.25" customHeight="1" x14ac:dyDescent="0.2">
      <c r="A46" s="30"/>
      <c r="B46" s="24" t="s">
        <v>42</v>
      </c>
      <c r="C46" s="22">
        <f t="shared" ref="C46:I46" si="32">C93+C104+C113+C121+C136+C138+C147+C154</f>
        <v>11348</v>
      </c>
      <c r="D46" s="22">
        <f t="shared" si="32"/>
        <v>10178</v>
      </c>
      <c r="E46" s="22">
        <f t="shared" si="32"/>
        <v>1170</v>
      </c>
      <c r="F46" s="22">
        <f t="shared" si="32"/>
        <v>898</v>
      </c>
      <c r="G46" s="22">
        <f t="shared" si="32"/>
        <v>266</v>
      </c>
      <c r="H46" s="22">
        <f t="shared" si="32"/>
        <v>5</v>
      </c>
      <c r="I46" s="22">
        <f t="shared" si="32"/>
        <v>1</v>
      </c>
    </row>
    <row r="47" spans="1:9" s="21" customFormat="1" ht="11.25" customHeight="1" x14ac:dyDescent="0.2">
      <c r="A47" s="30"/>
      <c r="B47" s="25" t="s">
        <v>43</v>
      </c>
      <c r="C47" s="22">
        <f t="shared" ref="C47:I47" si="33">C97+C109+C110+C150</f>
        <v>925</v>
      </c>
      <c r="D47" s="22">
        <f t="shared" si="33"/>
        <v>844</v>
      </c>
      <c r="E47" s="22">
        <f t="shared" si="33"/>
        <v>81</v>
      </c>
      <c r="F47" s="22">
        <f t="shared" si="33"/>
        <v>53</v>
      </c>
      <c r="G47" s="22">
        <f t="shared" si="33"/>
        <v>28</v>
      </c>
      <c r="H47" s="22">
        <f t="shared" si="33"/>
        <v>0</v>
      </c>
      <c r="I47" s="22">
        <f t="shared" si="33"/>
        <v>0</v>
      </c>
    </row>
    <row r="48" spans="1:9" s="21" customFormat="1" ht="11.25" customHeight="1" x14ac:dyDescent="0.2">
      <c r="A48" s="264" t="s">
        <v>44</v>
      </c>
      <c r="B48" s="264"/>
      <c r="C48" s="22">
        <f t="shared" ref="C48:I48" si="34">C49+C50+C51</f>
        <v>21821</v>
      </c>
      <c r="D48" s="22">
        <f t="shared" si="34"/>
        <v>17419</v>
      </c>
      <c r="E48" s="22">
        <f t="shared" si="34"/>
        <v>4402</v>
      </c>
      <c r="F48" s="22">
        <f t="shared" si="34"/>
        <v>3397</v>
      </c>
      <c r="G48" s="22">
        <f t="shared" si="34"/>
        <v>995</v>
      </c>
      <c r="H48" s="22">
        <f t="shared" si="34"/>
        <v>8</v>
      </c>
      <c r="I48" s="22">
        <f t="shared" si="34"/>
        <v>2</v>
      </c>
    </row>
    <row r="49" spans="1:9" s="21" customFormat="1" ht="11.25" customHeight="1" x14ac:dyDescent="0.2">
      <c r="A49" s="30"/>
      <c r="B49" s="24" t="s">
        <v>45</v>
      </c>
      <c r="C49" s="22">
        <f t="shared" ref="C49:I49" si="35">+C86+C87+C99+C119+C130</f>
        <v>2651</v>
      </c>
      <c r="D49" s="22">
        <f t="shared" si="35"/>
        <v>2370</v>
      </c>
      <c r="E49" s="22">
        <f t="shared" si="35"/>
        <v>281</v>
      </c>
      <c r="F49" s="22">
        <f t="shared" si="35"/>
        <v>200</v>
      </c>
      <c r="G49" s="22">
        <f t="shared" si="35"/>
        <v>80</v>
      </c>
      <c r="H49" s="22">
        <f t="shared" si="35"/>
        <v>0</v>
      </c>
      <c r="I49" s="22">
        <f t="shared" si="35"/>
        <v>1</v>
      </c>
    </row>
    <row r="50" spans="1:9" s="21" customFormat="1" ht="11.25" customHeight="1" x14ac:dyDescent="0.2">
      <c r="A50" s="30"/>
      <c r="B50" s="24" t="s">
        <v>46</v>
      </c>
      <c r="C50" s="22">
        <f t="shared" ref="C50:I50" si="36">C89+C92+C114+C116+C131+C135+C141+C145</f>
        <v>6012</v>
      </c>
      <c r="D50" s="22">
        <f t="shared" si="36"/>
        <v>5120</v>
      </c>
      <c r="E50" s="22">
        <f t="shared" si="36"/>
        <v>892</v>
      </c>
      <c r="F50" s="22">
        <f t="shared" si="36"/>
        <v>677</v>
      </c>
      <c r="G50" s="22">
        <f t="shared" si="36"/>
        <v>212</v>
      </c>
      <c r="H50" s="22">
        <f t="shared" si="36"/>
        <v>3</v>
      </c>
      <c r="I50" s="22">
        <f t="shared" si="36"/>
        <v>0</v>
      </c>
    </row>
    <row r="51" spans="1:9" s="21" customFormat="1" ht="11.25" customHeight="1" x14ac:dyDescent="0.2">
      <c r="A51" s="30"/>
      <c r="B51" s="30" t="s">
        <v>47</v>
      </c>
      <c r="C51" s="28">
        <f t="shared" ref="C51:I51" si="37">C85+C94+C108+C123+C134+C139+C151</f>
        <v>13158</v>
      </c>
      <c r="D51" s="28">
        <f t="shared" si="37"/>
        <v>9929</v>
      </c>
      <c r="E51" s="28">
        <f t="shared" si="37"/>
        <v>3229</v>
      </c>
      <c r="F51" s="28">
        <f t="shared" si="37"/>
        <v>2520</v>
      </c>
      <c r="G51" s="28">
        <f t="shared" si="37"/>
        <v>703</v>
      </c>
      <c r="H51" s="28">
        <f t="shared" si="37"/>
        <v>5</v>
      </c>
      <c r="I51" s="28">
        <f t="shared" si="37"/>
        <v>1</v>
      </c>
    </row>
    <row r="52" spans="1:9" s="21" customFormat="1" ht="11.25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</row>
    <row r="53" spans="1:9" s="21" customFormat="1" ht="11.25" customHeight="1" x14ac:dyDescent="0.2">
      <c r="A53" s="263" t="s">
        <v>48</v>
      </c>
      <c r="B53" s="263"/>
      <c r="C53" s="20">
        <f t="shared" ref="C53:I53" si="38">C54+C55+C56</f>
        <v>53026</v>
      </c>
      <c r="D53" s="20">
        <f t="shared" si="38"/>
        <v>41809</v>
      </c>
      <c r="E53" s="20">
        <f t="shared" si="38"/>
        <v>11217</v>
      </c>
      <c r="F53" s="20">
        <f t="shared" si="38"/>
        <v>7879</v>
      </c>
      <c r="G53" s="20">
        <f t="shared" si="38"/>
        <v>3120</v>
      </c>
      <c r="H53" s="20">
        <f t="shared" si="38"/>
        <v>20</v>
      </c>
      <c r="I53" s="20">
        <f t="shared" si="38"/>
        <v>198</v>
      </c>
    </row>
    <row r="54" spans="1:9" s="21" customFormat="1" ht="11.25" customHeight="1" x14ac:dyDescent="0.2">
      <c r="A54" s="264" t="s">
        <v>49</v>
      </c>
      <c r="B54" s="264"/>
      <c r="C54" s="22">
        <f t="shared" ref="C54:I54" si="39">C60+C67+C73+C82</f>
        <v>18454</v>
      </c>
      <c r="D54" s="22">
        <f t="shared" si="39"/>
        <v>13452</v>
      </c>
      <c r="E54" s="22">
        <f t="shared" si="39"/>
        <v>5002</v>
      </c>
      <c r="F54" s="22">
        <f t="shared" si="39"/>
        <v>3595</v>
      </c>
      <c r="G54" s="22">
        <f t="shared" si="39"/>
        <v>1217</v>
      </c>
      <c r="H54" s="22">
        <f t="shared" si="39"/>
        <v>4</v>
      </c>
      <c r="I54" s="22">
        <f t="shared" si="39"/>
        <v>186</v>
      </c>
    </row>
    <row r="55" spans="1:9" s="21" customFormat="1" ht="11.25" customHeight="1" x14ac:dyDescent="0.2">
      <c r="A55" s="264" t="s">
        <v>50</v>
      </c>
      <c r="B55" s="264"/>
      <c r="C55" s="22">
        <f t="shared" ref="C55:I55" si="40">C88+C59+C61+C96+C98+C65+C68+C69+C70+C125+C127+C71+C72+C76+C77+C78+C143+C80+C81</f>
        <v>30579</v>
      </c>
      <c r="D55" s="22">
        <f t="shared" si="40"/>
        <v>24740</v>
      </c>
      <c r="E55" s="22">
        <f t="shared" si="40"/>
        <v>5839</v>
      </c>
      <c r="F55" s="22">
        <f t="shared" si="40"/>
        <v>3993</v>
      </c>
      <c r="G55" s="22">
        <f t="shared" si="40"/>
        <v>1818</v>
      </c>
      <c r="H55" s="22">
        <f t="shared" si="40"/>
        <v>16</v>
      </c>
      <c r="I55" s="22">
        <f t="shared" si="40"/>
        <v>12</v>
      </c>
    </row>
    <row r="56" spans="1:9" s="21" customFormat="1" ht="11.25" customHeight="1" x14ac:dyDescent="0.2">
      <c r="A56" s="267" t="s">
        <v>51</v>
      </c>
      <c r="B56" s="267"/>
      <c r="C56" s="28">
        <f t="shared" ref="C56:I56" si="41">C62+C63+C64+C66+C74+C75+C79</f>
        <v>3993</v>
      </c>
      <c r="D56" s="28">
        <f t="shared" si="41"/>
        <v>3617</v>
      </c>
      <c r="E56" s="28">
        <f t="shared" si="41"/>
        <v>376</v>
      </c>
      <c r="F56" s="28">
        <f t="shared" si="41"/>
        <v>291</v>
      </c>
      <c r="G56" s="28">
        <f t="shared" si="41"/>
        <v>85</v>
      </c>
      <c r="H56" s="28">
        <f t="shared" si="41"/>
        <v>0</v>
      </c>
      <c r="I56" s="28">
        <f t="shared" si="41"/>
        <v>0</v>
      </c>
    </row>
    <row r="57" spans="1:9" s="21" customFormat="1" ht="11.25" customHeight="1" x14ac:dyDescent="0.2">
      <c r="A57" s="30"/>
      <c r="B57" s="27"/>
      <c r="C57" s="44"/>
      <c r="D57" s="44"/>
      <c r="E57" s="44"/>
      <c r="F57" s="44"/>
      <c r="G57" s="44"/>
      <c r="H57" s="44"/>
      <c r="I57" s="44"/>
    </row>
    <row r="58" spans="1:9" s="21" customFormat="1" ht="11.25" customHeight="1" x14ac:dyDescent="0.2">
      <c r="A58" s="263" t="s">
        <v>52</v>
      </c>
      <c r="B58" s="263"/>
      <c r="C58" s="20">
        <f t="shared" ref="C58:I58" si="42">SUM(C59:C82)</f>
        <v>48188</v>
      </c>
      <c r="D58" s="20">
        <f t="shared" si="42"/>
        <v>37971</v>
      </c>
      <c r="E58" s="20">
        <f t="shared" si="42"/>
        <v>10217</v>
      </c>
      <c r="F58" s="20">
        <f t="shared" si="42"/>
        <v>7237</v>
      </c>
      <c r="G58" s="20">
        <f t="shared" si="42"/>
        <v>2767</v>
      </c>
      <c r="H58" s="20">
        <f t="shared" si="42"/>
        <v>18</v>
      </c>
      <c r="I58" s="20">
        <f t="shared" si="42"/>
        <v>195</v>
      </c>
    </row>
    <row r="59" spans="1:9" s="21" customFormat="1" ht="11.25" customHeight="1" x14ac:dyDescent="0.2">
      <c r="A59" s="264" t="s">
        <v>242</v>
      </c>
      <c r="B59" s="264"/>
      <c r="C59" s="22">
        <v>1126</v>
      </c>
      <c r="D59" s="22">
        <v>983</v>
      </c>
      <c r="E59" s="22">
        <v>143</v>
      </c>
      <c r="F59" s="22">
        <v>100</v>
      </c>
      <c r="G59" s="22">
        <v>42</v>
      </c>
      <c r="H59" s="22">
        <v>1</v>
      </c>
      <c r="I59" s="22">
        <v>0</v>
      </c>
    </row>
    <row r="60" spans="1:9" s="21" customFormat="1" ht="11.25" customHeight="1" x14ac:dyDescent="0.2">
      <c r="A60" s="264" t="s">
        <v>53</v>
      </c>
      <c r="B60" s="264"/>
      <c r="C60" s="22">
        <v>3449</v>
      </c>
      <c r="D60" s="22">
        <v>2764</v>
      </c>
      <c r="E60" s="22">
        <v>685</v>
      </c>
      <c r="F60" s="22">
        <v>502</v>
      </c>
      <c r="G60" s="22">
        <v>172</v>
      </c>
      <c r="H60" s="22">
        <v>0</v>
      </c>
      <c r="I60" s="22">
        <v>11</v>
      </c>
    </row>
    <row r="61" spans="1:9" s="21" customFormat="1" ht="11.25" customHeight="1" x14ac:dyDescent="0.2">
      <c r="A61" s="264" t="s">
        <v>54</v>
      </c>
      <c r="B61" s="264"/>
      <c r="C61" s="22">
        <v>639</v>
      </c>
      <c r="D61" s="22">
        <v>578</v>
      </c>
      <c r="E61" s="22">
        <v>61</v>
      </c>
      <c r="F61" s="22">
        <v>44</v>
      </c>
      <c r="G61" s="22">
        <v>17</v>
      </c>
      <c r="H61" s="22">
        <v>0</v>
      </c>
      <c r="I61" s="22">
        <v>0</v>
      </c>
    </row>
    <row r="62" spans="1:9" s="21" customFormat="1" ht="11.25" customHeight="1" x14ac:dyDescent="0.2">
      <c r="A62" s="264" t="s">
        <v>243</v>
      </c>
      <c r="B62" s="264"/>
      <c r="C62" s="22">
        <v>184</v>
      </c>
      <c r="D62" s="22">
        <v>170</v>
      </c>
      <c r="E62" s="22">
        <v>14</v>
      </c>
      <c r="F62" s="22">
        <v>11</v>
      </c>
      <c r="G62" s="22">
        <v>3</v>
      </c>
      <c r="H62" s="22">
        <v>0</v>
      </c>
      <c r="I62" s="22">
        <v>0</v>
      </c>
    </row>
    <row r="63" spans="1:9" s="21" customFormat="1" ht="11.25" customHeight="1" x14ac:dyDescent="0.2">
      <c r="A63" s="264" t="s">
        <v>244</v>
      </c>
      <c r="B63" s="264"/>
      <c r="C63" s="22">
        <v>199</v>
      </c>
      <c r="D63" s="22">
        <v>179</v>
      </c>
      <c r="E63" s="22">
        <v>20</v>
      </c>
      <c r="F63" s="22">
        <v>14</v>
      </c>
      <c r="G63" s="22">
        <v>6</v>
      </c>
      <c r="H63" s="22">
        <v>0</v>
      </c>
      <c r="I63" s="22">
        <v>0</v>
      </c>
    </row>
    <row r="64" spans="1:9" s="21" customFormat="1" ht="11.25" customHeight="1" x14ac:dyDescent="0.2">
      <c r="A64" s="316" t="s">
        <v>245</v>
      </c>
      <c r="B64" s="316"/>
      <c r="C64" s="22">
        <v>325</v>
      </c>
      <c r="D64" s="22">
        <v>303</v>
      </c>
      <c r="E64" s="22">
        <v>22</v>
      </c>
      <c r="F64" s="22">
        <v>17</v>
      </c>
      <c r="G64" s="22">
        <v>5</v>
      </c>
      <c r="H64" s="22">
        <v>0</v>
      </c>
      <c r="I64" s="22">
        <v>0</v>
      </c>
    </row>
    <row r="65" spans="1:9" s="21" customFormat="1" ht="11.25" customHeight="1" x14ac:dyDescent="0.2">
      <c r="A65" s="264" t="s">
        <v>246</v>
      </c>
      <c r="B65" s="264"/>
      <c r="C65" s="22">
        <v>768</v>
      </c>
      <c r="D65" s="22">
        <v>601</v>
      </c>
      <c r="E65" s="22">
        <v>167</v>
      </c>
      <c r="F65" s="22">
        <v>114</v>
      </c>
      <c r="G65" s="22">
        <v>53</v>
      </c>
      <c r="H65" s="22">
        <v>0</v>
      </c>
      <c r="I65" s="22">
        <v>0</v>
      </c>
    </row>
    <row r="66" spans="1:9" s="21" customFormat="1" ht="11.25" customHeight="1" x14ac:dyDescent="0.2">
      <c r="A66" s="264" t="s">
        <v>56</v>
      </c>
      <c r="B66" s="264"/>
      <c r="C66" s="22">
        <v>2087</v>
      </c>
      <c r="D66" s="22">
        <v>1870</v>
      </c>
      <c r="E66" s="22">
        <v>217</v>
      </c>
      <c r="F66" s="22">
        <v>168</v>
      </c>
      <c r="G66" s="22">
        <v>49</v>
      </c>
      <c r="H66" s="22">
        <v>0</v>
      </c>
      <c r="I66" s="22">
        <v>0</v>
      </c>
    </row>
    <row r="67" spans="1:9" s="21" customFormat="1" ht="11.25" customHeight="1" x14ac:dyDescent="0.2">
      <c r="A67" s="264" t="s">
        <v>57</v>
      </c>
      <c r="B67" s="264"/>
      <c r="C67" s="22">
        <v>7792</v>
      </c>
      <c r="D67" s="22">
        <v>5044</v>
      </c>
      <c r="E67" s="22">
        <v>2748</v>
      </c>
      <c r="F67" s="22">
        <v>1966</v>
      </c>
      <c r="G67" s="22">
        <v>647</v>
      </c>
      <c r="H67" s="22">
        <v>1</v>
      </c>
      <c r="I67" s="22">
        <v>134</v>
      </c>
    </row>
    <row r="68" spans="1:9" s="21" customFormat="1" ht="11.25" customHeight="1" x14ac:dyDescent="0.2">
      <c r="A68" s="264" t="s">
        <v>58</v>
      </c>
      <c r="B68" s="264"/>
      <c r="C68" s="22">
        <v>2616</v>
      </c>
      <c r="D68" s="22">
        <v>2148</v>
      </c>
      <c r="E68" s="22">
        <v>468</v>
      </c>
      <c r="F68" s="22">
        <v>324</v>
      </c>
      <c r="G68" s="22">
        <v>141</v>
      </c>
      <c r="H68" s="22">
        <v>1</v>
      </c>
      <c r="I68" s="22">
        <v>2</v>
      </c>
    </row>
    <row r="69" spans="1:9" s="21" customFormat="1" ht="11.25" customHeight="1" x14ac:dyDescent="0.2">
      <c r="A69" s="264" t="s">
        <v>247</v>
      </c>
      <c r="B69" s="264"/>
      <c r="C69" s="22">
        <v>920</v>
      </c>
      <c r="D69" s="22">
        <v>778</v>
      </c>
      <c r="E69" s="22">
        <v>142</v>
      </c>
      <c r="F69" s="22">
        <v>104</v>
      </c>
      <c r="G69" s="22">
        <v>37</v>
      </c>
      <c r="H69" s="22">
        <v>1</v>
      </c>
      <c r="I69" s="22">
        <v>0</v>
      </c>
    </row>
    <row r="70" spans="1:9" s="21" customFormat="1" ht="11.25" customHeight="1" x14ac:dyDescent="0.2">
      <c r="A70" s="264" t="s">
        <v>59</v>
      </c>
      <c r="B70" s="264"/>
      <c r="C70" s="22">
        <v>1620</v>
      </c>
      <c r="D70" s="22">
        <v>1398</v>
      </c>
      <c r="E70" s="22">
        <v>222</v>
      </c>
      <c r="F70" s="22">
        <v>164</v>
      </c>
      <c r="G70" s="22">
        <v>57</v>
      </c>
      <c r="H70" s="22">
        <v>1</v>
      </c>
      <c r="I70" s="22">
        <v>0</v>
      </c>
    </row>
    <row r="71" spans="1:9" s="21" customFormat="1" ht="11.25" customHeight="1" x14ac:dyDescent="0.2">
      <c r="A71" s="264" t="s">
        <v>60</v>
      </c>
      <c r="B71" s="264"/>
      <c r="C71" s="22">
        <v>6788</v>
      </c>
      <c r="D71" s="22">
        <v>5201</v>
      </c>
      <c r="E71" s="22">
        <v>1587</v>
      </c>
      <c r="F71" s="22">
        <v>937</v>
      </c>
      <c r="G71" s="22">
        <v>646</v>
      </c>
      <c r="H71" s="22">
        <v>4</v>
      </c>
      <c r="I71" s="22">
        <v>0</v>
      </c>
    </row>
    <row r="72" spans="1:9" s="21" customFormat="1" ht="11.25" customHeight="1" x14ac:dyDescent="0.2">
      <c r="A72" s="264" t="s">
        <v>61</v>
      </c>
      <c r="B72" s="264"/>
      <c r="C72" s="22">
        <v>330</v>
      </c>
      <c r="D72" s="22">
        <v>310</v>
      </c>
      <c r="E72" s="22">
        <v>20</v>
      </c>
      <c r="F72" s="22">
        <v>14</v>
      </c>
      <c r="G72" s="22">
        <v>6</v>
      </c>
      <c r="H72" s="22">
        <v>0</v>
      </c>
      <c r="I72" s="22">
        <v>0</v>
      </c>
    </row>
    <row r="73" spans="1:9" s="21" customFormat="1" ht="11.25" customHeight="1" x14ac:dyDescent="0.2">
      <c r="A73" s="264" t="s">
        <v>62</v>
      </c>
      <c r="B73" s="264"/>
      <c r="C73" s="22">
        <v>4329</v>
      </c>
      <c r="D73" s="22">
        <v>3410</v>
      </c>
      <c r="E73" s="22">
        <v>919</v>
      </c>
      <c r="F73" s="22">
        <v>662</v>
      </c>
      <c r="G73" s="22">
        <v>240</v>
      </c>
      <c r="H73" s="22">
        <v>2</v>
      </c>
      <c r="I73" s="22">
        <v>15</v>
      </c>
    </row>
    <row r="74" spans="1:9" s="21" customFormat="1" ht="11.25" customHeight="1" x14ac:dyDescent="0.2">
      <c r="A74" s="264" t="s">
        <v>248</v>
      </c>
      <c r="B74" s="264"/>
      <c r="C74" s="22">
        <v>690</v>
      </c>
      <c r="D74" s="22">
        <v>625</v>
      </c>
      <c r="E74" s="22">
        <v>65</v>
      </c>
      <c r="F74" s="22">
        <v>52</v>
      </c>
      <c r="G74" s="22">
        <v>13</v>
      </c>
      <c r="H74" s="22">
        <v>0</v>
      </c>
      <c r="I74" s="22">
        <v>0</v>
      </c>
    </row>
    <row r="75" spans="1:9" s="21" customFormat="1" ht="11.25" customHeight="1" x14ac:dyDescent="0.2">
      <c r="A75" s="264" t="s">
        <v>249</v>
      </c>
      <c r="B75" s="264"/>
      <c r="C75" s="22">
        <v>214</v>
      </c>
      <c r="D75" s="22">
        <v>204</v>
      </c>
      <c r="E75" s="22">
        <v>10</v>
      </c>
      <c r="F75" s="22">
        <v>7</v>
      </c>
      <c r="G75" s="22">
        <v>3</v>
      </c>
      <c r="H75" s="22">
        <v>0</v>
      </c>
      <c r="I75" s="22">
        <v>0</v>
      </c>
    </row>
    <row r="76" spans="1:9" s="21" customFormat="1" ht="11.25" customHeight="1" x14ac:dyDescent="0.2">
      <c r="A76" s="264" t="s">
        <v>63</v>
      </c>
      <c r="B76" s="264"/>
      <c r="C76" s="22">
        <v>2423</v>
      </c>
      <c r="D76" s="22">
        <v>2039</v>
      </c>
      <c r="E76" s="22">
        <v>384</v>
      </c>
      <c r="F76" s="22">
        <v>314</v>
      </c>
      <c r="G76" s="22">
        <v>66</v>
      </c>
      <c r="H76" s="22">
        <v>1</v>
      </c>
      <c r="I76" s="22">
        <v>3</v>
      </c>
    </row>
    <row r="77" spans="1:9" s="21" customFormat="1" ht="11.25" customHeight="1" x14ac:dyDescent="0.2">
      <c r="A77" s="264" t="s">
        <v>250</v>
      </c>
      <c r="B77" s="264"/>
      <c r="C77" s="22">
        <v>1453</v>
      </c>
      <c r="D77" s="22">
        <v>1218</v>
      </c>
      <c r="E77" s="22">
        <v>235</v>
      </c>
      <c r="F77" s="22">
        <v>178</v>
      </c>
      <c r="G77" s="22">
        <v>56</v>
      </c>
      <c r="H77" s="22">
        <v>1</v>
      </c>
      <c r="I77" s="22">
        <v>0</v>
      </c>
    </row>
    <row r="78" spans="1:9" s="21" customFormat="1" ht="11.25" customHeight="1" x14ac:dyDescent="0.2">
      <c r="A78" s="264" t="s">
        <v>64</v>
      </c>
      <c r="B78" s="264"/>
      <c r="C78" s="22">
        <v>2494</v>
      </c>
      <c r="D78" s="22">
        <v>2082</v>
      </c>
      <c r="E78" s="22">
        <v>412</v>
      </c>
      <c r="F78" s="22">
        <v>308</v>
      </c>
      <c r="G78" s="22">
        <v>103</v>
      </c>
      <c r="H78" s="22">
        <v>1</v>
      </c>
      <c r="I78" s="22">
        <v>0</v>
      </c>
    </row>
    <row r="79" spans="1:9" s="21" customFormat="1" ht="11.25" customHeight="1" x14ac:dyDescent="0.2">
      <c r="A79" s="264" t="s">
        <v>251</v>
      </c>
      <c r="B79" s="264"/>
      <c r="C79" s="22">
        <v>294</v>
      </c>
      <c r="D79" s="22">
        <v>266</v>
      </c>
      <c r="E79" s="22">
        <v>28</v>
      </c>
      <c r="F79" s="22">
        <v>22</v>
      </c>
      <c r="G79" s="22">
        <v>6</v>
      </c>
      <c r="H79" s="22">
        <v>0</v>
      </c>
      <c r="I79" s="22">
        <v>0</v>
      </c>
    </row>
    <row r="80" spans="1:9" s="21" customFormat="1" ht="11.25" customHeight="1" x14ac:dyDescent="0.2">
      <c r="A80" s="264" t="s">
        <v>65</v>
      </c>
      <c r="B80" s="264"/>
      <c r="C80" s="22">
        <v>4123</v>
      </c>
      <c r="D80" s="22">
        <v>3154</v>
      </c>
      <c r="E80" s="22">
        <v>969</v>
      </c>
      <c r="F80" s="22">
        <v>731</v>
      </c>
      <c r="G80" s="22">
        <v>231</v>
      </c>
      <c r="H80" s="22">
        <v>3</v>
      </c>
      <c r="I80" s="22">
        <v>4</v>
      </c>
    </row>
    <row r="81" spans="1:9" s="21" customFormat="1" ht="11.25" customHeight="1" x14ac:dyDescent="0.2">
      <c r="A81" s="264" t="s">
        <v>252</v>
      </c>
      <c r="B81" s="264"/>
      <c r="C81" s="22">
        <v>441</v>
      </c>
      <c r="D81" s="22">
        <v>412</v>
      </c>
      <c r="E81" s="22">
        <v>29</v>
      </c>
      <c r="F81" s="22">
        <v>19</v>
      </c>
      <c r="G81" s="22">
        <v>10</v>
      </c>
      <c r="H81" s="22">
        <v>0</v>
      </c>
      <c r="I81" s="22">
        <v>0</v>
      </c>
    </row>
    <row r="82" spans="1:9" s="21" customFormat="1" ht="11.25" customHeight="1" x14ac:dyDescent="0.2">
      <c r="A82" s="267" t="s">
        <v>66</v>
      </c>
      <c r="B82" s="267"/>
      <c r="C82" s="28">
        <v>2884</v>
      </c>
      <c r="D82" s="28">
        <v>2234</v>
      </c>
      <c r="E82" s="28">
        <v>650</v>
      </c>
      <c r="F82" s="28">
        <v>465</v>
      </c>
      <c r="G82" s="28">
        <v>158</v>
      </c>
      <c r="H82" s="28">
        <v>1</v>
      </c>
      <c r="I82" s="28">
        <v>26</v>
      </c>
    </row>
    <row r="83" spans="1:9" s="21" customFormat="1" ht="11.2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</row>
    <row r="84" spans="1:9" s="21" customFormat="1" ht="11.25" customHeight="1" x14ac:dyDescent="0.2">
      <c r="A84" s="263" t="s">
        <v>67</v>
      </c>
      <c r="B84" s="263"/>
      <c r="C84" s="20">
        <f t="shared" ref="C84:I84" si="43">SUM(C85:C154)</f>
        <v>138480</v>
      </c>
      <c r="D84" s="20">
        <f t="shared" si="43"/>
        <v>100310</v>
      </c>
      <c r="E84" s="20">
        <f t="shared" si="43"/>
        <v>38170</v>
      </c>
      <c r="F84" s="20">
        <f t="shared" si="43"/>
        <v>27054</v>
      </c>
      <c r="G84" s="20">
        <f t="shared" si="43"/>
        <v>11002</v>
      </c>
      <c r="H84" s="20">
        <f t="shared" si="43"/>
        <v>76</v>
      </c>
      <c r="I84" s="20">
        <f t="shared" si="43"/>
        <v>38</v>
      </c>
    </row>
    <row r="85" spans="1:9" s="21" customFormat="1" ht="11.25" customHeight="1" x14ac:dyDescent="0.2">
      <c r="A85" s="264" t="s">
        <v>68</v>
      </c>
      <c r="B85" s="264"/>
      <c r="C85" s="22">
        <v>3876</v>
      </c>
      <c r="D85" s="22">
        <v>2729</v>
      </c>
      <c r="E85" s="22">
        <v>1147</v>
      </c>
      <c r="F85" s="22">
        <v>901</v>
      </c>
      <c r="G85" s="22">
        <v>245</v>
      </c>
      <c r="H85" s="22">
        <v>1</v>
      </c>
      <c r="I85" s="22">
        <v>0</v>
      </c>
    </row>
    <row r="86" spans="1:9" s="21" customFormat="1" ht="11.25" customHeight="1" x14ac:dyDescent="0.2">
      <c r="A86" s="264" t="s">
        <v>69</v>
      </c>
      <c r="B86" s="264"/>
      <c r="C86" s="22">
        <v>1275</v>
      </c>
      <c r="D86" s="22">
        <v>1191</v>
      </c>
      <c r="E86" s="22">
        <v>84</v>
      </c>
      <c r="F86" s="22">
        <v>59</v>
      </c>
      <c r="G86" s="22">
        <v>24</v>
      </c>
      <c r="H86" s="22">
        <v>0</v>
      </c>
      <c r="I86" s="22">
        <v>1</v>
      </c>
    </row>
    <row r="87" spans="1:9" s="21" customFormat="1" ht="11.25" customHeight="1" x14ac:dyDescent="0.2">
      <c r="A87" s="264" t="s">
        <v>70</v>
      </c>
      <c r="B87" s="264"/>
      <c r="C87" s="22">
        <v>326</v>
      </c>
      <c r="D87" s="22">
        <v>284</v>
      </c>
      <c r="E87" s="22">
        <v>42</v>
      </c>
      <c r="F87" s="22">
        <v>27</v>
      </c>
      <c r="G87" s="22">
        <v>15</v>
      </c>
      <c r="H87" s="22">
        <v>0</v>
      </c>
      <c r="I87" s="22">
        <v>0</v>
      </c>
    </row>
    <row r="88" spans="1:9" s="21" customFormat="1" ht="11.25" customHeight="1" x14ac:dyDescent="0.2">
      <c r="A88" s="264" t="s">
        <v>71</v>
      </c>
      <c r="B88" s="264"/>
      <c r="C88" s="22">
        <v>985</v>
      </c>
      <c r="D88" s="22">
        <v>869</v>
      </c>
      <c r="E88" s="22">
        <v>116</v>
      </c>
      <c r="F88" s="22">
        <v>68</v>
      </c>
      <c r="G88" s="22">
        <v>48</v>
      </c>
      <c r="H88" s="22">
        <v>0</v>
      </c>
      <c r="I88" s="22">
        <v>0</v>
      </c>
    </row>
    <row r="89" spans="1:9" s="21" customFormat="1" ht="11.25" customHeight="1" x14ac:dyDescent="0.2">
      <c r="A89" s="264" t="s">
        <v>72</v>
      </c>
      <c r="B89" s="264"/>
      <c r="C89" s="22">
        <v>311</v>
      </c>
      <c r="D89" s="22">
        <v>277</v>
      </c>
      <c r="E89" s="22">
        <v>34</v>
      </c>
      <c r="F89" s="22">
        <v>24</v>
      </c>
      <c r="G89" s="22">
        <v>10</v>
      </c>
      <c r="H89" s="22">
        <v>0</v>
      </c>
      <c r="I89" s="22">
        <v>0</v>
      </c>
    </row>
    <row r="90" spans="1:9" s="21" customFormat="1" ht="11.25" customHeight="1" x14ac:dyDescent="0.2">
      <c r="A90" s="264" t="s">
        <v>258</v>
      </c>
      <c r="B90" s="264"/>
      <c r="C90" s="22">
        <v>1826</v>
      </c>
      <c r="D90" s="22">
        <v>1286</v>
      </c>
      <c r="E90" s="22">
        <v>540</v>
      </c>
      <c r="F90" s="22">
        <v>403</v>
      </c>
      <c r="G90" s="22">
        <v>136</v>
      </c>
      <c r="H90" s="22">
        <v>1</v>
      </c>
      <c r="I90" s="22">
        <v>0</v>
      </c>
    </row>
    <row r="91" spans="1:9" s="21" customFormat="1" ht="11.25" customHeight="1" x14ac:dyDescent="0.2">
      <c r="A91" s="264" t="s">
        <v>73</v>
      </c>
      <c r="B91" s="264"/>
      <c r="C91" s="22">
        <v>1370</v>
      </c>
      <c r="D91" s="22">
        <v>1112</v>
      </c>
      <c r="E91" s="22">
        <v>258</v>
      </c>
      <c r="F91" s="22">
        <v>199</v>
      </c>
      <c r="G91" s="22">
        <v>58</v>
      </c>
      <c r="H91" s="22">
        <v>1</v>
      </c>
      <c r="I91" s="22">
        <v>0</v>
      </c>
    </row>
    <row r="92" spans="1:9" s="21" customFormat="1" ht="11.25" customHeight="1" x14ac:dyDescent="0.2">
      <c r="A92" s="264" t="s">
        <v>74</v>
      </c>
      <c r="B92" s="264"/>
      <c r="C92" s="22">
        <v>625</v>
      </c>
      <c r="D92" s="22">
        <v>565</v>
      </c>
      <c r="E92" s="22">
        <v>60</v>
      </c>
      <c r="F92" s="22">
        <v>46</v>
      </c>
      <c r="G92" s="22">
        <v>14</v>
      </c>
      <c r="H92" s="22">
        <v>0</v>
      </c>
      <c r="I92" s="22">
        <v>0</v>
      </c>
    </row>
    <row r="93" spans="1:9" s="21" customFormat="1" ht="11.25" customHeight="1" x14ac:dyDescent="0.2">
      <c r="A93" s="264" t="s">
        <v>259</v>
      </c>
      <c r="B93" s="264"/>
      <c r="C93" s="22">
        <v>324</v>
      </c>
      <c r="D93" s="22">
        <v>309</v>
      </c>
      <c r="E93" s="22">
        <v>15</v>
      </c>
      <c r="F93" s="22">
        <v>11</v>
      </c>
      <c r="G93" s="22">
        <v>4</v>
      </c>
      <c r="H93" s="22">
        <v>0</v>
      </c>
      <c r="I93" s="22">
        <v>0</v>
      </c>
    </row>
    <row r="94" spans="1:9" s="21" customFormat="1" ht="11.25" customHeight="1" x14ac:dyDescent="0.2">
      <c r="A94" s="264" t="s">
        <v>75</v>
      </c>
      <c r="B94" s="264"/>
      <c r="C94" s="22">
        <v>2317</v>
      </c>
      <c r="D94" s="22">
        <v>1880</v>
      </c>
      <c r="E94" s="22">
        <v>437</v>
      </c>
      <c r="F94" s="22">
        <v>339</v>
      </c>
      <c r="G94" s="22">
        <v>98</v>
      </c>
      <c r="H94" s="22">
        <v>0</v>
      </c>
      <c r="I94" s="22">
        <v>0</v>
      </c>
    </row>
    <row r="95" spans="1:9" s="21" customFormat="1" ht="11.25" customHeight="1" x14ac:dyDescent="0.2">
      <c r="A95" s="264" t="s">
        <v>76</v>
      </c>
      <c r="B95" s="264"/>
      <c r="C95" s="22">
        <v>617</v>
      </c>
      <c r="D95" s="22">
        <v>504</v>
      </c>
      <c r="E95" s="22">
        <v>113</v>
      </c>
      <c r="F95" s="22">
        <v>96</v>
      </c>
      <c r="G95" s="22">
        <v>17</v>
      </c>
      <c r="H95" s="22">
        <v>0</v>
      </c>
      <c r="I95" s="22">
        <v>0</v>
      </c>
    </row>
    <row r="96" spans="1:9" s="21" customFormat="1" ht="11.25" customHeight="1" x14ac:dyDescent="0.2">
      <c r="A96" s="264" t="s">
        <v>77</v>
      </c>
      <c r="B96" s="264"/>
      <c r="C96" s="22">
        <v>811</v>
      </c>
      <c r="D96" s="22">
        <v>533</v>
      </c>
      <c r="E96" s="22">
        <v>278</v>
      </c>
      <c r="F96" s="22">
        <v>186</v>
      </c>
      <c r="G96" s="22">
        <v>89</v>
      </c>
      <c r="H96" s="22">
        <v>2</v>
      </c>
      <c r="I96" s="22">
        <v>1</v>
      </c>
    </row>
    <row r="97" spans="1:9" s="21" customFormat="1" ht="11.25" customHeight="1" x14ac:dyDescent="0.2">
      <c r="A97" s="264" t="s">
        <v>78</v>
      </c>
      <c r="B97" s="264"/>
      <c r="C97" s="22">
        <v>129</v>
      </c>
      <c r="D97" s="22">
        <v>105</v>
      </c>
      <c r="E97" s="22">
        <v>24</v>
      </c>
      <c r="F97" s="22">
        <v>11</v>
      </c>
      <c r="G97" s="22">
        <v>13</v>
      </c>
      <c r="H97" s="22">
        <v>0</v>
      </c>
      <c r="I97" s="22">
        <v>0</v>
      </c>
    </row>
    <row r="98" spans="1:9" s="21" customFormat="1" ht="11.25" customHeight="1" x14ac:dyDescent="0.2">
      <c r="A98" s="264" t="s">
        <v>79</v>
      </c>
      <c r="B98" s="264"/>
      <c r="C98" s="22">
        <v>456</v>
      </c>
      <c r="D98" s="22">
        <v>406</v>
      </c>
      <c r="E98" s="22">
        <v>50</v>
      </c>
      <c r="F98" s="22">
        <v>34</v>
      </c>
      <c r="G98" s="22">
        <v>16</v>
      </c>
      <c r="H98" s="22">
        <v>0</v>
      </c>
      <c r="I98" s="22">
        <v>0</v>
      </c>
    </row>
    <row r="99" spans="1:9" s="21" customFormat="1" ht="11.25" customHeight="1" x14ac:dyDescent="0.2">
      <c r="A99" s="264" t="s">
        <v>80</v>
      </c>
      <c r="B99" s="264"/>
      <c r="C99" s="22">
        <v>694</v>
      </c>
      <c r="D99" s="22">
        <v>580</v>
      </c>
      <c r="E99" s="22">
        <v>114</v>
      </c>
      <c r="F99" s="22">
        <v>81</v>
      </c>
      <c r="G99" s="22">
        <v>33</v>
      </c>
      <c r="H99" s="22">
        <v>0</v>
      </c>
      <c r="I99" s="22">
        <v>0</v>
      </c>
    </row>
    <row r="100" spans="1:9" s="21" customFormat="1" ht="11.25" customHeight="1" x14ac:dyDescent="0.2">
      <c r="A100" s="264" t="s">
        <v>81</v>
      </c>
      <c r="B100" s="264"/>
      <c r="C100" s="22">
        <v>1383</v>
      </c>
      <c r="D100" s="22">
        <v>1004</v>
      </c>
      <c r="E100" s="22">
        <v>379</v>
      </c>
      <c r="F100" s="22">
        <v>323</v>
      </c>
      <c r="G100" s="22">
        <v>55</v>
      </c>
      <c r="H100" s="22">
        <v>1</v>
      </c>
      <c r="I100" s="22">
        <v>0</v>
      </c>
    </row>
    <row r="101" spans="1:9" s="21" customFormat="1" ht="11.25" customHeight="1" x14ac:dyDescent="0.2">
      <c r="A101" s="264" t="s">
        <v>82</v>
      </c>
      <c r="B101" s="264"/>
      <c r="C101" s="22">
        <v>1907</v>
      </c>
      <c r="D101" s="22">
        <v>1659</v>
      </c>
      <c r="E101" s="22">
        <v>248</v>
      </c>
      <c r="F101" s="22">
        <v>189</v>
      </c>
      <c r="G101" s="22">
        <v>58</v>
      </c>
      <c r="H101" s="22">
        <v>1</v>
      </c>
      <c r="I101" s="22">
        <v>0</v>
      </c>
    </row>
    <row r="102" spans="1:9" s="21" customFormat="1" ht="11.25" customHeight="1" x14ac:dyDescent="0.2">
      <c r="A102" s="264" t="s">
        <v>83</v>
      </c>
      <c r="B102" s="264"/>
      <c r="C102" s="22">
        <v>740</v>
      </c>
      <c r="D102" s="22">
        <v>681</v>
      </c>
      <c r="E102" s="22">
        <v>59</v>
      </c>
      <c r="F102" s="22">
        <v>51</v>
      </c>
      <c r="G102" s="22">
        <v>8</v>
      </c>
      <c r="H102" s="22">
        <v>0</v>
      </c>
      <c r="I102" s="22">
        <v>0</v>
      </c>
    </row>
    <row r="103" spans="1:9" s="21" customFormat="1" ht="11.25" customHeight="1" x14ac:dyDescent="0.2">
      <c r="A103" s="264" t="s">
        <v>84</v>
      </c>
      <c r="B103" s="264"/>
      <c r="C103" s="22">
        <v>1848</v>
      </c>
      <c r="D103" s="22">
        <v>1518</v>
      </c>
      <c r="E103" s="22">
        <v>330</v>
      </c>
      <c r="F103" s="22">
        <v>234</v>
      </c>
      <c r="G103" s="22">
        <v>96</v>
      </c>
      <c r="H103" s="22">
        <v>0</v>
      </c>
      <c r="I103" s="22">
        <v>0</v>
      </c>
    </row>
    <row r="104" spans="1:9" s="21" customFormat="1" ht="11.25" customHeight="1" x14ac:dyDescent="0.2">
      <c r="A104" s="264" t="s">
        <v>85</v>
      </c>
      <c r="B104" s="264"/>
      <c r="C104" s="22">
        <v>4683</v>
      </c>
      <c r="D104" s="22">
        <v>4241</v>
      </c>
      <c r="E104" s="22">
        <v>442</v>
      </c>
      <c r="F104" s="22">
        <v>321</v>
      </c>
      <c r="G104" s="22">
        <v>117</v>
      </c>
      <c r="H104" s="22">
        <v>4</v>
      </c>
      <c r="I104" s="22">
        <v>0</v>
      </c>
    </row>
    <row r="105" spans="1:9" s="21" customFormat="1" ht="11.25" customHeight="1" x14ac:dyDescent="0.2">
      <c r="A105" s="264" t="s">
        <v>260</v>
      </c>
      <c r="B105" s="264"/>
      <c r="C105" s="22">
        <v>567</v>
      </c>
      <c r="D105" s="22">
        <v>492</v>
      </c>
      <c r="E105" s="22">
        <v>75</v>
      </c>
      <c r="F105" s="22">
        <v>55</v>
      </c>
      <c r="G105" s="22">
        <v>20</v>
      </c>
      <c r="H105" s="22">
        <v>0</v>
      </c>
      <c r="I105" s="22">
        <v>0</v>
      </c>
    </row>
    <row r="106" spans="1:9" s="21" customFormat="1" ht="11.25" customHeight="1" x14ac:dyDescent="0.2">
      <c r="A106" s="264" t="s">
        <v>86</v>
      </c>
      <c r="B106" s="264"/>
      <c r="C106" s="22">
        <v>120</v>
      </c>
      <c r="D106" s="22">
        <v>103</v>
      </c>
      <c r="E106" s="22">
        <v>17</v>
      </c>
      <c r="F106" s="22">
        <v>13</v>
      </c>
      <c r="G106" s="22">
        <v>4</v>
      </c>
      <c r="H106" s="22">
        <v>0</v>
      </c>
      <c r="I106" s="22">
        <v>0</v>
      </c>
    </row>
    <row r="107" spans="1:9" s="21" customFormat="1" ht="11.25" customHeight="1" x14ac:dyDescent="0.2">
      <c r="A107" s="264" t="s">
        <v>87</v>
      </c>
      <c r="B107" s="264"/>
      <c r="C107" s="22">
        <v>771</v>
      </c>
      <c r="D107" s="22">
        <v>616</v>
      </c>
      <c r="E107" s="22">
        <v>155</v>
      </c>
      <c r="F107" s="22">
        <v>93</v>
      </c>
      <c r="G107" s="22">
        <v>62</v>
      </c>
      <c r="H107" s="22">
        <v>0</v>
      </c>
      <c r="I107" s="22">
        <v>0</v>
      </c>
    </row>
    <row r="108" spans="1:9" s="21" customFormat="1" ht="11.25" customHeight="1" x14ac:dyDescent="0.2">
      <c r="A108" s="264" t="s">
        <v>88</v>
      </c>
      <c r="B108" s="264"/>
      <c r="C108" s="22">
        <v>3852</v>
      </c>
      <c r="D108" s="22">
        <v>2850</v>
      </c>
      <c r="E108" s="22">
        <v>1002</v>
      </c>
      <c r="F108" s="22">
        <v>784</v>
      </c>
      <c r="G108" s="22">
        <v>215</v>
      </c>
      <c r="H108" s="22">
        <v>2</v>
      </c>
      <c r="I108" s="22">
        <v>1</v>
      </c>
    </row>
    <row r="109" spans="1:9" s="21" customFormat="1" ht="11.25" customHeight="1" x14ac:dyDescent="0.2">
      <c r="A109" s="264" t="s">
        <v>89</v>
      </c>
      <c r="B109" s="264"/>
      <c r="C109" s="22">
        <v>57</v>
      </c>
      <c r="D109" s="22">
        <v>51</v>
      </c>
      <c r="E109" s="22">
        <v>6</v>
      </c>
      <c r="F109" s="22">
        <v>6</v>
      </c>
      <c r="G109" s="22">
        <v>0</v>
      </c>
      <c r="H109" s="22">
        <v>0</v>
      </c>
      <c r="I109" s="22">
        <v>0</v>
      </c>
    </row>
    <row r="110" spans="1:9" s="21" customFormat="1" ht="11.25" customHeight="1" x14ac:dyDescent="0.2">
      <c r="A110" s="264" t="s">
        <v>90</v>
      </c>
      <c r="B110" s="264"/>
      <c r="C110" s="22">
        <v>115</v>
      </c>
      <c r="D110" s="22">
        <v>109</v>
      </c>
      <c r="E110" s="22">
        <v>6</v>
      </c>
      <c r="F110" s="22">
        <v>4</v>
      </c>
      <c r="G110" s="22">
        <v>2</v>
      </c>
      <c r="H110" s="22">
        <v>0</v>
      </c>
      <c r="I110" s="22">
        <v>0</v>
      </c>
    </row>
    <row r="111" spans="1:9" s="21" customFormat="1" ht="11.25" customHeight="1" x14ac:dyDescent="0.2">
      <c r="A111" s="264" t="s">
        <v>91</v>
      </c>
      <c r="B111" s="264"/>
      <c r="C111" s="22">
        <v>4406</v>
      </c>
      <c r="D111" s="22">
        <v>3166</v>
      </c>
      <c r="E111" s="22">
        <v>1240</v>
      </c>
      <c r="F111" s="22">
        <v>580</v>
      </c>
      <c r="G111" s="22">
        <v>657</v>
      </c>
      <c r="H111" s="22">
        <v>2</v>
      </c>
      <c r="I111" s="22">
        <v>1</v>
      </c>
    </row>
    <row r="112" spans="1:9" s="21" customFormat="1" ht="11.25" customHeight="1" x14ac:dyDescent="0.2">
      <c r="A112" s="264" t="s">
        <v>92</v>
      </c>
      <c r="B112" s="264"/>
      <c r="C112" s="22">
        <v>1785</v>
      </c>
      <c r="D112" s="22">
        <v>1607</v>
      </c>
      <c r="E112" s="22">
        <v>178</v>
      </c>
      <c r="F112" s="22">
        <v>136</v>
      </c>
      <c r="G112" s="22">
        <v>42</v>
      </c>
      <c r="H112" s="22">
        <v>0</v>
      </c>
      <c r="I112" s="22">
        <v>0</v>
      </c>
    </row>
    <row r="113" spans="1:9" s="21" customFormat="1" ht="11.25" customHeight="1" x14ac:dyDescent="0.2">
      <c r="A113" s="264" t="s">
        <v>261</v>
      </c>
      <c r="B113" s="264"/>
      <c r="C113" s="22">
        <v>136</v>
      </c>
      <c r="D113" s="22">
        <v>128</v>
      </c>
      <c r="E113" s="22">
        <v>8</v>
      </c>
      <c r="F113" s="22">
        <v>8</v>
      </c>
      <c r="G113" s="22">
        <v>0</v>
      </c>
      <c r="H113" s="22">
        <v>0</v>
      </c>
      <c r="I113" s="22">
        <v>0</v>
      </c>
    </row>
    <row r="114" spans="1:9" s="21" customFormat="1" ht="11.25" customHeight="1" x14ac:dyDescent="0.2">
      <c r="A114" s="264" t="s">
        <v>93</v>
      </c>
      <c r="B114" s="264"/>
      <c r="C114" s="22">
        <v>851</v>
      </c>
      <c r="D114" s="22">
        <v>715</v>
      </c>
      <c r="E114" s="22">
        <v>136</v>
      </c>
      <c r="F114" s="22">
        <v>99</v>
      </c>
      <c r="G114" s="22">
        <v>37</v>
      </c>
      <c r="H114" s="22">
        <v>0</v>
      </c>
      <c r="I114" s="22">
        <v>0</v>
      </c>
    </row>
    <row r="115" spans="1:9" s="21" customFormat="1" ht="11.25" customHeight="1" x14ac:dyDescent="0.2">
      <c r="A115" s="264" t="s">
        <v>94</v>
      </c>
      <c r="B115" s="264"/>
      <c r="C115" s="22">
        <v>1266</v>
      </c>
      <c r="D115" s="22">
        <v>1081</v>
      </c>
      <c r="E115" s="22">
        <v>185</v>
      </c>
      <c r="F115" s="22">
        <v>146</v>
      </c>
      <c r="G115" s="22">
        <v>39</v>
      </c>
      <c r="H115" s="22">
        <v>0</v>
      </c>
      <c r="I115" s="22">
        <v>0</v>
      </c>
    </row>
    <row r="116" spans="1:9" s="21" customFormat="1" ht="11.25" customHeight="1" x14ac:dyDescent="0.2">
      <c r="A116" s="264" t="s">
        <v>95</v>
      </c>
      <c r="B116" s="264"/>
      <c r="C116" s="22">
        <v>548</v>
      </c>
      <c r="D116" s="22">
        <v>472</v>
      </c>
      <c r="E116" s="22">
        <v>76</v>
      </c>
      <c r="F116" s="22">
        <v>62</v>
      </c>
      <c r="G116" s="22">
        <v>14</v>
      </c>
      <c r="H116" s="22">
        <v>0</v>
      </c>
      <c r="I116" s="22">
        <v>0</v>
      </c>
    </row>
    <row r="117" spans="1:9" s="21" customFormat="1" ht="11.25" customHeight="1" x14ac:dyDescent="0.2">
      <c r="A117" s="264" t="s">
        <v>96</v>
      </c>
      <c r="B117" s="264"/>
      <c r="C117" s="22">
        <v>445</v>
      </c>
      <c r="D117" s="22">
        <v>289</v>
      </c>
      <c r="E117" s="22">
        <v>156</v>
      </c>
      <c r="F117" s="22">
        <v>133</v>
      </c>
      <c r="G117" s="22">
        <v>23</v>
      </c>
      <c r="H117" s="22">
        <v>0</v>
      </c>
      <c r="I117" s="22">
        <v>0</v>
      </c>
    </row>
    <row r="118" spans="1:9" s="21" customFormat="1" ht="11.25" customHeight="1" x14ac:dyDescent="0.2">
      <c r="A118" s="264" t="s">
        <v>97</v>
      </c>
      <c r="B118" s="264"/>
      <c r="C118" s="22">
        <v>1151</v>
      </c>
      <c r="D118" s="22">
        <v>962</v>
      </c>
      <c r="E118" s="22">
        <v>189</v>
      </c>
      <c r="F118" s="22">
        <v>159</v>
      </c>
      <c r="G118" s="22">
        <v>30</v>
      </c>
      <c r="H118" s="22">
        <v>0</v>
      </c>
      <c r="I118" s="22">
        <v>0</v>
      </c>
    </row>
    <row r="119" spans="1:9" s="21" customFormat="1" ht="11.25" customHeight="1" x14ac:dyDescent="0.2">
      <c r="A119" s="264" t="s">
        <v>262</v>
      </c>
      <c r="B119" s="264"/>
      <c r="C119" s="22">
        <v>73</v>
      </c>
      <c r="D119" s="22">
        <v>66</v>
      </c>
      <c r="E119" s="22">
        <v>7</v>
      </c>
      <c r="F119" s="22">
        <v>6</v>
      </c>
      <c r="G119" s="22">
        <v>1</v>
      </c>
      <c r="H119" s="22">
        <v>0</v>
      </c>
      <c r="I119" s="22">
        <v>0</v>
      </c>
    </row>
    <row r="120" spans="1:9" s="21" customFormat="1" ht="11.25" customHeight="1" x14ac:dyDescent="0.2">
      <c r="A120" s="264" t="s">
        <v>98</v>
      </c>
      <c r="B120" s="264"/>
      <c r="C120" s="22">
        <v>1624</v>
      </c>
      <c r="D120" s="22">
        <v>990</v>
      </c>
      <c r="E120" s="22">
        <v>634</v>
      </c>
      <c r="F120" s="22">
        <v>554</v>
      </c>
      <c r="G120" s="22">
        <v>80</v>
      </c>
      <c r="H120" s="22">
        <v>0</v>
      </c>
      <c r="I120" s="22">
        <v>0</v>
      </c>
    </row>
    <row r="121" spans="1:9" s="21" customFormat="1" ht="11.25" customHeight="1" x14ac:dyDescent="0.2">
      <c r="A121" s="264" t="s">
        <v>263</v>
      </c>
      <c r="B121" s="264"/>
      <c r="C121" s="22">
        <v>887</v>
      </c>
      <c r="D121" s="22">
        <v>784</v>
      </c>
      <c r="E121" s="22">
        <v>103</v>
      </c>
      <c r="F121" s="22">
        <v>92</v>
      </c>
      <c r="G121" s="22">
        <v>11</v>
      </c>
      <c r="H121" s="22">
        <v>0</v>
      </c>
      <c r="I121" s="22">
        <v>0</v>
      </c>
    </row>
    <row r="122" spans="1:9" s="21" customFormat="1" ht="11.25" customHeight="1" x14ac:dyDescent="0.2">
      <c r="A122" s="264" t="s">
        <v>99</v>
      </c>
      <c r="B122" s="264"/>
      <c r="C122" s="22">
        <v>50603</v>
      </c>
      <c r="D122" s="22">
        <v>32248</v>
      </c>
      <c r="E122" s="22">
        <v>18355</v>
      </c>
      <c r="F122" s="22">
        <v>12602</v>
      </c>
      <c r="G122" s="22">
        <v>5689</v>
      </c>
      <c r="H122" s="22">
        <v>36</v>
      </c>
      <c r="I122" s="22">
        <v>28</v>
      </c>
    </row>
    <row r="123" spans="1:9" s="21" customFormat="1" ht="11.25" customHeight="1" x14ac:dyDescent="0.2">
      <c r="A123" s="264" t="s">
        <v>100</v>
      </c>
      <c r="B123" s="264"/>
      <c r="C123" s="22">
        <v>1467</v>
      </c>
      <c r="D123" s="22">
        <v>1167</v>
      </c>
      <c r="E123" s="22">
        <v>300</v>
      </c>
      <c r="F123" s="22">
        <v>237</v>
      </c>
      <c r="G123" s="22">
        <v>61</v>
      </c>
      <c r="H123" s="22">
        <v>2</v>
      </c>
      <c r="I123" s="22">
        <v>0</v>
      </c>
    </row>
    <row r="124" spans="1:9" s="21" customFormat="1" ht="11.25" customHeight="1" x14ac:dyDescent="0.2">
      <c r="A124" s="264" t="s">
        <v>101</v>
      </c>
      <c r="B124" s="264"/>
      <c r="C124" s="22">
        <v>1164</v>
      </c>
      <c r="D124" s="22">
        <v>982</v>
      </c>
      <c r="E124" s="22">
        <v>182</v>
      </c>
      <c r="F124" s="22">
        <v>160</v>
      </c>
      <c r="G124" s="22">
        <v>22</v>
      </c>
      <c r="H124" s="22">
        <v>0</v>
      </c>
      <c r="I124" s="22">
        <v>0</v>
      </c>
    </row>
    <row r="125" spans="1:9" s="21" customFormat="1" ht="11.25" customHeight="1" x14ac:dyDescent="0.2">
      <c r="A125" s="264" t="s">
        <v>102</v>
      </c>
      <c r="B125" s="264"/>
      <c r="C125" s="22">
        <v>582</v>
      </c>
      <c r="D125" s="22">
        <v>434</v>
      </c>
      <c r="E125" s="22">
        <v>148</v>
      </c>
      <c r="F125" s="22">
        <v>107</v>
      </c>
      <c r="G125" s="22">
        <v>41</v>
      </c>
      <c r="H125" s="22">
        <v>0</v>
      </c>
      <c r="I125" s="22">
        <v>0</v>
      </c>
    </row>
    <row r="126" spans="1:9" s="21" customFormat="1" ht="11.25" customHeight="1" x14ac:dyDescent="0.2">
      <c r="A126" s="264" t="s">
        <v>103</v>
      </c>
      <c r="B126" s="264"/>
      <c r="C126" s="22">
        <v>5684</v>
      </c>
      <c r="D126" s="22">
        <v>3543</v>
      </c>
      <c r="E126" s="22">
        <v>2141</v>
      </c>
      <c r="F126" s="22">
        <v>1620</v>
      </c>
      <c r="G126" s="22">
        <v>508</v>
      </c>
      <c r="H126" s="22">
        <v>10</v>
      </c>
      <c r="I126" s="22">
        <v>3</v>
      </c>
    </row>
    <row r="127" spans="1:9" s="21" customFormat="1" ht="11.25" customHeight="1" x14ac:dyDescent="0.2">
      <c r="A127" s="264" t="s">
        <v>104</v>
      </c>
      <c r="B127" s="264"/>
      <c r="C127" s="22">
        <v>1256</v>
      </c>
      <c r="D127" s="22">
        <v>960</v>
      </c>
      <c r="E127" s="22">
        <v>296</v>
      </c>
      <c r="F127" s="22">
        <v>177</v>
      </c>
      <c r="G127" s="22">
        <v>117</v>
      </c>
      <c r="H127" s="22">
        <v>0</v>
      </c>
      <c r="I127" s="22">
        <v>2</v>
      </c>
    </row>
    <row r="128" spans="1:9" s="21" customFormat="1" ht="11.25" customHeight="1" x14ac:dyDescent="0.2">
      <c r="A128" s="264" t="s">
        <v>105</v>
      </c>
      <c r="B128" s="264"/>
      <c r="C128" s="22">
        <v>1654</v>
      </c>
      <c r="D128" s="22">
        <v>1106</v>
      </c>
      <c r="E128" s="22">
        <v>548</v>
      </c>
      <c r="F128" s="22">
        <v>389</v>
      </c>
      <c r="G128" s="22">
        <v>159</v>
      </c>
      <c r="H128" s="22">
        <v>0</v>
      </c>
      <c r="I128" s="22">
        <v>0</v>
      </c>
    </row>
    <row r="129" spans="1:9" s="21" customFormat="1" ht="11.25" customHeight="1" x14ac:dyDescent="0.2">
      <c r="A129" s="264" t="s">
        <v>106</v>
      </c>
      <c r="B129" s="264"/>
      <c r="C129" s="22">
        <v>1090</v>
      </c>
      <c r="D129" s="22">
        <v>957</v>
      </c>
      <c r="E129" s="22">
        <v>133</v>
      </c>
      <c r="F129" s="22">
        <v>99</v>
      </c>
      <c r="G129" s="22">
        <v>34</v>
      </c>
      <c r="H129" s="22">
        <v>0</v>
      </c>
      <c r="I129" s="22">
        <v>0</v>
      </c>
    </row>
    <row r="130" spans="1:9" s="21" customFormat="1" ht="11.25" customHeight="1" x14ac:dyDescent="0.2">
      <c r="A130" s="264" t="s">
        <v>107</v>
      </c>
      <c r="B130" s="264"/>
      <c r="C130" s="22">
        <v>283</v>
      </c>
      <c r="D130" s="22">
        <v>249</v>
      </c>
      <c r="E130" s="22">
        <v>34</v>
      </c>
      <c r="F130" s="22">
        <v>27</v>
      </c>
      <c r="G130" s="22">
        <v>7</v>
      </c>
      <c r="H130" s="22">
        <v>0</v>
      </c>
      <c r="I130" s="22">
        <v>0</v>
      </c>
    </row>
    <row r="131" spans="1:9" s="21" customFormat="1" ht="11.25" customHeight="1" x14ac:dyDescent="0.2">
      <c r="A131" s="264" t="s">
        <v>108</v>
      </c>
      <c r="B131" s="264"/>
      <c r="C131" s="22">
        <v>881</v>
      </c>
      <c r="D131" s="22">
        <v>734</v>
      </c>
      <c r="E131" s="22">
        <v>147</v>
      </c>
      <c r="F131" s="22">
        <v>111</v>
      </c>
      <c r="G131" s="22">
        <v>35</v>
      </c>
      <c r="H131" s="22">
        <v>1</v>
      </c>
      <c r="I131" s="22">
        <v>0</v>
      </c>
    </row>
    <row r="132" spans="1:9" s="21" customFormat="1" ht="11.25" customHeight="1" x14ac:dyDescent="0.2">
      <c r="A132" s="264" t="s">
        <v>109</v>
      </c>
      <c r="B132" s="264"/>
      <c r="C132" s="22">
        <v>755</v>
      </c>
      <c r="D132" s="22">
        <v>515</v>
      </c>
      <c r="E132" s="22">
        <v>240</v>
      </c>
      <c r="F132" s="22">
        <v>142</v>
      </c>
      <c r="G132" s="22">
        <v>98</v>
      </c>
      <c r="H132" s="22">
        <v>0</v>
      </c>
      <c r="I132" s="22">
        <v>0</v>
      </c>
    </row>
    <row r="133" spans="1:9" s="21" customFormat="1" ht="11.25" customHeight="1" x14ac:dyDescent="0.2">
      <c r="A133" s="264" t="s">
        <v>110</v>
      </c>
      <c r="B133" s="264"/>
      <c r="C133" s="22">
        <v>846</v>
      </c>
      <c r="D133" s="22">
        <v>683</v>
      </c>
      <c r="E133" s="22">
        <v>163</v>
      </c>
      <c r="F133" s="22">
        <v>123</v>
      </c>
      <c r="G133" s="22">
        <v>40</v>
      </c>
      <c r="H133" s="22">
        <v>0</v>
      </c>
      <c r="I133" s="22">
        <v>0</v>
      </c>
    </row>
    <row r="134" spans="1:9" s="21" customFormat="1" ht="11.25" customHeight="1" x14ac:dyDescent="0.2">
      <c r="A134" s="264" t="s">
        <v>111</v>
      </c>
      <c r="B134" s="264"/>
      <c r="C134" s="22">
        <v>352</v>
      </c>
      <c r="D134" s="22">
        <v>296</v>
      </c>
      <c r="E134" s="22">
        <v>56</v>
      </c>
      <c r="F134" s="22">
        <v>42</v>
      </c>
      <c r="G134" s="22">
        <v>14</v>
      </c>
      <c r="H134" s="22">
        <v>0</v>
      </c>
      <c r="I134" s="22">
        <v>0</v>
      </c>
    </row>
    <row r="135" spans="1:9" s="21" customFormat="1" ht="11.25" customHeight="1" x14ac:dyDescent="0.2">
      <c r="A135" s="264" t="s">
        <v>112</v>
      </c>
      <c r="B135" s="264"/>
      <c r="C135" s="22">
        <v>834</v>
      </c>
      <c r="D135" s="22">
        <v>758</v>
      </c>
      <c r="E135" s="22">
        <v>76</v>
      </c>
      <c r="F135" s="22">
        <v>54</v>
      </c>
      <c r="G135" s="22">
        <v>21</v>
      </c>
      <c r="H135" s="22">
        <v>1</v>
      </c>
      <c r="I135" s="22">
        <v>0</v>
      </c>
    </row>
    <row r="136" spans="1:9" s="21" customFormat="1" ht="11.25" customHeight="1" x14ac:dyDescent="0.2">
      <c r="A136" s="264" t="s">
        <v>113</v>
      </c>
      <c r="B136" s="264"/>
      <c r="C136" s="22">
        <v>1319</v>
      </c>
      <c r="D136" s="22">
        <v>1130</v>
      </c>
      <c r="E136" s="22">
        <v>189</v>
      </c>
      <c r="F136" s="22">
        <v>143</v>
      </c>
      <c r="G136" s="22">
        <v>46</v>
      </c>
      <c r="H136" s="22">
        <v>0</v>
      </c>
      <c r="I136" s="22">
        <v>0</v>
      </c>
    </row>
    <row r="137" spans="1:9" s="21" customFormat="1" ht="11.25" customHeight="1" x14ac:dyDescent="0.2">
      <c r="A137" s="264" t="s">
        <v>114</v>
      </c>
      <c r="B137" s="264"/>
      <c r="C137" s="22">
        <v>3518</v>
      </c>
      <c r="D137" s="22">
        <v>1777</v>
      </c>
      <c r="E137" s="22">
        <v>1741</v>
      </c>
      <c r="F137" s="22">
        <v>1178</v>
      </c>
      <c r="G137" s="22">
        <v>559</v>
      </c>
      <c r="H137" s="22">
        <v>4</v>
      </c>
      <c r="I137" s="22">
        <v>0</v>
      </c>
    </row>
    <row r="138" spans="1:9" s="21" customFormat="1" ht="11.25" customHeight="1" x14ac:dyDescent="0.2">
      <c r="A138" s="264" t="s">
        <v>115</v>
      </c>
      <c r="B138" s="264"/>
      <c r="C138" s="22">
        <v>1633</v>
      </c>
      <c r="D138" s="22">
        <v>1414</v>
      </c>
      <c r="E138" s="22">
        <v>219</v>
      </c>
      <c r="F138" s="22">
        <v>182</v>
      </c>
      <c r="G138" s="22">
        <v>37</v>
      </c>
      <c r="H138" s="22">
        <v>0</v>
      </c>
      <c r="I138" s="22">
        <v>0</v>
      </c>
    </row>
    <row r="139" spans="1:9" s="21" customFormat="1" ht="11.25" customHeight="1" x14ac:dyDescent="0.2">
      <c r="A139" s="264" t="s">
        <v>116</v>
      </c>
      <c r="B139" s="264"/>
      <c r="C139" s="22">
        <v>802</v>
      </c>
      <c r="D139" s="22">
        <v>595</v>
      </c>
      <c r="E139" s="22">
        <v>207</v>
      </c>
      <c r="F139" s="22">
        <v>163</v>
      </c>
      <c r="G139" s="22">
        <v>44</v>
      </c>
      <c r="H139" s="22">
        <v>0</v>
      </c>
      <c r="I139" s="22">
        <v>0</v>
      </c>
    </row>
    <row r="140" spans="1:9" s="21" customFormat="1" ht="11.25" customHeight="1" x14ac:dyDescent="0.2">
      <c r="A140" s="264" t="s">
        <v>117</v>
      </c>
      <c r="B140" s="264"/>
      <c r="C140" s="22">
        <v>1472</v>
      </c>
      <c r="D140" s="22">
        <v>1177</v>
      </c>
      <c r="E140" s="22">
        <v>295</v>
      </c>
      <c r="F140" s="22">
        <v>220</v>
      </c>
      <c r="G140" s="22">
        <v>75</v>
      </c>
      <c r="H140" s="22">
        <v>0</v>
      </c>
      <c r="I140" s="22">
        <v>0</v>
      </c>
    </row>
    <row r="141" spans="1:9" s="21" customFormat="1" ht="11.25" customHeight="1" x14ac:dyDescent="0.2">
      <c r="A141" s="264" t="s">
        <v>118</v>
      </c>
      <c r="B141" s="264"/>
      <c r="C141" s="22">
        <v>1281</v>
      </c>
      <c r="D141" s="22">
        <v>1047</v>
      </c>
      <c r="E141" s="22">
        <v>234</v>
      </c>
      <c r="F141" s="22">
        <v>187</v>
      </c>
      <c r="G141" s="22">
        <v>47</v>
      </c>
      <c r="H141" s="22">
        <v>0</v>
      </c>
      <c r="I141" s="22">
        <v>0</v>
      </c>
    </row>
    <row r="142" spans="1:9" s="21" customFormat="1" ht="11.25" customHeight="1" x14ac:dyDescent="0.2">
      <c r="A142" s="264" t="s">
        <v>119</v>
      </c>
      <c r="B142" s="264"/>
      <c r="C142" s="22">
        <v>1541</v>
      </c>
      <c r="D142" s="22">
        <v>1225</v>
      </c>
      <c r="E142" s="22">
        <v>316</v>
      </c>
      <c r="F142" s="22">
        <v>256</v>
      </c>
      <c r="G142" s="22">
        <v>60</v>
      </c>
      <c r="H142" s="22">
        <v>0</v>
      </c>
      <c r="I142" s="22">
        <v>0</v>
      </c>
    </row>
    <row r="143" spans="1:9" s="21" customFormat="1" ht="11.25" customHeight="1" x14ac:dyDescent="0.2">
      <c r="A143" s="264" t="s">
        <v>120</v>
      </c>
      <c r="B143" s="264"/>
      <c r="C143" s="22">
        <v>748</v>
      </c>
      <c r="D143" s="22">
        <v>636</v>
      </c>
      <c r="E143" s="22">
        <v>112</v>
      </c>
      <c r="F143" s="22">
        <v>70</v>
      </c>
      <c r="G143" s="22">
        <v>42</v>
      </c>
      <c r="H143" s="22">
        <v>0</v>
      </c>
      <c r="I143" s="22">
        <v>0</v>
      </c>
    </row>
    <row r="144" spans="1:9" s="21" customFormat="1" ht="11.25" customHeight="1" x14ac:dyDescent="0.2">
      <c r="A144" s="264" t="s">
        <v>121</v>
      </c>
      <c r="B144" s="264"/>
      <c r="C144" s="22">
        <v>2027</v>
      </c>
      <c r="D144" s="22">
        <v>1447</v>
      </c>
      <c r="E144" s="22">
        <v>580</v>
      </c>
      <c r="F144" s="22">
        <v>442</v>
      </c>
      <c r="G144" s="22">
        <v>136</v>
      </c>
      <c r="H144" s="22">
        <v>2</v>
      </c>
      <c r="I144" s="22">
        <v>0</v>
      </c>
    </row>
    <row r="145" spans="1:9" s="21" customFormat="1" ht="11.25" customHeight="1" x14ac:dyDescent="0.2">
      <c r="A145" s="264" t="s">
        <v>122</v>
      </c>
      <c r="B145" s="264"/>
      <c r="C145" s="22">
        <v>681</v>
      </c>
      <c r="D145" s="22">
        <v>552</v>
      </c>
      <c r="E145" s="22">
        <v>129</v>
      </c>
      <c r="F145" s="22">
        <v>94</v>
      </c>
      <c r="G145" s="22">
        <v>34</v>
      </c>
      <c r="H145" s="22">
        <v>1</v>
      </c>
      <c r="I145" s="22">
        <v>0</v>
      </c>
    </row>
    <row r="146" spans="1:9" s="21" customFormat="1" ht="11.25" customHeight="1" x14ac:dyDescent="0.2">
      <c r="A146" s="264" t="s">
        <v>123</v>
      </c>
      <c r="B146" s="264"/>
      <c r="C146" s="22">
        <v>526</v>
      </c>
      <c r="D146" s="22">
        <v>396</v>
      </c>
      <c r="E146" s="22">
        <v>130</v>
      </c>
      <c r="F146" s="22">
        <v>90</v>
      </c>
      <c r="G146" s="22">
        <v>40</v>
      </c>
      <c r="H146" s="22">
        <v>0</v>
      </c>
      <c r="I146" s="22">
        <v>0</v>
      </c>
    </row>
    <row r="147" spans="1:9" s="21" customFormat="1" ht="11.25" customHeight="1" x14ac:dyDescent="0.2">
      <c r="A147" s="264" t="s">
        <v>124</v>
      </c>
      <c r="B147" s="264"/>
      <c r="C147" s="22">
        <v>1828</v>
      </c>
      <c r="D147" s="22">
        <v>1669</v>
      </c>
      <c r="E147" s="22">
        <v>159</v>
      </c>
      <c r="F147" s="22">
        <v>114</v>
      </c>
      <c r="G147" s="22">
        <v>43</v>
      </c>
      <c r="H147" s="22">
        <v>1</v>
      </c>
      <c r="I147" s="22">
        <v>1</v>
      </c>
    </row>
    <row r="148" spans="1:9" s="21" customFormat="1" ht="11.25" customHeight="1" x14ac:dyDescent="0.2">
      <c r="A148" s="264" t="s">
        <v>125</v>
      </c>
      <c r="B148" s="264"/>
      <c r="C148" s="22">
        <v>1707</v>
      </c>
      <c r="D148" s="22">
        <v>1173</v>
      </c>
      <c r="E148" s="22">
        <v>534</v>
      </c>
      <c r="F148" s="22">
        <v>225</v>
      </c>
      <c r="G148" s="22">
        <v>309</v>
      </c>
      <c r="H148" s="22">
        <v>0</v>
      </c>
      <c r="I148" s="22">
        <v>0</v>
      </c>
    </row>
    <row r="149" spans="1:9" s="21" customFormat="1" ht="11.25" customHeight="1" x14ac:dyDescent="0.2">
      <c r="A149" s="264" t="s">
        <v>126</v>
      </c>
      <c r="B149" s="264"/>
      <c r="C149" s="22">
        <v>2938</v>
      </c>
      <c r="D149" s="22">
        <v>2124</v>
      </c>
      <c r="E149" s="22">
        <v>814</v>
      </c>
      <c r="F149" s="22">
        <v>706</v>
      </c>
      <c r="G149" s="22">
        <v>106</v>
      </c>
      <c r="H149" s="22">
        <v>2</v>
      </c>
      <c r="I149" s="22">
        <v>0</v>
      </c>
    </row>
    <row r="150" spans="1:9" s="21" customFormat="1" ht="11.25" customHeight="1" x14ac:dyDescent="0.2">
      <c r="A150" s="264" t="s">
        <v>127</v>
      </c>
      <c r="B150" s="264"/>
      <c r="C150" s="22">
        <v>624</v>
      </c>
      <c r="D150" s="22">
        <v>579</v>
      </c>
      <c r="E150" s="22">
        <v>45</v>
      </c>
      <c r="F150" s="22">
        <v>32</v>
      </c>
      <c r="G150" s="22">
        <v>13</v>
      </c>
      <c r="H150" s="22">
        <v>0</v>
      </c>
      <c r="I150" s="22">
        <v>0</v>
      </c>
    </row>
    <row r="151" spans="1:9" s="21" customFormat="1" ht="11.25" customHeight="1" x14ac:dyDescent="0.2">
      <c r="A151" s="264" t="s">
        <v>128</v>
      </c>
      <c r="B151" s="264"/>
      <c r="C151" s="22">
        <v>492</v>
      </c>
      <c r="D151" s="22">
        <v>412</v>
      </c>
      <c r="E151" s="22">
        <v>80</v>
      </c>
      <c r="F151" s="22">
        <v>54</v>
      </c>
      <c r="G151" s="22">
        <v>26</v>
      </c>
      <c r="H151" s="22">
        <v>0</v>
      </c>
      <c r="I151" s="22">
        <v>0</v>
      </c>
    </row>
    <row r="152" spans="1:9" s="21" customFormat="1" ht="11.25" customHeight="1" x14ac:dyDescent="0.2">
      <c r="A152" s="264" t="s">
        <v>129</v>
      </c>
      <c r="B152" s="264"/>
      <c r="C152" s="22">
        <v>1872</v>
      </c>
      <c r="D152" s="22">
        <v>1388</v>
      </c>
      <c r="E152" s="22">
        <v>484</v>
      </c>
      <c r="F152" s="22">
        <v>394</v>
      </c>
      <c r="G152" s="22">
        <v>90</v>
      </c>
      <c r="H152" s="22">
        <v>0</v>
      </c>
      <c r="I152" s="22">
        <v>0</v>
      </c>
    </row>
    <row r="153" spans="1:9" s="21" customFormat="1" ht="11.25" customHeight="1" x14ac:dyDescent="0.2">
      <c r="A153" s="264" t="s">
        <v>130</v>
      </c>
      <c r="B153" s="264"/>
      <c r="C153" s="22">
        <v>325</v>
      </c>
      <c r="D153" s="22">
        <v>220</v>
      </c>
      <c r="E153" s="22">
        <v>105</v>
      </c>
      <c r="F153" s="22">
        <v>54</v>
      </c>
      <c r="G153" s="22">
        <v>50</v>
      </c>
      <c r="H153" s="22">
        <v>1</v>
      </c>
      <c r="I153" s="22">
        <v>0</v>
      </c>
    </row>
    <row r="154" spans="1:9" s="21" customFormat="1" ht="11.25" customHeight="1" x14ac:dyDescent="0.2">
      <c r="A154" s="267" t="s">
        <v>264</v>
      </c>
      <c r="B154" s="267"/>
      <c r="C154" s="28">
        <v>538</v>
      </c>
      <c r="D154" s="28">
        <v>503</v>
      </c>
      <c r="E154" s="28">
        <v>35</v>
      </c>
      <c r="F154" s="28">
        <v>27</v>
      </c>
      <c r="G154" s="28">
        <v>8</v>
      </c>
      <c r="H154" s="28">
        <v>0</v>
      </c>
      <c r="I154" s="28">
        <v>0</v>
      </c>
    </row>
    <row r="155" spans="1:9" s="21" customFormat="1" ht="11.2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 s="21" customFormat="1" ht="11.25" customHeight="1" x14ac:dyDescent="0.2">
      <c r="A156" s="263" t="s">
        <v>131</v>
      </c>
      <c r="B156" s="263"/>
      <c r="C156" s="20">
        <f t="shared" ref="C156:I156" si="44">SUM(C157:C196)</f>
        <v>61157</v>
      </c>
      <c r="D156" s="20">
        <f t="shared" si="44"/>
        <v>46830</v>
      </c>
      <c r="E156" s="20">
        <f t="shared" si="44"/>
        <v>14327</v>
      </c>
      <c r="F156" s="20">
        <f t="shared" si="44"/>
        <v>11052</v>
      </c>
      <c r="G156" s="20">
        <f t="shared" si="44"/>
        <v>3247</v>
      </c>
      <c r="H156" s="20">
        <f t="shared" si="44"/>
        <v>28</v>
      </c>
      <c r="I156" s="20">
        <f t="shared" si="44"/>
        <v>0</v>
      </c>
    </row>
    <row r="157" spans="1:9" s="21" customFormat="1" ht="11.25" customHeight="1" x14ac:dyDescent="0.2">
      <c r="A157" s="264" t="s">
        <v>132</v>
      </c>
      <c r="B157" s="264"/>
      <c r="C157" s="22">
        <v>5519</v>
      </c>
      <c r="D157" s="22">
        <v>3989</v>
      </c>
      <c r="E157" s="22">
        <v>1530</v>
      </c>
      <c r="F157" s="22">
        <v>1061</v>
      </c>
      <c r="G157" s="22">
        <v>467</v>
      </c>
      <c r="H157" s="22">
        <v>2</v>
      </c>
      <c r="I157" s="22">
        <v>0</v>
      </c>
    </row>
    <row r="158" spans="1:9" s="21" customFormat="1" ht="11.25" customHeight="1" x14ac:dyDescent="0.2">
      <c r="A158" s="264" t="s">
        <v>253</v>
      </c>
      <c r="B158" s="264"/>
      <c r="C158" s="22">
        <v>118</v>
      </c>
      <c r="D158" s="22">
        <v>110</v>
      </c>
      <c r="E158" s="22">
        <v>8</v>
      </c>
      <c r="F158" s="22">
        <v>5</v>
      </c>
      <c r="G158" s="22">
        <v>3</v>
      </c>
      <c r="H158" s="22">
        <v>0</v>
      </c>
      <c r="I158" s="22">
        <v>0</v>
      </c>
    </row>
    <row r="159" spans="1:9" s="21" customFormat="1" ht="11.25" customHeight="1" x14ac:dyDescent="0.2">
      <c r="A159" s="264" t="s">
        <v>133</v>
      </c>
      <c r="B159" s="264"/>
      <c r="C159" s="22">
        <v>202</v>
      </c>
      <c r="D159" s="22">
        <v>193</v>
      </c>
      <c r="E159" s="22">
        <v>9</v>
      </c>
      <c r="F159" s="22">
        <v>2</v>
      </c>
      <c r="G159" s="22">
        <v>7</v>
      </c>
      <c r="H159" s="22">
        <v>0</v>
      </c>
      <c r="I159" s="22">
        <v>0</v>
      </c>
    </row>
    <row r="160" spans="1:9" s="21" customFormat="1" ht="11.25" customHeight="1" x14ac:dyDescent="0.2">
      <c r="A160" s="264" t="s">
        <v>134</v>
      </c>
      <c r="B160" s="264"/>
      <c r="C160" s="22">
        <v>546</v>
      </c>
      <c r="D160" s="22">
        <v>450</v>
      </c>
      <c r="E160" s="22">
        <v>96</v>
      </c>
      <c r="F160" s="22">
        <v>57</v>
      </c>
      <c r="G160" s="22">
        <v>39</v>
      </c>
      <c r="H160" s="22">
        <v>0</v>
      </c>
      <c r="I160" s="22">
        <v>0</v>
      </c>
    </row>
    <row r="161" spans="1:9" s="21" customFormat="1" ht="11.25" customHeight="1" x14ac:dyDescent="0.2">
      <c r="A161" s="264" t="s">
        <v>135</v>
      </c>
      <c r="B161" s="264"/>
      <c r="C161" s="22">
        <v>1899</v>
      </c>
      <c r="D161" s="22">
        <v>1556</v>
      </c>
      <c r="E161" s="22">
        <v>343</v>
      </c>
      <c r="F161" s="22">
        <v>207</v>
      </c>
      <c r="G161" s="22">
        <v>136</v>
      </c>
      <c r="H161" s="22">
        <v>0</v>
      </c>
      <c r="I161" s="22">
        <v>0</v>
      </c>
    </row>
    <row r="162" spans="1:9" s="21" customFormat="1" ht="11.25" customHeight="1" x14ac:dyDescent="0.2">
      <c r="A162" s="264" t="s">
        <v>136</v>
      </c>
      <c r="B162" s="264"/>
      <c r="C162" s="22">
        <v>111</v>
      </c>
      <c r="D162" s="22">
        <v>100</v>
      </c>
      <c r="E162" s="22">
        <v>11</v>
      </c>
      <c r="F162" s="22">
        <v>9</v>
      </c>
      <c r="G162" s="22">
        <v>2</v>
      </c>
      <c r="H162" s="22">
        <v>0</v>
      </c>
      <c r="I162" s="22">
        <v>0</v>
      </c>
    </row>
    <row r="163" spans="1:9" s="21" customFormat="1" ht="11.25" customHeight="1" x14ac:dyDescent="0.2">
      <c r="A163" s="264" t="s">
        <v>137</v>
      </c>
      <c r="B163" s="264"/>
      <c r="C163" s="22">
        <v>718</v>
      </c>
      <c r="D163" s="22">
        <v>679</v>
      </c>
      <c r="E163" s="22">
        <v>39</v>
      </c>
      <c r="F163" s="22">
        <v>26</v>
      </c>
      <c r="G163" s="22">
        <v>13</v>
      </c>
      <c r="H163" s="22">
        <v>0</v>
      </c>
      <c r="I163" s="22">
        <v>0</v>
      </c>
    </row>
    <row r="164" spans="1:9" s="21" customFormat="1" ht="11.25" customHeight="1" x14ac:dyDescent="0.2">
      <c r="A164" s="264" t="s">
        <v>139</v>
      </c>
      <c r="B164" s="264"/>
      <c r="C164" s="22">
        <v>786</v>
      </c>
      <c r="D164" s="22">
        <v>593</v>
      </c>
      <c r="E164" s="22">
        <v>193</v>
      </c>
      <c r="F164" s="22">
        <v>150</v>
      </c>
      <c r="G164" s="22">
        <v>43</v>
      </c>
      <c r="H164" s="22">
        <v>0</v>
      </c>
      <c r="I164" s="22">
        <v>0</v>
      </c>
    </row>
    <row r="165" spans="1:9" s="21" customFormat="1" ht="11.25" customHeight="1" x14ac:dyDescent="0.2">
      <c r="A165" s="264" t="s">
        <v>140</v>
      </c>
      <c r="B165" s="264"/>
      <c r="C165" s="22">
        <v>19</v>
      </c>
      <c r="D165" s="22">
        <v>18</v>
      </c>
      <c r="E165" s="22">
        <v>1</v>
      </c>
      <c r="F165" s="22">
        <v>1</v>
      </c>
      <c r="G165" s="22">
        <v>0</v>
      </c>
      <c r="H165" s="22">
        <v>0</v>
      </c>
      <c r="I165" s="22">
        <v>0</v>
      </c>
    </row>
    <row r="166" spans="1:9" s="21" customFormat="1" ht="11.25" customHeight="1" x14ac:dyDescent="0.2">
      <c r="A166" s="264" t="s">
        <v>265</v>
      </c>
      <c r="B166" s="264"/>
      <c r="C166" s="22">
        <v>1376</v>
      </c>
      <c r="D166" s="22">
        <v>1210</v>
      </c>
      <c r="E166" s="22">
        <v>166</v>
      </c>
      <c r="F166" s="22">
        <v>142</v>
      </c>
      <c r="G166" s="22">
        <v>24</v>
      </c>
      <c r="H166" s="22">
        <v>0</v>
      </c>
      <c r="I166" s="22">
        <v>0</v>
      </c>
    </row>
    <row r="167" spans="1:9" s="21" customFormat="1" ht="11.25" customHeight="1" x14ac:dyDescent="0.2">
      <c r="A167" s="264" t="s">
        <v>142</v>
      </c>
      <c r="B167" s="264"/>
      <c r="C167" s="22">
        <v>114</v>
      </c>
      <c r="D167" s="22">
        <v>107</v>
      </c>
      <c r="E167" s="22">
        <v>7</v>
      </c>
      <c r="F167" s="22">
        <v>6</v>
      </c>
      <c r="G167" s="22">
        <v>1</v>
      </c>
      <c r="H167" s="22">
        <v>0</v>
      </c>
      <c r="I167" s="22">
        <v>0</v>
      </c>
    </row>
    <row r="168" spans="1:9" s="21" customFormat="1" ht="11.25" customHeight="1" x14ac:dyDescent="0.2">
      <c r="A168" s="264" t="s">
        <v>143</v>
      </c>
      <c r="B168" s="264"/>
      <c r="C168" s="22">
        <v>302</v>
      </c>
      <c r="D168" s="22">
        <v>252</v>
      </c>
      <c r="E168" s="22">
        <v>50</v>
      </c>
      <c r="F168" s="22">
        <v>30</v>
      </c>
      <c r="G168" s="22">
        <v>19</v>
      </c>
      <c r="H168" s="22">
        <v>1</v>
      </c>
      <c r="I168" s="22">
        <v>0</v>
      </c>
    </row>
    <row r="169" spans="1:9" s="21" customFormat="1" ht="11.25" customHeight="1" x14ac:dyDescent="0.2">
      <c r="A169" s="264" t="s">
        <v>266</v>
      </c>
      <c r="B169" s="264"/>
      <c r="C169" s="22">
        <v>1297</v>
      </c>
      <c r="D169" s="22">
        <v>1109</v>
      </c>
      <c r="E169" s="22">
        <v>188</v>
      </c>
      <c r="F169" s="22">
        <v>151</v>
      </c>
      <c r="G169" s="22">
        <v>36</v>
      </c>
      <c r="H169" s="22">
        <v>1</v>
      </c>
      <c r="I169" s="22">
        <v>0</v>
      </c>
    </row>
    <row r="170" spans="1:9" s="21" customFormat="1" ht="11.25" customHeight="1" x14ac:dyDescent="0.2">
      <c r="A170" s="264" t="s">
        <v>144</v>
      </c>
      <c r="B170" s="264"/>
      <c r="C170" s="22">
        <v>4378</v>
      </c>
      <c r="D170" s="22">
        <v>3604</v>
      </c>
      <c r="E170" s="22">
        <v>774</v>
      </c>
      <c r="F170" s="22">
        <v>647</v>
      </c>
      <c r="G170" s="22">
        <v>126</v>
      </c>
      <c r="H170" s="22">
        <v>1</v>
      </c>
      <c r="I170" s="22">
        <v>0</v>
      </c>
    </row>
    <row r="171" spans="1:9" s="21" customFormat="1" ht="11.25" customHeight="1" x14ac:dyDescent="0.2">
      <c r="A171" s="264" t="s">
        <v>145</v>
      </c>
      <c r="B171" s="264"/>
      <c r="C171" s="22">
        <v>27</v>
      </c>
      <c r="D171" s="22">
        <v>26</v>
      </c>
      <c r="E171" s="22">
        <v>1</v>
      </c>
      <c r="F171" s="22">
        <v>1</v>
      </c>
      <c r="G171" s="22">
        <v>0</v>
      </c>
      <c r="H171" s="22">
        <v>0</v>
      </c>
      <c r="I171" s="22">
        <v>0</v>
      </c>
    </row>
    <row r="172" spans="1:9" s="21" customFormat="1" ht="11.25" customHeight="1" x14ac:dyDescent="0.2">
      <c r="A172" s="264" t="s">
        <v>146</v>
      </c>
      <c r="B172" s="264"/>
      <c r="C172" s="22">
        <v>44</v>
      </c>
      <c r="D172" s="22">
        <v>43</v>
      </c>
      <c r="E172" s="22">
        <v>1</v>
      </c>
      <c r="F172" s="22">
        <v>0</v>
      </c>
      <c r="G172" s="22">
        <v>1</v>
      </c>
      <c r="H172" s="22">
        <v>0</v>
      </c>
      <c r="I172" s="22">
        <v>0</v>
      </c>
    </row>
    <row r="173" spans="1:9" s="21" customFormat="1" ht="11.25" customHeight="1" x14ac:dyDescent="0.2">
      <c r="A173" s="264" t="s">
        <v>254</v>
      </c>
      <c r="B173" s="264"/>
      <c r="C173" s="22">
        <v>882</v>
      </c>
      <c r="D173" s="22">
        <v>800</v>
      </c>
      <c r="E173" s="22">
        <v>82</v>
      </c>
      <c r="F173" s="22">
        <v>56</v>
      </c>
      <c r="G173" s="22">
        <v>26</v>
      </c>
      <c r="H173" s="22">
        <v>0</v>
      </c>
      <c r="I173" s="22">
        <v>0</v>
      </c>
    </row>
    <row r="174" spans="1:9" s="21" customFormat="1" ht="11.25" customHeight="1" x14ac:dyDescent="0.2">
      <c r="A174" s="264" t="s">
        <v>147</v>
      </c>
      <c r="B174" s="264"/>
      <c r="C174" s="22">
        <v>346</v>
      </c>
      <c r="D174" s="22">
        <v>308</v>
      </c>
      <c r="E174" s="22">
        <v>38</v>
      </c>
      <c r="F174" s="22">
        <v>27</v>
      </c>
      <c r="G174" s="22">
        <v>11</v>
      </c>
      <c r="H174" s="22">
        <v>0</v>
      </c>
      <c r="I174" s="22">
        <v>0</v>
      </c>
    </row>
    <row r="175" spans="1:9" s="21" customFormat="1" ht="11.25" customHeight="1" x14ac:dyDescent="0.2">
      <c r="A175" s="264" t="s">
        <v>148</v>
      </c>
      <c r="B175" s="264"/>
      <c r="C175" s="22">
        <v>1213</v>
      </c>
      <c r="D175" s="22">
        <v>923</v>
      </c>
      <c r="E175" s="22">
        <v>290</v>
      </c>
      <c r="F175" s="22">
        <v>219</v>
      </c>
      <c r="G175" s="22">
        <v>70</v>
      </c>
      <c r="H175" s="22">
        <v>1</v>
      </c>
      <c r="I175" s="22">
        <v>0</v>
      </c>
    </row>
    <row r="176" spans="1:9" s="21" customFormat="1" ht="11.25" customHeight="1" x14ac:dyDescent="0.2">
      <c r="A176" s="264" t="s">
        <v>149</v>
      </c>
      <c r="B176" s="264"/>
      <c r="C176" s="22">
        <v>14909</v>
      </c>
      <c r="D176" s="22">
        <v>9831</v>
      </c>
      <c r="E176" s="22">
        <v>5078</v>
      </c>
      <c r="F176" s="22">
        <v>3995</v>
      </c>
      <c r="G176" s="22">
        <v>1072</v>
      </c>
      <c r="H176" s="22">
        <v>11</v>
      </c>
      <c r="I176" s="22">
        <v>0</v>
      </c>
    </row>
    <row r="177" spans="1:9" s="21" customFormat="1" ht="11.25" customHeight="1" x14ac:dyDescent="0.2">
      <c r="A177" s="264" t="s">
        <v>150</v>
      </c>
      <c r="B177" s="264"/>
      <c r="C177" s="22">
        <v>6352</v>
      </c>
      <c r="D177" s="22">
        <v>5018</v>
      </c>
      <c r="E177" s="22">
        <v>1334</v>
      </c>
      <c r="F177" s="22">
        <v>1099</v>
      </c>
      <c r="G177" s="22">
        <v>234</v>
      </c>
      <c r="H177" s="22">
        <v>1</v>
      </c>
      <c r="I177" s="22">
        <v>0</v>
      </c>
    </row>
    <row r="178" spans="1:9" s="21" customFormat="1" ht="11.25" customHeight="1" x14ac:dyDescent="0.2">
      <c r="A178" s="264" t="s">
        <v>151</v>
      </c>
      <c r="B178" s="264"/>
      <c r="C178" s="22">
        <v>1604</v>
      </c>
      <c r="D178" s="22">
        <v>1281</v>
      </c>
      <c r="E178" s="22">
        <v>323</v>
      </c>
      <c r="F178" s="22">
        <v>247</v>
      </c>
      <c r="G178" s="22">
        <v>76</v>
      </c>
      <c r="H178" s="22">
        <v>0</v>
      </c>
      <c r="I178" s="22">
        <v>0</v>
      </c>
    </row>
    <row r="179" spans="1:9" s="21" customFormat="1" ht="11.25" customHeight="1" x14ac:dyDescent="0.2">
      <c r="A179" s="264" t="s">
        <v>152</v>
      </c>
      <c r="B179" s="264"/>
      <c r="C179" s="22">
        <v>205</v>
      </c>
      <c r="D179" s="22">
        <v>192</v>
      </c>
      <c r="E179" s="22">
        <v>13</v>
      </c>
      <c r="F179" s="22">
        <v>8</v>
      </c>
      <c r="G179" s="22">
        <v>5</v>
      </c>
      <c r="H179" s="22">
        <v>0</v>
      </c>
      <c r="I179" s="22">
        <v>0</v>
      </c>
    </row>
    <row r="180" spans="1:9" s="21" customFormat="1" ht="11.25" customHeight="1" x14ac:dyDescent="0.2">
      <c r="A180" s="264" t="s">
        <v>153</v>
      </c>
      <c r="B180" s="264"/>
      <c r="C180" s="22">
        <v>6842</v>
      </c>
      <c r="D180" s="22">
        <v>5373</v>
      </c>
      <c r="E180" s="22">
        <v>1469</v>
      </c>
      <c r="F180" s="22">
        <v>1179</v>
      </c>
      <c r="G180" s="22">
        <v>284</v>
      </c>
      <c r="H180" s="22">
        <v>6</v>
      </c>
      <c r="I180" s="22">
        <v>0</v>
      </c>
    </row>
    <row r="181" spans="1:9" s="21" customFormat="1" ht="11.25" customHeight="1" x14ac:dyDescent="0.2">
      <c r="A181" s="264" t="s">
        <v>154</v>
      </c>
      <c r="B181" s="264"/>
      <c r="C181" s="22">
        <v>59</v>
      </c>
      <c r="D181" s="22">
        <v>54</v>
      </c>
      <c r="E181" s="22">
        <v>5</v>
      </c>
      <c r="F181" s="22">
        <v>3</v>
      </c>
      <c r="G181" s="22">
        <v>2</v>
      </c>
      <c r="H181" s="22">
        <v>0</v>
      </c>
      <c r="I181" s="22">
        <v>0</v>
      </c>
    </row>
    <row r="182" spans="1:9" s="21" customFormat="1" ht="11.25" customHeight="1" x14ac:dyDescent="0.2">
      <c r="A182" s="264" t="s">
        <v>155</v>
      </c>
      <c r="B182" s="264"/>
      <c r="C182" s="22">
        <v>2803</v>
      </c>
      <c r="D182" s="22">
        <v>2067</v>
      </c>
      <c r="E182" s="22">
        <v>736</v>
      </c>
      <c r="F182" s="22">
        <v>558</v>
      </c>
      <c r="G182" s="22">
        <v>177</v>
      </c>
      <c r="H182" s="22">
        <v>1</v>
      </c>
      <c r="I182" s="22">
        <v>0</v>
      </c>
    </row>
    <row r="183" spans="1:9" s="21" customFormat="1" ht="11.25" customHeight="1" x14ac:dyDescent="0.2">
      <c r="A183" s="264" t="s">
        <v>156</v>
      </c>
      <c r="B183" s="264"/>
      <c r="C183" s="22">
        <v>293</v>
      </c>
      <c r="D183" s="22">
        <v>276</v>
      </c>
      <c r="E183" s="22">
        <v>17</v>
      </c>
      <c r="F183" s="22">
        <v>13</v>
      </c>
      <c r="G183" s="22">
        <v>4</v>
      </c>
      <c r="H183" s="22">
        <v>0</v>
      </c>
      <c r="I183" s="22">
        <v>0</v>
      </c>
    </row>
    <row r="184" spans="1:9" s="21" customFormat="1" ht="11.25" customHeight="1" x14ac:dyDescent="0.2">
      <c r="A184" s="264" t="s">
        <v>157</v>
      </c>
      <c r="B184" s="264"/>
      <c r="C184" s="22">
        <v>768</v>
      </c>
      <c r="D184" s="22">
        <v>638</v>
      </c>
      <c r="E184" s="22">
        <v>130</v>
      </c>
      <c r="F184" s="22">
        <v>90</v>
      </c>
      <c r="G184" s="22">
        <v>40</v>
      </c>
      <c r="H184" s="22">
        <v>0</v>
      </c>
      <c r="I184" s="22">
        <v>0</v>
      </c>
    </row>
    <row r="185" spans="1:9" s="21" customFormat="1" ht="11.25" customHeight="1" x14ac:dyDescent="0.2">
      <c r="A185" s="264" t="s">
        <v>255</v>
      </c>
      <c r="B185" s="264"/>
      <c r="C185" s="22">
        <v>120</v>
      </c>
      <c r="D185" s="22">
        <v>107</v>
      </c>
      <c r="E185" s="22">
        <v>13</v>
      </c>
      <c r="F185" s="22">
        <v>9</v>
      </c>
      <c r="G185" s="22">
        <v>4</v>
      </c>
      <c r="H185" s="22">
        <v>0</v>
      </c>
      <c r="I185" s="22">
        <v>0</v>
      </c>
    </row>
    <row r="186" spans="1:9" s="21" customFormat="1" ht="11.25" customHeight="1" x14ac:dyDescent="0.2">
      <c r="A186" s="264" t="s">
        <v>158</v>
      </c>
      <c r="B186" s="264"/>
      <c r="C186" s="22">
        <v>375</v>
      </c>
      <c r="D186" s="22">
        <v>325</v>
      </c>
      <c r="E186" s="22">
        <v>50</v>
      </c>
      <c r="F186" s="22">
        <v>43</v>
      </c>
      <c r="G186" s="22">
        <v>6</v>
      </c>
      <c r="H186" s="22">
        <v>1</v>
      </c>
      <c r="I186" s="22">
        <v>0</v>
      </c>
    </row>
    <row r="187" spans="1:9" s="21" customFormat="1" ht="11.25" customHeight="1" x14ac:dyDescent="0.2">
      <c r="A187" s="264" t="s">
        <v>159</v>
      </c>
      <c r="B187" s="264"/>
      <c r="C187" s="22">
        <v>662</v>
      </c>
      <c r="D187" s="22">
        <v>506</v>
      </c>
      <c r="E187" s="22">
        <v>156</v>
      </c>
      <c r="F187" s="22">
        <v>102</v>
      </c>
      <c r="G187" s="22">
        <v>53</v>
      </c>
      <c r="H187" s="22">
        <v>1</v>
      </c>
      <c r="I187" s="22">
        <v>0</v>
      </c>
    </row>
    <row r="188" spans="1:9" s="21" customFormat="1" ht="11.25" customHeight="1" x14ac:dyDescent="0.2">
      <c r="A188" s="264" t="s">
        <v>160</v>
      </c>
      <c r="B188" s="264"/>
      <c r="C188" s="22">
        <v>714</v>
      </c>
      <c r="D188" s="22">
        <v>588</v>
      </c>
      <c r="E188" s="22">
        <v>126</v>
      </c>
      <c r="F188" s="22">
        <v>87</v>
      </c>
      <c r="G188" s="22">
        <v>39</v>
      </c>
      <c r="H188" s="22">
        <v>0</v>
      </c>
      <c r="I188" s="22">
        <v>0</v>
      </c>
    </row>
    <row r="189" spans="1:9" s="21" customFormat="1" ht="11.25" customHeight="1" x14ac:dyDescent="0.2">
      <c r="A189" s="264" t="s">
        <v>161</v>
      </c>
      <c r="B189" s="264"/>
      <c r="C189" s="22">
        <v>139</v>
      </c>
      <c r="D189" s="22">
        <v>121</v>
      </c>
      <c r="E189" s="22">
        <v>18</v>
      </c>
      <c r="F189" s="22">
        <v>12</v>
      </c>
      <c r="G189" s="22">
        <v>6</v>
      </c>
      <c r="H189" s="22">
        <v>0</v>
      </c>
      <c r="I189" s="22">
        <v>0</v>
      </c>
    </row>
    <row r="190" spans="1:9" s="21" customFormat="1" ht="11.25" customHeight="1" x14ac:dyDescent="0.2">
      <c r="A190" s="264" t="s">
        <v>162</v>
      </c>
      <c r="B190" s="264"/>
      <c r="C190" s="22">
        <v>85</v>
      </c>
      <c r="D190" s="22">
        <v>83</v>
      </c>
      <c r="E190" s="22">
        <v>2</v>
      </c>
      <c r="F190" s="22">
        <v>1</v>
      </c>
      <c r="G190" s="22">
        <v>1</v>
      </c>
      <c r="H190" s="22">
        <v>0</v>
      </c>
      <c r="I190" s="22">
        <v>0</v>
      </c>
    </row>
    <row r="191" spans="1:9" s="21" customFormat="1" ht="11.25" customHeight="1" x14ac:dyDescent="0.2">
      <c r="A191" s="264" t="s">
        <v>163</v>
      </c>
      <c r="B191" s="264"/>
      <c r="C191" s="22">
        <v>751</v>
      </c>
      <c r="D191" s="22">
        <v>650</v>
      </c>
      <c r="E191" s="22">
        <v>101</v>
      </c>
      <c r="F191" s="22">
        <v>70</v>
      </c>
      <c r="G191" s="22">
        <v>31</v>
      </c>
      <c r="H191" s="22">
        <v>0</v>
      </c>
      <c r="I191" s="22">
        <v>0</v>
      </c>
    </row>
    <row r="192" spans="1:9" s="21" customFormat="1" ht="11.25" customHeight="1" x14ac:dyDescent="0.2">
      <c r="A192" s="264" t="s">
        <v>164</v>
      </c>
      <c r="B192" s="264"/>
      <c r="C192" s="22">
        <v>2477</v>
      </c>
      <c r="D192" s="22">
        <v>1816</v>
      </c>
      <c r="E192" s="22">
        <v>661</v>
      </c>
      <c r="F192" s="22">
        <v>552</v>
      </c>
      <c r="G192" s="22">
        <v>108</v>
      </c>
      <c r="H192" s="22">
        <v>1</v>
      </c>
      <c r="I192" s="22">
        <v>0</v>
      </c>
    </row>
    <row r="193" spans="1:9" s="21" customFormat="1" ht="11.25" customHeight="1" x14ac:dyDescent="0.2">
      <c r="A193" s="264" t="s">
        <v>165</v>
      </c>
      <c r="B193" s="264"/>
      <c r="C193" s="22">
        <v>60</v>
      </c>
      <c r="D193" s="22">
        <v>56</v>
      </c>
      <c r="E193" s="22">
        <v>4</v>
      </c>
      <c r="F193" s="22">
        <v>4</v>
      </c>
      <c r="G193" s="22">
        <v>0</v>
      </c>
      <c r="H193" s="22">
        <v>0</v>
      </c>
      <c r="I193" s="22">
        <v>0</v>
      </c>
    </row>
    <row r="194" spans="1:9" s="21" customFormat="1" ht="11.25" customHeight="1" x14ac:dyDescent="0.2">
      <c r="A194" s="264" t="s">
        <v>166</v>
      </c>
      <c r="B194" s="264"/>
      <c r="C194" s="22">
        <v>1091</v>
      </c>
      <c r="D194" s="22">
        <v>938</v>
      </c>
      <c r="E194" s="22">
        <v>153</v>
      </c>
      <c r="F194" s="22">
        <v>106</v>
      </c>
      <c r="G194" s="22">
        <v>47</v>
      </c>
      <c r="H194" s="22">
        <v>0</v>
      </c>
      <c r="I194" s="22">
        <v>0</v>
      </c>
    </row>
    <row r="195" spans="1:9" s="21" customFormat="1" ht="11.25" customHeight="1" x14ac:dyDescent="0.2">
      <c r="A195" s="264" t="s">
        <v>167</v>
      </c>
      <c r="B195" s="264"/>
      <c r="C195" s="22">
        <v>662</v>
      </c>
      <c r="D195" s="22">
        <v>564</v>
      </c>
      <c r="E195" s="22">
        <v>98</v>
      </c>
      <c r="F195" s="22">
        <v>71</v>
      </c>
      <c r="G195" s="22">
        <v>27</v>
      </c>
      <c r="H195" s="22">
        <v>0</v>
      </c>
      <c r="I195" s="22">
        <v>0</v>
      </c>
    </row>
    <row r="196" spans="1:9" s="21" customFormat="1" ht="11.25" customHeight="1" x14ac:dyDescent="0.2">
      <c r="A196" s="267" t="s">
        <v>168</v>
      </c>
      <c r="B196" s="267"/>
      <c r="C196" s="28">
        <v>289</v>
      </c>
      <c r="D196" s="28">
        <v>276</v>
      </c>
      <c r="E196" s="28">
        <v>13</v>
      </c>
      <c r="F196" s="28">
        <v>6</v>
      </c>
      <c r="G196" s="28">
        <v>7</v>
      </c>
      <c r="H196" s="28">
        <v>0</v>
      </c>
      <c r="I196" s="28">
        <v>0</v>
      </c>
    </row>
    <row r="197" spans="1:9" s="21" customFormat="1" ht="11.2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</row>
    <row r="198" spans="1:9" s="21" customFormat="1" ht="11.25" customHeight="1" x14ac:dyDescent="0.2">
      <c r="A198" s="263" t="s">
        <v>169</v>
      </c>
      <c r="B198" s="263"/>
      <c r="C198" s="20">
        <f t="shared" ref="C198:I198" si="45">SUM(C199:C207)</f>
        <v>5819</v>
      </c>
      <c r="D198" s="20">
        <f t="shared" si="45"/>
        <v>5205</v>
      </c>
      <c r="E198" s="20">
        <f t="shared" si="45"/>
        <v>614</v>
      </c>
      <c r="F198" s="20">
        <f t="shared" si="45"/>
        <v>455</v>
      </c>
      <c r="G198" s="20">
        <f t="shared" si="45"/>
        <v>159</v>
      </c>
      <c r="H198" s="20">
        <f t="shared" si="45"/>
        <v>0</v>
      </c>
      <c r="I198" s="20">
        <f t="shared" si="45"/>
        <v>0</v>
      </c>
    </row>
    <row r="199" spans="1:9" s="21" customFormat="1" ht="11.25" customHeight="1" x14ac:dyDescent="0.2">
      <c r="A199" s="264" t="s">
        <v>267</v>
      </c>
      <c r="B199" s="264"/>
      <c r="C199" s="22">
        <v>547</v>
      </c>
      <c r="D199" s="22">
        <v>506</v>
      </c>
      <c r="E199" s="22">
        <v>41</v>
      </c>
      <c r="F199" s="22">
        <v>27</v>
      </c>
      <c r="G199" s="22">
        <v>14</v>
      </c>
      <c r="H199" s="22">
        <v>0</v>
      </c>
      <c r="I199" s="22">
        <v>0</v>
      </c>
    </row>
    <row r="200" spans="1:9" s="21" customFormat="1" ht="11.25" customHeight="1" x14ac:dyDescent="0.2">
      <c r="A200" s="264" t="s">
        <v>171</v>
      </c>
      <c r="B200" s="264"/>
      <c r="C200" s="22">
        <v>54</v>
      </c>
      <c r="D200" s="22">
        <v>50</v>
      </c>
      <c r="E200" s="22">
        <v>4</v>
      </c>
      <c r="F200" s="22">
        <v>1</v>
      </c>
      <c r="G200" s="22">
        <v>3</v>
      </c>
      <c r="H200" s="22">
        <v>0</v>
      </c>
      <c r="I200" s="22">
        <v>0</v>
      </c>
    </row>
    <row r="201" spans="1:9" s="21" customFormat="1" ht="11.25" customHeight="1" x14ac:dyDescent="0.2">
      <c r="A201" s="264" t="s">
        <v>172</v>
      </c>
      <c r="B201" s="264"/>
      <c r="C201" s="22">
        <v>57</v>
      </c>
      <c r="D201" s="22">
        <v>52</v>
      </c>
      <c r="E201" s="22">
        <v>5</v>
      </c>
      <c r="F201" s="22">
        <v>3</v>
      </c>
      <c r="G201" s="22">
        <v>2</v>
      </c>
      <c r="H201" s="22">
        <v>0</v>
      </c>
      <c r="I201" s="22">
        <v>0</v>
      </c>
    </row>
    <row r="202" spans="1:9" s="21" customFormat="1" ht="11.25" customHeight="1" x14ac:dyDescent="0.2">
      <c r="A202" s="264" t="s">
        <v>173</v>
      </c>
      <c r="B202" s="264"/>
      <c r="C202" s="22">
        <v>63</v>
      </c>
      <c r="D202" s="22">
        <v>58</v>
      </c>
      <c r="E202" s="22">
        <v>5</v>
      </c>
      <c r="F202" s="22">
        <v>0</v>
      </c>
      <c r="G202" s="22">
        <v>5</v>
      </c>
      <c r="H202" s="22">
        <v>0</v>
      </c>
      <c r="I202" s="22">
        <v>0</v>
      </c>
    </row>
    <row r="203" spans="1:9" s="21" customFormat="1" ht="11.25" customHeight="1" x14ac:dyDescent="0.2">
      <c r="A203" s="264" t="s">
        <v>174</v>
      </c>
      <c r="B203" s="264"/>
      <c r="C203" s="22">
        <v>1230</v>
      </c>
      <c r="D203" s="22">
        <v>1043</v>
      </c>
      <c r="E203" s="22">
        <v>187</v>
      </c>
      <c r="F203" s="22">
        <v>142</v>
      </c>
      <c r="G203" s="22">
        <v>45</v>
      </c>
      <c r="H203" s="22">
        <v>0</v>
      </c>
      <c r="I203" s="22">
        <v>0</v>
      </c>
    </row>
    <row r="204" spans="1:9" s="21" customFormat="1" ht="11.25" customHeight="1" x14ac:dyDescent="0.2">
      <c r="A204" s="264" t="s">
        <v>268</v>
      </c>
      <c r="B204" s="264"/>
      <c r="C204" s="22">
        <v>832</v>
      </c>
      <c r="D204" s="22">
        <v>748</v>
      </c>
      <c r="E204" s="22">
        <v>84</v>
      </c>
      <c r="F204" s="22">
        <v>52</v>
      </c>
      <c r="G204" s="22">
        <v>32</v>
      </c>
      <c r="H204" s="22">
        <v>0</v>
      </c>
      <c r="I204" s="22">
        <v>0</v>
      </c>
    </row>
    <row r="205" spans="1:9" s="21" customFormat="1" ht="11.25" customHeight="1" x14ac:dyDescent="0.2">
      <c r="A205" s="264" t="s">
        <v>175</v>
      </c>
      <c r="B205" s="264"/>
      <c r="C205" s="22">
        <v>578</v>
      </c>
      <c r="D205" s="22">
        <v>556</v>
      </c>
      <c r="E205" s="22">
        <v>22</v>
      </c>
      <c r="F205" s="22">
        <v>15</v>
      </c>
      <c r="G205" s="22">
        <v>7</v>
      </c>
      <c r="H205" s="22">
        <v>0</v>
      </c>
      <c r="I205" s="22">
        <v>0</v>
      </c>
    </row>
    <row r="206" spans="1:9" s="21" customFormat="1" ht="11.25" customHeight="1" x14ac:dyDescent="0.2">
      <c r="A206" s="264" t="s">
        <v>176</v>
      </c>
      <c r="B206" s="264"/>
      <c r="C206" s="22">
        <v>46</v>
      </c>
      <c r="D206" s="22">
        <v>41</v>
      </c>
      <c r="E206" s="22">
        <v>5</v>
      </c>
      <c r="F206" s="22">
        <v>4</v>
      </c>
      <c r="G206" s="22">
        <v>1</v>
      </c>
      <c r="H206" s="22">
        <v>0</v>
      </c>
      <c r="I206" s="22">
        <v>0</v>
      </c>
    </row>
    <row r="207" spans="1:9" s="21" customFormat="1" ht="11.25" customHeight="1" x14ac:dyDescent="0.2">
      <c r="A207" s="267" t="s">
        <v>177</v>
      </c>
      <c r="B207" s="267"/>
      <c r="C207" s="28">
        <v>2412</v>
      </c>
      <c r="D207" s="28">
        <v>2151</v>
      </c>
      <c r="E207" s="28">
        <v>261</v>
      </c>
      <c r="F207" s="28">
        <v>211</v>
      </c>
      <c r="G207" s="28">
        <v>50</v>
      </c>
      <c r="H207" s="28">
        <v>0</v>
      </c>
      <c r="I207" s="28">
        <v>0</v>
      </c>
    </row>
    <row r="208" spans="1:9" s="21" customFormat="1" ht="11.2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</row>
    <row r="209" spans="1:9" s="21" customFormat="1" ht="11.25" customHeight="1" x14ac:dyDescent="0.2">
      <c r="A209" s="263" t="s">
        <v>178</v>
      </c>
      <c r="B209" s="263"/>
      <c r="C209" s="20">
        <f t="shared" ref="C209:I209" si="46">SUM(C210:C227)</f>
        <v>47128</v>
      </c>
      <c r="D209" s="20">
        <f t="shared" si="46"/>
        <v>34619</v>
      </c>
      <c r="E209" s="20">
        <f t="shared" si="46"/>
        <v>12509</v>
      </c>
      <c r="F209" s="20">
        <f t="shared" si="46"/>
        <v>10175</v>
      </c>
      <c r="G209" s="20">
        <f t="shared" si="46"/>
        <v>2308</v>
      </c>
      <c r="H209" s="20">
        <f t="shared" si="46"/>
        <v>25</v>
      </c>
      <c r="I209" s="20">
        <f t="shared" si="46"/>
        <v>1</v>
      </c>
    </row>
    <row r="210" spans="1:9" s="21" customFormat="1" ht="11.25" customHeight="1" x14ac:dyDescent="0.2">
      <c r="A210" s="264" t="s">
        <v>179</v>
      </c>
      <c r="B210" s="264"/>
      <c r="C210" s="22">
        <v>4018</v>
      </c>
      <c r="D210" s="22">
        <v>2852</v>
      </c>
      <c r="E210" s="22">
        <v>1166</v>
      </c>
      <c r="F210" s="22">
        <v>975</v>
      </c>
      <c r="G210" s="22">
        <v>190</v>
      </c>
      <c r="H210" s="22">
        <v>1</v>
      </c>
      <c r="I210" s="22">
        <v>0</v>
      </c>
    </row>
    <row r="211" spans="1:9" s="21" customFormat="1" ht="11.25" customHeight="1" x14ac:dyDescent="0.2">
      <c r="A211" s="264" t="s">
        <v>180</v>
      </c>
      <c r="B211" s="264"/>
      <c r="C211" s="22">
        <v>17111</v>
      </c>
      <c r="D211" s="22">
        <v>11832</v>
      </c>
      <c r="E211" s="22">
        <v>5279</v>
      </c>
      <c r="F211" s="22">
        <v>4214</v>
      </c>
      <c r="G211" s="22">
        <v>1051</v>
      </c>
      <c r="H211" s="22">
        <v>13</v>
      </c>
      <c r="I211" s="22">
        <v>1</v>
      </c>
    </row>
    <row r="212" spans="1:9" s="21" customFormat="1" ht="11.25" customHeight="1" x14ac:dyDescent="0.2">
      <c r="A212" s="264" t="s">
        <v>181</v>
      </c>
      <c r="B212" s="264"/>
      <c r="C212" s="22">
        <v>2206</v>
      </c>
      <c r="D212" s="22">
        <v>1379</v>
      </c>
      <c r="E212" s="22">
        <v>827</v>
      </c>
      <c r="F212" s="22">
        <v>643</v>
      </c>
      <c r="G212" s="22">
        <v>184</v>
      </c>
      <c r="H212" s="22">
        <v>0</v>
      </c>
      <c r="I212" s="22">
        <v>0</v>
      </c>
    </row>
    <row r="213" spans="1:9" s="21" customFormat="1" ht="11.25" customHeight="1" x14ac:dyDescent="0.2">
      <c r="A213" s="264" t="s">
        <v>182</v>
      </c>
      <c r="B213" s="264"/>
      <c r="C213" s="22">
        <v>2565</v>
      </c>
      <c r="D213" s="22">
        <v>2163</v>
      </c>
      <c r="E213" s="22">
        <v>402</v>
      </c>
      <c r="F213" s="22">
        <v>332</v>
      </c>
      <c r="G213" s="22">
        <v>69</v>
      </c>
      <c r="H213" s="22">
        <v>1</v>
      </c>
      <c r="I213" s="22">
        <v>0</v>
      </c>
    </row>
    <row r="214" spans="1:9" s="21" customFormat="1" ht="11.25" customHeight="1" x14ac:dyDescent="0.2">
      <c r="A214" s="264" t="s">
        <v>183</v>
      </c>
      <c r="B214" s="264"/>
      <c r="C214" s="22">
        <v>8088</v>
      </c>
      <c r="D214" s="22">
        <v>5901</v>
      </c>
      <c r="E214" s="22">
        <v>2187</v>
      </c>
      <c r="F214" s="22">
        <v>1849</v>
      </c>
      <c r="G214" s="22">
        <v>335</v>
      </c>
      <c r="H214" s="22">
        <v>3</v>
      </c>
      <c r="I214" s="22">
        <v>0</v>
      </c>
    </row>
    <row r="215" spans="1:9" s="21" customFormat="1" ht="11.25" customHeight="1" x14ac:dyDescent="0.2">
      <c r="A215" s="264" t="s">
        <v>184</v>
      </c>
      <c r="B215" s="264"/>
      <c r="C215" s="22">
        <v>641</v>
      </c>
      <c r="D215" s="22">
        <v>564</v>
      </c>
      <c r="E215" s="22">
        <v>77</v>
      </c>
      <c r="F215" s="22">
        <v>59</v>
      </c>
      <c r="G215" s="22">
        <v>18</v>
      </c>
      <c r="H215" s="22">
        <v>0</v>
      </c>
      <c r="I215" s="22">
        <v>0</v>
      </c>
    </row>
    <row r="216" spans="1:9" s="21" customFormat="1" ht="11.25" customHeight="1" x14ac:dyDescent="0.2">
      <c r="A216" s="264" t="s">
        <v>185</v>
      </c>
      <c r="B216" s="264"/>
      <c r="C216" s="22">
        <v>694</v>
      </c>
      <c r="D216" s="22">
        <v>606</v>
      </c>
      <c r="E216" s="22">
        <v>88</v>
      </c>
      <c r="F216" s="22">
        <v>78</v>
      </c>
      <c r="G216" s="22">
        <v>9</v>
      </c>
      <c r="H216" s="22">
        <v>1</v>
      </c>
      <c r="I216" s="22">
        <v>0</v>
      </c>
    </row>
    <row r="217" spans="1:9" s="21" customFormat="1" ht="11.25" customHeight="1" x14ac:dyDescent="0.2">
      <c r="A217" s="264" t="s">
        <v>186</v>
      </c>
      <c r="B217" s="264"/>
      <c r="C217" s="22">
        <v>783</v>
      </c>
      <c r="D217" s="22">
        <v>655</v>
      </c>
      <c r="E217" s="22">
        <v>128</v>
      </c>
      <c r="F217" s="22">
        <v>100</v>
      </c>
      <c r="G217" s="22">
        <v>28</v>
      </c>
      <c r="H217" s="22">
        <v>0</v>
      </c>
      <c r="I217" s="22">
        <v>0</v>
      </c>
    </row>
    <row r="218" spans="1:9" s="21" customFormat="1" ht="11.25" customHeight="1" x14ac:dyDescent="0.2">
      <c r="A218" s="264" t="s">
        <v>187</v>
      </c>
      <c r="B218" s="264"/>
      <c r="C218" s="22">
        <v>372</v>
      </c>
      <c r="D218" s="22">
        <v>339</v>
      </c>
      <c r="E218" s="22">
        <v>33</v>
      </c>
      <c r="F218" s="22">
        <v>27</v>
      </c>
      <c r="G218" s="22">
        <v>6</v>
      </c>
      <c r="H218" s="22">
        <v>0</v>
      </c>
      <c r="I218" s="22">
        <v>0</v>
      </c>
    </row>
    <row r="219" spans="1:9" s="21" customFormat="1" ht="11.25" customHeight="1" x14ac:dyDescent="0.2">
      <c r="A219" s="264" t="s">
        <v>188</v>
      </c>
      <c r="B219" s="264"/>
      <c r="C219" s="22">
        <v>1237</v>
      </c>
      <c r="D219" s="22">
        <v>1044</v>
      </c>
      <c r="E219" s="22">
        <v>193</v>
      </c>
      <c r="F219" s="22">
        <v>152</v>
      </c>
      <c r="G219" s="22">
        <v>40</v>
      </c>
      <c r="H219" s="22">
        <v>1</v>
      </c>
      <c r="I219" s="22">
        <v>0</v>
      </c>
    </row>
    <row r="220" spans="1:9" s="21" customFormat="1" ht="11.25" customHeight="1" x14ac:dyDescent="0.2">
      <c r="A220" s="264" t="s">
        <v>189</v>
      </c>
      <c r="B220" s="264"/>
      <c r="C220" s="22">
        <v>342</v>
      </c>
      <c r="D220" s="22">
        <v>325</v>
      </c>
      <c r="E220" s="22">
        <v>17</v>
      </c>
      <c r="F220" s="22">
        <v>10</v>
      </c>
      <c r="G220" s="22">
        <v>7</v>
      </c>
      <c r="H220" s="22">
        <v>0</v>
      </c>
      <c r="I220" s="22">
        <v>0</v>
      </c>
    </row>
    <row r="221" spans="1:9" s="21" customFormat="1" ht="11.25" customHeight="1" x14ac:dyDescent="0.2">
      <c r="A221" s="264" t="s">
        <v>190</v>
      </c>
      <c r="B221" s="264"/>
      <c r="C221" s="22">
        <v>114</v>
      </c>
      <c r="D221" s="22">
        <v>93</v>
      </c>
      <c r="E221" s="22">
        <v>21</v>
      </c>
      <c r="F221" s="22">
        <v>19</v>
      </c>
      <c r="G221" s="22">
        <v>2</v>
      </c>
      <c r="H221" s="22">
        <v>0</v>
      </c>
      <c r="I221" s="22">
        <v>0</v>
      </c>
    </row>
    <row r="222" spans="1:9" s="21" customFormat="1" ht="11.25" customHeight="1" x14ac:dyDescent="0.2">
      <c r="A222" s="264" t="s">
        <v>191</v>
      </c>
      <c r="B222" s="264"/>
      <c r="C222" s="22">
        <v>2424</v>
      </c>
      <c r="D222" s="22">
        <v>1869</v>
      </c>
      <c r="E222" s="22">
        <v>555</v>
      </c>
      <c r="F222" s="22">
        <v>442</v>
      </c>
      <c r="G222" s="22">
        <v>112</v>
      </c>
      <c r="H222" s="22">
        <v>1</v>
      </c>
      <c r="I222" s="22">
        <v>0</v>
      </c>
    </row>
    <row r="223" spans="1:9" s="21" customFormat="1" ht="11.25" customHeight="1" x14ac:dyDescent="0.2">
      <c r="A223" s="264" t="s">
        <v>192</v>
      </c>
      <c r="B223" s="264"/>
      <c r="C223" s="22">
        <v>551</v>
      </c>
      <c r="D223" s="22">
        <v>507</v>
      </c>
      <c r="E223" s="22">
        <v>44</v>
      </c>
      <c r="F223" s="22">
        <v>32</v>
      </c>
      <c r="G223" s="22">
        <v>12</v>
      </c>
      <c r="H223" s="22">
        <v>0</v>
      </c>
      <c r="I223" s="22">
        <v>0</v>
      </c>
    </row>
    <row r="224" spans="1:9" s="21" customFormat="1" ht="11.25" customHeight="1" x14ac:dyDescent="0.2">
      <c r="A224" s="264" t="s">
        <v>193</v>
      </c>
      <c r="B224" s="264"/>
      <c r="C224" s="22">
        <v>574</v>
      </c>
      <c r="D224" s="22">
        <v>510</v>
      </c>
      <c r="E224" s="22">
        <v>64</v>
      </c>
      <c r="F224" s="22">
        <v>52</v>
      </c>
      <c r="G224" s="22">
        <v>11</v>
      </c>
      <c r="H224" s="22">
        <v>1</v>
      </c>
      <c r="I224" s="22">
        <v>0</v>
      </c>
    </row>
    <row r="225" spans="1:9" s="21" customFormat="1" ht="11.25" customHeight="1" x14ac:dyDescent="0.2">
      <c r="A225" s="264" t="s">
        <v>194</v>
      </c>
      <c r="B225" s="264"/>
      <c r="C225" s="22">
        <v>2236</v>
      </c>
      <c r="D225" s="22">
        <v>1568</v>
      </c>
      <c r="E225" s="22">
        <v>668</v>
      </c>
      <c r="F225" s="22">
        <v>565</v>
      </c>
      <c r="G225" s="22">
        <v>102</v>
      </c>
      <c r="H225" s="22">
        <v>1</v>
      </c>
      <c r="I225" s="22">
        <v>0</v>
      </c>
    </row>
    <row r="226" spans="1:9" s="21" customFormat="1" ht="11.25" customHeight="1" x14ac:dyDescent="0.2">
      <c r="A226" s="264" t="s">
        <v>195</v>
      </c>
      <c r="B226" s="264"/>
      <c r="C226" s="22">
        <v>204</v>
      </c>
      <c r="D226" s="22">
        <v>191</v>
      </c>
      <c r="E226" s="22">
        <v>13</v>
      </c>
      <c r="F226" s="22">
        <v>9</v>
      </c>
      <c r="G226" s="22">
        <v>4</v>
      </c>
      <c r="H226" s="22">
        <v>0</v>
      </c>
      <c r="I226" s="22">
        <v>0</v>
      </c>
    </row>
    <row r="227" spans="1:9" s="21" customFormat="1" ht="11.25" customHeight="1" x14ac:dyDescent="0.2">
      <c r="A227" s="267" t="s">
        <v>196</v>
      </c>
      <c r="B227" s="267"/>
      <c r="C227" s="28">
        <v>2968</v>
      </c>
      <c r="D227" s="28">
        <v>2221</v>
      </c>
      <c r="E227" s="28">
        <v>747</v>
      </c>
      <c r="F227" s="28">
        <v>617</v>
      </c>
      <c r="G227" s="28">
        <v>128</v>
      </c>
      <c r="H227" s="28">
        <v>2</v>
      </c>
      <c r="I227" s="28">
        <v>0</v>
      </c>
    </row>
    <row r="228" spans="1:9" s="21" customFormat="1" ht="11.2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</row>
    <row r="229" spans="1:9" s="21" customFormat="1" ht="11.25" customHeight="1" x14ac:dyDescent="0.2">
      <c r="A229" s="263" t="s">
        <v>197</v>
      </c>
      <c r="B229" s="263"/>
      <c r="C229" s="20">
        <f t="shared" ref="C229:I229" si="47">SUM(C230:C235)</f>
        <v>12193</v>
      </c>
      <c r="D229" s="20">
        <f t="shared" si="47"/>
        <v>8506</v>
      </c>
      <c r="E229" s="20">
        <f t="shared" si="47"/>
        <v>3687</v>
      </c>
      <c r="F229" s="20">
        <f t="shared" si="47"/>
        <v>3049</v>
      </c>
      <c r="G229" s="20">
        <f t="shared" si="47"/>
        <v>633</v>
      </c>
      <c r="H229" s="20">
        <f t="shared" si="47"/>
        <v>5</v>
      </c>
      <c r="I229" s="20">
        <f t="shared" si="47"/>
        <v>0</v>
      </c>
    </row>
    <row r="230" spans="1:9" s="21" customFormat="1" ht="11.25" customHeight="1" x14ac:dyDescent="0.2">
      <c r="A230" s="264" t="s">
        <v>198</v>
      </c>
      <c r="B230" s="264"/>
      <c r="C230" s="22">
        <v>5926</v>
      </c>
      <c r="D230" s="22">
        <v>3765</v>
      </c>
      <c r="E230" s="22">
        <v>2161</v>
      </c>
      <c r="F230" s="22">
        <v>1847</v>
      </c>
      <c r="G230" s="22">
        <v>310</v>
      </c>
      <c r="H230" s="22">
        <v>4</v>
      </c>
      <c r="I230" s="22">
        <v>0</v>
      </c>
    </row>
    <row r="231" spans="1:9" s="21" customFormat="1" ht="11.25" customHeight="1" x14ac:dyDescent="0.2">
      <c r="A231" s="264" t="s">
        <v>199</v>
      </c>
      <c r="B231" s="264"/>
      <c r="C231" s="22">
        <v>2479</v>
      </c>
      <c r="D231" s="22">
        <v>2068</v>
      </c>
      <c r="E231" s="22">
        <v>411</v>
      </c>
      <c r="F231" s="22">
        <v>338</v>
      </c>
      <c r="G231" s="22">
        <v>73</v>
      </c>
      <c r="H231" s="22">
        <v>0</v>
      </c>
      <c r="I231" s="22">
        <v>0</v>
      </c>
    </row>
    <row r="232" spans="1:9" s="21" customFormat="1" ht="11.25" customHeight="1" x14ac:dyDescent="0.2">
      <c r="A232" s="264" t="s">
        <v>200</v>
      </c>
      <c r="B232" s="264"/>
      <c r="C232" s="22">
        <v>613</v>
      </c>
      <c r="D232" s="22">
        <v>430</v>
      </c>
      <c r="E232" s="22">
        <v>183</v>
      </c>
      <c r="F232" s="22">
        <v>116</v>
      </c>
      <c r="G232" s="22">
        <v>67</v>
      </c>
      <c r="H232" s="22">
        <v>0</v>
      </c>
      <c r="I232" s="22">
        <v>0</v>
      </c>
    </row>
    <row r="233" spans="1:9" s="21" customFormat="1" ht="11.25" customHeight="1" x14ac:dyDescent="0.2">
      <c r="A233" s="264" t="s">
        <v>201</v>
      </c>
      <c r="B233" s="264"/>
      <c r="C233" s="22">
        <v>549</v>
      </c>
      <c r="D233" s="22">
        <v>435</v>
      </c>
      <c r="E233" s="22">
        <v>114</v>
      </c>
      <c r="F233" s="22">
        <v>78</v>
      </c>
      <c r="G233" s="22">
        <v>36</v>
      </c>
      <c r="H233" s="22">
        <v>0</v>
      </c>
      <c r="I233" s="22">
        <v>0</v>
      </c>
    </row>
    <row r="234" spans="1:9" s="21" customFormat="1" ht="11.25" customHeight="1" x14ac:dyDescent="0.2">
      <c r="A234" s="264" t="s">
        <v>202</v>
      </c>
      <c r="B234" s="264"/>
      <c r="C234" s="22">
        <v>1601</v>
      </c>
      <c r="D234" s="22">
        <v>1167</v>
      </c>
      <c r="E234" s="22">
        <v>434</v>
      </c>
      <c r="F234" s="22">
        <v>353</v>
      </c>
      <c r="G234" s="22">
        <v>80</v>
      </c>
      <c r="H234" s="22">
        <v>1</v>
      </c>
      <c r="I234" s="22">
        <v>0</v>
      </c>
    </row>
    <row r="235" spans="1:9" s="21" customFormat="1" ht="11.25" customHeight="1" x14ac:dyDescent="0.2">
      <c r="A235" s="267" t="s">
        <v>203</v>
      </c>
      <c r="B235" s="267"/>
      <c r="C235" s="28">
        <v>1025</v>
      </c>
      <c r="D235" s="28">
        <v>641</v>
      </c>
      <c r="E235" s="28">
        <v>384</v>
      </c>
      <c r="F235" s="28">
        <v>317</v>
      </c>
      <c r="G235" s="28">
        <v>67</v>
      </c>
      <c r="H235" s="28">
        <v>0</v>
      </c>
      <c r="I235" s="28">
        <v>0</v>
      </c>
    </row>
    <row r="236" spans="1:9" s="21" customFormat="1" ht="11.2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</row>
    <row r="237" spans="1:9" s="21" customFormat="1" ht="11.25" customHeight="1" x14ac:dyDescent="0.2">
      <c r="A237" s="263" t="s">
        <v>204</v>
      </c>
      <c r="B237" s="263"/>
      <c r="C237" s="20">
        <f t="shared" ref="C237:I237" si="48">SUM(C238:C242)</f>
        <v>5672</v>
      </c>
      <c r="D237" s="20">
        <f t="shared" si="48"/>
        <v>5225</v>
      </c>
      <c r="E237" s="20">
        <f t="shared" si="48"/>
        <v>447</v>
      </c>
      <c r="F237" s="20">
        <f t="shared" si="48"/>
        <v>298</v>
      </c>
      <c r="G237" s="20">
        <f t="shared" si="48"/>
        <v>148</v>
      </c>
      <c r="H237" s="20">
        <f t="shared" si="48"/>
        <v>1</v>
      </c>
      <c r="I237" s="20">
        <f t="shared" si="48"/>
        <v>0</v>
      </c>
    </row>
    <row r="238" spans="1:9" s="21" customFormat="1" ht="11.25" customHeight="1" x14ac:dyDescent="0.2">
      <c r="A238" s="264" t="s">
        <v>205</v>
      </c>
      <c r="B238" s="264"/>
      <c r="C238" s="22">
        <v>1849</v>
      </c>
      <c r="D238" s="22">
        <v>1657</v>
      </c>
      <c r="E238" s="22">
        <v>192</v>
      </c>
      <c r="F238" s="22">
        <v>123</v>
      </c>
      <c r="G238" s="22">
        <v>69</v>
      </c>
      <c r="H238" s="22">
        <v>0</v>
      </c>
      <c r="I238" s="22">
        <v>0</v>
      </c>
    </row>
    <row r="239" spans="1:9" s="21" customFormat="1" ht="11.25" customHeight="1" x14ac:dyDescent="0.2">
      <c r="A239" s="264" t="s">
        <v>206</v>
      </c>
      <c r="B239" s="264"/>
      <c r="C239" s="22">
        <v>1813</v>
      </c>
      <c r="D239" s="22">
        <v>1696</v>
      </c>
      <c r="E239" s="22">
        <v>117</v>
      </c>
      <c r="F239" s="22">
        <v>84</v>
      </c>
      <c r="G239" s="22">
        <v>32</v>
      </c>
      <c r="H239" s="22">
        <v>1</v>
      </c>
      <c r="I239" s="22">
        <v>0</v>
      </c>
    </row>
    <row r="240" spans="1:9" s="21" customFormat="1" ht="11.25" customHeight="1" x14ac:dyDescent="0.2">
      <c r="A240" s="264" t="s">
        <v>207</v>
      </c>
      <c r="B240" s="264"/>
      <c r="C240" s="22">
        <v>370</v>
      </c>
      <c r="D240" s="22">
        <v>346</v>
      </c>
      <c r="E240" s="22">
        <v>24</v>
      </c>
      <c r="F240" s="22">
        <v>17</v>
      </c>
      <c r="G240" s="22">
        <v>7</v>
      </c>
      <c r="H240" s="22">
        <v>0</v>
      </c>
      <c r="I240" s="22">
        <v>0</v>
      </c>
    </row>
    <row r="241" spans="1:9" s="21" customFormat="1" ht="11.25" customHeight="1" x14ac:dyDescent="0.2">
      <c r="A241" s="264" t="s">
        <v>208</v>
      </c>
      <c r="B241" s="264"/>
      <c r="C241" s="22">
        <v>1285</v>
      </c>
      <c r="D241" s="22">
        <v>1184</v>
      </c>
      <c r="E241" s="22">
        <v>101</v>
      </c>
      <c r="F241" s="22">
        <v>67</v>
      </c>
      <c r="G241" s="22">
        <v>34</v>
      </c>
      <c r="H241" s="22">
        <v>0</v>
      </c>
      <c r="I241" s="22">
        <v>0</v>
      </c>
    </row>
    <row r="242" spans="1:9" s="21" customFormat="1" ht="11.25" customHeight="1" x14ac:dyDescent="0.2">
      <c r="A242" s="267" t="s">
        <v>209</v>
      </c>
      <c r="B242" s="267"/>
      <c r="C242" s="28">
        <v>355</v>
      </c>
      <c r="D242" s="28">
        <v>342</v>
      </c>
      <c r="E242" s="28">
        <v>13</v>
      </c>
      <c r="F242" s="28">
        <v>7</v>
      </c>
      <c r="G242" s="28">
        <v>6</v>
      </c>
      <c r="H242" s="28">
        <v>0</v>
      </c>
      <c r="I242" s="28">
        <v>0</v>
      </c>
    </row>
    <row r="243" spans="1:9" s="21" customFormat="1" ht="11.25" customHeight="1" x14ac:dyDescent="0.2">
      <c r="A243" s="25"/>
      <c r="B243" s="25"/>
      <c r="C243" s="25"/>
      <c r="D243" s="25"/>
      <c r="E243" s="25"/>
      <c r="F243" s="25"/>
      <c r="G243" s="25"/>
      <c r="H243" s="25"/>
      <c r="I243" s="25"/>
    </row>
    <row r="244" spans="1:9" s="21" customFormat="1" ht="11.25" customHeight="1" x14ac:dyDescent="0.2">
      <c r="A244" s="263" t="s">
        <v>210</v>
      </c>
      <c r="B244" s="263"/>
      <c r="C244" s="20">
        <f t="shared" ref="C244:I244" si="49">SUM(C245:C262)</f>
        <v>9943</v>
      </c>
      <c r="D244" s="20">
        <f t="shared" si="49"/>
        <v>7120</v>
      </c>
      <c r="E244" s="20">
        <f t="shared" si="49"/>
        <v>2823</v>
      </c>
      <c r="F244" s="20">
        <f t="shared" si="49"/>
        <v>1906</v>
      </c>
      <c r="G244" s="20">
        <f t="shared" si="49"/>
        <v>914</v>
      </c>
      <c r="H244" s="20">
        <f t="shared" si="49"/>
        <v>3</v>
      </c>
      <c r="I244" s="20">
        <f t="shared" si="49"/>
        <v>0</v>
      </c>
    </row>
    <row r="245" spans="1:9" s="21" customFormat="1" ht="11.25" customHeight="1" x14ac:dyDescent="0.2">
      <c r="A245" s="264" t="s">
        <v>211</v>
      </c>
      <c r="B245" s="264"/>
      <c r="C245" s="22">
        <v>1585</v>
      </c>
      <c r="D245" s="22">
        <v>1223</v>
      </c>
      <c r="E245" s="22">
        <v>362</v>
      </c>
      <c r="F245" s="22">
        <v>229</v>
      </c>
      <c r="G245" s="22">
        <v>132</v>
      </c>
      <c r="H245" s="22">
        <v>1</v>
      </c>
      <c r="I245" s="22">
        <v>0</v>
      </c>
    </row>
    <row r="246" spans="1:9" s="21" customFormat="1" ht="11.25" customHeight="1" x14ac:dyDescent="0.2">
      <c r="A246" s="264" t="s">
        <v>212</v>
      </c>
      <c r="B246" s="264"/>
      <c r="C246" s="22">
        <v>105</v>
      </c>
      <c r="D246" s="22">
        <v>84</v>
      </c>
      <c r="E246" s="22">
        <v>21</v>
      </c>
      <c r="F246" s="22">
        <v>20</v>
      </c>
      <c r="G246" s="22">
        <v>1</v>
      </c>
      <c r="H246" s="22">
        <v>0</v>
      </c>
      <c r="I246" s="22">
        <v>0</v>
      </c>
    </row>
    <row r="247" spans="1:9" s="21" customFormat="1" ht="11.25" customHeight="1" x14ac:dyDescent="0.2">
      <c r="A247" s="264" t="s">
        <v>213</v>
      </c>
      <c r="B247" s="264"/>
      <c r="C247" s="22">
        <v>83</v>
      </c>
      <c r="D247" s="22">
        <v>73</v>
      </c>
      <c r="E247" s="22">
        <v>10</v>
      </c>
      <c r="F247" s="22">
        <v>3</v>
      </c>
      <c r="G247" s="22">
        <v>7</v>
      </c>
      <c r="H247" s="22">
        <v>0</v>
      </c>
      <c r="I247" s="22">
        <v>0</v>
      </c>
    </row>
    <row r="248" spans="1:9" s="21" customFormat="1" ht="11.25" customHeight="1" x14ac:dyDescent="0.2">
      <c r="A248" s="264" t="s">
        <v>214</v>
      </c>
      <c r="B248" s="264"/>
      <c r="C248" s="22">
        <v>1019</v>
      </c>
      <c r="D248" s="22">
        <v>585</v>
      </c>
      <c r="E248" s="22">
        <v>434</v>
      </c>
      <c r="F248" s="22">
        <v>318</v>
      </c>
      <c r="G248" s="22">
        <v>116</v>
      </c>
      <c r="H248" s="22">
        <v>0</v>
      </c>
      <c r="I248" s="22">
        <v>0</v>
      </c>
    </row>
    <row r="249" spans="1:9" s="21" customFormat="1" ht="11.25" customHeight="1" x14ac:dyDescent="0.2">
      <c r="A249" s="264" t="s">
        <v>215</v>
      </c>
      <c r="B249" s="264"/>
      <c r="C249" s="22">
        <v>37</v>
      </c>
      <c r="D249" s="22">
        <v>34</v>
      </c>
      <c r="E249" s="22">
        <v>3</v>
      </c>
      <c r="F249" s="22">
        <v>2</v>
      </c>
      <c r="G249" s="22">
        <v>1</v>
      </c>
      <c r="H249" s="22">
        <v>0</v>
      </c>
      <c r="I249" s="22">
        <v>0</v>
      </c>
    </row>
    <row r="250" spans="1:9" s="21" customFormat="1" ht="11.25" customHeight="1" x14ac:dyDescent="0.2">
      <c r="A250" s="264" t="s">
        <v>216</v>
      </c>
      <c r="B250" s="264"/>
      <c r="C250" s="22">
        <v>60</v>
      </c>
      <c r="D250" s="22">
        <v>58</v>
      </c>
      <c r="E250" s="22">
        <v>2</v>
      </c>
      <c r="F250" s="22">
        <v>0</v>
      </c>
      <c r="G250" s="22">
        <v>2</v>
      </c>
      <c r="H250" s="22">
        <v>0</v>
      </c>
      <c r="I250" s="22">
        <v>0</v>
      </c>
    </row>
    <row r="251" spans="1:9" s="21" customFormat="1" ht="11.25" customHeight="1" x14ac:dyDescent="0.2">
      <c r="A251" s="264" t="s">
        <v>217</v>
      </c>
      <c r="B251" s="264"/>
      <c r="C251" s="22">
        <v>87</v>
      </c>
      <c r="D251" s="22">
        <v>81</v>
      </c>
      <c r="E251" s="22">
        <v>6</v>
      </c>
      <c r="F251" s="22">
        <v>6</v>
      </c>
      <c r="G251" s="22">
        <v>0</v>
      </c>
      <c r="H251" s="22">
        <v>0</v>
      </c>
      <c r="I251" s="22">
        <v>0</v>
      </c>
    </row>
    <row r="252" spans="1:9" s="21" customFormat="1" ht="11.25" customHeight="1" x14ac:dyDescent="0.2">
      <c r="A252" s="264" t="s">
        <v>218</v>
      </c>
      <c r="B252" s="264"/>
      <c r="C252" s="22">
        <v>409</v>
      </c>
      <c r="D252" s="22">
        <v>391</v>
      </c>
      <c r="E252" s="22">
        <v>18</v>
      </c>
      <c r="F252" s="22">
        <v>13</v>
      </c>
      <c r="G252" s="22">
        <v>5</v>
      </c>
      <c r="H252" s="22">
        <v>0</v>
      </c>
      <c r="I252" s="22">
        <v>0</v>
      </c>
    </row>
    <row r="253" spans="1:9" s="21" customFormat="1" ht="11.25" customHeight="1" x14ac:dyDescent="0.2">
      <c r="A253" s="264" t="s">
        <v>219</v>
      </c>
      <c r="B253" s="264"/>
      <c r="C253" s="22">
        <v>182</v>
      </c>
      <c r="D253" s="22">
        <v>166</v>
      </c>
      <c r="E253" s="22">
        <v>16</v>
      </c>
      <c r="F253" s="22">
        <v>16</v>
      </c>
      <c r="G253" s="22">
        <v>0</v>
      </c>
      <c r="H253" s="22">
        <v>0</v>
      </c>
      <c r="I253" s="22">
        <v>0</v>
      </c>
    </row>
    <row r="254" spans="1:9" s="21" customFormat="1" ht="11.25" customHeight="1" x14ac:dyDescent="0.2">
      <c r="A254" s="264" t="s">
        <v>220</v>
      </c>
      <c r="B254" s="264"/>
      <c r="C254" s="22">
        <v>1984</v>
      </c>
      <c r="D254" s="22">
        <v>1398</v>
      </c>
      <c r="E254" s="22">
        <v>586</v>
      </c>
      <c r="F254" s="22">
        <v>471</v>
      </c>
      <c r="G254" s="22">
        <v>115</v>
      </c>
      <c r="H254" s="22">
        <v>0</v>
      </c>
      <c r="I254" s="22">
        <v>0</v>
      </c>
    </row>
    <row r="255" spans="1:9" s="21" customFormat="1" ht="11.25" customHeight="1" x14ac:dyDescent="0.2">
      <c r="A255" s="264" t="s">
        <v>221</v>
      </c>
      <c r="B255" s="264"/>
      <c r="C255" s="22">
        <v>913</v>
      </c>
      <c r="D255" s="22">
        <v>697</v>
      </c>
      <c r="E255" s="22">
        <v>216</v>
      </c>
      <c r="F255" s="22">
        <v>171</v>
      </c>
      <c r="G255" s="22">
        <v>44</v>
      </c>
      <c r="H255" s="22">
        <v>1</v>
      </c>
      <c r="I255" s="22">
        <v>0</v>
      </c>
    </row>
    <row r="256" spans="1:9" s="21" customFormat="1" ht="11.25" customHeight="1" x14ac:dyDescent="0.2">
      <c r="A256" s="264" t="s">
        <v>222</v>
      </c>
      <c r="B256" s="264"/>
      <c r="C256" s="22">
        <v>513</v>
      </c>
      <c r="D256" s="22">
        <v>201</v>
      </c>
      <c r="E256" s="22">
        <v>312</v>
      </c>
      <c r="F256" s="22">
        <v>90</v>
      </c>
      <c r="G256" s="22">
        <v>222</v>
      </c>
      <c r="H256" s="22">
        <v>0</v>
      </c>
      <c r="I256" s="22">
        <v>0</v>
      </c>
    </row>
    <row r="257" spans="1:9" s="21" customFormat="1" ht="11.25" customHeight="1" x14ac:dyDescent="0.2">
      <c r="A257" s="264" t="s">
        <v>223</v>
      </c>
      <c r="B257" s="264"/>
      <c r="C257" s="22">
        <v>126</v>
      </c>
      <c r="D257" s="22">
        <v>118</v>
      </c>
      <c r="E257" s="22">
        <v>8</v>
      </c>
      <c r="F257" s="22">
        <v>7</v>
      </c>
      <c r="G257" s="22">
        <v>1</v>
      </c>
      <c r="H257" s="22">
        <v>0</v>
      </c>
      <c r="I257" s="22">
        <v>0</v>
      </c>
    </row>
    <row r="258" spans="1:9" s="21" customFormat="1" ht="11.25" customHeight="1" x14ac:dyDescent="0.2">
      <c r="A258" s="264" t="s">
        <v>224</v>
      </c>
      <c r="B258" s="264"/>
      <c r="C258" s="22">
        <v>371</v>
      </c>
      <c r="D258" s="22">
        <v>295</v>
      </c>
      <c r="E258" s="22">
        <v>76</v>
      </c>
      <c r="F258" s="22">
        <v>50</v>
      </c>
      <c r="G258" s="22">
        <v>25</v>
      </c>
      <c r="H258" s="22">
        <v>1</v>
      </c>
      <c r="I258" s="22">
        <v>0</v>
      </c>
    </row>
    <row r="259" spans="1:9" s="21" customFormat="1" ht="11.25" customHeight="1" x14ac:dyDescent="0.2">
      <c r="A259" s="264" t="s">
        <v>225</v>
      </c>
      <c r="B259" s="264"/>
      <c r="C259" s="22">
        <v>879</v>
      </c>
      <c r="D259" s="22">
        <v>447</v>
      </c>
      <c r="E259" s="22">
        <v>432</v>
      </c>
      <c r="F259" s="22">
        <v>250</v>
      </c>
      <c r="G259" s="22">
        <v>182</v>
      </c>
      <c r="H259" s="22">
        <v>0</v>
      </c>
      <c r="I259" s="22">
        <v>0</v>
      </c>
    </row>
    <row r="260" spans="1:9" s="21" customFormat="1" ht="11.25" customHeight="1" x14ac:dyDescent="0.2">
      <c r="A260" s="264" t="s">
        <v>226</v>
      </c>
      <c r="B260" s="264"/>
      <c r="C260" s="22">
        <v>453</v>
      </c>
      <c r="D260" s="22">
        <v>338</v>
      </c>
      <c r="E260" s="22">
        <v>115</v>
      </c>
      <c r="F260" s="22">
        <v>82</v>
      </c>
      <c r="G260" s="22">
        <v>33</v>
      </c>
      <c r="H260" s="22">
        <v>0</v>
      </c>
      <c r="I260" s="22">
        <v>0</v>
      </c>
    </row>
    <row r="261" spans="1:9" s="21" customFormat="1" ht="11.25" customHeight="1" x14ac:dyDescent="0.2">
      <c r="A261" s="264" t="s">
        <v>227</v>
      </c>
      <c r="B261" s="264"/>
      <c r="C261" s="22">
        <v>1055</v>
      </c>
      <c r="D261" s="22">
        <v>850</v>
      </c>
      <c r="E261" s="22">
        <v>205</v>
      </c>
      <c r="F261" s="22">
        <v>178</v>
      </c>
      <c r="G261" s="22">
        <v>27</v>
      </c>
      <c r="H261" s="22">
        <v>0</v>
      </c>
      <c r="I261" s="22">
        <v>0</v>
      </c>
    </row>
    <row r="262" spans="1:9" s="21" customFormat="1" ht="11.25" customHeight="1" x14ac:dyDescent="0.2">
      <c r="A262" s="267" t="s">
        <v>228</v>
      </c>
      <c r="B262" s="267"/>
      <c r="C262" s="28">
        <v>82</v>
      </c>
      <c r="D262" s="28">
        <v>81</v>
      </c>
      <c r="E262" s="28">
        <v>1</v>
      </c>
      <c r="F262" s="28">
        <v>0</v>
      </c>
      <c r="G262" s="28">
        <v>1</v>
      </c>
      <c r="H262" s="28">
        <v>0</v>
      </c>
      <c r="I262" s="28">
        <v>0</v>
      </c>
    </row>
    <row r="263" spans="1:9" s="21" customFormat="1" ht="11.25" customHeight="1" x14ac:dyDescent="0.2">
      <c r="A263" s="25"/>
      <c r="B263" s="25"/>
      <c r="C263" s="25"/>
      <c r="D263" s="25"/>
      <c r="E263" s="25"/>
      <c r="F263" s="25"/>
      <c r="G263" s="25"/>
      <c r="H263" s="25"/>
      <c r="I263" s="25"/>
    </row>
    <row r="264" spans="1:9" s="21" customFormat="1" ht="11.25" customHeight="1" x14ac:dyDescent="0.2">
      <c r="A264" s="263" t="s">
        <v>229</v>
      </c>
      <c r="B264" s="263"/>
      <c r="C264" s="20">
        <f t="shared" ref="C264:I264" si="50">SUM(C265:C272)</f>
        <v>328580</v>
      </c>
      <c r="D264" s="20">
        <f t="shared" si="50"/>
        <v>245786</v>
      </c>
      <c r="E264" s="20">
        <f t="shared" si="50"/>
        <v>82794</v>
      </c>
      <c r="F264" s="20">
        <f t="shared" si="50"/>
        <v>61226</v>
      </c>
      <c r="G264" s="20">
        <f t="shared" si="50"/>
        <v>21178</v>
      </c>
      <c r="H264" s="20">
        <f t="shared" si="50"/>
        <v>156</v>
      </c>
      <c r="I264" s="20">
        <f t="shared" si="50"/>
        <v>234</v>
      </c>
    </row>
    <row r="265" spans="1:9" s="21" customFormat="1" ht="11.25" customHeight="1" x14ac:dyDescent="0.2">
      <c r="A265" s="264" t="s">
        <v>230</v>
      </c>
      <c r="B265" s="264"/>
      <c r="C265" s="22">
        <f t="shared" ref="C265:I265" si="51">SUM(C59:C82)</f>
        <v>48188</v>
      </c>
      <c r="D265" s="22">
        <f t="shared" si="51"/>
        <v>37971</v>
      </c>
      <c r="E265" s="22">
        <f t="shared" si="51"/>
        <v>10217</v>
      </c>
      <c r="F265" s="22">
        <f t="shared" si="51"/>
        <v>7237</v>
      </c>
      <c r="G265" s="22">
        <f t="shared" si="51"/>
        <v>2767</v>
      </c>
      <c r="H265" s="22">
        <f t="shared" si="51"/>
        <v>18</v>
      </c>
      <c r="I265" s="22">
        <f t="shared" si="51"/>
        <v>195</v>
      </c>
    </row>
    <row r="266" spans="1:9" s="21" customFormat="1" ht="11.25" customHeight="1" x14ac:dyDescent="0.2">
      <c r="A266" s="264" t="s">
        <v>231</v>
      </c>
      <c r="B266" s="264"/>
      <c r="C266" s="22">
        <f t="shared" ref="C266:I266" si="52">SUM(C85:C154)</f>
        <v>138480</v>
      </c>
      <c r="D266" s="22">
        <f t="shared" si="52"/>
        <v>100310</v>
      </c>
      <c r="E266" s="22">
        <f t="shared" si="52"/>
        <v>38170</v>
      </c>
      <c r="F266" s="22">
        <f t="shared" si="52"/>
        <v>27054</v>
      </c>
      <c r="G266" s="22">
        <f t="shared" si="52"/>
        <v>11002</v>
      </c>
      <c r="H266" s="22">
        <f t="shared" si="52"/>
        <v>76</v>
      </c>
      <c r="I266" s="22">
        <f t="shared" si="52"/>
        <v>38</v>
      </c>
    </row>
    <row r="267" spans="1:9" s="21" customFormat="1" ht="11.25" customHeight="1" x14ac:dyDescent="0.2">
      <c r="A267" s="264" t="s">
        <v>232</v>
      </c>
      <c r="B267" s="264"/>
      <c r="C267" s="22">
        <f t="shared" ref="C267:I267" si="53">SUM(C157:C196)</f>
        <v>61157</v>
      </c>
      <c r="D267" s="22">
        <f t="shared" si="53"/>
        <v>46830</v>
      </c>
      <c r="E267" s="22">
        <f t="shared" si="53"/>
        <v>14327</v>
      </c>
      <c r="F267" s="22">
        <f t="shared" si="53"/>
        <v>11052</v>
      </c>
      <c r="G267" s="22">
        <f t="shared" si="53"/>
        <v>3247</v>
      </c>
      <c r="H267" s="22">
        <f t="shared" si="53"/>
        <v>28</v>
      </c>
      <c r="I267" s="22">
        <f t="shared" si="53"/>
        <v>0</v>
      </c>
    </row>
    <row r="268" spans="1:9" s="21" customFormat="1" ht="11.25" customHeight="1" x14ac:dyDescent="0.2">
      <c r="A268" s="264" t="s">
        <v>233</v>
      </c>
      <c r="B268" s="264"/>
      <c r="C268" s="22">
        <f t="shared" ref="C268:I268" si="54">SUM(C199:C207)</f>
        <v>5819</v>
      </c>
      <c r="D268" s="22">
        <f t="shared" si="54"/>
        <v>5205</v>
      </c>
      <c r="E268" s="22">
        <f t="shared" si="54"/>
        <v>614</v>
      </c>
      <c r="F268" s="22">
        <f t="shared" si="54"/>
        <v>455</v>
      </c>
      <c r="G268" s="22">
        <f t="shared" si="54"/>
        <v>159</v>
      </c>
      <c r="H268" s="22">
        <f t="shared" si="54"/>
        <v>0</v>
      </c>
      <c r="I268" s="22">
        <f t="shared" si="54"/>
        <v>0</v>
      </c>
    </row>
    <row r="269" spans="1:9" s="21" customFormat="1" ht="11.25" customHeight="1" x14ac:dyDescent="0.2">
      <c r="A269" s="264" t="s">
        <v>234</v>
      </c>
      <c r="B269" s="264"/>
      <c r="C269" s="22">
        <f t="shared" ref="C269:I269" si="55">SUM(C210:C227)</f>
        <v>47128</v>
      </c>
      <c r="D269" s="22">
        <f t="shared" si="55"/>
        <v>34619</v>
      </c>
      <c r="E269" s="22">
        <f t="shared" si="55"/>
        <v>12509</v>
      </c>
      <c r="F269" s="22">
        <f t="shared" si="55"/>
        <v>10175</v>
      </c>
      <c r="G269" s="22">
        <f t="shared" si="55"/>
        <v>2308</v>
      </c>
      <c r="H269" s="22">
        <f t="shared" si="55"/>
        <v>25</v>
      </c>
      <c r="I269" s="22">
        <f t="shared" si="55"/>
        <v>1</v>
      </c>
    </row>
    <row r="270" spans="1:9" s="21" customFormat="1" ht="11.25" customHeight="1" x14ac:dyDescent="0.2">
      <c r="A270" s="264" t="s">
        <v>235</v>
      </c>
      <c r="B270" s="264"/>
      <c r="C270" s="22">
        <f t="shared" ref="C270:I270" si="56">SUM(C230:C235)</f>
        <v>12193</v>
      </c>
      <c r="D270" s="22">
        <f t="shared" si="56"/>
        <v>8506</v>
      </c>
      <c r="E270" s="22">
        <f t="shared" si="56"/>
        <v>3687</v>
      </c>
      <c r="F270" s="22">
        <f t="shared" si="56"/>
        <v>3049</v>
      </c>
      <c r="G270" s="22">
        <f t="shared" si="56"/>
        <v>633</v>
      </c>
      <c r="H270" s="22">
        <f t="shared" si="56"/>
        <v>5</v>
      </c>
      <c r="I270" s="22">
        <f t="shared" si="56"/>
        <v>0</v>
      </c>
    </row>
    <row r="271" spans="1:9" s="21" customFormat="1" ht="11.25" customHeight="1" x14ac:dyDescent="0.2">
      <c r="A271" s="264" t="s">
        <v>236</v>
      </c>
      <c r="B271" s="264"/>
      <c r="C271" s="22">
        <f t="shared" ref="C271:I271" si="57">SUM(C238:C242)</f>
        <v>5672</v>
      </c>
      <c r="D271" s="22">
        <f t="shared" si="57"/>
        <v>5225</v>
      </c>
      <c r="E271" s="22">
        <f t="shared" si="57"/>
        <v>447</v>
      </c>
      <c r="F271" s="22">
        <f t="shared" si="57"/>
        <v>298</v>
      </c>
      <c r="G271" s="22">
        <f t="shared" si="57"/>
        <v>148</v>
      </c>
      <c r="H271" s="22">
        <f t="shared" si="57"/>
        <v>1</v>
      </c>
      <c r="I271" s="22">
        <f t="shared" si="57"/>
        <v>0</v>
      </c>
    </row>
    <row r="272" spans="1:9" s="21" customFormat="1" ht="11.25" customHeight="1" x14ac:dyDescent="0.2">
      <c r="A272" s="267" t="s">
        <v>237</v>
      </c>
      <c r="B272" s="267"/>
      <c r="C272" s="28">
        <f t="shared" ref="C272:I272" si="58">SUM(C245:C262)</f>
        <v>9943</v>
      </c>
      <c r="D272" s="28">
        <f t="shared" si="58"/>
        <v>7120</v>
      </c>
      <c r="E272" s="28">
        <f t="shared" si="58"/>
        <v>2823</v>
      </c>
      <c r="F272" s="28">
        <f t="shared" si="58"/>
        <v>1906</v>
      </c>
      <c r="G272" s="28">
        <f t="shared" si="58"/>
        <v>914</v>
      </c>
      <c r="H272" s="28">
        <f t="shared" si="58"/>
        <v>3</v>
      </c>
      <c r="I272" s="28">
        <f t="shared" si="58"/>
        <v>0</v>
      </c>
    </row>
    <row r="273" spans="1:10" s="21" customFormat="1" ht="11.25" customHeight="1" x14ac:dyDescent="0.2">
      <c r="A273" s="25"/>
      <c r="B273" s="25"/>
      <c r="C273" s="25"/>
      <c r="D273" s="25"/>
      <c r="E273" s="25"/>
      <c r="F273" s="25"/>
      <c r="G273" s="25"/>
      <c r="H273" s="25"/>
      <c r="I273" s="25"/>
    </row>
    <row r="274" spans="1:10" s="21" customFormat="1" ht="11.25" customHeight="1" x14ac:dyDescent="0.2">
      <c r="A274" s="263" t="s">
        <v>364</v>
      </c>
      <c r="B274" s="263"/>
      <c r="C274" s="20">
        <f t="shared" ref="C274:I274" si="59">SUM(C275:C278)</f>
        <v>285332</v>
      </c>
      <c r="D274" s="20">
        <f t="shared" si="59"/>
        <v>211362</v>
      </c>
      <c r="E274" s="20">
        <f t="shared" si="59"/>
        <v>73970</v>
      </c>
      <c r="F274" s="20">
        <f t="shared" si="59"/>
        <v>54674</v>
      </c>
      <c r="G274" s="20">
        <f t="shared" si="59"/>
        <v>18919</v>
      </c>
      <c r="H274" s="20">
        <f t="shared" si="59"/>
        <v>143</v>
      </c>
      <c r="I274" s="20">
        <f t="shared" si="59"/>
        <v>234</v>
      </c>
    </row>
    <row r="275" spans="1:10" s="21" customFormat="1" ht="11.25" customHeight="1" x14ac:dyDescent="0.2">
      <c r="A275" s="264" t="s">
        <v>234</v>
      </c>
      <c r="B275" s="264"/>
      <c r="C275" s="22">
        <f t="shared" ref="C275:I275" si="60">C210+C211+C212+C213+C214+C215+C216+C217+C219+C222+C223+C225+C227+C231+C164+C224</f>
        <v>49361</v>
      </c>
      <c r="D275" s="22">
        <f t="shared" si="60"/>
        <v>36332</v>
      </c>
      <c r="E275" s="22">
        <f t="shared" si="60"/>
        <v>13029</v>
      </c>
      <c r="F275" s="22">
        <f t="shared" si="60"/>
        <v>10598</v>
      </c>
      <c r="G275" s="22">
        <f t="shared" si="60"/>
        <v>2405</v>
      </c>
      <c r="H275" s="22">
        <f t="shared" si="60"/>
        <v>25</v>
      </c>
      <c r="I275" s="22">
        <f t="shared" si="60"/>
        <v>1</v>
      </c>
    </row>
    <row r="276" spans="1:10" s="21" customFormat="1" ht="11.25" customHeight="1" x14ac:dyDescent="0.2">
      <c r="A276" s="264" t="s">
        <v>238</v>
      </c>
      <c r="B276" s="264"/>
      <c r="C276" s="22">
        <f t="shared" ref="C276:I276" si="61">C59+C60+C61+C65+C66+C67+C68+C69+C70+C71+C73+C74+C76+C77+C78+C79+C80+C81+C82+C98</f>
        <v>47392</v>
      </c>
      <c r="D276" s="22">
        <f t="shared" si="61"/>
        <v>37211</v>
      </c>
      <c r="E276" s="22">
        <f t="shared" si="61"/>
        <v>10181</v>
      </c>
      <c r="F276" s="22">
        <f t="shared" si="61"/>
        <v>7208</v>
      </c>
      <c r="G276" s="22">
        <f t="shared" si="61"/>
        <v>2760</v>
      </c>
      <c r="H276" s="22">
        <f t="shared" si="61"/>
        <v>18</v>
      </c>
      <c r="I276" s="22">
        <f t="shared" si="61"/>
        <v>195</v>
      </c>
    </row>
    <row r="277" spans="1:10" s="21" customFormat="1" ht="11.25" customHeight="1" x14ac:dyDescent="0.2">
      <c r="A277" s="264" t="s">
        <v>232</v>
      </c>
      <c r="B277" s="264"/>
      <c r="C277" s="22">
        <f t="shared" ref="C277:I277" si="62">C157+C160+C163+C166+C170+C176+C177+C180+C182+C184+C187+C191+C192+C194+C199+C204+C207+C169+C173+C175+C178</f>
        <v>57979</v>
      </c>
      <c r="D277" s="22">
        <f t="shared" si="62"/>
        <v>44287</v>
      </c>
      <c r="E277" s="22">
        <f t="shared" si="62"/>
        <v>13692</v>
      </c>
      <c r="F277" s="22">
        <f t="shared" si="62"/>
        <v>10647</v>
      </c>
      <c r="G277" s="22">
        <f t="shared" si="62"/>
        <v>3019</v>
      </c>
      <c r="H277" s="22">
        <f t="shared" si="62"/>
        <v>26</v>
      </c>
      <c r="I277" s="22">
        <f t="shared" si="62"/>
        <v>0</v>
      </c>
    </row>
    <row r="278" spans="1:10" s="21" customFormat="1" ht="11.25" customHeight="1" x14ac:dyDescent="0.2">
      <c r="A278" s="267" t="s">
        <v>231</v>
      </c>
      <c r="B278" s="267"/>
      <c r="C278" s="28">
        <f t="shared" ref="C278:I278" si="63">+C85+C86+C87+C90+C91+C92+C96+C94+C100+C99+C104+C101+C106+C103+C107+C105+C108+C114+C112+C111+C115+C116+C117+C118+C119+C120+C121+C123+C122+C124+C125+C127+C126+C129+C128+C132+C134+C133+C136+C135+C137+C138+C139+C140+C141+C143+C144+C147+C146+C148+C149+C151+C152+C153+C154</f>
        <v>130600</v>
      </c>
      <c r="D278" s="28">
        <f t="shared" si="63"/>
        <v>93532</v>
      </c>
      <c r="E278" s="28">
        <f t="shared" si="63"/>
        <v>37068</v>
      </c>
      <c r="F278" s="28">
        <f t="shared" si="63"/>
        <v>26221</v>
      </c>
      <c r="G278" s="28">
        <f t="shared" si="63"/>
        <v>10735</v>
      </c>
      <c r="H278" s="28">
        <f t="shared" si="63"/>
        <v>74</v>
      </c>
      <c r="I278" s="28">
        <f t="shared" si="63"/>
        <v>38</v>
      </c>
    </row>
    <row r="279" spans="1:10" s="54" customFormat="1" ht="5.25" customHeight="1" x14ac:dyDescent="0.15">
      <c r="A279" s="317"/>
      <c r="B279" s="317"/>
      <c r="C279" s="317"/>
      <c r="D279" s="317"/>
      <c r="E279" s="317"/>
      <c r="F279" s="317"/>
      <c r="G279" s="317"/>
      <c r="H279" s="317"/>
      <c r="I279" s="317"/>
    </row>
    <row r="280" spans="1:10" s="55" customFormat="1" ht="11.25" x14ac:dyDescent="0.2">
      <c r="A280" s="286" t="s">
        <v>269</v>
      </c>
      <c r="B280" s="286"/>
      <c r="C280" s="286"/>
      <c r="D280" s="286"/>
      <c r="E280" s="286"/>
      <c r="F280" s="286"/>
      <c r="G280" s="286"/>
      <c r="H280" s="286"/>
      <c r="I280" s="286"/>
    </row>
    <row r="281" spans="1:10" s="34" customFormat="1" ht="12" customHeight="1" x14ac:dyDescent="0.2">
      <c r="A281" s="286" t="s">
        <v>363</v>
      </c>
      <c r="B281" s="286"/>
      <c r="C281" s="286"/>
      <c r="D281" s="286"/>
      <c r="E281" s="286"/>
      <c r="F281" s="286"/>
      <c r="G281" s="286"/>
      <c r="H281" s="286"/>
      <c r="I281" s="286"/>
    </row>
    <row r="282" spans="1:10" s="54" customFormat="1" ht="5.25" customHeight="1" x14ac:dyDescent="0.2">
      <c r="A282" s="314"/>
      <c r="B282" s="314"/>
      <c r="C282" s="314"/>
      <c r="D282" s="314"/>
      <c r="E282" s="314"/>
      <c r="F282" s="314"/>
      <c r="G282" s="314"/>
      <c r="H282" s="314"/>
      <c r="I282" s="314"/>
    </row>
    <row r="283" spans="1:10" s="34" customFormat="1" ht="9" customHeight="1" x14ac:dyDescent="0.2">
      <c r="A283" s="341" t="s">
        <v>240</v>
      </c>
      <c r="B283" s="341"/>
      <c r="C283" s="341"/>
      <c r="D283" s="341"/>
      <c r="E283" s="341"/>
      <c r="F283" s="341"/>
      <c r="G283" s="341"/>
      <c r="H283" s="341"/>
      <c r="I283" s="341"/>
    </row>
    <row r="284" spans="1:10" s="56" customFormat="1" ht="5.25" customHeight="1" x14ac:dyDescent="0.2">
      <c r="A284" s="341"/>
      <c r="B284" s="341"/>
      <c r="C284" s="341"/>
      <c r="D284" s="341"/>
      <c r="E284" s="341"/>
      <c r="F284" s="341"/>
      <c r="G284" s="341"/>
      <c r="H284" s="341"/>
      <c r="I284" s="341"/>
    </row>
    <row r="285" spans="1:10" s="57" customFormat="1" ht="11.25" customHeight="1" x14ac:dyDescent="0.2">
      <c r="A285" s="286" t="s">
        <v>351</v>
      </c>
      <c r="B285" s="286"/>
      <c r="C285" s="286"/>
      <c r="D285" s="286"/>
      <c r="E285" s="286"/>
      <c r="F285" s="286"/>
      <c r="G285" s="286"/>
      <c r="H285" s="286"/>
      <c r="I285" s="286"/>
      <c r="J285" s="286"/>
    </row>
    <row r="286" spans="1:10" s="57" customFormat="1" ht="11.25" customHeight="1" x14ac:dyDescent="0.2">
      <c r="A286" s="286" t="s">
        <v>352</v>
      </c>
      <c r="B286" s="286"/>
      <c r="C286" s="286"/>
      <c r="D286" s="286"/>
      <c r="E286" s="286"/>
      <c r="F286" s="286"/>
      <c r="G286" s="286"/>
      <c r="H286" s="286"/>
      <c r="I286" s="286"/>
      <c r="J286" s="286"/>
    </row>
  </sheetData>
  <mergeCells count="254">
    <mergeCell ref="A285:J285"/>
    <mergeCell ref="A282:I282"/>
    <mergeCell ref="A283:I283"/>
    <mergeCell ref="A284:I284"/>
    <mergeCell ref="A277:B277"/>
    <mergeCell ref="A278:B278"/>
    <mergeCell ref="A279:I279"/>
    <mergeCell ref="A280:I280"/>
    <mergeCell ref="A281:I281"/>
    <mergeCell ref="A272:B272"/>
    <mergeCell ref="A274:B274"/>
    <mergeCell ref="A275:B275"/>
    <mergeCell ref="A276:B276"/>
    <mergeCell ref="A268:B268"/>
    <mergeCell ref="A269:B269"/>
    <mergeCell ref="A270:B270"/>
    <mergeCell ref="A271:B271"/>
    <mergeCell ref="A264:B264"/>
    <mergeCell ref="A265:B265"/>
    <mergeCell ref="A266:B266"/>
    <mergeCell ref="A267:B267"/>
    <mergeCell ref="A259:B259"/>
    <mergeCell ref="A260:B260"/>
    <mergeCell ref="A261:B261"/>
    <mergeCell ref="A262:B262"/>
    <mergeCell ref="A255:B255"/>
    <mergeCell ref="A256:B256"/>
    <mergeCell ref="A257:B257"/>
    <mergeCell ref="A258:B258"/>
    <mergeCell ref="A251:B251"/>
    <mergeCell ref="A252:B252"/>
    <mergeCell ref="A253:B253"/>
    <mergeCell ref="A254:B254"/>
    <mergeCell ref="A247:B247"/>
    <mergeCell ref="A248:B248"/>
    <mergeCell ref="A249:B249"/>
    <mergeCell ref="A250:B250"/>
    <mergeCell ref="A242:B242"/>
    <mergeCell ref="A244:B244"/>
    <mergeCell ref="A245:B245"/>
    <mergeCell ref="A246:B246"/>
    <mergeCell ref="A238:B238"/>
    <mergeCell ref="A239:B239"/>
    <mergeCell ref="A240:B240"/>
    <mergeCell ref="A241:B241"/>
    <mergeCell ref="A233:B233"/>
    <mergeCell ref="A234:B234"/>
    <mergeCell ref="A235:B235"/>
    <mergeCell ref="A237:B237"/>
    <mergeCell ref="A229:B229"/>
    <mergeCell ref="A230:B230"/>
    <mergeCell ref="A231:B231"/>
    <mergeCell ref="A232:B232"/>
    <mergeCell ref="A224:B224"/>
    <mergeCell ref="A225:B225"/>
    <mergeCell ref="A226:B226"/>
    <mergeCell ref="A227:B227"/>
    <mergeCell ref="A220:B220"/>
    <mergeCell ref="A221:B221"/>
    <mergeCell ref="A222:B222"/>
    <mergeCell ref="A223:B223"/>
    <mergeCell ref="A216:B216"/>
    <mergeCell ref="A217:B217"/>
    <mergeCell ref="A218:B218"/>
    <mergeCell ref="A219:B219"/>
    <mergeCell ref="A212:B212"/>
    <mergeCell ref="A213:B213"/>
    <mergeCell ref="A214:B214"/>
    <mergeCell ref="A215:B215"/>
    <mergeCell ref="A207:B207"/>
    <mergeCell ref="A209:B209"/>
    <mergeCell ref="A210:B210"/>
    <mergeCell ref="A211:B211"/>
    <mergeCell ref="A203:B203"/>
    <mergeCell ref="A204:B204"/>
    <mergeCell ref="A205:B205"/>
    <mergeCell ref="A206:B206"/>
    <mergeCell ref="A199:B199"/>
    <mergeCell ref="A200:B200"/>
    <mergeCell ref="A201:B201"/>
    <mergeCell ref="A202:B202"/>
    <mergeCell ref="A194:B194"/>
    <mergeCell ref="A195:B195"/>
    <mergeCell ref="A196:B196"/>
    <mergeCell ref="A198:B198"/>
    <mergeCell ref="A190:B190"/>
    <mergeCell ref="A191:B191"/>
    <mergeCell ref="A192:B192"/>
    <mergeCell ref="A193:B193"/>
    <mergeCell ref="A186:B186"/>
    <mergeCell ref="A187:B187"/>
    <mergeCell ref="A188:B188"/>
    <mergeCell ref="A189:B189"/>
    <mergeCell ref="A182:B182"/>
    <mergeCell ref="A183:B183"/>
    <mergeCell ref="A184:B184"/>
    <mergeCell ref="A185:B185"/>
    <mergeCell ref="A178:B178"/>
    <mergeCell ref="A179:B179"/>
    <mergeCell ref="A180:B180"/>
    <mergeCell ref="A181:B181"/>
    <mergeCell ref="A174:B174"/>
    <mergeCell ref="A175:B175"/>
    <mergeCell ref="A176:B176"/>
    <mergeCell ref="A177:B177"/>
    <mergeCell ref="A170:B170"/>
    <mergeCell ref="A171:B171"/>
    <mergeCell ref="A172:B172"/>
    <mergeCell ref="A173:B173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3:B153"/>
    <mergeCell ref="A154:B154"/>
    <mergeCell ref="A156:B156"/>
    <mergeCell ref="A157:B157"/>
    <mergeCell ref="A149:B149"/>
    <mergeCell ref="A150:B150"/>
    <mergeCell ref="A151:B151"/>
    <mergeCell ref="A152:B152"/>
    <mergeCell ref="A145:B145"/>
    <mergeCell ref="A146:B146"/>
    <mergeCell ref="A147:B147"/>
    <mergeCell ref="A148:B148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33:B133"/>
    <mergeCell ref="A134:B134"/>
    <mergeCell ref="A135:B135"/>
    <mergeCell ref="A136:B136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85:B85"/>
    <mergeCell ref="A86:B86"/>
    <mergeCell ref="A87:B87"/>
    <mergeCell ref="A88:B88"/>
    <mergeCell ref="A80:B80"/>
    <mergeCell ref="A81:B81"/>
    <mergeCell ref="A82:B82"/>
    <mergeCell ref="A84:B84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12:B12"/>
    <mergeCell ref="A13:B13"/>
    <mergeCell ref="A17:B17"/>
    <mergeCell ref="A21:B21"/>
    <mergeCell ref="A39:B39"/>
    <mergeCell ref="A60:B60"/>
    <mergeCell ref="A61:B61"/>
    <mergeCell ref="A62:B62"/>
    <mergeCell ref="A63:B63"/>
    <mergeCell ref="A55:B55"/>
    <mergeCell ref="A56:B56"/>
    <mergeCell ref="A58:B58"/>
    <mergeCell ref="A59:B59"/>
    <mergeCell ref="A44:B44"/>
    <mergeCell ref="A48:B48"/>
    <mergeCell ref="A53:B53"/>
    <mergeCell ref="A54:B54"/>
    <mergeCell ref="C5:I5"/>
    <mergeCell ref="A6:B6"/>
    <mergeCell ref="E6:I6"/>
    <mergeCell ref="A23:B23"/>
    <mergeCell ref="A24:B24"/>
    <mergeCell ref="A25:B25"/>
    <mergeCell ref="A286:J286"/>
    <mergeCell ref="A1:I1"/>
    <mergeCell ref="A2:I2"/>
    <mergeCell ref="A3:I3"/>
    <mergeCell ref="A4:I4"/>
    <mergeCell ref="A7:B7"/>
    <mergeCell ref="A8:B8"/>
    <mergeCell ref="A9:B9"/>
    <mergeCell ref="A10:B10"/>
    <mergeCell ref="A5:B5"/>
    <mergeCell ref="A40:B40"/>
    <mergeCell ref="A42:B42"/>
    <mergeCell ref="A43:B43"/>
    <mergeCell ref="A29:B29"/>
    <mergeCell ref="A32:B32"/>
    <mergeCell ref="A33:B33"/>
    <mergeCell ref="A38:B38"/>
    <mergeCell ref="A26:B26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oglio7"/>
  <dimension ref="A1:J285"/>
  <sheetViews>
    <sheetView workbookViewId="0">
      <selection sqref="A1:I1"/>
    </sheetView>
  </sheetViews>
  <sheetFormatPr defaultRowHeight="12" customHeight="1" x14ac:dyDescent="0.2"/>
  <cols>
    <col min="1" max="1" width="1.7109375" style="62" customWidth="1"/>
    <col min="2" max="2" width="27.28515625" style="62" customWidth="1"/>
    <col min="3" max="9" width="11.7109375" style="62" customWidth="1"/>
    <col min="10" max="16384" width="9.140625" style="62"/>
  </cols>
  <sheetData>
    <row r="1" spans="1:9" s="58" customFormat="1" ht="12" customHeight="1" x14ac:dyDescent="0.2">
      <c r="A1" s="342"/>
      <c r="B1" s="342"/>
      <c r="C1" s="342"/>
      <c r="D1" s="342"/>
      <c r="E1" s="342"/>
      <c r="F1" s="342"/>
      <c r="G1" s="342"/>
      <c r="H1" s="342"/>
      <c r="I1" s="342"/>
    </row>
    <row r="2" spans="1:9" s="58" customFormat="1" ht="12" customHeight="1" x14ac:dyDescent="0.2">
      <c r="A2" s="343" t="s">
        <v>270</v>
      </c>
      <c r="B2" s="343"/>
      <c r="C2" s="343"/>
      <c r="D2" s="343"/>
      <c r="E2" s="343"/>
      <c r="F2" s="343"/>
      <c r="G2" s="343"/>
      <c r="H2" s="343"/>
      <c r="I2" s="343"/>
    </row>
    <row r="3" spans="1:9" s="58" customFormat="1" ht="12" customHeight="1" x14ac:dyDescent="0.2">
      <c r="A3" s="343"/>
      <c r="B3" s="343"/>
      <c r="C3" s="343"/>
      <c r="D3" s="343"/>
      <c r="E3" s="343"/>
      <c r="F3" s="343"/>
      <c r="G3" s="343"/>
      <c r="H3" s="343"/>
      <c r="I3" s="343"/>
    </row>
    <row r="4" spans="1:9" s="59" customFormat="1" ht="12" customHeight="1" x14ac:dyDescent="0.25">
      <c r="A4" s="344"/>
      <c r="B4" s="344"/>
      <c r="C4" s="344"/>
      <c r="D4" s="344"/>
      <c r="E4" s="344"/>
      <c r="F4" s="344"/>
      <c r="G4" s="344"/>
      <c r="H4" s="344"/>
      <c r="I4" s="344"/>
    </row>
    <row r="5" spans="1:9" s="60" customFormat="1" ht="12" customHeight="1" x14ac:dyDescent="0.2">
      <c r="A5" s="347"/>
      <c r="B5" s="347"/>
      <c r="C5" s="348">
        <v>2006</v>
      </c>
      <c r="D5" s="347"/>
      <c r="E5" s="347"/>
      <c r="F5" s="347"/>
      <c r="G5" s="347"/>
      <c r="H5" s="347"/>
      <c r="I5" s="347"/>
    </row>
    <row r="6" spans="1:9" s="63" customFormat="1" ht="12" customHeight="1" x14ac:dyDescent="0.2">
      <c r="A6" s="349"/>
      <c r="B6" s="349"/>
      <c r="C6" s="61" t="s">
        <v>1</v>
      </c>
      <c r="D6" s="62" t="s">
        <v>2</v>
      </c>
      <c r="E6" s="349" t="s">
        <v>3</v>
      </c>
      <c r="F6" s="349"/>
      <c r="G6" s="349"/>
      <c r="H6" s="349"/>
      <c r="I6" s="349"/>
    </row>
    <row r="7" spans="1:9" s="60" customFormat="1" ht="12" customHeight="1" x14ac:dyDescent="0.2">
      <c r="A7" s="345"/>
      <c r="B7" s="345"/>
      <c r="C7" s="62"/>
      <c r="D7" s="63"/>
      <c r="E7" s="63"/>
      <c r="F7" s="62"/>
      <c r="G7" s="62"/>
      <c r="H7" s="62"/>
      <c r="I7" s="62"/>
    </row>
    <row r="8" spans="1:9" s="64" customFormat="1" ht="12" customHeight="1" x14ac:dyDescent="0.2">
      <c r="A8" s="345"/>
      <c r="B8" s="345"/>
      <c r="H8" s="65" t="s">
        <v>4</v>
      </c>
      <c r="I8" s="65" t="s">
        <v>5</v>
      </c>
    </row>
    <row r="9" spans="1:9" s="64" customFormat="1" ht="12" customHeight="1" x14ac:dyDescent="0.2">
      <c r="A9" s="346"/>
      <c r="B9" s="346"/>
      <c r="C9" s="66"/>
      <c r="D9" s="67"/>
      <c r="E9" s="68" t="s">
        <v>1</v>
      </c>
      <c r="F9" s="68" t="s">
        <v>6</v>
      </c>
      <c r="G9" s="68" t="s">
        <v>7</v>
      </c>
      <c r="H9" s="68" t="s">
        <v>8</v>
      </c>
      <c r="I9" s="68" t="s">
        <v>9</v>
      </c>
    </row>
    <row r="10" spans="1:9" s="69" customFormat="1" ht="12" customHeight="1" x14ac:dyDescent="0.2">
      <c r="A10" s="333" t="s">
        <v>10</v>
      </c>
      <c r="B10" s="333"/>
      <c r="C10" s="43">
        <v>324851</v>
      </c>
      <c r="D10" s="43">
        <v>243245</v>
      </c>
      <c r="E10" s="43">
        <f>SUM(F10:I10)</f>
        <v>81606</v>
      </c>
      <c r="F10" s="43">
        <v>61184</v>
      </c>
      <c r="G10" s="43">
        <v>20019</v>
      </c>
      <c r="H10" s="43">
        <v>238</v>
      </c>
      <c r="I10" s="43">
        <v>165</v>
      </c>
    </row>
    <row r="11" spans="1:9" s="69" customFormat="1" ht="12" customHeight="1" x14ac:dyDescent="0.2">
      <c r="A11" s="17"/>
      <c r="B11" s="17"/>
      <c r="C11" s="18"/>
      <c r="D11" s="18"/>
      <c r="E11" s="18"/>
      <c r="F11" s="18"/>
      <c r="G11" s="18"/>
      <c r="H11" s="18"/>
      <c r="I11" s="18"/>
    </row>
    <row r="12" spans="1:9" s="70" customFormat="1" ht="12" customHeight="1" x14ac:dyDescent="0.2">
      <c r="A12" s="263" t="s">
        <v>11</v>
      </c>
      <c r="B12" s="263"/>
      <c r="C12" s="18">
        <v>29172</v>
      </c>
      <c r="D12" s="18">
        <v>21792</v>
      </c>
      <c r="E12" s="18">
        <f t="shared" ref="E12:E21" si="0">SUM(F12:I12)</f>
        <v>7380</v>
      </c>
      <c r="F12" s="18">
        <v>5464</v>
      </c>
      <c r="G12" s="18">
        <v>1898</v>
      </c>
      <c r="H12" s="18">
        <v>0</v>
      </c>
      <c r="I12" s="18">
        <v>18</v>
      </c>
    </row>
    <row r="13" spans="1:9" s="71" customFormat="1" ht="12" customHeight="1" x14ac:dyDescent="0.2">
      <c r="A13" s="264" t="s">
        <v>12</v>
      </c>
      <c r="B13" s="264"/>
      <c r="C13" s="22">
        <v>10164</v>
      </c>
      <c r="D13" s="22">
        <v>7107</v>
      </c>
      <c r="E13" s="22">
        <f t="shared" si="0"/>
        <v>3057</v>
      </c>
      <c r="F13" s="22">
        <v>1953</v>
      </c>
      <c r="G13" s="22">
        <v>1097</v>
      </c>
      <c r="H13" s="22">
        <v>0</v>
      </c>
      <c r="I13" s="22">
        <v>7</v>
      </c>
    </row>
    <row r="14" spans="1:9" s="71" customFormat="1" ht="12" customHeight="1" x14ac:dyDescent="0.2">
      <c r="A14" s="23"/>
      <c r="B14" s="24" t="s">
        <v>13</v>
      </c>
      <c r="C14" s="22">
        <v>3383</v>
      </c>
      <c r="D14" s="22">
        <v>2650</v>
      </c>
      <c r="E14" s="22">
        <f t="shared" si="0"/>
        <v>733</v>
      </c>
      <c r="F14" s="22">
        <v>538</v>
      </c>
      <c r="G14" s="22">
        <v>193</v>
      </c>
      <c r="H14" s="22">
        <v>0</v>
      </c>
      <c r="I14" s="22">
        <v>2</v>
      </c>
    </row>
    <row r="15" spans="1:9" s="71" customFormat="1" ht="12" customHeight="1" x14ac:dyDescent="0.2">
      <c r="A15" s="23"/>
      <c r="B15" s="24" t="s">
        <v>14</v>
      </c>
      <c r="C15" s="22">
        <v>3447</v>
      </c>
      <c r="D15" s="22">
        <v>2429</v>
      </c>
      <c r="E15" s="22">
        <f t="shared" si="0"/>
        <v>1018</v>
      </c>
      <c r="F15" s="22">
        <v>600</v>
      </c>
      <c r="G15" s="22">
        <v>416</v>
      </c>
      <c r="H15" s="22">
        <v>0</v>
      </c>
      <c r="I15" s="22">
        <v>2</v>
      </c>
    </row>
    <row r="16" spans="1:9" s="71" customFormat="1" ht="12" customHeight="1" x14ac:dyDescent="0.2">
      <c r="A16" s="26"/>
      <c r="B16" s="25" t="s">
        <v>15</v>
      </c>
      <c r="C16" s="22">
        <v>3334</v>
      </c>
      <c r="D16" s="22">
        <v>2028</v>
      </c>
      <c r="E16" s="22">
        <f t="shared" si="0"/>
        <v>1306</v>
      </c>
      <c r="F16" s="22">
        <v>815</v>
      </c>
      <c r="G16" s="22">
        <v>488</v>
      </c>
      <c r="H16" s="22">
        <v>0</v>
      </c>
      <c r="I16" s="22">
        <v>3</v>
      </c>
    </row>
    <row r="17" spans="1:9" s="71" customFormat="1" ht="12" customHeight="1" x14ac:dyDescent="0.2">
      <c r="A17" s="264" t="s">
        <v>16</v>
      </c>
      <c r="B17" s="264"/>
      <c r="C17" s="22">
        <v>5664</v>
      </c>
      <c r="D17" s="22">
        <v>5212</v>
      </c>
      <c r="E17" s="22">
        <f t="shared" si="0"/>
        <v>452</v>
      </c>
      <c r="F17" s="22">
        <v>301</v>
      </c>
      <c r="G17" s="22">
        <v>151</v>
      </c>
      <c r="H17" s="22">
        <v>0</v>
      </c>
      <c r="I17" s="22">
        <v>0</v>
      </c>
    </row>
    <row r="18" spans="1:9" s="71" customFormat="1" ht="12" customHeight="1" x14ac:dyDescent="0.2">
      <c r="A18" s="23"/>
      <c r="B18" s="24" t="s">
        <v>17</v>
      </c>
      <c r="C18" s="22">
        <v>1844</v>
      </c>
      <c r="D18" s="22">
        <v>1717</v>
      </c>
      <c r="E18" s="22">
        <f t="shared" si="0"/>
        <v>127</v>
      </c>
      <c r="F18" s="22">
        <v>85</v>
      </c>
      <c r="G18" s="22">
        <v>42</v>
      </c>
      <c r="H18" s="22">
        <v>0</v>
      </c>
      <c r="I18" s="22">
        <v>0</v>
      </c>
    </row>
    <row r="19" spans="1:9" s="71" customFormat="1" ht="12" customHeight="1" x14ac:dyDescent="0.2">
      <c r="A19" s="23"/>
      <c r="B19" s="24" t="s">
        <v>18</v>
      </c>
      <c r="C19" s="22">
        <v>1826</v>
      </c>
      <c r="D19" s="22">
        <v>1640</v>
      </c>
      <c r="E19" s="22">
        <f t="shared" si="0"/>
        <v>186</v>
      </c>
      <c r="F19" s="22">
        <v>124</v>
      </c>
      <c r="G19" s="22">
        <v>62</v>
      </c>
      <c r="H19" s="22">
        <v>0</v>
      </c>
      <c r="I19" s="22">
        <v>0</v>
      </c>
    </row>
    <row r="20" spans="1:9" s="71" customFormat="1" ht="12" customHeight="1" x14ac:dyDescent="0.2">
      <c r="A20" s="26"/>
      <c r="B20" s="24" t="s">
        <v>19</v>
      </c>
      <c r="C20" s="22">
        <v>1994</v>
      </c>
      <c r="D20" s="22">
        <v>1855</v>
      </c>
      <c r="E20" s="22">
        <f t="shared" si="0"/>
        <v>139</v>
      </c>
      <c r="F20" s="22">
        <v>92</v>
      </c>
      <c r="G20" s="22">
        <v>47</v>
      </c>
      <c r="H20" s="22">
        <v>0</v>
      </c>
      <c r="I20" s="22">
        <v>0</v>
      </c>
    </row>
    <row r="21" spans="1:9" s="71" customFormat="1" ht="12" customHeight="1" x14ac:dyDescent="0.2">
      <c r="A21" s="267" t="s">
        <v>20</v>
      </c>
      <c r="B21" s="267"/>
      <c r="C21" s="28">
        <v>13344</v>
      </c>
      <c r="D21" s="28">
        <v>9473</v>
      </c>
      <c r="E21" s="28">
        <f t="shared" si="0"/>
        <v>3871</v>
      </c>
      <c r="F21" s="28">
        <v>3210</v>
      </c>
      <c r="G21" s="28">
        <v>650</v>
      </c>
      <c r="H21" s="28">
        <v>0</v>
      </c>
      <c r="I21" s="28">
        <v>11</v>
      </c>
    </row>
    <row r="22" spans="1:9" s="71" customFormat="1" ht="12" customHeight="1" x14ac:dyDescent="0.2">
      <c r="A22" s="26"/>
      <c r="B22" s="26"/>
      <c r="C22" s="72"/>
      <c r="D22" s="72"/>
      <c r="E22" s="72"/>
      <c r="F22" s="72"/>
      <c r="G22" s="72"/>
      <c r="H22" s="72"/>
      <c r="I22" s="72"/>
    </row>
    <row r="23" spans="1:9" s="70" customFormat="1" ht="12" customHeight="1" x14ac:dyDescent="0.2">
      <c r="A23" s="263" t="s">
        <v>21</v>
      </c>
      <c r="B23" s="263"/>
      <c r="C23" s="20">
        <v>65480</v>
      </c>
      <c r="D23" s="20">
        <v>50984</v>
      </c>
      <c r="E23" s="20">
        <f t="shared" ref="E23:E36" si="1">SUM(F23:I23)</f>
        <v>14496</v>
      </c>
      <c r="F23" s="20">
        <v>11257</v>
      </c>
      <c r="G23" s="20">
        <v>3213</v>
      </c>
      <c r="H23" s="20">
        <v>0</v>
      </c>
      <c r="I23" s="20">
        <v>26</v>
      </c>
    </row>
    <row r="24" spans="1:9" s="71" customFormat="1" ht="12" customHeight="1" x14ac:dyDescent="0.2">
      <c r="A24" s="264" t="s">
        <v>22</v>
      </c>
      <c r="B24" s="264"/>
      <c r="C24" s="22">
        <v>39858</v>
      </c>
      <c r="D24" s="22">
        <v>29133</v>
      </c>
      <c r="E24" s="22">
        <f t="shared" si="1"/>
        <v>10725</v>
      </c>
      <c r="F24" s="22">
        <v>8314</v>
      </c>
      <c r="G24" s="22">
        <v>2395</v>
      </c>
      <c r="H24" s="22">
        <v>0</v>
      </c>
      <c r="I24" s="22">
        <v>16</v>
      </c>
    </row>
    <row r="25" spans="1:9" s="71" customFormat="1" ht="12" customHeight="1" x14ac:dyDescent="0.2">
      <c r="A25" s="264" t="s">
        <v>23</v>
      </c>
      <c r="B25" s="264"/>
      <c r="C25" s="22">
        <v>3946</v>
      </c>
      <c r="D25" s="22">
        <v>3304</v>
      </c>
      <c r="E25" s="22">
        <f t="shared" si="1"/>
        <v>642</v>
      </c>
      <c r="F25" s="22">
        <v>487</v>
      </c>
      <c r="G25" s="22">
        <v>153</v>
      </c>
      <c r="H25" s="22">
        <v>0</v>
      </c>
      <c r="I25" s="22">
        <v>2</v>
      </c>
    </row>
    <row r="26" spans="1:9" s="71" customFormat="1" ht="12" customHeight="1" x14ac:dyDescent="0.2">
      <c r="A26" s="264" t="s">
        <v>24</v>
      </c>
      <c r="B26" s="264"/>
      <c r="C26" s="22">
        <v>11439</v>
      </c>
      <c r="D26" s="22">
        <v>9367</v>
      </c>
      <c r="E26" s="22">
        <f t="shared" si="1"/>
        <v>2072</v>
      </c>
      <c r="F26" s="22">
        <v>1694</v>
      </c>
      <c r="G26" s="22">
        <v>371</v>
      </c>
      <c r="H26" s="22">
        <v>0</v>
      </c>
      <c r="I26" s="22">
        <v>7</v>
      </c>
    </row>
    <row r="27" spans="1:9" s="71" customFormat="1" ht="12" customHeight="1" x14ac:dyDescent="0.2">
      <c r="A27" s="29"/>
      <c r="B27" s="24" t="s">
        <v>25</v>
      </c>
      <c r="C27" s="22">
        <v>906</v>
      </c>
      <c r="D27" s="22">
        <v>860</v>
      </c>
      <c r="E27" s="22">
        <f t="shared" si="1"/>
        <v>46</v>
      </c>
      <c r="F27" s="22">
        <v>25</v>
      </c>
      <c r="G27" s="22">
        <v>21</v>
      </c>
      <c r="H27" s="22">
        <v>0</v>
      </c>
      <c r="I27" s="22">
        <v>0</v>
      </c>
    </row>
    <row r="28" spans="1:9" s="71" customFormat="1" ht="12" customHeight="1" x14ac:dyDescent="0.2">
      <c r="A28" s="26"/>
      <c r="B28" s="24" t="s">
        <v>26</v>
      </c>
      <c r="C28" s="22">
        <v>10533</v>
      </c>
      <c r="D28" s="22">
        <v>8507</v>
      </c>
      <c r="E28" s="22">
        <f t="shared" si="1"/>
        <v>2026</v>
      </c>
      <c r="F28" s="22">
        <v>1669</v>
      </c>
      <c r="G28" s="22">
        <v>350</v>
      </c>
      <c r="H28" s="22">
        <v>0</v>
      </c>
      <c r="I28" s="22">
        <v>7</v>
      </c>
    </row>
    <row r="29" spans="1:9" s="71" customFormat="1" ht="12" customHeight="1" x14ac:dyDescent="0.2">
      <c r="A29" s="264" t="s">
        <v>27</v>
      </c>
      <c r="B29" s="264"/>
      <c r="C29" s="22">
        <v>3624</v>
      </c>
      <c r="D29" s="22">
        <v>3246</v>
      </c>
      <c r="E29" s="22">
        <f t="shared" si="1"/>
        <v>378</v>
      </c>
      <c r="F29" s="22">
        <v>263</v>
      </c>
      <c r="G29" s="22">
        <v>115</v>
      </c>
      <c r="H29" s="22">
        <v>0</v>
      </c>
      <c r="I29" s="22">
        <v>0</v>
      </c>
    </row>
    <row r="30" spans="1:9" s="71" customFormat="1" ht="12" customHeight="1" x14ac:dyDescent="0.2">
      <c r="A30" s="29"/>
      <c r="B30" s="24" t="s">
        <v>28</v>
      </c>
      <c r="C30" s="22">
        <v>1120</v>
      </c>
      <c r="D30" s="22">
        <v>1026</v>
      </c>
      <c r="E30" s="22">
        <f t="shared" si="1"/>
        <v>94</v>
      </c>
      <c r="F30" s="22">
        <v>64</v>
      </c>
      <c r="G30" s="22">
        <v>30</v>
      </c>
      <c r="H30" s="22">
        <v>0</v>
      </c>
      <c r="I30" s="22">
        <v>0</v>
      </c>
    </row>
    <row r="31" spans="1:9" s="71" customFormat="1" ht="12" customHeight="1" x14ac:dyDescent="0.2">
      <c r="A31" s="26"/>
      <c r="B31" s="24" t="s">
        <v>29</v>
      </c>
      <c r="C31" s="22">
        <v>2504</v>
      </c>
      <c r="D31" s="22">
        <v>2220</v>
      </c>
      <c r="E31" s="22">
        <f t="shared" si="1"/>
        <v>284</v>
      </c>
      <c r="F31" s="22">
        <v>199</v>
      </c>
      <c r="G31" s="22">
        <v>85</v>
      </c>
      <c r="H31" s="22">
        <v>0</v>
      </c>
      <c r="I31" s="22">
        <v>0</v>
      </c>
    </row>
    <row r="32" spans="1:9" s="71" customFormat="1" ht="12" customHeight="1" x14ac:dyDescent="0.2">
      <c r="A32" s="264" t="s">
        <v>30</v>
      </c>
      <c r="B32" s="264"/>
      <c r="C32" s="22">
        <v>780</v>
      </c>
      <c r="D32" s="22">
        <v>716</v>
      </c>
      <c r="E32" s="22">
        <f t="shared" si="1"/>
        <v>64</v>
      </c>
      <c r="F32" s="22">
        <v>44</v>
      </c>
      <c r="G32" s="22">
        <v>20</v>
      </c>
      <c r="H32" s="22">
        <v>0</v>
      </c>
      <c r="I32" s="22">
        <v>0</v>
      </c>
    </row>
    <row r="33" spans="1:9" s="71" customFormat="1" ht="12" customHeight="1" x14ac:dyDescent="0.2">
      <c r="A33" s="264" t="s">
        <v>31</v>
      </c>
      <c r="B33" s="264"/>
      <c r="C33" s="22">
        <v>5833</v>
      </c>
      <c r="D33" s="22">
        <v>5218</v>
      </c>
      <c r="E33" s="22">
        <f t="shared" si="1"/>
        <v>615</v>
      </c>
      <c r="F33" s="22">
        <v>455</v>
      </c>
      <c r="G33" s="22">
        <v>159</v>
      </c>
      <c r="H33" s="22">
        <v>0</v>
      </c>
      <c r="I33" s="22">
        <v>1</v>
      </c>
    </row>
    <row r="34" spans="1:9" s="71" customFormat="1" ht="12" customHeight="1" x14ac:dyDescent="0.2">
      <c r="A34" s="29"/>
      <c r="B34" s="24" t="s">
        <v>32</v>
      </c>
      <c r="C34" s="22">
        <v>576</v>
      </c>
      <c r="D34" s="22">
        <v>557</v>
      </c>
      <c r="E34" s="22">
        <f t="shared" si="1"/>
        <v>19</v>
      </c>
      <c r="F34" s="22">
        <v>16</v>
      </c>
      <c r="G34" s="22">
        <v>3</v>
      </c>
      <c r="H34" s="22">
        <v>0</v>
      </c>
      <c r="I34" s="22">
        <v>0</v>
      </c>
    </row>
    <row r="35" spans="1:9" s="71" customFormat="1" ht="12" customHeight="1" x14ac:dyDescent="0.2">
      <c r="A35" s="23"/>
      <c r="B35" s="24" t="s">
        <v>33</v>
      </c>
      <c r="C35" s="22">
        <v>217</v>
      </c>
      <c r="D35" s="22">
        <v>204</v>
      </c>
      <c r="E35" s="22">
        <f t="shared" si="1"/>
        <v>13</v>
      </c>
      <c r="F35" s="22">
        <v>10</v>
      </c>
      <c r="G35" s="22">
        <v>3</v>
      </c>
      <c r="H35" s="22">
        <v>0</v>
      </c>
      <c r="I35" s="22">
        <v>0</v>
      </c>
    </row>
    <row r="36" spans="1:9" s="71" customFormat="1" ht="12" customHeight="1" x14ac:dyDescent="0.2">
      <c r="A36" s="23"/>
      <c r="B36" s="30" t="s">
        <v>34</v>
      </c>
      <c r="C36" s="28">
        <v>5040</v>
      </c>
      <c r="D36" s="28">
        <v>4457</v>
      </c>
      <c r="E36" s="28">
        <f t="shared" si="1"/>
        <v>583</v>
      </c>
      <c r="F36" s="28">
        <v>429</v>
      </c>
      <c r="G36" s="28">
        <v>153</v>
      </c>
      <c r="H36" s="28">
        <v>0</v>
      </c>
      <c r="I36" s="28">
        <v>1</v>
      </c>
    </row>
    <row r="37" spans="1:9" s="71" customFormat="1" ht="12" customHeight="1" x14ac:dyDescent="0.2">
      <c r="A37" s="26"/>
      <c r="B37" s="26"/>
      <c r="C37" s="73"/>
      <c r="D37" s="73"/>
      <c r="E37" s="73"/>
      <c r="F37" s="73"/>
      <c r="G37" s="73"/>
      <c r="H37" s="73"/>
      <c r="I37" s="73"/>
    </row>
    <row r="38" spans="1:9" s="70" customFormat="1" ht="12" customHeight="1" x14ac:dyDescent="0.2">
      <c r="A38" s="263" t="s">
        <v>35</v>
      </c>
      <c r="B38" s="263"/>
      <c r="C38" s="20">
        <v>45326</v>
      </c>
      <c r="D38" s="20">
        <v>32878</v>
      </c>
      <c r="E38" s="20">
        <f>SUM(F38:I38)</f>
        <v>12448</v>
      </c>
      <c r="F38" s="20">
        <v>10154</v>
      </c>
      <c r="G38" s="20">
        <v>2268</v>
      </c>
      <c r="H38" s="20">
        <v>1</v>
      </c>
      <c r="I38" s="20">
        <v>25</v>
      </c>
    </row>
    <row r="39" spans="1:9" s="71" customFormat="1" ht="12" customHeight="1" x14ac:dyDescent="0.2">
      <c r="A39" s="264" t="s">
        <v>36</v>
      </c>
      <c r="B39" s="264"/>
      <c r="C39" s="22">
        <v>39453</v>
      </c>
      <c r="D39" s="22">
        <v>28774</v>
      </c>
      <c r="E39" s="22">
        <f>SUM(F39:I39)</f>
        <v>10679</v>
      </c>
      <c r="F39" s="22">
        <v>8728</v>
      </c>
      <c r="G39" s="22">
        <v>1928</v>
      </c>
      <c r="H39" s="22">
        <v>1</v>
      </c>
      <c r="I39" s="22">
        <v>22</v>
      </c>
    </row>
    <row r="40" spans="1:9" s="71" customFormat="1" ht="12" customHeight="1" x14ac:dyDescent="0.2">
      <c r="A40" s="267" t="s">
        <v>37</v>
      </c>
      <c r="B40" s="267"/>
      <c r="C40" s="28">
        <v>5873</v>
      </c>
      <c r="D40" s="28">
        <v>4104</v>
      </c>
      <c r="E40" s="28">
        <f>SUM(F40:I40)</f>
        <v>1769</v>
      </c>
      <c r="F40" s="28">
        <v>1426</v>
      </c>
      <c r="G40" s="28">
        <v>340</v>
      </c>
      <c r="H40" s="28">
        <v>0</v>
      </c>
      <c r="I40" s="28">
        <v>3</v>
      </c>
    </row>
    <row r="41" spans="1:9" s="71" customFormat="1" ht="12" customHeight="1" x14ac:dyDescent="0.2">
      <c r="A41" s="26"/>
      <c r="B41" s="26"/>
      <c r="C41" s="73"/>
      <c r="D41" s="73"/>
      <c r="E41" s="73"/>
      <c r="F41" s="73"/>
      <c r="G41" s="73"/>
      <c r="H41" s="73"/>
      <c r="I41" s="73"/>
    </row>
    <row r="42" spans="1:9" s="70" customFormat="1" ht="12" customHeight="1" x14ac:dyDescent="0.2">
      <c r="A42" s="263" t="s">
        <v>38</v>
      </c>
      <c r="B42" s="263"/>
      <c r="C42" s="20">
        <v>132209</v>
      </c>
      <c r="D42" s="20">
        <v>96025</v>
      </c>
      <c r="E42" s="20">
        <f t="shared" ref="E42:E51" si="2">SUM(F42:I42)</f>
        <v>36184</v>
      </c>
      <c r="F42" s="20">
        <v>26434</v>
      </c>
      <c r="G42" s="20">
        <v>9638</v>
      </c>
      <c r="H42" s="20">
        <v>34</v>
      </c>
      <c r="I42" s="20">
        <v>78</v>
      </c>
    </row>
    <row r="43" spans="1:9" s="71" customFormat="1" ht="12" customHeight="1" x14ac:dyDescent="0.2">
      <c r="A43" s="264" t="s">
        <v>39</v>
      </c>
      <c r="B43" s="264"/>
      <c r="C43" s="22">
        <v>86985</v>
      </c>
      <c r="D43" s="22">
        <v>58491</v>
      </c>
      <c r="E43" s="22">
        <f t="shared" si="2"/>
        <v>28494</v>
      </c>
      <c r="F43" s="22">
        <v>20320</v>
      </c>
      <c r="G43" s="22">
        <v>8084</v>
      </c>
      <c r="H43" s="22">
        <v>32</v>
      </c>
      <c r="I43" s="22">
        <v>58</v>
      </c>
    </row>
    <row r="44" spans="1:9" s="71" customFormat="1" ht="12" customHeight="1" x14ac:dyDescent="0.2">
      <c r="A44" s="270" t="s">
        <v>40</v>
      </c>
      <c r="B44" s="270"/>
      <c r="C44" s="22">
        <v>23783</v>
      </c>
      <c r="D44" s="22">
        <v>20386</v>
      </c>
      <c r="E44" s="22">
        <f t="shared" si="2"/>
        <v>3397</v>
      </c>
      <c r="F44" s="22">
        <v>2763</v>
      </c>
      <c r="G44" s="22">
        <v>625</v>
      </c>
      <c r="H44" s="22">
        <v>1</v>
      </c>
      <c r="I44" s="22">
        <v>8</v>
      </c>
    </row>
    <row r="45" spans="1:9" s="71" customFormat="1" ht="12" customHeight="1" x14ac:dyDescent="0.2">
      <c r="A45" s="30"/>
      <c r="B45" s="24" t="s">
        <v>41</v>
      </c>
      <c r="C45" s="22">
        <v>11692</v>
      </c>
      <c r="D45" s="22">
        <v>9499</v>
      </c>
      <c r="E45" s="22">
        <f t="shared" si="2"/>
        <v>2193</v>
      </c>
      <c r="F45" s="22">
        <v>1831</v>
      </c>
      <c r="G45" s="22">
        <v>354</v>
      </c>
      <c r="H45" s="22">
        <v>0</v>
      </c>
      <c r="I45" s="22">
        <v>8</v>
      </c>
    </row>
    <row r="46" spans="1:9" s="71" customFormat="1" ht="12" customHeight="1" x14ac:dyDescent="0.2">
      <c r="A46" s="30"/>
      <c r="B46" s="24" t="s">
        <v>42</v>
      </c>
      <c r="C46" s="22">
        <v>11191</v>
      </c>
      <c r="D46" s="22">
        <v>10063</v>
      </c>
      <c r="E46" s="22">
        <f t="shared" si="2"/>
        <v>1128</v>
      </c>
      <c r="F46" s="22">
        <v>873</v>
      </c>
      <c r="G46" s="22">
        <v>254</v>
      </c>
      <c r="H46" s="22">
        <v>1</v>
      </c>
      <c r="I46" s="22">
        <v>0</v>
      </c>
    </row>
    <row r="47" spans="1:9" s="71" customFormat="1" ht="12" customHeight="1" x14ac:dyDescent="0.2">
      <c r="A47" s="25"/>
      <c r="B47" s="25" t="s">
        <v>43</v>
      </c>
      <c r="C47" s="22">
        <v>900</v>
      </c>
      <c r="D47" s="22">
        <v>824</v>
      </c>
      <c r="E47" s="22">
        <f t="shared" si="2"/>
        <v>76</v>
      </c>
      <c r="F47" s="22">
        <v>59</v>
      </c>
      <c r="G47" s="22">
        <v>17</v>
      </c>
      <c r="H47" s="22">
        <v>0</v>
      </c>
      <c r="I47" s="22">
        <v>0</v>
      </c>
    </row>
    <row r="48" spans="1:9" s="71" customFormat="1" ht="12" customHeight="1" x14ac:dyDescent="0.2">
      <c r="A48" s="264" t="s">
        <v>44</v>
      </c>
      <c r="B48" s="264"/>
      <c r="C48" s="22">
        <v>21441</v>
      </c>
      <c r="D48" s="22">
        <v>17148</v>
      </c>
      <c r="E48" s="22">
        <f t="shared" si="2"/>
        <v>4293</v>
      </c>
      <c r="F48" s="22">
        <v>3351</v>
      </c>
      <c r="G48" s="22">
        <v>929</v>
      </c>
      <c r="H48" s="22">
        <v>1</v>
      </c>
      <c r="I48" s="22">
        <v>12</v>
      </c>
    </row>
    <row r="49" spans="1:9" s="71" customFormat="1" ht="12" customHeight="1" x14ac:dyDescent="0.2">
      <c r="A49" s="30"/>
      <c r="B49" s="24" t="s">
        <v>45</v>
      </c>
      <c r="C49" s="22">
        <v>2595</v>
      </c>
      <c r="D49" s="22">
        <v>2313</v>
      </c>
      <c r="E49" s="22">
        <f t="shared" si="2"/>
        <v>282</v>
      </c>
      <c r="F49" s="22">
        <v>205</v>
      </c>
      <c r="G49" s="22">
        <v>75</v>
      </c>
      <c r="H49" s="22">
        <v>1</v>
      </c>
      <c r="I49" s="22">
        <v>1</v>
      </c>
    </row>
    <row r="50" spans="1:9" s="71" customFormat="1" ht="12" customHeight="1" x14ac:dyDescent="0.2">
      <c r="A50" s="30"/>
      <c r="B50" s="24" t="s">
        <v>46</v>
      </c>
      <c r="C50" s="22">
        <v>5873</v>
      </c>
      <c r="D50" s="22">
        <v>5029</v>
      </c>
      <c r="E50" s="22">
        <f t="shared" si="2"/>
        <v>844</v>
      </c>
      <c r="F50" s="22">
        <v>638</v>
      </c>
      <c r="G50" s="22">
        <v>204</v>
      </c>
      <c r="H50" s="22">
        <v>0</v>
      </c>
      <c r="I50" s="22">
        <v>2</v>
      </c>
    </row>
    <row r="51" spans="1:9" s="71" customFormat="1" ht="12" customHeight="1" x14ac:dyDescent="0.2">
      <c r="A51" s="30"/>
      <c r="B51" s="30" t="s">
        <v>47</v>
      </c>
      <c r="C51" s="28">
        <v>12973</v>
      </c>
      <c r="D51" s="28">
        <v>9806</v>
      </c>
      <c r="E51" s="28">
        <f t="shared" si="2"/>
        <v>3167</v>
      </c>
      <c r="F51" s="28">
        <v>2508</v>
      </c>
      <c r="G51" s="28">
        <v>650</v>
      </c>
      <c r="H51" s="28">
        <v>0</v>
      </c>
      <c r="I51" s="28">
        <v>9</v>
      </c>
    </row>
    <row r="52" spans="1:9" s="71" customFormat="1" ht="12" customHeight="1" x14ac:dyDescent="0.2">
      <c r="A52" s="25"/>
      <c r="B52" s="25"/>
      <c r="C52" s="72"/>
      <c r="D52" s="72"/>
      <c r="E52" s="72"/>
      <c r="F52" s="72"/>
      <c r="G52" s="72"/>
      <c r="H52" s="72"/>
      <c r="I52" s="72"/>
    </row>
    <row r="53" spans="1:9" s="70" customFormat="1" ht="12" customHeight="1" x14ac:dyDescent="0.2">
      <c r="A53" s="263" t="s">
        <v>48</v>
      </c>
      <c r="B53" s="263"/>
      <c r="C53" s="20">
        <v>52664</v>
      </c>
      <c r="D53" s="20">
        <v>41566</v>
      </c>
      <c r="E53" s="20">
        <f>SUM(F53:I53)</f>
        <v>11098</v>
      </c>
      <c r="F53" s="20">
        <v>7875</v>
      </c>
      <c r="G53" s="20">
        <v>3002</v>
      </c>
      <c r="H53" s="20">
        <v>203</v>
      </c>
      <c r="I53" s="20">
        <v>18</v>
      </c>
    </row>
    <row r="54" spans="1:9" s="71" customFormat="1" ht="12" customHeight="1" x14ac:dyDescent="0.2">
      <c r="A54" s="264" t="s">
        <v>49</v>
      </c>
      <c r="B54" s="264"/>
      <c r="C54" s="22">
        <v>18438</v>
      </c>
      <c r="D54" s="22">
        <v>13461</v>
      </c>
      <c r="E54" s="22">
        <f>SUM(F54:I54)</f>
        <v>4977</v>
      </c>
      <c r="F54" s="22">
        <v>3633</v>
      </c>
      <c r="G54" s="22">
        <v>1145</v>
      </c>
      <c r="H54" s="22">
        <v>191</v>
      </c>
      <c r="I54" s="22">
        <v>8</v>
      </c>
    </row>
    <row r="55" spans="1:9" s="71" customFormat="1" ht="12" customHeight="1" x14ac:dyDescent="0.2">
      <c r="A55" s="264" t="s">
        <v>50</v>
      </c>
      <c r="B55" s="264"/>
      <c r="C55" s="22">
        <v>30261</v>
      </c>
      <c r="D55" s="22">
        <v>24509</v>
      </c>
      <c r="E55" s="22">
        <f>SUM(F55:I55)</f>
        <v>5752</v>
      </c>
      <c r="F55" s="22">
        <v>3966</v>
      </c>
      <c r="G55" s="22">
        <v>1765</v>
      </c>
      <c r="H55" s="22">
        <v>12</v>
      </c>
      <c r="I55" s="22">
        <v>9</v>
      </c>
    </row>
    <row r="56" spans="1:9" s="71" customFormat="1" ht="12" customHeight="1" x14ac:dyDescent="0.2">
      <c r="A56" s="267" t="s">
        <v>51</v>
      </c>
      <c r="B56" s="267"/>
      <c r="C56" s="28">
        <v>3965</v>
      </c>
      <c r="D56" s="28">
        <v>3596</v>
      </c>
      <c r="E56" s="28">
        <f>SUM(F56:I56)</f>
        <v>369</v>
      </c>
      <c r="F56" s="28">
        <v>276</v>
      </c>
      <c r="G56" s="28">
        <v>92</v>
      </c>
      <c r="H56" s="28">
        <v>0</v>
      </c>
      <c r="I56" s="28">
        <v>1</v>
      </c>
    </row>
    <row r="57" spans="1:9" s="71" customFormat="1" ht="12" customHeight="1" x14ac:dyDescent="0.2">
      <c r="A57" s="25"/>
      <c r="B57" s="31"/>
      <c r="C57" s="72"/>
      <c r="D57" s="72"/>
      <c r="E57" s="72"/>
      <c r="F57" s="72"/>
      <c r="G57" s="72"/>
      <c r="H57" s="72"/>
      <c r="I57" s="72"/>
    </row>
    <row r="58" spans="1:9" s="70" customFormat="1" ht="12" customHeight="1" x14ac:dyDescent="0.2">
      <c r="A58" s="263" t="s">
        <v>52</v>
      </c>
      <c r="B58" s="263"/>
      <c r="C58" s="20">
        <v>47868</v>
      </c>
      <c r="D58" s="20">
        <v>37732</v>
      </c>
      <c r="E58" s="20">
        <f t="shared" ref="E58:E82" si="3">SUM(F58:I58)</f>
        <v>10136</v>
      </c>
      <c r="F58" s="20">
        <v>7265</v>
      </c>
      <c r="G58" s="20">
        <v>2654</v>
      </c>
      <c r="H58" s="20">
        <v>200</v>
      </c>
      <c r="I58" s="20">
        <v>17</v>
      </c>
    </row>
    <row r="59" spans="1:9" s="71" customFormat="1" ht="12" customHeight="1" x14ac:dyDescent="0.2">
      <c r="A59" s="264" t="s">
        <v>242</v>
      </c>
      <c r="B59" s="264"/>
      <c r="C59" s="22">
        <v>1119</v>
      </c>
      <c r="D59" s="22">
        <v>975</v>
      </c>
      <c r="E59" s="22">
        <f t="shared" si="3"/>
        <v>144</v>
      </c>
      <c r="F59" s="22">
        <v>97</v>
      </c>
      <c r="G59" s="22">
        <v>46</v>
      </c>
      <c r="H59" s="22">
        <v>0</v>
      </c>
      <c r="I59" s="22">
        <v>1</v>
      </c>
    </row>
    <row r="60" spans="1:9" s="71" customFormat="1" ht="12" customHeight="1" x14ac:dyDescent="0.2">
      <c r="A60" s="264" t="s">
        <v>53</v>
      </c>
      <c r="B60" s="264"/>
      <c r="C60" s="22">
        <v>3506</v>
      </c>
      <c r="D60" s="22">
        <v>2807</v>
      </c>
      <c r="E60" s="22">
        <f t="shared" si="3"/>
        <v>699</v>
      </c>
      <c r="F60" s="22">
        <v>512</v>
      </c>
      <c r="G60" s="22">
        <v>172</v>
      </c>
      <c r="H60" s="22">
        <v>15</v>
      </c>
      <c r="I60" s="22">
        <v>0</v>
      </c>
    </row>
    <row r="61" spans="1:9" s="71" customFormat="1" ht="12" customHeight="1" x14ac:dyDescent="0.2">
      <c r="A61" s="264" t="s">
        <v>54</v>
      </c>
      <c r="B61" s="264"/>
      <c r="C61" s="22">
        <v>614</v>
      </c>
      <c r="D61" s="22">
        <v>556</v>
      </c>
      <c r="E61" s="22">
        <f t="shared" si="3"/>
        <v>58</v>
      </c>
      <c r="F61" s="22">
        <v>45</v>
      </c>
      <c r="G61" s="22">
        <v>12</v>
      </c>
      <c r="H61" s="22">
        <v>1</v>
      </c>
      <c r="I61" s="22">
        <v>0</v>
      </c>
    </row>
    <row r="62" spans="1:9" s="71" customFormat="1" ht="12" customHeight="1" x14ac:dyDescent="0.2">
      <c r="A62" s="264" t="s">
        <v>243</v>
      </c>
      <c r="B62" s="264"/>
      <c r="C62" s="22">
        <v>185</v>
      </c>
      <c r="D62" s="22">
        <v>172</v>
      </c>
      <c r="E62" s="22">
        <f t="shared" si="3"/>
        <v>13</v>
      </c>
      <c r="F62" s="22">
        <v>9</v>
      </c>
      <c r="G62" s="22">
        <v>4</v>
      </c>
      <c r="H62" s="22">
        <v>0</v>
      </c>
      <c r="I62" s="22">
        <v>0</v>
      </c>
    </row>
    <row r="63" spans="1:9" s="71" customFormat="1" ht="12" customHeight="1" x14ac:dyDescent="0.2">
      <c r="A63" s="264" t="s">
        <v>244</v>
      </c>
      <c r="B63" s="264"/>
      <c r="C63" s="22">
        <v>206</v>
      </c>
      <c r="D63" s="22">
        <v>182</v>
      </c>
      <c r="E63" s="22">
        <f t="shared" si="3"/>
        <v>24</v>
      </c>
      <c r="F63" s="22">
        <v>14</v>
      </c>
      <c r="G63" s="22">
        <v>9</v>
      </c>
      <c r="H63" s="22">
        <v>0</v>
      </c>
      <c r="I63" s="22">
        <v>1</v>
      </c>
    </row>
    <row r="64" spans="1:9" s="71" customFormat="1" ht="12" customHeight="1" x14ac:dyDescent="0.2">
      <c r="A64" s="316" t="s">
        <v>245</v>
      </c>
      <c r="B64" s="316"/>
      <c r="C64" s="22">
        <v>334</v>
      </c>
      <c r="D64" s="22">
        <v>316</v>
      </c>
      <c r="E64" s="22">
        <f t="shared" si="3"/>
        <v>18</v>
      </c>
      <c r="F64" s="22">
        <v>11</v>
      </c>
      <c r="G64" s="22">
        <v>7</v>
      </c>
      <c r="H64" s="22">
        <v>0</v>
      </c>
      <c r="I64" s="22">
        <v>0</v>
      </c>
    </row>
    <row r="65" spans="1:9" s="71" customFormat="1" ht="12" customHeight="1" x14ac:dyDescent="0.2">
      <c r="A65" s="264" t="s">
        <v>246</v>
      </c>
      <c r="B65" s="264"/>
      <c r="C65" s="22">
        <v>746</v>
      </c>
      <c r="D65" s="22">
        <v>591</v>
      </c>
      <c r="E65" s="22">
        <f t="shared" si="3"/>
        <v>155</v>
      </c>
      <c r="F65" s="22">
        <v>109</v>
      </c>
      <c r="G65" s="22">
        <v>46</v>
      </c>
      <c r="H65" s="22">
        <v>0</v>
      </c>
      <c r="I65" s="22">
        <v>0</v>
      </c>
    </row>
    <row r="66" spans="1:9" s="71" customFormat="1" ht="12" customHeight="1" x14ac:dyDescent="0.2">
      <c r="A66" s="264" t="s">
        <v>56</v>
      </c>
      <c r="B66" s="264"/>
      <c r="C66" s="22">
        <v>2031</v>
      </c>
      <c r="D66" s="22">
        <v>1828</v>
      </c>
      <c r="E66" s="22">
        <f t="shared" si="3"/>
        <v>203</v>
      </c>
      <c r="F66" s="22">
        <v>158</v>
      </c>
      <c r="G66" s="22">
        <v>45</v>
      </c>
      <c r="H66" s="22">
        <v>0</v>
      </c>
      <c r="I66" s="22">
        <v>0</v>
      </c>
    </row>
    <row r="67" spans="1:9" s="71" customFormat="1" ht="12" customHeight="1" x14ac:dyDescent="0.2">
      <c r="A67" s="264" t="s">
        <v>57</v>
      </c>
      <c r="B67" s="264"/>
      <c r="C67" s="22">
        <v>7734</v>
      </c>
      <c r="D67" s="22">
        <v>5021</v>
      </c>
      <c r="E67" s="22">
        <f t="shared" si="3"/>
        <v>2713</v>
      </c>
      <c r="F67" s="22">
        <v>1954</v>
      </c>
      <c r="G67" s="22">
        <v>609</v>
      </c>
      <c r="H67" s="22">
        <v>144</v>
      </c>
      <c r="I67" s="22">
        <v>6</v>
      </c>
    </row>
    <row r="68" spans="1:9" s="71" customFormat="1" ht="12" customHeight="1" x14ac:dyDescent="0.2">
      <c r="A68" s="264" t="s">
        <v>58</v>
      </c>
      <c r="B68" s="264"/>
      <c r="C68" s="22">
        <v>2603</v>
      </c>
      <c r="D68" s="22">
        <v>2167</v>
      </c>
      <c r="E68" s="22">
        <f t="shared" si="3"/>
        <v>436</v>
      </c>
      <c r="F68" s="22">
        <v>297</v>
      </c>
      <c r="G68" s="22">
        <v>135</v>
      </c>
      <c r="H68" s="22">
        <v>2</v>
      </c>
      <c r="I68" s="22">
        <v>2</v>
      </c>
    </row>
    <row r="69" spans="1:9" s="71" customFormat="1" ht="12" customHeight="1" x14ac:dyDescent="0.2">
      <c r="A69" s="264" t="s">
        <v>247</v>
      </c>
      <c r="B69" s="264"/>
      <c r="C69" s="22">
        <v>893</v>
      </c>
      <c r="D69" s="22">
        <v>742</v>
      </c>
      <c r="E69" s="22">
        <f t="shared" si="3"/>
        <v>151</v>
      </c>
      <c r="F69" s="22">
        <v>107</v>
      </c>
      <c r="G69" s="22">
        <v>44</v>
      </c>
      <c r="H69" s="22">
        <v>0</v>
      </c>
      <c r="I69" s="22">
        <v>0</v>
      </c>
    </row>
    <row r="70" spans="1:9" s="71" customFormat="1" ht="12" customHeight="1" x14ac:dyDescent="0.2">
      <c r="A70" s="264" t="s">
        <v>59</v>
      </c>
      <c r="B70" s="264"/>
      <c r="C70" s="22">
        <v>1622</v>
      </c>
      <c r="D70" s="22">
        <v>1401</v>
      </c>
      <c r="E70" s="22">
        <f t="shared" si="3"/>
        <v>221</v>
      </c>
      <c r="F70" s="22">
        <v>164</v>
      </c>
      <c r="G70" s="22">
        <v>57</v>
      </c>
      <c r="H70" s="22">
        <v>0</v>
      </c>
      <c r="I70" s="22">
        <v>0</v>
      </c>
    </row>
    <row r="71" spans="1:9" s="71" customFormat="1" ht="12" customHeight="1" x14ac:dyDescent="0.2">
      <c r="A71" s="264" t="s">
        <v>60</v>
      </c>
      <c r="B71" s="264"/>
      <c r="C71" s="22">
        <v>6759</v>
      </c>
      <c r="D71" s="22">
        <v>5201</v>
      </c>
      <c r="E71" s="22">
        <f t="shared" si="3"/>
        <v>1558</v>
      </c>
      <c r="F71" s="22">
        <v>994</v>
      </c>
      <c r="G71" s="22">
        <v>561</v>
      </c>
      <c r="H71" s="22">
        <v>0</v>
      </c>
      <c r="I71" s="22">
        <v>3</v>
      </c>
    </row>
    <row r="72" spans="1:9" s="71" customFormat="1" ht="12" customHeight="1" x14ac:dyDescent="0.2">
      <c r="A72" s="264" t="s">
        <v>61</v>
      </c>
      <c r="B72" s="264"/>
      <c r="C72" s="22">
        <v>318</v>
      </c>
      <c r="D72" s="22">
        <v>297</v>
      </c>
      <c r="E72" s="22">
        <f t="shared" si="3"/>
        <v>21</v>
      </c>
      <c r="F72" s="22">
        <v>15</v>
      </c>
      <c r="G72" s="22">
        <v>6</v>
      </c>
      <c r="H72" s="22">
        <v>0</v>
      </c>
      <c r="I72" s="22">
        <v>0</v>
      </c>
    </row>
    <row r="73" spans="1:9" s="71" customFormat="1" ht="12" customHeight="1" x14ac:dyDescent="0.2">
      <c r="A73" s="264" t="s">
        <v>62</v>
      </c>
      <c r="B73" s="264"/>
      <c r="C73" s="22">
        <v>4294</v>
      </c>
      <c r="D73" s="22">
        <v>3375</v>
      </c>
      <c r="E73" s="22">
        <f t="shared" si="3"/>
        <v>919</v>
      </c>
      <c r="F73" s="22">
        <v>685</v>
      </c>
      <c r="G73" s="22">
        <v>230</v>
      </c>
      <c r="H73" s="22">
        <v>3</v>
      </c>
      <c r="I73" s="22">
        <v>1</v>
      </c>
    </row>
    <row r="74" spans="1:9" s="71" customFormat="1" ht="12" customHeight="1" x14ac:dyDescent="0.2">
      <c r="A74" s="264" t="s">
        <v>248</v>
      </c>
      <c r="B74" s="264"/>
      <c r="C74" s="22">
        <v>700</v>
      </c>
      <c r="D74" s="22">
        <v>630</v>
      </c>
      <c r="E74" s="22">
        <f t="shared" si="3"/>
        <v>70</v>
      </c>
      <c r="F74" s="22">
        <v>54</v>
      </c>
      <c r="G74" s="22">
        <v>16</v>
      </c>
      <c r="H74" s="22">
        <v>0</v>
      </c>
      <c r="I74" s="22">
        <v>0</v>
      </c>
    </row>
    <row r="75" spans="1:9" s="71" customFormat="1" ht="12" customHeight="1" x14ac:dyDescent="0.2">
      <c r="A75" s="264" t="s">
        <v>249</v>
      </c>
      <c r="B75" s="264"/>
      <c r="C75" s="22">
        <v>220</v>
      </c>
      <c r="D75" s="22">
        <v>207</v>
      </c>
      <c r="E75" s="22">
        <f t="shared" si="3"/>
        <v>13</v>
      </c>
      <c r="F75" s="22">
        <v>10</v>
      </c>
      <c r="G75" s="22">
        <v>3</v>
      </c>
      <c r="H75" s="22">
        <v>0</v>
      </c>
      <c r="I75" s="22">
        <v>0</v>
      </c>
    </row>
    <row r="76" spans="1:9" s="71" customFormat="1" ht="12" customHeight="1" x14ac:dyDescent="0.2">
      <c r="A76" s="264" t="s">
        <v>63</v>
      </c>
      <c r="B76" s="264"/>
      <c r="C76" s="22">
        <v>2431</v>
      </c>
      <c r="D76" s="22">
        <v>2030</v>
      </c>
      <c r="E76" s="22">
        <f t="shared" si="3"/>
        <v>401</v>
      </c>
      <c r="F76" s="22">
        <v>325</v>
      </c>
      <c r="G76" s="22">
        <v>69</v>
      </c>
      <c r="H76" s="22">
        <v>6</v>
      </c>
      <c r="I76" s="22">
        <v>1</v>
      </c>
    </row>
    <row r="77" spans="1:9" s="71" customFormat="1" ht="12" customHeight="1" x14ac:dyDescent="0.2">
      <c r="A77" s="264" t="s">
        <v>250</v>
      </c>
      <c r="B77" s="264"/>
      <c r="C77" s="22">
        <v>1422</v>
      </c>
      <c r="D77" s="22">
        <v>1193</v>
      </c>
      <c r="E77" s="22">
        <f t="shared" si="3"/>
        <v>229</v>
      </c>
      <c r="F77" s="22">
        <v>168</v>
      </c>
      <c r="G77" s="22">
        <v>61</v>
      </c>
      <c r="H77" s="22">
        <v>0</v>
      </c>
      <c r="I77" s="22">
        <v>0</v>
      </c>
    </row>
    <row r="78" spans="1:9" s="71" customFormat="1" ht="12" customHeight="1" x14ac:dyDescent="0.2">
      <c r="A78" s="264" t="s">
        <v>64</v>
      </c>
      <c r="B78" s="264"/>
      <c r="C78" s="22">
        <v>2436</v>
      </c>
      <c r="D78" s="22">
        <v>2018</v>
      </c>
      <c r="E78" s="22">
        <f t="shared" si="3"/>
        <v>418</v>
      </c>
      <c r="F78" s="22">
        <v>297</v>
      </c>
      <c r="G78" s="22">
        <v>121</v>
      </c>
      <c r="H78" s="22">
        <v>0</v>
      </c>
      <c r="I78" s="22">
        <v>0</v>
      </c>
    </row>
    <row r="79" spans="1:9" s="71" customFormat="1" ht="12" customHeight="1" x14ac:dyDescent="0.2">
      <c r="A79" s="264" t="s">
        <v>251</v>
      </c>
      <c r="B79" s="264"/>
      <c r="C79" s="22">
        <v>289</v>
      </c>
      <c r="D79" s="22">
        <v>261</v>
      </c>
      <c r="E79" s="22">
        <f t="shared" si="3"/>
        <v>28</v>
      </c>
      <c r="F79" s="22">
        <v>20</v>
      </c>
      <c r="G79" s="22">
        <v>8</v>
      </c>
      <c r="H79" s="22">
        <v>0</v>
      </c>
      <c r="I79" s="22">
        <v>0</v>
      </c>
    </row>
    <row r="80" spans="1:9" s="71" customFormat="1" ht="12" customHeight="1" x14ac:dyDescent="0.2">
      <c r="A80" s="264" t="s">
        <v>65</v>
      </c>
      <c r="B80" s="264"/>
      <c r="C80" s="22">
        <v>4066</v>
      </c>
      <c r="D80" s="22">
        <v>3100</v>
      </c>
      <c r="E80" s="22">
        <f t="shared" si="3"/>
        <v>966</v>
      </c>
      <c r="F80" s="22">
        <v>717</v>
      </c>
      <c r="G80" s="22">
        <v>248</v>
      </c>
      <c r="H80" s="22">
        <v>0</v>
      </c>
      <c r="I80" s="22">
        <v>1</v>
      </c>
    </row>
    <row r="81" spans="1:9" s="71" customFormat="1" ht="12" customHeight="1" x14ac:dyDescent="0.2">
      <c r="A81" s="264" t="s">
        <v>252</v>
      </c>
      <c r="B81" s="264"/>
      <c r="C81" s="22">
        <v>436</v>
      </c>
      <c r="D81" s="22">
        <v>404</v>
      </c>
      <c r="E81" s="22">
        <f t="shared" si="3"/>
        <v>32</v>
      </c>
      <c r="F81" s="22">
        <v>21</v>
      </c>
      <c r="G81" s="22">
        <v>11</v>
      </c>
      <c r="H81" s="22">
        <v>0</v>
      </c>
      <c r="I81" s="22">
        <v>0</v>
      </c>
    </row>
    <row r="82" spans="1:9" s="71" customFormat="1" ht="12" customHeight="1" x14ac:dyDescent="0.2">
      <c r="A82" s="267" t="s">
        <v>66</v>
      </c>
      <c r="B82" s="267"/>
      <c r="C82" s="28">
        <v>2904</v>
      </c>
      <c r="D82" s="28">
        <v>2258</v>
      </c>
      <c r="E82" s="28">
        <f t="shared" si="3"/>
        <v>646</v>
      </c>
      <c r="F82" s="28">
        <v>482</v>
      </c>
      <c r="G82" s="28">
        <v>134</v>
      </c>
      <c r="H82" s="28">
        <v>29</v>
      </c>
      <c r="I82" s="28">
        <v>1</v>
      </c>
    </row>
    <row r="83" spans="1:9" s="71" customFormat="1" ht="12" customHeight="1" x14ac:dyDescent="0.2">
      <c r="A83" s="25"/>
      <c r="B83" s="25"/>
      <c r="C83" s="72"/>
      <c r="D83" s="72"/>
      <c r="E83" s="72"/>
      <c r="F83" s="72"/>
      <c r="G83" s="72"/>
      <c r="H83" s="72"/>
      <c r="I83" s="72"/>
    </row>
    <row r="84" spans="1:9" s="71" customFormat="1" ht="12" customHeight="1" x14ac:dyDescent="0.2">
      <c r="A84" s="263" t="s">
        <v>67</v>
      </c>
      <c r="B84" s="263"/>
      <c r="C84" s="20">
        <v>136296</v>
      </c>
      <c r="D84" s="20">
        <v>99197</v>
      </c>
      <c r="E84" s="20">
        <f t="shared" ref="E84:E115" si="4">SUM(F84:I84)</f>
        <v>37099</v>
      </c>
      <c r="F84" s="20">
        <v>27008</v>
      </c>
      <c r="G84" s="20">
        <v>9975</v>
      </c>
      <c r="H84" s="20">
        <v>37</v>
      </c>
      <c r="I84" s="20">
        <v>79</v>
      </c>
    </row>
    <row r="85" spans="1:9" s="71" customFormat="1" ht="12" customHeight="1" x14ac:dyDescent="0.2">
      <c r="A85" s="264" t="s">
        <v>68</v>
      </c>
      <c r="B85" s="264"/>
      <c r="C85" s="22">
        <v>3806</v>
      </c>
      <c r="D85" s="22">
        <v>2690</v>
      </c>
      <c r="E85" s="22">
        <f t="shared" si="4"/>
        <v>1116</v>
      </c>
      <c r="F85" s="22">
        <v>899</v>
      </c>
      <c r="G85" s="22">
        <v>215</v>
      </c>
      <c r="H85" s="22">
        <v>0</v>
      </c>
      <c r="I85" s="22">
        <v>2</v>
      </c>
    </row>
    <row r="86" spans="1:9" s="71" customFormat="1" ht="12" customHeight="1" x14ac:dyDescent="0.2">
      <c r="A86" s="264" t="s">
        <v>69</v>
      </c>
      <c r="B86" s="264"/>
      <c r="C86" s="22">
        <v>1255</v>
      </c>
      <c r="D86" s="22">
        <v>1172</v>
      </c>
      <c r="E86" s="22">
        <f t="shared" si="4"/>
        <v>83</v>
      </c>
      <c r="F86" s="22">
        <v>53</v>
      </c>
      <c r="G86" s="22">
        <v>28</v>
      </c>
      <c r="H86" s="22">
        <v>1</v>
      </c>
      <c r="I86" s="22">
        <v>1</v>
      </c>
    </row>
    <row r="87" spans="1:9" s="71" customFormat="1" ht="12" customHeight="1" x14ac:dyDescent="0.2">
      <c r="A87" s="264" t="s">
        <v>70</v>
      </c>
      <c r="B87" s="264"/>
      <c r="C87" s="22">
        <v>309</v>
      </c>
      <c r="D87" s="22">
        <v>270</v>
      </c>
      <c r="E87" s="22">
        <f t="shared" si="4"/>
        <v>39</v>
      </c>
      <c r="F87" s="22">
        <v>30</v>
      </c>
      <c r="G87" s="22">
        <v>9</v>
      </c>
      <c r="H87" s="22">
        <v>0</v>
      </c>
      <c r="I87" s="22">
        <v>0</v>
      </c>
    </row>
    <row r="88" spans="1:9" s="71" customFormat="1" ht="12" customHeight="1" x14ac:dyDescent="0.2">
      <c r="A88" s="264" t="s">
        <v>71</v>
      </c>
      <c r="B88" s="264"/>
      <c r="C88" s="22">
        <v>973</v>
      </c>
      <c r="D88" s="22">
        <v>858</v>
      </c>
      <c r="E88" s="22">
        <f t="shared" si="4"/>
        <v>115</v>
      </c>
      <c r="F88" s="22">
        <v>65</v>
      </c>
      <c r="G88" s="22">
        <v>49</v>
      </c>
      <c r="H88" s="22">
        <v>0</v>
      </c>
      <c r="I88" s="22">
        <v>1</v>
      </c>
    </row>
    <row r="89" spans="1:9" s="71" customFormat="1" ht="12" customHeight="1" x14ac:dyDescent="0.2">
      <c r="A89" s="264" t="s">
        <v>72</v>
      </c>
      <c r="B89" s="264"/>
      <c r="C89" s="22">
        <v>306</v>
      </c>
      <c r="D89" s="22">
        <v>279</v>
      </c>
      <c r="E89" s="22">
        <f t="shared" si="4"/>
        <v>27</v>
      </c>
      <c r="F89" s="22">
        <v>18</v>
      </c>
      <c r="G89" s="22">
        <v>9</v>
      </c>
      <c r="H89" s="22">
        <v>0</v>
      </c>
      <c r="I89" s="22">
        <v>0</v>
      </c>
    </row>
    <row r="90" spans="1:9" s="71" customFormat="1" ht="12" customHeight="1" x14ac:dyDescent="0.2">
      <c r="A90" s="264" t="s">
        <v>258</v>
      </c>
      <c r="B90" s="264"/>
      <c r="C90" s="22">
        <v>1786</v>
      </c>
      <c r="D90" s="22">
        <v>1262</v>
      </c>
      <c r="E90" s="22">
        <f t="shared" si="4"/>
        <v>524</v>
      </c>
      <c r="F90" s="22">
        <v>404</v>
      </c>
      <c r="G90" s="22">
        <v>119</v>
      </c>
      <c r="H90" s="22">
        <v>0</v>
      </c>
      <c r="I90" s="22">
        <v>1</v>
      </c>
    </row>
    <row r="91" spans="1:9" s="71" customFormat="1" ht="12" customHeight="1" x14ac:dyDescent="0.2">
      <c r="A91" s="264" t="s">
        <v>73</v>
      </c>
      <c r="B91" s="264"/>
      <c r="C91" s="22">
        <v>1365</v>
      </c>
      <c r="D91" s="22">
        <v>1115</v>
      </c>
      <c r="E91" s="22">
        <f t="shared" si="4"/>
        <v>250</v>
      </c>
      <c r="F91" s="22">
        <v>198</v>
      </c>
      <c r="G91" s="22">
        <v>52</v>
      </c>
      <c r="H91" s="22">
        <v>0</v>
      </c>
      <c r="I91" s="22">
        <v>0</v>
      </c>
    </row>
    <row r="92" spans="1:9" s="71" customFormat="1" ht="12" customHeight="1" x14ac:dyDescent="0.2">
      <c r="A92" s="264" t="s">
        <v>74</v>
      </c>
      <c r="B92" s="264"/>
      <c r="C92" s="22">
        <v>612</v>
      </c>
      <c r="D92" s="22">
        <v>561</v>
      </c>
      <c r="E92" s="22">
        <f t="shared" si="4"/>
        <v>51</v>
      </c>
      <c r="F92" s="22">
        <v>37</v>
      </c>
      <c r="G92" s="22">
        <v>14</v>
      </c>
      <c r="H92" s="22">
        <v>0</v>
      </c>
      <c r="I92" s="22">
        <v>0</v>
      </c>
    </row>
    <row r="93" spans="1:9" s="71" customFormat="1" ht="12" customHeight="1" x14ac:dyDescent="0.2">
      <c r="A93" s="264" t="s">
        <v>259</v>
      </c>
      <c r="B93" s="264"/>
      <c r="C93" s="22">
        <v>329</v>
      </c>
      <c r="D93" s="22">
        <v>310</v>
      </c>
      <c r="E93" s="22">
        <f t="shared" si="4"/>
        <v>19</v>
      </c>
      <c r="F93" s="22">
        <v>10</v>
      </c>
      <c r="G93" s="22">
        <v>9</v>
      </c>
      <c r="H93" s="22">
        <v>0</v>
      </c>
      <c r="I93" s="22">
        <v>0</v>
      </c>
    </row>
    <row r="94" spans="1:9" s="71" customFormat="1" ht="12" customHeight="1" x14ac:dyDescent="0.2">
      <c r="A94" s="264" t="s">
        <v>75</v>
      </c>
      <c r="B94" s="264"/>
      <c r="C94" s="22">
        <v>2296</v>
      </c>
      <c r="D94" s="22">
        <v>1861</v>
      </c>
      <c r="E94" s="22">
        <f t="shared" si="4"/>
        <v>435</v>
      </c>
      <c r="F94" s="22">
        <v>334</v>
      </c>
      <c r="G94" s="22">
        <v>97</v>
      </c>
      <c r="H94" s="22">
        <v>0</v>
      </c>
      <c r="I94" s="22">
        <v>4</v>
      </c>
    </row>
    <row r="95" spans="1:9" s="71" customFormat="1" ht="12" customHeight="1" x14ac:dyDescent="0.2">
      <c r="A95" s="264" t="s">
        <v>76</v>
      </c>
      <c r="B95" s="264"/>
      <c r="C95" s="22">
        <v>606</v>
      </c>
      <c r="D95" s="22">
        <v>497</v>
      </c>
      <c r="E95" s="22">
        <f t="shared" si="4"/>
        <v>109</v>
      </c>
      <c r="F95" s="22">
        <v>96</v>
      </c>
      <c r="G95" s="22">
        <v>12</v>
      </c>
      <c r="H95" s="22">
        <v>0</v>
      </c>
      <c r="I95" s="22">
        <v>1</v>
      </c>
    </row>
    <row r="96" spans="1:9" s="71" customFormat="1" ht="12" customHeight="1" x14ac:dyDescent="0.2">
      <c r="A96" s="264" t="s">
        <v>77</v>
      </c>
      <c r="B96" s="264"/>
      <c r="C96" s="22">
        <v>817</v>
      </c>
      <c r="D96" s="22">
        <v>555</v>
      </c>
      <c r="E96" s="22">
        <f t="shared" si="4"/>
        <v>262</v>
      </c>
      <c r="F96" s="22">
        <v>171</v>
      </c>
      <c r="G96" s="22">
        <v>90</v>
      </c>
      <c r="H96" s="22">
        <v>1</v>
      </c>
      <c r="I96" s="22">
        <v>0</v>
      </c>
    </row>
    <row r="97" spans="1:9" s="71" customFormat="1" ht="12" customHeight="1" x14ac:dyDescent="0.2">
      <c r="A97" s="264" t="s">
        <v>78</v>
      </c>
      <c r="B97" s="264"/>
      <c r="C97" s="22">
        <v>120</v>
      </c>
      <c r="D97" s="22">
        <v>103</v>
      </c>
      <c r="E97" s="22">
        <f t="shared" si="4"/>
        <v>17</v>
      </c>
      <c r="F97" s="22">
        <v>13</v>
      </c>
      <c r="G97" s="22">
        <v>4</v>
      </c>
      <c r="H97" s="22">
        <v>0</v>
      </c>
      <c r="I97" s="22">
        <v>0</v>
      </c>
    </row>
    <row r="98" spans="1:9" s="71" customFormat="1" ht="12" customHeight="1" x14ac:dyDescent="0.2">
      <c r="A98" s="264" t="s">
        <v>79</v>
      </c>
      <c r="B98" s="264"/>
      <c r="C98" s="22">
        <v>459</v>
      </c>
      <c r="D98" s="22">
        <v>403</v>
      </c>
      <c r="E98" s="22">
        <f t="shared" si="4"/>
        <v>56</v>
      </c>
      <c r="F98" s="22">
        <v>38</v>
      </c>
      <c r="G98" s="22">
        <v>18</v>
      </c>
      <c r="H98" s="22">
        <v>0</v>
      </c>
      <c r="I98" s="22">
        <v>0</v>
      </c>
    </row>
    <row r="99" spans="1:9" s="71" customFormat="1" ht="12" customHeight="1" x14ac:dyDescent="0.2">
      <c r="A99" s="264" t="s">
        <v>80</v>
      </c>
      <c r="B99" s="264"/>
      <c r="C99" s="22">
        <v>688</v>
      </c>
      <c r="D99" s="22">
        <v>568</v>
      </c>
      <c r="E99" s="22">
        <f t="shared" si="4"/>
        <v>120</v>
      </c>
      <c r="F99" s="22">
        <v>90</v>
      </c>
      <c r="G99" s="22">
        <v>30</v>
      </c>
      <c r="H99" s="22">
        <v>0</v>
      </c>
      <c r="I99" s="22">
        <v>0</v>
      </c>
    </row>
    <row r="100" spans="1:9" s="71" customFormat="1" ht="12" customHeight="1" x14ac:dyDescent="0.2">
      <c r="A100" s="264" t="s">
        <v>81</v>
      </c>
      <c r="B100" s="264"/>
      <c r="C100" s="22">
        <v>1384</v>
      </c>
      <c r="D100" s="22">
        <v>993</v>
      </c>
      <c r="E100" s="22">
        <f t="shared" si="4"/>
        <v>391</v>
      </c>
      <c r="F100" s="22">
        <v>338</v>
      </c>
      <c r="G100" s="22">
        <v>53</v>
      </c>
      <c r="H100" s="22">
        <v>0</v>
      </c>
      <c r="I100" s="22">
        <v>0</v>
      </c>
    </row>
    <row r="101" spans="1:9" s="71" customFormat="1" ht="12" customHeight="1" x14ac:dyDescent="0.2">
      <c r="A101" s="264" t="s">
        <v>82</v>
      </c>
      <c r="B101" s="264"/>
      <c r="C101" s="22">
        <v>1841</v>
      </c>
      <c r="D101" s="22">
        <v>1615</v>
      </c>
      <c r="E101" s="22">
        <f t="shared" si="4"/>
        <v>226</v>
      </c>
      <c r="F101" s="22">
        <v>188</v>
      </c>
      <c r="G101" s="22">
        <v>38</v>
      </c>
      <c r="H101" s="22">
        <v>0</v>
      </c>
      <c r="I101" s="22">
        <v>0</v>
      </c>
    </row>
    <row r="102" spans="1:9" s="71" customFormat="1" ht="12" customHeight="1" x14ac:dyDescent="0.2">
      <c r="A102" s="264" t="s">
        <v>83</v>
      </c>
      <c r="B102" s="264"/>
      <c r="C102" s="22">
        <v>698</v>
      </c>
      <c r="D102" s="22">
        <v>649</v>
      </c>
      <c r="E102" s="22">
        <f t="shared" si="4"/>
        <v>49</v>
      </c>
      <c r="F102" s="22">
        <v>39</v>
      </c>
      <c r="G102" s="22">
        <v>9</v>
      </c>
      <c r="H102" s="22">
        <v>0</v>
      </c>
      <c r="I102" s="22">
        <v>1</v>
      </c>
    </row>
    <row r="103" spans="1:9" s="71" customFormat="1" ht="12" customHeight="1" x14ac:dyDescent="0.2">
      <c r="A103" s="264" t="s">
        <v>84</v>
      </c>
      <c r="B103" s="264"/>
      <c r="C103" s="22">
        <v>1814</v>
      </c>
      <c r="D103" s="22">
        <v>1509</v>
      </c>
      <c r="E103" s="22">
        <f t="shared" si="4"/>
        <v>305</v>
      </c>
      <c r="F103" s="22">
        <v>222</v>
      </c>
      <c r="G103" s="22">
        <v>83</v>
      </c>
      <c r="H103" s="22">
        <v>0</v>
      </c>
      <c r="I103" s="22">
        <v>0</v>
      </c>
    </row>
    <row r="104" spans="1:9" s="71" customFormat="1" ht="12" customHeight="1" x14ac:dyDescent="0.2">
      <c r="A104" s="264" t="s">
        <v>85</v>
      </c>
      <c r="B104" s="264"/>
      <c r="C104" s="22">
        <v>4641</v>
      </c>
      <c r="D104" s="22">
        <v>4208</v>
      </c>
      <c r="E104" s="22">
        <f t="shared" si="4"/>
        <v>433</v>
      </c>
      <c r="F104" s="22">
        <v>332</v>
      </c>
      <c r="G104" s="22">
        <v>101</v>
      </c>
      <c r="H104" s="22">
        <v>0</v>
      </c>
      <c r="I104" s="22">
        <v>0</v>
      </c>
    </row>
    <row r="105" spans="1:9" s="71" customFormat="1" ht="12" customHeight="1" x14ac:dyDescent="0.2">
      <c r="A105" s="264" t="s">
        <v>260</v>
      </c>
      <c r="B105" s="264"/>
      <c r="C105" s="22">
        <v>554</v>
      </c>
      <c r="D105" s="22">
        <v>485</v>
      </c>
      <c r="E105" s="22">
        <f t="shared" si="4"/>
        <v>69</v>
      </c>
      <c r="F105" s="22">
        <v>53</v>
      </c>
      <c r="G105" s="22">
        <v>16</v>
      </c>
      <c r="H105" s="22">
        <v>0</v>
      </c>
      <c r="I105" s="22">
        <v>0</v>
      </c>
    </row>
    <row r="106" spans="1:9" s="71" customFormat="1" ht="12" customHeight="1" x14ac:dyDescent="0.2">
      <c r="A106" s="264" t="s">
        <v>86</v>
      </c>
      <c r="B106" s="264"/>
      <c r="C106" s="22">
        <v>118</v>
      </c>
      <c r="D106" s="22">
        <v>101</v>
      </c>
      <c r="E106" s="22">
        <f t="shared" si="4"/>
        <v>17</v>
      </c>
      <c r="F106" s="22">
        <v>14</v>
      </c>
      <c r="G106" s="22">
        <v>3</v>
      </c>
      <c r="H106" s="22">
        <v>0</v>
      </c>
      <c r="I106" s="22">
        <v>0</v>
      </c>
    </row>
    <row r="107" spans="1:9" s="71" customFormat="1" ht="12" customHeight="1" x14ac:dyDescent="0.2">
      <c r="A107" s="264" t="s">
        <v>87</v>
      </c>
      <c r="B107" s="264"/>
      <c r="C107" s="22">
        <v>761</v>
      </c>
      <c r="D107" s="22">
        <v>615</v>
      </c>
      <c r="E107" s="22">
        <f t="shared" si="4"/>
        <v>146</v>
      </c>
      <c r="F107" s="22">
        <v>89</v>
      </c>
      <c r="G107" s="22">
        <v>57</v>
      </c>
      <c r="H107" s="22">
        <v>0</v>
      </c>
      <c r="I107" s="22">
        <v>0</v>
      </c>
    </row>
    <row r="108" spans="1:9" s="71" customFormat="1" ht="12" customHeight="1" x14ac:dyDescent="0.2">
      <c r="A108" s="264" t="s">
        <v>88</v>
      </c>
      <c r="B108" s="264"/>
      <c r="C108" s="22">
        <v>3838</v>
      </c>
      <c r="D108" s="22">
        <v>2832</v>
      </c>
      <c r="E108" s="22">
        <f t="shared" si="4"/>
        <v>1006</v>
      </c>
      <c r="F108" s="22">
        <v>796</v>
      </c>
      <c r="G108" s="22">
        <v>209</v>
      </c>
      <c r="H108" s="22">
        <v>0</v>
      </c>
      <c r="I108" s="22">
        <v>1</v>
      </c>
    </row>
    <row r="109" spans="1:9" s="71" customFormat="1" ht="12" customHeight="1" x14ac:dyDescent="0.2">
      <c r="A109" s="264" t="s">
        <v>89</v>
      </c>
      <c r="B109" s="264"/>
      <c r="C109" s="22">
        <v>57</v>
      </c>
      <c r="D109" s="22">
        <v>50</v>
      </c>
      <c r="E109" s="22">
        <f t="shared" si="4"/>
        <v>7</v>
      </c>
      <c r="F109" s="22">
        <v>7</v>
      </c>
      <c r="G109" s="22">
        <v>0</v>
      </c>
      <c r="H109" s="22">
        <v>0</v>
      </c>
      <c r="I109" s="22">
        <v>0</v>
      </c>
    </row>
    <row r="110" spans="1:9" s="71" customFormat="1" ht="12" customHeight="1" x14ac:dyDescent="0.2">
      <c r="A110" s="264" t="s">
        <v>90</v>
      </c>
      <c r="B110" s="264"/>
      <c r="C110" s="22">
        <v>107</v>
      </c>
      <c r="D110" s="22">
        <v>101</v>
      </c>
      <c r="E110" s="22">
        <f t="shared" si="4"/>
        <v>6</v>
      </c>
      <c r="F110" s="22">
        <v>5</v>
      </c>
      <c r="G110" s="22">
        <v>1</v>
      </c>
      <c r="H110" s="22">
        <v>0</v>
      </c>
      <c r="I110" s="22">
        <v>0</v>
      </c>
    </row>
    <row r="111" spans="1:9" s="71" customFormat="1" ht="12" customHeight="1" x14ac:dyDescent="0.2">
      <c r="A111" s="264" t="s">
        <v>91</v>
      </c>
      <c r="B111" s="264"/>
      <c r="C111" s="22">
        <v>4323</v>
      </c>
      <c r="D111" s="22">
        <v>3135</v>
      </c>
      <c r="E111" s="22">
        <f t="shared" si="4"/>
        <v>1188</v>
      </c>
      <c r="F111" s="22">
        <v>564</v>
      </c>
      <c r="G111" s="22">
        <v>621</v>
      </c>
      <c r="H111" s="22">
        <v>1</v>
      </c>
      <c r="I111" s="22">
        <v>2</v>
      </c>
    </row>
    <row r="112" spans="1:9" s="71" customFormat="1" ht="12" customHeight="1" x14ac:dyDescent="0.2">
      <c r="A112" s="264" t="s">
        <v>92</v>
      </c>
      <c r="B112" s="264"/>
      <c r="C112" s="22">
        <v>1751</v>
      </c>
      <c r="D112" s="22">
        <v>1580</v>
      </c>
      <c r="E112" s="22">
        <f t="shared" si="4"/>
        <v>171</v>
      </c>
      <c r="F112" s="22">
        <v>137</v>
      </c>
      <c r="G112" s="22">
        <v>34</v>
      </c>
      <c r="H112" s="22">
        <v>0</v>
      </c>
      <c r="I112" s="22">
        <v>0</v>
      </c>
    </row>
    <row r="113" spans="1:9" s="71" customFormat="1" ht="12" customHeight="1" x14ac:dyDescent="0.2">
      <c r="A113" s="264" t="s">
        <v>261</v>
      </c>
      <c r="B113" s="264"/>
      <c r="C113" s="22">
        <v>143</v>
      </c>
      <c r="D113" s="22">
        <v>133</v>
      </c>
      <c r="E113" s="22">
        <f t="shared" si="4"/>
        <v>10</v>
      </c>
      <c r="F113" s="22">
        <v>8</v>
      </c>
      <c r="G113" s="22">
        <v>2</v>
      </c>
      <c r="H113" s="22">
        <v>0</v>
      </c>
      <c r="I113" s="22">
        <v>0</v>
      </c>
    </row>
    <row r="114" spans="1:9" s="71" customFormat="1" ht="12" customHeight="1" x14ac:dyDescent="0.2">
      <c r="A114" s="264" t="s">
        <v>93</v>
      </c>
      <c r="B114" s="264"/>
      <c r="C114" s="22">
        <v>838</v>
      </c>
      <c r="D114" s="22">
        <v>699</v>
      </c>
      <c r="E114" s="22">
        <f t="shared" si="4"/>
        <v>139</v>
      </c>
      <c r="F114" s="22">
        <v>96</v>
      </c>
      <c r="G114" s="22">
        <v>42</v>
      </c>
      <c r="H114" s="22">
        <v>0</v>
      </c>
      <c r="I114" s="22">
        <v>1</v>
      </c>
    </row>
    <row r="115" spans="1:9" s="71" customFormat="1" ht="12" customHeight="1" x14ac:dyDescent="0.2">
      <c r="A115" s="264" t="s">
        <v>94</v>
      </c>
      <c r="B115" s="264"/>
      <c r="C115" s="22">
        <v>1276</v>
      </c>
      <c r="D115" s="22">
        <v>1098</v>
      </c>
      <c r="E115" s="22">
        <f t="shared" si="4"/>
        <v>178</v>
      </c>
      <c r="F115" s="22">
        <v>135</v>
      </c>
      <c r="G115" s="22">
        <v>41</v>
      </c>
      <c r="H115" s="22">
        <v>0</v>
      </c>
      <c r="I115" s="22">
        <v>2</v>
      </c>
    </row>
    <row r="116" spans="1:9" s="71" customFormat="1" ht="12" customHeight="1" x14ac:dyDescent="0.2">
      <c r="A116" s="264" t="s">
        <v>95</v>
      </c>
      <c r="B116" s="264"/>
      <c r="C116" s="22">
        <v>552</v>
      </c>
      <c r="D116" s="22">
        <v>480</v>
      </c>
      <c r="E116" s="22">
        <f t="shared" ref="E116:E147" si="5">SUM(F116:I116)</f>
        <v>72</v>
      </c>
      <c r="F116" s="22">
        <v>61</v>
      </c>
      <c r="G116" s="22">
        <v>11</v>
      </c>
      <c r="H116" s="22">
        <v>0</v>
      </c>
      <c r="I116" s="22">
        <v>0</v>
      </c>
    </row>
    <row r="117" spans="1:9" s="71" customFormat="1" ht="12" customHeight="1" x14ac:dyDescent="0.2">
      <c r="A117" s="264" t="s">
        <v>96</v>
      </c>
      <c r="B117" s="264"/>
      <c r="C117" s="22">
        <v>432</v>
      </c>
      <c r="D117" s="22">
        <v>279</v>
      </c>
      <c r="E117" s="22">
        <f t="shared" si="5"/>
        <v>153</v>
      </c>
      <c r="F117" s="22">
        <v>129</v>
      </c>
      <c r="G117" s="22">
        <v>21</v>
      </c>
      <c r="H117" s="22">
        <v>0</v>
      </c>
      <c r="I117" s="22">
        <v>3</v>
      </c>
    </row>
    <row r="118" spans="1:9" s="71" customFormat="1" ht="12" customHeight="1" x14ac:dyDescent="0.2">
      <c r="A118" s="264" t="s">
        <v>97</v>
      </c>
      <c r="B118" s="264"/>
      <c r="C118" s="22">
        <v>1138</v>
      </c>
      <c r="D118" s="22">
        <v>957</v>
      </c>
      <c r="E118" s="22">
        <f t="shared" si="5"/>
        <v>181</v>
      </c>
      <c r="F118" s="22">
        <v>155</v>
      </c>
      <c r="G118" s="22">
        <v>25</v>
      </c>
      <c r="H118" s="22">
        <v>0</v>
      </c>
      <c r="I118" s="22">
        <v>1</v>
      </c>
    </row>
    <row r="119" spans="1:9" s="71" customFormat="1" ht="12" customHeight="1" x14ac:dyDescent="0.2">
      <c r="A119" s="264" t="s">
        <v>262</v>
      </c>
      <c r="B119" s="264"/>
      <c r="C119" s="22">
        <v>72</v>
      </c>
      <c r="D119" s="22">
        <v>65</v>
      </c>
      <c r="E119" s="22">
        <f t="shared" si="5"/>
        <v>7</v>
      </c>
      <c r="F119" s="22">
        <v>6</v>
      </c>
      <c r="G119" s="22">
        <v>1</v>
      </c>
      <c r="H119" s="22">
        <v>0</v>
      </c>
      <c r="I119" s="22">
        <v>0</v>
      </c>
    </row>
    <row r="120" spans="1:9" s="71" customFormat="1" ht="12" customHeight="1" x14ac:dyDescent="0.2">
      <c r="A120" s="264" t="s">
        <v>98</v>
      </c>
      <c r="B120" s="264"/>
      <c r="C120" s="22">
        <v>1594</v>
      </c>
      <c r="D120" s="22">
        <v>957</v>
      </c>
      <c r="E120" s="22">
        <f t="shared" si="5"/>
        <v>637</v>
      </c>
      <c r="F120" s="22">
        <v>579</v>
      </c>
      <c r="G120" s="22">
        <v>56</v>
      </c>
      <c r="H120" s="22">
        <v>0</v>
      </c>
      <c r="I120" s="22">
        <v>2</v>
      </c>
    </row>
    <row r="121" spans="1:9" s="71" customFormat="1" ht="12" customHeight="1" x14ac:dyDescent="0.2">
      <c r="A121" s="264" t="s">
        <v>263</v>
      </c>
      <c r="B121" s="264"/>
      <c r="C121" s="22">
        <v>866</v>
      </c>
      <c r="D121" s="22">
        <v>764</v>
      </c>
      <c r="E121" s="22">
        <f t="shared" si="5"/>
        <v>102</v>
      </c>
      <c r="F121" s="22">
        <v>90</v>
      </c>
      <c r="G121" s="22">
        <v>12</v>
      </c>
      <c r="H121" s="22">
        <v>0</v>
      </c>
      <c r="I121" s="22">
        <v>0</v>
      </c>
    </row>
    <row r="122" spans="1:9" s="71" customFormat="1" ht="12" customHeight="1" x14ac:dyDescent="0.2">
      <c r="A122" s="264" t="s">
        <v>99</v>
      </c>
      <c r="B122" s="264"/>
      <c r="C122" s="22">
        <v>49719</v>
      </c>
      <c r="D122" s="22">
        <v>31872</v>
      </c>
      <c r="E122" s="22">
        <f t="shared" si="5"/>
        <v>17847</v>
      </c>
      <c r="F122" s="22">
        <v>12714</v>
      </c>
      <c r="G122" s="22">
        <v>5077</v>
      </c>
      <c r="H122" s="22">
        <v>27</v>
      </c>
      <c r="I122" s="22">
        <v>29</v>
      </c>
    </row>
    <row r="123" spans="1:9" s="71" customFormat="1" ht="12" customHeight="1" x14ac:dyDescent="0.2">
      <c r="A123" s="264" t="s">
        <v>100</v>
      </c>
      <c r="B123" s="264"/>
      <c r="C123" s="22">
        <v>1408</v>
      </c>
      <c r="D123" s="22">
        <v>1138</v>
      </c>
      <c r="E123" s="22">
        <f t="shared" si="5"/>
        <v>270</v>
      </c>
      <c r="F123" s="22">
        <v>218</v>
      </c>
      <c r="G123" s="22">
        <v>51</v>
      </c>
      <c r="H123" s="22">
        <v>0</v>
      </c>
      <c r="I123" s="22">
        <v>1</v>
      </c>
    </row>
    <row r="124" spans="1:9" s="71" customFormat="1" ht="12" customHeight="1" x14ac:dyDescent="0.2">
      <c r="A124" s="264" t="s">
        <v>101</v>
      </c>
      <c r="B124" s="264"/>
      <c r="C124" s="22">
        <v>1163</v>
      </c>
      <c r="D124" s="22">
        <v>975</v>
      </c>
      <c r="E124" s="22">
        <f t="shared" si="5"/>
        <v>188</v>
      </c>
      <c r="F124" s="22">
        <v>164</v>
      </c>
      <c r="G124" s="22">
        <v>23</v>
      </c>
      <c r="H124" s="22">
        <v>0</v>
      </c>
      <c r="I124" s="22">
        <v>1</v>
      </c>
    </row>
    <row r="125" spans="1:9" s="71" customFormat="1" ht="12" customHeight="1" x14ac:dyDescent="0.2">
      <c r="A125" s="264" t="s">
        <v>102</v>
      </c>
      <c r="B125" s="264"/>
      <c r="C125" s="22">
        <v>585</v>
      </c>
      <c r="D125" s="22">
        <v>438</v>
      </c>
      <c r="E125" s="22">
        <f t="shared" si="5"/>
        <v>147</v>
      </c>
      <c r="F125" s="22">
        <v>106</v>
      </c>
      <c r="G125" s="22">
        <v>41</v>
      </c>
      <c r="H125" s="22">
        <v>0</v>
      </c>
      <c r="I125" s="22">
        <v>0</v>
      </c>
    </row>
    <row r="126" spans="1:9" s="71" customFormat="1" ht="12" customHeight="1" x14ac:dyDescent="0.2">
      <c r="A126" s="264" t="s">
        <v>103</v>
      </c>
      <c r="B126" s="264"/>
      <c r="C126" s="22">
        <v>5636</v>
      </c>
      <c r="D126" s="22">
        <v>3528</v>
      </c>
      <c r="E126" s="22">
        <f t="shared" si="5"/>
        <v>2108</v>
      </c>
      <c r="F126" s="22">
        <v>1611</v>
      </c>
      <c r="G126" s="22">
        <v>486</v>
      </c>
      <c r="H126" s="22">
        <v>4</v>
      </c>
      <c r="I126" s="22">
        <v>7</v>
      </c>
    </row>
    <row r="127" spans="1:9" s="71" customFormat="1" ht="12" customHeight="1" x14ac:dyDescent="0.2">
      <c r="A127" s="264" t="s">
        <v>104</v>
      </c>
      <c r="B127" s="264"/>
      <c r="C127" s="22">
        <v>1221</v>
      </c>
      <c r="D127" s="22">
        <v>950</v>
      </c>
      <c r="E127" s="22">
        <f t="shared" si="5"/>
        <v>271</v>
      </c>
      <c r="F127" s="22">
        <v>161</v>
      </c>
      <c r="G127" s="22">
        <v>108</v>
      </c>
      <c r="H127" s="22">
        <v>2</v>
      </c>
      <c r="I127" s="22">
        <v>0</v>
      </c>
    </row>
    <row r="128" spans="1:9" s="71" customFormat="1" ht="12" customHeight="1" x14ac:dyDescent="0.2">
      <c r="A128" s="264" t="s">
        <v>105</v>
      </c>
      <c r="B128" s="264"/>
      <c r="C128" s="22">
        <v>1668</v>
      </c>
      <c r="D128" s="22">
        <v>1109</v>
      </c>
      <c r="E128" s="22">
        <f t="shared" si="5"/>
        <v>559</v>
      </c>
      <c r="F128" s="22">
        <v>381</v>
      </c>
      <c r="G128" s="22">
        <v>177</v>
      </c>
      <c r="H128" s="22">
        <v>0</v>
      </c>
      <c r="I128" s="22">
        <v>1</v>
      </c>
    </row>
    <row r="129" spans="1:9" s="71" customFormat="1" ht="12" customHeight="1" x14ac:dyDescent="0.2">
      <c r="A129" s="264" t="s">
        <v>106</v>
      </c>
      <c r="B129" s="264"/>
      <c r="C129" s="22">
        <v>1069</v>
      </c>
      <c r="D129" s="22">
        <v>936</v>
      </c>
      <c r="E129" s="22">
        <f t="shared" si="5"/>
        <v>133</v>
      </c>
      <c r="F129" s="22">
        <v>100</v>
      </c>
      <c r="G129" s="22">
        <v>33</v>
      </c>
      <c r="H129" s="22">
        <v>0</v>
      </c>
      <c r="I129" s="22">
        <v>0</v>
      </c>
    </row>
    <row r="130" spans="1:9" s="71" customFormat="1" ht="12" customHeight="1" x14ac:dyDescent="0.2">
      <c r="A130" s="264" t="s">
        <v>107</v>
      </c>
      <c r="B130" s="264"/>
      <c r="C130" s="22">
        <v>271</v>
      </c>
      <c r="D130" s="22">
        <v>238</v>
      </c>
      <c r="E130" s="22">
        <f t="shared" si="5"/>
        <v>33</v>
      </c>
      <c r="F130" s="22">
        <v>26</v>
      </c>
      <c r="G130" s="22">
        <v>7</v>
      </c>
      <c r="H130" s="22">
        <v>0</v>
      </c>
      <c r="I130" s="22">
        <v>0</v>
      </c>
    </row>
    <row r="131" spans="1:9" s="71" customFormat="1" ht="12" customHeight="1" x14ac:dyDescent="0.2">
      <c r="A131" s="264" t="s">
        <v>108</v>
      </c>
      <c r="B131" s="264"/>
      <c r="C131" s="22">
        <v>853</v>
      </c>
      <c r="D131" s="22">
        <v>720</v>
      </c>
      <c r="E131" s="22">
        <f t="shared" si="5"/>
        <v>133</v>
      </c>
      <c r="F131" s="22">
        <v>111</v>
      </c>
      <c r="G131" s="22">
        <v>22</v>
      </c>
      <c r="H131" s="22">
        <v>0</v>
      </c>
      <c r="I131" s="22">
        <v>0</v>
      </c>
    </row>
    <row r="132" spans="1:9" s="71" customFormat="1" ht="12" customHeight="1" x14ac:dyDescent="0.2">
      <c r="A132" s="264" t="s">
        <v>109</v>
      </c>
      <c r="B132" s="264"/>
      <c r="C132" s="22">
        <v>737</v>
      </c>
      <c r="D132" s="22">
        <v>524</v>
      </c>
      <c r="E132" s="22">
        <f t="shared" si="5"/>
        <v>213</v>
      </c>
      <c r="F132" s="22">
        <v>136</v>
      </c>
      <c r="G132" s="22">
        <v>76</v>
      </c>
      <c r="H132" s="22">
        <v>0</v>
      </c>
      <c r="I132" s="22">
        <v>1</v>
      </c>
    </row>
    <row r="133" spans="1:9" s="71" customFormat="1" ht="12" customHeight="1" x14ac:dyDescent="0.2">
      <c r="A133" s="264" t="s">
        <v>110</v>
      </c>
      <c r="B133" s="264"/>
      <c r="C133" s="22">
        <v>818</v>
      </c>
      <c r="D133" s="22">
        <v>663</v>
      </c>
      <c r="E133" s="22">
        <f t="shared" si="5"/>
        <v>155</v>
      </c>
      <c r="F133" s="22">
        <v>117</v>
      </c>
      <c r="G133" s="22">
        <v>38</v>
      </c>
      <c r="H133" s="22">
        <v>0</v>
      </c>
      <c r="I133" s="22">
        <v>0</v>
      </c>
    </row>
    <row r="134" spans="1:9" s="71" customFormat="1" ht="12" customHeight="1" x14ac:dyDescent="0.2">
      <c r="A134" s="264" t="s">
        <v>111</v>
      </c>
      <c r="B134" s="264"/>
      <c r="C134" s="22">
        <v>363</v>
      </c>
      <c r="D134" s="22">
        <v>303</v>
      </c>
      <c r="E134" s="22">
        <f t="shared" si="5"/>
        <v>60</v>
      </c>
      <c r="F134" s="22">
        <v>48</v>
      </c>
      <c r="G134" s="22">
        <v>12</v>
      </c>
      <c r="H134" s="22">
        <v>0</v>
      </c>
      <c r="I134" s="22">
        <v>0</v>
      </c>
    </row>
    <row r="135" spans="1:9" s="71" customFormat="1" ht="12" customHeight="1" x14ac:dyDescent="0.2">
      <c r="A135" s="264" t="s">
        <v>112</v>
      </c>
      <c r="B135" s="264"/>
      <c r="C135" s="22">
        <v>822</v>
      </c>
      <c r="D135" s="22">
        <v>745</v>
      </c>
      <c r="E135" s="22">
        <f t="shared" si="5"/>
        <v>77</v>
      </c>
      <c r="F135" s="22">
        <v>48</v>
      </c>
      <c r="G135" s="22">
        <v>29</v>
      </c>
      <c r="H135" s="22">
        <v>0</v>
      </c>
      <c r="I135" s="22">
        <v>0</v>
      </c>
    </row>
    <row r="136" spans="1:9" s="71" customFormat="1" ht="12" customHeight="1" x14ac:dyDescent="0.2">
      <c r="A136" s="264" t="s">
        <v>113</v>
      </c>
      <c r="B136" s="264"/>
      <c r="C136" s="22">
        <v>1269</v>
      </c>
      <c r="D136" s="22">
        <v>1114</v>
      </c>
      <c r="E136" s="22">
        <f t="shared" si="5"/>
        <v>155</v>
      </c>
      <c r="F136" s="22">
        <v>113</v>
      </c>
      <c r="G136" s="22">
        <v>42</v>
      </c>
      <c r="H136" s="22">
        <v>0</v>
      </c>
      <c r="I136" s="22">
        <v>0</v>
      </c>
    </row>
    <row r="137" spans="1:9" s="71" customFormat="1" ht="12" customHeight="1" x14ac:dyDescent="0.2">
      <c r="A137" s="264" t="s">
        <v>114</v>
      </c>
      <c r="B137" s="264"/>
      <c r="C137" s="22">
        <v>3454</v>
      </c>
      <c r="D137" s="22">
        <v>1758</v>
      </c>
      <c r="E137" s="22">
        <f t="shared" si="5"/>
        <v>1696</v>
      </c>
      <c r="F137" s="22">
        <v>1193</v>
      </c>
      <c r="G137" s="22">
        <v>496</v>
      </c>
      <c r="H137" s="22">
        <v>0</v>
      </c>
      <c r="I137" s="22">
        <v>7</v>
      </c>
    </row>
    <row r="138" spans="1:9" s="71" customFormat="1" ht="12" customHeight="1" x14ac:dyDescent="0.2">
      <c r="A138" s="264" t="s">
        <v>115</v>
      </c>
      <c r="B138" s="264"/>
      <c r="C138" s="22">
        <v>1624</v>
      </c>
      <c r="D138" s="22">
        <v>1401</v>
      </c>
      <c r="E138" s="22">
        <f t="shared" si="5"/>
        <v>223</v>
      </c>
      <c r="F138" s="22">
        <v>187</v>
      </c>
      <c r="G138" s="22">
        <v>36</v>
      </c>
      <c r="H138" s="22">
        <v>0</v>
      </c>
      <c r="I138" s="22">
        <v>0</v>
      </c>
    </row>
    <row r="139" spans="1:9" s="71" customFormat="1" ht="12" customHeight="1" x14ac:dyDescent="0.2">
      <c r="A139" s="264" t="s">
        <v>116</v>
      </c>
      <c r="B139" s="264"/>
      <c r="C139" s="22">
        <v>799</v>
      </c>
      <c r="D139" s="22">
        <v>593</v>
      </c>
      <c r="E139" s="22">
        <f t="shared" si="5"/>
        <v>206</v>
      </c>
      <c r="F139" s="22">
        <v>167</v>
      </c>
      <c r="G139" s="22">
        <v>39</v>
      </c>
      <c r="H139" s="22">
        <v>0</v>
      </c>
      <c r="I139" s="22">
        <v>0</v>
      </c>
    </row>
    <row r="140" spans="1:9" s="71" customFormat="1" ht="12" customHeight="1" x14ac:dyDescent="0.2">
      <c r="A140" s="264" t="s">
        <v>117</v>
      </c>
      <c r="B140" s="264"/>
      <c r="C140" s="22">
        <v>1490</v>
      </c>
      <c r="D140" s="22">
        <v>1174</v>
      </c>
      <c r="E140" s="22">
        <f t="shared" si="5"/>
        <v>316</v>
      </c>
      <c r="F140" s="22">
        <v>236</v>
      </c>
      <c r="G140" s="22">
        <v>78</v>
      </c>
      <c r="H140" s="22">
        <v>0</v>
      </c>
      <c r="I140" s="22">
        <v>2</v>
      </c>
    </row>
    <row r="141" spans="1:9" s="71" customFormat="1" ht="12" customHeight="1" x14ac:dyDescent="0.2">
      <c r="A141" s="264" t="s">
        <v>118</v>
      </c>
      <c r="B141" s="264"/>
      <c r="C141" s="22">
        <v>1227</v>
      </c>
      <c r="D141" s="22">
        <v>1000</v>
      </c>
      <c r="E141" s="22">
        <f t="shared" si="5"/>
        <v>227</v>
      </c>
      <c r="F141" s="22">
        <v>179</v>
      </c>
      <c r="G141" s="22">
        <v>47</v>
      </c>
      <c r="H141" s="22">
        <v>0</v>
      </c>
      <c r="I141" s="22">
        <v>1</v>
      </c>
    </row>
    <row r="142" spans="1:9" s="71" customFormat="1" ht="12" customHeight="1" x14ac:dyDescent="0.2">
      <c r="A142" s="264" t="s">
        <v>119</v>
      </c>
      <c r="B142" s="264"/>
      <c r="C142" s="22">
        <v>1554</v>
      </c>
      <c r="D142" s="22">
        <v>1243</v>
      </c>
      <c r="E142" s="22">
        <f t="shared" si="5"/>
        <v>311</v>
      </c>
      <c r="F142" s="22">
        <v>250</v>
      </c>
      <c r="G142" s="22">
        <v>58</v>
      </c>
      <c r="H142" s="22">
        <v>0</v>
      </c>
      <c r="I142" s="22">
        <v>3</v>
      </c>
    </row>
    <row r="143" spans="1:9" s="71" customFormat="1" ht="12" customHeight="1" x14ac:dyDescent="0.2">
      <c r="A143" s="264" t="s">
        <v>120</v>
      </c>
      <c r="B143" s="264"/>
      <c r="C143" s="22">
        <v>741</v>
      </c>
      <c r="D143" s="22">
        <v>630</v>
      </c>
      <c r="E143" s="22">
        <f t="shared" si="5"/>
        <v>111</v>
      </c>
      <c r="F143" s="22">
        <v>69</v>
      </c>
      <c r="G143" s="22">
        <v>42</v>
      </c>
      <c r="H143" s="22">
        <v>0</v>
      </c>
      <c r="I143" s="22">
        <v>0</v>
      </c>
    </row>
    <row r="144" spans="1:9" s="71" customFormat="1" ht="12" customHeight="1" x14ac:dyDescent="0.2">
      <c r="A144" s="264" t="s">
        <v>121</v>
      </c>
      <c r="B144" s="264"/>
      <c r="C144" s="22">
        <v>2065</v>
      </c>
      <c r="D144" s="22">
        <v>1502</v>
      </c>
      <c r="E144" s="22">
        <f t="shared" si="5"/>
        <v>563</v>
      </c>
      <c r="F144" s="22">
        <v>432</v>
      </c>
      <c r="G144" s="22">
        <v>130</v>
      </c>
      <c r="H144" s="22">
        <v>0</v>
      </c>
      <c r="I144" s="22">
        <v>1</v>
      </c>
    </row>
    <row r="145" spans="1:9" s="71" customFormat="1" ht="12" customHeight="1" x14ac:dyDescent="0.2">
      <c r="A145" s="264" t="s">
        <v>122</v>
      </c>
      <c r="B145" s="264"/>
      <c r="C145" s="22">
        <v>663</v>
      </c>
      <c r="D145" s="22">
        <v>545</v>
      </c>
      <c r="E145" s="22">
        <f t="shared" si="5"/>
        <v>118</v>
      </c>
      <c r="F145" s="22">
        <v>88</v>
      </c>
      <c r="G145" s="22">
        <v>30</v>
      </c>
      <c r="H145" s="22">
        <v>0</v>
      </c>
      <c r="I145" s="22">
        <v>0</v>
      </c>
    </row>
    <row r="146" spans="1:9" s="71" customFormat="1" ht="12" customHeight="1" x14ac:dyDescent="0.2">
      <c r="A146" s="264" t="s">
        <v>123</v>
      </c>
      <c r="B146" s="264"/>
      <c r="C146" s="22">
        <v>486</v>
      </c>
      <c r="D146" s="22">
        <v>387</v>
      </c>
      <c r="E146" s="22">
        <f t="shared" si="5"/>
        <v>99</v>
      </c>
      <c r="F146" s="22">
        <v>83</v>
      </c>
      <c r="G146" s="22">
        <v>16</v>
      </c>
      <c r="H146" s="22">
        <v>0</v>
      </c>
      <c r="I146" s="22">
        <v>0</v>
      </c>
    </row>
    <row r="147" spans="1:9" s="71" customFormat="1" ht="12" customHeight="1" x14ac:dyDescent="0.2">
      <c r="A147" s="264" t="s">
        <v>124</v>
      </c>
      <c r="B147" s="264"/>
      <c r="C147" s="22">
        <v>1772</v>
      </c>
      <c r="D147" s="22">
        <v>1624</v>
      </c>
      <c r="E147" s="22">
        <f t="shared" si="5"/>
        <v>148</v>
      </c>
      <c r="F147" s="22">
        <v>102</v>
      </c>
      <c r="G147" s="22">
        <v>45</v>
      </c>
      <c r="H147" s="22">
        <v>1</v>
      </c>
      <c r="I147" s="22">
        <v>0</v>
      </c>
    </row>
    <row r="148" spans="1:9" s="71" customFormat="1" ht="12" customHeight="1" x14ac:dyDescent="0.2">
      <c r="A148" s="264" t="s">
        <v>125</v>
      </c>
      <c r="B148" s="264"/>
      <c r="C148" s="22">
        <v>1674</v>
      </c>
      <c r="D148" s="22">
        <v>1185</v>
      </c>
      <c r="E148" s="22">
        <f t="shared" ref="E148:E154" si="6">SUM(F148:I148)</f>
        <v>489</v>
      </c>
      <c r="F148" s="22">
        <v>223</v>
      </c>
      <c r="G148" s="22">
        <v>266</v>
      </c>
      <c r="H148" s="22">
        <v>0</v>
      </c>
      <c r="I148" s="22">
        <v>0</v>
      </c>
    </row>
    <row r="149" spans="1:9" s="71" customFormat="1" ht="12" customHeight="1" x14ac:dyDescent="0.2">
      <c r="A149" s="264" t="s">
        <v>126</v>
      </c>
      <c r="B149" s="264"/>
      <c r="C149" s="22">
        <v>2904</v>
      </c>
      <c r="D149" s="22">
        <v>2078</v>
      </c>
      <c r="E149" s="22">
        <f t="shared" si="6"/>
        <v>826</v>
      </c>
      <c r="F149" s="22">
        <v>710</v>
      </c>
      <c r="G149" s="22">
        <v>115</v>
      </c>
      <c r="H149" s="22">
        <v>0</v>
      </c>
      <c r="I149" s="22">
        <v>1</v>
      </c>
    </row>
    <row r="150" spans="1:9" s="71" customFormat="1" ht="12" customHeight="1" x14ac:dyDescent="0.2">
      <c r="A150" s="264" t="s">
        <v>127</v>
      </c>
      <c r="B150" s="264"/>
      <c r="C150" s="22">
        <v>616</v>
      </c>
      <c r="D150" s="22">
        <v>570</v>
      </c>
      <c r="E150" s="22">
        <f t="shared" si="6"/>
        <v>46</v>
      </c>
      <c r="F150" s="22">
        <v>34</v>
      </c>
      <c r="G150" s="22">
        <v>12</v>
      </c>
      <c r="H150" s="22">
        <v>0</v>
      </c>
      <c r="I150" s="22">
        <v>0</v>
      </c>
    </row>
    <row r="151" spans="1:9" s="71" customFormat="1" ht="12" customHeight="1" x14ac:dyDescent="0.2">
      <c r="A151" s="264" t="s">
        <v>128</v>
      </c>
      <c r="B151" s="264"/>
      <c r="C151" s="22">
        <v>463</v>
      </c>
      <c r="D151" s="22">
        <v>389</v>
      </c>
      <c r="E151" s="22">
        <f t="shared" si="6"/>
        <v>74</v>
      </c>
      <c r="F151" s="22">
        <v>46</v>
      </c>
      <c r="G151" s="22">
        <v>27</v>
      </c>
      <c r="H151" s="22">
        <v>0</v>
      </c>
      <c r="I151" s="22">
        <v>1</v>
      </c>
    </row>
    <row r="152" spans="1:9" s="71" customFormat="1" ht="12" customHeight="1" x14ac:dyDescent="0.2">
      <c r="A152" s="264" t="s">
        <v>129</v>
      </c>
      <c r="B152" s="264"/>
      <c r="C152" s="22">
        <v>1775</v>
      </c>
      <c r="D152" s="22">
        <v>1328</v>
      </c>
      <c r="E152" s="22">
        <f t="shared" si="6"/>
        <v>447</v>
      </c>
      <c r="F152" s="22">
        <v>373</v>
      </c>
      <c r="G152" s="22">
        <v>74</v>
      </c>
      <c r="H152" s="22">
        <v>0</v>
      </c>
      <c r="I152" s="22">
        <v>0</v>
      </c>
    </row>
    <row r="153" spans="1:9" s="71" customFormat="1" ht="12" customHeight="1" x14ac:dyDescent="0.2">
      <c r="A153" s="264" t="s">
        <v>130</v>
      </c>
      <c r="B153" s="264"/>
      <c r="C153" s="22">
        <v>315</v>
      </c>
      <c r="D153" s="22">
        <v>219</v>
      </c>
      <c r="E153" s="22">
        <f t="shared" si="6"/>
        <v>96</v>
      </c>
      <c r="F153" s="22">
        <v>52</v>
      </c>
      <c r="G153" s="22">
        <v>44</v>
      </c>
      <c r="H153" s="22">
        <v>0</v>
      </c>
      <c r="I153" s="22">
        <v>0</v>
      </c>
    </row>
    <row r="154" spans="1:9" s="71" customFormat="1" ht="12" customHeight="1" x14ac:dyDescent="0.2">
      <c r="A154" s="267" t="s">
        <v>264</v>
      </c>
      <c r="B154" s="267"/>
      <c r="C154" s="28">
        <v>547</v>
      </c>
      <c r="D154" s="28">
        <v>509</v>
      </c>
      <c r="E154" s="28">
        <f t="shared" si="6"/>
        <v>38</v>
      </c>
      <c r="F154" s="28">
        <v>31</v>
      </c>
      <c r="G154" s="28">
        <v>7</v>
      </c>
      <c r="H154" s="28">
        <v>0</v>
      </c>
      <c r="I154" s="28">
        <v>0</v>
      </c>
    </row>
    <row r="155" spans="1:9" s="71" customFormat="1" ht="12" customHeight="1" x14ac:dyDescent="0.2">
      <c r="A155" s="25"/>
      <c r="B155" s="25"/>
      <c r="C155" s="72"/>
      <c r="D155" s="72"/>
      <c r="E155" s="72"/>
      <c r="F155" s="72"/>
      <c r="G155" s="72"/>
      <c r="H155" s="72"/>
      <c r="I155" s="72"/>
    </row>
    <row r="156" spans="1:9" s="71" customFormat="1" ht="12" customHeight="1" x14ac:dyDescent="0.2">
      <c r="A156" s="263" t="s">
        <v>131</v>
      </c>
      <c r="B156" s="263"/>
      <c r="C156" s="20">
        <v>60399</v>
      </c>
      <c r="D156" s="20">
        <v>46347</v>
      </c>
      <c r="E156" s="20">
        <f t="shared" ref="E156:E196" si="7">SUM(F156:I156)</f>
        <v>14052</v>
      </c>
      <c r="F156" s="20">
        <v>10949</v>
      </c>
      <c r="G156" s="20">
        <v>3078</v>
      </c>
      <c r="H156" s="20">
        <v>0</v>
      </c>
      <c r="I156" s="20">
        <v>25</v>
      </c>
    </row>
    <row r="157" spans="1:9" s="71" customFormat="1" ht="12" customHeight="1" x14ac:dyDescent="0.2">
      <c r="A157" s="264" t="s">
        <v>132</v>
      </c>
      <c r="B157" s="264"/>
      <c r="C157" s="22">
        <v>5430</v>
      </c>
      <c r="D157" s="22">
        <v>3927</v>
      </c>
      <c r="E157" s="22">
        <f t="shared" si="7"/>
        <v>1503</v>
      </c>
      <c r="F157" s="22">
        <v>1039</v>
      </c>
      <c r="G157" s="22">
        <v>463</v>
      </c>
      <c r="H157" s="22">
        <v>0</v>
      </c>
      <c r="I157" s="22">
        <v>1</v>
      </c>
    </row>
    <row r="158" spans="1:9" s="71" customFormat="1" ht="12" customHeight="1" x14ac:dyDescent="0.2">
      <c r="A158" s="264" t="s">
        <v>253</v>
      </c>
      <c r="B158" s="264"/>
      <c r="C158" s="22">
        <v>117</v>
      </c>
      <c r="D158" s="22">
        <v>108</v>
      </c>
      <c r="E158" s="22">
        <f t="shared" si="7"/>
        <v>9</v>
      </c>
      <c r="F158" s="22">
        <v>6</v>
      </c>
      <c r="G158" s="22">
        <v>3</v>
      </c>
      <c r="H158" s="22">
        <v>0</v>
      </c>
      <c r="I158" s="22">
        <v>0</v>
      </c>
    </row>
    <row r="159" spans="1:9" s="71" customFormat="1" ht="12" customHeight="1" x14ac:dyDescent="0.2">
      <c r="A159" s="264" t="s">
        <v>133</v>
      </c>
      <c r="B159" s="264"/>
      <c r="C159" s="22">
        <v>199</v>
      </c>
      <c r="D159" s="22">
        <v>188</v>
      </c>
      <c r="E159" s="22">
        <f t="shared" si="7"/>
        <v>11</v>
      </c>
      <c r="F159" s="22">
        <v>9</v>
      </c>
      <c r="G159" s="22">
        <v>2</v>
      </c>
      <c r="H159" s="22">
        <v>0</v>
      </c>
      <c r="I159" s="22">
        <v>0</v>
      </c>
    </row>
    <row r="160" spans="1:9" s="71" customFormat="1" ht="12" customHeight="1" x14ac:dyDescent="0.2">
      <c r="A160" s="264" t="s">
        <v>134</v>
      </c>
      <c r="B160" s="264"/>
      <c r="C160" s="22">
        <v>545</v>
      </c>
      <c r="D160" s="22">
        <v>455</v>
      </c>
      <c r="E160" s="22">
        <f t="shared" si="7"/>
        <v>90</v>
      </c>
      <c r="F160" s="22">
        <v>60</v>
      </c>
      <c r="G160" s="22">
        <v>30</v>
      </c>
      <c r="H160" s="22">
        <v>0</v>
      </c>
      <c r="I160" s="22">
        <v>0</v>
      </c>
    </row>
    <row r="161" spans="1:9" s="71" customFormat="1" ht="12" customHeight="1" x14ac:dyDescent="0.2">
      <c r="A161" s="264" t="s">
        <v>135</v>
      </c>
      <c r="B161" s="264"/>
      <c r="C161" s="22">
        <v>1858</v>
      </c>
      <c r="D161" s="22">
        <v>1530</v>
      </c>
      <c r="E161" s="22">
        <f t="shared" si="7"/>
        <v>328</v>
      </c>
      <c r="F161" s="22">
        <v>193</v>
      </c>
      <c r="G161" s="22">
        <v>135</v>
      </c>
      <c r="H161" s="22">
        <v>0</v>
      </c>
      <c r="I161" s="22">
        <v>0</v>
      </c>
    </row>
    <row r="162" spans="1:9" s="71" customFormat="1" ht="12" customHeight="1" x14ac:dyDescent="0.2">
      <c r="A162" s="264" t="s">
        <v>136</v>
      </c>
      <c r="B162" s="264"/>
      <c r="C162" s="22">
        <v>116</v>
      </c>
      <c r="D162" s="22">
        <v>103</v>
      </c>
      <c r="E162" s="22">
        <f t="shared" si="7"/>
        <v>13</v>
      </c>
      <c r="F162" s="22">
        <v>10</v>
      </c>
      <c r="G162" s="22">
        <v>3</v>
      </c>
      <c r="H162" s="22">
        <v>0</v>
      </c>
      <c r="I162" s="22">
        <v>0</v>
      </c>
    </row>
    <row r="163" spans="1:9" s="71" customFormat="1" ht="12" customHeight="1" x14ac:dyDescent="0.2">
      <c r="A163" s="264" t="s">
        <v>137</v>
      </c>
      <c r="B163" s="264"/>
      <c r="C163" s="22">
        <v>714</v>
      </c>
      <c r="D163" s="22">
        <v>671</v>
      </c>
      <c r="E163" s="22">
        <f t="shared" si="7"/>
        <v>43</v>
      </c>
      <c r="F163" s="22">
        <v>27</v>
      </c>
      <c r="G163" s="22">
        <v>16</v>
      </c>
      <c r="H163" s="22">
        <v>0</v>
      </c>
      <c r="I163" s="22">
        <v>0</v>
      </c>
    </row>
    <row r="164" spans="1:9" s="71" customFormat="1" ht="12" customHeight="1" x14ac:dyDescent="0.2">
      <c r="A164" s="264" t="s">
        <v>139</v>
      </c>
      <c r="B164" s="264"/>
      <c r="C164" s="22">
        <v>752</v>
      </c>
      <c r="D164" s="22">
        <v>581</v>
      </c>
      <c r="E164" s="22">
        <f t="shared" si="7"/>
        <v>171</v>
      </c>
      <c r="F164" s="22">
        <v>147</v>
      </c>
      <c r="G164" s="22">
        <v>24</v>
      </c>
      <c r="H164" s="22">
        <v>0</v>
      </c>
      <c r="I164" s="22">
        <v>0</v>
      </c>
    </row>
    <row r="165" spans="1:9" s="71" customFormat="1" ht="12" customHeight="1" x14ac:dyDescent="0.2">
      <c r="A165" s="264" t="s">
        <v>140</v>
      </c>
      <c r="B165" s="264"/>
      <c r="C165" s="22">
        <v>18</v>
      </c>
      <c r="D165" s="22">
        <v>18</v>
      </c>
      <c r="E165" s="22">
        <f t="shared" si="7"/>
        <v>0</v>
      </c>
      <c r="F165" s="22">
        <v>0</v>
      </c>
      <c r="G165" s="22">
        <v>0</v>
      </c>
      <c r="H165" s="22">
        <v>0</v>
      </c>
      <c r="I165" s="22">
        <v>0</v>
      </c>
    </row>
    <row r="166" spans="1:9" s="71" customFormat="1" ht="12" customHeight="1" x14ac:dyDescent="0.2">
      <c r="A166" s="264" t="s">
        <v>265</v>
      </c>
      <c r="B166" s="264"/>
      <c r="C166" s="22">
        <v>1355</v>
      </c>
      <c r="D166" s="22">
        <v>1195</v>
      </c>
      <c r="E166" s="22">
        <f t="shared" si="7"/>
        <v>160</v>
      </c>
      <c r="F166" s="22">
        <v>141</v>
      </c>
      <c r="G166" s="22">
        <v>18</v>
      </c>
      <c r="H166" s="22">
        <v>0</v>
      </c>
      <c r="I166" s="22">
        <v>1</v>
      </c>
    </row>
    <row r="167" spans="1:9" s="71" customFormat="1" ht="12" customHeight="1" x14ac:dyDescent="0.2">
      <c r="A167" s="264" t="s">
        <v>142</v>
      </c>
      <c r="B167" s="264"/>
      <c r="C167" s="22">
        <v>105</v>
      </c>
      <c r="D167" s="22">
        <v>104</v>
      </c>
      <c r="E167" s="22">
        <f t="shared" si="7"/>
        <v>1</v>
      </c>
      <c r="F167" s="22">
        <v>1</v>
      </c>
      <c r="G167" s="22">
        <v>0</v>
      </c>
      <c r="H167" s="22">
        <v>0</v>
      </c>
      <c r="I167" s="22">
        <v>0</v>
      </c>
    </row>
    <row r="168" spans="1:9" s="71" customFormat="1" ht="12" customHeight="1" x14ac:dyDescent="0.2">
      <c r="A168" s="264" t="s">
        <v>143</v>
      </c>
      <c r="B168" s="264"/>
      <c r="C168" s="22">
        <v>292</v>
      </c>
      <c r="D168" s="22">
        <v>251</v>
      </c>
      <c r="E168" s="22">
        <f t="shared" si="7"/>
        <v>41</v>
      </c>
      <c r="F168" s="22">
        <v>27</v>
      </c>
      <c r="G168" s="22">
        <v>14</v>
      </c>
      <c r="H168" s="22">
        <v>0</v>
      </c>
      <c r="I168" s="22">
        <v>0</v>
      </c>
    </row>
    <row r="169" spans="1:9" s="71" customFormat="1" ht="12" customHeight="1" x14ac:dyDescent="0.2">
      <c r="A169" s="264" t="s">
        <v>266</v>
      </c>
      <c r="B169" s="264"/>
      <c r="C169" s="22">
        <v>1246</v>
      </c>
      <c r="D169" s="22">
        <v>1061</v>
      </c>
      <c r="E169" s="22">
        <f t="shared" si="7"/>
        <v>185</v>
      </c>
      <c r="F169" s="22">
        <v>153</v>
      </c>
      <c r="G169" s="22">
        <v>32</v>
      </c>
      <c r="H169" s="22">
        <v>0</v>
      </c>
      <c r="I169" s="22">
        <v>0</v>
      </c>
    </row>
    <row r="170" spans="1:9" s="71" customFormat="1" ht="12" customHeight="1" x14ac:dyDescent="0.2">
      <c r="A170" s="264" t="s">
        <v>144</v>
      </c>
      <c r="B170" s="264"/>
      <c r="C170" s="22">
        <v>4320</v>
      </c>
      <c r="D170" s="22">
        <v>3557</v>
      </c>
      <c r="E170" s="22">
        <f t="shared" si="7"/>
        <v>763</v>
      </c>
      <c r="F170" s="22">
        <v>623</v>
      </c>
      <c r="G170" s="22">
        <v>137</v>
      </c>
      <c r="H170" s="22">
        <v>0</v>
      </c>
      <c r="I170" s="22">
        <v>3</v>
      </c>
    </row>
    <row r="171" spans="1:9" s="71" customFormat="1" ht="12" customHeight="1" x14ac:dyDescent="0.2">
      <c r="A171" s="264" t="s">
        <v>145</v>
      </c>
      <c r="B171" s="264"/>
      <c r="C171" s="22">
        <v>29</v>
      </c>
      <c r="D171" s="22">
        <v>27</v>
      </c>
      <c r="E171" s="22">
        <f t="shared" si="7"/>
        <v>2</v>
      </c>
      <c r="F171" s="22">
        <v>1</v>
      </c>
      <c r="G171" s="22">
        <v>1</v>
      </c>
      <c r="H171" s="22">
        <v>0</v>
      </c>
      <c r="I171" s="22">
        <v>0</v>
      </c>
    </row>
    <row r="172" spans="1:9" s="71" customFormat="1" ht="12" customHeight="1" x14ac:dyDescent="0.2">
      <c r="A172" s="264" t="s">
        <v>146</v>
      </c>
      <c r="B172" s="264"/>
      <c r="C172" s="22">
        <v>39</v>
      </c>
      <c r="D172" s="22">
        <v>39</v>
      </c>
      <c r="E172" s="22">
        <f t="shared" si="7"/>
        <v>0</v>
      </c>
      <c r="F172" s="22">
        <v>0</v>
      </c>
      <c r="G172" s="22">
        <v>0</v>
      </c>
      <c r="H172" s="22">
        <v>0</v>
      </c>
      <c r="I172" s="22">
        <v>0</v>
      </c>
    </row>
    <row r="173" spans="1:9" s="71" customFormat="1" ht="12" customHeight="1" x14ac:dyDescent="0.2">
      <c r="A173" s="264" t="s">
        <v>254</v>
      </c>
      <c r="B173" s="264"/>
      <c r="C173" s="22">
        <v>890</v>
      </c>
      <c r="D173" s="22">
        <v>818</v>
      </c>
      <c r="E173" s="22">
        <f t="shared" si="7"/>
        <v>72</v>
      </c>
      <c r="F173" s="22">
        <v>51</v>
      </c>
      <c r="G173" s="22">
        <v>21</v>
      </c>
      <c r="H173" s="22">
        <v>0</v>
      </c>
      <c r="I173" s="22">
        <v>0</v>
      </c>
    </row>
    <row r="174" spans="1:9" s="71" customFormat="1" ht="12" customHeight="1" x14ac:dyDescent="0.2">
      <c r="A174" s="264" t="s">
        <v>147</v>
      </c>
      <c r="B174" s="264"/>
      <c r="C174" s="22">
        <v>331</v>
      </c>
      <c r="D174" s="22">
        <v>296</v>
      </c>
      <c r="E174" s="22">
        <f t="shared" si="7"/>
        <v>35</v>
      </c>
      <c r="F174" s="22">
        <v>24</v>
      </c>
      <c r="G174" s="22">
        <v>11</v>
      </c>
      <c r="H174" s="22">
        <v>0</v>
      </c>
      <c r="I174" s="22">
        <v>0</v>
      </c>
    </row>
    <row r="175" spans="1:9" s="71" customFormat="1" ht="12" customHeight="1" x14ac:dyDescent="0.2">
      <c r="A175" s="264" t="s">
        <v>148</v>
      </c>
      <c r="B175" s="264"/>
      <c r="C175" s="22">
        <v>1194</v>
      </c>
      <c r="D175" s="22">
        <v>912</v>
      </c>
      <c r="E175" s="22">
        <f t="shared" si="7"/>
        <v>282</v>
      </c>
      <c r="F175" s="22">
        <v>213</v>
      </c>
      <c r="G175" s="22">
        <v>66</v>
      </c>
      <c r="H175" s="22">
        <v>0</v>
      </c>
      <c r="I175" s="22">
        <v>3</v>
      </c>
    </row>
    <row r="176" spans="1:9" s="71" customFormat="1" ht="12" customHeight="1" x14ac:dyDescent="0.2">
      <c r="A176" s="264" t="s">
        <v>149</v>
      </c>
      <c r="B176" s="264"/>
      <c r="C176" s="22">
        <v>14682</v>
      </c>
      <c r="D176" s="22">
        <v>9707</v>
      </c>
      <c r="E176" s="22">
        <f t="shared" si="7"/>
        <v>4975</v>
      </c>
      <c r="F176" s="22">
        <v>4000</v>
      </c>
      <c r="G176" s="22">
        <v>971</v>
      </c>
      <c r="H176" s="22">
        <v>0</v>
      </c>
      <c r="I176" s="22">
        <v>4</v>
      </c>
    </row>
    <row r="177" spans="1:9" s="71" customFormat="1" ht="12" customHeight="1" x14ac:dyDescent="0.2">
      <c r="A177" s="264" t="s">
        <v>150</v>
      </c>
      <c r="B177" s="264"/>
      <c r="C177" s="22">
        <v>6298</v>
      </c>
      <c r="D177" s="22">
        <v>4958</v>
      </c>
      <c r="E177" s="22">
        <f t="shared" si="7"/>
        <v>1340</v>
      </c>
      <c r="F177" s="22">
        <v>1084</v>
      </c>
      <c r="G177" s="22">
        <v>253</v>
      </c>
      <c r="H177" s="22">
        <v>0</v>
      </c>
      <c r="I177" s="22">
        <v>3</v>
      </c>
    </row>
    <row r="178" spans="1:9" s="71" customFormat="1" ht="12" customHeight="1" x14ac:dyDescent="0.2">
      <c r="A178" s="264" t="s">
        <v>151</v>
      </c>
      <c r="B178" s="264"/>
      <c r="C178" s="22">
        <v>1600</v>
      </c>
      <c r="D178" s="22">
        <v>1286</v>
      </c>
      <c r="E178" s="22">
        <f t="shared" si="7"/>
        <v>314</v>
      </c>
      <c r="F178" s="22">
        <v>244</v>
      </c>
      <c r="G178" s="22">
        <v>69</v>
      </c>
      <c r="H178" s="22">
        <v>0</v>
      </c>
      <c r="I178" s="22">
        <v>1</v>
      </c>
    </row>
    <row r="179" spans="1:9" s="71" customFormat="1" ht="12" customHeight="1" x14ac:dyDescent="0.2">
      <c r="A179" s="264" t="s">
        <v>152</v>
      </c>
      <c r="B179" s="264"/>
      <c r="C179" s="22">
        <v>211</v>
      </c>
      <c r="D179" s="22">
        <v>197</v>
      </c>
      <c r="E179" s="22">
        <f t="shared" si="7"/>
        <v>14</v>
      </c>
      <c r="F179" s="22">
        <v>7</v>
      </c>
      <c r="G179" s="22">
        <v>7</v>
      </c>
      <c r="H179" s="22">
        <v>0</v>
      </c>
      <c r="I179" s="22">
        <v>0</v>
      </c>
    </row>
    <row r="180" spans="1:9" s="71" customFormat="1" ht="12" customHeight="1" x14ac:dyDescent="0.2">
      <c r="A180" s="264" t="s">
        <v>153</v>
      </c>
      <c r="B180" s="264"/>
      <c r="C180" s="22">
        <v>6809</v>
      </c>
      <c r="D180" s="22">
        <v>5349</v>
      </c>
      <c r="E180" s="22">
        <f t="shared" si="7"/>
        <v>1460</v>
      </c>
      <c r="F180" s="22">
        <v>1173</v>
      </c>
      <c r="G180" s="22">
        <v>282</v>
      </c>
      <c r="H180" s="22">
        <v>0</v>
      </c>
      <c r="I180" s="22">
        <v>5</v>
      </c>
    </row>
    <row r="181" spans="1:9" s="71" customFormat="1" ht="12" customHeight="1" x14ac:dyDescent="0.2">
      <c r="A181" s="264" t="s">
        <v>154</v>
      </c>
      <c r="B181" s="264"/>
      <c r="C181" s="22">
        <v>58</v>
      </c>
      <c r="D181" s="22">
        <v>53</v>
      </c>
      <c r="E181" s="22">
        <f t="shared" si="7"/>
        <v>5</v>
      </c>
      <c r="F181" s="22">
        <v>3</v>
      </c>
      <c r="G181" s="22">
        <v>2</v>
      </c>
      <c r="H181" s="22">
        <v>0</v>
      </c>
      <c r="I181" s="22">
        <v>0</v>
      </c>
    </row>
    <row r="182" spans="1:9" s="71" customFormat="1" ht="12" customHeight="1" x14ac:dyDescent="0.2">
      <c r="A182" s="264" t="s">
        <v>155</v>
      </c>
      <c r="B182" s="264"/>
      <c r="C182" s="22">
        <v>2776</v>
      </c>
      <c r="D182" s="22">
        <v>2032</v>
      </c>
      <c r="E182" s="22">
        <f t="shared" si="7"/>
        <v>744</v>
      </c>
      <c r="F182" s="22">
        <v>577</v>
      </c>
      <c r="G182" s="22">
        <v>165</v>
      </c>
      <c r="H182" s="22">
        <v>0</v>
      </c>
      <c r="I182" s="22">
        <v>2</v>
      </c>
    </row>
    <row r="183" spans="1:9" s="71" customFormat="1" ht="12" customHeight="1" x14ac:dyDescent="0.2">
      <c r="A183" s="264" t="s">
        <v>156</v>
      </c>
      <c r="B183" s="264"/>
      <c r="C183" s="22">
        <v>294</v>
      </c>
      <c r="D183" s="22">
        <v>278</v>
      </c>
      <c r="E183" s="22">
        <f t="shared" si="7"/>
        <v>16</v>
      </c>
      <c r="F183" s="22">
        <v>11</v>
      </c>
      <c r="G183" s="22">
        <v>5</v>
      </c>
      <c r="H183" s="22">
        <v>0</v>
      </c>
      <c r="I183" s="22">
        <v>0</v>
      </c>
    </row>
    <row r="184" spans="1:9" s="71" customFormat="1" ht="12" customHeight="1" x14ac:dyDescent="0.2">
      <c r="A184" s="264" t="s">
        <v>157</v>
      </c>
      <c r="B184" s="264"/>
      <c r="C184" s="22">
        <v>784</v>
      </c>
      <c r="D184" s="22">
        <v>660</v>
      </c>
      <c r="E184" s="22">
        <f t="shared" si="7"/>
        <v>124</v>
      </c>
      <c r="F184" s="22">
        <v>88</v>
      </c>
      <c r="G184" s="22">
        <v>36</v>
      </c>
      <c r="H184" s="22">
        <v>0</v>
      </c>
      <c r="I184" s="22">
        <v>0</v>
      </c>
    </row>
    <row r="185" spans="1:9" s="71" customFormat="1" ht="12" customHeight="1" x14ac:dyDescent="0.2">
      <c r="A185" s="264" t="s">
        <v>255</v>
      </c>
      <c r="B185" s="264"/>
      <c r="C185" s="22">
        <v>113</v>
      </c>
      <c r="D185" s="22">
        <v>100</v>
      </c>
      <c r="E185" s="22">
        <f t="shared" si="7"/>
        <v>13</v>
      </c>
      <c r="F185" s="22">
        <v>7</v>
      </c>
      <c r="G185" s="22">
        <v>6</v>
      </c>
      <c r="H185" s="22">
        <v>0</v>
      </c>
      <c r="I185" s="22">
        <v>0</v>
      </c>
    </row>
    <row r="186" spans="1:9" s="71" customFormat="1" ht="12" customHeight="1" x14ac:dyDescent="0.2">
      <c r="A186" s="264" t="s">
        <v>158</v>
      </c>
      <c r="B186" s="264"/>
      <c r="C186" s="22">
        <v>393</v>
      </c>
      <c r="D186" s="22">
        <v>348</v>
      </c>
      <c r="E186" s="22">
        <f t="shared" si="7"/>
        <v>45</v>
      </c>
      <c r="F186" s="22">
        <v>42</v>
      </c>
      <c r="G186" s="22">
        <v>3</v>
      </c>
      <c r="H186" s="22">
        <v>0</v>
      </c>
      <c r="I186" s="22">
        <v>0</v>
      </c>
    </row>
    <row r="187" spans="1:9" s="71" customFormat="1" ht="12" customHeight="1" x14ac:dyDescent="0.2">
      <c r="A187" s="264" t="s">
        <v>159</v>
      </c>
      <c r="B187" s="264"/>
      <c r="C187" s="22">
        <v>676</v>
      </c>
      <c r="D187" s="22">
        <v>515</v>
      </c>
      <c r="E187" s="22">
        <f t="shared" si="7"/>
        <v>161</v>
      </c>
      <c r="F187" s="22">
        <v>100</v>
      </c>
      <c r="G187" s="22">
        <v>60</v>
      </c>
      <c r="H187" s="22">
        <v>0</v>
      </c>
      <c r="I187" s="22">
        <v>1</v>
      </c>
    </row>
    <row r="188" spans="1:9" s="71" customFormat="1" ht="12" customHeight="1" x14ac:dyDescent="0.2">
      <c r="A188" s="264" t="s">
        <v>160</v>
      </c>
      <c r="B188" s="264"/>
      <c r="C188" s="22">
        <v>709</v>
      </c>
      <c r="D188" s="22">
        <v>592</v>
      </c>
      <c r="E188" s="22">
        <f t="shared" si="7"/>
        <v>117</v>
      </c>
      <c r="F188" s="22">
        <v>83</v>
      </c>
      <c r="G188" s="22">
        <v>34</v>
      </c>
      <c r="H188" s="22">
        <v>0</v>
      </c>
      <c r="I188" s="22">
        <v>0</v>
      </c>
    </row>
    <row r="189" spans="1:9" s="71" customFormat="1" ht="12" customHeight="1" x14ac:dyDescent="0.2">
      <c r="A189" s="264" t="s">
        <v>161</v>
      </c>
      <c r="B189" s="264"/>
      <c r="C189" s="22">
        <v>135</v>
      </c>
      <c r="D189" s="22">
        <v>117</v>
      </c>
      <c r="E189" s="22">
        <f t="shared" si="7"/>
        <v>18</v>
      </c>
      <c r="F189" s="22">
        <v>12</v>
      </c>
      <c r="G189" s="22">
        <v>6</v>
      </c>
      <c r="H189" s="22">
        <v>0</v>
      </c>
      <c r="I189" s="22">
        <v>0</v>
      </c>
    </row>
    <row r="190" spans="1:9" s="71" customFormat="1" ht="12" customHeight="1" x14ac:dyDescent="0.2">
      <c r="A190" s="264" t="s">
        <v>162</v>
      </c>
      <c r="B190" s="264"/>
      <c r="C190" s="22">
        <v>85</v>
      </c>
      <c r="D190" s="22">
        <v>81</v>
      </c>
      <c r="E190" s="22">
        <f t="shared" si="7"/>
        <v>4</v>
      </c>
      <c r="F190" s="22">
        <v>2</v>
      </c>
      <c r="G190" s="22">
        <v>2</v>
      </c>
      <c r="H190" s="22">
        <v>0</v>
      </c>
      <c r="I190" s="22">
        <v>0</v>
      </c>
    </row>
    <row r="191" spans="1:9" s="71" customFormat="1" ht="12" customHeight="1" x14ac:dyDescent="0.2">
      <c r="A191" s="264" t="s">
        <v>163</v>
      </c>
      <c r="B191" s="264"/>
      <c r="C191" s="22">
        <v>748</v>
      </c>
      <c r="D191" s="22">
        <v>641</v>
      </c>
      <c r="E191" s="22">
        <f t="shared" si="7"/>
        <v>107</v>
      </c>
      <c r="F191" s="22">
        <v>78</v>
      </c>
      <c r="G191" s="22">
        <v>29</v>
      </c>
      <c r="H191" s="22">
        <v>0</v>
      </c>
      <c r="I191" s="22">
        <v>0</v>
      </c>
    </row>
    <row r="192" spans="1:9" s="71" customFormat="1" ht="12" customHeight="1" x14ac:dyDescent="0.2">
      <c r="A192" s="264" t="s">
        <v>164</v>
      </c>
      <c r="B192" s="264"/>
      <c r="C192" s="22">
        <v>2418</v>
      </c>
      <c r="D192" s="22">
        <v>1782</v>
      </c>
      <c r="E192" s="22">
        <f t="shared" si="7"/>
        <v>636</v>
      </c>
      <c r="F192" s="22">
        <v>539</v>
      </c>
      <c r="G192" s="22">
        <v>97</v>
      </c>
      <c r="H192" s="22">
        <v>0</v>
      </c>
      <c r="I192" s="22">
        <v>0</v>
      </c>
    </row>
    <row r="193" spans="1:9" s="71" customFormat="1" ht="12" customHeight="1" x14ac:dyDescent="0.2">
      <c r="A193" s="264" t="s">
        <v>165</v>
      </c>
      <c r="B193" s="264"/>
      <c r="C193" s="22">
        <v>68</v>
      </c>
      <c r="D193" s="22">
        <v>62</v>
      </c>
      <c r="E193" s="22">
        <f t="shared" si="7"/>
        <v>6</v>
      </c>
      <c r="F193" s="22">
        <v>5</v>
      </c>
      <c r="G193" s="22">
        <v>1</v>
      </c>
      <c r="H193" s="22">
        <v>0</v>
      </c>
      <c r="I193" s="22">
        <v>0</v>
      </c>
    </row>
    <row r="194" spans="1:9" s="71" customFormat="1" ht="12" customHeight="1" x14ac:dyDescent="0.2">
      <c r="A194" s="264" t="s">
        <v>166</v>
      </c>
      <c r="B194" s="264"/>
      <c r="C194" s="22">
        <v>1042</v>
      </c>
      <c r="D194" s="22">
        <v>908</v>
      </c>
      <c r="E194" s="22">
        <f t="shared" si="7"/>
        <v>134</v>
      </c>
      <c r="F194" s="22">
        <v>94</v>
      </c>
      <c r="G194" s="22">
        <v>40</v>
      </c>
      <c r="H194" s="22">
        <v>0</v>
      </c>
      <c r="I194" s="22">
        <v>0</v>
      </c>
    </row>
    <row r="195" spans="1:9" s="71" customFormat="1" ht="12" customHeight="1" x14ac:dyDescent="0.2">
      <c r="A195" s="264" t="s">
        <v>167</v>
      </c>
      <c r="B195" s="264"/>
      <c r="C195" s="22">
        <v>662</v>
      </c>
      <c r="D195" s="22">
        <v>568</v>
      </c>
      <c r="E195" s="22">
        <f t="shared" si="7"/>
        <v>94</v>
      </c>
      <c r="F195" s="22">
        <v>69</v>
      </c>
      <c r="G195" s="22">
        <v>24</v>
      </c>
      <c r="H195" s="22">
        <v>0</v>
      </c>
      <c r="I195" s="22">
        <v>1</v>
      </c>
    </row>
    <row r="196" spans="1:9" s="71" customFormat="1" ht="12" customHeight="1" x14ac:dyDescent="0.2">
      <c r="A196" s="267" t="s">
        <v>168</v>
      </c>
      <c r="B196" s="267"/>
      <c r="C196" s="28">
        <v>288</v>
      </c>
      <c r="D196" s="28">
        <v>272</v>
      </c>
      <c r="E196" s="28">
        <f t="shared" si="7"/>
        <v>16</v>
      </c>
      <c r="F196" s="28">
        <v>6</v>
      </c>
      <c r="G196" s="28">
        <v>10</v>
      </c>
      <c r="H196" s="28">
        <v>0</v>
      </c>
      <c r="I196" s="28">
        <v>0</v>
      </c>
    </row>
    <row r="197" spans="1:9" s="71" customFormat="1" ht="12" customHeight="1" x14ac:dyDescent="0.2">
      <c r="A197" s="25"/>
      <c r="B197" s="25"/>
      <c r="C197" s="72"/>
      <c r="D197" s="72"/>
      <c r="E197" s="72"/>
      <c r="F197" s="72"/>
      <c r="G197" s="72"/>
      <c r="H197" s="72"/>
      <c r="I197" s="72"/>
    </row>
    <row r="198" spans="1:9" s="71" customFormat="1" ht="12" customHeight="1" x14ac:dyDescent="0.2">
      <c r="A198" s="263" t="s">
        <v>169</v>
      </c>
      <c r="B198" s="263"/>
      <c r="C198" s="20">
        <v>5833</v>
      </c>
      <c r="D198" s="20">
        <v>5218</v>
      </c>
      <c r="E198" s="20">
        <f t="shared" ref="E198:E207" si="8">SUM(F198:I198)</f>
        <v>615</v>
      </c>
      <c r="F198" s="20">
        <v>455</v>
      </c>
      <c r="G198" s="20">
        <v>159</v>
      </c>
      <c r="H198" s="20">
        <v>0</v>
      </c>
      <c r="I198" s="20">
        <v>1</v>
      </c>
    </row>
    <row r="199" spans="1:9" s="71" customFormat="1" ht="12" customHeight="1" x14ac:dyDescent="0.2">
      <c r="A199" s="264" t="s">
        <v>267</v>
      </c>
      <c r="B199" s="264"/>
      <c r="C199" s="22">
        <v>548</v>
      </c>
      <c r="D199" s="22">
        <v>512</v>
      </c>
      <c r="E199" s="22">
        <f t="shared" si="8"/>
        <v>36</v>
      </c>
      <c r="F199" s="22">
        <v>23</v>
      </c>
      <c r="G199" s="22">
        <v>13</v>
      </c>
      <c r="H199" s="22">
        <v>0</v>
      </c>
      <c r="I199" s="22">
        <v>0</v>
      </c>
    </row>
    <row r="200" spans="1:9" s="71" customFormat="1" ht="12" customHeight="1" x14ac:dyDescent="0.2">
      <c r="A200" s="264" t="s">
        <v>171</v>
      </c>
      <c r="B200" s="264"/>
      <c r="C200" s="22">
        <v>58</v>
      </c>
      <c r="D200" s="22">
        <v>54</v>
      </c>
      <c r="E200" s="22">
        <f t="shared" si="8"/>
        <v>4</v>
      </c>
      <c r="F200" s="22">
        <v>1</v>
      </c>
      <c r="G200" s="22">
        <v>3</v>
      </c>
      <c r="H200" s="22">
        <v>0</v>
      </c>
      <c r="I200" s="22">
        <v>0</v>
      </c>
    </row>
    <row r="201" spans="1:9" s="71" customFormat="1" ht="12" customHeight="1" x14ac:dyDescent="0.2">
      <c r="A201" s="264" t="s">
        <v>172</v>
      </c>
      <c r="B201" s="264"/>
      <c r="C201" s="22">
        <v>51</v>
      </c>
      <c r="D201" s="22">
        <v>49</v>
      </c>
      <c r="E201" s="22">
        <f t="shared" si="8"/>
        <v>2</v>
      </c>
      <c r="F201" s="22">
        <v>2</v>
      </c>
      <c r="G201" s="22">
        <v>0</v>
      </c>
      <c r="H201" s="22">
        <v>0</v>
      </c>
      <c r="I201" s="22">
        <v>0</v>
      </c>
    </row>
    <row r="202" spans="1:9" s="71" customFormat="1" ht="12" customHeight="1" x14ac:dyDescent="0.2">
      <c r="A202" s="264" t="s">
        <v>173</v>
      </c>
      <c r="B202" s="264"/>
      <c r="C202" s="22">
        <v>65</v>
      </c>
      <c r="D202" s="22">
        <v>62</v>
      </c>
      <c r="E202" s="22">
        <f t="shared" si="8"/>
        <v>3</v>
      </c>
      <c r="F202" s="22">
        <v>3</v>
      </c>
      <c r="G202" s="22">
        <v>0</v>
      </c>
      <c r="H202" s="22">
        <v>0</v>
      </c>
      <c r="I202" s="22">
        <v>0</v>
      </c>
    </row>
    <row r="203" spans="1:9" s="71" customFormat="1" ht="12" customHeight="1" x14ac:dyDescent="0.2">
      <c r="A203" s="264" t="s">
        <v>174</v>
      </c>
      <c r="B203" s="264"/>
      <c r="C203" s="22">
        <v>1251</v>
      </c>
      <c r="D203" s="22">
        <v>1052</v>
      </c>
      <c r="E203" s="22">
        <f t="shared" si="8"/>
        <v>199</v>
      </c>
      <c r="F203" s="22">
        <v>150</v>
      </c>
      <c r="G203" s="22">
        <v>49</v>
      </c>
      <c r="H203" s="22">
        <v>0</v>
      </c>
      <c r="I203" s="22">
        <v>0</v>
      </c>
    </row>
    <row r="204" spans="1:9" s="71" customFormat="1" ht="12" customHeight="1" x14ac:dyDescent="0.2">
      <c r="A204" s="264" t="s">
        <v>268</v>
      </c>
      <c r="B204" s="264"/>
      <c r="C204" s="22">
        <v>834</v>
      </c>
      <c r="D204" s="22">
        <v>742</v>
      </c>
      <c r="E204" s="22">
        <f t="shared" si="8"/>
        <v>92</v>
      </c>
      <c r="F204" s="22">
        <v>56</v>
      </c>
      <c r="G204" s="22">
        <v>36</v>
      </c>
      <c r="H204" s="22">
        <v>0</v>
      </c>
      <c r="I204" s="22">
        <v>0</v>
      </c>
    </row>
    <row r="205" spans="1:9" s="71" customFormat="1" ht="12" customHeight="1" x14ac:dyDescent="0.2">
      <c r="A205" s="264" t="s">
        <v>175</v>
      </c>
      <c r="B205" s="264"/>
      <c r="C205" s="22">
        <v>576</v>
      </c>
      <c r="D205" s="22">
        <v>557</v>
      </c>
      <c r="E205" s="22">
        <f t="shared" si="8"/>
        <v>19</v>
      </c>
      <c r="F205" s="22">
        <v>16</v>
      </c>
      <c r="G205" s="22">
        <v>3</v>
      </c>
      <c r="H205" s="22">
        <v>0</v>
      </c>
      <c r="I205" s="22">
        <v>0</v>
      </c>
    </row>
    <row r="206" spans="1:9" s="71" customFormat="1" ht="12" customHeight="1" x14ac:dyDescent="0.2">
      <c r="A206" s="264" t="s">
        <v>176</v>
      </c>
      <c r="B206" s="264"/>
      <c r="C206" s="22">
        <v>43</v>
      </c>
      <c r="D206" s="22">
        <v>39</v>
      </c>
      <c r="E206" s="22">
        <f t="shared" si="8"/>
        <v>4</v>
      </c>
      <c r="F206" s="22">
        <v>4</v>
      </c>
      <c r="G206" s="22">
        <v>0</v>
      </c>
      <c r="H206" s="22">
        <v>0</v>
      </c>
      <c r="I206" s="22">
        <v>0</v>
      </c>
    </row>
    <row r="207" spans="1:9" s="71" customFormat="1" ht="12" customHeight="1" x14ac:dyDescent="0.2">
      <c r="A207" s="267" t="s">
        <v>177</v>
      </c>
      <c r="B207" s="267"/>
      <c r="C207" s="28">
        <v>2407</v>
      </c>
      <c r="D207" s="28">
        <v>2151</v>
      </c>
      <c r="E207" s="28">
        <f t="shared" si="8"/>
        <v>256</v>
      </c>
      <c r="F207" s="28">
        <v>200</v>
      </c>
      <c r="G207" s="28">
        <v>55</v>
      </c>
      <c r="H207" s="28">
        <v>0</v>
      </c>
      <c r="I207" s="28">
        <v>1</v>
      </c>
    </row>
    <row r="208" spans="1:9" s="71" customFormat="1" ht="12" customHeight="1" x14ac:dyDescent="0.2">
      <c r="A208" s="25"/>
      <c r="B208" s="25"/>
      <c r="C208" s="72"/>
      <c r="D208" s="72"/>
      <c r="E208" s="72"/>
      <c r="F208" s="72"/>
      <c r="G208" s="72"/>
      <c r="H208" s="72"/>
      <c r="I208" s="72"/>
    </row>
    <row r="209" spans="1:9" s="71" customFormat="1" ht="12" customHeight="1" x14ac:dyDescent="0.2">
      <c r="A209" s="263" t="s">
        <v>178</v>
      </c>
      <c r="B209" s="263"/>
      <c r="C209" s="20">
        <v>46588</v>
      </c>
      <c r="D209" s="20">
        <v>34104</v>
      </c>
      <c r="E209" s="20">
        <f t="shared" ref="E209:E227" si="9">SUM(F209:I209)</f>
        <v>12484</v>
      </c>
      <c r="F209" s="20">
        <v>10169</v>
      </c>
      <c r="G209" s="20">
        <v>2289</v>
      </c>
      <c r="H209" s="20">
        <v>1</v>
      </c>
      <c r="I209" s="20">
        <v>25</v>
      </c>
    </row>
    <row r="210" spans="1:9" s="71" customFormat="1" ht="12" customHeight="1" x14ac:dyDescent="0.2">
      <c r="A210" s="264" t="s">
        <v>179</v>
      </c>
      <c r="B210" s="264"/>
      <c r="C210" s="22">
        <v>3963</v>
      </c>
      <c r="D210" s="22">
        <v>2811</v>
      </c>
      <c r="E210" s="22">
        <f t="shared" si="9"/>
        <v>1152</v>
      </c>
      <c r="F210" s="22">
        <v>975</v>
      </c>
      <c r="G210" s="22">
        <v>176</v>
      </c>
      <c r="H210" s="22">
        <v>0</v>
      </c>
      <c r="I210" s="22">
        <v>1</v>
      </c>
    </row>
    <row r="211" spans="1:9" s="71" customFormat="1" ht="12" customHeight="1" x14ac:dyDescent="0.2">
      <c r="A211" s="264" t="s">
        <v>180</v>
      </c>
      <c r="B211" s="264"/>
      <c r="C211" s="22">
        <v>16983</v>
      </c>
      <c r="D211" s="22">
        <v>11720</v>
      </c>
      <c r="E211" s="22">
        <f t="shared" si="9"/>
        <v>5263</v>
      </c>
      <c r="F211" s="22">
        <v>4228</v>
      </c>
      <c r="G211" s="22">
        <v>1022</v>
      </c>
      <c r="H211" s="22">
        <v>1</v>
      </c>
      <c r="I211" s="22">
        <v>12</v>
      </c>
    </row>
    <row r="212" spans="1:9" s="71" customFormat="1" ht="12" customHeight="1" x14ac:dyDescent="0.2">
      <c r="A212" s="264" t="s">
        <v>181</v>
      </c>
      <c r="B212" s="264"/>
      <c r="C212" s="22">
        <v>2116</v>
      </c>
      <c r="D212" s="22">
        <v>1334</v>
      </c>
      <c r="E212" s="22">
        <f t="shared" si="9"/>
        <v>782</v>
      </c>
      <c r="F212" s="22">
        <v>602</v>
      </c>
      <c r="G212" s="22">
        <v>178</v>
      </c>
      <c r="H212" s="22">
        <v>0</v>
      </c>
      <c r="I212" s="22">
        <v>2</v>
      </c>
    </row>
    <row r="213" spans="1:9" s="71" customFormat="1" ht="12" customHeight="1" x14ac:dyDescent="0.2">
      <c r="A213" s="264" t="s">
        <v>182</v>
      </c>
      <c r="B213" s="264"/>
      <c r="C213" s="22">
        <v>2531</v>
      </c>
      <c r="D213" s="22">
        <v>2156</v>
      </c>
      <c r="E213" s="22">
        <f t="shared" si="9"/>
        <v>375</v>
      </c>
      <c r="F213" s="22">
        <v>322</v>
      </c>
      <c r="G213" s="22">
        <v>53</v>
      </c>
      <c r="H213" s="22">
        <v>0</v>
      </c>
      <c r="I213" s="22">
        <v>0</v>
      </c>
    </row>
    <row r="214" spans="1:9" s="71" customFormat="1" ht="12" customHeight="1" x14ac:dyDescent="0.2">
      <c r="A214" s="264" t="s">
        <v>183</v>
      </c>
      <c r="B214" s="264"/>
      <c r="C214" s="22">
        <v>7975</v>
      </c>
      <c r="D214" s="22">
        <v>5717</v>
      </c>
      <c r="E214" s="22">
        <f t="shared" si="9"/>
        <v>2258</v>
      </c>
      <c r="F214" s="22">
        <v>1890</v>
      </c>
      <c r="G214" s="22">
        <v>363</v>
      </c>
      <c r="H214" s="22">
        <v>0</v>
      </c>
      <c r="I214" s="22">
        <v>5</v>
      </c>
    </row>
    <row r="215" spans="1:9" s="71" customFormat="1" ht="12" customHeight="1" x14ac:dyDescent="0.2">
      <c r="A215" s="264" t="s">
        <v>184</v>
      </c>
      <c r="B215" s="264"/>
      <c r="C215" s="22">
        <v>624</v>
      </c>
      <c r="D215" s="22">
        <v>550</v>
      </c>
      <c r="E215" s="22">
        <f t="shared" si="9"/>
        <v>74</v>
      </c>
      <c r="F215" s="22">
        <v>57</v>
      </c>
      <c r="G215" s="22">
        <v>17</v>
      </c>
      <c r="H215" s="22">
        <v>0</v>
      </c>
      <c r="I215" s="22">
        <v>0</v>
      </c>
    </row>
    <row r="216" spans="1:9" s="71" customFormat="1" ht="12" customHeight="1" x14ac:dyDescent="0.2">
      <c r="A216" s="264" t="s">
        <v>185</v>
      </c>
      <c r="B216" s="264"/>
      <c r="C216" s="22">
        <v>688</v>
      </c>
      <c r="D216" s="22">
        <v>610</v>
      </c>
      <c r="E216" s="22">
        <f t="shared" si="9"/>
        <v>78</v>
      </c>
      <c r="F216" s="22">
        <v>73</v>
      </c>
      <c r="G216" s="22">
        <v>4</v>
      </c>
      <c r="H216" s="22">
        <v>0</v>
      </c>
      <c r="I216" s="22">
        <v>1</v>
      </c>
    </row>
    <row r="217" spans="1:9" s="71" customFormat="1" ht="12" customHeight="1" x14ac:dyDescent="0.2">
      <c r="A217" s="264" t="s">
        <v>186</v>
      </c>
      <c r="B217" s="264"/>
      <c r="C217" s="22">
        <v>770</v>
      </c>
      <c r="D217" s="22">
        <v>649</v>
      </c>
      <c r="E217" s="22">
        <f t="shared" si="9"/>
        <v>121</v>
      </c>
      <c r="F217" s="22">
        <v>95</v>
      </c>
      <c r="G217" s="22">
        <v>26</v>
      </c>
      <c r="H217" s="22">
        <v>0</v>
      </c>
      <c r="I217" s="22">
        <v>0</v>
      </c>
    </row>
    <row r="218" spans="1:9" s="71" customFormat="1" ht="12" customHeight="1" x14ac:dyDescent="0.2">
      <c r="A218" s="264" t="s">
        <v>187</v>
      </c>
      <c r="B218" s="264"/>
      <c r="C218" s="22">
        <v>366</v>
      </c>
      <c r="D218" s="22">
        <v>338</v>
      </c>
      <c r="E218" s="22">
        <f t="shared" si="9"/>
        <v>28</v>
      </c>
      <c r="F218" s="22">
        <v>22</v>
      </c>
      <c r="G218" s="22">
        <v>6</v>
      </c>
      <c r="H218" s="22">
        <v>0</v>
      </c>
      <c r="I218" s="22">
        <v>0</v>
      </c>
    </row>
    <row r="219" spans="1:9" s="71" customFormat="1" ht="12" customHeight="1" x14ac:dyDescent="0.2">
      <c r="A219" s="264" t="s">
        <v>188</v>
      </c>
      <c r="B219" s="264"/>
      <c r="C219" s="22">
        <v>1245</v>
      </c>
      <c r="D219" s="22">
        <v>1045</v>
      </c>
      <c r="E219" s="22">
        <f t="shared" si="9"/>
        <v>200</v>
      </c>
      <c r="F219" s="22">
        <v>161</v>
      </c>
      <c r="G219" s="22">
        <v>39</v>
      </c>
      <c r="H219" s="22">
        <v>0</v>
      </c>
      <c r="I219" s="22">
        <v>0</v>
      </c>
    </row>
    <row r="220" spans="1:9" s="71" customFormat="1" ht="12" customHeight="1" x14ac:dyDescent="0.2">
      <c r="A220" s="264" t="s">
        <v>189</v>
      </c>
      <c r="B220" s="264"/>
      <c r="C220" s="22">
        <v>343</v>
      </c>
      <c r="D220" s="22">
        <v>324</v>
      </c>
      <c r="E220" s="22">
        <f t="shared" si="9"/>
        <v>19</v>
      </c>
      <c r="F220" s="22">
        <v>14</v>
      </c>
      <c r="G220" s="22">
        <v>5</v>
      </c>
      <c r="H220" s="22">
        <v>0</v>
      </c>
      <c r="I220" s="22">
        <v>0</v>
      </c>
    </row>
    <row r="221" spans="1:9" s="71" customFormat="1" ht="12" customHeight="1" x14ac:dyDescent="0.2">
      <c r="A221" s="264" t="s">
        <v>190</v>
      </c>
      <c r="B221" s="264"/>
      <c r="C221" s="22">
        <v>106</v>
      </c>
      <c r="D221" s="22">
        <v>86</v>
      </c>
      <c r="E221" s="22">
        <f t="shared" si="9"/>
        <v>20</v>
      </c>
      <c r="F221" s="22">
        <v>19</v>
      </c>
      <c r="G221" s="22">
        <v>1</v>
      </c>
      <c r="H221" s="22">
        <v>0</v>
      </c>
      <c r="I221" s="22">
        <v>0</v>
      </c>
    </row>
    <row r="222" spans="1:9" s="71" customFormat="1" ht="12" customHeight="1" x14ac:dyDescent="0.2">
      <c r="A222" s="264" t="s">
        <v>191</v>
      </c>
      <c r="B222" s="264"/>
      <c r="C222" s="22">
        <v>2413</v>
      </c>
      <c r="D222" s="22">
        <v>1826</v>
      </c>
      <c r="E222" s="22">
        <f t="shared" si="9"/>
        <v>587</v>
      </c>
      <c r="F222" s="22">
        <v>447</v>
      </c>
      <c r="G222" s="22">
        <v>138</v>
      </c>
      <c r="H222" s="22">
        <v>0</v>
      </c>
      <c r="I222" s="22">
        <v>2</v>
      </c>
    </row>
    <row r="223" spans="1:9" s="71" customFormat="1" ht="12" customHeight="1" x14ac:dyDescent="0.2">
      <c r="A223" s="264" t="s">
        <v>192</v>
      </c>
      <c r="B223" s="264"/>
      <c r="C223" s="22">
        <v>552</v>
      </c>
      <c r="D223" s="22">
        <v>509</v>
      </c>
      <c r="E223" s="22">
        <f t="shared" si="9"/>
        <v>43</v>
      </c>
      <c r="F223" s="22">
        <v>33</v>
      </c>
      <c r="G223" s="22">
        <v>10</v>
      </c>
      <c r="H223" s="22">
        <v>0</v>
      </c>
      <c r="I223" s="22">
        <v>0</v>
      </c>
    </row>
    <row r="224" spans="1:9" s="71" customFormat="1" ht="12" customHeight="1" x14ac:dyDescent="0.2">
      <c r="A224" s="264" t="s">
        <v>193</v>
      </c>
      <c r="B224" s="264"/>
      <c r="C224" s="22">
        <v>575</v>
      </c>
      <c r="D224" s="22">
        <v>509</v>
      </c>
      <c r="E224" s="22">
        <f t="shared" si="9"/>
        <v>66</v>
      </c>
      <c r="F224" s="22">
        <v>50</v>
      </c>
      <c r="G224" s="22">
        <v>16</v>
      </c>
      <c r="H224" s="22">
        <v>0</v>
      </c>
      <c r="I224" s="22">
        <v>0</v>
      </c>
    </row>
    <row r="225" spans="1:9" s="71" customFormat="1" ht="12" customHeight="1" x14ac:dyDescent="0.2">
      <c r="A225" s="264" t="s">
        <v>194</v>
      </c>
      <c r="B225" s="264"/>
      <c r="C225" s="22">
        <v>2235</v>
      </c>
      <c r="D225" s="22">
        <v>1540</v>
      </c>
      <c r="E225" s="22">
        <f t="shared" si="9"/>
        <v>695</v>
      </c>
      <c r="F225" s="22">
        <v>582</v>
      </c>
      <c r="G225" s="22">
        <v>112</v>
      </c>
      <c r="H225" s="22">
        <v>0</v>
      </c>
      <c r="I225" s="22">
        <v>1</v>
      </c>
    </row>
    <row r="226" spans="1:9" s="71" customFormat="1" ht="12" customHeight="1" x14ac:dyDescent="0.2">
      <c r="A226" s="264" t="s">
        <v>195</v>
      </c>
      <c r="B226" s="264"/>
      <c r="C226" s="22">
        <v>197</v>
      </c>
      <c r="D226" s="22">
        <v>187</v>
      </c>
      <c r="E226" s="22">
        <f t="shared" si="9"/>
        <v>10</v>
      </c>
      <c r="F226" s="22">
        <v>8</v>
      </c>
      <c r="G226" s="22">
        <v>2</v>
      </c>
      <c r="H226" s="22">
        <v>0</v>
      </c>
      <c r="I226" s="22">
        <v>0</v>
      </c>
    </row>
    <row r="227" spans="1:9" s="71" customFormat="1" ht="12" customHeight="1" x14ac:dyDescent="0.2">
      <c r="A227" s="267" t="s">
        <v>196</v>
      </c>
      <c r="B227" s="267"/>
      <c r="C227" s="28">
        <v>2906</v>
      </c>
      <c r="D227" s="28">
        <v>2193</v>
      </c>
      <c r="E227" s="28">
        <f t="shared" si="9"/>
        <v>713</v>
      </c>
      <c r="F227" s="28">
        <v>591</v>
      </c>
      <c r="G227" s="28">
        <v>121</v>
      </c>
      <c r="H227" s="28">
        <v>0</v>
      </c>
      <c r="I227" s="28">
        <v>1</v>
      </c>
    </row>
    <row r="228" spans="1:9" s="71" customFormat="1" ht="12" customHeight="1" x14ac:dyDescent="0.2">
      <c r="A228" s="25"/>
      <c r="B228" s="25"/>
      <c r="C228" s="72"/>
      <c r="D228" s="72"/>
      <c r="E228" s="72"/>
      <c r="F228" s="72"/>
      <c r="G228" s="72"/>
      <c r="H228" s="72"/>
      <c r="I228" s="72"/>
    </row>
    <row r="229" spans="1:9" s="71" customFormat="1" ht="12" customHeight="1" x14ac:dyDescent="0.2">
      <c r="A229" s="263" t="s">
        <v>197</v>
      </c>
      <c r="B229" s="263"/>
      <c r="C229" s="20">
        <v>12039</v>
      </c>
      <c r="D229" s="20">
        <v>8328</v>
      </c>
      <c r="E229" s="20">
        <f t="shared" ref="E229:E235" si="10">SUM(F229:I229)</f>
        <v>3711</v>
      </c>
      <c r="F229" s="20">
        <v>3084</v>
      </c>
      <c r="G229" s="20">
        <v>616</v>
      </c>
      <c r="H229" s="20">
        <v>0</v>
      </c>
      <c r="I229" s="20">
        <v>11</v>
      </c>
    </row>
    <row r="230" spans="1:9" s="71" customFormat="1" ht="12" customHeight="1" x14ac:dyDescent="0.2">
      <c r="A230" s="264" t="s">
        <v>198</v>
      </c>
      <c r="B230" s="264"/>
      <c r="C230" s="22">
        <v>5914</v>
      </c>
      <c r="D230" s="22">
        <v>3696</v>
      </c>
      <c r="E230" s="22">
        <f t="shared" si="10"/>
        <v>2218</v>
      </c>
      <c r="F230" s="22">
        <v>1890</v>
      </c>
      <c r="G230" s="22">
        <v>318</v>
      </c>
      <c r="H230" s="22">
        <v>0</v>
      </c>
      <c r="I230" s="22">
        <v>10</v>
      </c>
    </row>
    <row r="231" spans="1:9" s="71" customFormat="1" ht="12" customHeight="1" x14ac:dyDescent="0.2">
      <c r="A231" s="264" t="s">
        <v>199</v>
      </c>
      <c r="B231" s="264"/>
      <c r="C231" s="22">
        <v>2427</v>
      </c>
      <c r="D231" s="22">
        <v>2008</v>
      </c>
      <c r="E231" s="22">
        <f t="shared" si="10"/>
        <v>419</v>
      </c>
      <c r="F231" s="22">
        <v>336</v>
      </c>
      <c r="G231" s="22">
        <v>82</v>
      </c>
      <c r="H231" s="22">
        <v>0</v>
      </c>
      <c r="I231" s="22">
        <v>1</v>
      </c>
    </row>
    <row r="232" spans="1:9" s="71" customFormat="1" ht="12" customHeight="1" x14ac:dyDescent="0.2">
      <c r="A232" s="264" t="s">
        <v>200</v>
      </c>
      <c r="B232" s="264"/>
      <c r="C232" s="22">
        <v>578</v>
      </c>
      <c r="D232" s="22">
        <v>422</v>
      </c>
      <c r="E232" s="22">
        <f t="shared" si="10"/>
        <v>156</v>
      </c>
      <c r="F232" s="22">
        <v>112</v>
      </c>
      <c r="G232" s="22">
        <v>44</v>
      </c>
      <c r="H232" s="22">
        <v>0</v>
      </c>
      <c r="I232" s="22">
        <v>0</v>
      </c>
    </row>
    <row r="233" spans="1:9" s="71" customFormat="1" ht="12" customHeight="1" x14ac:dyDescent="0.2">
      <c r="A233" s="264" t="s">
        <v>201</v>
      </c>
      <c r="B233" s="264"/>
      <c r="C233" s="22">
        <v>533</v>
      </c>
      <c r="D233" s="22">
        <v>431</v>
      </c>
      <c r="E233" s="22">
        <f t="shared" si="10"/>
        <v>102</v>
      </c>
      <c r="F233" s="22">
        <v>77</v>
      </c>
      <c r="G233" s="22">
        <v>25</v>
      </c>
      <c r="H233" s="22">
        <v>0</v>
      </c>
      <c r="I233" s="22">
        <v>0</v>
      </c>
    </row>
    <row r="234" spans="1:9" s="71" customFormat="1" ht="12" customHeight="1" x14ac:dyDescent="0.2">
      <c r="A234" s="264" t="s">
        <v>202</v>
      </c>
      <c r="B234" s="264"/>
      <c r="C234" s="22">
        <v>1600</v>
      </c>
      <c r="D234" s="22">
        <v>1152</v>
      </c>
      <c r="E234" s="22">
        <f t="shared" si="10"/>
        <v>448</v>
      </c>
      <c r="F234" s="22">
        <v>356</v>
      </c>
      <c r="G234" s="22">
        <v>92</v>
      </c>
      <c r="H234" s="22">
        <v>0</v>
      </c>
      <c r="I234" s="22">
        <v>0</v>
      </c>
    </row>
    <row r="235" spans="1:9" s="71" customFormat="1" ht="12" customHeight="1" x14ac:dyDescent="0.2">
      <c r="A235" s="267" t="s">
        <v>203</v>
      </c>
      <c r="B235" s="267"/>
      <c r="C235" s="28">
        <v>987</v>
      </c>
      <c r="D235" s="28">
        <v>619</v>
      </c>
      <c r="E235" s="28">
        <f t="shared" si="10"/>
        <v>368</v>
      </c>
      <c r="F235" s="28">
        <v>313</v>
      </c>
      <c r="G235" s="28">
        <v>55</v>
      </c>
      <c r="H235" s="28">
        <v>0</v>
      </c>
      <c r="I235" s="28">
        <v>0</v>
      </c>
    </row>
    <row r="236" spans="1:9" s="71" customFormat="1" ht="12" customHeight="1" x14ac:dyDescent="0.2">
      <c r="A236" s="25"/>
      <c r="B236" s="25"/>
      <c r="C236" s="72"/>
      <c r="D236" s="72"/>
      <c r="E236" s="72"/>
      <c r="F236" s="72"/>
      <c r="G236" s="72"/>
      <c r="H236" s="72"/>
      <c r="I236" s="72"/>
    </row>
    <row r="237" spans="1:9" s="71" customFormat="1" ht="12" customHeight="1" x14ac:dyDescent="0.2">
      <c r="A237" s="263" t="s">
        <v>204</v>
      </c>
      <c r="B237" s="263"/>
      <c r="C237" s="20">
        <v>5664</v>
      </c>
      <c r="D237" s="20">
        <v>5212</v>
      </c>
      <c r="E237" s="20">
        <f t="shared" ref="E237:E242" si="11">SUM(F237:I237)</f>
        <v>452</v>
      </c>
      <c r="F237" s="20">
        <v>301</v>
      </c>
      <c r="G237" s="20">
        <v>151</v>
      </c>
      <c r="H237" s="20">
        <v>0</v>
      </c>
      <c r="I237" s="20">
        <v>0</v>
      </c>
    </row>
    <row r="238" spans="1:9" s="71" customFormat="1" ht="12" customHeight="1" x14ac:dyDescent="0.2">
      <c r="A238" s="264" t="s">
        <v>205</v>
      </c>
      <c r="B238" s="264"/>
      <c r="C238" s="22">
        <v>1826</v>
      </c>
      <c r="D238" s="22">
        <v>1640</v>
      </c>
      <c r="E238" s="22">
        <f t="shared" si="11"/>
        <v>186</v>
      </c>
      <c r="F238" s="22">
        <v>124</v>
      </c>
      <c r="G238" s="22">
        <v>62</v>
      </c>
      <c r="H238" s="22">
        <v>0</v>
      </c>
      <c r="I238" s="22">
        <v>0</v>
      </c>
    </row>
    <row r="239" spans="1:9" s="71" customFormat="1" ht="12" customHeight="1" x14ac:dyDescent="0.2">
      <c r="A239" s="264" t="s">
        <v>206</v>
      </c>
      <c r="B239" s="264"/>
      <c r="C239" s="22">
        <v>1844</v>
      </c>
      <c r="D239" s="22">
        <v>1717</v>
      </c>
      <c r="E239" s="22">
        <f t="shared" si="11"/>
        <v>127</v>
      </c>
      <c r="F239" s="22">
        <v>85</v>
      </c>
      <c r="G239" s="22">
        <v>42</v>
      </c>
      <c r="H239" s="22">
        <v>0</v>
      </c>
      <c r="I239" s="22">
        <v>0</v>
      </c>
    </row>
    <row r="240" spans="1:9" s="71" customFormat="1" ht="12" customHeight="1" x14ac:dyDescent="0.2">
      <c r="A240" s="264" t="s">
        <v>207</v>
      </c>
      <c r="B240" s="264"/>
      <c r="C240" s="22">
        <v>364</v>
      </c>
      <c r="D240" s="22">
        <v>338</v>
      </c>
      <c r="E240" s="22">
        <f t="shared" si="11"/>
        <v>26</v>
      </c>
      <c r="F240" s="22">
        <v>16</v>
      </c>
      <c r="G240" s="22">
        <v>10</v>
      </c>
      <c r="H240" s="22">
        <v>0</v>
      </c>
      <c r="I240" s="22">
        <v>0</v>
      </c>
    </row>
    <row r="241" spans="1:9" s="71" customFormat="1" ht="12" customHeight="1" x14ac:dyDescent="0.2">
      <c r="A241" s="264" t="s">
        <v>208</v>
      </c>
      <c r="B241" s="264"/>
      <c r="C241" s="22">
        <v>1285</v>
      </c>
      <c r="D241" s="22">
        <v>1185</v>
      </c>
      <c r="E241" s="22">
        <f t="shared" si="11"/>
        <v>100</v>
      </c>
      <c r="F241" s="22">
        <v>68</v>
      </c>
      <c r="G241" s="22">
        <v>32</v>
      </c>
      <c r="H241" s="22">
        <v>0</v>
      </c>
      <c r="I241" s="22">
        <v>0</v>
      </c>
    </row>
    <row r="242" spans="1:9" s="71" customFormat="1" ht="12" customHeight="1" x14ac:dyDescent="0.2">
      <c r="A242" s="267" t="s">
        <v>209</v>
      </c>
      <c r="B242" s="267"/>
      <c r="C242" s="28">
        <v>345</v>
      </c>
      <c r="D242" s="28">
        <v>332</v>
      </c>
      <c r="E242" s="28">
        <f t="shared" si="11"/>
        <v>13</v>
      </c>
      <c r="F242" s="28">
        <v>8</v>
      </c>
      <c r="G242" s="28">
        <v>5</v>
      </c>
      <c r="H242" s="28">
        <v>0</v>
      </c>
      <c r="I242" s="28">
        <v>0</v>
      </c>
    </row>
    <row r="243" spans="1:9" s="71" customFormat="1" ht="12" customHeight="1" x14ac:dyDescent="0.2">
      <c r="A243" s="25"/>
      <c r="B243" s="25"/>
      <c r="C243" s="72"/>
      <c r="D243" s="72"/>
      <c r="E243" s="72"/>
      <c r="F243" s="72"/>
      <c r="G243" s="72"/>
      <c r="H243" s="72"/>
      <c r="I243" s="72"/>
    </row>
    <row r="244" spans="1:9" s="71" customFormat="1" ht="12" customHeight="1" x14ac:dyDescent="0.2">
      <c r="A244" s="263" t="s">
        <v>210</v>
      </c>
      <c r="B244" s="263"/>
      <c r="C244" s="20">
        <v>10164</v>
      </c>
      <c r="D244" s="20">
        <v>7107</v>
      </c>
      <c r="E244" s="20">
        <f t="shared" ref="E244:E262" si="12">SUM(F244:I244)</f>
        <v>3057</v>
      </c>
      <c r="F244" s="20">
        <v>1953</v>
      </c>
      <c r="G244" s="20">
        <v>1097</v>
      </c>
      <c r="H244" s="20">
        <v>0</v>
      </c>
      <c r="I244" s="20">
        <v>7</v>
      </c>
    </row>
    <row r="245" spans="1:9" s="71" customFormat="1" ht="12" customHeight="1" x14ac:dyDescent="0.2">
      <c r="A245" s="264" t="s">
        <v>211</v>
      </c>
      <c r="B245" s="264"/>
      <c r="C245" s="22">
        <v>1609</v>
      </c>
      <c r="D245" s="22">
        <v>1239</v>
      </c>
      <c r="E245" s="22">
        <f t="shared" si="12"/>
        <v>370</v>
      </c>
      <c r="F245" s="22">
        <v>257</v>
      </c>
      <c r="G245" s="22">
        <v>112</v>
      </c>
      <c r="H245" s="22">
        <v>0</v>
      </c>
      <c r="I245" s="22">
        <v>1</v>
      </c>
    </row>
    <row r="246" spans="1:9" s="71" customFormat="1" ht="12" customHeight="1" x14ac:dyDescent="0.2">
      <c r="A246" s="264" t="s">
        <v>212</v>
      </c>
      <c r="B246" s="264"/>
      <c r="C246" s="22">
        <v>103</v>
      </c>
      <c r="D246" s="22">
        <v>82</v>
      </c>
      <c r="E246" s="22">
        <f t="shared" si="12"/>
        <v>21</v>
      </c>
      <c r="F246" s="22">
        <v>21</v>
      </c>
      <c r="G246" s="22">
        <v>0</v>
      </c>
      <c r="H246" s="22">
        <v>0</v>
      </c>
      <c r="I246" s="22">
        <v>0</v>
      </c>
    </row>
    <row r="247" spans="1:9" s="71" customFormat="1" ht="12" customHeight="1" x14ac:dyDescent="0.2">
      <c r="A247" s="264" t="s">
        <v>213</v>
      </c>
      <c r="B247" s="264"/>
      <c r="C247" s="22">
        <v>78</v>
      </c>
      <c r="D247" s="22">
        <v>70</v>
      </c>
      <c r="E247" s="22">
        <f t="shared" si="12"/>
        <v>8</v>
      </c>
      <c r="F247" s="22">
        <v>3</v>
      </c>
      <c r="G247" s="22">
        <v>5</v>
      </c>
      <c r="H247" s="22">
        <v>0</v>
      </c>
      <c r="I247" s="22">
        <v>0</v>
      </c>
    </row>
    <row r="248" spans="1:9" s="71" customFormat="1" ht="12" customHeight="1" x14ac:dyDescent="0.2">
      <c r="A248" s="264" t="s">
        <v>214</v>
      </c>
      <c r="B248" s="264"/>
      <c r="C248" s="22">
        <v>1066</v>
      </c>
      <c r="D248" s="22">
        <v>597</v>
      </c>
      <c r="E248" s="22">
        <f t="shared" si="12"/>
        <v>469</v>
      </c>
      <c r="F248" s="22">
        <v>317</v>
      </c>
      <c r="G248" s="22">
        <v>150</v>
      </c>
      <c r="H248" s="22">
        <v>0</v>
      </c>
      <c r="I248" s="22">
        <v>2</v>
      </c>
    </row>
    <row r="249" spans="1:9" s="71" customFormat="1" ht="12" customHeight="1" x14ac:dyDescent="0.2">
      <c r="A249" s="264" t="s">
        <v>215</v>
      </c>
      <c r="B249" s="264"/>
      <c r="C249" s="22">
        <v>35</v>
      </c>
      <c r="D249" s="22">
        <v>32</v>
      </c>
      <c r="E249" s="22">
        <f t="shared" si="12"/>
        <v>3</v>
      </c>
      <c r="F249" s="22">
        <v>0</v>
      </c>
      <c r="G249" s="22">
        <v>3</v>
      </c>
      <c r="H249" s="22">
        <v>0</v>
      </c>
      <c r="I249" s="22">
        <v>0</v>
      </c>
    </row>
    <row r="250" spans="1:9" s="71" customFormat="1" ht="12" customHeight="1" x14ac:dyDescent="0.2">
      <c r="A250" s="264" t="s">
        <v>216</v>
      </c>
      <c r="B250" s="264"/>
      <c r="C250" s="22">
        <v>59</v>
      </c>
      <c r="D250" s="22">
        <v>57</v>
      </c>
      <c r="E250" s="22">
        <f t="shared" si="12"/>
        <v>2</v>
      </c>
      <c r="F250" s="22">
        <v>0</v>
      </c>
      <c r="G250" s="22">
        <v>2</v>
      </c>
      <c r="H250" s="22">
        <v>0</v>
      </c>
      <c r="I250" s="22">
        <v>0</v>
      </c>
    </row>
    <row r="251" spans="1:9" s="71" customFormat="1" ht="12" customHeight="1" x14ac:dyDescent="0.2">
      <c r="A251" s="264" t="s">
        <v>217</v>
      </c>
      <c r="B251" s="264"/>
      <c r="C251" s="22">
        <v>89</v>
      </c>
      <c r="D251" s="22">
        <v>83</v>
      </c>
      <c r="E251" s="22">
        <f t="shared" si="12"/>
        <v>6</v>
      </c>
      <c r="F251" s="22">
        <v>6</v>
      </c>
      <c r="G251" s="22">
        <v>0</v>
      </c>
      <c r="H251" s="22">
        <v>0</v>
      </c>
      <c r="I251" s="22">
        <v>0</v>
      </c>
    </row>
    <row r="252" spans="1:9" s="71" customFormat="1" ht="12" customHeight="1" x14ac:dyDescent="0.2">
      <c r="A252" s="264" t="s">
        <v>218</v>
      </c>
      <c r="B252" s="264"/>
      <c r="C252" s="22">
        <v>391</v>
      </c>
      <c r="D252" s="22">
        <v>377</v>
      </c>
      <c r="E252" s="22">
        <f t="shared" si="12"/>
        <v>14</v>
      </c>
      <c r="F252" s="22">
        <v>10</v>
      </c>
      <c r="G252" s="22">
        <v>4</v>
      </c>
      <c r="H252" s="22">
        <v>0</v>
      </c>
      <c r="I252" s="22">
        <v>0</v>
      </c>
    </row>
    <row r="253" spans="1:9" s="71" customFormat="1" ht="12" customHeight="1" x14ac:dyDescent="0.2">
      <c r="A253" s="264" t="s">
        <v>219</v>
      </c>
      <c r="B253" s="264"/>
      <c r="C253" s="22">
        <v>172</v>
      </c>
      <c r="D253" s="22">
        <v>155</v>
      </c>
      <c r="E253" s="22">
        <f t="shared" si="12"/>
        <v>17</v>
      </c>
      <c r="F253" s="22">
        <v>16</v>
      </c>
      <c r="G253" s="22">
        <v>1</v>
      </c>
      <c r="H253" s="22">
        <v>0</v>
      </c>
      <c r="I253" s="22">
        <v>0</v>
      </c>
    </row>
    <row r="254" spans="1:9" s="71" customFormat="1" ht="12" customHeight="1" x14ac:dyDescent="0.2">
      <c r="A254" s="264" t="s">
        <v>220</v>
      </c>
      <c r="B254" s="264"/>
      <c r="C254" s="22">
        <v>2030</v>
      </c>
      <c r="D254" s="22">
        <v>1396</v>
      </c>
      <c r="E254" s="22">
        <f t="shared" si="12"/>
        <v>634</v>
      </c>
      <c r="F254" s="22">
        <v>488</v>
      </c>
      <c r="G254" s="22">
        <v>145</v>
      </c>
      <c r="H254" s="22">
        <v>0</v>
      </c>
      <c r="I254" s="22">
        <v>1</v>
      </c>
    </row>
    <row r="255" spans="1:9" s="71" customFormat="1" ht="12" customHeight="1" x14ac:dyDescent="0.2">
      <c r="A255" s="264" t="s">
        <v>221</v>
      </c>
      <c r="B255" s="264"/>
      <c r="C255" s="22">
        <v>921</v>
      </c>
      <c r="D255" s="22">
        <v>687</v>
      </c>
      <c r="E255" s="22">
        <f t="shared" si="12"/>
        <v>234</v>
      </c>
      <c r="F255" s="22">
        <v>187</v>
      </c>
      <c r="G255" s="22">
        <v>47</v>
      </c>
      <c r="H255" s="22">
        <v>0</v>
      </c>
      <c r="I255" s="22">
        <v>0</v>
      </c>
    </row>
    <row r="256" spans="1:9" s="71" customFormat="1" ht="12" customHeight="1" x14ac:dyDescent="0.2">
      <c r="A256" s="264" t="s">
        <v>222</v>
      </c>
      <c r="B256" s="264"/>
      <c r="C256" s="22">
        <v>541</v>
      </c>
      <c r="D256" s="22">
        <v>211</v>
      </c>
      <c r="E256" s="22">
        <f t="shared" si="12"/>
        <v>330</v>
      </c>
      <c r="F256" s="22">
        <v>68</v>
      </c>
      <c r="G256" s="22">
        <v>261</v>
      </c>
      <c r="H256" s="22">
        <v>0</v>
      </c>
      <c r="I256" s="22">
        <v>1</v>
      </c>
    </row>
    <row r="257" spans="1:9" s="71" customFormat="1" ht="12" customHeight="1" x14ac:dyDescent="0.2">
      <c r="A257" s="264" t="s">
        <v>223</v>
      </c>
      <c r="B257" s="264"/>
      <c r="C257" s="22">
        <v>123</v>
      </c>
      <c r="D257" s="22">
        <v>115</v>
      </c>
      <c r="E257" s="22">
        <f t="shared" si="12"/>
        <v>8</v>
      </c>
      <c r="F257" s="22">
        <v>7</v>
      </c>
      <c r="G257" s="22">
        <v>1</v>
      </c>
      <c r="H257" s="22">
        <v>0</v>
      </c>
      <c r="I257" s="22">
        <v>0</v>
      </c>
    </row>
    <row r="258" spans="1:9" s="71" customFormat="1" ht="12" customHeight="1" x14ac:dyDescent="0.2">
      <c r="A258" s="264" t="s">
        <v>224</v>
      </c>
      <c r="B258" s="264"/>
      <c r="C258" s="22">
        <v>365</v>
      </c>
      <c r="D258" s="22">
        <v>295</v>
      </c>
      <c r="E258" s="22">
        <f t="shared" si="12"/>
        <v>70</v>
      </c>
      <c r="F258" s="22">
        <v>49</v>
      </c>
      <c r="G258" s="22">
        <v>21</v>
      </c>
      <c r="H258" s="22">
        <v>0</v>
      </c>
      <c r="I258" s="22">
        <v>0</v>
      </c>
    </row>
    <row r="259" spans="1:9" s="71" customFormat="1" ht="12" customHeight="1" x14ac:dyDescent="0.2">
      <c r="A259" s="264" t="s">
        <v>225</v>
      </c>
      <c r="B259" s="264"/>
      <c r="C259" s="22">
        <v>982</v>
      </c>
      <c r="D259" s="22">
        <v>449</v>
      </c>
      <c r="E259" s="22">
        <f t="shared" si="12"/>
        <v>533</v>
      </c>
      <c r="F259" s="22">
        <v>262</v>
      </c>
      <c r="G259" s="22">
        <v>270</v>
      </c>
      <c r="H259" s="22">
        <v>0</v>
      </c>
      <c r="I259" s="22">
        <v>1</v>
      </c>
    </row>
    <row r="260" spans="1:9" s="71" customFormat="1" ht="12" customHeight="1" x14ac:dyDescent="0.2">
      <c r="A260" s="264" t="s">
        <v>226</v>
      </c>
      <c r="B260" s="264"/>
      <c r="C260" s="22">
        <v>452</v>
      </c>
      <c r="D260" s="22">
        <v>341</v>
      </c>
      <c r="E260" s="22">
        <f t="shared" si="12"/>
        <v>111</v>
      </c>
      <c r="F260" s="22">
        <v>73</v>
      </c>
      <c r="G260" s="22">
        <v>37</v>
      </c>
      <c r="H260" s="22">
        <v>0</v>
      </c>
      <c r="I260" s="22">
        <v>1</v>
      </c>
    </row>
    <row r="261" spans="1:9" s="71" customFormat="1" ht="12" customHeight="1" x14ac:dyDescent="0.2">
      <c r="A261" s="264" t="s">
        <v>227</v>
      </c>
      <c r="B261" s="264"/>
      <c r="C261" s="22">
        <v>1072</v>
      </c>
      <c r="D261" s="22">
        <v>845</v>
      </c>
      <c r="E261" s="22">
        <f t="shared" si="12"/>
        <v>227</v>
      </c>
      <c r="F261" s="22">
        <v>189</v>
      </c>
      <c r="G261" s="22">
        <v>38</v>
      </c>
      <c r="H261" s="22">
        <v>0</v>
      </c>
      <c r="I261" s="22">
        <v>0</v>
      </c>
    </row>
    <row r="262" spans="1:9" s="71" customFormat="1" ht="12" customHeight="1" x14ac:dyDescent="0.2">
      <c r="A262" s="267" t="s">
        <v>228</v>
      </c>
      <c r="B262" s="267"/>
      <c r="C262" s="28">
        <v>76</v>
      </c>
      <c r="D262" s="28">
        <v>76</v>
      </c>
      <c r="E262" s="28">
        <f t="shared" si="12"/>
        <v>0</v>
      </c>
      <c r="F262" s="28">
        <v>0</v>
      </c>
      <c r="G262" s="28">
        <v>0</v>
      </c>
      <c r="H262" s="28">
        <v>0</v>
      </c>
      <c r="I262" s="28">
        <v>0</v>
      </c>
    </row>
    <row r="263" spans="1:9" s="71" customFormat="1" ht="12" customHeight="1" x14ac:dyDescent="0.2">
      <c r="A263" s="25"/>
      <c r="B263" s="25"/>
      <c r="C263" s="74"/>
      <c r="D263" s="74"/>
      <c r="E263" s="74"/>
      <c r="F263" s="74"/>
      <c r="G263" s="74"/>
      <c r="H263" s="74"/>
      <c r="I263" s="74"/>
    </row>
    <row r="264" spans="1:9" s="71" customFormat="1" ht="12" customHeight="1" x14ac:dyDescent="0.2">
      <c r="A264" s="263" t="s">
        <v>229</v>
      </c>
      <c r="B264" s="263"/>
      <c r="C264" s="20">
        <v>324851</v>
      </c>
      <c r="D264" s="20">
        <v>243245</v>
      </c>
      <c r="E264" s="20">
        <f t="shared" ref="E264:E272" si="13">SUM(F264:I264)</f>
        <v>81606</v>
      </c>
      <c r="F264" s="20">
        <v>61184</v>
      </c>
      <c r="G264" s="20">
        <v>20019</v>
      </c>
      <c r="H264" s="20">
        <v>238</v>
      </c>
      <c r="I264" s="20">
        <v>165</v>
      </c>
    </row>
    <row r="265" spans="1:9" s="71" customFormat="1" ht="12" customHeight="1" x14ac:dyDescent="0.2">
      <c r="A265" s="264" t="s">
        <v>230</v>
      </c>
      <c r="B265" s="264"/>
      <c r="C265" s="22">
        <v>47868</v>
      </c>
      <c r="D265" s="22">
        <v>37732</v>
      </c>
      <c r="E265" s="22">
        <f t="shared" si="13"/>
        <v>10136</v>
      </c>
      <c r="F265" s="22">
        <v>7265</v>
      </c>
      <c r="G265" s="22">
        <v>2654</v>
      </c>
      <c r="H265" s="22">
        <v>200</v>
      </c>
      <c r="I265" s="22">
        <v>17</v>
      </c>
    </row>
    <row r="266" spans="1:9" s="71" customFormat="1" ht="12" customHeight="1" x14ac:dyDescent="0.2">
      <c r="A266" s="264" t="s">
        <v>231</v>
      </c>
      <c r="B266" s="264"/>
      <c r="C266" s="22">
        <v>136296</v>
      </c>
      <c r="D266" s="22">
        <v>99197</v>
      </c>
      <c r="E266" s="22">
        <f t="shared" si="13"/>
        <v>37099</v>
      </c>
      <c r="F266" s="22">
        <v>27008</v>
      </c>
      <c r="G266" s="22">
        <v>9975</v>
      </c>
      <c r="H266" s="22">
        <v>37</v>
      </c>
      <c r="I266" s="22">
        <v>79</v>
      </c>
    </row>
    <row r="267" spans="1:9" s="71" customFormat="1" ht="12" customHeight="1" x14ac:dyDescent="0.2">
      <c r="A267" s="264" t="s">
        <v>232</v>
      </c>
      <c r="B267" s="264"/>
      <c r="C267" s="22">
        <v>60399</v>
      </c>
      <c r="D267" s="22">
        <v>46347</v>
      </c>
      <c r="E267" s="22">
        <f t="shared" si="13"/>
        <v>14052</v>
      </c>
      <c r="F267" s="22">
        <v>10949</v>
      </c>
      <c r="G267" s="22">
        <v>3078</v>
      </c>
      <c r="H267" s="22">
        <v>0</v>
      </c>
      <c r="I267" s="22">
        <v>25</v>
      </c>
    </row>
    <row r="268" spans="1:9" s="71" customFormat="1" ht="12" customHeight="1" x14ac:dyDescent="0.2">
      <c r="A268" s="264" t="s">
        <v>233</v>
      </c>
      <c r="B268" s="264"/>
      <c r="C268" s="22">
        <v>5833</v>
      </c>
      <c r="D268" s="22">
        <v>5218</v>
      </c>
      <c r="E268" s="22">
        <f t="shared" si="13"/>
        <v>615</v>
      </c>
      <c r="F268" s="22">
        <v>455</v>
      </c>
      <c r="G268" s="22">
        <v>159</v>
      </c>
      <c r="H268" s="22">
        <v>0</v>
      </c>
      <c r="I268" s="22">
        <v>1</v>
      </c>
    </row>
    <row r="269" spans="1:9" s="71" customFormat="1" ht="12" customHeight="1" x14ac:dyDescent="0.2">
      <c r="A269" s="264" t="s">
        <v>234</v>
      </c>
      <c r="B269" s="264"/>
      <c r="C269" s="22">
        <v>46588</v>
      </c>
      <c r="D269" s="22">
        <v>34104</v>
      </c>
      <c r="E269" s="22">
        <f t="shared" si="13"/>
        <v>12484</v>
      </c>
      <c r="F269" s="22">
        <v>10169</v>
      </c>
      <c r="G269" s="22">
        <v>2289</v>
      </c>
      <c r="H269" s="22">
        <v>1</v>
      </c>
      <c r="I269" s="22">
        <v>25</v>
      </c>
    </row>
    <row r="270" spans="1:9" s="71" customFormat="1" ht="12" customHeight="1" x14ac:dyDescent="0.2">
      <c r="A270" s="264" t="s">
        <v>235</v>
      </c>
      <c r="B270" s="264"/>
      <c r="C270" s="22">
        <v>12039</v>
      </c>
      <c r="D270" s="22">
        <v>8328</v>
      </c>
      <c r="E270" s="22">
        <f t="shared" si="13"/>
        <v>3711</v>
      </c>
      <c r="F270" s="22">
        <v>3084</v>
      </c>
      <c r="G270" s="22">
        <v>616</v>
      </c>
      <c r="H270" s="22">
        <v>0</v>
      </c>
      <c r="I270" s="22">
        <v>11</v>
      </c>
    </row>
    <row r="271" spans="1:9" s="71" customFormat="1" ht="12" customHeight="1" x14ac:dyDescent="0.2">
      <c r="A271" s="264" t="s">
        <v>236</v>
      </c>
      <c r="B271" s="264"/>
      <c r="C271" s="22">
        <v>5664</v>
      </c>
      <c r="D271" s="22">
        <v>5212</v>
      </c>
      <c r="E271" s="22">
        <f t="shared" si="13"/>
        <v>452</v>
      </c>
      <c r="F271" s="22">
        <v>301</v>
      </c>
      <c r="G271" s="22">
        <v>151</v>
      </c>
      <c r="H271" s="22">
        <v>0</v>
      </c>
      <c r="I271" s="22">
        <v>0</v>
      </c>
    </row>
    <row r="272" spans="1:9" s="71" customFormat="1" ht="12" customHeight="1" x14ac:dyDescent="0.2">
      <c r="A272" s="267" t="s">
        <v>237</v>
      </c>
      <c r="B272" s="267"/>
      <c r="C272" s="28">
        <v>10164</v>
      </c>
      <c r="D272" s="28">
        <v>7107</v>
      </c>
      <c r="E272" s="28">
        <f t="shared" si="13"/>
        <v>3057</v>
      </c>
      <c r="F272" s="28">
        <v>1953</v>
      </c>
      <c r="G272" s="28">
        <v>1097</v>
      </c>
      <c r="H272" s="28">
        <v>0</v>
      </c>
      <c r="I272" s="28">
        <v>7</v>
      </c>
    </row>
    <row r="273" spans="1:10" s="71" customFormat="1" ht="12" customHeight="1" x14ac:dyDescent="0.2">
      <c r="A273" s="25"/>
      <c r="B273" s="25"/>
      <c r="C273" s="74"/>
      <c r="D273" s="74"/>
      <c r="E273" s="74"/>
      <c r="F273" s="74"/>
      <c r="G273" s="74"/>
      <c r="H273" s="74"/>
      <c r="I273" s="74"/>
    </row>
    <row r="274" spans="1:10" s="71" customFormat="1" ht="12" customHeight="1" x14ac:dyDescent="0.2">
      <c r="A274" s="263" t="s">
        <v>364</v>
      </c>
      <c r="B274" s="263"/>
      <c r="C274" s="20">
        <v>281676</v>
      </c>
      <c r="D274" s="20">
        <v>209056</v>
      </c>
      <c r="E274" s="20">
        <f>SUM(F274:I274)</f>
        <v>72620</v>
      </c>
      <c r="F274" s="20">
        <v>54596</v>
      </c>
      <c r="G274" s="20">
        <v>17646</v>
      </c>
      <c r="H274" s="20">
        <v>238</v>
      </c>
      <c r="I274" s="20">
        <v>140</v>
      </c>
    </row>
    <row r="275" spans="1:10" s="71" customFormat="1" ht="12" customHeight="1" x14ac:dyDescent="0.2">
      <c r="A275" s="264" t="s">
        <v>234</v>
      </c>
      <c r="B275" s="264"/>
      <c r="C275" s="22">
        <v>48755</v>
      </c>
      <c r="D275" s="22">
        <v>35758</v>
      </c>
      <c r="E275" s="22">
        <f>SUM(F275:I275)</f>
        <v>12997</v>
      </c>
      <c r="F275" s="22">
        <v>10589</v>
      </c>
      <c r="G275" s="22">
        <v>2381</v>
      </c>
      <c r="H275" s="22">
        <v>1</v>
      </c>
      <c r="I275" s="22">
        <v>26</v>
      </c>
    </row>
    <row r="276" spans="1:10" s="71" customFormat="1" ht="12" customHeight="1" x14ac:dyDescent="0.2">
      <c r="A276" s="264" t="s">
        <v>238</v>
      </c>
      <c r="B276" s="264"/>
      <c r="C276" s="22">
        <v>47064</v>
      </c>
      <c r="D276" s="22">
        <v>36961</v>
      </c>
      <c r="E276" s="22">
        <f>SUM(F276:I276)</f>
        <v>10103</v>
      </c>
      <c r="F276" s="22">
        <v>7244</v>
      </c>
      <c r="G276" s="22">
        <v>2643</v>
      </c>
      <c r="H276" s="22">
        <v>200</v>
      </c>
      <c r="I276" s="22">
        <v>16</v>
      </c>
    </row>
    <row r="277" spans="1:10" s="71" customFormat="1" ht="12" customHeight="1" x14ac:dyDescent="0.2">
      <c r="A277" s="264" t="s">
        <v>232</v>
      </c>
      <c r="B277" s="264"/>
      <c r="C277" s="22">
        <v>57316</v>
      </c>
      <c r="D277" s="22">
        <v>43839</v>
      </c>
      <c r="E277" s="22">
        <f>SUM(F277:I277)</f>
        <v>13477</v>
      </c>
      <c r="F277" s="22">
        <v>10563</v>
      </c>
      <c r="G277" s="22">
        <v>2889</v>
      </c>
      <c r="H277" s="22">
        <v>0</v>
      </c>
      <c r="I277" s="22">
        <v>25</v>
      </c>
    </row>
    <row r="278" spans="1:10" s="71" customFormat="1" ht="12" customHeight="1" x14ac:dyDescent="0.2">
      <c r="A278" s="267" t="s">
        <v>231</v>
      </c>
      <c r="B278" s="267"/>
      <c r="C278" s="28">
        <v>128541</v>
      </c>
      <c r="D278" s="28">
        <v>92498</v>
      </c>
      <c r="E278" s="28">
        <f>SUM(F278:I278)</f>
        <v>36043</v>
      </c>
      <c r="F278" s="28">
        <v>26200</v>
      </c>
      <c r="G278" s="28">
        <v>9733</v>
      </c>
      <c r="H278" s="28">
        <v>37</v>
      </c>
      <c r="I278" s="28">
        <v>73</v>
      </c>
    </row>
    <row r="279" spans="1:10" s="75" customFormat="1" ht="5.25" customHeight="1" x14ac:dyDescent="0.15">
      <c r="A279" s="351"/>
      <c r="B279" s="351"/>
      <c r="C279" s="351"/>
      <c r="D279" s="351"/>
      <c r="E279" s="351"/>
      <c r="F279" s="351"/>
      <c r="G279" s="351"/>
      <c r="H279" s="351"/>
      <c r="I279" s="351"/>
    </row>
    <row r="280" spans="1:10" s="34" customFormat="1" ht="12" customHeight="1" x14ac:dyDescent="0.2">
      <c r="A280" s="286" t="s">
        <v>363</v>
      </c>
      <c r="B280" s="286"/>
      <c r="C280" s="286"/>
      <c r="D280" s="286"/>
      <c r="E280" s="286"/>
      <c r="F280" s="286"/>
      <c r="G280" s="286"/>
      <c r="H280" s="286"/>
      <c r="I280" s="286"/>
    </row>
    <row r="281" spans="1:10" s="54" customFormat="1" ht="5.25" x14ac:dyDescent="0.15">
      <c r="A281" s="317"/>
      <c r="B281" s="317"/>
      <c r="C281" s="317"/>
      <c r="D281" s="317"/>
      <c r="E281" s="317"/>
      <c r="F281" s="317"/>
      <c r="G281" s="317"/>
      <c r="H281" s="317"/>
      <c r="I281" s="317"/>
    </row>
    <row r="282" spans="1:10" s="76" customFormat="1" ht="11.25" x14ac:dyDescent="0.2">
      <c r="A282" s="341" t="s">
        <v>240</v>
      </c>
      <c r="B282" s="341"/>
      <c r="C282" s="341"/>
      <c r="D282" s="341"/>
      <c r="E282" s="341"/>
      <c r="F282" s="341"/>
      <c r="G282" s="341"/>
      <c r="H282" s="341"/>
      <c r="I282" s="341"/>
    </row>
    <row r="283" spans="1:10" s="77" customFormat="1" ht="5.25" customHeight="1" x14ac:dyDescent="0.15">
      <c r="A283" s="350"/>
      <c r="B283" s="350"/>
      <c r="C283" s="350"/>
      <c r="D283" s="350"/>
      <c r="E283" s="350"/>
      <c r="F283" s="350"/>
      <c r="G283" s="350"/>
      <c r="H283" s="350"/>
      <c r="I283" s="350"/>
    </row>
    <row r="284" spans="1:10" s="78" customFormat="1" ht="11.25" customHeight="1" x14ac:dyDescent="0.2">
      <c r="A284" s="286" t="s">
        <v>351</v>
      </c>
      <c r="B284" s="286"/>
      <c r="C284" s="286"/>
      <c r="D284" s="286"/>
      <c r="E284" s="286"/>
      <c r="F284" s="286"/>
      <c r="G284" s="286"/>
      <c r="H284" s="286"/>
      <c r="I284" s="286"/>
      <c r="J284" s="286"/>
    </row>
    <row r="285" spans="1:10" s="78" customFormat="1" ht="11.25" customHeight="1" x14ac:dyDescent="0.2">
      <c r="A285" s="286" t="s">
        <v>352</v>
      </c>
      <c r="B285" s="286"/>
      <c r="C285" s="286"/>
      <c r="D285" s="286"/>
      <c r="E285" s="286"/>
      <c r="F285" s="286"/>
      <c r="G285" s="286"/>
      <c r="H285" s="286"/>
      <c r="I285" s="286"/>
      <c r="J285" s="286"/>
    </row>
  </sheetData>
  <mergeCells count="253">
    <mergeCell ref="A285:J285"/>
    <mergeCell ref="A283:I283"/>
    <mergeCell ref="A277:B277"/>
    <mergeCell ref="A278:B278"/>
    <mergeCell ref="A279:I279"/>
    <mergeCell ref="A282:I282"/>
    <mergeCell ref="A284:J284"/>
    <mergeCell ref="A281:I281"/>
    <mergeCell ref="A280:I280"/>
    <mergeCell ref="A272:B272"/>
    <mergeCell ref="A274:B274"/>
    <mergeCell ref="A275:B275"/>
    <mergeCell ref="A276:B276"/>
    <mergeCell ref="A268:B268"/>
    <mergeCell ref="A269:B269"/>
    <mergeCell ref="A270:B270"/>
    <mergeCell ref="A271:B271"/>
    <mergeCell ref="A264:B264"/>
    <mergeCell ref="A265:B265"/>
    <mergeCell ref="A266:B266"/>
    <mergeCell ref="A267:B267"/>
    <mergeCell ref="A259:B259"/>
    <mergeCell ref="A260:B260"/>
    <mergeCell ref="A261:B261"/>
    <mergeCell ref="A262:B262"/>
    <mergeCell ref="A255:B255"/>
    <mergeCell ref="A256:B256"/>
    <mergeCell ref="A257:B257"/>
    <mergeCell ref="A258:B258"/>
    <mergeCell ref="A251:B251"/>
    <mergeCell ref="A252:B252"/>
    <mergeCell ref="A253:B253"/>
    <mergeCell ref="A254:B254"/>
    <mergeCell ref="A247:B247"/>
    <mergeCell ref="A248:B248"/>
    <mergeCell ref="A249:B249"/>
    <mergeCell ref="A250:B250"/>
    <mergeCell ref="A242:B242"/>
    <mergeCell ref="A244:B244"/>
    <mergeCell ref="A245:B245"/>
    <mergeCell ref="A246:B246"/>
    <mergeCell ref="A238:B238"/>
    <mergeCell ref="A239:B239"/>
    <mergeCell ref="A240:B240"/>
    <mergeCell ref="A241:B241"/>
    <mergeCell ref="A233:B233"/>
    <mergeCell ref="A234:B234"/>
    <mergeCell ref="A235:B235"/>
    <mergeCell ref="A237:B237"/>
    <mergeCell ref="A229:B229"/>
    <mergeCell ref="A230:B230"/>
    <mergeCell ref="A231:B231"/>
    <mergeCell ref="A232:B232"/>
    <mergeCell ref="A224:B224"/>
    <mergeCell ref="A225:B225"/>
    <mergeCell ref="A226:B226"/>
    <mergeCell ref="A227:B227"/>
    <mergeCell ref="A220:B220"/>
    <mergeCell ref="A221:B221"/>
    <mergeCell ref="A222:B222"/>
    <mergeCell ref="A223:B223"/>
    <mergeCell ref="A216:B216"/>
    <mergeCell ref="A217:B217"/>
    <mergeCell ref="A218:B218"/>
    <mergeCell ref="A219:B219"/>
    <mergeCell ref="A212:B212"/>
    <mergeCell ref="A213:B213"/>
    <mergeCell ref="A214:B214"/>
    <mergeCell ref="A215:B215"/>
    <mergeCell ref="A207:B207"/>
    <mergeCell ref="A209:B209"/>
    <mergeCell ref="A210:B210"/>
    <mergeCell ref="A211:B211"/>
    <mergeCell ref="A203:B203"/>
    <mergeCell ref="A204:B204"/>
    <mergeCell ref="A205:B205"/>
    <mergeCell ref="A206:B206"/>
    <mergeCell ref="A199:B199"/>
    <mergeCell ref="A200:B200"/>
    <mergeCell ref="A201:B201"/>
    <mergeCell ref="A202:B202"/>
    <mergeCell ref="A194:B194"/>
    <mergeCell ref="A195:B195"/>
    <mergeCell ref="A196:B196"/>
    <mergeCell ref="A198:B198"/>
    <mergeCell ref="A190:B190"/>
    <mergeCell ref="A191:B191"/>
    <mergeCell ref="A192:B192"/>
    <mergeCell ref="A193:B193"/>
    <mergeCell ref="A186:B186"/>
    <mergeCell ref="A187:B187"/>
    <mergeCell ref="A188:B188"/>
    <mergeCell ref="A189:B189"/>
    <mergeCell ref="A182:B182"/>
    <mergeCell ref="A183:B183"/>
    <mergeCell ref="A184:B184"/>
    <mergeCell ref="A185:B185"/>
    <mergeCell ref="A178:B178"/>
    <mergeCell ref="A179:B179"/>
    <mergeCell ref="A180:B180"/>
    <mergeCell ref="A181:B181"/>
    <mergeCell ref="A174:B174"/>
    <mergeCell ref="A175:B175"/>
    <mergeCell ref="A176:B176"/>
    <mergeCell ref="A177:B177"/>
    <mergeCell ref="A170:B170"/>
    <mergeCell ref="A171:B171"/>
    <mergeCell ref="A172:B172"/>
    <mergeCell ref="A173:B173"/>
    <mergeCell ref="A166:B166"/>
    <mergeCell ref="A167:B167"/>
    <mergeCell ref="A168:B168"/>
    <mergeCell ref="A169:B169"/>
    <mergeCell ref="A162:B162"/>
    <mergeCell ref="A163:B163"/>
    <mergeCell ref="A164:B164"/>
    <mergeCell ref="A165:B165"/>
    <mergeCell ref="A158:B158"/>
    <mergeCell ref="A159:B159"/>
    <mergeCell ref="A160:B160"/>
    <mergeCell ref="A161:B161"/>
    <mergeCell ref="A153:B153"/>
    <mergeCell ref="A154:B154"/>
    <mergeCell ref="A156:B156"/>
    <mergeCell ref="A157:B157"/>
    <mergeCell ref="A149:B149"/>
    <mergeCell ref="A150:B150"/>
    <mergeCell ref="A151:B151"/>
    <mergeCell ref="A152:B152"/>
    <mergeCell ref="A145:B145"/>
    <mergeCell ref="A146:B146"/>
    <mergeCell ref="A147:B147"/>
    <mergeCell ref="A148:B148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33:B133"/>
    <mergeCell ref="A134:B134"/>
    <mergeCell ref="A135:B135"/>
    <mergeCell ref="A136:B136"/>
    <mergeCell ref="A129:B129"/>
    <mergeCell ref="A130:B130"/>
    <mergeCell ref="A131:B131"/>
    <mergeCell ref="A132:B132"/>
    <mergeCell ref="A125:B125"/>
    <mergeCell ref="A126:B126"/>
    <mergeCell ref="A127:B127"/>
    <mergeCell ref="A128:B128"/>
    <mergeCell ref="A121:B121"/>
    <mergeCell ref="A122:B122"/>
    <mergeCell ref="A123:B123"/>
    <mergeCell ref="A124:B124"/>
    <mergeCell ref="A117:B117"/>
    <mergeCell ref="A118:B118"/>
    <mergeCell ref="A119:B119"/>
    <mergeCell ref="A120:B120"/>
    <mergeCell ref="A113:B113"/>
    <mergeCell ref="A114:B114"/>
    <mergeCell ref="A115:B115"/>
    <mergeCell ref="A116:B116"/>
    <mergeCell ref="A109:B109"/>
    <mergeCell ref="A110:B110"/>
    <mergeCell ref="A111:B111"/>
    <mergeCell ref="A112:B112"/>
    <mergeCell ref="A105:B105"/>
    <mergeCell ref="A106:B106"/>
    <mergeCell ref="A107:B107"/>
    <mergeCell ref="A108:B108"/>
    <mergeCell ref="A101:B101"/>
    <mergeCell ref="A102:B102"/>
    <mergeCell ref="A103:B103"/>
    <mergeCell ref="A104:B104"/>
    <mergeCell ref="A97:B97"/>
    <mergeCell ref="A98:B98"/>
    <mergeCell ref="A99:B99"/>
    <mergeCell ref="A100:B100"/>
    <mergeCell ref="A93:B93"/>
    <mergeCell ref="A94:B94"/>
    <mergeCell ref="A95:B95"/>
    <mergeCell ref="A96:B96"/>
    <mergeCell ref="A89:B89"/>
    <mergeCell ref="A90:B90"/>
    <mergeCell ref="A91:B91"/>
    <mergeCell ref="A92:B92"/>
    <mergeCell ref="A85:B85"/>
    <mergeCell ref="A86:B86"/>
    <mergeCell ref="A87:B87"/>
    <mergeCell ref="A88:B88"/>
    <mergeCell ref="A80:B80"/>
    <mergeCell ref="A81:B81"/>
    <mergeCell ref="A82:B82"/>
    <mergeCell ref="A84:B84"/>
    <mergeCell ref="A76:B76"/>
    <mergeCell ref="A77:B77"/>
    <mergeCell ref="A78:B78"/>
    <mergeCell ref="A79:B79"/>
    <mergeCell ref="A72:B72"/>
    <mergeCell ref="A73:B73"/>
    <mergeCell ref="A74:B74"/>
    <mergeCell ref="A75:B75"/>
    <mergeCell ref="A68:B68"/>
    <mergeCell ref="A69:B69"/>
    <mergeCell ref="A70:B70"/>
    <mergeCell ref="A71:B71"/>
    <mergeCell ref="A64:B64"/>
    <mergeCell ref="A65:B65"/>
    <mergeCell ref="A66:B66"/>
    <mergeCell ref="A67:B67"/>
    <mergeCell ref="A60:B60"/>
    <mergeCell ref="A61:B61"/>
    <mergeCell ref="A62:B62"/>
    <mergeCell ref="A63:B63"/>
    <mergeCell ref="A55:B55"/>
    <mergeCell ref="A56:B56"/>
    <mergeCell ref="A58:B58"/>
    <mergeCell ref="A59:B59"/>
    <mergeCell ref="A44:B44"/>
    <mergeCell ref="A48:B48"/>
    <mergeCell ref="A53:B53"/>
    <mergeCell ref="A54:B54"/>
    <mergeCell ref="A42:B42"/>
    <mergeCell ref="A43:B43"/>
    <mergeCell ref="A29:B29"/>
    <mergeCell ref="A32:B32"/>
    <mergeCell ref="A33:B33"/>
    <mergeCell ref="A38:B38"/>
    <mergeCell ref="A23:B23"/>
    <mergeCell ref="A24:B24"/>
    <mergeCell ref="A25:B25"/>
    <mergeCell ref="A26:B26"/>
    <mergeCell ref="A21:B21"/>
    <mergeCell ref="A9:B9"/>
    <mergeCell ref="A10:B10"/>
    <mergeCell ref="A5:B5"/>
    <mergeCell ref="C5:I5"/>
    <mergeCell ref="A6:B6"/>
    <mergeCell ref="E6:I6"/>
    <mergeCell ref="A39:B39"/>
    <mergeCell ref="A40:B40"/>
    <mergeCell ref="A1:I1"/>
    <mergeCell ref="A2:I2"/>
    <mergeCell ref="A3:I3"/>
    <mergeCell ref="A4:I4"/>
    <mergeCell ref="A7:B7"/>
    <mergeCell ref="A8:B8"/>
    <mergeCell ref="A12:B12"/>
    <mergeCell ref="A13:B13"/>
    <mergeCell ref="A17:B17"/>
  </mergeCells>
  <phoneticPr fontId="0" type="noConversion"/>
  <pageMargins left="0" right="0" top="0" bottom="0" header="0" footer="0"/>
  <pageSetup paperSize="9" scale="9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oglio8"/>
  <dimension ref="A1:J298"/>
  <sheetViews>
    <sheetView workbookViewId="0">
      <selection sqref="A1:I1"/>
    </sheetView>
  </sheetViews>
  <sheetFormatPr defaultRowHeight="12" customHeight="1" x14ac:dyDescent="0.2"/>
  <cols>
    <col min="1" max="2" width="1.7109375" style="1" customWidth="1"/>
    <col min="3" max="3" width="23.140625" style="1" customWidth="1"/>
    <col min="4" max="9" width="11.85546875" style="1" customWidth="1"/>
    <col min="10" max="16384" width="9.140625" style="1"/>
  </cols>
  <sheetData>
    <row r="1" spans="1:9" s="79" customFormat="1" ht="12" customHeight="1" x14ac:dyDescent="0.2">
      <c r="A1" s="310"/>
      <c r="B1" s="310"/>
      <c r="C1" s="310"/>
      <c r="D1" s="310"/>
      <c r="E1" s="310"/>
      <c r="F1" s="310"/>
      <c r="G1" s="310"/>
      <c r="H1" s="310"/>
      <c r="I1" s="310"/>
    </row>
    <row r="2" spans="1:9" s="79" customFormat="1" ht="12" customHeight="1" x14ac:dyDescent="0.2">
      <c r="A2" s="359" t="s">
        <v>329</v>
      </c>
      <c r="B2" s="359"/>
      <c r="C2" s="359"/>
      <c r="D2" s="359"/>
      <c r="E2" s="359"/>
      <c r="F2" s="359"/>
      <c r="G2" s="359"/>
      <c r="H2" s="359"/>
      <c r="I2" s="359"/>
    </row>
    <row r="3" spans="1:9" s="79" customFormat="1" ht="12" customHeight="1" x14ac:dyDescent="0.2">
      <c r="A3" s="359"/>
      <c r="B3" s="359"/>
      <c r="C3" s="359"/>
      <c r="D3" s="359"/>
      <c r="E3" s="359"/>
      <c r="F3" s="359"/>
      <c r="G3" s="359"/>
      <c r="H3" s="359"/>
      <c r="I3" s="359"/>
    </row>
    <row r="4" spans="1:9" s="80" customFormat="1" ht="12" customHeight="1" x14ac:dyDescent="0.25">
      <c r="A4" s="360"/>
      <c r="B4" s="360"/>
      <c r="C4" s="360"/>
      <c r="D4" s="360"/>
      <c r="E4" s="360"/>
      <c r="F4" s="360"/>
      <c r="G4" s="360"/>
      <c r="H4" s="360"/>
      <c r="I4" s="360"/>
    </row>
    <row r="5" spans="1:9" s="83" customFormat="1" ht="12" customHeight="1" x14ac:dyDescent="0.2">
      <c r="A5" s="81"/>
      <c r="B5" s="81"/>
      <c r="C5" s="81"/>
      <c r="D5" s="353">
        <v>2005</v>
      </c>
      <c r="E5" s="354"/>
      <c r="F5" s="354"/>
      <c r="G5" s="354"/>
      <c r="H5" s="354"/>
      <c r="I5" s="354"/>
    </row>
    <row r="6" spans="1:9" s="83" customFormat="1" ht="12" customHeight="1" x14ac:dyDescent="0.2">
      <c r="A6" s="84"/>
      <c r="B6" s="84"/>
      <c r="C6" s="84"/>
      <c r="D6" s="355"/>
      <c r="E6" s="356"/>
      <c r="F6" s="356"/>
      <c r="G6" s="356"/>
      <c r="H6" s="356"/>
      <c r="I6" s="356"/>
    </row>
    <row r="7" spans="1:9" s="83" customFormat="1" ht="12" customHeight="1" x14ac:dyDescent="0.2">
      <c r="A7" s="84"/>
      <c r="B7" s="84"/>
      <c r="C7" s="84"/>
      <c r="D7" s="45" t="s">
        <v>2</v>
      </c>
      <c r="E7" s="45" t="s">
        <v>3</v>
      </c>
    </row>
    <row r="8" spans="1:9" s="86" customFormat="1" ht="12" customHeight="1" x14ac:dyDescent="0.2">
      <c r="A8" s="84"/>
      <c r="B8" s="84"/>
      <c r="C8" s="84"/>
      <c r="D8" s="84"/>
      <c r="G8" s="87" t="s">
        <v>4</v>
      </c>
      <c r="H8" s="87" t="s">
        <v>5</v>
      </c>
    </row>
    <row r="9" spans="1:9" s="86" customFormat="1" ht="12" customHeight="1" x14ac:dyDescent="0.2">
      <c r="A9" s="88"/>
      <c r="B9" s="88"/>
      <c r="C9" s="88"/>
      <c r="D9" s="89"/>
      <c r="E9" s="90" t="s">
        <v>6</v>
      </c>
      <c r="F9" s="90" t="s">
        <v>7</v>
      </c>
      <c r="G9" s="90" t="s">
        <v>8</v>
      </c>
      <c r="H9" s="90" t="s">
        <v>9</v>
      </c>
      <c r="I9" s="91" t="s">
        <v>1</v>
      </c>
    </row>
    <row r="10" spans="1:9" s="19" customFormat="1" ht="12" customHeight="1" x14ac:dyDescent="0.2">
      <c r="A10" s="357" t="s">
        <v>11</v>
      </c>
      <c r="B10" s="357"/>
      <c r="C10" s="357"/>
      <c r="D10" s="20">
        <f t="shared" ref="D10:I10" si="0">D11+D15+D19</f>
        <v>21662</v>
      </c>
      <c r="E10" s="20">
        <f t="shared" si="0"/>
        <v>5550</v>
      </c>
      <c r="F10" s="20">
        <f t="shared" si="0"/>
        <v>1865</v>
      </c>
      <c r="G10" s="20">
        <f t="shared" si="0"/>
        <v>0</v>
      </c>
      <c r="H10" s="20">
        <f t="shared" si="0"/>
        <v>12</v>
      </c>
      <c r="I10" s="20">
        <f t="shared" si="0"/>
        <v>29089</v>
      </c>
    </row>
    <row r="11" spans="1:9" s="21" customFormat="1" ht="12" customHeight="1" x14ac:dyDescent="0.2">
      <c r="A11" s="19"/>
      <c r="B11" s="358" t="s">
        <v>12</v>
      </c>
      <c r="C11" s="358"/>
      <c r="D11" s="22">
        <v>7106</v>
      </c>
      <c r="E11" s="22">
        <v>1964</v>
      </c>
      <c r="F11" s="22">
        <v>1098</v>
      </c>
      <c r="G11" s="22">
        <v>0</v>
      </c>
      <c r="H11" s="22">
        <v>5</v>
      </c>
      <c r="I11" s="22">
        <v>10173</v>
      </c>
    </row>
    <row r="12" spans="1:9" s="21" customFormat="1" ht="12" customHeight="1" x14ac:dyDescent="0.2">
      <c r="A12" s="19"/>
      <c r="B12" s="93"/>
      <c r="C12" s="94" t="s">
        <v>13</v>
      </c>
      <c r="D12" s="22">
        <v>2636</v>
      </c>
      <c r="E12" s="22">
        <v>541</v>
      </c>
      <c r="F12" s="22">
        <v>202</v>
      </c>
      <c r="G12" s="22">
        <v>0</v>
      </c>
      <c r="H12" s="22">
        <v>3</v>
      </c>
      <c r="I12" s="22">
        <v>3382</v>
      </c>
    </row>
    <row r="13" spans="1:9" s="21" customFormat="1" ht="12" customHeight="1" x14ac:dyDescent="0.2">
      <c r="A13" s="19"/>
      <c r="B13" s="95"/>
      <c r="C13" s="94" t="s">
        <v>14</v>
      </c>
      <c r="D13" s="22">
        <v>2412</v>
      </c>
      <c r="E13" s="22">
        <v>619</v>
      </c>
      <c r="F13" s="22">
        <v>332</v>
      </c>
      <c r="G13" s="22">
        <v>0</v>
      </c>
      <c r="H13" s="22">
        <v>0</v>
      </c>
      <c r="I13" s="22">
        <v>3363</v>
      </c>
    </row>
    <row r="14" spans="1:9" s="21" customFormat="1" ht="12" customHeight="1" x14ac:dyDescent="0.2">
      <c r="A14" s="19"/>
      <c r="B14" s="96"/>
      <c r="C14" s="94" t="s">
        <v>15</v>
      </c>
      <c r="D14" s="22">
        <v>2058</v>
      </c>
      <c r="E14" s="22">
        <v>804</v>
      </c>
      <c r="F14" s="22">
        <v>564</v>
      </c>
      <c r="G14" s="22">
        <v>0</v>
      </c>
      <c r="H14" s="22">
        <v>2</v>
      </c>
      <c r="I14" s="22">
        <v>3428</v>
      </c>
    </row>
    <row r="15" spans="1:9" s="21" customFormat="1" ht="12" customHeight="1" x14ac:dyDescent="0.2">
      <c r="A15" s="19"/>
      <c r="B15" s="358" t="s">
        <v>16</v>
      </c>
      <c r="C15" s="358"/>
      <c r="D15" s="22">
        <v>5205</v>
      </c>
      <c r="E15" s="22">
        <v>305</v>
      </c>
      <c r="F15" s="22">
        <v>149</v>
      </c>
      <c r="G15" s="22">
        <v>0</v>
      </c>
      <c r="H15" s="22">
        <v>1</v>
      </c>
      <c r="I15" s="22">
        <v>5660</v>
      </c>
    </row>
    <row r="16" spans="1:9" s="21" customFormat="1" ht="12" customHeight="1" x14ac:dyDescent="0.2">
      <c r="A16" s="19"/>
      <c r="B16" s="93"/>
      <c r="C16" s="94" t="s">
        <v>17</v>
      </c>
      <c r="D16" s="22">
        <v>1667</v>
      </c>
      <c r="E16" s="22">
        <v>93</v>
      </c>
      <c r="F16" s="22">
        <v>39</v>
      </c>
      <c r="G16" s="22">
        <v>0</v>
      </c>
      <c r="H16" s="22">
        <v>0</v>
      </c>
      <c r="I16" s="22">
        <v>1799</v>
      </c>
    </row>
    <row r="17" spans="1:9" s="21" customFormat="1" ht="12" customHeight="1" x14ac:dyDescent="0.2">
      <c r="A17" s="19"/>
      <c r="B17" s="95"/>
      <c r="C17" s="94" t="s">
        <v>18</v>
      </c>
      <c r="D17" s="22">
        <v>1689</v>
      </c>
      <c r="E17" s="22">
        <v>124</v>
      </c>
      <c r="F17" s="22">
        <v>62</v>
      </c>
      <c r="G17" s="22">
        <v>0</v>
      </c>
      <c r="H17" s="22">
        <v>0</v>
      </c>
      <c r="I17" s="22">
        <v>1875</v>
      </c>
    </row>
    <row r="18" spans="1:9" s="21" customFormat="1" ht="12" customHeight="1" x14ac:dyDescent="0.2">
      <c r="A18" s="19"/>
      <c r="B18" s="96"/>
      <c r="C18" s="94" t="s">
        <v>19</v>
      </c>
      <c r="D18" s="22">
        <v>1849</v>
      </c>
      <c r="E18" s="22">
        <v>88</v>
      </c>
      <c r="F18" s="22">
        <v>48</v>
      </c>
      <c r="G18" s="22">
        <v>0</v>
      </c>
      <c r="H18" s="22">
        <v>1</v>
      </c>
      <c r="I18" s="22">
        <v>1986</v>
      </c>
    </row>
    <row r="19" spans="1:9" s="21" customFormat="1" ht="12" customHeight="1" x14ac:dyDescent="0.2">
      <c r="B19" s="352" t="s">
        <v>20</v>
      </c>
      <c r="C19" s="352"/>
      <c r="D19" s="28">
        <v>9351</v>
      </c>
      <c r="E19" s="28">
        <v>3281</v>
      </c>
      <c r="F19" s="28">
        <v>618</v>
      </c>
      <c r="G19" s="28">
        <v>0</v>
      </c>
      <c r="H19" s="28">
        <v>6</v>
      </c>
      <c r="I19" s="28">
        <v>13256</v>
      </c>
    </row>
    <row r="20" spans="1:9" s="21" customFormat="1" ht="12" customHeight="1" x14ac:dyDescent="0.2">
      <c r="A20" s="357"/>
      <c r="B20" s="357"/>
      <c r="C20" s="357"/>
      <c r="D20" s="357"/>
      <c r="E20" s="357"/>
      <c r="F20" s="357"/>
      <c r="G20" s="357"/>
      <c r="H20" s="357"/>
      <c r="I20" s="357"/>
    </row>
    <row r="21" spans="1:9" s="19" customFormat="1" ht="12" customHeight="1" x14ac:dyDescent="0.2">
      <c r="A21" s="357" t="s">
        <v>21</v>
      </c>
      <c r="B21" s="357"/>
      <c r="C21" s="357"/>
      <c r="D21" s="20">
        <f t="shared" ref="D21:I21" si="1">D22+D23+D24+D27+D30+D31</f>
        <v>50471</v>
      </c>
      <c r="E21" s="20">
        <f t="shared" si="1"/>
        <v>11456</v>
      </c>
      <c r="F21" s="20">
        <f t="shared" si="1"/>
        <v>3035</v>
      </c>
      <c r="G21" s="20">
        <f t="shared" si="1"/>
        <v>0</v>
      </c>
      <c r="H21" s="20">
        <f t="shared" si="1"/>
        <v>16</v>
      </c>
      <c r="I21" s="20">
        <f t="shared" si="1"/>
        <v>64978</v>
      </c>
    </row>
    <row r="22" spans="1:9" s="21" customFormat="1" ht="12" customHeight="1" x14ac:dyDescent="0.2">
      <c r="A22" s="19"/>
      <c r="B22" s="358" t="s">
        <v>22</v>
      </c>
      <c r="C22" s="358"/>
      <c r="D22" s="22">
        <v>28871</v>
      </c>
      <c r="E22" s="22">
        <v>8508</v>
      </c>
      <c r="F22" s="22">
        <v>2279</v>
      </c>
      <c r="G22" s="22">
        <v>0</v>
      </c>
      <c r="H22" s="22">
        <v>11</v>
      </c>
      <c r="I22" s="22">
        <v>39669</v>
      </c>
    </row>
    <row r="23" spans="1:9" s="21" customFormat="1" ht="12" customHeight="1" x14ac:dyDescent="0.2">
      <c r="A23" s="19"/>
      <c r="B23" s="358" t="s">
        <v>23</v>
      </c>
      <c r="C23" s="358"/>
      <c r="D23" s="22">
        <v>3289</v>
      </c>
      <c r="E23" s="22">
        <v>506</v>
      </c>
      <c r="F23" s="22">
        <v>149</v>
      </c>
      <c r="G23" s="22">
        <v>0</v>
      </c>
      <c r="H23" s="22">
        <v>1</v>
      </c>
      <c r="I23" s="22">
        <v>3945</v>
      </c>
    </row>
    <row r="24" spans="1:9" s="21" customFormat="1" ht="12" customHeight="1" x14ac:dyDescent="0.2">
      <c r="A24" s="19"/>
      <c r="B24" s="358" t="s">
        <v>24</v>
      </c>
      <c r="C24" s="358"/>
      <c r="D24" s="22">
        <v>9164</v>
      </c>
      <c r="E24" s="22">
        <v>1678</v>
      </c>
      <c r="F24" s="22">
        <v>348</v>
      </c>
      <c r="G24" s="22">
        <v>0</v>
      </c>
      <c r="H24" s="22">
        <v>4</v>
      </c>
      <c r="I24" s="22">
        <v>11194</v>
      </c>
    </row>
    <row r="25" spans="1:9" s="21" customFormat="1" ht="12" customHeight="1" x14ac:dyDescent="0.2">
      <c r="A25" s="19"/>
      <c r="B25" s="95"/>
      <c r="C25" s="94" t="s">
        <v>25</v>
      </c>
      <c r="D25" s="22">
        <v>882</v>
      </c>
      <c r="E25" s="22">
        <v>25</v>
      </c>
      <c r="F25" s="22">
        <v>20</v>
      </c>
      <c r="G25" s="22">
        <v>0</v>
      </c>
      <c r="H25" s="22">
        <v>0</v>
      </c>
      <c r="I25" s="22">
        <v>927</v>
      </c>
    </row>
    <row r="26" spans="1:9" s="21" customFormat="1" ht="12" customHeight="1" x14ac:dyDescent="0.2">
      <c r="A26" s="19"/>
      <c r="B26" s="96"/>
      <c r="C26" s="96" t="s">
        <v>26</v>
      </c>
      <c r="D26" s="22">
        <v>8282</v>
      </c>
      <c r="E26" s="22">
        <v>1653</v>
      </c>
      <c r="F26" s="22">
        <v>328</v>
      </c>
      <c r="G26" s="22">
        <v>0</v>
      </c>
      <c r="H26" s="22">
        <v>4</v>
      </c>
      <c r="I26" s="22">
        <v>10267</v>
      </c>
    </row>
    <row r="27" spans="1:9" s="21" customFormat="1" ht="12" customHeight="1" x14ac:dyDescent="0.2">
      <c r="A27" s="19"/>
      <c r="B27" s="358" t="s">
        <v>27</v>
      </c>
      <c r="C27" s="358"/>
      <c r="D27" s="22">
        <v>3225</v>
      </c>
      <c r="E27" s="22">
        <v>265</v>
      </c>
      <c r="F27" s="22">
        <v>95</v>
      </c>
      <c r="G27" s="22">
        <v>0</v>
      </c>
      <c r="H27" s="22">
        <v>0</v>
      </c>
      <c r="I27" s="22">
        <v>3585</v>
      </c>
    </row>
    <row r="28" spans="1:9" s="21" customFormat="1" ht="12" customHeight="1" x14ac:dyDescent="0.2">
      <c r="A28" s="19"/>
      <c r="B28" s="95"/>
      <c r="C28" s="94" t="s">
        <v>28</v>
      </c>
      <c r="D28" s="22">
        <v>1039</v>
      </c>
      <c r="E28" s="22">
        <v>65</v>
      </c>
      <c r="F28" s="22">
        <v>27</v>
      </c>
      <c r="G28" s="22">
        <v>0</v>
      </c>
      <c r="H28" s="22">
        <v>0</v>
      </c>
      <c r="I28" s="22">
        <v>1131</v>
      </c>
    </row>
    <row r="29" spans="1:9" s="21" customFormat="1" ht="12" customHeight="1" x14ac:dyDescent="0.2">
      <c r="A29" s="19"/>
      <c r="B29" s="96"/>
      <c r="C29" s="96" t="s">
        <v>29</v>
      </c>
      <c r="D29" s="22">
        <v>2186</v>
      </c>
      <c r="E29" s="22">
        <v>200</v>
      </c>
      <c r="F29" s="22">
        <v>68</v>
      </c>
      <c r="G29" s="22">
        <v>0</v>
      </c>
      <c r="H29" s="22">
        <v>0</v>
      </c>
      <c r="I29" s="22">
        <v>2454</v>
      </c>
    </row>
    <row r="30" spans="1:9" s="21" customFormat="1" ht="12" customHeight="1" x14ac:dyDescent="0.2">
      <c r="A30" s="19"/>
      <c r="B30" s="358" t="s">
        <v>30</v>
      </c>
      <c r="C30" s="358"/>
      <c r="D30" s="22">
        <v>720</v>
      </c>
      <c r="E30" s="22">
        <v>46</v>
      </c>
      <c r="F30" s="22">
        <v>17</v>
      </c>
      <c r="G30" s="22">
        <v>0</v>
      </c>
      <c r="H30" s="22">
        <v>0</v>
      </c>
      <c r="I30" s="22">
        <v>783</v>
      </c>
    </row>
    <row r="31" spans="1:9" s="21" customFormat="1" ht="12" customHeight="1" x14ac:dyDescent="0.2">
      <c r="A31" s="19"/>
      <c r="B31" s="358" t="s">
        <v>31</v>
      </c>
      <c r="C31" s="358"/>
      <c r="D31" s="22">
        <v>5202</v>
      </c>
      <c r="E31" s="22">
        <v>453</v>
      </c>
      <c r="F31" s="22">
        <v>147</v>
      </c>
      <c r="G31" s="22">
        <v>0</v>
      </c>
      <c r="H31" s="22">
        <v>0</v>
      </c>
      <c r="I31" s="22">
        <v>5802</v>
      </c>
    </row>
    <row r="32" spans="1:9" s="21" customFormat="1" ht="12" customHeight="1" x14ac:dyDescent="0.2">
      <c r="A32" s="19"/>
      <c r="B32" s="95"/>
      <c r="C32" s="94" t="s">
        <v>32</v>
      </c>
      <c r="D32" s="22">
        <v>563</v>
      </c>
      <c r="E32" s="22">
        <v>15</v>
      </c>
      <c r="F32" s="22">
        <v>4</v>
      </c>
      <c r="G32" s="22">
        <v>0</v>
      </c>
      <c r="H32" s="22">
        <v>0</v>
      </c>
      <c r="I32" s="22">
        <v>582</v>
      </c>
    </row>
    <row r="33" spans="1:9" s="21" customFormat="1" ht="12" customHeight="1" x14ac:dyDescent="0.2">
      <c r="A33" s="19"/>
      <c r="B33" s="95"/>
      <c r="C33" s="96" t="s">
        <v>33</v>
      </c>
      <c r="D33" s="22">
        <v>207</v>
      </c>
      <c r="E33" s="22">
        <v>10</v>
      </c>
      <c r="F33" s="22">
        <v>6</v>
      </c>
      <c r="G33" s="22">
        <v>0</v>
      </c>
      <c r="H33" s="22">
        <v>0</v>
      </c>
      <c r="I33" s="22">
        <v>223</v>
      </c>
    </row>
    <row r="34" spans="1:9" s="21" customFormat="1" ht="12" customHeight="1" x14ac:dyDescent="0.2">
      <c r="A34" s="19"/>
      <c r="B34" s="95"/>
      <c r="C34" s="95" t="s">
        <v>34</v>
      </c>
      <c r="D34" s="28">
        <v>4432</v>
      </c>
      <c r="E34" s="28">
        <v>428</v>
      </c>
      <c r="F34" s="28">
        <v>137</v>
      </c>
      <c r="G34" s="28">
        <v>0</v>
      </c>
      <c r="H34" s="28">
        <v>0</v>
      </c>
      <c r="I34" s="28">
        <v>4997</v>
      </c>
    </row>
    <row r="35" spans="1:9" s="21" customFormat="1" ht="12" customHeight="1" x14ac:dyDescent="0.2">
      <c r="A35" s="357"/>
      <c r="B35" s="357"/>
      <c r="C35" s="357"/>
      <c r="D35" s="357"/>
      <c r="E35" s="357"/>
      <c r="F35" s="357"/>
      <c r="G35" s="357"/>
      <c r="H35" s="357"/>
      <c r="I35" s="357"/>
    </row>
    <row r="36" spans="1:9" s="19" customFormat="1" ht="12" customHeight="1" x14ac:dyDescent="0.2">
      <c r="A36" s="357" t="s">
        <v>35</v>
      </c>
      <c r="B36" s="357"/>
      <c r="C36" s="357"/>
      <c r="D36" s="20">
        <f t="shared" ref="D36:I36" si="2">D37+D38</f>
        <v>32588</v>
      </c>
      <c r="E36" s="20">
        <f t="shared" si="2"/>
        <v>10231</v>
      </c>
      <c r="F36" s="20">
        <f t="shared" si="2"/>
        <v>2112</v>
      </c>
      <c r="G36" s="20">
        <f t="shared" si="2"/>
        <v>1</v>
      </c>
      <c r="H36" s="20">
        <f t="shared" si="2"/>
        <v>30</v>
      </c>
      <c r="I36" s="20">
        <f t="shared" si="2"/>
        <v>44962</v>
      </c>
    </row>
    <row r="37" spans="1:9" s="21" customFormat="1" ht="12" customHeight="1" x14ac:dyDescent="0.2">
      <c r="A37" s="19"/>
      <c r="B37" s="358" t="s">
        <v>36</v>
      </c>
      <c r="C37" s="358"/>
      <c r="D37" s="22">
        <v>28523</v>
      </c>
      <c r="E37" s="22">
        <v>8816</v>
      </c>
      <c r="F37" s="22">
        <v>1808</v>
      </c>
      <c r="G37" s="22">
        <v>1</v>
      </c>
      <c r="H37" s="22">
        <v>24</v>
      </c>
      <c r="I37" s="22">
        <v>39172</v>
      </c>
    </row>
    <row r="38" spans="1:9" s="21" customFormat="1" ht="12" customHeight="1" x14ac:dyDescent="0.2">
      <c r="A38" s="19"/>
      <c r="B38" s="352" t="s">
        <v>37</v>
      </c>
      <c r="C38" s="352"/>
      <c r="D38" s="28">
        <v>4065</v>
      </c>
      <c r="E38" s="28">
        <v>1415</v>
      </c>
      <c r="F38" s="28">
        <v>304</v>
      </c>
      <c r="G38" s="28">
        <v>0</v>
      </c>
      <c r="H38" s="28">
        <v>6</v>
      </c>
      <c r="I38" s="28">
        <v>5790</v>
      </c>
    </row>
    <row r="39" spans="1:9" s="21" customFormat="1" ht="12" customHeight="1" x14ac:dyDescent="0.2">
      <c r="A39" s="357"/>
      <c r="B39" s="357"/>
      <c r="C39" s="357"/>
      <c r="D39" s="357"/>
      <c r="E39" s="357"/>
      <c r="F39" s="357"/>
      <c r="G39" s="357"/>
      <c r="H39" s="357"/>
      <c r="I39" s="357"/>
    </row>
    <row r="40" spans="1:9" s="19" customFormat="1" ht="12" customHeight="1" x14ac:dyDescent="0.2">
      <c r="A40" s="357" t="s">
        <v>38</v>
      </c>
      <c r="B40" s="357"/>
      <c r="C40" s="357"/>
      <c r="D40" s="20">
        <f t="shared" ref="D40:I40" si="3">D41+D42+D46</f>
        <v>95216</v>
      </c>
      <c r="E40" s="20">
        <f t="shared" si="3"/>
        <v>26767</v>
      </c>
      <c r="F40" s="20">
        <f t="shared" si="3"/>
        <v>8894</v>
      </c>
      <c r="G40" s="20">
        <f t="shared" si="3"/>
        <v>31</v>
      </c>
      <c r="H40" s="20">
        <f t="shared" si="3"/>
        <v>57</v>
      </c>
      <c r="I40" s="20">
        <f t="shared" si="3"/>
        <v>130965</v>
      </c>
    </row>
    <row r="41" spans="1:9" s="21" customFormat="1" ht="12" customHeight="1" x14ac:dyDescent="0.2">
      <c r="A41" s="19"/>
      <c r="B41" s="358" t="s">
        <v>39</v>
      </c>
      <c r="C41" s="358"/>
      <c r="D41" s="22">
        <v>58091</v>
      </c>
      <c r="E41" s="22">
        <v>20666</v>
      </c>
      <c r="F41" s="22">
        <v>7471</v>
      </c>
      <c r="G41" s="22">
        <v>30</v>
      </c>
      <c r="H41" s="22">
        <v>43</v>
      </c>
      <c r="I41" s="22">
        <v>86301</v>
      </c>
    </row>
    <row r="42" spans="1:9" s="21" customFormat="1" ht="12" customHeight="1" x14ac:dyDescent="0.2">
      <c r="B42" s="358" t="s">
        <v>40</v>
      </c>
      <c r="C42" s="358"/>
      <c r="D42" s="22">
        <v>20133</v>
      </c>
      <c r="E42" s="22">
        <v>2749</v>
      </c>
      <c r="F42" s="22">
        <v>597</v>
      </c>
      <c r="G42" s="22">
        <v>0</v>
      </c>
      <c r="H42" s="22">
        <v>6</v>
      </c>
      <c r="I42" s="22">
        <v>23485</v>
      </c>
    </row>
    <row r="43" spans="1:9" s="21" customFormat="1" ht="12" customHeight="1" x14ac:dyDescent="0.2">
      <c r="B43" s="95"/>
      <c r="C43" s="94" t="s">
        <v>41</v>
      </c>
      <c r="D43" s="22">
        <v>9316</v>
      </c>
      <c r="E43" s="22">
        <v>1845</v>
      </c>
      <c r="F43" s="22">
        <v>330</v>
      </c>
      <c r="G43" s="22">
        <v>0</v>
      </c>
      <c r="H43" s="22">
        <v>5</v>
      </c>
      <c r="I43" s="22">
        <v>11496</v>
      </c>
    </row>
    <row r="44" spans="1:9" s="21" customFormat="1" ht="12" customHeight="1" x14ac:dyDescent="0.2">
      <c r="B44" s="95"/>
      <c r="C44" s="94" t="s">
        <v>42</v>
      </c>
      <c r="D44" s="22">
        <v>9997</v>
      </c>
      <c r="E44" s="22">
        <v>848</v>
      </c>
      <c r="F44" s="22">
        <v>250</v>
      </c>
      <c r="G44" s="22">
        <v>0</v>
      </c>
      <c r="H44" s="22">
        <v>0</v>
      </c>
      <c r="I44" s="22">
        <v>11095</v>
      </c>
    </row>
    <row r="45" spans="1:9" s="21" customFormat="1" ht="12" customHeight="1" x14ac:dyDescent="0.2">
      <c r="B45" s="96"/>
      <c r="C45" s="96" t="s">
        <v>43</v>
      </c>
      <c r="D45" s="22">
        <v>820</v>
      </c>
      <c r="E45" s="22">
        <v>56</v>
      </c>
      <c r="F45" s="22">
        <v>17</v>
      </c>
      <c r="G45" s="22">
        <v>0</v>
      </c>
      <c r="H45" s="22">
        <v>1</v>
      </c>
      <c r="I45" s="22">
        <v>894</v>
      </c>
    </row>
    <row r="46" spans="1:9" s="21" customFormat="1" ht="12" customHeight="1" x14ac:dyDescent="0.2">
      <c r="B46" s="358" t="s">
        <v>44</v>
      </c>
      <c r="C46" s="358"/>
      <c r="D46" s="22">
        <v>16992</v>
      </c>
      <c r="E46" s="22">
        <v>3352</v>
      </c>
      <c r="F46" s="22">
        <v>826</v>
      </c>
      <c r="G46" s="22">
        <v>1</v>
      </c>
      <c r="H46" s="22">
        <v>8</v>
      </c>
      <c r="I46" s="22">
        <v>21179</v>
      </c>
    </row>
    <row r="47" spans="1:9" s="21" customFormat="1" ht="12" customHeight="1" x14ac:dyDescent="0.2">
      <c r="B47" s="95"/>
      <c r="C47" s="94" t="s">
        <v>45</v>
      </c>
      <c r="D47" s="22">
        <v>2265</v>
      </c>
      <c r="E47" s="22">
        <v>217</v>
      </c>
      <c r="F47" s="22">
        <v>55</v>
      </c>
      <c r="G47" s="22">
        <v>1</v>
      </c>
      <c r="H47" s="22">
        <v>0</v>
      </c>
      <c r="I47" s="22">
        <v>2538</v>
      </c>
    </row>
    <row r="48" spans="1:9" s="21" customFormat="1" ht="12" customHeight="1" x14ac:dyDescent="0.2">
      <c r="B48" s="95"/>
      <c r="C48" s="94" t="s">
        <v>46</v>
      </c>
      <c r="D48" s="22">
        <v>5011</v>
      </c>
      <c r="E48" s="22">
        <v>633</v>
      </c>
      <c r="F48" s="22">
        <v>185</v>
      </c>
      <c r="G48" s="22">
        <v>0</v>
      </c>
      <c r="H48" s="22">
        <v>3</v>
      </c>
      <c r="I48" s="22">
        <v>5832</v>
      </c>
    </row>
    <row r="49" spans="1:9" s="21" customFormat="1" ht="12" customHeight="1" x14ac:dyDescent="0.2">
      <c r="B49" s="95"/>
      <c r="C49" s="95" t="s">
        <v>47</v>
      </c>
      <c r="D49" s="28">
        <v>9716</v>
      </c>
      <c r="E49" s="28">
        <v>2502</v>
      </c>
      <c r="F49" s="28">
        <v>586</v>
      </c>
      <c r="G49" s="28">
        <v>0</v>
      </c>
      <c r="H49" s="28">
        <v>5</v>
      </c>
      <c r="I49" s="28">
        <v>12809</v>
      </c>
    </row>
    <row r="50" spans="1:9" s="21" customFormat="1" ht="12" customHeight="1" x14ac:dyDescent="0.2">
      <c r="A50" s="361"/>
      <c r="B50" s="361"/>
      <c r="C50" s="361"/>
      <c r="D50" s="361"/>
      <c r="E50" s="361"/>
      <c r="F50" s="361"/>
      <c r="G50" s="361"/>
      <c r="H50" s="361"/>
      <c r="I50" s="361"/>
    </row>
    <row r="51" spans="1:9" s="19" customFormat="1" ht="12" customHeight="1" x14ac:dyDescent="0.2">
      <c r="A51" s="362" t="s">
        <v>48</v>
      </c>
      <c r="B51" s="362"/>
      <c r="C51" s="362"/>
      <c r="D51" s="20">
        <f t="shared" ref="D51:I51" si="4">D52+D53+D54</f>
        <v>41428</v>
      </c>
      <c r="E51" s="20">
        <f t="shared" si="4"/>
        <v>7936</v>
      </c>
      <c r="F51" s="20">
        <f t="shared" si="4"/>
        <v>2685</v>
      </c>
      <c r="G51" s="20">
        <f t="shared" si="4"/>
        <v>218</v>
      </c>
      <c r="H51" s="20">
        <f t="shared" si="4"/>
        <v>15</v>
      </c>
      <c r="I51" s="20">
        <f t="shared" si="4"/>
        <v>52282</v>
      </c>
    </row>
    <row r="52" spans="1:9" s="21" customFormat="1" ht="12" customHeight="1" x14ac:dyDescent="0.2">
      <c r="B52" s="363" t="s">
        <v>49</v>
      </c>
      <c r="C52" s="363"/>
      <c r="D52" s="32">
        <v>13430</v>
      </c>
      <c r="E52" s="32">
        <v>3686</v>
      </c>
      <c r="F52" s="32">
        <v>1004</v>
      </c>
      <c r="G52" s="32">
        <v>210</v>
      </c>
      <c r="H52" s="32">
        <v>9</v>
      </c>
      <c r="I52" s="32">
        <v>18339</v>
      </c>
    </row>
    <row r="53" spans="1:9" s="21" customFormat="1" ht="12" customHeight="1" x14ac:dyDescent="0.2">
      <c r="B53" s="358" t="s">
        <v>50</v>
      </c>
      <c r="C53" s="358"/>
      <c r="D53" s="22">
        <v>24404</v>
      </c>
      <c r="E53" s="22">
        <v>3965</v>
      </c>
      <c r="F53" s="22">
        <v>1597</v>
      </c>
      <c r="G53" s="22">
        <v>8</v>
      </c>
      <c r="H53" s="22">
        <v>6</v>
      </c>
      <c r="I53" s="22">
        <v>29980</v>
      </c>
    </row>
    <row r="54" spans="1:9" s="21" customFormat="1" ht="12" customHeight="1" x14ac:dyDescent="0.2">
      <c r="B54" s="352" t="s">
        <v>51</v>
      </c>
      <c r="C54" s="352"/>
      <c r="D54" s="44">
        <v>3594</v>
      </c>
      <c r="E54" s="44">
        <v>285</v>
      </c>
      <c r="F54" s="44">
        <v>84</v>
      </c>
      <c r="G54" s="44">
        <v>0</v>
      </c>
      <c r="H54" s="44">
        <v>0</v>
      </c>
      <c r="I54" s="44">
        <v>3963</v>
      </c>
    </row>
    <row r="55" spans="1:9" s="21" customFormat="1" ht="12" customHeight="1" x14ac:dyDescent="0.2">
      <c r="A55" s="361"/>
      <c r="B55" s="361"/>
      <c r="C55" s="361"/>
      <c r="D55" s="361"/>
      <c r="E55" s="361"/>
      <c r="F55" s="361"/>
      <c r="G55" s="361"/>
      <c r="H55" s="361"/>
      <c r="I55" s="361"/>
    </row>
    <row r="56" spans="1:9" s="21" customFormat="1" ht="12" customHeight="1" x14ac:dyDescent="0.2">
      <c r="A56" s="357" t="s">
        <v>271</v>
      </c>
      <c r="B56" s="357"/>
      <c r="C56" s="357"/>
      <c r="D56" s="18">
        <f t="shared" ref="D56:I56" si="5">D10+D21+D36+D40+D51</f>
        <v>241365</v>
      </c>
      <c r="E56" s="18">
        <f t="shared" si="5"/>
        <v>61940</v>
      </c>
      <c r="F56" s="18">
        <f t="shared" si="5"/>
        <v>18591</v>
      </c>
      <c r="G56" s="18">
        <f t="shared" si="5"/>
        <v>250</v>
      </c>
      <c r="H56" s="18">
        <f t="shared" si="5"/>
        <v>130</v>
      </c>
      <c r="I56" s="18">
        <f t="shared" si="5"/>
        <v>322276</v>
      </c>
    </row>
    <row r="57" spans="1:9" s="19" customFormat="1" ht="12" customHeight="1" x14ac:dyDescent="0.2">
      <c r="A57" s="362" t="s">
        <v>52</v>
      </c>
      <c r="B57" s="362"/>
      <c r="C57" s="362"/>
      <c r="D57" s="20">
        <f t="shared" ref="D57:I57" si="6">SUM(D58:D81)</f>
        <v>37659</v>
      </c>
      <c r="E57" s="20">
        <f t="shared" si="6"/>
        <v>7300</v>
      </c>
      <c r="F57" s="20">
        <f t="shared" si="6"/>
        <v>2365</v>
      </c>
      <c r="G57" s="20">
        <f t="shared" si="6"/>
        <v>215</v>
      </c>
      <c r="H57" s="20">
        <f t="shared" si="6"/>
        <v>14</v>
      </c>
      <c r="I57" s="20">
        <f t="shared" si="6"/>
        <v>47553</v>
      </c>
    </row>
    <row r="58" spans="1:9" s="21" customFormat="1" ht="12" customHeight="1" x14ac:dyDescent="0.2">
      <c r="B58" s="99"/>
      <c r="C58" s="98" t="s">
        <v>242</v>
      </c>
      <c r="D58" s="22">
        <v>973</v>
      </c>
      <c r="E58" s="22">
        <v>94</v>
      </c>
      <c r="F58" s="22">
        <v>37</v>
      </c>
      <c r="G58" s="22">
        <v>0</v>
      </c>
      <c r="H58" s="22">
        <v>0</v>
      </c>
      <c r="I58" s="22">
        <v>1104</v>
      </c>
    </row>
    <row r="59" spans="1:9" s="21" customFormat="1" ht="12" customHeight="1" x14ac:dyDescent="0.2">
      <c r="B59" s="99"/>
      <c r="C59" s="92" t="s">
        <v>53</v>
      </c>
      <c r="D59" s="22">
        <v>2819</v>
      </c>
      <c r="E59" s="22">
        <v>515</v>
      </c>
      <c r="F59" s="22">
        <v>157</v>
      </c>
      <c r="G59" s="22">
        <v>15</v>
      </c>
      <c r="H59" s="22">
        <v>1</v>
      </c>
      <c r="I59" s="22">
        <v>3507</v>
      </c>
    </row>
    <row r="60" spans="1:9" s="21" customFormat="1" ht="12" customHeight="1" x14ac:dyDescent="0.2">
      <c r="B60" s="99"/>
      <c r="C60" s="92" t="s">
        <v>54</v>
      </c>
      <c r="D60" s="22">
        <v>547</v>
      </c>
      <c r="E60" s="22">
        <v>40</v>
      </c>
      <c r="F60" s="22">
        <v>11</v>
      </c>
      <c r="G60" s="22">
        <v>0</v>
      </c>
      <c r="H60" s="22">
        <v>0</v>
      </c>
      <c r="I60" s="22">
        <v>598</v>
      </c>
    </row>
    <row r="61" spans="1:9" s="21" customFormat="1" ht="12" customHeight="1" x14ac:dyDescent="0.2">
      <c r="B61" s="99"/>
      <c r="C61" s="92" t="s">
        <v>243</v>
      </c>
      <c r="D61" s="22">
        <v>174</v>
      </c>
      <c r="E61" s="22">
        <v>9</v>
      </c>
      <c r="F61" s="22">
        <v>5</v>
      </c>
      <c r="G61" s="22">
        <v>0</v>
      </c>
      <c r="H61" s="22">
        <v>0</v>
      </c>
      <c r="I61" s="22">
        <v>188</v>
      </c>
    </row>
    <row r="62" spans="1:9" s="21" customFormat="1" ht="12" customHeight="1" x14ac:dyDescent="0.2">
      <c r="B62" s="99"/>
      <c r="C62" s="92" t="s">
        <v>244</v>
      </c>
      <c r="D62" s="22">
        <v>188</v>
      </c>
      <c r="E62" s="22">
        <v>13</v>
      </c>
      <c r="F62" s="22">
        <v>12</v>
      </c>
      <c r="G62" s="22">
        <v>0</v>
      </c>
      <c r="H62" s="22">
        <v>0</v>
      </c>
      <c r="I62" s="22">
        <v>213</v>
      </c>
    </row>
    <row r="63" spans="1:9" s="21" customFormat="1" ht="12" customHeight="1" x14ac:dyDescent="0.2">
      <c r="B63" s="100"/>
      <c r="C63" s="101" t="s">
        <v>245</v>
      </c>
      <c r="D63" s="22">
        <v>313</v>
      </c>
      <c r="E63" s="22">
        <v>16</v>
      </c>
      <c r="F63" s="22">
        <v>7</v>
      </c>
      <c r="G63" s="22">
        <v>0</v>
      </c>
      <c r="H63" s="22">
        <v>0</v>
      </c>
      <c r="I63" s="22">
        <v>336</v>
      </c>
    </row>
    <row r="64" spans="1:9" s="21" customFormat="1" ht="12" customHeight="1" x14ac:dyDescent="0.2">
      <c r="B64" s="99"/>
      <c r="C64" s="92" t="s">
        <v>246</v>
      </c>
      <c r="D64" s="22">
        <v>588</v>
      </c>
      <c r="E64" s="22">
        <v>102</v>
      </c>
      <c r="F64" s="22">
        <v>36</v>
      </c>
      <c r="G64" s="22">
        <v>0</v>
      </c>
      <c r="H64" s="22">
        <v>0</v>
      </c>
      <c r="I64" s="22">
        <v>726</v>
      </c>
    </row>
    <row r="65" spans="2:9" s="21" customFormat="1" ht="12" customHeight="1" x14ac:dyDescent="0.2">
      <c r="B65" s="99"/>
      <c r="C65" s="92" t="s">
        <v>56</v>
      </c>
      <c r="D65" s="22">
        <v>1824</v>
      </c>
      <c r="E65" s="22">
        <v>160</v>
      </c>
      <c r="F65" s="22">
        <v>44</v>
      </c>
      <c r="G65" s="22">
        <v>0</v>
      </c>
      <c r="H65" s="22">
        <v>0</v>
      </c>
      <c r="I65" s="22">
        <v>2028</v>
      </c>
    </row>
    <row r="66" spans="2:9" s="21" customFormat="1" ht="12" customHeight="1" x14ac:dyDescent="0.2">
      <c r="B66" s="99"/>
      <c r="C66" s="92" t="s">
        <v>57</v>
      </c>
      <c r="D66" s="22">
        <v>5005</v>
      </c>
      <c r="E66" s="22">
        <v>2001</v>
      </c>
      <c r="F66" s="22">
        <v>532</v>
      </c>
      <c r="G66" s="22">
        <v>161</v>
      </c>
      <c r="H66" s="22">
        <v>7</v>
      </c>
      <c r="I66" s="22">
        <v>7706</v>
      </c>
    </row>
    <row r="67" spans="2:9" s="21" customFormat="1" ht="12" customHeight="1" x14ac:dyDescent="0.2">
      <c r="B67" s="99"/>
      <c r="C67" s="92" t="s">
        <v>58</v>
      </c>
      <c r="D67" s="22">
        <v>2183</v>
      </c>
      <c r="E67" s="22">
        <v>305</v>
      </c>
      <c r="F67" s="22">
        <v>125</v>
      </c>
      <c r="G67" s="22">
        <v>1</v>
      </c>
      <c r="H67" s="22">
        <v>0</v>
      </c>
      <c r="I67" s="22">
        <v>2614</v>
      </c>
    </row>
    <row r="68" spans="2:9" s="21" customFormat="1" ht="12" customHeight="1" x14ac:dyDescent="0.2">
      <c r="B68" s="99"/>
      <c r="C68" s="92" t="s">
        <v>247</v>
      </c>
      <c r="D68" s="22">
        <v>749</v>
      </c>
      <c r="E68" s="22">
        <v>112</v>
      </c>
      <c r="F68" s="22">
        <v>44</v>
      </c>
      <c r="G68" s="22">
        <v>0</v>
      </c>
      <c r="H68" s="22">
        <v>0</v>
      </c>
      <c r="I68" s="22">
        <v>905</v>
      </c>
    </row>
    <row r="69" spans="2:9" s="21" customFormat="1" ht="12" customHeight="1" x14ac:dyDescent="0.2">
      <c r="B69" s="99"/>
      <c r="C69" s="92" t="s">
        <v>59</v>
      </c>
      <c r="D69" s="22">
        <v>1392</v>
      </c>
      <c r="E69" s="22">
        <v>156</v>
      </c>
      <c r="F69" s="22">
        <v>56</v>
      </c>
      <c r="G69" s="22">
        <v>0</v>
      </c>
      <c r="H69" s="22">
        <v>0</v>
      </c>
      <c r="I69" s="22">
        <v>1604</v>
      </c>
    </row>
    <row r="70" spans="2:9" s="21" customFormat="1" ht="12" customHeight="1" x14ac:dyDescent="0.2">
      <c r="B70" s="99"/>
      <c r="C70" s="92" t="s">
        <v>60</v>
      </c>
      <c r="D70" s="22">
        <v>5217</v>
      </c>
      <c r="E70" s="22">
        <v>997</v>
      </c>
      <c r="F70" s="22">
        <v>504</v>
      </c>
      <c r="G70" s="22">
        <v>1</v>
      </c>
      <c r="H70" s="22">
        <v>2</v>
      </c>
      <c r="I70" s="22">
        <v>6721</v>
      </c>
    </row>
    <row r="71" spans="2:9" s="21" customFormat="1" ht="12" customHeight="1" x14ac:dyDescent="0.2">
      <c r="B71" s="99"/>
      <c r="C71" s="92" t="s">
        <v>61</v>
      </c>
      <c r="D71" s="22">
        <v>290</v>
      </c>
      <c r="E71" s="22">
        <v>15</v>
      </c>
      <c r="F71" s="22">
        <v>8</v>
      </c>
      <c r="G71" s="22">
        <v>0</v>
      </c>
      <c r="H71" s="22">
        <v>0</v>
      </c>
      <c r="I71" s="22">
        <v>313</v>
      </c>
    </row>
    <row r="72" spans="2:9" s="21" customFormat="1" ht="12" customHeight="1" x14ac:dyDescent="0.2">
      <c r="B72" s="99"/>
      <c r="C72" s="92" t="s">
        <v>62</v>
      </c>
      <c r="D72" s="22">
        <v>3383</v>
      </c>
      <c r="E72" s="22">
        <v>696</v>
      </c>
      <c r="F72" s="22">
        <v>204</v>
      </c>
      <c r="G72" s="22">
        <v>0</v>
      </c>
      <c r="H72" s="22">
        <v>1</v>
      </c>
      <c r="I72" s="22">
        <v>4284</v>
      </c>
    </row>
    <row r="73" spans="2:9" s="21" customFormat="1" ht="12" customHeight="1" x14ac:dyDescent="0.2">
      <c r="B73" s="99"/>
      <c r="C73" s="92" t="s">
        <v>248</v>
      </c>
      <c r="D73" s="22">
        <v>635</v>
      </c>
      <c r="E73" s="22">
        <v>55</v>
      </c>
      <c r="F73" s="22">
        <v>10</v>
      </c>
      <c r="G73" s="22">
        <v>0</v>
      </c>
      <c r="H73" s="22">
        <v>0</v>
      </c>
      <c r="I73" s="22">
        <v>700</v>
      </c>
    </row>
    <row r="74" spans="2:9" s="21" customFormat="1" ht="12" customHeight="1" x14ac:dyDescent="0.2">
      <c r="B74" s="99"/>
      <c r="C74" s="92" t="s">
        <v>249</v>
      </c>
      <c r="D74" s="22">
        <v>211</v>
      </c>
      <c r="E74" s="22">
        <v>11</v>
      </c>
      <c r="F74" s="22">
        <v>1</v>
      </c>
      <c r="G74" s="22">
        <v>0</v>
      </c>
      <c r="H74" s="22">
        <v>0</v>
      </c>
      <c r="I74" s="22">
        <v>223</v>
      </c>
    </row>
    <row r="75" spans="2:9" s="21" customFormat="1" ht="12" customHeight="1" x14ac:dyDescent="0.2">
      <c r="B75" s="99"/>
      <c r="C75" s="92" t="s">
        <v>63</v>
      </c>
      <c r="D75" s="22">
        <v>2051</v>
      </c>
      <c r="E75" s="22">
        <v>325</v>
      </c>
      <c r="F75" s="22">
        <v>66</v>
      </c>
      <c r="G75" s="22">
        <v>2</v>
      </c>
      <c r="H75" s="22">
        <v>0</v>
      </c>
      <c r="I75" s="22">
        <v>2444</v>
      </c>
    </row>
    <row r="76" spans="2:9" s="21" customFormat="1" ht="12" customHeight="1" x14ac:dyDescent="0.2">
      <c r="B76" s="99"/>
      <c r="C76" s="92" t="s">
        <v>250</v>
      </c>
      <c r="D76" s="22">
        <v>1172</v>
      </c>
      <c r="E76" s="22">
        <v>167</v>
      </c>
      <c r="F76" s="22">
        <v>39</v>
      </c>
      <c r="G76" s="22">
        <v>1</v>
      </c>
      <c r="H76" s="22">
        <v>0</v>
      </c>
      <c r="I76" s="22">
        <v>1379</v>
      </c>
    </row>
    <row r="77" spans="2:9" s="21" customFormat="1" ht="12" customHeight="1" x14ac:dyDescent="0.2">
      <c r="B77" s="99"/>
      <c r="C77" s="92" t="s">
        <v>64</v>
      </c>
      <c r="D77" s="22">
        <v>2010</v>
      </c>
      <c r="E77" s="22">
        <v>278</v>
      </c>
      <c r="F77" s="22">
        <v>126</v>
      </c>
      <c r="G77" s="22">
        <v>0</v>
      </c>
      <c r="H77" s="22">
        <v>2</v>
      </c>
      <c r="I77" s="22">
        <v>2416</v>
      </c>
    </row>
    <row r="78" spans="2:9" s="21" customFormat="1" ht="12" customHeight="1" x14ac:dyDescent="0.2">
      <c r="B78" s="99"/>
      <c r="C78" s="92" t="s">
        <v>251</v>
      </c>
      <c r="D78" s="22">
        <v>249</v>
      </c>
      <c r="E78" s="22">
        <v>21</v>
      </c>
      <c r="F78" s="22">
        <v>5</v>
      </c>
      <c r="G78" s="22">
        <v>0</v>
      </c>
      <c r="H78" s="22">
        <v>0</v>
      </c>
      <c r="I78" s="22">
        <v>275</v>
      </c>
    </row>
    <row r="79" spans="2:9" s="21" customFormat="1" ht="12" customHeight="1" x14ac:dyDescent="0.2">
      <c r="B79" s="99"/>
      <c r="C79" s="92" t="s">
        <v>65</v>
      </c>
      <c r="D79" s="22">
        <v>3052</v>
      </c>
      <c r="E79" s="22">
        <v>716</v>
      </c>
      <c r="F79" s="22">
        <v>215</v>
      </c>
      <c r="G79" s="22">
        <v>0</v>
      </c>
      <c r="H79" s="22">
        <v>1</v>
      </c>
      <c r="I79" s="22">
        <v>3984</v>
      </c>
    </row>
    <row r="80" spans="2:9" s="21" customFormat="1" ht="12" customHeight="1" x14ac:dyDescent="0.2">
      <c r="B80" s="99"/>
      <c r="C80" s="92" t="s">
        <v>252</v>
      </c>
      <c r="D80" s="22">
        <v>411</v>
      </c>
      <c r="E80" s="22">
        <v>22</v>
      </c>
      <c r="F80" s="22">
        <v>10</v>
      </c>
      <c r="G80" s="22">
        <v>0</v>
      </c>
      <c r="H80" s="22">
        <v>0</v>
      </c>
      <c r="I80" s="22">
        <v>443</v>
      </c>
    </row>
    <row r="81" spans="1:9" s="21" customFormat="1" ht="12" customHeight="1" x14ac:dyDescent="0.2">
      <c r="B81" s="99"/>
      <c r="C81" s="99" t="s">
        <v>66</v>
      </c>
      <c r="D81" s="44">
        <v>2223</v>
      </c>
      <c r="E81" s="44">
        <v>474</v>
      </c>
      <c r="F81" s="44">
        <v>111</v>
      </c>
      <c r="G81" s="44">
        <v>34</v>
      </c>
      <c r="H81" s="44">
        <v>0</v>
      </c>
      <c r="I81" s="44">
        <v>2842</v>
      </c>
    </row>
    <row r="82" spans="1:9" s="21" customFormat="1" ht="12" customHeight="1" x14ac:dyDescent="0.2">
      <c r="A82" s="363"/>
      <c r="B82" s="363"/>
      <c r="C82" s="363"/>
      <c r="D82" s="363"/>
      <c r="E82" s="363"/>
      <c r="F82" s="363"/>
      <c r="G82" s="363"/>
      <c r="H82" s="363"/>
      <c r="I82" s="363"/>
    </row>
    <row r="83" spans="1:9" s="21" customFormat="1" ht="12" customHeight="1" x14ac:dyDescent="0.2">
      <c r="A83" s="357" t="s">
        <v>67</v>
      </c>
      <c r="B83" s="357"/>
      <c r="C83" s="357"/>
      <c r="D83" s="20">
        <f t="shared" ref="D83:I83" si="7">SUM(D84:D153)</f>
        <v>98328</v>
      </c>
      <c r="E83" s="20">
        <f t="shared" si="7"/>
        <v>27367</v>
      </c>
      <c r="F83" s="20">
        <f t="shared" si="7"/>
        <v>9202</v>
      </c>
      <c r="G83" s="20">
        <f t="shared" si="7"/>
        <v>34</v>
      </c>
      <c r="H83" s="20">
        <f t="shared" si="7"/>
        <v>58</v>
      </c>
      <c r="I83" s="20">
        <f t="shared" si="7"/>
        <v>134989</v>
      </c>
    </row>
    <row r="84" spans="1:9" s="21" customFormat="1" ht="12" customHeight="1" x14ac:dyDescent="0.2">
      <c r="B84" s="99"/>
      <c r="C84" s="98" t="s">
        <v>68</v>
      </c>
      <c r="D84" s="22">
        <v>2662</v>
      </c>
      <c r="E84" s="22">
        <v>924</v>
      </c>
      <c r="F84" s="22">
        <v>188</v>
      </c>
      <c r="G84" s="22">
        <v>0</v>
      </c>
      <c r="H84" s="22">
        <v>2</v>
      </c>
      <c r="I84" s="22">
        <v>3776</v>
      </c>
    </row>
    <row r="85" spans="1:9" s="21" customFormat="1" ht="12" customHeight="1" x14ac:dyDescent="0.2">
      <c r="B85" s="99"/>
      <c r="C85" s="98" t="s">
        <v>69</v>
      </c>
      <c r="D85" s="22">
        <v>1153</v>
      </c>
      <c r="E85" s="22">
        <v>55</v>
      </c>
      <c r="F85" s="22">
        <v>25</v>
      </c>
      <c r="G85" s="22">
        <v>1</v>
      </c>
      <c r="H85" s="22">
        <v>0</v>
      </c>
      <c r="I85" s="22">
        <v>1234</v>
      </c>
    </row>
    <row r="86" spans="1:9" s="21" customFormat="1" ht="12" customHeight="1" x14ac:dyDescent="0.2">
      <c r="B86" s="99"/>
      <c r="C86" s="92" t="s">
        <v>70</v>
      </c>
      <c r="D86" s="22">
        <v>264</v>
      </c>
      <c r="E86" s="22">
        <v>31</v>
      </c>
      <c r="F86" s="22">
        <v>5</v>
      </c>
      <c r="G86" s="22">
        <v>0</v>
      </c>
      <c r="H86" s="22">
        <v>0</v>
      </c>
      <c r="I86" s="22">
        <v>300</v>
      </c>
    </row>
    <row r="87" spans="1:9" s="21" customFormat="1" ht="12" customHeight="1" x14ac:dyDescent="0.2">
      <c r="B87" s="99"/>
      <c r="C87" s="92" t="s">
        <v>71</v>
      </c>
      <c r="D87" s="22">
        <v>851</v>
      </c>
      <c r="E87" s="22">
        <v>73</v>
      </c>
      <c r="F87" s="22">
        <v>45</v>
      </c>
      <c r="G87" s="22">
        <v>0</v>
      </c>
      <c r="H87" s="22">
        <v>1</v>
      </c>
      <c r="I87" s="22">
        <v>970</v>
      </c>
    </row>
    <row r="88" spans="1:9" s="21" customFormat="1" ht="12" customHeight="1" x14ac:dyDescent="0.2">
      <c r="B88" s="99"/>
      <c r="C88" s="92" t="s">
        <v>72</v>
      </c>
      <c r="D88" s="22">
        <v>263</v>
      </c>
      <c r="E88" s="22">
        <v>19</v>
      </c>
      <c r="F88" s="22">
        <v>3</v>
      </c>
      <c r="G88" s="22">
        <v>0</v>
      </c>
      <c r="H88" s="22">
        <v>0</v>
      </c>
      <c r="I88" s="22">
        <v>285</v>
      </c>
    </row>
    <row r="89" spans="1:9" s="21" customFormat="1" ht="12" customHeight="1" x14ac:dyDescent="0.2">
      <c r="B89" s="99"/>
      <c r="C89" s="92" t="s">
        <v>258</v>
      </c>
      <c r="D89" s="22">
        <v>1224</v>
      </c>
      <c r="E89" s="22">
        <v>410</v>
      </c>
      <c r="F89" s="22">
        <v>105</v>
      </c>
      <c r="G89" s="22">
        <v>0</v>
      </c>
      <c r="H89" s="22">
        <v>0</v>
      </c>
      <c r="I89" s="22">
        <v>1739</v>
      </c>
    </row>
    <row r="90" spans="1:9" s="21" customFormat="1" ht="12" customHeight="1" x14ac:dyDescent="0.2">
      <c r="B90" s="99"/>
      <c r="C90" s="92" t="s">
        <v>73</v>
      </c>
      <c r="D90" s="22">
        <v>1090</v>
      </c>
      <c r="E90" s="22">
        <v>191</v>
      </c>
      <c r="F90" s="22">
        <v>47</v>
      </c>
      <c r="G90" s="22">
        <v>0</v>
      </c>
      <c r="H90" s="22">
        <v>0</v>
      </c>
      <c r="I90" s="22">
        <v>1328</v>
      </c>
    </row>
    <row r="91" spans="1:9" s="21" customFormat="1" ht="12" customHeight="1" x14ac:dyDescent="0.2">
      <c r="B91" s="99"/>
      <c r="C91" s="92" t="s">
        <v>74</v>
      </c>
      <c r="D91" s="22">
        <v>551</v>
      </c>
      <c r="E91" s="22">
        <v>37</v>
      </c>
      <c r="F91" s="22">
        <v>17</v>
      </c>
      <c r="G91" s="22">
        <v>0</v>
      </c>
      <c r="H91" s="22">
        <v>0</v>
      </c>
      <c r="I91" s="22">
        <v>605</v>
      </c>
    </row>
    <row r="92" spans="1:9" s="21" customFormat="1" ht="12" customHeight="1" x14ac:dyDescent="0.2">
      <c r="B92" s="99"/>
      <c r="C92" s="92" t="s">
        <v>259</v>
      </c>
      <c r="D92" s="22">
        <v>316</v>
      </c>
      <c r="E92" s="22">
        <v>11</v>
      </c>
      <c r="F92" s="22">
        <v>7</v>
      </c>
      <c r="G92" s="22">
        <v>0</v>
      </c>
      <c r="H92" s="22">
        <v>0</v>
      </c>
      <c r="I92" s="22">
        <v>334</v>
      </c>
    </row>
    <row r="93" spans="1:9" s="21" customFormat="1" ht="12" customHeight="1" x14ac:dyDescent="0.2">
      <c r="B93" s="99"/>
      <c r="C93" s="92" t="s">
        <v>75</v>
      </c>
      <c r="D93" s="22">
        <v>1882</v>
      </c>
      <c r="E93" s="22">
        <v>330</v>
      </c>
      <c r="F93" s="22">
        <v>102</v>
      </c>
      <c r="G93" s="22">
        <v>0</v>
      </c>
      <c r="H93" s="22">
        <v>1</v>
      </c>
      <c r="I93" s="22">
        <v>2315</v>
      </c>
    </row>
    <row r="94" spans="1:9" s="21" customFormat="1" ht="12" customHeight="1" x14ac:dyDescent="0.2">
      <c r="B94" s="99"/>
      <c r="C94" s="92" t="s">
        <v>76</v>
      </c>
      <c r="D94" s="22">
        <v>505</v>
      </c>
      <c r="E94" s="22">
        <v>88</v>
      </c>
      <c r="F94" s="22">
        <v>21</v>
      </c>
      <c r="G94" s="22">
        <v>0</v>
      </c>
      <c r="H94" s="22">
        <v>0</v>
      </c>
      <c r="I94" s="22">
        <v>614</v>
      </c>
    </row>
    <row r="95" spans="1:9" s="21" customFormat="1" ht="12" customHeight="1" x14ac:dyDescent="0.2">
      <c r="B95" s="99"/>
      <c r="C95" s="92" t="s">
        <v>77</v>
      </c>
      <c r="D95" s="22">
        <v>550</v>
      </c>
      <c r="E95" s="22">
        <v>174</v>
      </c>
      <c r="F95" s="22">
        <v>78</v>
      </c>
      <c r="G95" s="22">
        <v>1</v>
      </c>
      <c r="H95" s="22">
        <v>0</v>
      </c>
      <c r="I95" s="22">
        <v>803</v>
      </c>
    </row>
    <row r="96" spans="1:9" s="21" customFormat="1" ht="12" customHeight="1" x14ac:dyDescent="0.2">
      <c r="B96" s="99"/>
      <c r="C96" s="92" t="s">
        <v>78</v>
      </c>
      <c r="D96" s="22">
        <v>112</v>
      </c>
      <c r="E96" s="22">
        <v>10</v>
      </c>
      <c r="F96" s="22">
        <v>1</v>
      </c>
      <c r="G96" s="22">
        <v>0</v>
      </c>
      <c r="H96" s="22">
        <v>1</v>
      </c>
      <c r="I96" s="22">
        <v>124</v>
      </c>
    </row>
    <row r="97" spans="2:9" s="21" customFormat="1" ht="12" customHeight="1" x14ac:dyDescent="0.2">
      <c r="B97" s="99"/>
      <c r="C97" s="92" t="s">
        <v>79</v>
      </c>
      <c r="D97" s="22">
        <v>405</v>
      </c>
      <c r="E97" s="22">
        <v>42</v>
      </c>
      <c r="F97" s="22">
        <v>21</v>
      </c>
      <c r="G97" s="22">
        <v>0</v>
      </c>
      <c r="H97" s="22">
        <v>0</v>
      </c>
      <c r="I97" s="22">
        <v>468</v>
      </c>
    </row>
    <row r="98" spans="2:9" s="21" customFormat="1" ht="12" customHeight="1" x14ac:dyDescent="0.2">
      <c r="B98" s="99"/>
      <c r="C98" s="92" t="s">
        <v>80</v>
      </c>
      <c r="D98" s="22">
        <v>556</v>
      </c>
      <c r="E98" s="22">
        <v>97</v>
      </c>
      <c r="F98" s="22">
        <v>21</v>
      </c>
      <c r="G98" s="22">
        <v>0</v>
      </c>
      <c r="H98" s="22">
        <v>0</v>
      </c>
      <c r="I98" s="22">
        <v>674</v>
      </c>
    </row>
    <row r="99" spans="2:9" s="21" customFormat="1" ht="12" customHeight="1" x14ac:dyDescent="0.2">
      <c r="B99" s="99"/>
      <c r="C99" s="92" t="s">
        <v>81</v>
      </c>
      <c r="D99" s="22">
        <v>995</v>
      </c>
      <c r="E99" s="22">
        <v>324</v>
      </c>
      <c r="F99" s="22">
        <v>41</v>
      </c>
      <c r="G99" s="22">
        <v>0</v>
      </c>
      <c r="H99" s="22">
        <v>0</v>
      </c>
      <c r="I99" s="22">
        <v>1360</v>
      </c>
    </row>
    <row r="100" spans="2:9" s="21" customFormat="1" ht="12" customHeight="1" x14ac:dyDescent="0.2">
      <c r="B100" s="99"/>
      <c r="C100" s="92" t="s">
        <v>82</v>
      </c>
      <c r="D100" s="22">
        <v>1597</v>
      </c>
      <c r="E100" s="22">
        <v>194</v>
      </c>
      <c r="F100" s="22">
        <v>34</v>
      </c>
      <c r="G100" s="22">
        <v>0</v>
      </c>
      <c r="H100" s="22">
        <v>1</v>
      </c>
      <c r="I100" s="22">
        <v>1826</v>
      </c>
    </row>
    <row r="101" spans="2:9" s="21" customFormat="1" ht="12" customHeight="1" x14ac:dyDescent="0.2">
      <c r="B101" s="99"/>
      <c r="C101" s="92" t="s">
        <v>83</v>
      </c>
      <c r="D101" s="22">
        <v>640</v>
      </c>
      <c r="E101" s="22">
        <v>41</v>
      </c>
      <c r="F101" s="22">
        <v>8</v>
      </c>
      <c r="G101" s="22">
        <v>0</v>
      </c>
      <c r="H101" s="22">
        <v>0</v>
      </c>
      <c r="I101" s="22">
        <v>689</v>
      </c>
    </row>
    <row r="102" spans="2:9" s="21" customFormat="1" ht="12" customHeight="1" x14ac:dyDescent="0.2">
      <c r="B102" s="99"/>
      <c r="C102" s="92" t="s">
        <v>84</v>
      </c>
      <c r="D102" s="22">
        <v>1512</v>
      </c>
      <c r="E102" s="22">
        <v>241</v>
      </c>
      <c r="F102" s="22">
        <v>66</v>
      </c>
      <c r="G102" s="22">
        <v>0</v>
      </c>
      <c r="H102" s="22">
        <v>2</v>
      </c>
      <c r="I102" s="22">
        <v>1821</v>
      </c>
    </row>
    <row r="103" spans="2:9" s="21" customFormat="1" ht="12" customHeight="1" x14ac:dyDescent="0.2">
      <c r="B103" s="99"/>
      <c r="C103" s="92" t="s">
        <v>85</v>
      </c>
      <c r="D103" s="22">
        <v>4197</v>
      </c>
      <c r="E103" s="22">
        <v>332</v>
      </c>
      <c r="F103" s="22">
        <v>94</v>
      </c>
      <c r="G103" s="22">
        <v>0</v>
      </c>
      <c r="H103" s="22">
        <v>0</v>
      </c>
      <c r="I103" s="22">
        <v>4623</v>
      </c>
    </row>
    <row r="104" spans="2:9" s="21" customFormat="1" ht="12" customHeight="1" x14ac:dyDescent="0.2">
      <c r="B104" s="99"/>
      <c r="C104" s="92" t="s">
        <v>260</v>
      </c>
      <c r="D104" s="22">
        <v>460</v>
      </c>
      <c r="E104" s="22">
        <v>55</v>
      </c>
      <c r="F104" s="22">
        <v>17</v>
      </c>
      <c r="G104" s="22">
        <v>0</v>
      </c>
      <c r="H104" s="22">
        <v>0</v>
      </c>
      <c r="I104" s="22">
        <v>532</v>
      </c>
    </row>
    <row r="105" spans="2:9" s="21" customFormat="1" ht="12" customHeight="1" x14ac:dyDescent="0.2">
      <c r="B105" s="99"/>
      <c r="C105" s="92" t="s">
        <v>86</v>
      </c>
      <c r="D105" s="22">
        <v>97</v>
      </c>
      <c r="E105" s="22">
        <v>22</v>
      </c>
      <c r="F105" s="22">
        <v>4</v>
      </c>
      <c r="G105" s="22">
        <v>0</v>
      </c>
      <c r="H105" s="22">
        <v>0</v>
      </c>
      <c r="I105" s="22">
        <v>123</v>
      </c>
    </row>
    <row r="106" spans="2:9" s="21" customFormat="1" ht="12" customHeight="1" x14ac:dyDescent="0.2">
      <c r="B106" s="99"/>
      <c r="C106" s="92" t="s">
        <v>87</v>
      </c>
      <c r="D106" s="22">
        <v>598</v>
      </c>
      <c r="E106" s="22">
        <v>88</v>
      </c>
      <c r="F106" s="22">
        <v>51</v>
      </c>
      <c r="G106" s="22">
        <v>0</v>
      </c>
      <c r="H106" s="22">
        <v>0</v>
      </c>
      <c r="I106" s="22">
        <v>737</v>
      </c>
    </row>
    <row r="107" spans="2:9" s="21" customFormat="1" ht="12" customHeight="1" x14ac:dyDescent="0.2">
      <c r="B107" s="99"/>
      <c r="C107" s="92" t="s">
        <v>88</v>
      </c>
      <c r="D107" s="22">
        <v>2802</v>
      </c>
      <c r="E107" s="22">
        <v>778</v>
      </c>
      <c r="F107" s="22">
        <v>177</v>
      </c>
      <c r="G107" s="22">
        <v>0</v>
      </c>
      <c r="H107" s="22">
        <v>1</v>
      </c>
      <c r="I107" s="22">
        <v>3758</v>
      </c>
    </row>
    <row r="108" spans="2:9" s="21" customFormat="1" ht="12" customHeight="1" x14ac:dyDescent="0.2">
      <c r="B108" s="99"/>
      <c r="C108" s="92" t="s">
        <v>89</v>
      </c>
      <c r="D108" s="22">
        <v>51</v>
      </c>
      <c r="E108" s="22">
        <v>7</v>
      </c>
      <c r="F108" s="22">
        <v>0</v>
      </c>
      <c r="G108" s="22">
        <v>0</v>
      </c>
      <c r="H108" s="22">
        <v>0</v>
      </c>
      <c r="I108" s="22">
        <v>58</v>
      </c>
    </row>
    <row r="109" spans="2:9" s="21" customFormat="1" ht="12" customHeight="1" x14ac:dyDescent="0.2">
      <c r="B109" s="99"/>
      <c r="C109" s="92" t="s">
        <v>90</v>
      </c>
      <c r="D109" s="22">
        <v>102</v>
      </c>
      <c r="E109" s="22">
        <v>4</v>
      </c>
      <c r="F109" s="22">
        <v>2</v>
      </c>
      <c r="G109" s="22">
        <v>0</v>
      </c>
      <c r="H109" s="22">
        <v>0</v>
      </c>
      <c r="I109" s="22">
        <v>108</v>
      </c>
    </row>
    <row r="110" spans="2:9" s="21" customFormat="1" ht="12" customHeight="1" x14ac:dyDescent="0.2">
      <c r="B110" s="99"/>
      <c r="C110" s="92" t="s">
        <v>91</v>
      </c>
      <c r="D110" s="22">
        <v>3120</v>
      </c>
      <c r="E110" s="22">
        <v>556</v>
      </c>
      <c r="F110" s="22">
        <v>562</v>
      </c>
      <c r="G110" s="22">
        <v>1</v>
      </c>
      <c r="H110" s="22">
        <v>1</v>
      </c>
      <c r="I110" s="22">
        <v>4240</v>
      </c>
    </row>
    <row r="111" spans="2:9" s="21" customFormat="1" ht="12" customHeight="1" x14ac:dyDescent="0.2">
      <c r="B111" s="99"/>
      <c r="C111" s="92" t="s">
        <v>92</v>
      </c>
      <c r="D111" s="22">
        <v>1565</v>
      </c>
      <c r="E111" s="22">
        <v>138</v>
      </c>
      <c r="F111" s="22">
        <v>26</v>
      </c>
      <c r="G111" s="22">
        <v>0</v>
      </c>
      <c r="H111" s="22">
        <v>0</v>
      </c>
      <c r="I111" s="22">
        <v>1729</v>
      </c>
    </row>
    <row r="112" spans="2:9" s="21" customFormat="1" ht="12" customHeight="1" x14ac:dyDescent="0.2">
      <c r="B112" s="99"/>
      <c r="C112" s="92" t="s">
        <v>261</v>
      </c>
      <c r="D112" s="22">
        <v>136</v>
      </c>
      <c r="E112" s="22">
        <v>7</v>
      </c>
      <c r="F112" s="22">
        <v>1</v>
      </c>
      <c r="G112" s="22">
        <v>0</v>
      </c>
      <c r="H112" s="22">
        <v>0</v>
      </c>
      <c r="I112" s="22">
        <v>144</v>
      </c>
    </row>
    <row r="113" spans="2:9" s="21" customFormat="1" ht="12" customHeight="1" x14ac:dyDescent="0.2">
      <c r="B113" s="99"/>
      <c r="C113" s="92" t="s">
        <v>93</v>
      </c>
      <c r="D113" s="22">
        <v>713</v>
      </c>
      <c r="E113" s="22">
        <v>97</v>
      </c>
      <c r="F113" s="22">
        <v>39</v>
      </c>
      <c r="G113" s="22">
        <v>0</v>
      </c>
      <c r="H113" s="22">
        <v>1</v>
      </c>
      <c r="I113" s="22">
        <v>850</v>
      </c>
    </row>
    <row r="114" spans="2:9" s="21" customFormat="1" ht="12" customHeight="1" x14ac:dyDescent="0.2">
      <c r="B114" s="99"/>
      <c r="C114" s="92" t="s">
        <v>94</v>
      </c>
      <c r="D114" s="22">
        <v>1104</v>
      </c>
      <c r="E114" s="22">
        <v>136</v>
      </c>
      <c r="F114" s="22">
        <v>37</v>
      </c>
      <c r="G114" s="22">
        <v>0</v>
      </c>
      <c r="H114" s="22">
        <v>0</v>
      </c>
      <c r="I114" s="22">
        <v>1277</v>
      </c>
    </row>
    <row r="115" spans="2:9" s="21" customFormat="1" ht="12" customHeight="1" x14ac:dyDescent="0.2">
      <c r="B115" s="99"/>
      <c r="C115" s="92" t="s">
        <v>95</v>
      </c>
      <c r="D115" s="22">
        <v>480</v>
      </c>
      <c r="E115" s="22">
        <v>62</v>
      </c>
      <c r="F115" s="22">
        <v>11</v>
      </c>
      <c r="G115" s="22">
        <v>0</v>
      </c>
      <c r="H115" s="22">
        <v>0</v>
      </c>
      <c r="I115" s="22">
        <v>553</v>
      </c>
    </row>
    <row r="116" spans="2:9" s="21" customFormat="1" ht="12" customHeight="1" x14ac:dyDescent="0.2">
      <c r="B116" s="99"/>
      <c r="C116" s="92" t="s">
        <v>96</v>
      </c>
      <c r="D116" s="22">
        <v>250</v>
      </c>
      <c r="E116" s="22">
        <v>123</v>
      </c>
      <c r="F116" s="22">
        <v>16</v>
      </c>
      <c r="G116" s="22">
        <v>0</v>
      </c>
      <c r="H116" s="22">
        <v>2</v>
      </c>
      <c r="I116" s="22">
        <v>391</v>
      </c>
    </row>
    <row r="117" spans="2:9" s="21" customFormat="1" ht="12" customHeight="1" x14ac:dyDescent="0.2">
      <c r="B117" s="99"/>
      <c r="C117" s="92" t="s">
        <v>97</v>
      </c>
      <c r="D117" s="22">
        <v>934</v>
      </c>
      <c r="E117" s="22">
        <v>145</v>
      </c>
      <c r="F117" s="22">
        <v>27</v>
      </c>
      <c r="G117" s="22">
        <v>0</v>
      </c>
      <c r="H117" s="22">
        <v>0</v>
      </c>
      <c r="I117" s="22">
        <v>1106</v>
      </c>
    </row>
    <row r="118" spans="2:9" s="21" customFormat="1" ht="12" customHeight="1" x14ac:dyDescent="0.2">
      <c r="B118" s="99"/>
      <c r="C118" s="92" t="s">
        <v>262</v>
      </c>
      <c r="D118" s="22">
        <v>69</v>
      </c>
      <c r="E118" s="22">
        <v>7</v>
      </c>
      <c r="F118" s="22">
        <v>2</v>
      </c>
      <c r="G118" s="22">
        <v>0</v>
      </c>
      <c r="H118" s="22">
        <v>0</v>
      </c>
      <c r="I118" s="22">
        <v>78</v>
      </c>
    </row>
    <row r="119" spans="2:9" s="21" customFormat="1" ht="12" customHeight="1" x14ac:dyDescent="0.2">
      <c r="B119" s="99"/>
      <c r="C119" s="92" t="s">
        <v>98</v>
      </c>
      <c r="D119" s="22">
        <v>942</v>
      </c>
      <c r="E119" s="22">
        <v>609</v>
      </c>
      <c r="F119" s="22">
        <v>62</v>
      </c>
      <c r="G119" s="22">
        <v>0</v>
      </c>
      <c r="H119" s="22">
        <v>3</v>
      </c>
      <c r="I119" s="22">
        <v>1616</v>
      </c>
    </row>
    <row r="120" spans="2:9" s="21" customFormat="1" ht="12" customHeight="1" x14ac:dyDescent="0.2">
      <c r="B120" s="99"/>
      <c r="C120" s="92" t="s">
        <v>263</v>
      </c>
      <c r="D120" s="22">
        <v>736</v>
      </c>
      <c r="E120" s="22">
        <v>82</v>
      </c>
      <c r="F120" s="22">
        <v>18</v>
      </c>
      <c r="G120" s="22">
        <v>0</v>
      </c>
      <c r="H120" s="22">
        <v>0</v>
      </c>
      <c r="I120" s="22">
        <v>836</v>
      </c>
    </row>
    <row r="121" spans="2:9" s="21" customFormat="1" ht="12" customHeight="1" x14ac:dyDescent="0.2">
      <c r="B121" s="99"/>
      <c r="C121" s="92" t="s">
        <v>99</v>
      </c>
      <c r="D121" s="22">
        <v>31664</v>
      </c>
      <c r="E121" s="22">
        <v>12878</v>
      </c>
      <c r="F121" s="22">
        <v>4632</v>
      </c>
      <c r="G121" s="22">
        <v>25</v>
      </c>
      <c r="H121" s="22">
        <v>24</v>
      </c>
      <c r="I121" s="22">
        <v>49223</v>
      </c>
    </row>
    <row r="122" spans="2:9" s="21" customFormat="1" ht="12" customHeight="1" x14ac:dyDescent="0.2">
      <c r="B122" s="99"/>
      <c r="C122" s="92" t="s">
        <v>100</v>
      </c>
      <c r="D122" s="22">
        <v>1110</v>
      </c>
      <c r="E122" s="22">
        <v>223</v>
      </c>
      <c r="F122" s="22">
        <v>53</v>
      </c>
      <c r="G122" s="22">
        <v>0</v>
      </c>
      <c r="H122" s="22">
        <v>1</v>
      </c>
      <c r="I122" s="22">
        <v>1387</v>
      </c>
    </row>
    <row r="123" spans="2:9" s="21" customFormat="1" ht="12" customHeight="1" x14ac:dyDescent="0.2">
      <c r="B123" s="99"/>
      <c r="C123" s="92" t="s">
        <v>101</v>
      </c>
      <c r="D123" s="22">
        <v>944</v>
      </c>
      <c r="E123" s="22">
        <v>168</v>
      </c>
      <c r="F123" s="22">
        <v>26</v>
      </c>
      <c r="G123" s="22">
        <v>0</v>
      </c>
      <c r="H123" s="22">
        <v>2</v>
      </c>
      <c r="I123" s="22">
        <v>1140</v>
      </c>
    </row>
    <row r="124" spans="2:9" s="21" customFormat="1" ht="12" customHeight="1" x14ac:dyDescent="0.2">
      <c r="B124" s="99"/>
      <c r="C124" s="92" t="s">
        <v>102</v>
      </c>
      <c r="D124" s="22">
        <v>435</v>
      </c>
      <c r="E124" s="22">
        <v>112</v>
      </c>
      <c r="F124" s="22">
        <v>39</v>
      </c>
      <c r="G124" s="22">
        <v>0</v>
      </c>
      <c r="H124" s="22">
        <v>0</v>
      </c>
      <c r="I124" s="22">
        <v>586</v>
      </c>
    </row>
    <row r="125" spans="2:9" s="21" customFormat="1" ht="12" customHeight="1" x14ac:dyDescent="0.2">
      <c r="B125" s="99"/>
      <c r="C125" s="92" t="s">
        <v>103</v>
      </c>
      <c r="D125" s="22">
        <v>3537</v>
      </c>
      <c r="E125" s="22">
        <v>1667</v>
      </c>
      <c r="F125" s="22">
        <v>473</v>
      </c>
      <c r="G125" s="22">
        <v>4</v>
      </c>
      <c r="H125" s="22">
        <v>4</v>
      </c>
      <c r="I125" s="22">
        <v>5685</v>
      </c>
    </row>
    <row r="126" spans="2:9" s="21" customFormat="1" ht="12" customHeight="1" x14ac:dyDescent="0.2">
      <c r="B126" s="99"/>
      <c r="C126" s="92" t="s">
        <v>104</v>
      </c>
      <c r="D126" s="22">
        <v>905</v>
      </c>
      <c r="E126" s="22">
        <v>170</v>
      </c>
      <c r="F126" s="22">
        <v>104</v>
      </c>
      <c r="G126" s="22">
        <v>2</v>
      </c>
      <c r="H126" s="22">
        <v>0</v>
      </c>
      <c r="I126" s="22">
        <v>1181</v>
      </c>
    </row>
    <row r="127" spans="2:9" s="21" customFormat="1" ht="12" customHeight="1" x14ac:dyDescent="0.2">
      <c r="B127" s="99"/>
      <c r="C127" s="92" t="s">
        <v>105</v>
      </c>
      <c r="D127" s="22">
        <v>1097</v>
      </c>
      <c r="E127" s="22">
        <v>396</v>
      </c>
      <c r="F127" s="22">
        <v>168</v>
      </c>
      <c r="G127" s="22">
        <v>0</v>
      </c>
      <c r="H127" s="22">
        <v>0</v>
      </c>
      <c r="I127" s="22">
        <v>1661</v>
      </c>
    </row>
    <row r="128" spans="2:9" s="21" customFormat="1" ht="12" customHeight="1" x14ac:dyDescent="0.2">
      <c r="B128" s="99"/>
      <c r="C128" s="92" t="s">
        <v>106</v>
      </c>
      <c r="D128" s="22">
        <v>880</v>
      </c>
      <c r="E128" s="22">
        <v>99</v>
      </c>
      <c r="F128" s="22">
        <v>22</v>
      </c>
      <c r="G128" s="22">
        <v>0</v>
      </c>
      <c r="H128" s="22">
        <v>2</v>
      </c>
      <c r="I128" s="22">
        <v>1003</v>
      </c>
    </row>
    <row r="129" spans="2:9" s="21" customFormat="1" ht="12" customHeight="1" x14ac:dyDescent="0.2">
      <c r="B129" s="99"/>
      <c r="C129" s="92" t="s">
        <v>107</v>
      </c>
      <c r="D129" s="22">
        <v>223</v>
      </c>
      <c r="E129" s="22">
        <v>27</v>
      </c>
      <c r="F129" s="22">
        <v>2</v>
      </c>
      <c r="G129" s="22">
        <v>0</v>
      </c>
      <c r="H129" s="22">
        <v>0</v>
      </c>
      <c r="I129" s="22">
        <v>252</v>
      </c>
    </row>
    <row r="130" spans="2:9" s="21" customFormat="1" ht="12" customHeight="1" x14ac:dyDescent="0.2">
      <c r="B130" s="99"/>
      <c r="C130" s="92" t="s">
        <v>108</v>
      </c>
      <c r="D130" s="22">
        <v>704</v>
      </c>
      <c r="E130" s="22">
        <v>109</v>
      </c>
      <c r="F130" s="22">
        <v>21</v>
      </c>
      <c r="G130" s="22">
        <v>0</v>
      </c>
      <c r="H130" s="22">
        <v>0</v>
      </c>
      <c r="I130" s="22">
        <v>834</v>
      </c>
    </row>
    <row r="131" spans="2:9" s="21" customFormat="1" ht="12" customHeight="1" x14ac:dyDescent="0.2">
      <c r="B131" s="99"/>
      <c r="C131" s="92" t="s">
        <v>109</v>
      </c>
      <c r="D131" s="22">
        <v>527</v>
      </c>
      <c r="E131" s="22">
        <v>139</v>
      </c>
      <c r="F131" s="22">
        <v>73</v>
      </c>
      <c r="G131" s="22">
        <v>0</v>
      </c>
      <c r="H131" s="22">
        <v>0</v>
      </c>
      <c r="I131" s="22">
        <v>739</v>
      </c>
    </row>
    <row r="132" spans="2:9" s="21" customFormat="1" ht="12" customHeight="1" x14ac:dyDescent="0.2">
      <c r="B132" s="99"/>
      <c r="C132" s="92" t="s">
        <v>110</v>
      </c>
      <c r="D132" s="22">
        <v>654</v>
      </c>
      <c r="E132" s="22">
        <v>114</v>
      </c>
      <c r="F132" s="22">
        <v>33</v>
      </c>
      <c r="G132" s="22">
        <v>0</v>
      </c>
      <c r="H132" s="22">
        <v>1</v>
      </c>
      <c r="I132" s="22">
        <v>802</v>
      </c>
    </row>
    <row r="133" spans="2:9" s="21" customFormat="1" ht="12" customHeight="1" x14ac:dyDescent="0.2">
      <c r="B133" s="99"/>
      <c r="C133" s="92" t="s">
        <v>111</v>
      </c>
      <c r="D133" s="22">
        <v>290</v>
      </c>
      <c r="E133" s="22">
        <v>47</v>
      </c>
      <c r="F133" s="22">
        <v>10</v>
      </c>
      <c r="G133" s="22">
        <v>0</v>
      </c>
      <c r="H133" s="22">
        <v>0</v>
      </c>
      <c r="I133" s="22">
        <v>347</v>
      </c>
    </row>
    <row r="134" spans="2:9" s="21" customFormat="1" ht="12" customHeight="1" x14ac:dyDescent="0.2">
      <c r="B134" s="99"/>
      <c r="C134" s="92" t="s">
        <v>112</v>
      </c>
      <c r="D134" s="22">
        <v>748</v>
      </c>
      <c r="E134" s="22">
        <v>49</v>
      </c>
      <c r="F134" s="22">
        <v>27</v>
      </c>
      <c r="G134" s="22">
        <v>0</v>
      </c>
      <c r="H134" s="22">
        <v>0</v>
      </c>
      <c r="I134" s="22">
        <v>824</v>
      </c>
    </row>
    <row r="135" spans="2:9" s="21" customFormat="1" ht="12" customHeight="1" x14ac:dyDescent="0.2">
      <c r="B135" s="99"/>
      <c r="C135" s="92" t="s">
        <v>113</v>
      </c>
      <c r="D135" s="22">
        <v>1109</v>
      </c>
      <c r="E135" s="22">
        <v>113</v>
      </c>
      <c r="F135" s="22">
        <v>38</v>
      </c>
      <c r="G135" s="22">
        <v>0</v>
      </c>
      <c r="H135" s="22">
        <v>0</v>
      </c>
      <c r="I135" s="22">
        <v>1260</v>
      </c>
    </row>
    <row r="136" spans="2:9" s="21" customFormat="1" ht="12" customHeight="1" x14ac:dyDescent="0.2">
      <c r="B136" s="99"/>
      <c r="C136" s="92" t="s">
        <v>114</v>
      </c>
      <c r="D136" s="22">
        <v>1756</v>
      </c>
      <c r="E136" s="22">
        <v>1240</v>
      </c>
      <c r="F136" s="22">
        <v>524</v>
      </c>
      <c r="G136" s="22">
        <v>0</v>
      </c>
      <c r="H136" s="22">
        <v>4</v>
      </c>
      <c r="I136" s="22">
        <v>3524</v>
      </c>
    </row>
    <row r="137" spans="2:9" s="21" customFormat="1" ht="12" customHeight="1" x14ac:dyDescent="0.2">
      <c r="B137" s="99"/>
      <c r="C137" s="92" t="s">
        <v>115</v>
      </c>
      <c r="D137" s="22">
        <v>1427</v>
      </c>
      <c r="E137" s="22">
        <v>160</v>
      </c>
      <c r="F137" s="22">
        <v>38</v>
      </c>
      <c r="G137" s="22">
        <v>0</v>
      </c>
      <c r="H137" s="22">
        <v>0</v>
      </c>
      <c r="I137" s="22">
        <v>1625</v>
      </c>
    </row>
    <row r="138" spans="2:9" s="21" customFormat="1" ht="12" customHeight="1" x14ac:dyDescent="0.2">
      <c r="B138" s="99"/>
      <c r="C138" s="92" t="s">
        <v>116</v>
      </c>
      <c r="D138" s="22">
        <v>588</v>
      </c>
      <c r="E138" s="22">
        <v>159</v>
      </c>
      <c r="F138" s="22">
        <v>37</v>
      </c>
      <c r="G138" s="22">
        <v>0</v>
      </c>
      <c r="H138" s="22">
        <v>0</v>
      </c>
      <c r="I138" s="22">
        <v>784</v>
      </c>
    </row>
    <row r="139" spans="2:9" s="21" customFormat="1" ht="12" customHeight="1" x14ac:dyDescent="0.2">
      <c r="B139" s="99"/>
      <c r="C139" s="92" t="s">
        <v>117</v>
      </c>
      <c r="D139" s="22">
        <v>1157</v>
      </c>
      <c r="E139" s="22">
        <v>239</v>
      </c>
      <c r="F139" s="22">
        <v>75</v>
      </c>
      <c r="G139" s="22">
        <v>0</v>
      </c>
      <c r="H139" s="22">
        <v>0</v>
      </c>
      <c r="I139" s="22">
        <v>1471</v>
      </c>
    </row>
    <row r="140" spans="2:9" s="21" customFormat="1" ht="12" customHeight="1" x14ac:dyDescent="0.2">
      <c r="B140" s="99"/>
      <c r="C140" s="92" t="s">
        <v>118</v>
      </c>
      <c r="D140" s="22">
        <v>1003</v>
      </c>
      <c r="E140" s="22">
        <v>180</v>
      </c>
      <c r="F140" s="22">
        <v>42</v>
      </c>
      <c r="G140" s="22">
        <v>0</v>
      </c>
      <c r="H140" s="22">
        <v>1</v>
      </c>
      <c r="I140" s="22">
        <v>1226</v>
      </c>
    </row>
    <row r="141" spans="2:9" s="21" customFormat="1" ht="12" customHeight="1" x14ac:dyDescent="0.2">
      <c r="B141" s="99"/>
      <c r="C141" s="92" t="s">
        <v>119</v>
      </c>
      <c r="D141" s="22">
        <v>1180</v>
      </c>
      <c r="E141" s="22">
        <v>265</v>
      </c>
      <c r="F141" s="22">
        <v>54</v>
      </c>
      <c r="G141" s="22">
        <v>0</v>
      </c>
      <c r="H141" s="22">
        <v>0</v>
      </c>
      <c r="I141" s="22">
        <v>1499</v>
      </c>
    </row>
    <row r="142" spans="2:9" s="21" customFormat="1" ht="12" customHeight="1" x14ac:dyDescent="0.2">
      <c r="B142" s="99"/>
      <c r="C142" s="92" t="s">
        <v>120</v>
      </c>
      <c r="D142" s="22">
        <v>623</v>
      </c>
      <c r="E142" s="22">
        <v>65</v>
      </c>
      <c r="F142" s="22">
        <v>33</v>
      </c>
      <c r="G142" s="22">
        <v>0</v>
      </c>
      <c r="H142" s="22">
        <v>0</v>
      </c>
      <c r="I142" s="22">
        <v>721</v>
      </c>
    </row>
    <row r="143" spans="2:9" s="21" customFormat="1" ht="12" customHeight="1" x14ac:dyDescent="0.2">
      <c r="B143" s="99"/>
      <c r="C143" s="92" t="s">
        <v>121</v>
      </c>
      <c r="D143" s="22">
        <v>1515</v>
      </c>
      <c r="E143" s="22">
        <v>453</v>
      </c>
      <c r="F143" s="22">
        <v>116</v>
      </c>
      <c r="G143" s="22">
        <v>0</v>
      </c>
      <c r="H143" s="22">
        <v>0</v>
      </c>
      <c r="I143" s="22">
        <v>2084</v>
      </c>
    </row>
    <row r="144" spans="2:9" s="21" customFormat="1" ht="12" customHeight="1" x14ac:dyDescent="0.2">
      <c r="B144" s="99"/>
      <c r="C144" s="92" t="s">
        <v>122</v>
      </c>
      <c r="D144" s="22">
        <v>549</v>
      </c>
      <c r="E144" s="22">
        <v>80</v>
      </c>
      <c r="F144" s="22">
        <v>25</v>
      </c>
      <c r="G144" s="22">
        <v>0</v>
      </c>
      <c r="H144" s="22">
        <v>1</v>
      </c>
      <c r="I144" s="22">
        <v>655</v>
      </c>
    </row>
    <row r="145" spans="1:9" s="21" customFormat="1" ht="12" customHeight="1" x14ac:dyDescent="0.2">
      <c r="B145" s="99"/>
      <c r="C145" s="92" t="s">
        <v>123</v>
      </c>
      <c r="D145" s="22">
        <v>371</v>
      </c>
      <c r="E145" s="22">
        <v>81</v>
      </c>
      <c r="F145" s="22">
        <v>13</v>
      </c>
      <c r="G145" s="22">
        <v>0</v>
      </c>
      <c r="H145" s="22">
        <v>0</v>
      </c>
      <c r="I145" s="22">
        <v>465</v>
      </c>
    </row>
    <row r="146" spans="1:9" s="21" customFormat="1" ht="12" customHeight="1" x14ac:dyDescent="0.2">
      <c r="B146" s="99"/>
      <c r="C146" s="92" t="s">
        <v>124</v>
      </c>
      <c r="D146" s="22">
        <v>1578</v>
      </c>
      <c r="E146" s="22">
        <v>115</v>
      </c>
      <c r="F146" s="22">
        <v>41</v>
      </c>
      <c r="G146" s="22">
        <v>0</v>
      </c>
      <c r="H146" s="22">
        <v>0</v>
      </c>
      <c r="I146" s="22">
        <v>1734</v>
      </c>
    </row>
    <row r="147" spans="1:9" s="21" customFormat="1" ht="12" customHeight="1" x14ac:dyDescent="0.2">
      <c r="B147" s="99"/>
      <c r="C147" s="92" t="s">
        <v>125</v>
      </c>
      <c r="D147" s="22">
        <v>1184</v>
      </c>
      <c r="E147" s="22">
        <v>220</v>
      </c>
      <c r="F147" s="22">
        <v>244</v>
      </c>
      <c r="G147" s="22">
        <v>0</v>
      </c>
      <c r="H147" s="22">
        <v>1</v>
      </c>
      <c r="I147" s="22">
        <v>1649</v>
      </c>
    </row>
    <row r="148" spans="1:9" s="21" customFormat="1" ht="12" customHeight="1" x14ac:dyDescent="0.2">
      <c r="B148" s="99"/>
      <c r="C148" s="92" t="s">
        <v>126</v>
      </c>
      <c r="D148" s="22">
        <v>2115</v>
      </c>
      <c r="E148" s="22">
        <v>731</v>
      </c>
      <c r="F148" s="22">
        <v>100</v>
      </c>
      <c r="G148" s="22">
        <v>0</v>
      </c>
      <c r="H148" s="22">
        <v>1</v>
      </c>
      <c r="I148" s="22">
        <v>2947</v>
      </c>
    </row>
    <row r="149" spans="1:9" s="21" customFormat="1" ht="12" customHeight="1" x14ac:dyDescent="0.2">
      <c r="B149" s="99"/>
      <c r="C149" s="92" t="s">
        <v>127</v>
      </c>
      <c r="D149" s="22">
        <v>555</v>
      </c>
      <c r="E149" s="22">
        <v>35</v>
      </c>
      <c r="F149" s="22">
        <v>14</v>
      </c>
      <c r="G149" s="22">
        <v>0</v>
      </c>
      <c r="H149" s="22">
        <v>0</v>
      </c>
      <c r="I149" s="22">
        <v>604</v>
      </c>
    </row>
    <row r="150" spans="1:9" s="21" customFormat="1" ht="12" customHeight="1" x14ac:dyDescent="0.2">
      <c r="B150" s="99"/>
      <c r="C150" s="92" t="s">
        <v>128</v>
      </c>
      <c r="D150" s="22">
        <v>382</v>
      </c>
      <c r="E150" s="22">
        <v>41</v>
      </c>
      <c r="F150" s="22">
        <v>19</v>
      </c>
      <c r="G150" s="22">
        <v>0</v>
      </c>
      <c r="H150" s="22">
        <v>0</v>
      </c>
      <c r="I150" s="22">
        <v>442</v>
      </c>
    </row>
    <row r="151" spans="1:9" s="21" customFormat="1" ht="12" customHeight="1" x14ac:dyDescent="0.2">
      <c r="B151" s="99"/>
      <c r="C151" s="92" t="s">
        <v>129</v>
      </c>
      <c r="D151" s="22">
        <v>1319</v>
      </c>
      <c r="E151" s="22">
        <v>372</v>
      </c>
      <c r="F151" s="22">
        <v>75</v>
      </c>
      <c r="G151" s="22">
        <v>0</v>
      </c>
      <c r="H151" s="22">
        <v>0</v>
      </c>
      <c r="I151" s="22">
        <v>1766</v>
      </c>
    </row>
    <row r="152" spans="1:9" s="21" customFormat="1" ht="12" customHeight="1" x14ac:dyDescent="0.2">
      <c r="B152" s="99"/>
      <c r="C152" s="92" t="s">
        <v>130</v>
      </c>
      <c r="D152" s="22">
        <v>217</v>
      </c>
      <c r="E152" s="22">
        <v>52</v>
      </c>
      <c r="F152" s="22">
        <v>37</v>
      </c>
      <c r="G152" s="22">
        <v>0</v>
      </c>
      <c r="H152" s="22">
        <v>0</v>
      </c>
      <c r="I152" s="22">
        <v>306</v>
      </c>
    </row>
    <row r="153" spans="1:9" s="21" customFormat="1" ht="12" customHeight="1" x14ac:dyDescent="0.2">
      <c r="B153" s="99"/>
      <c r="C153" s="97" t="s">
        <v>264</v>
      </c>
      <c r="D153" s="28">
        <v>498</v>
      </c>
      <c r="E153" s="28">
        <v>28</v>
      </c>
      <c r="F153" s="28">
        <v>13</v>
      </c>
      <c r="G153" s="28">
        <v>0</v>
      </c>
      <c r="H153" s="28">
        <v>0</v>
      </c>
      <c r="I153" s="28">
        <v>539</v>
      </c>
    </row>
    <row r="154" spans="1:9" s="21" customFormat="1" ht="12" customHeight="1" x14ac:dyDescent="0.2">
      <c r="A154" s="363"/>
      <c r="B154" s="363"/>
      <c r="C154" s="363"/>
      <c r="D154" s="363"/>
      <c r="E154" s="363"/>
      <c r="F154" s="363"/>
      <c r="G154" s="363"/>
      <c r="H154" s="363"/>
      <c r="I154" s="363"/>
    </row>
    <row r="155" spans="1:9" s="21" customFormat="1" ht="12" customHeight="1" x14ac:dyDescent="0.2">
      <c r="A155" s="357" t="s">
        <v>131</v>
      </c>
      <c r="B155" s="357"/>
      <c r="C155" s="357"/>
      <c r="D155" s="20">
        <f t="shared" ref="D155:I155" si="8">SUM(D156:D195)</f>
        <v>45866</v>
      </c>
      <c r="E155" s="20">
        <f t="shared" si="8"/>
        <v>11139</v>
      </c>
      <c r="F155" s="20">
        <f t="shared" si="8"/>
        <v>2914</v>
      </c>
      <c r="G155" s="20">
        <f t="shared" si="8"/>
        <v>0</v>
      </c>
      <c r="H155" s="20">
        <f t="shared" si="8"/>
        <v>16</v>
      </c>
      <c r="I155" s="20">
        <f t="shared" si="8"/>
        <v>59935</v>
      </c>
    </row>
    <row r="156" spans="1:9" s="21" customFormat="1" ht="12" customHeight="1" x14ac:dyDescent="0.2">
      <c r="B156" s="99"/>
      <c r="C156" s="98" t="s">
        <v>132</v>
      </c>
      <c r="D156" s="22">
        <v>3870</v>
      </c>
      <c r="E156" s="22">
        <v>1045</v>
      </c>
      <c r="F156" s="22">
        <v>438</v>
      </c>
      <c r="G156" s="22">
        <v>0</v>
      </c>
      <c r="H156" s="22">
        <v>2</v>
      </c>
      <c r="I156" s="22">
        <v>5355</v>
      </c>
    </row>
    <row r="157" spans="1:9" s="21" customFormat="1" ht="12" customHeight="1" x14ac:dyDescent="0.2">
      <c r="B157" s="99"/>
      <c r="C157" s="92" t="s">
        <v>253</v>
      </c>
      <c r="D157" s="22">
        <v>110</v>
      </c>
      <c r="E157" s="22">
        <v>5</v>
      </c>
      <c r="F157" s="22">
        <v>3</v>
      </c>
      <c r="G157" s="22">
        <v>0</v>
      </c>
      <c r="H157" s="22">
        <v>0</v>
      </c>
      <c r="I157" s="22">
        <v>118</v>
      </c>
    </row>
    <row r="158" spans="1:9" s="21" customFormat="1" ht="12" customHeight="1" x14ac:dyDescent="0.2">
      <c r="B158" s="99"/>
      <c r="C158" s="92" t="s">
        <v>133</v>
      </c>
      <c r="D158" s="22">
        <v>194</v>
      </c>
      <c r="E158" s="22">
        <v>9</v>
      </c>
      <c r="F158" s="22">
        <v>4</v>
      </c>
      <c r="G158" s="22">
        <v>0</v>
      </c>
      <c r="H158" s="22">
        <v>0</v>
      </c>
      <c r="I158" s="22">
        <v>207</v>
      </c>
    </row>
    <row r="159" spans="1:9" s="21" customFormat="1" ht="12" customHeight="1" x14ac:dyDescent="0.2">
      <c r="B159" s="99"/>
      <c r="C159" s="92" t="s">
        <v>134</v>
      </c>
      <c r="D159" s="22">
        <v>440</v>
      </c>
      <c r="E159" s="22">
        <v>60</v>
      </c>
      <c r="F159" s="22">
        <v>23</v>
      </c>
      <c r="G159" s="22">
        <v>0</v>
      </c>
      <c r="H159" s="22">
        <v>0</v>
      </c>
      <c r="I159" s="22">
        <v>523</v>
      </c>
    </row>
    <row r="160" spans="1:9" s="21" customFormat="1" ht="12" customHeight="1" x14ac:dyDescent="0.2">
      <c r="B160" s="99"/>
      <c r="C160" s="92" t="s">
        <v>135</v>
      </c>
      <c r="D160" s="22">
        <v>1537</v>
      </c>
      <c r="E160" s="22">
        <v>199</v>
      </c>
      <c r="F160" s="22">
        <v>134</v>
      </c>
      <c r="G160" s="22">
        <v>0</v>
      </c>
      <c r="H160" s="22">
        <v>0</v>
      </c>
      <c r="I160" s="22">
        <v>1870</v>
      </c>
    </row>
    <row r="161" spans="2:9" s="21" customFormat="1" ht="12" customHeight="1" x14ac:dyDescent="0.2">
      <c r="B161" s="99"/>
      <c r="C161" s="92" t="s">
        <v>136</v>
      </c>
      <c r="D161" s="22">
        <v>104</v>
      </c>
      <c r="E161" s="22">
        <v>10</v>
      </c>
      <c r="F161" s="22">
        <v>2</v>
      </c>
      <c r="G161" s="22">
        <v>0</v>
      </c>
      <c r="H161" s="22">
        <v>0</v>
      </c>
      <c r="I161" s="22">
        <v>116</v>
      </c>
    </row>
    <row r="162" spans="2:9" s="21" customFormat="1" ht="12" customHeight="1" x14ac:dyDescent="0.2">
      <c r="B162" s="99"/>
      <c r="C162" s="92" t="s">
        <v>137</v>
      </c>
      <c r="D162" s="22">
        <v>649</v>
      </c>
      <c r="E162" s="22">
        <v>31</v>
      </c>
      <c r="F162" s="22">
        <v>19</v>
      </c>
      <c r="G162" s="22">
        <v>0</v>
      </c>
      <c r="H162" s="22">
        <v>0</v>
      </c>
      <c r="I162" s="22">
        <v>699</v>
      </c>
    </row>
    <row r="163" spans="2:9" s="21" customFormat="1" ht="12" customHeight="1" x14ac:dyDescent="0.2">
      <c r="B163" s="99"/>
      <c r="C163" s="92" t="s">
        <v>139</v>
      </c>
      <c r="D163" s="22">
        <v>597</v>
      </c>
      <c r="E163" s="22">
        <v>136</v>
      </c>
      <c r="F163" s="22">
        <v>26</v>
      </c>
      <c r="G163" s="22">
        <v>0</v>
      </c>
      <c r="H163" s="22">
        <v>0</v>
      </c>
      <c r="I163" s="22">
        <v>759</v>
      </c>
    </row>
    <row r="164" spans="2:9" s="21" customFormat="1" ht="12" customHeight="1" x14ac:dyDescent="0.2">
      <c r="B164" s="99"/>
      <c r="C164" s="92" t="s">
        <v>140</v>
      </c>
      <c r="D164" s="22">
        <v>17</v>
      </c>
      <c r="E164" s="22">
        <v>0</v>
      </c>
      <c r="F164" s="22">
        <v>0</v>
      </c>
      <c r="G164" s="22">
        <v>0</v>
      </c>
      <c r="H164" s="22">
        <v>0</v>
      </c>
      <c r="I164" s="22">
        <v>17</v>
      </c>
    </row>
    <row r="165" spans="2:9" s="21" customFormat="1" ht="12" customHeight="1" x14ac:dyDescent="0.2">
      <c r="B165" s="99"/>
      <c r="C165" s="92" t="s">
        <v>265</v>
      </c>
      <c r="D165" s="22">
        <v>1148</v>
      </c>
      <c r="E165" s="22">
        <v>117</v>
      </c>
      <c r="F165" s="22">
        <v>13</v>
      </c>
      <c r="G165" s="22">
        <v>0</v>
      </c>
      <c r="H165" s="22">
        <v>0</v>
      </c>
      <c r="I165" s="22">
        <v>1278</v>
      </c>
    </row>
    <row r="166" spans="2:9" s="21" customFormat="1" ht="12" customHeight="1" x14ac:dyDescent="0.2">
      <c r="B166" s="99"/>
      <c r="C166" s="92" t="s">
        <v>142</v>
      </c>
      <c r="D166" s="22">
        <v>100</v>
      </c>
      <c r="E166" s="22">
        <v>1</v>
      </c>
      <c r="F166" s="22">
        <v>0</v>
      </c>
      <c r="G166" s="22">
        <v>0</v>
      </c>
      <c r="H166" s="22">
        <v>0</v>
      </c>
      <c r="I166" s="22">
        <v>101</v>
      </c>
    </row>
    <row r="167" spans="2:9" s="21" customFormat="1" ht="12" customHeight="1" x14ac:dyDescent="0.2">
      <c r="B167" s="99"/>
      <c r="C167" s="92" t="s">
        <v>143</v>
      </c>
      <c r="D167" s="22">
        <v>253</v>
      </c>
      <c r="E167" s="22">
        <v>27</v>
      </c>
      <c r="F167" s="22">
        <v>15</v>
      </c>
      <c r="G167" s="22">
        <v>0</v>
      </c>
      <c r="H167" s="22">
        <v>0</v>
      </c>
      <c r="I167" s="22">
        <v>295</v>
      </c>
    </row>
    <row r="168" spans="2:9" s="21" customFormat="1" ht="12" customHeight="1" x14ac:dyDescent="0.2">
      <c r="B168" s="99"/>
      <c r="C168" s="92" t="s">
        <v>266</v>
      </c>
      <c r="D168" s="22">
        <v>1014</v>
      </c>
      <c r="E168" s="22">
        <v>159</v>
      </c>
      <c r="F168" s="22">
        <v>30</v>
      </c>
      <c r="G168" s="22">
        <v>0</v>
      </c>
      <c r="H168" s="22">
        <v>0</v>
      </c>
      <c r="I168" s="22">
        <v>1203</v>
      </c>
    </row>
    <row r="169" spans="2:9" s="21" customFormat="1" ht="12" customHeight="1" x14ac:dyDescent="0.2">
      <c r="B169" s="99"/>
      <c r="C169" s="92" t="s">
        <v>144</v>
      </c>
      <c r="D169" s="22">
        <v>3469</v>
      </c>
      <c r="E169" s="22">
        <v>613</v>
      </c>
      <c r="F169" s="22">
        <v>119</v>
      </c>
      <c r="G169" s="22">
        <v>0</v>
      </c>
      <c r="H169" s="22">
        <v>2</v>
      </c>
      <c r="I169" s="22">
        <v>4203</v>
      </c>
    </row>
    <row r="170" spans="2:9" s="21" customFormat="1" ht="12" customHeight="1" x14ac:dyDescent="0.2">
      <c r="B170" s="99"/>
      <c r="C170" s="92" t="s">
        <v>145</v>
      </c>
      <c r="D170" s="22">
        <v>32</v>
      </c>
      <c r="E170" s="22">
        <v>1</v>
      </c>
      <c r="F170" s="22">
        <v>0</v>
      </c>
      <c r="G170" s="22">
        <v>0</v>
      </c>
      <c r="H170" s="22">
        <v>0</v>
      </c>
      <c r="I170" s="22">
        <v>33</v>
      </c>
    </row>
    <row r="171" spans="2:9" s="21" customFormat="1" ht="12" customHeight="1" x14ac:dyDescent="0.2">
      <c r="B171" s="99"/>
      <c r="C171" s="92" t="s">
        <v>146</v>
      </c>
      <c r="D171" s="22">
        <v>38</v>
      </c>
      <c r="E171" s="22">
        <v>0</v>
      </c>
      <c r="F171" s="22">
        <v>0</v>
      </c>
      <c r="G171" s="22">
        <v>0</v>
      </c>
      <c r="H171" s="22">
        <v>0</v>
      </c>
      <c r="I171" s="22">
        <v>38</v>
      </c>
    </row>
    <row r="172" spans="2:9" s="21" customFormat="1" ht="12" customHeight="1" x14ac:dyDescent="0.2">
      <c r="B172" s="99"/>
      <c r="C172" s="92" t="s">
        <v>254</v>
      </c>
      <c r="D172" s="22">
        <v>826</v>
      </c>
      <c r="E172" s="22">
        <v>52</v>
      </c>
      <c r="F172" s="22">
        <v>16</v>
      </c>
      <c r="G172" s="22">
        <v>0</v>
      </c>
      <c r="H172" s="22">
        <v>0</v>
      </c>
      <c r="I172" s="22">
        <v>894</v>
      </c>
    </row>
    <row r="173" spans="2:9" s="21" customFormat="1" ht="12" customHeight="1" x14ac:dyDescent="0.2">
      <c r="B173" s="99"/>
      <c r="C173" s="92" t="s">
        <v>147</v>
      </c>
      <c r="D173" s="22">
        <v>299</v>
      </c>
      <c r="E173" s="22">
        <v>26</v>
      </c>
      <c r="F173" s="22">
        <v>9</v>
      </c>
      <c r="G173" s="22">
        <v>0</v>
      </c>
      <c r="H173" s="22">
        <v>0</v>
      </c>
      <c r="I173" s="22">
        <v>334</v>
      </c>
    </row>
    <row r="174" spans="2:9" s="21" customFormat="1" ht="12" customHeight="1" x14ac:dyDescent="0.2">
      <c r="B174" s="99"/>
      <c r="C174" s="92" t="s">
        <v>148</v>
      </c>
      <c r="D174" s="22">
        <v>907</v>
      </c>
      <c r="E174" s="22">
        <v>202</v>
      </c>
      <c r="F174" s="22">
        <v>58</v>
      </c>
      <c r="G174" s="22">
        <v>0</v>
      </c>
      <c r="H174" s="22">
        <v>2</v>
      </c>
      <c r="I174" s="22">
        <v>1169</v>
      </c>
    </row>
    <row r="175" spans="2:9" s="21" customFormat="1" ht="12" customHeight="1" x14ac:dyDescent="0.2">
      <c r="B175" s="99"/>
      <c r="C175" s="92" t="s">
        <v>149</v>
      </c>
      <c r="D175" s="22">
        <v>9557</v>
      </c>
      <c r="E175" s="22">
        <v>4067</v>
      </c>
      <c r="F175" s="22">
        <v>926</v>
      </c>
      <c r="G175" s="22">
        <v>0</v>
      </c>
      <c r="H175" s="22">
        <v>6</v>
      </c>
      <c r="I175" s="22">
        <v>14556</v>
      </c>
    </row>
    <row r="176" spans="2:9" s="21" customFormat="1" ht="12" customHeight="1" x14ac:dyDescent="0.2">
      <c r="B176" s="99"/>
      <c r="C176" s="92" t="s">
        <v>150</v>
      </c>
      <c r="D176" s="22">
        <v>4946</v>
      </c>
      <c r="E176" s="22">
        <v>1123</v>
      </c>
      <c r="F176" s="22">
        <v>236</v>
      </c>
      <c r="G176" s="22">
        <v>0</v>
      </c>
      <c r="H176" s="22">
        <v>0</v>
      </c>
      <c r="I176" s="22">
        <v>6305</v>
      </c>
    </row>
    <row r="177" spans="2:9" s="21" customFormat="1" ht="12" customHeight="1" x14ac:dyDescent="0.2">
      <c r="B177" s="99"/>
      <c r="C177" s="92" t="s">
        <v>151</v>
      </c>
      <c r="D177" s="22">
        <v>1296</v>
      </c>
      <c r="E177" s="22">
        <v>244</v>
      </c>
      <c r="F177" s="22">
        <v>69</v>
      </c>
      <c r="G177" s="22">
        <v>0</v>
      </c>
      <c r="H177" s="22">
        <v>1</v>
      </c>
      <c r="I177" s="22">
        <v>1610</v>
      </c>
    </row>
    <row r="178" spans="2:9" s="21" customFormat="1" ht="12" customHeight="1" x14ac:dyDescent="0.2">
      <c r="B178" s="99"/>
      <c r="C178" s="92" t="s">
        <v>152</v>
      </c>
      <c r="D178" s="22">
        <v>200</v>
      </c>
      <c r="E178" s="22">
        <v>7</v>
      </c>
      <c r="F178" s="22">
        <v>6</v>
      </c>
      <c r="G178" s="22">
        <v>0</v>
      </c>
      <c r="H178" s="22">
        <v>0</v>
      </c>
      <c r="I178" s="22">
        <v>213</v>
      </c>
    </row>
    <row r="179" spans="2:9" s="21" customFormat="1" ht="12" customHeight="1" x14ac:dyDescent="0.2">
      <c r="B179" s="99"/>
      <c r="C179" s="92" t="s">
        <v>153</v>
      </c>
      <c r="D179" s="22">
        <v>5277</v>
      </c>
      <c r="E179" s="22">
        <v>1201</v>
      </c>
      <c r="F179" s="22">
        <v>272</v>
      </c>
      <c r="G179" s="22">
        <v>0</v>
      </c>
      <c r="H179" s="22">
        <v>1</v>
      </c>
      <c r="I179" s="22">
        <v>6751</v>
      </c>
    </row>
    <row r="180" spans="2:9" s="21" customFormat="1" ht="12" customHeight="1" x14ac:dyDescent="0.2">
      <c r="B180" s="99"/>
      <c r="C180" s="92" t="s">
        <v>154</v>
      </c>
      <c r="D180" s="22">
        <v>55</v>
      </c>
      <c r="E180" s="22">
        <v>3</v>
      </c>
      <c r="F180" s="22">
        <v>3</v>
      </c>
      <c r="G180" s="22">
        <v>0</v>
      </c>
      <c r="H180" s="22">
        <v>0</v>
      </c>
      <c r="I180" s="22">
        <v>61</v>
      </c>
    </row>
    <row r="181" spans="2:9" s="21" customFormat="1" ht="12" customHeight="1" x14ac:dyDescent="0.2">
      <c r="B181" s="99"/>
      <c r="C181" s="92" t="s">
        <v>155</v>
      </c>
      <c r="D181" s="22">
        <v>2059</v>
      </c>
      <c r="E181" s="22">
        <v>617</v>
      </c>
      <c r="F181" s="22">
        <v>166</v>
      </c>
      <c r="G181" s="22">
        <v>0</v>
      </c>
      <c r="H181" s="22">
        <v>2</v>
      </c>
      <c r="I181" s="22">
        <v>2844</v>
      </c>
    </row>
    <row r="182" spans="2:9" s="21" customFormat="1" ht="12" customHeight="1" x14ac:dyDescent="0.2">
      <c r="B182" s="99"/>
      <c r="C182" s="92" t="s">
        <v>156</v>
      </c>
      <c r="D182" s="22">
        <v>273</v>
      </c>
      <c r="E182" s="22">
        <v>10</v>
      </c>
      <c r="F182" s="22">
        <v>5</v>
      </c>
      <c r="G182" s="22">
        <v>0</v>
      </c>
      <c r="H182" s="22">
        <v>0</v>
      </c>
      <c r="I182" s="22">
        <v>288</v>
      </c>
    </row>
    <row r="183" spans="2:9" s="21" customFormat="1" ht="12" customHeight="1" x14ac:dyDescent="0.2">
      <c r="B183" s="99"/>
      <c r="C183" s="92" t="s">
        <v>157</v>
      </c>
      <c r="D183" s="22">
        <v>671</v>
      </c>
      <c r="E183" s="22">
        <v>95</v>
      </c>
      <c r="F183" s="22">
        <v>35</v>
      </c>
      <c r="G183" s="22">
        <v>0</v>
      </c>
      <c r="H183" s="22">
        <v>0</v>
      </c>
      <c r="I183" s="22">
        <v>801</v>
      </c>
    </row>
    <row r="184" spans="2:9" s="21" customFormat="1" ht="12" customHeight="1" x14ac:dyDescent="0.2">
      <c r="B184" s="99"/>
      <c r="C184" s="92" t="s">
        <v>255</v>
      </c>
      <c r="D184" s="22">
        <v>103</v>
      </c>
      <c r="E184" s="22">
        <v>8</v>
      </c>
      <c r="F184" s="22">
        <v>8</v>
      </c>
      <c r="G184" s="22">
        <v>0</v>
      </c>
      <c r="H184" s="22">
        <v>0</v>
      </c>
      <c r="I184" s="22">
        <v>119</v>
      </c>
    </row>
    <row r="185" spans="2:9" s="21" customFormat="1" ht="12" customHeight="1" x14ac:dyDescent="0.2">
      <c r="B185" s="99"/>
      <c r="C185" s="92" t="s">
        <v>158</v>
      </c>
      <c r="D185" s="22">
        <v>336</v>
      </c>
      <c r="E185" s="22">
        <v>43</v>
      </c>
      <c r="F185" s="22">
        <v>3</v>
      </c>
      <c r="G185" s="22">
        <v>0</v>
      </c>
      <c r="H185" s="22">
        <v>0</v>
      </c>
      <c r="I185" s="22">
        <v>382</v>
      </c>
    </row>
    <row r="186" spans="2:9" s="21" customFormat="1" ht="12" customHeight="1" x14ac:dyDescent="0.2">
      <c r="B186" s="99"/>
      <c r="C186" s="92" t="s">
        <v>159</v>
      </c>
      <c r="D186" s="22">
        <v>514</v>
      </c>
      <c r="E186" s="22">
        <v>101</v>
      </c>
      <c r="F186" s="22">
        <v>49</v>
      </c>
      <c r="G186" s="22">
        <v>0</v>
      </c>
      <c r="H186" s="22">
        <v>0</v>
      </c>
      <c r="I186" s="22">
        <v>664</v>
      </c>
    </row>
    <row r="187" spans="2:9" s="21" customFormat="1" ht="12" customHeight="1" x14ac:dyDescent="0.2">
      <c r="B187" s="99"/>
      <c r="C187" s="92" t="s">
        <v>160</v>
      </c>
      <c r="D187" s="22">
        <v>587</v>
      </c>
      <c r="E187" s="22">
        <v>88</v>
      </c>
      <c r="F187" s="22">
        <v>30</v>
      </c>
      <c r="G187" s="22">
        <v>0</v>
      </c>
      <c r="H187" s="22">
        <v>0</v>
      </c>
      <c r="I187" s="22">
        <v>705</v>
      </c>
    </row>
    <row r="188" spans="2:9" s="21" customFormat="1" ht="12" customHeight="1" x14ac:dyDescent="0.2">
      <c r="B188" s="99"/>
      <c r="C188" s="92" t="s">
        <v>161</v>
      </c>
      <c r="D188" s="22">
        <v>116</v>
      </c>
      <c r="E188" s="22">
        <v>12</v>
      </c>
      <c r="F188" s="22">
        <v>6</v>
      </c>
      <c r="G188" s="22">
        <v>0</v>
      </c>
      <c r="H188" s="22">
        <v>0</v>
      </c>
      <c r="I188" s="22">
        <v>134</v>
      </c>
    </row>
    <row r="189" spans="2:9" s="21" customFormat="1" ht="12" customHeight="1" x14ac:dyDescent="0.2">
      <c r="B189" s="99"/>
      <c r="C189" s="92" t="s">
        <v>162</v>
      </c>
      <c r="D189" s="22">
        <v>83</v>
      </c>
      <c r="E189" s="22">
        <v>2</v>
      </c>
      <c r="F189" s="22">
        <v>2</v>
      </c>
      <c r="G189" s="22">
        <v>0</v>
      </c>
      <c r="H189" s="22">
        <v>0</v>
      </c>
      <c r="I189" s="22">
        <v>87</v>
      </c>
    </row>
    <row r="190" spans="2:9" s="21" customFormat="1" ht="12" customHeight="1" x14ac:dyDescent="0.2">
      <c r="B190" s="99"/>
      <c r="C190" s="92" t="s">
        <v>163</v>
      </c>
      <c r="D190" s="22">
        <v>662</v>
      </c>
      <c r="E190" s="22">
        <v>75</v>
      </c>
      <c r="F190" s="22">
        <v>23</v>
      </c>
      <c r="G190" s="22">
        <v>0</v>
      </c>
      <c r="H190" s="22">
        <v>0</v>
      </c>
      <c r="I190" s="22">
        <v>760</v>
      </c>
    </row>
    <row r="191" spans="2:9" s="21" customFormat="1" ht="12" customHeight="1" x14ac:dyDescent="0.2">
      <c r="B191" s="99"/>
      <c r="C191" s="92" t="s">
        <v>164</v>
      </c>
      <c r="D191" s="22">
        <v>1744</v>
      </c>
      <c r="E191" s="22">
        <v>562</v>
      </c>
      <c r="F191" s="22">
        <v>108</v>
      </c>
      <c r="G191" s="22">
        <v>0</v>
      </c>
      <c r="H191" s="22">
        <v>0</v>
      </c>
      <c r="I191" s="22">
        <v>2414</v>
      </c>
    </row>
    <row r="192" spans="2:9" s="21" customFormat="1" ht="12" customHeight="1" x14ac:dyDescent="0.2">
      <c r="B192" s="99"/>
      <c r="C192" s="92" t="s">
        <v>165</v>
      </c>
      <c r="D192" s="22">
        <v>61</v>
      </c>
      <c r="E192" s="22">
        <v>6</v>
      </c>
      <c r="F192" s="22">
        <v>0</v>
      </c>
      <c r="G192" s="22">
        <v>0</v>
      </c>
      <c r="H192" s="22">
        <v>0</v>
      </c>
      <c r="I192" s="22">
        <v>67</v>
      </c>
    </row>
    <row r="193" spans="1:9" s="21" customFormat="1" ht="12" customHeight="1" x14ac:dyDescent="0.2">
      <c r="B193" s="99"/>
      <c r="C193" s="92" t="s">
        <v>166</v>
      </c>
      <c r="D193" s="22">
        <v>875</v>
      </c>
      <c r="E193" s="22">
        <v>94</v>
      </c>
      <c r="F193" s="22">
        <v>26</v>
      </c>
      <c r="G193" s="22">
        <v>0</v>
      </c>
      <c r="H193" s="22">
        <v>0</v>
      </c>
      <c r="I193" s="22">
        <v>995</v>
      </c>
    </row>
    <row r="194" spans="1:9" s="21" customFormat="1" ht="12" customHeight="1" x14ac:dyDescent="0.2">
      <c r="B194" s="99"/>
      <c r="C194" s="92" t="s">
        <v>167</v>
      </c>
      <c r="D194" s="22">
        <v>559</v>
      </c>
      <c r="E194" s="22">
        <v>82</v>
      </c>
      <c r="F194" s="22">
        <v>24</v>
      </c>
      <c r="G194" s="22">
        <v>0</v>
      </c>
      <c r="H194" s="22">
        <v>0</v>
      </c>
      <c r="I194" s="22">
        <v>665</v>
      </c>
    </row>
    <row r="195" spans="1:9" s="21" customFormat="1" ht="12" customHeight="1" x14ac:dyDescent="0.2">
      <c r="B195" s="99"/>
      <c r="C195" s="99" t="s">
        <v>168</v>
      </c>
      <c r="D195" s="28">
        <v>288</v>
      </c>
      <c r="E195" s="28">
        <v>6</v>
      </c>
      <c r="F195" s="28">
        <v>8</v>
      </c>
      <c r="G195" s="28">
        <v>0</v>
      </c>
      <c r="H195" s="28">
        <v>0</v>
      </c>
      <c r="I195" s="28">
        <v>302</v>
      </c>
    </row>
    <row r="196" spans="1:9" s="21" customFormat="1" ht="12" customHeight="1" x14ac:dyDescent="0.2">
      <c r="A196" s="363"/>
      <c r="B196" s="363"/>
      <c r="C196" s="363"/>
      <c r="D196" s="363"/>
      <c r="E196" s="363"/>
      <c r="F196" s="363"/>
      <c r="G196" s="363"/>
      <c r="H196" s="363"/>
      <c r="I196" s="363"/>
    </row>
    <row r="197" spans="1:9" s="21" customFormat="1" ht="12" customHeight="1" x14ac:dyDescent="0.2">
      <c r="A197" s="357" t="s">
        <v>169</v>
      </c>
      <c r="B197" s="357"/>
      <c r="C197" s="357"/>
      <c r="D197" s="20">
        <f t="shared" ref="D197:I197" si="9">SUM(D198:D208)</f>
        <v>5202</v>
      </c>
      <c r="E197" s="20">
        <f t="shared" si="9"/>
        <v>453</v>
      </c>
      <c r="F197" s="20">
        <f t="shared" si="9"/>
        <v>147</v>
      </c>
      <c r="G197" s="20">
        <f t="shared" si="9"/>
        <v>0</v>
      </c>
      <c r="H197" s="20">
        <f t="shared" si="9"/>
        <v>0</v>
      </c>
      <c r="I197" s="20">
        <f t="shared" si="9"/>
        <v>5802</v>
      </c>
    </row>
    <row r="198" spans="1:9" s="21" customFormat="1" ht="12" customHeight="1" x14ac:dyDescent="0.2">
      <c r="B198" s="99"/>
      <c r="C198" s="98" t="s">
        <v>267</v>
      </c>
      <c r="D198" s="22">
        <v>511</v>
      </c>
      <c r="E198" s="22">
        <v>20</v>
      </c>
      <c r="F198" s="22">
        <v>11</v>
      </c>
      <c r="G198" s="22">
        <v>0</v>
      </c>
      <c r="H198" s="22">
        <v>0</v>
      </c>
      <c r="I198" s="22">
        <v>542</v>
      </c>
    </row>
    <row r="199" spans="1:9" s="21" customFormat="1" ht="12" customHeight="1" x14ac:dyDescent="0.2">
      <c r="B199" s="99"/>
      <c r="C199" s="92" t="s">
        <v>272</v>
      </c>
      <c r="D199" s="22">
        <v>232</v>
      </c>
      <c r="E199" s="22">
        <v>56</v>
      </c>
      <c r="F199" s="22">
        <v>10</v>
      </c>
      <c r="G199" s="22">
        <v>0</v>
      </c>
      <c r="H199" s="22">
        <v>0</v>
      </c>
      <c r="I199" s="22">
        <v>298</v>
      </c>
    </row>
    <row r="200" spans="1:9" s="21" customFormat="1" ht="12" customHeight="1" x14ac:dyDescent="0.2">
      <c r="B200" s="99"/>
      <c r="C200" s="92" t="s">
        <v>171</v>
      </c>
      <c r="D200" s="22">
        <v>56</v>
      </c>
      <c r="E200" s="22">
        <v>1</v>
      </c>
      <c r="F200" s="22">
        <v>5</v>
      </c>
      <c r="G200" s="22">
        <v>0</v>
      </c>
      <c r="H200" s="22">
        <v>0</v>
      </c>
      <c r="I200" s="22">
        <v>62</v>
      </c>
    </row>
    <row r="201" spans="1:9" s="21" customFormat="1" ht="12" customHeight="1" x14ac:dyDescent="0.2">
      <c r="B201" s="99"/>
      <c r="C201" s="92" t="s">
        <v>172</v>
      </c>
      <c r="D201" s="22">
        <v>50</v>
      </c>
      <c r="E201" s="22">
        <v>3</v>
      </c>
      <c r="F201" s="22">
        <v>0</v>
      </c>
      <c r="G201" s="22">
        <v>0</v>
      </c>
      <c r="H201" s="22">
        <v>0</v>
      </c>
      <c r="I201" s="22">
        <v>53</v>
      </c>
    </row>
    <row r="202" spans="1:9" s="21" customFormat="1" ht="12" customHeight="1" x14ac:dyDescent="0.2">
      <c r="B202" s="99"/>
      <c r="C202" s="92" t="s">
        <v>273</v>
      </c>
      <c r="D202" s="22">
        <v>462</v>
      </c>
      <c r="E202" s="22">
        <v>23</v>
      </c>
      <c r="F202" s="22">
        <v>7</v>
      </c>
      <c r="G202" s="22">
        <v>0</v>
      </c>
      <c r="H202" s="22">
        <v>0</v>
      </c>
      <c r="I202" s="22">
        <v>492</v>
      </c>
    </row>
    <row r="203" spans="1:9" s="21" customFormat="1" ht="12" customHeight="1" x14ac:dyDescent="0.2">
      <c r="B203" s="99"/>
      <c r="C203" s="92" t="s">
        <v>173</v>
      </c>
      <c r="D203" s="22">
        <v>64</v>
      </c>
      <c r="E203" s="22">
        <v>2</v>
      </c>
      <c r="F203" s="22">
        <v>0</v>
      </c>
      <c r="G203" s="22">
        <v>0</v>
      </c>
      <c r="H203" s="22">
        <v>0</v>
      </c>
      <c r="I203" s="22">
        <v>66</v>
      </c>
    </row>
    <row r="204" spans="1:9" s="21" customFormat="1" ht="12" customHeight="1" x14ac:dyDescent="0.2">
      <c r="B204" s="99"/>
      <c r="C204" s="92" t="s">
        <v>174</v>
      </c>
      <c r="D204" s="22">
        <v>367</v>
      </c>
      <c r="E204" s="22">
        <v>79</v>
      </c>
      <c r="F204" s="22">
        <v>28</v>
      </c>
      <c r="G204" s="22">
        <v>0</v>
      </c>
      <c r="H204" s="22">
        <v>0</v>
      </c>
      <c r="I204" s="22">
        <v>474</v>
      </c>
    </row>
    <row r="205" spans="1:9" s="21" customFormat="1" ht="12" customHeight="1" x14ac:dyDescent="0.2">
      <c r="B205" s="99"/>
      <c r="C205" s="92" t="s">
        <v>268</v>
      </c>
      <c r="D205" s="22">
        <v>748</v>
      </c>
      <c r="E205" s="22">
        <v>58</v>
      </c>
      <c r="F205" s="22">
        <v>31</v>
      </c>
      <c r="G205" s="22">
        <v>0</v>
      </c>
      <c r="H205" s="22">
        <v>0</v>
      </c>
      <c r="I205" s="22">
        <v>837</v>
      </c>
    </row>
    <row r="206" spans="1:9" s="21" customFormat="1" ht="12" customHeight="1" x14ac:dyDescent="0.2">
      <c r="B206" s="99"/>
      <c r="C206" s="92" t="s">
        <v>175</v>
      </c>
      <c r="D206" s="22">
        <v>563</v>
      </c>
      <c r="E206" s="22">
        <v>15</v>
      </c>
      <c r="F206" s="22">
        <v>4</v>
      </c>
      <c r="G206" s="22">
        <v>0</v>
      </c>
      <c r="H206" s="22">
        <v>0</v>
      </c>
      <c r="I206" s="22">
        <v>582</v>
      </c>
    </row>
    <row r="207" spans="1:9" s="21" customFormat="1" ht="12" customHeight="1" x14ac:dyDescent="0.2">
      <c r="B207" s="99"/>
      <c r="C207" s="92" t="s">
        <v>176</v>
      </c>
      <c r="D207" s="22">
        <v>37</v>
      </c>
      <c r="E207" s="22">
        <v>4</v>
      </c>
      <c r="F207" s="22">
        <v>1</v>
      </c>
      <c r="G207" s="22">
        <v>0</v>
      </c>
      <c r="H207" s="22">
        <v>0</v>
      </c>
      <c r="I207" s="22">
        <v>42</v>
      </c>
    </row>
    <row r="208" spans="1:9" s="21" customFormat="1" ht="12" customHeight="1" x14ac:dyDescent="0.2">
      <c r="B208" s="99"/>
      <c r="C208" s="99" t="s">
        <v>177</v>
      </c>
      <c r="D208" s="28">
        <v>2112</v>
      </c>
      <c r="E208" s="28">
        <v>192</v>
      </c>
      <c r="F208" s="28">
        <v>50</v>
      </c>
      <c r="G208" s="28">
        <v>0</v>
      </c>
      <c r="H208" s="28">
        <v>0</v>
      </c>
      <c r="I208" s="28">
        <v>2354</v>
      </c>
    </row>
    <row r="209" spans="1:9" s="21" customFormat="1" ht="12" customHeight="1" x14ac:dyDescent="0.2">
      <c r="A209" s="363"/>
      <c r="B209" s="363"/>
      <c r="C209" s="363"/>
      <c r="D209" s="363"/>
      <c r="E209" s="363"/>
      <c r="F209" s="363"/>
      <c r="G209" s="363"/>
      <c r="H209" s="363"/>
      <c r="I209" s="363"/>
    </row>
    <row r="210" spans="1:9" s="21" customFormat="1" ht="12" customHeight="1" x14ac:dyDescent="0.2">
      <c r="A210" s="357" t="s">
        <v>178</v>
      </c>
      <c r="B210" s="357"/>
      <c r="C210" s="357"/>
      <c r="D210" s="20">
        <f t="shared" ref="D210:I210" si="10">SUM(D211:D228)</f>
        <v>33763</v>
      </c>
      <c r="E210" s="20">
        <f t="shared" si="10"/>
        <v>10231</v>
      </c>
      <c r="F210" s="20">
        <f t="shared" si="10"/>
        <v>2117</v>
      </c>
      <c r="G210" s="20">
        <f t="shared" si="10"/>
        <v>1</v>
      </c>
      <c r="H210" s="20">
        <f t="shared" si="10"/>
        <v>30</v>
      </c>
      <c r="I210" s="20">
        <f t="shared" si="10"/>
        <v>46142</v>
      </c>
    </row>
    <row r="211" spans="1:9" s="21" customFormat="1" ht="12" customHeight="1" x14ac:dyDescent="0.2">
      <c r="B211" s="99"/>
      <c r="C211" s="98" t="s">
        <v>179</v>
      </c>
      <c r="D211" s="22">
        <v>2824</v>
      </c>
      <c r="E211" s="22">
        <v>994</v>
      </c>
      <c r="F211" s="22">
        <v>155</v>
      </c>
      <c r="G211" s="22">
        <v>0</v>
      </c>
      <c r="H211" s="22">
        <v>2</v>
      </c>
      <c r="I211" s="22">
        <v>3975</v>
      </c>
    </row>
    <row r="212" spans="1:9" s="21" customFormat="1" ht="12" customHeight="1" x14ac:dyDescent="0.2">
      <c r="B212" s="99"/>
      <c r="C212" s="92" t="s">
        <v>180</v>
      </c>
      <c r="D212" s="22">
        <v>11595</v>
      </c>
      <c r="E212" s="22">
        <v>4306</v>
      </c>
      <c r="F212" s="22">
        <v>964</v>
      </c>
      <c r="G212" s="22">
        <v>1</v>
      </c>
      <c r="H212" s="22">
        <v>14</v>
      </c>
      <c r="I212" s="22">
        <v>16880</v>
      </c>
    </row>
    <row r="213" spans="1:9" s="21" customFormat="1" ht="12" customHeight="1" x14ac:dyDescent="0.2">
      <c r="B213" s="99"/>
      <c r="C213" s="92" t="s">
        <v>181</v>
      </c>
      <c r="D213" s="22">
        <v>1306</v>
      </c>
      <c r="E213" s="22">
        <v>612</v>
      </c>
      <c r="F213" s="22">
        <v>167</v>
      </c>
      <c r="G213" s="22">
        <v>0</v>
      </c>
      <c r="H213" s="22">
        <v>4</v>
      </c>
      <c r="I213" s="22">
        <v>2089</v>
      </c>
    </row>
    <row r="214" spans="1:9" s="21" customFormat="1" ht="12" customHeight="1" x14ac:dyDescent="0.2">
      <c r="B214" s="99"/>
      <c r="C214" s="92" t="s">
        <v>182</v>
      </c>
      <c r="D214" s="22">
        <v>2130</v>
      </c>
      <c r="E214" s="22">
        <v>327</v>
      </c>
      <c r="F214" s="22">
        <v>51</v>
      </c>
      <c r="G214" s="22">
        <v>0</v>
      </c>
      <c r="H214" s="22">
        <v>1</v>
      </c>
      <c r="I214" s="22">
        <v>2509</v>
      </c>
    </row>
    <row r="215" spans="1:9" s="21" customFormat="1" ht="12" customHeight="1" x14ac:dyDescent="0.2">
      <c r="B215" s="99"/>
      <c r="C215" s="92" t="s">
        <v>183</v>
      </c>
      <c r="D215" s="22">
        <v>5648</v>
      </c>
      <c r="E215" s="22">
        <v>1875</v>
      </c>
      <c r="F215" s="22">
        <v>342</v>
      </c>
      <c r="G215" s="22">
        <v>0</v>
      </c>
      <c r="H215" s="22">
        <v>2</v>
      </c>
      <c r="I215" s="22">
        <v>7867</v>
      </c>
    </row>
    <row r="216" spans="1:9" s="21" customFormat="1" ht="12" customHeight="1" x14ac:dyDescent="0.2">
      <c r="B216" s="99"/>
      <c r="C216" s="92" t="s">
        <v>184</v>
      </c>
      <c r="D216" s="22">
        <v>532</v>
      </c>
      <c r="E216" s="22">
        <v>45</v>
      </c>
      <c r="F216" s="22">
        <v>11</v>
      </c>
      <c r="G216" s="22">
        <v>0</v>
      </c>
      <c r="H216" s="22">
        <v>0</v>
      </c>
      <c r="I216" s="22">
        <v>588</v>
      </c>
    </row>
    <row r="217" spans="1:9" s="21" customFormat="1" ht="12" customHeight="1" x14ac:dyDescent="0.2">
      <c r="B217" s="99"/>
      <c r="C217" s="92" t="s">
        <v>185</v>
      </c>
      <c r="D217" s="22">
        <v>622</v>
      </c>
      <c r="E217" s="22">
        <v>63</v>
      </c>
      <c r="F217" s="22">
        <v>9</v>
      </c>
      <c r="G217" s="22">
        <v>0</v>
      </c>
      <c r="H217" s="22">
        <v>1</v>
      </c>
      <c r="I217" s="22">
        <v>695</v>
      </c>
    </row>
    <row r="218" spans="1:9" s="21" customFormat="1" ht="12" customHeight="1" x14ac:dyDescent="0.2">
      <c r="B218" s="99"/>
      <c r="C218" s="92" t="s">
        <v>186</v>
      </c>
      <c r="D218" s="22">
        <v>630</v>
      </c>
      <c r="E218" s="22">
        <v>87</v>
      </c>
      <c r="F218" s="22">
        <v>18</v>
      </c>
      <c r="G218" s="22">
        <v>0</v>
      </c>
      <c r="H218" s="22">
        <v>0</v>
      </c>
      <c r="I218" s="22">
        <v>735</v>
      </c>
    </row>
    <row r="219" spans="1:9" s="21" customFormat="1" ht="12" customHeight="1" x14ac:dyDescent="0.2">
      <c r="B219" s="99"/>
      <c r="C219" s="92" t="s">
        <v>187</v>
      </c>
      <c r="D219" s="22">
        <v>333</v>
      </c>
      <c r="E219" s="22">
        <v>22</v>
      </c>
      <c r="F219" s="22">
        <v>5</v>
      </c>
      <c r="G219" s="22">
        <v>0</v>
      </c>
      <c r="H219" s="22">
        <v>0</v>
      </c>
      <c r="I219" s="22">
        <v>360</v>
      </c>
    </row>
    <row r="220" spans="1:9" s="21" customFormat="1" ht="12" customHeight="1" x14ac:dyDescent="0.2">
      <c r="B220" s="99"/>
      <c r="C220" s="92" t="s">
        <v>188</v>
      </c>
      <c r="D220" s="22">
        <v>1030</v>
      </c>
      <c r="E220" s="22">
        <v>156</v>
      </c>
      <c r="F220" s="22">
        <v>37</v>
      </c>
      <c r="G220" s="22">
        <v>0</v>
      </c>
      <c r="H220" s="22">
        <v>0</v>
      </c>
      <c r="I220" s="22">
        <v>1223</v>
      </c>
    </row>
    <row r="221" spans="1:9" s="21" customFormat="1" ht="12" customHeight="1" x14ac:dyDescent="0.2">
      <c r="B221" s="99"/>
      <c r="C221" s="92" t="s">
        <v>189</v>
      </c>
      <c r="D221" s="22">
        <v>324</v>
      </c>
      <c r="E221" s="22">
        <v>14</v>
      </c>
      <c r="F221" s="22">
        <v>7</v>
      </c>
      <c r="G221" s="22">
        <v>0</v>
      </c>
      <c r="H221" s="22">
        <v>0</v>
      </c>
      <c r="I221" s="22">
        <v>345</v>
      </c>
    </row>
    <row r="222" spans="1:9" s="21" customFormat="1" ht="12" customHeight="1" x14ac:dyDescent="0.2">
      <c r="B222" s="99"/>
      <c r="C222" s="92" t="s">
        <v>190</v>
      </c>
      <c r="D222" s="22">
        <v>87</v>
      </c>
      <c r="E222" s="22">
        <v>14</v>
      </c>
      <c r="F222" s="22">
        <v>0</v>
      </c>
      <c r="G222" s="22">
        <v>0</v>
      </c>
      <c r="H222" s="22">
        <v>0</v>
      </c>
      <c r="I222" s="22">
        <v>101</v>
      </c>
    </row>
    <row r="223" spans="1:9" s="21" customFormat="1" ht="12" customHeight="1" x14ac:dyDescent="0.2">
      <c r="B223" s="99"/>
      <c r="C223" s="92" t="s">
        <v>191</v>
      </c>
      <c r="D223" s="22">
        <v>1833</v>
      </c>
      <c r="E223" s="22">
        <v>436</v>
      </c>
      <c r="F223" s="22">
        <v>135</v>
      </c>
      <c r="G223" s="22">
        <v>0</v>
      </c>
      <c r="H223" s="22">
        <v>1</v>
      </c>
      <c r="I223" s="22">
        <v>2405</v>
      </c>
    </row>
    <row r="224" spans="1:9" s="21" customFormat="1" ht="12" customHeight="1" x14ac:dyDescent="0.2">
      <c r="B224" s="99"/>
      <c r="C224" s="92" t="s">
        <v>192</v>
      </c>
      <c r="D224" s="22">
        <v>507</v>
      </c>
      <c r="E224" s="22">
        <v>30</v>
      </c>
      <c r="F224" s="22">
        <v>5</v>
      </c>
      <c r="G224" s="22">
        <v>0</v>
      </c>
      <c r="H224" s="22">
        <v>0</v>
      </c>
      <c r="I224" s="22">
        <v>542</v>
      </c>
    </row>
    <row r="225" spans="1:9" s="21" customFormat="1" ht="12" customHeight="1" x14ac:dyDescent="0.2">
      <c r="B225" s="99"/>
      <c r="C225" s="92" t="s">
        <v>193</v>
      </c>
      <c r="D225" s="22">
        <v>496</v>
      </c>
      <c r="E225" s="22">
        <v>41</v>
      </c>
      <c r="F225" s="22">
        <v>8</v>
      </c>
      <c r="G225" s="22">
        <v>0</v>
      </c>
      <c r="H225" s="22">
        <v>0</v>
      </c>
      <c r="I225" s="22">
        <v>545</v>
      </c>
    </row>
    <row r="226" spans="1:9" s="21" customFormat="1" ht="12" customHeight="1" x14ac:dyDescent="0.2">
      <c r="B226" s="99"/>
      <c r="C226" s="92" t="s">
        <v>194</v>
      </c>
      <c r="D226" s="22">
        <v>1532</v>
      </c>
      <c r="E226" s="22">
        <v>580</v>
      </c>
      <c r="F226" s="22">
        <v>93</v>
      </c>
      <c r="G226" s="22">
        <v>0</v>
      </c>
      <c r="H226" s="22">
        <v>2</v>
      </c>
      <c r="I226" s="22">
        <v>2207</v>
      </c>
    </row>
    <row r="227" spans="1:9" s="21" customFormat="1" ht="12" customHeight="1" x14ac:dyDescent="0.2">
      <c r="B227" s="99"/>
      <c r="C227" s="92" t="s">
        <v>195</v>
      </c>
      <c r="D227" s="22">
        <v>185</v>
      </c>
      <c r="E227" s="22">
        <v>9</v>
      </c>
      <c r="F227" s="22">
        <v>4</v>
      </c>
      <c r="G227" s="22">
        <v>0</v>
      </c>
      <c r="H227" s="22">
        <v>0</v>
      </c>
      <c r="I227" s="22">
        <v>198</v>
      </c>
    </row>
    <row r="228" spans="1:9" s="21" customFormat="1" ht="12" customHeight="1" x14ac:dyDescent="0.2">
      <c r="B228" s="99"/>
      <c r="C228" s="99" t="s">
        <v>196</v>
      </c>
      <c r="D228" s="28">
        <v>2149</v>
      </c>
      <c r="E228" s="28">
        <v>620</v>
      </c>
      <c r="F228" s="28">
        <v>106</v>
      </c>
      <c r="G228" s="28">
        <v>0</v>
      </c>
      <c r="H228" s="28">
        <v>3</v>
      </c>
      <c r="I228" s="28">
        <v>2878</v>
      </c>
    </row>
    <row r="229" spans="1:9" s="21" customFormat="1" ht="12" customHeight="1" x14ac:dyDescent="0.2">
      <c r="A229" s="363"/>
      <c r="B229" s="363"/>
      <c r="C229" s="363"/>
      <c r="D229" s="363"/>
      <c r="E229" s="363"/>
      <c r="F229" s="363"/>
      <c r="G229" s="363"/>
      <c r="H229" s="363"/>
      <c r="I229" s="363"/>
    </row>
    <row r="230" spans="1:9" s="21" customFormat="1" ht="12" customHeight="1" x14ac:dyDescent="0.2">
      <c r="A230" s="357" t="s">
        <v>197</v>
      </c>
      <c r="B230" s="357"/>
      <c r="C230" s="357"/>
      <c r="D230" s="20">
        <f t="shared" ref="D230:I230" si="11">SUM(D231:D236)</f>
        <v>8236</v>
      </c>
      <c r="E230" s="20">
        <f t="shared" si="11"/>
        <v>3181</v>
      </c>
      <c r="F230" s="20">
        <f t="shared" si="11"/>
        <v>599</v>
      </c>
      <c r="G230" s="20">
        <f t="shared" si="11"/>
        <v>0</v>
      </c>
      <c r="H230" s="20">
        <f t="shared" si="11"/>
        <v>6</v>
      </c>
      <c r="I230" s="20">
        <f t="shared" si="11"/>
        <v>12022</v>
      </c>
    </row>
    <row r="231" spans="1:9" s="21" customFormat="1" ht="12" customHeight="1" x14ac:dyDescent="0.2">
      <c r="B231" s="99"/>
      <c r="C231" s="98" t="s">
        <v>198</v>
      </c>
      <c r="D231" s="22">
        <v>3679</v>
      </c>
      <c r="E231" s="22">
        <v>1925</v>
      </c>
      <c r="F231" s="22">
        <v>333</v>
      </c>
      <c r="G231" s="22">
        <v>0</v>
      </c>
      <c r="H231" s="22">
        <v>1</v>
      </c>
      <c r="I231" s="22">
        <v>5938</v>
      </c>
    </row>
    <row r="232" spans="1:9" s="21" customFormat="1" ht="12" customHeight="1" x14ac:dyDescent="0.2">
      <c r="B232" s="99"/>
      <c r="C232" s="92" t="s">
        <v>199</v>
      </c>
      <c r="D232" s="22">
        <v>1961</v>
      </c>
      <c r="E232" s="22">
        <v>346</v>
      </c>
      <c r="F232" s="22">
        <v>61</v>
      </c>
      <c r="G232" s="22">
        <v>0</v>
      </c>
      <c r="H232" s="22">
        <v>2</v>
      </c>
      <c r="I232" s="22">
        <v>2370</v>
      </c>
    </row>
    <row r="233" spans="1:9" s="21" customFormat="1" ht="12" customHeight="1" x14ac:dyDescent="0.2">
      <c r="B233" s="99"/>
      <c r="C233" s="92" t="s">
        <v>200</v>
      </c>
      <c r="D233" s="22">
        <v>436</v>
      </c>
      <c r="E233" s="22">
        <v>138</v>
      </c>
      <c r="F233" s="22">
        <v>39</v>
      </c>
      <c r="G233" s="22">
        <v>0</v>
      </c>
      <c r="H233" s="22">
        <v>1</v>
      </c>
      <c r="I233" s="22">
        <v>614</v>
      </c>
    </row>
    <row r="234" spans="1:9" s="21" customFormat="1" ht="12" customHeight="1" x14ac:dyDescent="0.2">
      <c r="B234" s="99"/>
      <c r="C234" s="92" t="s">
        <v>201</v>
      </c>
      <c r="D234" s="22">
        <v>428</v>
      </c>
      <c r="E234" s="22">
        <v>79</v>
      </c>
      <c r="F234" s="22">
        <v>30</v>
      </c>
      <c r="G234" s="22">
        <v>0</v>
      </c>
      <c r="H234" s="22">
        <v>1</v>
      </c>
      <c r="I234" s="22">
        <v>538</v>
      </c>
    </row>
    <row r="235" spans="1:9" s="21" customFormat="1" ht="12" customHeight="1" x14ac:dyDescent="0.2">
      <c r="B235" s="99"/>
      <c r="C235" s="92" t="s">
        <v>202</v>
      </c>
      <c r="D235" s="22">
        <v>1132</v>
      </c>
      <c r="E235" s="22">
        <v>364</v>
      </c>
      <c r="F235" s="22">
        <v>83</v>
      </c>
      <c r="G235" s="22">
        <v>0</v>
      </c>
      <c r="H235" s="22">
        <v>0</v>
      </c>
      <c r="I235" s="22">
        <v>1579</v>
      </c>
    </row>
    <row r="236" spans="1:9" s="21" customFormat="1" ht="12" customHeight="1" x14ac:dyDescent="0.2">
      <c r="B236" s="99"/>
      <c r="C236" s="99" t="s">
        <v>203</v>
      </c>
      <c r="D236" s="28">
        <v>600</v>
      </c>
      <c r="E236" s="28">
        <v>329</v>
      </c>
      <c r="F236" s="28">
        <v>53</v>
      </c>
      <c r="G236" s="28">
        <v>0</v>
      </c>
      <c r="H236" s="28">
        <v>1</v>
      </c>
      <c r="I236" s="28">
        <v>983</v>
      </c>
    </row>
    <row r="237" spans="1:9" s="21" customFormat="1" ht="12" customHeight="1" x14ac:dyDescent="0.2">
      <c r="A237" s="363"/>
      <c r="B237" s="363"/>
      <c r="C237" s="363"/>
      <c r="D237" s="363"/>
      <c r="E237" s="363"/>
      <c r="F237" s="363"/>
      <c r="G237" s="363"/>
      <c r="H237" s="363"/>
      <c r="I237" s="363"/>
    </row>
    <row r="238" spans="1:9" s="21" customFormat="1" ht="12" customHeight="1" x14ac:dyDescent="0.2">
      <c r="A238" s="357" t="s">
        <v>204</v>
      </c>
      <c r="B238" s="357"/>
      <c r="C238" s="357"/>
      <c r="D238" s="20">
        <f t="shared" ref="D238:I238" si="12">SUM(D239:D247)</f>
        <v>5205</v>
      </c>
      <c r="E238" s="20">
        <f t="shared" si="12"/>
        <v>305</v>
      </c>
      <c r="F238" s="20">
        <f t="shared" si="12"/>
        <v>149</v>
      </c>
      <c r="G238" s="20">
        <f t="shared" si="12"/>
        <v>0</v>
      </c>
      <c r="H238" s="20">
        <f t="shared" si="12"/>
        <v>1</v>
      </c>
      <c r="I238" s="20">
        <f t="shared" si="12"/>
        <v>5660</v>
      </c>
    </row>
    <row r="239" spans="1:9" s="21" customFormat="1" ht="12" customHeight="1" x14ac:dyDescent="0.2">
      <c r="B239" s="99"/>
      <c r="C239" s="98" t="s">
        <v>205</v>
      </c>
      <c r="D239" s="22">
        <v>1689</v>
      </c>
      <c r="E239" s="22">
        <v>124</v>
      </c>
      <c r="F239" s="22">
        <v>62</v>
      </c>
      <c r="G239" s="22">
        <v>0</v>
      </c>
      <c r="H239" s="22">
        <v>0</v>
      </c>
      <c r="I239" s="22">
        <v>1875</v>
      </c>
    </row>
    <row r="240" spans="1:9" s="21" customFormat="1" ht="12" customHeight="1" x14ac:dyDescent="0.2">
      <c r="B240" s="99"/>
      <c r="C240" s="92" t="s">
        <v>274</v>
      </c>
      <c r="D240" s="22">
        <v>488</v>
      </c>
      <c r="E240" s="22">
        <v>24</v>
      </c>
      <c r="F240" s="22">
        <v>7</v>
      </c>
      <c r="G240" s="22">
        <v>0</v>
      </c>
      <c r="H240" s="22">
        <v>0</v>
      </c>
      <c r="I240" s="22">
        <v>519</v>
      </c>
    </row>
    <row r="241" spans="1:9" s="21" customFormat="1" ht="12" customHeight="1" x14ac:dyDescent="0.2">
      <c r="B241" s="99"/>
      <c r="C241" s="92" t="s">
        <v>275</v>
      </c>
      <c r="D241" s="22">
        <v>78</v>
      </c>
      <c r="E241" s="22">
        <v>0</v>
      </c>
      <c r="F241" s="22">
        <v>1</v>
      </c>
      <c r="G241" s="22">
        <v>0</v>
      </c>
      <c r="H241" s="22">
        <v>0</v>
      </c>
      <c r="I241" s="22">
        <v>79</v>
      </c>
    </row>
    <row r="242" spans="1:9" s="21" customFormat="1" ht="12" customHeight="1" x14ac:dyDescent="0.2">
      <c r="B242" s="99"/>
      <c r="C242" s="92" t="s">
        <v>276</v>
      </c>
      <c r="D242" s="22">
        <v>39</v>
      </c>
      <c r="E242" s="22">
        <v>0</v>
      </c>
      <c r="F242" s="22">
        <v>1</v>
      </c>
      <c r="G242" s="22">
        <v>0</v>
      </c>
      <c r="H242" s="22">
        <v>0</v>
      </c>
      <c r="I242" s="22">
        <v>40</v>
      </c>
    </row>
    <row r="243" spans="1:9" s="21" customFormat="1" ht="12" customHeight="1" x14ac:dyDescent="0.2">
      <c r="B243" s="99"/>
      <c r="C243" s="92" t="s">
        <v>207</v>
      </c>
      <c r="D243" s="22">
        <v>332</v>
      </c>
      <c r="E243" s="22">
        <v>16</v>
      </c>
      <c r="F243" s="22">
        <v>10</v>
      </c>
      <c r="G243" s="22">
        <v>0</v>
      </c>
      <c r="H243" s="22">
        <v>1</v>
      </c>
      <c r="I243" s="22">
        <v>359</v>
      </c>
    </row>
    <row r="244" spans="1:9" s="21" customFormat="1" ht="12" customHeight="1" x14ac:dyDescent="0.2">
      <c r="B244" s="99"/>
      <c r="C244" s="92" t="s">
        <v>208</v>
      </c>
      <c r="D244" s="22">
        <v>1188</v>
      </c>
      <c r="E244" s="22">
        <v>66</v>
      </c>
      <c r="F244" s="22">
        <v>33</v>
      </c>
      <c r="G244" s="22">
        <v>0</v>
      </c>
      <c r="H244" s="22">
        <v>0</v>
      </c>
      <c r="I244" s="22">
        <v>1287</v>
      </c>
    </row>
    <row r="245" spans="1:9" s="21" customFormat="1" ht="12" customHeight="1" x14ac:dyDescent="0.2">
      <c r="B245" s="99"/>
      <c r="C245" s="92" t="s">
        <v>277</v>
      </c>
      <c r="D245" s="22">
        <v>800</v>
      </c>
      <c r="E245" s="22">
        <v>51</v>
      </c>
      <c r="F245" s="22">
        <v>22</v>
      </c>
      <c r="G245" s="22">
        <v>0</v>
      </c>
      <c r="H245" s="22">
        <v>0</v>
      </c>
      <c r="I245" s="22">
        <v>873</v>
      </c>
    </row>
    <row r="246" spans="1:9" s="21" customFormat="1" ht="12" customHeight="1" x14ac:dyDescent="0.2">
      <c r="B246" s="99"/>
      <c r="C246" s="92" t="s">
        <v>209</v>
      </c>
      <c r="D246" s="22">
        <v>329</v>
      </c>
      <c r="E246" s="22">
        <v>6</v>
      </c>
      <c r="F246" s="22">
        <v>5</v>
      </c>
      <c r="G246" s="22">
        <v>0</v>
      </c>
      <c r="H246" s="22">
        <v>0</v>
      </c>
      <c r="I246" s="22">
        <v>340</v>
      </c>
    </row>
    <row r="247" spans="1:9" s="21" customFormat="1" ht="12" customHeight="1" x14ac:dyDescent="0.2">
      <c r="B247" s="99"/>
      <c r="C247" s="99" t="s">
        <v>278</v>
      </c>
      <c r="D247" s="28">
        <v>262</v>
      </c>
      <c r="E247" s="28">
        <v>18</v>
      </c>
      <c r="F247" s="28">
        <v>8</v>
      </c>
      <c r="G247" s="28">
        <v>0</v>
      </c>
      <c r="H247" s="28">
        <v>0</v>
      </c>
      <c r="I247" s="28">
        <v>288</v>
      </c>
    </row>
    <row r="248" spans="1:9" s="21" customFormat="1" ht="12" customHeight="1" x14ac:dyDescent="0.2">
      <c r="A248" s="363"/>
      <c r="B248" s="363"/>
      <c r="C248" s="363"/>
      <c r="D248" s="363"/>
      <c r="E248" s="363"/>
      <c r="F248" s="363"/>
      <c r="G248" s="363"/>
      <c r="H248" s="363"/>
      <c r="I248" s="363"/>
    </row>
    <row r="249" spans="1:9" s="21" customFormat="1" ht="12" customHeight="1" x14ac:dyDescent="0.2">
      <c r="A249" s="357" t="s">
        <v>210</v>
      </c>
      <c r="B249" s="357"/>
      <c r="C249" s="357"/>
      <c r="D249" s="20">
        <f t="shared" ref="D249:I249" si="13">SUM(D250:D270)</f>
        <v>7106</v>
      </c>
      <c r="E249" s="20">
        <f t="shared" si="13"/>
        <v>1964</v>
      </c>
      <c r="F249" s="20">
        <f t="shared" si="13"/>
        <v>1098</v>
      </c>
      <c r="G249" s="20">
        <f t="shared" si="13"/>
        <v>0</v>
      </c>
      <c r="H249" s="20">
        <f t="shared" si="13"/>
        <v>5</v>
      </c>
      <c r="I249" s="20">
        <f t="shared" si="13"/>
        <v>10173</v>
      </c>
    </row>
    <row r="250" spans="1:9" s="21" customFormat="1" ht="12" customHeight="1" x14ac:dyDescent="0.2">
      <c r="B250" s="99"/>
      <c r="C250" s="98" t="s">
        <v>211</v>
      </c>
      <c r="D250" s="22">
        <v>1250</v>
      </c>
      <c r="E250" s="22">
        <v>256</v>
      </c>
      <c r="F250" s="22">
        <v>119</v>
      </c>
      <c r="G250" s="22">
        <v>0</v>
      </c>
      <c r="H250" s="22">
        <v>3</v>
      </c>
      <c r="I250" s="22">
        <v>1628</v>
      </c>
    </row>
    <row r="251" spans="1:9" s="21" customFormat="1" ht="12" customHeight="1" x14ac:dyDescent="0.2">
      <c r="B251" s="99"/>
      <c r="C251" s="92" t="s">
        <v>212</v>
      </c>
      <c r="D251" s="22">
        <v>83</v>
      </c>
      <c r="E251" s="22">
        <v>21</v>
      </c>
      <c r="F251" s="22">
        <v>0</v>
      </c>
      <c r="G251" s="22">
        <v>0</v>
      </c>
      <c r="H251" s="22">
        <v>0</v>
      </c>
      <c r="I251" s="22">
        <v>104</v>
      </c>
    </row>
    <row r="252" spans="1:9" s="21" customFormat="1" ht="12" customHeight="1" x14ac:dyDescent="0.2">
      <c r="B252" s="99"/>
      <c r="C252" s="92" t="s">
        <v>213</v>
      </c>
      <c r="D252" s="22">
        <v>63</v>
      </c>
      <c r="E252" s="22">
        <v>3</v>
      </c>
      <c r="F252" s="22">
        <v>5</v>
      </c>
      <c r="G252" s="22">
        <v>0</v>
      </c>
      <c r="H252" s="22">
        <v>0</v>
      </c>
      <c r="I252" s="22">
        <v>71</v>
      </c>
    </row>
    <row r="253" spans="1:9" s="21" customFormat="1" ht="12" customHeight="1" x14ac:dyDescent="0.2">
      <c r="B253" s="99"/>
      <c r="C253" s="92" t="s">
        <v>214</v>
      </c>
      <c r="D253" s="22">
        <v>611</v>
      </c>
      <c r="E253" s="22">
        <v>322</v>
      </c>
      <c r="F253" s="22">
        <v>150</v>
      </c>
      <c r="G253" s="22">
        <v>0</v>
      </c>
      <c r="H253" s="22">
        <v>0</v>
      </c>
      <c r="I253" s="22">
        <v>1083</v>
      </c>
    </row>
    <row r="254" spans="1:9" s="21" customFormat="1" ht="12" customHeight="1" x14ac:dyDescent="0.2">
      <c r="B254" s="99"/>
      <c r="C254" s="92" t="s">
        <v>279</v>
      </c>
      <c r="D254" s="22">
        <v>44</v>
      </c>
      <c r="E254" s="22">
        <v>11</v>
      </c>
      <c r="F254" s="22">
        <v>2</v>
      </c>
      <c r="G254" s="22">
        <v>0</v>
      </c>
      <c r="H254" s="22">
        <v>0</v>
      </c>
      <c r="I254" s="22">
        <v>57</v>
      </c>
    </row>
    <row r="255" spans="1:9" s="21" customFormat="1" ht="12" customHeight="1" x14ac:dyDescent="0.2">
      <c r="B255" s="99"/>
      <c r="C255" s="92" t="s">
        <v>215</v>
      </c>
      <c r="D255" s="22">
        <v>32</v>
      </c>
      <c r="E255" s="22">
        <v>0</v>
      </c>
      <c r="F255" s="22">
        <v>3</v>
      </c>
      <c r="G255" s="22">
        <v>0</v>
      </c>
      <c r="H255" s="22">
        <v>0</v>
      </c>
      <c r="I255" s="22">
        <v>35</v>
      </c>
    </row>
    <row r="256" spans="1:9" s="21" customFormat="1" ht="12" customHeight="1" x14ac:dyDescent="0.2">
      <c r="B256" s="99"/>
      <c r="C256" s="92" t="s">
        <v>216</v>
      </c>
      <c r="D256" s="22">
        <v>58</v>
      </c>
      <c r="E256" s="22">
        <v>0</v>
      </c>
      <c r="F256" s="22">
        <v>1</v>
      </c>
      <c r="G256" s="22">
        <v>0</v>
      </c>
      <c r="H256" s="22">
        <v>0</v>
      </c>
      <c r="I256" s="22">
        <v>59</v>
      </c>
    </row>
    <row r="257" spans="1:9" s="21" customFormat="1" ht="12" customHeight="1" x14ac:dyDescent="0.2">
      <c r="B257" s="99"/>
      <c r="C257" s="92" t="s">
        <v>217</v>
      </c>
      <c r="D257" s="22">
        <v>84</v>
      </c>
      <c r="E257" s="22">
        <v>8</v>
      </c>
      <c r="F257" s="22">
        <v>1</v>
      </c>
      <c r="G257" s="22">
        <v>0</v>
      </c>
      <c r="H257" s="22">
        <v>0</v>
      </c>
      <c r="I257" s="22">
        <v>93</v>
      </c>
    </row>
    <row r="258" spans="1:9" s="21" customFormat="1" ht="12" customHeight="1" x14ac:dyDescent="0.2">
      <c r="B258" s="99"/>
      <c r="C258" s="92" t="s">
        <v>280</v>
      </c>
      <c r="D258" s="22">
        <v>310</v>
      </c>
      <c r="E258" s="22">
        <v>51</v>
      </c>
      <c r="F258" s="22">
        <v>19</v>
      </c>
      <c r="G258" s="22">
        <v>0</v>
      </c>
      <c r="H258" s="22">
        <v>0</v>
      </c>
      <c r="I258" s="22">
        <v>380</v>
      </c>
    </row>
    <row r="259" spans="1:9" s="21" customFormat="1" ht="12" customHeight="1" x14ac:dyDescent="0.2">
      <c r="B259" s="99"/>
      <c r="C259" s="92" t="s">
        <v>218</v>
      </c>
      <c r="D259" s="22">
        <v>384</v>
      </c>
      <c r="E259" s="22">
        <v>14</v>
      </c>
      <c r="F259" s="22">
        <v>4</v>
      </c>
      <c r="G259" s="22">
        <v>0</v>
      </c>
      <c r="H259" s="22">
        <v>0</v>
      </c>
      <c r="I259" s="22">
        <v>402</v>
      </c>
    </row>
    <row r="260" spans="1:9" s="21" customFormat="1" ht="12" customHeight="1" x14ac:dyDescent="0.2">
      <c r="B260" s="99"/>
      <c r="C260" s="92" t="s">
        <v>219</v>
      </c>
      <c r="D260" s="22">
        <v>144</v>
      </c>
      <c r="E260" s="22">
        <v>20</v>
      </c>
      <c r="F260" s="22">
        <v>1</v>
      </c>
      <c r="G260" s="22">
        <v>0</v>
      </c>
      <c r="H260" s="22">
        <v>0</v>
      </c>
      <c r="I260" s="22">
        <v>165</v>
      </c>
    </row>
    <row r="261" spans="1:9" s="21" customFormat="1" ht="12" customHeight="1" x14ac:dyDescent="0.2">
      <c r="B261" s="99"/>
      <c r="C261" s="92" t="s">
        <v>220</v>
      </c>
      <c r="D261" s="22">
        <v>955</v>
      </c>
      <c r="E261" s="22">
        <v>449</v>
      </c>
      <c r="F261" s="22">
        <v>123</v>
      </c>
      <c r="G261" s="22">
        <v>0</v>
      </c>
      <c r="H261" s="22">
        <v>0</v>
      </c>
      <c r="I261" s="22">
        <v>1527</v>
      </c>
    </row>
    <row r="262" spans="1:9" s="21" customFormat="1" ht="12" customHeight="1" x14ac:dyDescent="0.2">
      <c r="B262" s="99"/>
      <c r="C262" s="92" t="s">
        <v>221</v>
      </c>
      <c r="D262" s="22">
        <v>701</v>
      </c>
      <c r="E262" s="22">
        <v>190</v>
      </c>
      <c r="F262" s="22">
        <v>48</v>
      </c>
      <c r="G262" s="22">
        <v>0</v>
      </c>
      <c r="H262" s="22">
        <v>1</v>
      </c>
      <c r="I262" s="22">
        <v>940</v>
      </c>
    </row>
    <row r="263" spans="1:9" s="21" customFormat="1" ht="12" customHeight="1" x14ac:dyDescent="0.2">
      <c r="B263" s="99"/>
      <c r="C263" s="92" t="s">
        <v>222</v>
      </c>
      <c r="D263" s="22">
        <v>217</v>
      </c>
      <c r="E263" s="22">
        <v>58</v>
      </c>
      <c r="F263" s="22">
        <v>176</v>
      </c>
      <c r="G263" s="22">
        <v>0</v>
      </c>
      <c r="H263" s="22">
        <v>0</v>
      </c>
      <c r="I263" s="22">
        <v>451</v>
      </c>
    </row>
    <row r="264" spans="1:9" s="21" customFormat="1" ht="12" customHeight="1" x14ac:dyDescent="0.2">
      <c r="B264" s="99"/>
      <c r="C264" s="92" t="s">
        <v>223</v>
      </c>
      <c r="D264" s="22">
        <v>107</v>
      </c>
      <c r="E264" s="22">
        <v>6</v>
      </c>
      <c r="F264" s="22">
        <v>3</v>
      </c>
      <c r="G264" s="22">
        <v>0</v>
      </c>
      <c r="H264" s="22">
        <v>0</v>
      </c>
      <c r="I264" s="22">
        <v>116</v>
      </c>
    </row>
    <row r="265" spans="1:9" s="21" customFormat="1" ht="12" customHeight="1" x14ac:dyDescent="0.2">
      <c r="B265" s="99"/>
      <c r="C265" s="92" t="s">
        <v>224</v>
      </c>
      <c r="D265" s="22">
        <v>291</v>
      </c>
      <c r="E265" s="22">
        <v>46</v>
      </c>
      <c r="F265" s="22">
        <v>17</v>
      </c>
      <c r="G265" s="22">
        <v>0</v>
      </c>
      <c r="H265" s="22">
        <v>0</v>
      </c>
      <c r="I265" s="22">
        <v>354</v>
      </c>
    </row>
    <row r="266" spans="1:9" s="21" customFormat="1" ht="12" customHeight="1" x14ac:dyDescent="0.2">
      <c r="B266" s="99"/>
      <c r="C266" s="92" t="s">
        <v>225</v>
      </c>
      <c r="D266" s="22">
        <v>455</v>
      </c>
      <c r="E266" s="22">
        <v>246</v>
      </c>
      <c r="F266" s="22">
        <v>349</v>
      </c>
      <c r="G266" s="22">
        <v>0</v>
      </c>
      <c r="H266" s="22">
        <v>1</v>
      </c>
      <c r="I266" s="22">
        <v>1051</v>
      </c>
    </row>
    <row r="267" spans="1:9" s="21" customFormat="1" ht="12" customHeight="1" x14ac:dyDescent="0.2">
      <c r="B267" s="99"/>
      <c r="C267" s="92" t="s">
        <v>226</v>
      </c>
      <c r="D267" s="22">
        <v>330</v>
      </c>
      <c r="E267" s="22">
        <v>70</v>
      </c>
      <c r="F267" s="22">
        <v>33</v>
      </c>
      <c r="G267" s="22">
        <v>0</v>
      </c>
      <c r="H267" s="22">
        <v>0</v>
      </c>
      <c r="I267" s="22">
        <v>433</v>
      </c>
    </row>
    <row r="268" spans="1:9" s="21" customFormat="1" ht="12" customHeight="1" x14ac:dyDescent="0.2">
      <c r="B268" s="99"/>
      <c r="C268" s="92" t="s">
        <v>227</v>
      </c>
      <c r="D268" s="22">
        <v>849</v>
      </c>
      <c r="E268" s="22">
        <v>192</v>
      </c>
      <c r="F268" s="22">
        <v>44</v>
      </c>
      <c r="G268" s="22">
        <v>0</v>
      </c>
      <c r="H268" s="22">
        <v>0</v>
      </c>
      <c r="I268" s="22">
        <v>1085</v>
      </c>
    </row>
    <row r="269" spans="1:9" s="21" customFormat="1" ht="12" customHeight="1" x14ac:dyDescent="0.2">
      <c r="B269" s="99"/>
      <c r="C269" s="92" t="s">
        <v>281</v>
      </c>
      <c r="D269" s="22">
        <v>61</v>
      </c>
      <c r="E269" s="22">
        <v>1</v>
      </c>
      <c r="F269" s="22">
        <v>0</v>
      </c>
      <c r="G269" s="22">
        <v>0</v>
      </c>
      <c r="H269" s="22">
        <v>0</v>
      </c>
      <c r="I269" s="22">
        <v>62</v>
      </c>
    </row>
    <row r="270" spans="1:9" s="21" customFormat="1" ht="12" customHeight="1" x14ac:dyDescent="0.2">
      <c r="B270" s="99"/>
      <c r="C270" s="99" t="s">
        <v>228</v>
      </c>
      <c r="D270" s="28">
        <v>77</v>
      </c>
      <c r="E270" s="28">
        <v>0</v>
      </c>
      <c r="F270" s="28">
        <v>0</v>
      </c>
      <c r="G270" s="28">
        <v>0</v>
      </c>
      <c r="H270" s="28">
        <v>0</v>
      </c>
      <c r="I270" s="28">
        <v>77</v>
      </c>
    </row>
    <row r="271" spans="1:9" s="21" customFormat="1" ht="12" customHeight="1" x14ac:dyDescent="0.2">
      <c r="A271" s="364"/>
      <c r="B271" s="364"/>
      <c r="C271" s="364"/>
      <c r="D271" s="364"/>
      <c r="E271" s="364"/>
      <c r="F271" s="364"/>
      <c r="G271" s="364"/>
      <c r="H271" s="364"/>
      <c r="I271" s="364"/>
    </row>
    <row r="272" spans="1:9" s="21" customFormat="1" ht="12" customHeight="1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</row>
    <row r="273" spans="1:9" s="21" customFormat="1" ht="12" customHeight="1" x14ac:dyDescent="0.2">
      <c r="A273" s="357" t="s">
        <v>282</v>
      </c>
      <c r="B273" s="357"/>
      <c r="C273" s="357"/>
      <c r="D273" s="357"/>
      <c r="E273" s="357"/>
      <c r="F273" s="357"/>
      <c r="G273" s="357"/>
      <c r="H273" s="357"/>
      <c r="I273" s="357"/>
    </row>
    <row r="274" spans="1:9" s="21" customFormat="1" ht="12" customHeight="1" x14ac:dyDescent="0.2">
      <c r="B274" s="99"/>
      <c r="C274" s="98" t="s">
        <v>230</v>
      </c>
      <c r="D274" s="22">
        <f t="shared" ref="D274:I274" si="14">SUM(D58:D81)</f>
        <v>37659</v>
      </c>
      <c r="E274" s="22">
        <f t="shared" si="14"/>
        <v>7300</v>
      </c>
      <c r="F274" s="22">
        <f t="shared" si="14"/>
        <v>2365</v>
      </c>
      <c r="G274" s="22">
        <f t="shared" si="14"/>
        <v>215</v>
      </c>
      <c r="H274" s="22">
        <f t="shared" si="14"/>
        <v>14</v>
      </c>
      <c r="I274" s="22">
        <f t="shared" si="14"/>
        <v>47553</v>
      </c>
    </row>
    <row r="275" spans="1:9" s="21" customFormat="1" ht="12" customHeight="1" x14ac:dyDescent="0.2">
      <c r="B275" s="99"/>
      <c r="C275" s="92" t="s">
        <v>231</v>
      </c>
      <c r="D275" s="22">
        <f t="shared" ref="D275:I275" si="15">SUM(D84:D153)</f>
        <v>98328</v>
      </c>
      <c r="E275" s="22">
        <f t="shared" si="15"/>
        <v>27367</v>
      </c>
      <c r="F275" s="22">
        <f t="shared" si="15"/>
        <v>9202</v>
      </c>
      <c r="G275" s="22">
        <f t="shared" si="15"/>
        <v>34</v>
      </c>
      <c r="H275" s="22">
        <f t="shared" si="15"/>
        <v>58</v>
      </c>
      <c r="I275" s="22">
        <f t="shared" si="15"/>
        <v>134989</v>
      </c>
    </row>
    <row r="276" spans="1:9" s="21" customFormat="1" ht="12" customHeight="1" x14ac:dyDescent="0.2">
      <c r="B276" s="99"/>
      <c r="C276" s="92" t="s">
        <v>232</v>
      </c>
      <c r="D276" s="22">
        <f t="shared" ref="D276:I276" si="16">SUM(D156:D195)</f>
        <v>45866</v>
      </c>
      <c r="E276" s="22">
        <f t="shared" si="16"/>
        <v>11139</v>
      </c>
      <c r="F276" s="22">
        <f t="shared" si="16"/>
        <v>2914</v>
      </c>
      <c r="G276" s="22">
        <f t="shared" si="16"/>
        <v>0</v>
      </c>
      <c r="H276" s="22">
        <f t="shared" si="16"/>
        <v>16</v>
      </c>
      <c r="I276" s="22">
        <f t="shared" si="16"/>
        <v>59935</v>
      </c>
    </row>
    <row r="277" spans="1:9" s="21" customFormat="1" ht="12" customHeight="1" x14ac:dyDescent="0.2">
      <c r="B277" s="99"/>
      <c r="C277" s="92" t="s">
        <v>233</v>
      </c>
      <c r="D277" s="22">
        <f t="shared" ref="D277:I277" si="17">SUM(D198:D208)</f>
        <v>5202</v>
      </c>
      <c r="E277" s="22">
        <f t="shared" si="17"/>
        <v>453</v>
      </c>
      <c r="F277" s="22">
        <f t="shared" si="17"/>
        <v>147</v>
      </c>
      <c r="G277" s="22">
        <f t="shared" si="17"/>
        <v>0</v>
      </c>
      <c r="H277" s="22">
        <f t="shared" si="17"/>
        <v>0</v>
      </c>
      <c r="I277" s="22">
        <f t="shared" si="17"/>
        <v>5802</v>
      </c>
    </row>
    <row r="278" spans="1:9" s="21" customFormat="1" ht="12" customHeight="1" x14ac:dyDescent="0.2">
      <c r="B278" s="99"/>
      <c r="C278" s="92" t="s">
        <v>234</v>
      </c>
      <c r="D278" s="22">
        <f t="shared" ref="D278:I278" si="18">SUM(D211:D228)</f>
        <v>33763</v>
      </c>
      <c r="E278" s="22">
        <f t="shared" si="18"/>
        <v>10231</v>
      </c>
      <c r="F278" s="22">
        <f t="shared" si="18"/>
        <v>2117</v>
      </c>
      <c r="G278" s="22">
        <f t="shared" si="18"/>
        <v>1</v>
      </c>
      <c r="H278" s="22">
        <f t="shared" si="18"/>
        <v>30</v>
      </c>
      <c r="I278" s="22">
        <f t="shared" si="18"/>
        <v>46142</v>
      </c>
    </row>
    <row r="279" spans="1:9" s="21" customFormat="1" ht="12" customHeight="1" x14ac:dyDescent="0.2">
      <c r="B279" s="99"/>
      <c r="C279" s="92" t="s">
        <v>235</v>
      </c>
      <c r="D279" s="22">
        <f t="shared" ref="D279:I279" si="19">SUM(D231:D236)</f>
        <v>8236</v>
      </c>
      <c r="E279" s="22">
        <f t="shared" si="19"/>
        <v>3181</v>
      </c>
      <c r="F279" s="22">
        <f t="shared" si="19"/>
        <v>599</v>
      </c>
      <c r="G279" s="22">
        <f t="shared" si="19"/>
        <v>0</v>
      </c>
      <c r="H279" s="22">
        <f t="shared" si="19"/>
        <v>6</v>
      </c>
      <c r="I279" s="22">
        <f t="shared" si="19"/>
        <v>12022</v>
      </c>
    </row>
    <row r="280" spans="1:9" s="21" customFormat="1" ht="12" customHeight="1" x14ac:dyDescent="0.2">
      <c r="B280" s="99"/>
      <c r="C280" s="92" t="s">
        <v>236</v>
      </c>
      <c r="D280" s="22">
        <f t="shared" ref="D280:I280" si="20">SUM(D239:D247)</f>
        <v>5205</v>
      </c>
      <c r="E280" s="22">
        <f t="shared" si="20"/>
        <v>305</v>
      </c>
      <c r="F280" s="22">
        <f t="shared" si="20"/>
        <v>149</v>
      </c>
      <c r="G280" s="22">
        <f t="shared" si="20"/>
        <v>0</v>
      </c>
      <c r="H280" s="22">
        <f t="shared" si="20"/>
        <v>1</v>
      </c>
      <c r="I280" s="22">
        <f t="shared" si="20"/>
        <v>5660</v>
      </c>
    </row>
    <row r="281" spans="1:9" s="21" customFormat="1" ht="12" customHeight="1" x14ac:dyDescent="0.2">
      <c r="B281" s="99"/>
      <c r="C281" s="92" t="s">
        <v>237</v>
      </c>
      <c r="D281" s="22">
        <f t="shared" ref="D281:I281" si="21">SUM(D250:D270)</f>
        <v>7106</v>
      </c>
      <c r="E281" s="22">
        <f t="shared" si="21"/>
        <v>1964</v>
      </c>
      <c r="F281" s="22">
        <f t="shared" si="21"/>
        <v>1098</v>
      </c>
      <c r="G281" s="22">
        <f t="shared" si="21"/>
        <v>0</v>
      </c>
      <c r="H281" s="22">
        <f t="shared" si="21"/>
        <v>5</v>
      </c>
      <c r="I281" s="22">
        <f t="shared" si="21"/>
        <v>10173</v>
      </c>
    </row>
    <row r="282" spans="1:9" s="21" customFormat="1" ht="12" customHeight="1" x14ac:dyDescent="0.2">
      <c r="B282" s="99"/>
      <c r="C282" s="102" t="s">
        <v>271</v>
      </c>
      <c r="D282" s="43">
        <f t="shared" ref="D282:I282" si="22">SUM(D274:D281)</f>
        <v>241365</v>
      </c>
      <c r="E282" s="43">
        <f t="shared" si="22"/>
        <v>61940</v>
      </c>
      <c r="F282" s="43">
        <f t="shared" si="22"/>
        <v>18591</v>
      </c>
      <c r="G282" s="43">
        <f t="shared" si="22"/>
        <v>250</v>
      </c>
      <c r="H282" s="43">
        <f t="shared" si="22"/>
        <v>130</v>
      </c>
      <c r="I282" s="43">
        <f t="shared" si="22"/>
        <v>322276</v>
      </c>
    </row>
    <row r="283" spans="1:9" s="21" customFormat="1" ht="12" customHeight="1" x14ac:dyDescent="0.2">
      <c r="A283" s="364"/>
      <c r="B283" s="364"/>
      <c r="C283" s="364"/>
      <c r="D283" s="364"/>
      <c r="E283" s="364"/>
      <c r="F283" s="364"/>
      <c r="G283" s="364"/>
      <c r="H283" s="364"/>
      <c r="I283" s="364"/>
    </row>
    <row r="284" spans="1:9" s="21" customFormat="1" ht="12" customHeight="1" x14ac:dyDescent="0.2">
      <c r="A284" s="357" t="s">
        <v>364</v>
      </c>
      <c r="B284" s="357"/>
      <c r="C284" s="357"/>
      <c r="D284" s="357"/>
      <c r="E284" s="357"/>
      <c r="F284" s="357"/>
      <c r="G284" s="357"/>
      <c r="H284" s="357"/>
      <c r="I284" s="357"/>
    </row>
    <row r="285" spans="1:9" s="21" customFormat="1" ht="12" customHeight="1" x14ac:dyDescent="0.2">
      <c r="B285" s="99"/>
      <c r="C285" s="98" t="s">
        <v>234</v>
      </c>
      <c r="D285" s="22">
        <f t="shared" ref="D285:I285" si="23">D211+D212+D213+D214+D215+D216+D217+D218+D220+D223+D224+D226+D228+D232+D163+D225</f>
        <v>35392</v>
      </c>
      <c r="E285" s="22">
        <f t="shared" si="23"/>
        <v>10654</v>
      </c>
      <c r="F285" s="22">
        <f t="shared" si="23"/>
        <v>2188</v>
      </c>
      <c r="G285" s="22">
        <f t="shared" si="23"/>
        <v>1</v>
      </c>
      <c r="H285" s="22">
        <f t="shared" si="23"/>
        <v>32</v>
      </c>
      <c r="I285" s="22">
        <f t="shared" si="23"/>
        <v>48267</v>
      </c>
    </row>
    <row r="286" spans="1:9" s="21" customFormat="1" ht="12" customHeight="1" x14ac:dyDescent="0.2">
      <c r="B286" s="99"/>
      <c r="C286" s="92" t="s">
        <v>238</v>
      </c>
      <c r="D286" s="22">
        <f t="shared" ref="D286:I286" si="24">D58+D59+D60+D64+D65+D66+D67+D68+D69+D70+D72+D73+D75+D76+D77+D78+D79+D80+D81+D97</f>
        <v>36888</v>
      </c>
      <c r="E286" s="22">
        <f t="shared" si="24"/>
        <v>7278</v>
      </c>
      <c r="F286" s="22">
        <f t="shared" si="24"/>
        <v>2353</v>
      </c>
      <c r="G286" s="22">
        <f t="shared" si="24"/>
        <v>215</v>
      </c>
      <c r="H286" s="22">
        <f t="shared" si="24"/>
        <v>14</v>
      </c>
      <c r="I286" s="22">
        <f t="shared" si="24"/>
        <v>46748</v>
      </c>
    </row>
    <row r="287" spans="1:9" s="21" customFormat="1" ht="12" customHeight="1" x14ac:dyDescent="0.2">
      <c r="B287" s="99"/>
      <c r="C287" s="92" t="s">
        <v>232</v>
      </c>
      <c r="D287" s="22">
        <f t="shared" ref="D287:I287" si="25">D156+D159+D162+D165+D169+D175+D176+D179+D181+D183+D186+D190+D191+D193+D198+D205+D208+D168+D172+D174+D177</f>
        <v>43295</v>
      </c>
      <c r="E287" s="22">
        <f t="shared" si="25"/>
        <v>10728</v>
      </c>
      <c r="F287" s="22">
        <f t="shared" si="25"/>
        <v>2718</v>
      </c>
      <c r="G287" s="22">
        <f t="shared" si="25"/>
        <v>0</v>
      </c>
      <c r="H287" s="22">
        <f t="shared" si="25"/>
        <v>16</v>
      </c>
      <c r="I287" s="22">
        <f t="shared" si="25"/>
        <v>56757</v>
      </c>
    </row>
    <row r="288" spans="1:9" s="21" customFormat="1" ht="12" customHeight="1" x14ac:dyDescent="0.2">
      <c r="B288" s="99"/>
      <c r="C288" s="92" t="s">
        <v>231</v>
      </c>
      <c r="D288" s="22">
        <f t="shared" ref="D288:I288" si="26">+D84+D85+D86+D89+D90+D91+D95+D93+D99+D98+D103+D100+D105+D102+D106+D104+D107+D113+D111+D110+D114+D115+D116+D117+D118+D119+D120+D122+D121+D123+D124+D126+D125+D128+D127+D131+D133+D132+D135+D134+D136+D137+D138+D139+D140+D142+D143+D146+D145+D147+D148+D150+D151+D152+D153</f>
        <v>91736</v>
      </c>
      <c r="E288" s="22">
        <f t="shared" si="26"/>
        <v>26549</v>
      </c>
      <c r="F288" s="22">
        <f t="shared" si="26"/>
        <v>8977</v>
      </c>
      <c r="G288" s="22">
        <f t="shared" si="26"/>
        <v>34</v>
      </c>
      <c r="H288" s="22">
        <f t="shared" si="26"/>
        <v>55</v>
      </c>
      <c r="I288" s="22">
        <f t="shared" si="26"/>
        <v>127351</v>
      </c>
    </row>
    <row r="289" spans="1:10" s="21" customFormat="1" ht="12" customHeight="1" x14ac:dyDescent="0.2">
      <c r="B289" s="99"/>
      <c r="C289" s="102" t="s">
        <v>283</v>
      </c>
      <c r="D289" s="43">
        <f t="shared" ref="D289:I289" si="27">SUM(D285:D288)</f>
        <v>207311</v>
      </c>
      <c r="E289" s="43">
        <f t="shared" si="27"/>
        <v>55209</v>
      </c>
      <c r="F289" s="43">
        <f t="shared" si="27"/>
        <v>16236</v>
      </c>
      <c r="G289" s="43">
        <f t="shared" si="27"/>
        <v>250</v>
      </c>
      <c r="H289" s="43">
        <f t="shared" si="27"/>
        <v>117</v>
      </c>
      <c r="I289" s="43">
        <f t="shared" si="27"/>
        <v>279123</v>
      </c>
    </row>
    <row r="292" spans="1:10" s="54" customFormat="1" ht="5.25" x14ac:dyDescent="0.15">
      <c r="A292" s="317"/>
      <c r="B292" s="317"/>
      <c r="C292" s="317"/>
      <c r="D292" s="317"/>
      <c r="E292" s="317"/>
      <c r="F292" s="317"/>
      <c r="G292" s="317"/>
      <c r="H292" s="317"/>
      <c r="I292" s="317"/>
    </row>
    <row r="293" spans="1:10" s="34" customFormat="1" ht="12" customHeight="1" x14ac:dyDescent="0.2">
      <c r="A293" s="286" t="s">
        <v>363</v>
      </c>
      <c r="B293" s="286"/>
      <c r="C293" s="286"/>
      <c r="D293" s="286"/>
      <c r="E293" s="286"/>
      <c r="F293" s="286"/>
      <c r="G293" s="286"/>
      <c r="H293" s="286"/>
      <c r="I293" s="286"/>
    </row>
    <row r="294" spans="1:10" s="54" customFormat="1" ht="5.25" x14ac:dyDescent="0.15">
      <c r="A294" s="317"/>
      <c r="B294" s="317"/>
      <c r="C294" s="317"/>
      <c r="D294" s="317"/>
      <c r="E294" s="317"/>
      <c r="F294" s="317"/>
      <c r="G294" s="317"/>
      <c r="H294" s="317"/>
      <c r="I294" s="317"/>
    </row>
    <row r="295" spans="1:10" s="34" customFormat="1" ht="22.5" customHeight="1" x14ac:dyDescent="0.15">
      <c r="A295" s="366" t="s">
        <v>284</v>
      </c>
      <c r="B295" s="366"/>
      <c r="C295" s="366"/>
      <c r="D295" s="366"/>
      <c r="E295" s="366"/>
      <c r="F295" s="366"/>
      <c r="G295" s="366"/>
      <c r="H295" s="366"/>
      <c r="I295" s="366"/>
    </row>
    <row r="296" spans="1:10" s="54" customFormat="1" ht="5.25" customHeight="1" x14ac:dyDescent="0.15">
      <c r="A296" s="365"/>
      <c r="B296" s="365"/>
      <c r="C296" s="365"/>
      <c r="D296" s="365"/>
      <c r="E296" s="365"/>
      <c r="F296" s="365"/>
      <c r="G296" s="365"/>
      <c r="H296" s="365"/>
      <c r="I296" s="365"/>
    </row>
    <row r="297" spans="1:10" s="36" customFormat="1" ht="11.25" customHeight="1" x14ac:dyDescent="0.2">
      <c r="A297" s="286" t="s">
        <v>351</v>
      </c>
      <c r="B297" s="286"/>
      <c r="C297" s="286"/>
      <c r="D297" s="286"/>
      <c r="E297" s="286"/>
      <c r="F297" s="286"/>
      <c r="G297" s="286"/>
      <c r="H297" s="286"/>
      <c r="I297" s="286"/>
      <c r="J297" s="286"/>
    </row>
    <row r="298" spans="1:10" s="36" customFormat="1" ht="11.25" customHeight="1" x14ac:dyDescent="0.2">
      <c r="A298" s="286" t="s">
        <v>352</v>
      </c>
      <c r="B298" s="286"/>
      <c r="C298" s="286"/>
      <c r="D298" s="286"/>
      <c r="E298" s="286"/>
      <c r="F298" s="286"/>
      <c r="G298" s="286"/>
      <c r="H298" s="286"/>
      <c r="I298" s="286"/>
      <c r="J298" s="286"/>
    </row>
  </sheetData>
  <mergeCells count="61">
    <mergeCell ref="A298:J298"/>
    <mergeCell ref="A296:I296"/>
    <mergeCell ref="A283:I283"/>
    <mergeCell ref="A284:I284"/>
    <mergeCell ref="A295:I295"/>
    <mergeCell ref="A297:J297"/>
    <mergeCell ref="A294:I294"/>
    <mergeCell ref="A292:I292"/>
    <mergeCell ref="A293:I293"/>
    <mergeCell ref="A249:C249"/>
    <mergeCell ref="A271:I271"/>
    <mergeCell ref="A272:I272"/>
    <mergeCell ref="A273:I273"/>
    <mergeCell ref="A230:C230"/>
    <mergeCell ref="A237:I237"/>
    <mergeCell ref="A238:C238"/>
    <mergeCell ref="A248:I248"/>
    <mergeCell ref="A197:C197"/>
    <mergeCell ref="A209:I209"/>
    <mergeCell ref="A210:C210"/>
    <mergeCell ref="A229:I229"/>
    <mergeCell ref="A83:C83"/>
    <mergeCell ref="A154:I154"/>
    <mergeCell ref="A155:C155"/>
    <mergeCell ref="A196:I196"/>
    <mergeCell ref="A55:I55"/>
    <mergeCell ref="A56:C56"/>
    <mergeCell ref="A57:C57"/>
    <mergeCell ref="A82:I82"/>
    <mergeCell ref="A51:C51"/>
    <mergeCell ref="B52:C52"/>
    <mergeCell ref="B53:C53"/>
    <mergeCell ref="B54:C54"/>
    <mergeCell ref="A50:I50"/>
    <mergeCell ref="B37:C37"/>
    <mergeCell ref="B38:C38"/>
    <mergeCell ref="A39:I39"/>
    <mergeCell ref="A40:C40"/>
    <mergeCell ref="A20:I20"/>
    <mergeCell ref="A21:C21"/>
    <mergeCell ref="B41:C41"/>
    <mergeCell ref="B42:C42"/>
    <mergeCell ref="B46:C46"/>
    <mergeCell ref="A36:C36"/>
    <mergeCell ref="B22:C22"/>
    <mergeCell ref="B23:C23"/>
    <mergeCell ref="B24:C24"/>
    <mergeCell ref="B27:C27"/>
    <mergeCell ref="B30:C30"/>
    <mergeCell ref="B31:C31"/>
    <mergeCell ref="A35:I35"/>
    <mergeCell ref="A1:I1"/>
    <mergeCell ref="A2:I2"/>
    <mergeCell ref="A3:I3"/>
    <mergeCell ref="A4:I4"/>
    <mergeCell ref="B15:C15"/>
    <mergeCell ref="B19:C19"/>
    <mergeCell ref="D5:I5"/>
    <mergeCell ref="D6:I6"/>
    <mergeCell ref="A10:C10"/>
    <mergeCell ref="B11:C11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oglio9"/>
  <dimension ref="A1:I301"/>
  <sheetViews>
    <sheetView workbookViewId="0">
      <selection sqref="A1:I1"/>
    </sheetView>
  </sheetViews>
  <sheetFormatPr defaultRowHeight="12" customHeight="1" x14ac:dyDescent="0.2"/>
  <cols>
    <col min="1" max="2" width="1.7109375" style="103" customWidth="1"/>
    <col min="3" max="3" width="26.42578125" style="103" customWidth="1"/>
    <col min="4" max="4" width="9" style="103" customWidth="1"/>
    <col min="5" max="5" width="9.28515625" style="103" customWidth="1"/>
    <col min="6" max="6" width="9.5703125" style="103" customWidth="1"/>
    <col min="7" max="7" width="9.28515625" style="103" customWidth="1"/>
    <col min="8" max="8" width="10.28515625" style="103" customWidth="1"/>
    <col min="9" max="9" width="9.5703125" style="103" customWidth="1"/>
    <col min="10" max="16384" width="9.140625" style="103"/>
  </cols>
  <sheetData>
    <row r="1" spans="1:9" ht="15.75" customHeight="1" x14ac:dyDescent="0.25">
      <c r="A1" s="367"/>
      <c r="B1" s="367"/>
      <c r="C1" s="367"/>
      <c r="D1" s="367"/>
      <c r="E1" s="367"/>
      <c r="F1" s="367"/>
      <c r="G1" s="367"/>
      <c r="H1" s="367"/>
      <c r="I1" s="367"/>
    </row>
    <row r="2" spans="1:9" s="3" customFormat="1" ht="12.75" customHeight="1" x14ac:dyDescent="0.2">
      <c r="A2" s="359" t="s">
        <v>330</v>
      </c>
      <c r="B2" s="359"/>
      <c r="C2" s="359"/>
      <c r="D2" s="359"/>
      <c r="E2" s="359"/>
      <c r="F2" s="359"/>
      <c r="G2" s="359"/>
      <c r="H2" s="359"/>
      <c r="I2" s="359"/>
    </row>
    <row r="3" spans="1:9" s="3" customFormat="1" ht="15" customHeight="1" x14ac:dyDescent="0.2">
      <c r="A3" s="359"/>
      <c r="B3" s="359"/>
      <c r="C3" s="359"/>
      <c r="D3" s="359"/>
      <c r="E3" s="359"/>
      <c r="F3" s="359"/>
      <c r="G3" s="359"/>
      <c r="H3" s="359"/>
      <c r="I3" s="359"/>
    </row>
    <row r="4" spans="1:9" s="3" customFormat="1" ht="15" customHeight="1" x14ac:dyDescent="0.2">
      <c r="A4" s="359"/>
      <c r="B4" s="359"/>
      <c r="C4" s="359"/>
      <c r="D4" s="359"/>
      <c r="E4" s="359"/>
      <c r="F4" s="359"/>
      <c r="G4" s="359"/>
      <c r="H4" s="359"/>
      <c r="I4" s="359"/>
    </row>
    <row r="5" spans="1:9" s="1" customFormat="1" ht="12" customHeight="1" x14ac:dyDescent="0.2">
      <c r="A5" s="81"/>
      <c r="B5" s="81"/>
      <c r="C5" s="81"/>
      <c r="D5" s="353">
        <v>2004</v>
      </c>
      <c r="E5" s="354"/>
      <c r="F5" s="354"/>
      <c r="G5" s="354"/>
      <c r="H5" s="354"/>
      <c r="I5" s="354"/>
    </row>
    <row r="6" spans="1:9" s="1" customFormat="1" ht="12" customHeight="1" x14ac:dyDescent="0.2">
      <c r="A6" s="84"/>
      <c r="B6" s="84"/>
      <c r="C6" s="84"/>
      <c r="D6" s="355"/>
      <c r="E6" s="356"/>
      <c r="F6" s="356"/>
      <c r="G6" s="356"/>
      <c r="H6" s="356"/>
      <c r="I6" s="356"/>
    </row>
    <row r="7" spans="1:9" s="1" customFormat="1" ht="12" customHeight="1" x14ac:dyDescent="0.2">
      <c r="A7" s="84"/>
      <c r="D7" s="45" t="s">
        <v>2</v>
      </c>
      <c r="E7" s="45" t="s">
        <v>3</v>
      </c>
      <c r="F7" s="45"/>
      <c r="G7" s="45"/>
      <c r="H7" s="45"/>
      <c r="I7" s="45"/>
    </row>
    <row r="8" spans="1:9" s="1" customFormat="1" ht="12" customHeight="1" x14ac:dyDescent="0.2">
      <c r="A8" s="84"/>
      <c r="E8" s="87"/>
      <c r="F8" s="87"/>
      <c r="G8" s="87" t="s">
        <v>4</v>
      </c>
      <c r="H8" s="87" t="s">
        <v>5</v>
      </c>
      <c r="I8" s="87"/>
    </row>
    <row r="9" spans="1:9" s="87" customFormat="1" ht="12" customHeight="1" x14ac:dyDescent="0.2">
      <c r="A9" s="88"/>
      <c r="B9" s="104"/>
      <c r="C9" s="104"/>
      <c r="D9" s="90"/>
      <c r="E9" s="90" t="s">
        <v>6</v>
      </c>
      <c r="F9" s="90" t="s">
        <v>7</v>
      </c>
      <c r="G9" s="90" t="s">
        <v>8</v>
      </c>
      <c r="H9" s="90" t="s">
        <v>9</v>
      </c>
      <c r="I9" s="91" t="s">
        <v>1</v>
      </c>
    </row>
    <row r="10" spans="1:9" s="21" customFormat="1" ht="12" customHeight="1" x14ac:dyDescent="0.2">
      <c r="A10" s="357" t="s">
        <v>11</v>
      </c>
      <c r="B10" s="357"/>
      <c r="C10" s="357"/>
      <c r="D10" s="18">
        <f t="shared" ref="D10:I10" si="0">D11+D15+D19</f>
        <v>21606</v>
      </c>
      <c r="E10" s="18">
        <f t="shared" si="0"/>
        <v>5598</v>
      </c>
      <c r="F10" s="18">
        <f t="shared" si="0"/>
        <v>1658</v>
      </c>
      <c r="G10" s="18">
        <f t="shared" si="0"/>
        <v>0</v>
      </c>
      <c r="H10" s="18">
        <f t="shared" si="0"/>
        <v>17</v>
      </c>
      <c r="I10" s="18">
        <f t="shared" si="0"/>
        <v>28879</v>
      </c>
    </row>
    <row r="11" spans="1:9" s="21" customFormat="1" ht="12" customHeight="1" x14ac:dyDescent="0.2">
      <c r="A11" s="19"/>
      <c r="B11" s="358" t="s">
        <v>12</v>
      </c>
      <c r="C11" s="358"/>
      <c r="D11" s="22">
        <f t="shared" ref="D11:I11" si="1">D12+D13+D14</f>
        <v>7159</v>
      </c>
      <c r="E11" s="22">
        <f t="shared" si="1"/>
        <v>2012</v>
      </c>
      <c r="F11" s="22">
        <f t="shared" si="1"/>
        <v>937</v>
      </c>
      <c r="G11" s="22">
        <f t="shared" si="1"/>
        <v>0</v>
      </c>
      <c r="H11" s="22">
        <f t="shared" si="1"/>
        <v>5</v>
      </c>
      <c r="I11" s="22">
        <f t="shared" si="1"/>
        <v>10113</v>
      </c>
    </row>
    <row r="12" spans="1:9" s="21" customFormat="1" ht="12" customHeight="1" x14ac:dyDescent="0.2">
      <c r="A12" s="19"/>
      <c r="B12" s="95"/>
      <c r="C12" s="94" t="s">
        <v>13</v>
      </c>
      <c r="D12" s="22">
        <f t="shared" ref="D12:I12" si="2">D255+D257+D265+D272+D273</f>
        <v>2664</v>
      </c>
      <c r="E12" s="22">
        <f t="shared" si="2"/>
        <v>569</v>
      </c>
      <c r="F12" s="22">
        <f t="shared" si="2"/>
        <v>180</v>
      </c>
      <c r="G12" s="22">
        <f t="shared" si="2"/>
        <v>0</v>
      </c>
      <c r="H12" s="22">
        <f t="shared" si="2"/>
        <v>2</v>
      </c>
      <c r="I12" s="22">
        <f t="shared" si="2"/>
        <v>3415</v>
      </c>
    </row>
    <row r="13" spans="1:9" s="21" customFormat="1" ht="12" customHeight="1" x14ac:dyDescent="0.2">
      <c r="A13" s="19"/>
      <c r="B13" s="95"/>
      <c r="C13" s="94" t="s">
        <v>14</v>
      </c>
      <c r="D13" s="22">
        <f t="shared" ref="D13:I13" si="3">D256+D259+D260+D261+D262+D263+D264+D266+D268+D269+D274+D275</f>
        <v>2412</v>
      </c>
      <c r="E13" s="22">
        <f t="shared" si="3"/>
        <v>629</v>
      </c>
      <c r="F13" s="22">
        <f t="shared" si="3"/>
        <v>280</v>
      </c>
      <c r="G13" s="22">
        <f t="shared" si="3"/>
        <v>0</v>
      </c>
      <c r="H13" s="22">
        <f t="shared" si="3"/>
        <v>0</v>
      </c>
      <c r="I13" s="22">
        <f t="shared" si="3"/>
        <v>3321</v>
      </c>
    </row>
    <row r="14" spans="1:9" s="21" customFormat="1" ht="12" customHeight="1" x14ac:dyDescent="0.2">
      <c r="A14" s="19"/>
      <c r="B14" s="96"/>
      <c r="C14" s="96" t="s">
        <v>15</v>
      </c>
      <c r="D14" s="22">
        <f t="shared" ref="D14:I14" si="4">D258+D267+D270+D271</f>
        <v>2083</v>
      </c>
      <c r="E14" s="22">
        <f t="shared" si="4"/>
        <v>814</v>
      </c>
      <c r="F14" s="22">
        <f t="shared" si="4"/>
        <v>477</v>
      </c>
      <c r="G14" s="22">
        <f t="shared" si="4"/>
        <v>0</v>
      </c>
      <c r="H14" s="22">
        <f t="shared" si="4"/>
        <v>3</v>
      </c>
      <c r="I14" s="22">
        <f t="shared" si="4"/>
        <v>3377</v>
      </c>
    </row>
    <row r="15" spans="1:9" s="21" customFormat="1" ht="12" customHeight="1" x14ac:dyDescent="0.2">
      <c r="A15" s="19"/>
      <c r="B15" s="358" t="s">
        <v>16</v>
      </c>
      <c r="C15" s="358"/>
      <c r="D15" s="22">
        <f t="shared" ref="D15:I15" si="5">D16+D17+D18</f>
        <v>5164</v>
      </c>
      <c r="E15" s="22">
        <f t="shared" si="5"/>
        <v>309</v>
      </c>
      <c r="F15" s="22">
        <f t="shared" si="5"/>
        <v>145</v>
      </c>
      <c r="G15" s="22">
        <f t="shared" si="5"/>
        <v>0</v>
      </c>
      <c r="H15" s="22">
        <f t="shared" si="5"/>
        <v>2</v>
      </c>
      <c r="I15" s="22">
        <f t="shared" si="5"/>
        <v>5620</v>
      </c>
    </row>
    <row r="16" spans="1:9" s="21" customFormat="1" ht="12" customHeight="1" x14ac:dyDescent="0.2">
      <c r="A16" s="19"/>
      <c r="B16" s="95"/>
      <c r="C16" s="94" t="s">
        <v>17</v>
      </c>
      <c r="D16" s="22">
        <f t="shared" ref="D16:I16" si="6">D245+D246+D247+D250+D252</f>
        <v>1674</v>
      </c>
      <c r="E16" s="22">
        <f t="shared" si="6"/>
        <v>88</v>
      </c>
      <c r="F16" s="22">
        <f t="shared" si="6"/>
        <v>35</v>
      </c>
      <c r="G16" s="22">
        <f t="shared" si="6"/>
        <v>0</v>
      </c>
      <c r="H16" s="22">
        <f t="shared" si="6"/>
        <v>2</v>
      </c>
      <c r="I16" s="22">
        <f t="shared" si="6"/>
        <v>1799</v>
      </c>
    </row>
    <row r="17" spans="1:9" s="21" customFormat="1" ht="12" customHeight="1" x14ac:dyDescent="0.2">
      <c r="A17" s="19"/>
      <c r="B17" s="95"/>
      <c r="C17" s="94" t="s">
        <v>18</v>
      </c>
      <c r="D17" s="22">
        <f t="shared" ref="D17:I17" si="7">+D244</f>
        <v>1662</v>
      </c>
      <c r="E17" s="22">
        <f t="shared" si="7"/>
        <v>144</v>
      </c>
      <c r="F17" s="22">
        <f t="shared" si="7"/>
        <v>58</v>
      </c>
      <c r="G17" s="22">
        <f t="shared" si="7"/>
        <v>0</v>
      </c>
      <c r="H17" s="22">
        <f t="shared" si="7"/>
        <v>0</v>
      </c>
      <c r="I17" s="22">
        <f t="shared" si="7"/>
        <v>1864</v>
      </c>
    </row>
    <row r="18" spans="1:9" s="21" customFormat="1" ht="12" customHeight="1" x14ac:dyDescent="0.2">
      <c r="A18" s="19"/>
      <c r="B18" s="95"/>
      <c r="C18" s="94" t="s">
        <v>19</v>
      </c>
      <c r="D18" s="22">
        <f t="shared" ref="D18:I18" si="8">D248+D249+D251</f>
        <v>1828</v>
      </c>
      <c r="E18" s="22">
        <f t="shared" si="8"/>
        <v>77</v>
      </c>
      <c r="F18" s="22">
        <f t="shared" si="8"/>
        <v>52</v>
      </c>
      <c r="G18" s="22">
        <f t="shared" si="8"/>
        <v>0</v>
      </c>
      <c r="H18" s="22">
        <f t="shared" si="8"/>
        <v>0</v>
      </c>
      <c r="I18" s="22">
        <f t="shared" si="8"/>
        <v>1957</v>
      </c>
    </row>
    <row r="19" spans="1:9" s="21" customFormat="1" ht="12" customHeight="1" x14ac:dyDescent="0.2">
      <c r="B19" s="364" t="s">
        <v>20</v>
      </c>
      <c r="C19" s="364"/>
      <c r="D19" s="44">
        <f t="shared" ref="D19:I19" si="9">D236+D237+D238+D220+D239+D240+D226+D241+D229</f>
        <v>9283</v>
      </c>
      <c r="E19" s="44">
        <f t="shared" si="9"/>
        <v>3277</v>
      </c>
      <c r="F19" s="44">
        <f t="shared" si="9"/>
        <v>576</v>
      </c>
      <c r="G19" s="44">
        <f t="shared" si="9"/>
        <v>0</v>
      </c>
      <c r="H19" s="44">
        <f t="shared" si="9"/>
        <v>10</v>
      </c>
      <c r="I19" s="44">
        <f t="shared" si="9"/>
        <v>13146</v>
      </c>
    </row>
    <row r="20" spans="1:9" s="21" customFormat="1" ht="12" customHeight="1" x14ac:dyDescent="0.2">
      <c r="A20" s="357"/>
      <c r="B20" s="357"/>
      <c r="C20" s="357"/>
      <c r="D20" s="357"/>
      <c r="E20" s="357"/>
      <c r="F20" s="357"/>
      <c r="G20" s="357"/>
      <c r="H20" s="357"/>
      <c r="I20" s="357"/>
    </row>
    <row r="21" spans="1:9" s="21" customFormat="1" ht="12" customHeight="1" x14ac:dyDescent="0.2">
      <c r="A21" s="357" t="s">
        <v>21</v>
      </c>
      <c r="B21" s="357"/>
      <c r="C21" s="357"/>
      <c r="D21" s="18">
        <f t="shared" ref="D21:I21" si="10">D22+D23+D24+D27+D30+D31</f>
        <v>50145</v>
      </c>
      <c r="E21" s="18">
        <f t="shared" si="10"/>
        <v>11552</v>
      </c>
      <c r="F21" s="18">
        <f t="shared" si="10"/>
        <v>2891</v>
      </c>
      <c r="G21" s="18">
        <f t="shared" si="10"/>
        <v>0</v>
      </c>
      <c r="H21" s="18">
        <f t="shared" si="10"/>
        <v>12</v>
      </c>
      <c r="I21" s="18">
        <f t="shared" si="10"/>
        <v>64600</v>
      </c>
    </row>
    <row r="22" spans="1:9" s="21" customFormat="1" ht="12" customHeight="1" x14ac:dyDescent="0.2">
      <c r="A22" s="19"/>
      <c r="B22" s="358" t="s">
        <v>22</v>
      </c>
      <c r="C22" s="358"/>
      <c r="D22" s="22">
        <f t="shared" ref="D22:I22" si="11">D160+D163+D164+D179+D180+D183+D185+D187+D190</f>
        <v>28694</v>
      </c>
      <c r="E22" s="22">
        <f t="shared" si="11"/>
        <v>8553</v>
      </c>
      <c r="F22" s="22">
        <f t="shared" si="11"/>
        <v>2195</v>
      </c>
      <c r="G22" s="22">
        <f t="shared" si="11"/>
        <v>0</v>
      </c>
      <c r="H22" s="22">
        <f t="shared" si="11"/>
        <v>9</v>
      </c>
      <c r="I22" s="22">
        <f t="shared" si="11"/>
        <v>39451</v>
      </c>
    </row>
    <row r="23" spans="1:9" s="21" customFormat="1" ht="12" customHeight="1" x14ac:dyDescent="0.2">
      <c r="A23" s="19"/>
      <c r="B23" s="358" t="s">
        <v>23</v>
      </c>
      <c r="C23" s="358"/>
      <c r="D23" s="22">
        <f t="shared" ref="D23:I23" si="12">D165+D171+D175+D181+D189+D191+D192+D198</f>
        <v>3255</v>
      </c>
      <c r="E23" s="22">
        <f t="shared" si="12"/>
        <v>510</v>
      </c>
      <c r="F23" s="22">
        <f t="shared" si="12"/>
        <v>132</v>
      </c>
      <c r="G23" s="22">
        <f t="shared" si="12"/>
        <v>0</v>
      </c>
      <c r="H23" s="22">
        <f t="shared" si="12"/>
        <v>0</v>
      </c>
      <c r="I23" s="22">
        <f t="shared" si="12"/>
        <v>3897</v>
      </c>
    </row>
    <row r="24" spans="1:9" s="21" customFormat="1" ht="12" customHeight="1" x14ac:dyDescent="0.2">
      <c r="A24" s="19"/>
      <c r="B24" s="358" t="s">
        <v>24</v>
      </c>
      <c r="C24" s="358"/>
      <c r="D24" s="22">
        <f t="shared" ref="D24:I24" si="13">D25+D26</f>
        <v>9033</v>
      </c>
      <c r="E24" s="22">
        <f t="shared" si="13"/>
        <v>1703</v>
      </c>
      <c r="F24" s="22">
        <f t="shared" si="13"/>
        <v>324</v>
      </c>
      <c r="G24" s="22">
        <f t="shared" si="13"/>
        <v>0</v>
      </c>
      <c r="H24" s="22">
        <f t="shared" si="13"/>
        <v>1</v>
      </c>
      <c r="I24" s="22">
        <f t="shared" si="13"/>
        <v>11061</v>
      </c>
    </row>
    <row r="25" spans="1:9" s="21" customFormat="1" ht="12" customHeight="1" x14ac:dyDescent="0.2">
      <c r="A25" s="19"/>
      <c r="B25" s="95"/>
      <c r="C25" s="94" t="s">
        <v>25</v>
      </c>
      <c r="D25" s="22">
        <f t="shared" ref="D25:I25" si="14">D162+D168+D170+D182+D193+D199</f>
        <v>877</v>
      </c>
      <c r="E25" s="22">
        <f t="shared" si="14"/>
        <v>27</v>
      </c>
      <c r="F25" s="22">
        <f t="shared" si="14"/>
        <v>17</v>
      </c>
      <c r="G25" s="22">
        <f t="shared" si="14"/>
        <v>0</v>
      </c>
      <c r="H25" s="22">
        <f t="shared" si="14"/>
        <v>0</v>
      </c>
      <c r="I25" s="22">
        <f t="shared" si="14"/>
        <v>921</v>
      </c>
    </row>
    <row r="26" spans="1:9" s="21" customFormat="1" ht="12" customHeight="1" x14ac:dyDescent="0.2">
      <c r="A26" s="19"/>
      <c r="B26" s="96"/>
      <c r="C26" s="96" t="s">
        <v>26</v>
      </c>
      <c r="D26" s="22">
        <f t="shared" ref="D26:I26" si="15">D169+D172+D173+D178+D195</f>
        <v>8156</v>
      </c>
      <c r="E26" s="22">
        <f t="shared" si="15"/>
        <v>1676</v>
      </c>
      <c r="F26" s="22">
        <f t="shared" si="15"/>
        <v>307</v>
      </c>
      <c r="G26" s="22">
        <f t="shared" si="15"/>
        <v>0</v>
      </c>
      <c r="H26" s="22">
        <f t="shared" si="15"/>
        <v>1</v>
      </c>
      <c r="I26" s="22">
        <f t="shared" si="15"/>
        <v>10140</v>
      </c>
    </row>
    <row r="27" spans="1:9" s="21" customFormat="1" ht="12" customHeight="1" x14ac:dyDescent="0.2">
      <c r="A27" s="19"/>
      <c r="B27" s="358" t="s">
        <v>27</v>
      </c>
      <c r="C27" s="358"/>
      <c r="D27" s="22">
        <f t="shared" ref="D27:I27" si="16">D28+D29</f>
        <v>3233</v>
      </c>
      <c r="E27" s="22">
        <f t="shared" si="16"/>
        <v>284</v>
      </c>
      <c r="F27" s="22">
        <f t="shared" si="16"/>
        <v>84</v>
      </c>
      <c r="G27" s="22">
        <f t="shared" si="16"/>
        <v>0</v>
      </c>
      <c r="H27" s="22">
        <f t="shared" si="16"/>
        <v>1</v>
      </c>
      <c r="I27" s="22">
        <f t="shared" si="16"/>
        <v>3602</v>
      </c>
    </row>
    <row r="28" spans="1:9" s="21" customFormat="1" ht="12" customHeight="1" x14ac:dyDescent="0.2">
      <c r="A28" s="19"/>
      <c r="B28" s="95"/>
      <c r="C28" s="94" t="s">
        <v>28</v>
      </c>
      <c r="D28" s="22">
        <f t="shared" ref="D28:I28" si="17">D161+D176+D188</f>
        <v>1043</v>
      </c>
      <c r="E28" s="22">
        <f t="shared" si="17"/>
        <v>69</v>
      </c>
      <c r="F28" s="22">
        <f t="shared" si="17"/>
        <v>27</v>
      </c>
      <c r="G28" s="22">
        <f t="shared" si="17"/>
        <v>0</v>
      </c>
      <c r="H28" s="22">
        <f t="shared" si="17"/>
        <v>1</v>
      </c>
      <c r="I28" s="22">
        <f t="shared" si="17"/>
        <v>1140</v>
      </c>
    </row>
    <row r="29" spans="1:9" s="21" customFormat="1" ht="12" customHeight="1" x14ac:dyDescent="0.2">
      <c r="A29" s="19"/>
      <c r="B29" s="96"/>
      <c r="C29" s="96" t="s">
        <v>29</v>
      </c>
      <c r="D29" s="22">
        <f t="shared" ref="D29:I29" si="18">D166+D194+D197</f>
        <v>2190</v>
      </c>
      <c r="E29" s="22">
        <f t="shared" si="18"/>
        <v>215</v>
      </c>
      <c r="F29" s="22">
        <f t="shared" si="18"/>
        <v>57</v>
      </c>
      <c r="G29" s="22">
        <f t="shared" si="18"/>
        <v>0</v>
      </c>
      <c r="H29" s="22">
        <f t="shared" si="18"/>
        <v>0</v>
      </c>
      <c r="I29" s="22">
        <f t="shared" si="18"/>
        <v>2462</v>
      </c>
    </row>
    <row r="30" spans="1:9" s="21" customFormat="1" ht="12" customHeight="1" x14ac:dyDescent="0.2">
      <c r="A30" s="19"/>
      <c r="B30" s="358" t="s">
        <v>30</v>
      </c>
      <c r="C30" s="358"/>
      <c r="D30" s="22">
        <f t="shared" ref="D30:I30" si="19">D174+D177+D184+D186+D196</f>
        <v>732</v>
      </c>
      <c r="E30" s="22">
        <f t="shared" si="19"/>
        <v>45</v>
      </c>
      <c r="F30" s="22">
        <f t="shared" si="19"/>
        <v>16</v>
      </c>
      <c r="G30" s="22">
        <f t="shared" si="19"/>
        <v>0</v>
      </c>
      <c r="H30" s="22">
        <f t="shared" si="19"/>
        <v>0</v>
      </c>
      <c r="I30" s="22">
        <f t="shared" si="19"/>
        <v>793</v>
      </c>
    </row>
    <row r="31" spans="1:9" s="21" customFormat="1" ht="12" customHeight="1" x14ac:dyDescent="0.2">
      <c r="A31" s="19"/>
      <c r="B31" s="358" t="s">
        <v>31</v>
      </c>
      <c r="C31" s="358"/>
      <c r="D31" s="22">
        <f t="shared" ref="D31:I31" si="20">D32+D33+D34</f>
        <v>5198</v>
      </c>
      <c r="E31" s="22">
        <f t="shared" si="20"/>
        <v>457</v>
      </c>
      <c r="F31" s="22">
        <f t="shared" si="20"/>
        <v>140</v>
      </c>
      <c r="G31" s="22">
        <f t="shared" si="20"/>
        <v>0</v>
      </c>
      <c r="H31" s="22">
        <f t="shared" si="20"/>
        <v>1</v>
      </c>
      <c r="I31" s="22">
        <f t="shared" si="20"/>
        <v>5796</v>
      </c>
    </row>
    <row r="32" spans="1:9" s="21" customFormat="1" ht="12" customHeight="1" x14ac:dyDescent="0.2">
      <c r="A32" s="19"/>
      <c r="B32" s="95"/>
      <c r="C32" s="94" t="s">
        <v>32</v>
      </c>
      <c r="D32" s="22">
        <f t="shared" ref="D32:I32" si="21">D210</f>
        <v>558</v>
      </c>
      <c r="E32" s="22">
        <f t="shared" si="21"/>
        <v>16</v>
      </c>
      <c r="F32" s="22">
        <f t="shared" si="21"/>
        <v>5</v>
      </c>
      <c r="G32" s="22">
        <f t="shared" si="21"/>
        <v>0</v>
      </c>
      <c r="H32" s="22">
        <f t="shared" si="21"/>
        <v>0</v>
      </c>
      <c r="I32" s="22">
        <f t="shared" si="21"/>
        <v>579</v>
      </c>
    </row>
    <row r="33" spans="1:9" s="21" customFormat="1" ht="12" customHeight="1" x14ac:dyDescent="0.2">
      <c r="A33" s="19"/>
      <c r="B33" s="95"/>
      <c r="C33" s="96" t="s">
        <v>33</v>
      </c>
      <c r="D33" s="22">
        <f t="shared" ref="D33:I33" si="22">D204+D205+D207+D211</f>
        <v>220</v>
      </c>
      <c r="E33" s="22">
        <f t="shared" si="22"/>
        <v>11</v>
      </c>
      <c r="F33" s="22">
        <f t="shared" si="22"/>
        <v>8</v>
      </c>
      <c r="G33" s="22">
        <f t="shared" si="22"/>
        <v>0</v>
      </c>
      <c r="H33" s="22">
        <f t="shared" si="22"/>
        <v>0</v>
      </c>
      <c r="I33" s="22">
        <f t="shared" si="22"/>
        <v>239</v>
      </c>
    </row>
    <row r="34" spans="1:9" s="21" customFormat="1" ht="12" customHeight="1" x14ac:dyDescent="0.2">
      <c r="A34" s="19"/>
      <c r="B34" s="95"/>
      <c r="C34" s="95" t="s">
        <v>34</v>
      </c>
      <c r="D34" s="44">
        <f t="shared" ref="D34:I34" si="23">D202+D203+D206+D208+D209+D212</f>
        <v>4420</v>
      </c>
      <c r="E34" s="44">
        <f t="shared" si="23"/>
        <v>430</v>
      </c>
      <c r="F34" s="44">
        <f t="shared" si="23"/>
        <v>127</v>
      </c>
      <c r="G34" s="44">
        <f t="shared" si="23"/>
        <v>0</v>
      </c>
      <c r="H34" s="44">
        <f t="shared" si="23"/>
        <v>1</v>
      </c>
      <c r="I34" s="44">
        <f t="shared" si="23"/>
        <v>4978</v>
      </c>
    </row>
    <row r="35" spans="1:9" s="21" customFormat="1" ht="12" customHeight="1" x14ac:dyDescent="0.2">
      <c r="A35" s="357"/>
      <c r="B35" s="357"/>
      <c r="C35" s="357"/>
      <c r="D35" s="357"/>
      <c r="E35" s="357"/>
      <c r="F35" s="357"/>
      <c r="G35" s="357"/>
      <c r="H35" s="357"/>
      <c r="I35" s="357"/>
    </row>
    <row r="36" spans="1:9" s="21" customFormat="1" ht="12" customHeight="1" x14ac:dyDescent="0.2">
      <c r="A36" s="357" t="s">
        <v>35</v>
      </c>
      <c r="B36" s="357"/>
      <c r="C36" s="357"/>
      <c r="D36" s="18">
        <f t="shared" ref="D36:I36" si="24">D37+D38</f>
        <v>32458</v>
      </c>
      <c r="E36" s="18">
        <f t="shared" si="24"/>
        <v>10219</v>
      </c>
      <c r="F36" s="18">
        <f t="shared" si="24"/>
        <v>1975</v>
      </c>
      <c r="G36" s="18">
        <f t="shared" si="24"/>
        <v>1</v>
      </c>
      <c r="H36" s="18">
        <f t="shared" si="24"/>
        <v>15</v>
      </c>
      <c r="I36" s="18">
        <f t="shared" si="24"/>
        <v>44668</v>
      </c>
    </row>
    <row r="37" spans="1:9" s="21" customFormat="1" ht="12" customHeight="1" x14ac:dyDescent="0.2">
      <c r="A37" s="19"/>
      <c r="B37" s="358" t="s">
        <v>36</v>
      </c>
      <c r="C37" s="358"/>
      <c r="D37" s="22">
        <f t="shared" ref="D37:I37" si="25">D215+D216+D218+D219+D221+D224+D227+D228+D232+D233</f>
        <v>28393</v>
      </c>
      <c r="E37" s="22">
        <f t="shared" si="25"/>
        <v>8807</v>
      </c>
      <c r="F37" s="22">
        <f t="shared" si="25"/>
        <v>1695</v>
      </c>
      <c r="G37" s="22">
        <f t="shared" si="25"/>
        <v>1</v>
      </c>
      <c r="H37" s="22">
        <f t="shared" si="25"/>
        <v>10</v>
      </c>
      <c r="I37" s="22">
        <f t="shared" si="25"/>
        <v>38906</v>
      </c>
    </row>
    <row r="38" spans="1:9" s="21" customFormat="1" ht="12" customHeight="1" x14ac:dyDescent="0.2">
      <c r="A38" s="19"/>
      <c r="B38" s="352" t="s">
        <v>37</v>
      </c>
      <c r="C38" s="352"/>
      <c r="D38" s="44">
        <f t="shared" ref="D38:I38" si="26">D217+D167+D222+D230+D231</f>
        <v>4065</v>
      </c>
      <c r="E38" s="44">
        <f t="shared" si="26"/>
        <v>1412</v>
      </c>
      <c r="F38" s="44">
        <f t="shared" si="26"/>
        <v>280</v>
      </c>
      <c r="G38" s="44">
        <f t="shared" si="26"/>
        <v>0</v>
      </c>
      <c r="H38" s="44">
        <f t="shared" si="26"/>
        <v>5</v>
      </c>
      <c r="I38" s="44">
        <f t="shared" si="26"/>
        <v>5762</v>
      </c>
    </row>
    <row r="39" spans="1:9" s="21" customFormat="1" ht="12" customHeight="1" x14ac:dyDescent="0.2">
      <c r="A39" s="357"/>
      <c r="B39" s="357"/>
      <c r="C39" s="357"/>
      <c r="D39" s="357"/>
      <c r="E39" s="357"/>
      <c r="F39" s="357"/>
      <c r="G39" s="357"/>
      <c r="H39" s="357"/>
      <c r="I39" s="357"/>
    </row>
    <row r="40" spans="1:9" s="21" customFormat="1" ht="12" customHeight="1" x14ac:dyDescent="0.2">
      <c r="A40" s="357" t="s">
        <v>38</v>
      </c>
      <c r="B40" s="357"/>
      <c r="C40" s="357"/>
      <c r="D40" s="18">
        <f t="shared" ref="D40:I40" si="27">D41+D42+D46</f>
        <v>94568</v>
      </c>
      <c r="E40" s="18">
        <f t="shared" si="27"/>
        <v>26898</v>
      </c>
      <c r="F40" s="18">
        <f t="shared" si="27"/>
        <v>8234</v>
      </c>
      <c r="G40" s="18">
        <f t="shared" si="27"/>
        <v>40</v>
      </c>
      <c r="H40" s="18">
        <f t="shared" si="27"/>
        <v>53</v>
      </c>
      <c r="I40" s="18">
        <f t="shared" si="27"/>
        <v>129793</v>
      </c>
    </row>
    <row r="41" spans="1:9" s="21" customFormat="1" ht="12" customHeight="1" x14ac:dyDescent="0.2">
      <c r="A41" s="19"/>
      <c r="B41" s="358" t="s">
        <v>39</v>
      </c>
      <c r="C41" s="358"/>
      <c r="D41" s="22">
        <f t="shared" ref="D41:I41" si="28">D89+D100+D101+D103+D105+D106+D107+D111+D112+D115+D118+D121+D123+D127+D129+D133+D135+D139+D142+D146+D150+D154+D156</f>
        <v>57942</v>
      </c>
      <c r="E41" s="22">
        <f t="shared" si="28"/>
        <v>20788</v>
      </c>
      <c r="F41" s="22">
        <f t="shared" si="28"/>
        <v>6924</v>
      </c>
      <c r="G41" s="22">
        <f t="shared" si="28"/>
        <v>39</v>
      </c>
      <c r="H41" s="22">
        <f t="shared" si="28"/>
        <v>46</v>
      </c>
      <c r="I41" s="22">
        <f t="shared" si="28"/>
        <v>85739</v>
      </c>
    </row>
    <row r="42" spans="1:9" s="21" customFormat="1" ht="12" customHeight="1" x14ac:dyDescent="0.2">
      <c r="B42" s="358" t="s">
        <v>40</v>
      </c>
      <c r="C42" s="358"/>
      <c r="D42" s="22">
        <f t="shared" ref="D42:I42" si="29">D43+D44+D45</f>
        <v>19821</v>
      </c>
      <c r="E42" s="22">
        <f t="shared" si="29"/>
        <v>2721</v>
      </c>
      <c r="F42" s="22">
        <f t="shared" si="29"/>
        <v>559</v>
      </c>
      <c r="G42" s="22">
        <f t="shared" si="29"/>
        <v>0</v>
      </c>
      <c r="H42" s="22">
        <f t="shared" si="29"/>
        <v>3</v>
      </c>
      <c r="I42" s="22">
        <f t="shared" si="29"/>
        <v>23104</v>
      </c>
    </row>
    <row r="43" spans="1:9" s="21" customFormat="1" ht="12" customHeight="1" x14ac:dyDescent="0.2">
      <c r="B43" s="95"/>
      <c r="C43" s="94" t="s">
        <v>41</v>
      </c>
      <c r="D43" s="22">
        <f t="shared" ref="D43:I43" si="30">D90+D94+D102+D119+D223+D125+D225+D130+D144+D148+D151</f>
        <v>9135</v>
      </c>
      <c r="E43" s="22">
        <f t="shared" si="30"/>
        <v>1838</v>
      </c>
      <c r="F43" s="22">
        <f t="shared" si="30"/>
        <v>316</v>
      </c>
      <c r="G43" s="22">
        <f t="shared" si="30"/>
        <v>0</v>
      </c>
      <c r="H43" s="22">
        <f t="shared" si="30"/>
        <v>0</v>
      </c>
      <c r="I43" s="22">
        <f t="shared" si="30"/>
        <v>11289</v>
      </c>
    </row>
    <row r="44" spans="1:9" s="21" customFormat="1" ht="12" customHeight="1" x14ac:dyDescent="0.2">
      <c r="B44" s="95"/>
      <c r="C44" s="94" t="s">
        <v>42</v>
      </c>
      <c r="D44" s="22">
        <f t="shared" ref="D44:I44" si="31">D92+D104+D113+D122+D138+D140+D149+D157</f>
        <v>9881</v>
      </c>
      <c r="E44" s="22">
        <f t="shared" si="31"/>
        <v>826</v>
      </c>
      <c r="F44" s="22">
        <f t="shared" si="31"/>
        <v>225</v>
      </c>
      <c r="G44" s="22">
        <f t="shared" si="31"/>
        <v>0</v>
      </c>
      <c r="H44" s="22">
        <f t="shared" si="31"/>
        <v>3</v>
      </c>
      <c r="I44" s="22">
        <f t="shared" si="31"/>
        <v>10935</v>
      </c>
    </row>
    <row r="45" spans="1:9" s="21" customFormat="1" ht="12" customHeight="1" x14ac:dyDescent="0.2">
      <c r="B45" s="96"/>
      <c r="C45" s="96" t="s">
        <v>43</v>
      </c>
      <c r="D45" s="22">
        <f t="shared" ref="D45:I45" si="32">D96+D109+D110+D152</f>
        <v>805</v>
      </c>
      <c r="E45" s="22">
        <f t="shared" si="32"/>
        <v>57</v>
      </c>
      <c r="F45" s="22">
        <f t="shared" si="32"/>
        <v>18</v>
      </c>
      <c r="G45" s="22">
        <f t="shared" si="32"/>
        <v>0</v>
      </c>
      <c r="H45" s="22">
        <f t="shared" si="32"/>
        <v>0</v>
      </c>
      <c r="I45" s="22">
        <f t="shared" si="32"/>
        <v>880</v>
      </c>
    </row>
    <row r="46" spans="1:9" s="21" customFormat="1" ht="12" customHeight="1" x14ac:dyDescent="0.2">
      <c r="B46" s="358" t="s">
        <v>44</v>
      </c>
      <c r="C46" s="358"/>
      <c r="D46" s="22">
        <f t="shared" ref="D46:I46" si="33">D47+D48+D49</f>
        <v>16805</v>
      </c>
      <c r="E46" s="22">
        <f t="shared" si="33"/>
        <v>3389</v>
      </c>
      <c r="F46" s="22">
        <f t="shared" si="33"/>
        <v>751</v>
      </c>
      <c r="G46" s="22">
        <f t="shared" si="33"/>
        <v>1</v>
      </c>
      <c r="H46" s="22">
        <f t="shared" si="33"/>
        <v>4</v>
      </c>
      <c r="I46" s="22">
        <f t="shared" si="33"/>
        <v>20950</v>
      </c>
    </row>
    <row r="47" spans="1:9" s="21" customFormat="1" ht="12" customHeight="1" x14ac:dyDescent="0.2">
      <c r="B47" s="95"/>
      <c r="C47" s="94" t="s">
        <v>45</v>
      </c>
      <c r="D47" s="22">
        <f t="shared" ref="D47:I47" si="34">D85+D87+D97+D99+D117+D120+D131+D134+D155</f>
        <v>2231</v>
      </c>
      <c r="E47" s="22">
        <f t="shared" si="34"/>
        <v>204</v>
      </c>
      <c r="F47" s="22">
        <f t="shared" si="34"/>
        <v>43</v>
      </c>
      <c r="G47" s="22">
        <f t="shared" si="34"/>
        <v>1</v>
      </c>
      <c r="H47" s="22">
        <f t="shared" si="34"/>
        <v>0</v>
      </c>
      <c r="I47" s="22">
        <f t="shared" si="34"/>
        <v>2479</v>
      </c>
    </row>
    <row r="48" spans="1:9" s="21" customFormat="1" ht="12" customHeight="1" x14ac:dyDescent="0.2">
      <c r="B48" s="95"/>
      <c r="C48" s="94" t="s">
        <v>46</v>
      </c>
      <c r="D48" s="22">
        <f t="shared" ref="D48:I48" si="35">D88+D91+D114+D116+D132+D137+D143+D147</f>
        <v>4936</v>
      </c>
      <c r="E48" s="22">
        <f t="shared" si="35"/>
        <v>616</v>
      </c>
      <c r="F48" s="22">
        <f t="shared" si="35"/>
        <v>161</v>
      </c>
      <c r="G48" s="22">
        <f t="shared" si="35"/>
        <v>0</v>
      </c>
      <c r="H48" s="22">
        <f t="shared" si="35"/>
        <v>3</v>
      </c>
      <c r="I48" s="22">
        <f t="shared" si="35"/>
        <v>5716</v>
      </c>
    </row>
    <row r="49" spans="1:9" s="21" customFormat="1" ht="12" customHeight="1" x14ac:dyDescent="0.2">
      <c r="B49" s="95"/>
      <c r="C49" s="95" t="s">
        <v>47</v>
      </c>
      <c r="D49" s="44">
        <f t="shared" ref="D49:I49" si="36">D84+D93+D108+D124+D136+D141+D153</f>
        <v>9638</v>
      </c>
      <c r="E49" s="44">
        <f t="shared" si="36"/>
        <v>2569</v>
      </c>
      <c r="F49" s="44">
        <f t="shared" si="36"/>
        <v>547</v>
      </c>
      <c r="G49" s="44">
        <f t="shared" si="36"/>
        <v>0</v>
      </c>
      <c r="H49" s="44">
        <f t="shared" si="36"/>
        <v>1</v>
      </c>
      <c r="I49" s="44">
        <f t="shared" si="36"/>
        <v>12755</v>
      </c>
    </row>
    <row r="50" spans="1:9" s="21" customFormat="1" ht="12" customHeight="1" x14ac:dyDescent="0.2">
      <c r="A50" s="363"/>
      <c r="B50" s="363"/>
      <c r="C50" s="363"/>
      <c r="D50" s="363"/>
      <c r="E50" s="363"/>
      <c r="F50" s="363"/>
      <c r="G50" s="363"/>
      <c r="H50" s="363"/>
      <c r="I50" s="363"/>
    </row>
    <row r="51" spans="1:9" s="21" customFormat="1" ht="12" customHeight="1" x14ac:dyDescent="0.2">
      <c r="A51" s="357" t="s">
        <v>48</v>
      </c>
      <c r="B51" s="357"/>
      <c r="C51" s="357"/>
      <c r="D51" s="18">
        <f t="shared" ref="D51:I51" si="37">D52+D53+D54</f>
        <v>41279</v>
      </c>
      <c r="E51" s="18">
        <f t="shared" si="37"/>
        <v>8020</v>
      </c>
      <c r="F51" s="18">
        <f t="shared" si="37"/>
        <v>2452</v>
      </c>
      <c r="G51" s="18">
        <f t="shared" si="37"/>
        <v>225</v>
      </c>
      <c r="H51" s="18">
        <f t="shared" si="37"/>
        <v>15</v>
      </c>
      <c r="I51" s="18">
        <f t="shared" si="37"/>
        <v>51991</v>
      </c>
    </row>
    <row r="52" spans="1:9" s="21" customFormat="1" ht="12" customHeight="1" x14ac:dyDescent="0.2">
      <c r="B52" s="358" t="s">
        <v>49</v>
      </c>
      <c r="C52" s="358"/>
      <c r="D52" s="22">
        <f t="shared" ref="D52:I52" si="38">D59+D66+D72+D81</f>
        <v>13439</v>
      </c>
      <c r="E52" s="22">
        <f t="shared" si="38"/>
        <v>3764</v>
      </c>
      <c r="F52" s="22">
        <f t="shared" si="38"/>
        <v>933</v>
      </c>
      <c r="G52" s="22">
        <f t="shared" si="38"/>
        <v>217</v>
      </c>
      <c r="H52" s="22">
        <f t="shared" si="38"/>
        <v>6</v>
      </c>
      <c r="I52" s="22">
        <f t="shared" si="38"/>
        <v>18359</v>
      </c>
    </row>
    <row r="53" spans="1:9" s="21" customFormat="1" ht="12" customHeight="1" x14ac:dyDescent="0.2">
      <c r="B53" s="358" t="s">
        <v>50</v>
      </c>
      <c r="C53" s="358"/>
      <c r="D53" s="22">
        <f t="shared" ref="D53:I53" si="39">D86+D58+D60+D95+D98+D64+D67+D68+D69+D126+D128+D70+D71+D75+D76+D77+D145+D79+D80</f>
        <v>24278</v>
      </c>
      <c r="E53" s="22">
        <f t="shared" si="39"/>
        <v>3972</v>
      </c>
      <c r="F53" s="22">
        <f t="shared" si="39"/>
        <v>1446</v>
      </c>
      <c r="G53" s="22">
        <f t="shared" si="39"/>
        <v>8</v>
      </c>
      <c r="H53" s="22">
        <f t="shared" si="39"/>
        <v>9</v>
      </c>
      <c r="I53" s="22">
        <f t="shared" si="39"/>
        <v>29713</v>
      </c>
    </row>
    <row r="54" spans="1:9" s="21" customFormat="1" ht="12" customHeight="1" x14ac:dyDescent="0.2">
      <c r="B54" s="352" t="s">
        <v>51</v>
      </c>
      <c r="C54" s="352"/>
      <c r="D54" s="44">
        <f t="shared" ref="D54:I54" si="40">D61+D62+D63+D65+D73+D74+D78</f>
        <v>3562</v>
      </c>
      <c r="E54" s="44">
        <f t="shared" si="40"/>
        <v>284</v>
      </c>
      <c r="F54" s="44">
        <f t="shared" si="40"/>
        <v>73</v>
      </c>
      <c r="G54" s="44">
        <f t="shared" si="40"/>
        <v>0</v>
      </c>
      <c r="H54" s="44">
        <f t="shared" si="40"/>
        <v>0</v>
      </c>
      <c r="I54" s="44">
        <f t="shared" si="40"/>
        <v>3919</v>
      </c>
    </row>
    <row r="55" spans="1:9" s="21" customFormat="1" ht="12" customHeight="1" x14ac:dyDescent="0.2">
      <c r="A55" s="363"/>
      <c r="B55" s="363"/>
      <c r="C55" s="363"/>
      <c r="D55" s="363"/>
      <c r="E55" s="363"/>
      <c r="F55" s="363"/>
      <c r="G55" s="363"/>
      <c r="H55" s="363"/>
      <c r="I55" s="363"/>
    </row>
    <row r="56" spans="1:9" s="21" customFormat="1" ht="12" customHeight="1" x14ac:dyDescent="0.2">
      <c r="A56" s="357" t="s">
        <v>271</v>
      </c>
      <c r="B56" s="357"/>
      <c r="C56" s="357"/>
      <c r="D56" s="18">
        <f t="shared" ref="D56:I56" si="41">D10+D21+D36+D40+D51</f>
        <v>240056</v>
      </c>
      <c r="E56" s="18">
        <f t="shared" si="41"/>
        <v>62287</v>
      </c>
      <c r="F56" s="18">
        <f t="shared" si="41"/>
        <v>17210</v>
      </c>
      <c r="G56" s="18">
        <f t="shared" si="41"/>
        <v>266</v>
      </c>
      <c r="H56" s="18">
        <f t="shared" si="41"/>
        <v>112</v>
      </c>
      <c r="I56" s="18">
        <f t="shared" si="41"/>
        <v>319931</v>
      </c>
    </row>
    <row r="57" spans="1:9" s="21" customFormat="1" ht="12" customHeight="1" x14ac:dyDescent="0.2">
      <c r="A57" s="362" t="s">
        <v>52</v>
      </c>
      <c r="B57" s="362"/>
      <c r="C57" s="362"/>
      <c r="D57" s="18">
        <f t="shared" ref="D57:I57" si="42">SUM(D58:D81)</f>
        <v>37530</v>
      </c>
      <c r="E57" s="18">
        <f t="shared" si="42"/>
        <v>7409</v>
      </c>
      <c r="F57" s="18">
        <f t="shared" si="42"/>
        <v>2153</v>
      </c>
      <c r="G57" s="18">
        <f t="shared" si="42"/>
        <v>222</v>
      </c>
      <c r="H57" s="18">
        <f t="shared" si="42"/>
        <v>13</v>
      </c>
      <c r="I57" s="18">
        <f t="shared" si="42"/>
        <v>47327</v>
      </c>
    </row>
    <row r="58" spans="1:9" s="21" customFormat="1" ht="12" customHeight="1" x14ac:dyDescent="0.2">
      <c r="B58" s="99"/>
      <c r="C58" s="98" t="s">
        <v>242</v>
      </c>
      <c r="D58" s="32">
        <v>956</v>
      </c>
      <c r="E58" s="32">
        <v>93</v>
      </c>
      <c r="F58" s="32">
        <v>35</v>
      </c>
      <c r="G58" s="32">
        <v>0</v>
      </c>
      <c r="H58" s="32">
        <v>1</v>
      </c>
      <c r="I58" s="32">
        <v>1085</v>
      </c>
    </row>
    <row r="59" spans="1:9" s="21" customFormat="1" ht="12" customHeight="1" x14ac:dyDescent="0.2">
      <c r="B59" s="99"/>
      <c r="C59" s="92" t="s">
        <v>53</v>
      </c>
      <c r="D59" s="22">
        <v>2790</v>
      </c>
      <c r="E59" s="22">
        <v>504</v>
      </c>
      <c r="F59" s="22">
        <v>138</v>
      </c>
      <c r="G59" s="22">
        <v>12</v>
      </c>
      <c r="H59" s="22">
        <v>0</v>
      </c>
      <c r="I59" s="22">
        <v>3444</v>
      </c>
    </row>
    <row r="60" spans="1:9" s="21" customFormat="1" ht="12" customHeight="1" x14ac:dyDescent="0.2">
      <c r="B60" s="99"/>
      <c r="C60" s="92" t="s">
        <v>54</v>
      </c>
      <c r="D60" s="22">
        <v>548</v>
      </c>
      <c r="E60" s="22">
        <v>43</v>
      </c>
      <c r="F60" s="22">
        <v>12</v>
      </c>
      <c r="G60" s="22">
        <v>0</v>
      </c>
      <c r="H60" s="22">
        <v>0</v>
      </c>
      <c r="I60" s="22">
        <v>603</v>
      </c>
    </row>
    <row r="61" spans="1:9" s="21" customFormat="1" ht="12" customHeight="1" x14ac:dyDescent="0.2">
      <c r="B61" s="99"/>
      <c r="C61" s="92" t="s">
        <v>243</v>
      </c>
      <c r="D61" s="22">
        <v>171</v>
      </c>
      <c r="E61" s="22">
        <v>9</v>
      </c>
      <c r="F61" s="22">
        <v>5</v>
      </c>
      <c r="G61" s="22">
        <v>0</v>
      </c>
      <c r="H61" s="22">
        <v>0</v>
      </c>
      <c r="I61" s="22">
        <v>185</v>
      </c>
    </row>
    <row r="62" spans="1:9" s="21" customFormat="1" ht="12" customHeight="1" x14ac:dyDescent="0.2">
      <c r="B62" s="99"/>
      <c r="C62" s="92" t="s">
        <v>244</v>
      </c>
      <c r="D62" s="22">
        <v>182</v>
      </c>
      <c r="E62" s="22">
        <v>13</v>
      </c>
      <c r="F62" s="22">
        <v>12</v>
      </c>
      <c r="G62" s="22">
        <v>0</v>
      </c>
      <c r="H62" s="22">
        <v>0</v>
      </c>
      <c r="I62" s="22">
        <v>207</v>
      </c>
    </row>
    <row r="63" spans="1:9" s="21" customFormat="1" ht="12" customHeight="1" x14ac:dyDescent="0.2">
      <c r="B63" s="100"/>
      <c r="C63" s="101" t="s">
        <v>245</v>
      </c>
      <c r="D63" s="22">
        <v>315</v>
      </c>
      <c r="E63" s="22">
        <v>17</v>
      </c>
      <c r="F63" s="22">
        <v>5</v>
      </c>
      <c r="G63" s="22">
        <v>0</v>
      </c>
      <c r="H63" s="22">
        <v>0</v>
      </c>
      <c r="I63" s="22">
        <v>337</v>
      </c>
    </row>
    <row r="64" spans="1:9" s="21" customFormat="1" ht="12" customHeight="1" x14ac:dyDescent="0.2">
      <c r="B64" s="99"/>
      <c r="C64" s="92" t="s">
        <v>246</v>
      </c>
      <c r="D64" s="22">
        <v>569</v>
      </c>
      <c r="E64" s="22">
        <v>117</v>
      </c>
      <c r="F64" s="22">
        <v>38</v>
      </c>
      <c r="G64" s="22">
        <v>0</v>
      </c>
      <c r="H64" s="22">
        <v>0</v>
      </c>
      <c r="I64" s="22">
        <v>724</v>
      </c>
    </row>
    <row r="65" spans="2:9" s="21" customFormat="1" ht="12" customHeight="1" x14ac:dyDescent="0.2">
      <c r="B65" s="99"/>
      <c r="C65" s="92" t="s">
        <v>56</v>
      </c>
      <c r="D65" s="22">
        <v>1793</v>
      </c>
      <c r="E65" s="22">
        <v>159</v>
      </c>
      <c r="F65" s="22">
        <v>38</v>
      </c>
      <c r="G65" s="22">
        <v>0</v>
      </c>
      <c r="H65" s="22">
        <v>0</v>
      </c>
      <c r="I65" s="22">
        <v>1990</v>
      </c>
    </row>
    <row r="66" spans="2:9" s="21" customFormat="1" ht="12" customHeight="1" x14ac:dyDescent="0.2">
      <c r="B66" s="99"/>
      <c r="C66" s="92" t="s">
        <v>57</v>
      </c>
      <c r="D66" s="22">
        <v>5013</v>
      </c>
      <c r="E66" s="22">
        <v>2049</v>
      </c>
      <c r="F66" s="22">
        <v>486</v>
      </c>
      <c r="G66" s="22">
        <v>169</v>
      </c>
      <c r="H66" s="22">
        <v>4</v>
      </c>
      <c r="I66" s="22">
        <v>7721</v>
      </c>
    </row>
    <row r="67" spans="2:9" s="21" customFormat="1" ht="12" customHeight="1" x14ac:dyDescent="0.2">
      <c r="B67" s="99"/>
      <c r="C67" s="92" t="s">
        <v>58</v>
      </c>
      <c r="D67" s="22">
        <v>2221</v>
      </c>
      <c r="E67" s="22">
        <v>302</v>
      </c>
      <c r="F67" s="22">
        <v>104</v>
      </c>
      <c r="G67" s="22">
        <v>1</v>
      </c>
      <c r="H67" s="22">
        <v>0</v>
      </c>
      <c r="I67" s="22">
        <v>2628</v>
      </c>
    </row>
    <row r="68" spans="2:9" s="21" customFormat="1" ht="12" customHeight="1" x14ac:dyDescent="0.2">
      <c r="B68" s="99"/>
      <c r="C68" s="92" t="s">
        <v>247</v>
      </c>
      <c r="D68" s="22">
        <v>719</v>
      </c>
      <c r="E68" s="22">
        <v>106</v>
      </c>
      <c r="F68" s="22">
        <v>44</v>
      </c>
      <c r="G68" s="22">
        <v>0</v>
      </c>
      <c r="H68" s="22">
        <v>0</v>
      </c>
      <c r="I68" s="22">
        <v>869</v>
      </c>
    </row>
    <row r="69" spans="2:9" s="21" customFormat="1" ht="12" customHeight="1" x14ac:dyDescent="0.2">
      <c r="B69" s="99"/>
      <c r="C69" s="92" t="s">
        <v>59</v>
      </c>
      <c r="D69" s="22">
        <v>1346</v>
      </c>
      <c r="E69" s="22">
        <v>154</v>
      </c>
      <c r="F69" s="22">
        <v>51</v>
      </c>
      <c r="G69" s="22">
        <v>0</v>
      </c>
      <c r="H69" s="22">
        <v>1</v>
      </c>
      <c r="I69" s="22">
        <v>1552</v>
      </c>
    </row>
    <row r="70" spans="2:9" s="21" customFormat="1" ht="12" customHeight="1" x14ac:dyDescent="0.2">
      <c r="B70" s="99"/>
      <c r="C70" s="92" t="s">
        <v>60</v>
      </c>
      <c r="D70" s="22">
        <v>5238</v>
      </c>
      <c r="E70" s="22">
        <v>1013</v>
      </c>
      <c r="F70" s="22">
        <v>443</v>
      </c>
      <c r="G70" s="22">
        <v>1</v>
      </c>
      <c r="H70" s="22">
        <v>3</v>
      </c>
      <c r="I70" s="22">
        <v>6698</v>
      </c>
    </row>
    <row r="71" spans="2:9" s="21" customFormat="1" ht="12" customHeight="1" x14ac:dyDescent="0.2">
      <c r="B71" s="99"/>
      <c r="C71" s="92" t="s">
        <v>61</v>
      </c>
      <c r="D71" s="22">
        <v>286</v>
      </c>
      <c r="E71" s="22">
        <v>16</v>
      </c>
      <c r="F71" s="22">
        <v>5</v>
      </c>
      <c r="G71" s="22">
        <v>0</v>
      </c>
      <c r="H71" s="22">
        <v>0</v>
      </c>
      <c r="I71" s="22">
        <v>307</v>
      </c>
    </row>
    <row r="72" spans="2:9" s="21" customFormat="1" ht="12" customHeight="1" x14ac:dyDescent="0.2">
      <c r="B72" s="99"/>
      <c r="C72" s="92" t="s">
        <v>62</v>
      </c>
      <c r="D72" s="22">
        <v>3390</v>
      </c>
      <c r="E72" s="22">
        <v>725</v>
      </c>
      <c r="F72" s="22">
        <v>188</v>
      </c>
      <c r="G72" s="22">
        <v>0</v>
      </c>
      <c r="H72" s="22">
        <v>2</v>
      </c>
      <c r="I72" s="22">
        <v>4305</v>
      </c>
    </row>
    <row r="73" spans="2:9" s="21" customFormat="1" ht="12" customHeight="1" x14ac:dyDescent="0.2">
      <c r="B73" s="99"/>
      <c r="C73" s="92" t="s">
        <v>248</v>
      </c>
      <c r="D73" s="22">
        <v>644</v>
      </c>
      <c r="E73" s="22">
        <v>54</v>
      </c>
      <c r="F73" s="22">
        <v>7</v>
      </c>
      <c r="G73" s="22">
        <v>0</v>
      </c>
      <c r="H73" s="22">
        <v>0</v>
      </c>
      <c r="I73" s="22">
        <v>705</v>
      </c>
    </row>
    <row r="74" spans="2:9" s="21" customFormat="1" ht="12" customHeight="1" x14ac:dyDescent="0.2">
      <c r="B74" s="99"/>
      <c r="C74" s="92" t="s">
        <v>249</v>
      </c>
      <c r="D74" s="22">
        <v>210</v>
      </c>
      <c r="E74" s="22">
        <v>12</v>
      </c>
      <c r="F74" s="22">
        <v>2</v>
      </c>
      <c r="G74" s="22">
        <v>0</v>
      </c>
      <c r="H74" s="22">
        <v>0</v>
      </c>
      <c r="I74" s="22">
        <v>224</v>
      </c>
    </row>
    <row r="75" spans="2:9" s="21" customFormat="1" ht="12" customHeight="1" x14ac:dyDescent="0.2">
      <c r="B75" s="99"/>
      <c r="C75" s="92" t="s">
        <v>63</v>
      </c>
      <c r="D75" s="22">
        <v>2064</v>
      </c>
      <c r="E75" s="22">
        <v>321</v>
      </c>
      <c r="F75" s="22">
        <v>48</v>
      </c>
      <c r="G75" s="22">
        <v>2</v>
      </c>
      <c r="H75" s="22">
        <v>0</v>
      </c>
      <c r="I75" s="22">
        <v>2435</v>
      </c>
    </row>
    <row r="76" spans="2:9" s="21" customFormat="1" ht="12" customHeight="1" x14ac:dyDescent="0.2">
      <c r="B76" s="99"/>
      <c r="C76" s="92" t="s">
        <v>250</v>
      </c>
      <c r="D76" s="22">
        <v>1148</v>
      </c>
      <c r="E76" s="22">
        <v>177</v>
      </c>
      <c r="F76" s="22">
        <v>43</v>
      </c>
      <c r="G76" s="22">
        <v>1</v>
      </c>
      <c r="H76" s="22">
        <v>1</v>
      </c>
      <c r="I76" s="22">
        <v>1370</v>
      </c>
    </row>
    <row r="77" spans="2:9" s="21" customFormat="1" ht="12" customHeight="1" x14ac:dyDescent="0.2">
      <c r="B77" s="99"/>
      <c r="C77" s="92" t="s">
        <v>64</v>
      </c>
      <c r="D77" s="22">
        <v>2014</v>
      </c>
      <c r="E77" s="22">
        <v>279</v>
      </c>
      <c r="F77" s="22">
        <v>117</v>
      </c>
      <c r="G77" s="22">
        <v>0</v>
      </c>
      <c r="H77" s="22">
        <v>0</v>
      </c>
      <c r="I77" s="22">
        <v>2410</v>
      </c>
    </row>
    <row r="78" spans="2:9" s="21" customFormat="1" ht="12" customHeight="1" x14ac:dyDescent="0.2">
      <c r="B78" s="99"/>
      <c r="C78" s="92" t="s">
        <v>251</v>
      </c>
      <c r="D78" s="22">
        <v>247</v>
      </c>
      <c r="E78" s="22">
        <v>20</v>
      </c>
      <c r="F78" s="22">
        <v>4</v>
      </c>
      <c r="G78" s="22">
        <v>0</v>
      </c>
      <c r="H78" s="22">
        <v>0</v>
      </c>
      <c r="I78" s="22">
        <v>271</v>
      </c>
    </row>
    <row r="79" spans="2:9" s="21" customFormat="1" ht="12" customHeight="1" x14ac:dyDescent="0.2">
      <c r="B79" s="99"/>
      <c r="C79" s="92" t="s">
        <v>65</v>
      </c>
      <c r="D79" s="22">
        <v>3020</v>
      </c>
      <c r="E79" s="22">
        <v>721</v>
      </c>
      <c r="F79" s="22">
        <v>194</v>
      </c>
      <c r="G79" s="22">
        <v>0</v>
      </c>
      <c r="H79" s="22">
        <v>1</v>
      </c>
      <c r="I79" s="22">
        <v>3936</v>
      </c>
    </row>
    <row r="80" spans="2:9" s="21" customFormat="1" ht="12" customHeight="1" x14ac:dyDescent="0.2">
      <c r="B80" s="99"/>
      <c r="C80" s="92" t="s">
        <v>252</v>
      </c>
      <c r="D80" s="22">
        <v>400</v>
      </c>
      <c r="E80" s="22">
        <v>19</v>
      </c>
      <c r="F80" s="22">
        <v>13</v>
      </c>
      <c r="G80" s="22">
        <v>0</v>
      </c>
      <c r="H80" s="22">
        <v>0</v>
      </c>
      <c r="I80" s="22">
        <v>432</v>
      </c>
    </row>
    <row r="81" spans="1:9" s="21" customFormat="1" ht="12" customHeight="1" x14ac:dyDescent="0.2">
      <c r="B81" s="99"/>
      <c r="C81" s="99" t="s">
        <v>66</v>
      </c>
      <c r="D81" s="44">
        <v>2246</v>
      </c>
      <c r="E81" s="44">
        <v>486</v>
      </c>
      <c r="F81" s="44">
        <v>121</v>
      </c>
      <c r="G81" s="44">
        <v>36</v>
      </c>
      <c r="H81" s="44">
        <v>0</v>
      </c>
      <c r="I81" s="44">
        <v>2889</v>
      </c>
    </row>
    <row r="82" spans="1:9" s="21" customFormat="1" ht="12" customHeight="1" x14ac:dyDescent="0.2">
      <c r="A82" s="363"/>
      <c r="B82" s="363"/>
      <c r="C82" s="363"/>
      <c r="D82" s="363"/>
      <c r="E82" s="363"/>
      <c r="F82" s="363"/>
      <c r="G82" s="363"/>
      <c r="H82" s="363"/>
      <c r="I82" s="363"/>
    </row>
    <row r="83" spans="1:9" s="21" customFormat="1" ht="12" customHeight="1" x14ac:dyDescent="0.2">
      <c r="A83" s="357" t="s">
        <v>67</v>
      </c>
      <c r="B83" s="357"/>
      <c r="C83" s="357"/>
      <c r="D83" s="18">
        <f t="shared" ref="D83:I83" si="43">SUM(D84:D157)</f>
        <v>97652</v>
      </c>
      <c r="E83" s="18">
        <f t="shared" si="43"/>
        <v>27479</v>
      </c>
      <c r="F83" s="18">
        <f t="shared" si="43"/>
        <v>8524</v>
      </c>
      <c r="G83" s="18">
        <f t="shared" si="43"/>
        <v>43</v>
      </c>
      <c r="H83" s="18">
        <f t="shared" si="43"/>
        <v>55</v>
      </c>
      <c r="I83" s="18">
        <f t="shared" si="43"/>
        <v>133753</v>
      </c>
    </row>
    <row r="84" spans="1:9" s="21" customFormat="1" ht="12" customHeight="1" x14ac:dyDescent="0.2">
      <c r="B84" s="99"/>
      <c r="C84" s="98" t="s">
        <v>68</v>
      </c>
      <c r="D84" s="32">
        <v>2643</v>
      </c>
      <c r="E84" s="32">
        <v>949</v>
      </c>
      <c r="F84" s="32">
        <v>182</v>
      </c>
      <c r="G84" s="32">
        <v>0</v>
      </c>
      <c r="H84" s="32">
        <v>1</v>
      </c>
      <c r="I84" s="32">
        <v>3775</v>
      </c>
    </row>
    <row r="85" spans="1:9" s="21" customFormat="1" ht="12" customHeight="1" x14ac:dyDescent="0.2">
      <c r="B85" s="99"/>
      <c r="C85" s="92" t="s">
        <v>70</v>
      </c>
      <c r="D85" s="22">
        <v>253</v>
      </c>
      <c r="E85" s="22">
        <v>26</v>
      </c>
      <c r="F85" s="22">
        <v>3</v>
      </c>
      <c r="G85" s="22">
        <v>0</v>
      </c>
      <c r="H85" s="22">
        <v>0</v>
      </c>
      <c r="I85" s="22">
        <v>282</v>
      </c>
    </row>
    <row r="86" spans="1:9" s="21" customFormat="1" ht="12" customHeight="1" x14ac:dyDescent="0.2">
      <c r="B86" s="99"/>
      <c r="C86" s="92" t="s">
        <v>71</v>
      </c>
      <c r="D86" s="22">
        <v>846</v>
      </c>
      <c r="E86" s="22">
        <v>70</v>
      </c>
      <c r="F86" s="22">
        <v>40</v>
      </c>
      <c r="G86" s="22">
        <v>0</v>
      </c>
      <c r="H86" s="22">
        <v>1</v>
      </c>
      <c r="I86" s="22">
        <v>957</v>
      </c>
    </row>
    <row r="87" spans="1:9" s="21" customFormat="1" ht="12" customHeight="1" x14ac:dyDescent="0.2">
      <c r="B87" s="99"/>
      <c r="C87" s="92" t="s">
        <v>285</v>
      </c>
      <c r="D87" s="22">
        <v>426</v>
      </c>
      <c r="E87" s="22">
        <v>27</v>
      </c>
      <c r="F87" s="22">
        <v>14</v>
      </c>
      <c r="G87" s="22">
        <v>1</v>
      </c>
      <c r="H87" s="22">
        <v>0</v>
      </c>
      <c r="I87" s="22">
        <v>468</v>
      </c>
    </row>
    <row r="88" spans="1:9" s="21" customFormat="1" ht="12" customHeight="1" x14ac:dyDescent="0.2">
      <c r="B88" s="99"/>
      <c r="C88" s="92" t="s">
        <v>72</v>
      </c>
      <c r="D88" s="22">
        <v>268</v>
      </c>
      <c r="E88" s="22">
        <v>20</v>
      </c>
      <c r="F88" s="22">
        <v>2</v>
      </c>
      <c r="G88" s="22">
        <v>0</v>
      </c>
      <c r="H88" s="22">
        <v>0</v>
      </c>
      <c r="I88" s="22">
        <v>290</v>
      </c>
    </row>
    <row r="89" spans="1:9" s="21" customFormat="1" ht="12" customHeight="1" x14ac:dyDescent="0.2">
      <c r="B89" s="99"/>
      <c r="C89" s="92" t="s">
        <v>258</v>
      </c>
      <c r="D89" s="22">
        <v>1201</v>
      </c>
      <c r="E89" s="22">
        <v>388</v>
      </c>
      <c r="F89" s="22">
        <v>102</v>
      </c>
      <c r="G89" s="22">
        <v>0</v>
      </c>
      <c r="H89" s="22">
        <v>1</v>
      </c>
      <c r="I89" s="22">
        <v>1692</v>
      </c>
    </row>
    <row r="90" spans="1:9" s="21" customFormat="1" ht="12" customHeight="1" x14ac:dyDescent="0.2">
      <c r="B90" s="99"/>
      <c r="C90" s="92" t="s">
        <v>73</v>
      </c>
      <c r="D90" s="22">
        <v>1057</v>
      </c>
      <c r="E90" s="22">
        <v>199</v>
      </c>
      <c r="F90" s="22">
        <v>46</v>
      </c>
      <c r="G90" s="22">
        <v>0</v>
      </c>
      <c r="H90" s="22">
        <v>0</v>
      </c>
      <c r="I90" s="22">
        <v>1302</v>
      </c>
    </row>
    <row r="91" spans="1:9" s="21" customFormat="1" ht="12" customHeight="1" x14ac:dyDescent="0.2">
      <c r="B91" s="99"/>
      <c r="C91" s="92" t="s">
        <v>74</v>
      </c>
      <c r="D91" s="22">
        <v>557</v>
      </c>
      <c r="E91" s="22">
        <v>34</v>
      </c>
      <c r="F91" s="22">
        <v>12</v>
      </c>
      <c r="G91" s="22">
        <v>0</v>
      </c>
      <c r="H91" s="22">
        <v>0</v>
      </c>
      <c r="I91" s="22">
        <v>603</v>
      </c>
    </row>
    <row r="92" spans="1:9" s="21" customFormat="1" ht="12" customHeight="1" x14ac:dyDescent="0.2">
      <c r="B92" s="99"/>
      <c r="C92" s="92" t="s">
        <v>259</v>
      </c>
      <c r="D92" s="22">
        <v>310</v>
      </c>
      <c r="E92" s="22">
        <v>9</v>
      </c>
      <c r="F92" s="22">
        <v>9</v>
      </c>
      <c r="G92" s="22">
        <v>0</v>
      </c>
      <c r="H92" s="22">
        <v>0</v>
      </c>
      <c r="I92" s="22">
        <v>328</v>
      </c>
    </row>
    <row r="93" spans="1:9" s="21" customFormat="1" ht="12" customHeight="1" x14ac:dyDescent="0.2">
      <c r="B93" s="99"/>
      <c r="C93" s="92" t="s">
        <v>75</v>
      </c>
      <c r="D93" s="22">
        <v>1844</v>
      </c>
      <c r="E93" s="22">
        <v>341</v>
      </c>
      <c r="F93" s="22">
        <v>91</v>
      </c>
      <c r="G93" s="22">
        <v>0</v>
      </c>
      <c r="H93" s="22">
        <v>0</v>
      </c>
      <c r="I93" s="22">
        <v>2276</v>
      </c>
    </row>
    <row r="94" spans="1:9" s="21" customFormat="1" ht="12" customHeight="1" x14ac:dyDescent="0.2">
      <c r="B94" s="99"/>
      <c r="C94" s="92" t="s">
        <v>76</v>
      </c>
      <c r="D94" s="22">
        <v>472</v>
      </c>
      <c r="E94" s="22">
        <v>87</v>
      </c>
      <c r="F94" s="22">
        <v>23</v>
      </c>
      <c r="G94" s="22">
        <v>0</v>
      </c>
      <c r="H94" s="22">
        <v>0</v>
      </c>
      <c r="I94" s="22">
        <v>582</v>
      </c>
    </row>
    <row r="95" spans="1:9" s="21" customFormat="1" ht="12" customHeight="1" x14ac:dyDescent="0.2">
      <c r="B95" s="99"/>
      <c r="C95" s="92" t="s">
        <v>77</v>
      </c>
      <c r="D95" s="22">
        <v>555</v>
      </c>
      <c r="E95" s="22">
        <v>152</v>
      </c>
      <c r="F95" s="22">
        <v>73</v>
      </c>
      <c r="G95" s="22">
        <v>1</v>
      </c>
      <c r="H95" s="22">
        <v>0</v>
      </c>
      <c r="I95" s="22">
        <v>781</v>
      </c>
    </row>
    <row r="96" spans="1:9" s="21" customFormat="1" ht="12" customHeight="1" x14ac:dyDescent="0.2">
      <c r="B96" s="99"/>
      <c r="C96" s="92" t="s">
        <v>78</v>
      </c>
      <c r="D96" s="22">
        <v>100</v>
      </c>
      <c r="E96" s="22">
        <v>12</v>
      </c>
      <c r="F96" s="22">
        <v>4</v>
      </c>
      <c r="G96" s="22">
        <v>0</v>
      </c>
      <c r="H96" s="22">
        <v>0</v>
      </c>
      <c r="I96" s="22">
        <v>116</v>
      </c>
    </row>
    <row r="97" spans="2:9" s="21" customFormat="1" ht="12" customHeight="1" x14ac:dyDescent="0.2">
      <c r="B97" s="99"/>
      <c r="C97" s="92" t="s">
        <v>286</v>
      </c>
      <c r="D97" s="22">
        <v>282</v>
      </c>
      <c r="E97" s="22">
        <v>13</v>
      </c>
      <c r="F97" s="22">
        <v>3</v>
      </c>
      <c r="G97" s="22">
        <v>0</v>
      </c>
      <c r="H97" s="22">
        <v>0</v>
      </c>
      <c r="I97" s="22">
        <v>298</v>
      </c>
    </row>
    <row r="98" spans="2:9" s="21" customFormat="1" ht="12" customHeight="1" x14ac:dyDescent="0.2">
      <c r="B98" s="99"/>
      <c r="C98" s="92" t="s">
        <v>79</v>
      </c>
      <c r="D98" s="22">
        <v>412</v>
      </c>
      <c r="E98" s="22">
        <v>43</v>
      </c>
      <c r="F98" s="22">
        <v>26</v>
      </c>
      <c r="G98" s="22">
        <v>0</v>
      </c>
      <c r="H98" s="22">
        <v>0</v>
      </c>
      <c r="I98" s="22">
        <v>481</v>
      </c>
    </row>
    <row r="99" spans="2:9" s="21" customFormat="1" ht="12" customHeight="1" x14ac:dyDescent="0.2">
      <c r="B99" s="99"/>
      <c r="C99" s="92" t="s">
        <v>80</v>
      </c>
      <c r="D99" s="22">
        <v>545</v>
      </c>
      <c r="E99" s="22">
        <v>92</v>
      </c>
      <c r="F99" s="22">
        <v>13</v>
      </c>
      <c r="G99" s="22">
        <v>0</v>
      </c>
      <c r="H99" s="22">
        <v>0</v>
      </c>
      <c r="I99" s="22">
        <v>650</v>
      </c>
    </row>
    <row r="100" spans="2:9" s="21" customFormat="1" ht="12" customHeight="1" x14ac:dyDescent="0.2">
      <c r="B100" s="99"/>
      <c r="C100" s="92" t="s">
        <v>81</v>
      </c>
      <c r="D100" s="22">
        <v>1014</v>
      </c>
      <c r="E100" s="22">
        <v>328</v>
      </c>
      <c r="F100" s="22">
        <v>46</v>
      </c>
      <c r="G100" s="22">
        <v>0</v>
      </c>
      <c r="H100" s="22">
        <v>0</v>
      </c>
      <c r="I100" s="22">
        <v>1388</v>
      </c>
    </row>
    <row r="101" spans="2:9" s="21" customFormat="1" ht="12" customHeight="1" x14ac:dyDescent="0.2">
      <c r="B101" s="99"/>
      <c r="C101" s="92" t="s">
        <v>82</v>
      </c>
      <c r="D101" s="22">
        <v>1563</v>
      </c>
      <c r="E101" s="22">
        <v>195</v>
      </c>
      <c r="F101" s="22">
        <v>40</v>
      </c>
      <c r="G101" s="22">
        <v>0</v>
      </c>
      <c r="H101" s="22">
        <v>1</v>
      </c>
      <c r="I101" s="22">
        <v>1799</v>
      </c>
    </row>
    <row r="102" spans="2:9" s="21" customFormat="1" ht="12" customHeight="1" x14ac:dyDescent="0.2">
      <c r="B102" s="99"/>
      <c r="C102" s="92" t="s">
        <v>83</v>
      </c>
      <c r="D102" s="22">
        <v>614</v>
      </c>
      <c r="E102" s="22">
        <v>43</v>
      </c>
      <c r="F102" s="22">
        <v>7</v>
      </c>
      <c r="G102" s="22">
        <v>0</v>
      </c>
      <c r="H102" s="22">
        <v>0</v>
      </c>
      <c r="I102" s="22">
        <v>664</v>
      </c>
    </row>
    <row r="103" spans="2:9" s="21" customFormat="1" ht="12" customHeight="1" x14ac:dyDescent="0.2">
      <c r="B103" s="99"/>
      <c r="C103" s="92" t="s">
        <v>84</v>
      </c>
      <c r="D103" s="22">
        <v>1490</v>
      </c>
      <c r="E103" s="22">
        <v>245</v>
      </c>
      <c r="F103" s="22">
        <v>63</v>
      </c>
      <c r="G103" s="22">
        <v>0</v>
      </c>
      <c r="H103" s="22">
        <v>1</v>
      </c>
      <c r="I103" s="22">
        <v>1799</v>
      </c>
    </row>
    <row r="104" spans="2:9" s="21" customFormat="1" ht="12" customHeight="1" x14ac:dyDescent="0.2">
      <c r="B104" s="99"/>
      <c r="C104" s="92" t="s">
        <v>85</v>
      </c>
      <c r="D104" s="22">
        <v>4128</v>
      </c>
      <c r="E104" s="22">
        <v>330</v>
      </c>
      <c r="F104" s="22">
        <v>87</v>
      </c>
      <c r="G104" s="22">
        <v>0</v>
      </c>
      <c r="H104" s="22">
        <v>2</v>
      </c>
      <c r="I104" s="22">
        <v>4547</v>
      </c>
    </row>
    <row r="105" spans="2:9" s="21" customFormat="1" ht="12" customHeight="1" x14ac:dyDescent="0.2">
      <c r="B105" s="99"/>
      <c r="C105" s="92" t="s">
        <v>260</v>
      </c>
      <c r="D105" s="22">
        <v>454</v>
      </c>
      <c r="E105" s="22">
        <v>54</v>
      </c>
      <c r="F105" s="22">
        <v>13</v>
      </c>
      <c r="G105" s="22">
        <v>0</v>
      </c>
      <c r="H105" s="22">
        <v>0</v>
      </c>
      <c r="I105" s="22">
        <v>521</v>
      </c>
    </row>
    <row r="106" spans="2:9" s="21" customFormat="1" ht="12" customHeight="1" x14ac:dyDescent="0.2">
      <c r="B106" s="99"/>
      <c r="C106" s="92" t="s">
        <v>86</v>
      </c>
      <c r="D106" s="22">
        <v>91</v>
      </c>
      <c r="E106" s="22">
        <v>23</v>
      </c>
      <c r="F106" s="22">
        <v>2</v>
      </c>
      <c r="G106" s="22">
        <v>0</v>
      </c>
      <c r="H106" s="22">
        <v>0</v>
      </c>
      <c r="I106" s="22">
        <v>116</v>
      </c>
    </row>
    <row r="107" spans="2:9" s="21" customFormat="1" ht="12" customHeight="1" x14ac:dyDescent="0.2">
      <c r="B107" s="99"/>
      <c r="C107" s="92" t="s">
        <v>87</v>
      </c>
      <c r="D107" s="22">
        <v>584</v>
      </c>
      <c r="E107" s="22">
        <v>83</v>
      </c>
      <c r="F107" s="22">
        <v>51</v>
      </c>
      <c r="G107" s="22">
        <v>0</v>
      </c>
      <c r="H107" s="22">
        <v>0</v>
      </c>
      <c r="I107" s="22">
        <v>718</v>
      </c>
    </row>
    <row r="108" spans="2:9" s="21" customFormat="1" ht="12" customHeight="1" x14ac:dyDescent="0.2">
      <c r="B108" s="99"/>
      <c r="C108" s="92" t="s">
        <v>88</v>
      </c>
      <c r="D108" s="22">
        <v>2755</v>
      </c>
      <c r="E108" s="22">
        <v>811</v>
      </c>
      <c r="F108" s="22">
        <v>153</v>
      </c>
      <c r="G108" s="22">
        <v>0</v>
      </c>
      <c r="H108" s="22">
        <v>0</v>
      </c>
      <c r="I108" s="22">
        <v>3719</v>
      </c>
    </row>
    <row r="109" spans="2:9" s="21" customFormat="1" ht="12" customHeight="1" x14ac:dyDescent="0.2">
      <c r="B109" s="99"/>
      <c r="C109" s="92" t="s">
        <v>89</v>
      </c>
      <c r="D109" s="22">
        <v>53</v>
      </c>
      <c r="E109" s="22">
        <v>8</v>
      </c>
      <c r="F109" s="22">
        <v>0</v>
      </c>
      <c r="G109" s="22">
        <v>0</v>
      </c>
      <c r="H109" s="22">
        <v>0</v>
      </c>
      <c r="I109" s="22">
        <v>61</v>
      </c>
    </row>
    <row r="110" spans="2:9" s="21" customFormat="1" ht="12" customHeight="1" x14ac:dyDescent="0.2">
      <c r="B110" s="99"/>
      <c r="C110" s="92" t="s">
        <v>90</v>
      </c>
      <c r="D110" s="22">
        <v>100</v>
      </c>
      <c r="E110" s="22">
        <v>4</v>
      </c>
      <c r="F110" s="22">
        <v>3</v>
      </c>
      <c r="G110" s="22">
        <v>0</v>
      </c>
      <c r="H110" s="22">
        <v>0</v>
      </c>
      <c r="I110" s="22">
        <v>107</v>
      </c>
    </row>
    <row r="111" spans="2:9" s="21" customFormat="1" ht="12" customHeight="1" x14ac:dyDescent="0.2">
      <c r="B111" s="99"/>
      <c r="C111" s="92" t="s">
        <v>91</v>
      </c>
      <c r="D111" s="22">
        <v>3116</v>
      </c>
      <c r="E111" s="22">
        <v>555</v>
      </c>
      <c r="F111" s="22">
        <v>496</v>
      </c>
      <c r="G111" s="22">
        <v>2</v>
      </c>
      <c r="H111" s="22">
        <v>0</v>
      </c>
      <c r="I111" s="22">
        <v>4169</v>
      </c>
    </row>
    <row r="112" spans="2:9" s="21" customFormat="1" ht="12" customHeight="1" x14ac:dyDescent="0.2">
      <c r="B112" s="99"/>
      <c r="C112" s="92" t="s">
        <v>92</v>
      </c>
      <c r="D112" s="22">
        <v>1544</v>
      </c>
      <c r="E112" s="22">
        <v>125</v>
      </c>
      <c r="F112" s="22">
        <v>28</v>
      </c>
      <c r="G112" s="22">
        <v>0</v>
      </c>
      <c r="H112" s="22">
        <v>1</v>
      </c>
      <c r="I112" s="22">
        <v>1698</v>
      </c>
    </row>
    <row r="113" spans="2:9" s="21" customFormat="1" ht="12" customHeight="1" x14ac:dyDescent="0.2">
      <c r="B113" s="99"/>
      <c r="C113" s="92" t="s">
        <v>261</v>
      </c>
      <c r="D113" s="22">
        <v>135</v>
      </c>
      <c r="E113" s="22">
        <v>7</v>
      </c>
      <c r="F113" s="22">
        <v>1</v>
      </c>
      <c r="G113" s="22">
        <v>0</v>
      </c>
      <c r="H113" s="22">
        <v>0</v>
      </c>
      <c r="I113" s="22">
        <v>143</v>
      </c>
    </row>
    <row r="114" spans="2:9" s="21" customFormat="1" ht="12" customHeight="1" x14ac:dyDescent="0.2">
      <c r="B114" s="99"/>
      <c r="C114" s="92" t="s">
        <v>93</v>
      </c>
      <c r="D114" s="22">
        <v>708</v>
      </c>
      <c r="E114" s="22">
        <v>91</v>
      </c>
      <c r="F114" s="22">
        <v>41</v>
      </c>
      <c r="G114" s="22">
        <v>0</v>
      </c>
      <c r="H114" s="22">
        <v>0</v>
      </c>
      <c r="I114" s="22">
        <v>840</v>
      </c>
    </row>
    <row r="115" spans="2:9" s="21" customFormat="1" ht="12" customHeight="1" x14ac:dyDescent="0.2">
      <c r="B115" s="99"/>
      <c r="C115" s="92" t="s">
        <v>94</v>
      </c>
      <c r="D115" s="22">
        <v>1112</v>
      </c>
      <c r="E115" s="22">
        <v>142</v>
      </c>
      <c r="F115" s="22">
        <v>35</v>
      </c>
      <c r="G115" s="22">
        <v>0</v>
      </c>
      <c r="H115" s="22">
        <v>1</v>
      </c>
      <c r="I115" s="22">
        <v>1290</v>
      </c>
    </row>
    <row r="116" spans="2:9" s="21" customFormat="1" ht="12" customHeight="1" x14ac:dyDescent="0.2">
      <c r="B116" s="99"/>
      <c r="C116" s="92" t="s">
        <v>95</v>
      </c>
      <c r="D116" s="22">
        <v>489</v>
      </c>
      <c r="E116" s="22">
        <v>64</v>
      </c>
      <c r="F116" s="22">
        <v>12</v>
      </c>
      <c r="G116" s="22">
        <v>0</v>
      </c>
      <c r="H116" s="22">
        <v>0</v>
      </c>
      <c r="I116" s="22">
        <v>565</v>
      </c>
    </row>
    <row r="117" spans="2:9" s="21" customFormat="1" ht="12" customHeight="1" x14ac:dyDescent="0.2">
      <c r="B117" s="99"/>
      <c r="C117" s="92" t="s">
        <v>287</v>
      </c>
      <c r="D117" s="22">
        <v>87</v>
      </c>
      <c r="E117" s="22">
        <v>5</v>
      </c>
      <c r="F117" s="22">
        <v>1</v>
      </c>
      <c r="G117" s="22">
        <v>0</v>
      </c>
      <c r="H117" s="22">
        <v>0</v>
      </c>
      <c r="I117" s="22">
        <v>93</v>
      </c>
    </row>
    <row r="118" spans="2:9" s="21" customFormat="1" ht="12" customHeight="1" x14ac:dyDescent="0.2">
      <c r="B118" s="99"/>
      <c r="C118" s="92" t="s">
        <v>96</v>
      </c>
      <c r="D118" s="22">
        <v>252</v>
      </c>
      <c r="E118" s="22">
        <v>121</v>
      </c>
      <c r="F118" s="22">
        <v>16</v>
      </c>
      <c r="G118" s="22">
        <v>0</v>
      </c>
      <c r="H118" s="22">
        <v>0</v>
      </c>
      <c r="I118" s="22">
        <v>389</v>
      </c>
    </row>
    <row r="119" spans="2:9" s="21" customFormat="1" ht="12" customHeight="1" x14ac:dyDescent="0.2">
      <c r="B119" s="99"/>
      <c r="C119" s="92" t="s">
        <v>97</v>
      </c>
      <c r="D119" s="22">
        <v>893</v>
      </c>
      <c r="E119" s="22">
        <v>150</v>
      </c>
      <c r="F119" s="22">
        <v>25</v>
      </c>
      <c r="G119" s="22">
        <v>0</v>
      </c>
      <c r="H119" s="22">
        <v>0</v>
      </c>
      <c r="I119" s="22">
        <v>1068</v>
      </c>
    </row>
    <row r="120" spans="2:9" s="21" customFormat="1" ht="12" customHeight="1" x14ac:dyDescent="0.2">
      <c r="B120" s="99"/>
      <c r="C120" s="92" t="s">
        <v>262</v>
      </c>
      <c r="D120" s="22">
        <v>66</v>
      </c>
      <c r="E120" s="22">
        <v>6</v>
      </c>
      <c r="F120" s="22">
        <v>1</v>
      </c>
      <c r="G120" s="22">
        <v>0</v>
      </c>
      <c r="H120" s="22">
        <v>0</v>
      </c>
      <c r="I120" s="22">
        <v>73</v>
      </c>
    </row>
    <row r="121" spans="2:9" s="21" customFormat="1" ht="12" customHeight="1" x14ac:dyDescent="0.2">
      <c r="B121" s="99"/>
      <c r="C121" s="92" t="s">
        <v>98</v>
      </c>
      <c r="D121" s="22">
        <v>941</v>
      </c>
      <c r="E121" s="22">
        <v>617</v>
      </c>
      <c r="F121" s="22">
        <v>54</v>
      </c>
      <c r="G121" s="22">
        <v>0</v>
      </c>
      <c r="H121" s="22">
        <v>0</v>
      </c>
      <c r="I121" s="22">
        <v>1612</v>
      </c>
    </row>
    <row r="122" spans="2:9" s="21" customFormat="1" ht="12" customHeight="1" x14ac:dyDescent="0.2">
      <c r="B122" s="99"/>
      <c r="C122" s="92" t="s">
        <v>263</v>
      </c>
      <c r="D122" s="22">
        <v>738</v>
      </c>
      <c r="E122" s="22">
        <v>71</v>
      </c>
      <c r="F122" s="22">
        <v>18</v>
      </c>
      <c r="G122" s="22">
        <v>0</v>
      </c>
      <c r="H122" s="22">
        <v>0</v>
      </c>
      <c r="I122" s="22">
        <v>827</v>
      </c>
    </row>
    <row r="123" spans="2:9" s="21" customFormat="1" ht="12" customHeight="1" x14ac:dyDescent="0.2">
      <c r="B123" s="99"/>
      <c r="C123" s="92" t="s">
        <v>99</v>
      </c>
      <c r="D123" s="22">
        <v>31513</v>
      </c>
      <c r="E123" s="22">
        <v>13044</v>
      </c>
      <c r="F123" s="22">
        <v>4246</v>
      </c>
      <c r="G123" s="22">
        <v>30</v>
      </c>
      <c r="H123" s="22">
        <v>32</v>
      </c>
      <c r="I123" s="22">
        <v>48865</v>
      </c>
    </row>
    <row r="124" spans="2:9" s="21" customFormat="1" ht="12" customHeight="1" x14ac:dyDescent="0.2">
      <c r="B124" s="99"/>
      <c r="C124" s="92" t="s">
        <v>100</v>
      </c>
      <c r="D124" s="22">
        <v>1131</v>
      </c>
      <c r="E124" s="22">
        <v>218</v>
      </c>
      <c r="F124" s="22">
        <v>63</v>
      </c>
      <c r="G124" s="22">
        <v>0</v>
      </c>
      <c r="H124" s="22">
        <v>0</v>
      </c>
      <c r="I124" s="22">
        <v>1412</v>
      </c>
    </row>
    <row r="125" spans="2:9" s="21" customFormat="1" ht="12" customHeight="1" x14ac:dyDescent="0.2">
      <c r="B125" s="99"/>
      <c r="C125" s="92" t="s">
        <v>101</v>
      </c>
      <c r="D125" s="22">
        <v>943</v>
      </c>
      <c r="E125" s="22">
        <v>165</v>
      </c>
      <c r="F125" s="22">
        <v>26</v>
      </c>
      <c r="G125" s="22">
        <v>0</v>
      </c>
      <c r="H125" s="22">
        <v>0</v>
      </c>
      <c r="I125" s="22">
        <v>1134</v>
      </c>
    </row>
    <row r="126" spans="2:9" s="21" customFormat="1" ht="12" customHeight="1" x14ac:dyDescent="0.2">
      <c r="B126" s="99"/>
      <c r="C126" s="92" t="s">
        <v>102</v>
      </c>
      <c r="D126" s="22">
        <v>430</v>
      </c>
      <c r="E126" s="22">
        <v>103</v>
      </c>
      <c r="F126" s="22">
        <v>33</v>
      </c>
      <c r="G126" s="22">
        <v>0</v>
      </c>
      <c r="H126" s="22">
        <v>0</v>
      </c>
      <c r="I126" s="22">
        <v>566</v>
      </c>
    </row>
    <row r="127" spans="2:9" s="21" customFormat="1" ht="12" customHeight="1" x14ac:dyDescent="0.2">
      <c r="B127" s="99"/>
      <c r="C127" s="92" t="s">
        <v>103</v>
      </c>
      <c r="D127" s="22">
        <v>3600</v>
      </c>
      <c r="E127" s="22">
        <v>1659</v>
      </c>
      <c r="F127" s="22">
        <v>483</v>
      </c>
      <c r="G127" s="22">
        <v>7</v>
      </c>
      <c r="H127" s="22">
        <v>1</v>
      </c>
      <c r="I127" s="22">
        <v>5750</v>
      </c>
    </row>
    <row r="128" spans="2:9" s="21" customFormat="1" ht="12" customHeight="1" x14ac:dyDescent="0.2">
      <c r="B128" s="99"/>
      <c r="C128" s="92" t="s">
        <v>104</v>
      </c>
      <c r="D128" s="22">
        <v>896</v>
      </c>
      <c r="E128" s="22">
        <v>179</v>
      </c>
      <c r="F128" s="22">
        <v>94</v>
      </c>
      <c r="G128" s="22">
        <v>2</v>
      </c>
      <c r="H128" s="22">
        <v>1</v>
      </c>
      <c r="I128" s="22">
        <v>1172</v>
      </c>
    </row>
    <row r="129" spans="2:9" s="21" customFormat="1" ht="12" customHeight="1" x14ac:dyDescent="0.2">
      <c r="B129" s="99"/>
      <c r="C129" s="92" t="s">
        <v>105</v>
      </c>
      <c r="D129" s="22">
        <v>1109</v>
      </c>
      <c r="E129" s="22">
        <v>407</v>
      </c>
      <c r="F129" s="22">
        <v>154</v>
      </c>
      <c r="G129" s="22">
        <v>0</v>
      </c>
      <c r="H129" s="22">
        <v>1</v>
      </c>
      <c r="I129" s="22">
        <v>1671</v>
      </c>
    </row>
    <row r="130" spans="2:9" s="21" customFormat="1" ht="12" customHeight="1" x14ac:dyDescent="0.2">
      <c r="B130" s="99"/>
      <c r="C130" s="92" t="s">
        <v>106</v>
      </c>
      <c r="D130" s="22">
        <v>845</v>
      </c>
      <c r="E130" s="22">
        <v>101</v>
      </c>
      <c r="F130" s="22">
        <v>26</v>
      </c>
      <c r="G130" s="22">
        <v>0</v>
      </c>
      <c r="H130" s="22">
        <v>0</v>
      </c>
      <c r="I130" s="22">
        <v>972</v>
      </c>
    </row>
    <row r="131" spans="2:9" s="21" customFormat="1" ht="12" customHeight="1" x14ac:dyDescent="0.2">
      <c r="B131" s="99"/>
      <c r="C131" s="92" t="s">
        <v>107</v>
      </c>
      <c r="D131" s="22">
        <v>232</v>
      </c>
      <c r="E131" s="22">
        <v>25</v>
      </c>
      <c r="F131" s="22">
        <v>3</v>
      </c>
      <c r="G131" s="22">
        <v>0</v>
      </c>
      <c r="H131" s="22">
        <v>0</v>
      </c>
      <c r="I131" s="22">
        <v>260</v>
      </c>
    </row>
    <row r="132" spans="2:9" s="21" customFormat="1" ht="12" customHeight="1" x14ac:dyDescent="0.2">
      <c r="B132" s="99"/>
      <c r="C132" s="92" t="s">
        <v>108</v>
      </c>
      <c r="D132" s="22">
        <v>698</v>
      </c>
      <c r="E132" s="22">
        <v>98</v>
      </c>
      <c r="F132" s="22">
        <v>22</v>
      </c>
      <c r="G132" s="22">
        <v>0</v>
      </c>
      <c r="H132" s="22">
        <v>0</v>
      </c>
      <c r="I132" s="22">
        <v>818</v>
      </c>
    </row>
    <row r="133" spans="2:9" s="21" customFormat="1" ht="12" customHeight="1" x14ac:dyDescent="0.2">
      <c r="B133" s="99"/>
      <c r="C133" s="92" t="s">
        <v>109</v>
      </c>
      <c r="D133" s="22">
        <v>529</v>
      </c>
      <c r="E133" s="22">
        <v>132</v>
      </c>
      <c r="F133" s="22">
        <v>65</v>
      </c>
      <c r="G133" s="22">
        <v>0</v>
      </c>
      <c r="H133" s="22">
        <v>0</v>
      </c>
      <c r="I133" s="22">
        <v>726</v>
      </c>
    </row>
    <row r="134" spans="2:9" s="21" customFormat="1" ht="12" customHeight="1" x14ac:dyDescent="0.2">
      <c r="B134" s="99"/>
      <c r="C134" s="92" t="s">
        <v>288</v>
      </c>
      <c r="D134" s="22">
        <v>133</v>
      </c>
      <c r="E134" s="22">
        <v>5</v>
      </c>
      <c r="F134" s="22">
        <v>3</v>
      </c>
      <c r="G134" s="22">
        <v>0</v>
      </c>
      <c r="H134" s="22">
        <v>0</v>
      </c>
      <c r="I134" s="22">
        <v>141</v>
      </c>
    </row>
    <row r="135" spans="2:9" s="21" customFormat="1" ht="12" customHeight="1" x14ac:dyDescent="0.2">
      <c r="B135" s="99"/>
      <c r="C135" s="92" t="s">
        <v>110</v>
      </c>
      <c r="D135" s="22">
        <v>646</v>
      </c>
      <c r="E135" s="22">
        <v>121</v>
      </c>
      <c r="F135" s="22">
        <v>26</v>
      </c>
      <c r="G135" s="22">
        <v>0</v>
      </c>
      <c r="H135" s="22">
        <v>1</v>
      </c>
      <c r="I135" s="22">
        <v>794</v>
      </c>
    </row>
    <row r="136" spans="2:9" s="21" customFormat="1" ht="12" customHeight="1" x14ac:dyDescent="0.2">
      <c r="B136" s="99"/>
      <c r="C136" s="92" t="s">
        <v>111</v>
      </c>
      <c r="D136" s="22">
        <v>295</v>
      </c>
      <c r="E136" s="22">
        <v>49</v>
      </c>
      <c r="F136" s="22">
        <v>9</v>
      </c>
      <c r="G136" s="22">
        <v>0</v>
      </c>
      <c r="H136" s="22">
        <v>0</v>
      </c>
      <c r="I136" s="22">
        <v>353</v>
      </c>
    </row>
    <row r="137" spans="2:9" s="21" customFormat="1" ht="12" customHeight="1" x14ac:dyDescent="0.2">
      <c r="B137" s="99"/>
      <c r="C137" s="92" t="s">
        <v>112</v>
      </c>
      <c r="D137" s="22">
        <v>731</v>
      </c>
      <c r="E137" s="22">
        <v>50</v>
      </c>
      <c r="F137" s="22">
        <v>18</v>
      </c>
      <c r="G137" s="22">
        <v>0</v>
      </c>
      <c r="H137" s="22">
        <v>2</v>
      </c>
      <c r="I137" s="22">
        <v>801</v>
      </c>
    </row>
    <row r="138" spans="2:9" s="21" customFormat="1" ht="12" customHeight="1" x14ac:dyDescent="0.2">
      <c r="B138" s="99"/>
      <c r="C138" s="92" t="s">
        <v>113</v>
      </c>
      <c r="D138" s="22">
        <v>1084</v>
      </c>
      <c r="E138" s="22">
        <v>120</v>
      </c>
      <c r="F138" s="22">
        <v>34</v>
      </c>
      <c r="G138" s="22">
        <v>0</v>
      </c>
      <c r="H138" s="22">
        <v>1</v>
      </c>
      <c r="I138" s="22">
        <v>1239</v>
      </c>
    </row>
    <row r="139" spans="2:9" s="21" customFormat="1" ht="12" customHeight="1" x14ac:dyDescent="0.2">
      <c r="B139" s="99"/>
      <c r="C139" s="92" t="s">
        <v>114</v>
      </c>
      <c r="D139" s="22">
        <v>1787</v>
      </c>
      <c r="E139" s="22">
        <v>1226</v>
      </c>
      <c r="F139" s="22">
        <v>512</v>
      </c>
      <c r="G139" s="22">
        <v>0</v>
      </c>
      <c r="H139" s="22">
        <v>4</v>
      </c>
      <c r="I139" s="22">
        <v>3529</v>
      </c>
    </row>
    <row r="140" spans="2:9" s="21" customFormat="1" ht="12" customHeight="1" x14ac:dyDescent="0.2">
      <c r="B140" s="99"/>
      <c r="C140" s="92" t="s">
        <v>115</v>
      </c>
      <c r="D140" s="22">
        <v>1427</v>
      </c>
      <c r="E140" s="22">
        <v>151</v>
      </c>
      <c r="F140" s="22">
        <v>32</v>
      </c>
      <c r="G140" s="22">
        <v>0</v>
      </c>
      <c r="H140" s="22">
        <v>0</v>
      </c>
      <c r="I140" s="22">
        <v>1610</v>
      </c>
    </row>
    <row r="141" spans="2:9" s="21" customFormat="1" ht="12" customHeight="1" x14ac:dyDescent="0.2">
      <c r="B141" s="99"/>
      <c r="C141" s="92" t="s">
        <v>116</v>
      </c>
      <c r="D141" s="22">
        <v>583</v>
      </c>
      <c r="E141" s="22">
        <v>167</v>
      </c>
      <c r="F141" s="22">
        <v>35</v>
      </c>
      <c r="G141" s="22">
        <v>0</v>
      </c>
      <c r="H141" s="22">
        <v>0</v>
      </c>
      <c r="I141" s="22">
        <v>785</v>
      </c>
    </row>
    <row r="142" spans="2:9" s="21" customFormat="1" ht="12" customHeight="1" x14ac:dyDescent="0.2">
      <c r="B142" s="99"/>
      <c r="C142" s="92" t="s">
        <v>117</v>
      </c>
      <c r="D142" s="22">
        <v>1157</v>
      </c>
      <c r="E142" s="22">
        <v>234</v>
      </c>
      <c r="F142" s="22">
        <v>85</v>
      </c>
      <c r="G142" s="22">
        <v>0</v>
      </c>
      <c r="H142" s="22">
        <v>1</v>
      </c>
      <c r="I142" s="22">
        <v>1477</v>
      </c>
    </row>
    <row r="143" spans="2:9" s="21" customFormat="1" ht="12" customHeight="1" x14ac:dyDescent="0.2">
      <c r="B143" s="99"/>
      <c r="C143" s="92" t="s">
        <v>118</v>
      </c>
      <c r="D143" s="22">
        <v>957</v>
      </c>
      <c r="E143" s="22">
        <v>180</v>
      </c>
      <c r="F143" s="22">
        <v>38</v>
      </c>
      <c r="G143" s="22">
        <v>0</v>
      </c>
      <c r="H143" s="22">
        <v>1</v>
      </c>
      <c r="I143" s="22">
        <v>1176</v>
      </c>
    </row>
    <row r="144" spans="2:9" s="21" customFormat="1" ht="12" customHeight="1" x14ac:dyDescent="0.2">
      <c r="B144" s="99"/>
      <c r="C144" s="92" t="s">
        <v>119</v>
      </c>
      <c r="D144" s="22">
        <v>1163</v>
      </c>
      <c r="E144" s="22">
        <v>259</v>
      </c>
      <c r="F144" s="22">
        <v>40</v>
      </c>
      <c r="G144" s="22">
        <v>0</v>
      </c>
      <c r="H144" s="22">
        <v>0</v>
      </c>
      <c r="I144" s="22">
        <v>1462</v>
      </c>
    </row>
    <row r="145" spans="1:9" s="21" customFormat="1" ht="12" customHeight="1" x14ac:dyDescent="0.2">
      <c r="B145" s="99"/>
      <c r="C145" s="92" t="s">
        <v>120</v>
      </c>
      <c r="D145" s="22">
        <v>610</v>
      </c>
      <c r="E145" s="22">
        <v>64</v>
      </c>
      <c r="F145" s="22">
        <v>33</v>
      </c>
      <c r="G145" s="22">
        <v>0</v>
      </c>
      <c r="H145" s="22">
        <v>0</v>
      </c>
      <c r="I145" s="22">
        <v>707</v>
      </c>
    </row>
    <row r="146" spans="1:9" s="21" customFormat="1" ht="12" customHeight="1" x14ac:dyDescent="0.2">
      <c r="B146" s="99"/>
      <c r="C146" s="92" t="s">
        <v>121</v>
      </c>
      <c r="D146" s="22">
        <v>1513</v>
      </c>
      <c r="E146" s="22">
        <v>452</v>
      </c>
      <c r="F146" s="22">
        <v>99</v>
      </c>
      <c r="G146" s="22">
        <v>0</v>
      </c>
      <c r="H146" s="22">
        <v>1</v>
      </c>
      <c r="I146" s="22">
        <v>2065</v>
      </c>
    </row>
    <row r="147" spans="1:9" s="21" customFormat="1" ht="12" customHeight="1" x14ac:dyDescent="0.2">
      <c r="B147" s="99"/>
      <c r="C147" s="92" t="s">
        <v>122</v>
      </c>
      <c r="D147" s="22">
        <v>528</v>
      </c>
      <c r="E147" s="22">
        <v>79</v>
      </c>
      <c r="F147" s="22">
        <v>16</v>
      </c>
      <c r="G147" s="22">
        <v>0</v>
      </c>
      <c r="H147" s="22">
        <v>0</v>
      </c>
      <c r="I147" s="22">
        <v>623</v>
      </c>
    </row>
    <row r="148" spans="1:9" s="21" customFormat="1" ht="12" customHeight="1" x14ac:dyDescent="0.2">
      <c r="B148" s="99"/>
      <c r="C148" s="92" t="s">
        <v>123</v>
      </c>
      <c r="D148" s="22">
        <v>377</v>
      </c>
      <c r="E148" s="22">
        <v>72</v>
      </c>
      <c r="F148" s="22">
        <v>18</v>
      </c>
      <c r="G148" s="22">
        <v>0</v>
      </c>
      <c r="H148" s="22">
        <v>0</v>
      </c>
      <c r="I148" s="22">
        <v>467</v>
      </c>
    </row>
    <row r="149" spans="1:9" s="21" customFormat="1" ht="12" customHeight="1" x14ac:dyDescent="0.2">
      <c r="B149" s="99"/>
      <c r="C149" s="92" t="s">
        <v>124</v>
      </c>
      <c r="D149" s="22">
        <v>1569</v>
      </c>
      <c r="E149" s="22">
        <v>107</v>
      </c>
      <c r="F149" s="22">
        <v>35</v>
      </c>
      <c r="G149" s="22">
        <v>0</v>
      </c>
      <c r="H149" s="22">
        <v>0</v>
      </c>
      <c r="I149" s="22">
        <v>1711</v>
      </c>
    </row>
    <row r="150" spans="1:9" s="21" customFormat="1" ht="12" customHeight="1" x14ac:dyDescent="0.2">
      <c r="B150" s="99"/>
      <c r="C150" s="92" t="s">
        <v>125</v>
      </c>
      <c r="D150" s="22">
        <v>1174</v>
      </c>
      <c r="E150" s="22">
        <v>213</v>
      </c>
      <c r="F150" s="22">
        <v>205</v>
      </c>
      <c r="G150" s="22">
        <v>0</v>
      </c>
      <c r="H150" s="22">
        <v>0</v>
      </c>
      <c r="I150" s="22">
        <v>1592</v>
      </c>
    </row>
    <row r="151" spans="1:9" s="21" customFormat="1" ht="12" customHeight="1" x14ac:dyDescent="0.2">
      <c r="B151" s="99"/>
      <c r="C151" s="92" t="s">
        <v>126</v>
      </c>
      <c r="D151" s="22">
        <v>2106</v>
      </c>
      <c r="E151" s="22">
        <v>732</v>
      </c>
      <c r="F151" s="22">
        <v>96</v>
      </c>
      <c r="G151" s="22">
        <v>0</v>
      </c>
      <c r="H151" s="22">
        <v>0</v>
      </c>
      <c r="I151" s="22">
        <v>2934</v>
      </c>
    </row>
    <row r="152" spans="1:9" s="21" customFormat="1" ht="12" customHeight="1" x14ac:dyDescent="0.2">
      <c r="B152" s="99"/>
      <c r="C152" s="92" t="s">
        <v>127</v>
      </c>
      <c r="D152" s="22">
        <v>552</v>
      </c>
      <c r="E152" s="22">
        <v>33</v>
      </c>
      <c r="F152" s="22">
        <v>11</v>
      </c>
      <c r="G152" s="22">
        <v>0</v>
      </c>
      <c r="H152" s="22">
        <v>0</v>
      </c>
      <c r="I152" s="22">
        <v>596</v>
      </c>
    </row>
    <row r="153" spans="1:9" s="21" customFormat="1" ht="12" customHeight="1" x14ac:dyDescent="0.2">
      <c r="B153" s="99"/>
      <c r="C153" s="92" t="s">
        <v>128</v>
      </c>
      <c r="D153" s="22">
        <v>387</v>
      </c>
      <c r="E153" s="22">
        <v>34</v>
      </c>
      <c r="F153" s="22">
        <v>14</v>
      </c>
      <c r="G153" s="22">
        <v>0</v>
      </c>
      <c r="H153" s="22">
        <v>0</v>
      </c>
      <c r="I153" s="22">
        <v>435</v>
      </c>
    </row>
    <row r="154" spans="1:9" s="21" customFormat="1" ht="12" customHeight="1" x14ac:dyDescent="0.2">
      <c r="B154" s="99"/>
      <c r="C154" s="92" t="s">
        <v>129</v>
      </c>
      <c r="D154" s="22">
        <v>1338</v>
      </c>
      <c r="E154" s="22">
        <v>375</v>
      </c>
      <c r="F154" s="22">
        <v>73</v>
      </c>
      <c r="G154" s="22">
        <v>0</v>
      </c>
      <c r="H154" s="22">
        <v>0</v>
      </c>
      <c r="I154" s="22">
        <v>1786</v>
      </c>
    </row>
    <row r="155" spans="1:9" s="21" customFormat="1" ht="12" customHeight="1" x14ac:dyDescent="0.2">
      <c r="B155" s="99"/>
      <c r="C155" s="92" t="s">
        <v>289</v>
      </c>
      <c r="D155" s="22">
        <v>207</v>
      </c>
      <c r="E155" s="22">
        <v>5</v>
      </c>
      <c r="F155" s="22">
        <v>2</v>
      </c>
      <c r="G155" s="22">
        <v>0</v>
      </c>
      <c r="H155" s="22">
        <v>0</v>
      </c>
      <c r="I155" s="22">
        <v>214</v>
      </c>
    </row>
    <row r="156" spans="1:9" s="21" customFormat="1" ht="12" customHeight="1" x14ac:dyDescent="0.2">
      <c r="B156" s="99"/>
      <c r="C156" s="92" t="s">
        <v>130</v>
      </c>
      <c r="D156" s="22">
        <v>214</v>
      </c>
      <c r="E156" s="22">
        <v>49</v>
      </c>
      <c r="F156" s="22">
        <v>30</v>
      </c>
      <c r="G156" s="22">
        <v>0</v>
      </c>
      <c r="H156" s="22">
        <v>0</v>
      </c>
      <c r="I156" s="22">
        <v>293</v>
      </c>
    </row>
    <row r="157" spans="1:9" s="21" customFormat="1" ht="12" customHeight="1" x14ac:dyDescent="0.2">
      <c r="B157" s="99"/>
      <c r="C157" s="99" t="s">
        <v>264</v>
      </c>
      <c r="D157" s="44">
        <v>490</v>
      </c>
      <c r="E157" s="44">
        <v>31</v>
      </c>
      <c r="F157" s="44">
        <v>9</v>
      </c>
      <c r="G157" s="44">
        <v>0</v>
      </c>
      <c r="H157" s="44">
        <v>0</v>
      </c>
      <c r="I157" s="44">
        <v>530</v>
      </c>
    </row>
    <row r="158" spans="1:9" s="21" customFormat="1" ht="12" customHeight="1" x14ac:dyDescent="0.2">
      <c r="A158" s="363"/>
      <c r="B158" s="363"/>
      <c r="C158" s="363"/>
      <c r="D158" s="363"/>
      <c r="E158" s="363"/>
      <c r="F158" s="363"/>
      <c r="G158" s="363"/>
      <c r="H158" s="363"/>
      <c r="I158" s="363"/>
    </row>
    <row r="159" spans="1:9" s="21" customFormat="1" ht="12" customHeight="1" x14ac:dyDescent="0.2">
      <c r="A159" s="357" t="s">
        <v>131</v>
      </c>
      <c r="B159" s="357"/>
      <c r="C159" s="357"/>
      <c r="D159" s="18">
        <f t="shared" ref="D159:I159" si="44">SUM(D160:D199)</f>
        <v>45542</v>
      </c>
      <c r="E159" s="18">
        <f t="shared" si="44"/>
        <v>11225</v>
      </c>
      <c r="F159" s="18">
        <f t="shared" si="44"/>
        <v>2775</v>
      </c>
      <c r="G159" s="18">
        <f t="shared" si="44"/>
        <v>0</v>
      </c>
      <c r="H159" s="18">
        <f t="shared" si="44"/>
        <v>12</v>
      </c>
      <c r="I159" s="18">
        <f t="shared" si="44"/>
        <v>59554</v>
      </c>
    </row>
    <row r="160" spans="1:9" s="21" customFormat="1" ht="12" customHeight="1" x14ac:dyDescent="0.2">
      <c r="B160" s="99"/>
      <c r="C160" s="98" t="s">
        <v>132</v>
      </c>
      <c r="D160" s="32">
        <v>3810</v>
      </c>
      <c r="E160" s="32">
        <v>1062</v>
      </c>
      <c r="F160" s="32">
        <v>413</v>
      </c>
      <c r="G160" s="32">
        <v>0</v>
      </c>
      <c r="H160" s="32">
        <v>0</v>
      </c>
      <c r="I160" s="32">
        <v>5285</v>
      </c>
    </row>
    <row r="161" spans="2:9" s="21" customFormat="1" ht="12" customHeight="1" x14ac:dyDescent="0.2">
      <c r="B161" s="99"/>
      <c r="C161" s="92" t="s">
        <v>253</v>
      </c>
      <c r="D161" s="22">
        <v>116</v>
      </c>
      <c r="E161" s="22">
        <v>5</v>
      </c>
      <c r="F161" s="22">
        <v>5</v>
      </c>
      <c r="G161" s="22">
        <v>0</v>
      </c>
      <c r="H161" s="22">
        <v>0</v>
      </c>
      <c r="I161" s="22">
        <v>126</v>
      </c>
    </row>
    <row r="162" spans="2:9" s="21" customFormat="1" ht="12" customHeight="1" x14ac:dyDescent="0.2">
      <c r="B162" s="99"/>
      <c r="C162" s="92" t="s">
        <v>133</v>
      </c>
      <c r="D162" s="22">
        <v>195</v>
      </c>
      <c r="E162" s="22">
        <v>11</v>
      </c>
      <c r="F162" s="22">
        <v>4</v>
      </c>
      <c r="G162" s="22">
        <v>0</v>
      </c>
      <c r="H162" s="22">
        <v>0</v>
      </c>
      <c r="I162" s="22">
        <v>210</v>
      </c>
    </row>
    <row r="163" spans="2:9" s="21" customFormat="1" ht="12" customHeight="1" x14ac:dyDescent="0.2">
      <c r="B163" s="99"/>
      <c r="C163" s="92" t="s">
        <v>134</v>
      </c>
      <c r="D163" s="22">
        <v>444</v>
      </c>
      <c r="E163" s="22">
        <v>62</v>
      </c>
      <c r="F163" s="22">
        <v>30</v>
      </c>
      <c r="G163" s="22">
        <v>0</v>
      </c>
      <c r="H163" s="22">
        <v>0</v>
      </c>
      <c r="I163" s="22">
        <v>536</v>
      </c>
    </row>
    <row r="164" spans="2:9" s="21" customFormat="1" ht="12" customHeight="1" x14ac:dyDescent="0.2">
      <c r="B164" s="99"/>
      <c r="C164" s="92" t="s">
        <v>135</v>
      </c>
      <c r="D164" s="22">
        <v>1547</v>
      </c>
      <c r="E164" s="22">
        <v>204</v>
      </c>
      <c r="F164" s="22">
        <v>126</v>
      </c>
      <c r="G164" s="22">
        <v>0</v>
      </c>
      <c r="H164" s="22">
        <v>0</v>
      </c>
      <c r="I164" s="22">
        <v>1877</v>
      </c>
    </row>
    <row r="165" spans="2:9" s="21" customFormat="1" ht="12" customHeight="1" x14ac:dyDescent="0.2">
      <c r="B165" s="99"/>
      <c r="C165" s="92" t="s">
        <v>136</v>
      </c>
      <c r="D165" s="22">
        <v>109</v>
      </c>
      <c r="E165" s="22">
        <v>12</v>
      </c>
      <c r="F165" s="22">
        <v>3</v>
      </c>
      <c r="G165" s="22">
        <v>0</v>
      </c>
      <c r="H165" s="22">
        <v>0</v>
      </c>
      <c r="I165" s="22">
        <v>124</v>
      </c>
    </row>
    <row r="166" spans="2:9" s="21" customFormat="1" ht="12" customHeight="1" x14ac:dyDescent="0.2">
      <c r="B166" s="99"/>
      <c r="C166" s="92" t="s">
        <v>137</v>
      </c>
      <c r="D166" s="22">
        <v>635</v>
      </c>
      <c r="E166" s="22">
        <v>37</v>
      </c>
      <c r="F166" s="22">
        <v>16</v>
      </c>
      <c r="G166" s="22">
        <v>0</v>
      </c>
      <c r="H166" s="22">
        <v>0</v>
      </c>
      <c r="I166" s="22">
        <v>688</v>
      </c>
    </row>
    <row r="167" spans="2:9" s="21" customFormat="1" ht="12" customHeight="1" x14ac:dyDescent="0.2">
      <c r="B167" s="99"/>
      <c r="C167" s="92" t="s">
        <v>139</v>
      </c>
      <c r="D167" s="22">
        <v>595</v>
      </c>
      <c r="E167" s="22">
        <v>130</v>
      </c>
      <c r="F167" s="22">
        <v>24</v>
      </c>
      <c r="G167" s="22">
        <v>0</v>
      </c>
      <c r="H167" s="22">
        <v>1</v>
      </c>
      <c r="I167" s="22">
        <v>750</v>
      </c>
    </row>
    <row r="168" spans="2:9" s="21" customFormat="1" ht="12" customHeight="1" x14ac:dyDescent="0.2">
      <c r="B168" s="99"/>
      <c r="C168" s="92" t="s">
        <v>140</v>
      </c>
      <c r="D168" s="22">
        <v>17</v>
      </c>
      <c r="E168" s="22">
        <v>0</v>
      </c>
      <c r="F168" s="22">
        <v>0</v>
      </c>
      <c r="G168" s="22">
        <v>0</v>
      </c>
      <c r="H168" s="22">
        <v>0</v>
      </c>
      <c r="I168" s="22">
        <v>17</v>
      </c>
    </row>
    <row r="169" spans="2:9" s="21" customFormat="1" ht="12" customHeight="1" x14ac:dyDescent="0.2">
      <c r="B169" s="99"/>
      <c r="C169" s="92" t="s">
        <v>265</v>
      </c>
      <c r="D169" s="22">
        <v>1131</v>
      </c>
      <c r="E169" s="22">
        <v>109</v>
      </c>
      <c r="F169" s="22">
        <v>18</v>
      </c>
      <c r="G169" s="22">
        <v>0</v>
      </c>
      <c r="H169" s="22">
        <v>0</v>
      </c>
      <c r="I169" s="22">
        <v>1258</v>
      </c>
    </row>
    <row r="170" spans="2:9" s="21" customFormat="1" ht="12" customHeight="1" x14ac:dyDescent="0.2">
      <c r="B170" s="99"/>
      <c r="C170" s="92" t="s">
        <v>142</v>
      </c>
      <c r="D170" s="22">
        <v>103</v>
      </c>
      <c r="E170" s="22">
        <v>1</v>
      </c>
      <c r="F170" s="22">
        <v>0</v>
      </c>
      <c r="G170" s="22">
        <v>0</v>
      </c>
      <c r="H170" s="22">
        <v>0</v>
      </c>
      <c r="I170" s="22">
        <v>104</v>
      </c>
    </row>
    <row r="171" spans="2:9" s="21" customFormat="1" ht="12" customHeight="1" x14ac:dyDescent="0.2">
      <c r="B171" s="99"/>
      <c r="C171" s="92" t="s">
        <v>143</v>
      </c>
      <c r="D171" s="22">
        <v>245</v>
      </c>
      <c r="E171" s="22">
        <v>29</v>
      </c>
      <c r="F171" s="22">
        <v>11</v>
      </c>
      <c r="G171" s="22">
        <v>0</v>
      </c>
      <c r="H171" s="22">
        <v>0</v>
      </c>
      <c r="I171" s="22">
        <v>285</v>
      </c>
    </row>
    <row r="172" spans="2:9" s="21" customFormat="1" ht="12" customHeight="1" x14ac:dyDescent="0.2">
      <c r="B172" s="99"/>
      <c r="C172" s="92" t="s">
        <v>266</v>
      </c>
      <c r="D172" s="22">
        <v>1018</v>
      </c>
      <c r="E172" s="22">
        <v>156</v>
      </c>
      <c r="F172" s="22">
        <v>18</v>
      </c>
      <c r="G172" s="22">
        <v>0</v>
      </c>
      <c r="H172" s="22">
        <v>0</v>
      </c>
      <c r="I172" s="22">
        <v>1192</v>
      </c>
    </row>
    <row r="173" spans="2:9" s="21" customFormat="1" ht="12" customHeight="1" x14ac:dyDescent="0.2">
      <c r="B173" s="99"/>
      <c r="C173" s="92" t="s">
        <v>144</v>
      </c>
      <c r="D173" s="22">
        <v>3409</v>
      </c>
      <c r="E173" s="22">
        <v>620</v>
      </c>
      <c r="F173" s="22">
        <v>120</v>
      </c>
      <c r="G173" s="22">
        <v>0</v>
      </c>
      <c r="H173" s="22">
        <v>0</v>
      </c>
      <c r="I173" s="22">
        <v>4149</v>
      </c>
    </row>
    <row r="174" spans="2:9" s="21" customFormat="1" ht="12" customHeight="1" x14ac:dyDescent="0.2">
      <c r="B174" s="99"/>
      <c r="C174" s="92" t="s">
        <v>145</v>
      </c>
      <c r="D174" s="22">
        <v>34</v>
      </c>
      <c r="E174" s="22">
        <v>1</v>
      </c>
      <c r="F174" s="22">
        <v>0</v>
      </c>
      <c r="G174" s="22">
        <v>0</v>
      </c>
      <c r="H174" s="22">
        <v>0</v>
      </c>
      <c r="I174" s="22">
        <v>35</v>
      </c>
    </row>
    <row r="175" spans="2:9" s="21" customFormat="1" ht="12" customHeight="1" x14ac:dyDescent="0.2">
      <c r="B175" s="99"/>
      <c r="C175" s="92" t="s">
        <v>146</v>
      </c>
      <c r="D175" s="22">
        <v>38</v>
      </c>
      <c r="E175" s="22">
        <v>0</v>
      </c>
      <c r="F175" s="22">
        <v>0</v>
      </c>
      <c r="G175" s="22">
        <v>0</v>
      </c>
      <c r="H175" s="22">
        <v>0</v>
      </c>
      <c r="I175" s="22">
        <v>38</v>
      </c>
    </row>
    <row r="176" spans="2:9" s="21" customFormat="1" ht="12" customHeight="1" x14ac:dyDescent="0.2">
      <c r="B176" s="99"/>
      <c r="C176" s="92" t="s">
        <v>254</v>
      </c>
      <c r="D176" s="22">
        <v>825</v>
      </c>
      <c r="E176" s="22">
        <v>57</v>
      </c>
      <c r="F176" s="22">
        <v>12</v>
      </c>
      <c r="G176" s="22">
        <v>0</v>
      </c>
      <c r="H176" s="22">
        <v>1</v>
      </c>
      <c r="I176" s="22">
        <v>895</v>
      </c>
    </row>
    <row r="177" spans="2:9" s="21" customFormat="1" ht="12" customHeight="1" x14ac:dyDescent="0.2">
      <c r="B177" s="99"/>
      <c r="C177" s="92" t="s">
        <v>147</v>
      </c>
      <c r="D177" s="22">
        <v>305</v>
      </c>
      <c r="E177" s="22">
        <v>26</v>
      </c>
      <c r="F177" s="22">
        <v>10</v>
      </c>
      <c r="G177" s="22">
        <v>0</v>
      </c>
      <c r="H177" s="22">
        <v>0</v>
      </c>
      <c r="I177" s="22">
        <v>341</v>
      </c>
    </row>
    <row r="178" spans="2:9" s="21" customFormat="1" ht="12" customHeight="1" x14ac:dyDescent="0.2">
      <c r="B178" s="99"/>
      <c r="C178" s="92" t="s">
        <v>148</v>
      </c>
      <c r="D178" s="22">
        <v>887</v>
      </c>
      <c r="E178" s="22">
        <v>219</v>
      </c>
      <c r="F178" s="22">
        <v>55</v>
      </c>
      <c r="G178" s="22">
        <v>0</v>
      </c>
      <c r="H178" s="22">
        <v>0</v>
      </c>
      <c r="I178" s="22">
        <v>1161</v>
      </c>
    </row>
    <row r="179" spans="2:9" s="21" customFormat="1" ht="12" customHeight="1" x14ac:dyDescent="0.2">
      <c r="B179" s="99"/>
      <c r="C179" s="92" t="s">
        <v>149</v>
      </c>
      <c r="D179" s="22">
        <v>9528</v>
      </c>
      <c r="E179" s="22">
        <v>4024</v>
      </c>
      <c r="F179" s="22">
        <v>910</v>
      </c>
      <c r="G179" s="22">
        <v>0</v>
      </c>
      <c r="H179" s="22">
        <v>7</v>
      </c>
      <c r="I179" s="22">
        <v>14469</v>
      </c>
    </row>
    <row r="180" spans="2:9" s="21" customFormat="1" ht="12" customHeight="1" x14ac:dyDescent="0.2">
      <c r="B180" s="99"/>
      <c r="C180" s="92" t="s">
        <v>150</v>
      </c>
      <c r="D180" s="22">
        <v>4923</v>
      </c>
      <c r="E180" s="22">
        <v>1150</v>
      </c>
      <c r="F180" s="22">
        <v>232</v>
      </c>
      <c r="G180" s="22">
        <v>0</v>
      </c>
      <c r="H180" s="22">
        <v>0</v>
      </c>
      <c r="I180" s="22">
        <v>6305</v>
      </c>
    </row>
    <row r="181" spans="2:9" s="21" customFormat="1" ht="12" customHeight="1" x14ac:dyDescent="0.2">
      <c r="B181" s="99"/>
      <c r="C181" s="92" t="s">
        <v>151</v>
      </c>
      <c r="D181" s="22">
        <v>1271</v>
      </c>
      <c r="E181" s="22">
        <v>236</v>
      </c>
      <c r="F181" s="22">
        <v>62</v>
      </c>
      <c r="G181" s="22">
        <v>0</v>
      </c>
      <c r="H181" s="22">
        <v>0</v>
      </c>
      <c r="I181" s="22">
        <v>1569</v>
      </c>
    </row>
    <row r="182" spans="2:9" s="21" customFormat="1" ht="12" customHeight="1" x14ac:dyDescent="0.2">
      <c r="B182" s="99"/>
      <c r="C182" s="92" t="s">
        <v>152</v>
      </c>
      <c r="D182" s="22">
        <v>191</v>
      </c>
      <c r="E182" s="22">
        <v>7</v>
      </c>
      <c r="F182" s="22">
        <v>5</v>
      </c>
      <c r="G182" s="22">
        <v>0</v>
      </c>
      <c r="H182" s="22">
        <v>0</v>
      </c>
      <c r="I182" s="22">
        <v>203</v>
      </c>
    </row>
    <row r="183" spans="2:9" s="21" customFormat="1" ht="12" customHeight="1" x14ac:dyDescent="0.2">
      <c r="B183" s="99"/>
      <c r="C183" s="92" t="s">
        <v>153</v>
      </c>
      <c r="D183" s="22">
        <v>5246</v>
      </c>
      <c r="E183" s="22">
        <v>1231</v>
      </c>
      <c r="F183" s="22">
        <v>251</v>
      </c>
      <c r="G183" s="22">
        <v>0</v>
      </c>
      <c r="H183" s="22">
        <v>1</v>
      </c>
      <c r="I183" s="22">
        <v>6729</v>
      </c>
    </row>
    <row r="184" spans="2:9" s="21" customFormat="1" ht="12" customHeight="1" x14ac:dyDescent="0.2">
      <c r="B184" s="99"/>
      <c r="C184" s="92" t="s">
        <v>154</v>
      </c>
      <c r="D184" s="22">
        <v>57</v>
      </c>
      <c r="E184" s="22">
        <v>3</v>
      </c>
      <c r="F184" s="22">
        <v>2</v>
      </c>
      <c r="G184" s="22">
        <v>0</v>
      </c>
      <c r="H184" s="22">
        <v>0</v>
      </c>
      <c r="I184" s="22">
        <v>62</v>
      </c>
    </row>
    <row r="185" spans="2:9" s="21" customFormat="1" ht="12" customHeight="1" x14ac:dyDescent="0.2">
      <c r="B185" s="99"/>
      <c r="C185" s="92" t="s">
        <v>155</v>
      </c>
      <c r="D185" s="22">
        <v>2053</v>
      </c>
      <c r="E185" s="22">
        <v>621</v>
      </c>
      <c r="F185" s="22">
        <v>166</v>
      </c>
      <c r="G185" s="22">
        <v>0</v>
      </c>
      <c r="H185" s="22">
        <v>1</v>
      </c>
      <c r="I185" s="22">
        <v>2841</v>
      </c>
    </row>
    <row r="186" spans="2:9" s="21" customFormat="1" ht="12" customHeight="1" x14ac:dyDescent="0.2">
      <c r="B186" s="99"/>
      <c r="C186" s="92" t="s">
        <v>156</v>
      </c>
      <c r="D186" s="22">
        <v>275</v>
      </c>
      <c r="E186" s="22">
        <v>11</v>
      </c>
      <c r="F186" s="22">
        <v>4</v>
      </c>
      <c r="G186" s="22">
        <v>0</v>
      </c>
      <c r="H186" s="22">
        <v>0</v>
      </c>
      <c r="I186" s="22">
        <v>290</v>
      </c>
    </row>
    <row r="187" spans="2:9" s="21" customFormat="1" ht="12" customHeight="1" x14ac:dyDescent="0.2">
      <c r="B187" s="99"/>
      <c r="C187" s="92" t="s">
        <v>157</v>
      </c>
      <c r="D187" s="22">
        <v>636</v>
      </c>
      <c r="E187" s="22">
        <v>101</v>
      </c>
      <c r="F187" s="22">
        <v>28</v>
      </c>
      <c r="G187" s="22">
        <v>0</v>
      </c>
      <c r="H187" s="22">
        <v>0</v>
      </c>
      <c r="I187" s="22">
        <v>765</v>
      </c>
    </row>
    <row r="188" spans="2:9" s="21" customFormat="1" ht="12" customHeight="1" x14ac:dyDescent="0.2">
      <c r="B188" s="99"/>
      <c r="C188" s="92" t="s">
        <v>255</v>
      </c>
      <c r="D188" s="22">
        <v>102</v>
      </c>
      <c r="E188" s="22">
        <v>7</v>
      </c>
      <c r="F188" s="22">
        <v>10</v>
      </c>
      <c r="G188" s="22">
        <v>0</v>
      </c>
      <c r="H188" s="22">
        <v>0</v>
      </c>
      <c r="I188" s="22">
        <v>119</v>
      </c>
    </row>
    <row r="189" spans="2:9" s="21" customFormat="1" ht="12" customHeight="1" x14ac:dyDescent="0.2">
      <c r="B189" s="99"/>
      <c r="C189" s="92" t="s">
        <v>158</v>
      </c>
      <c r="D189" s="22">
        <v>349</v>
      </c>
      <c r="E189" s="22">
        <v>43</v>
      </c>
      <c r="F189" s="22">
        <v>5</v>
      </c>
      <c r="G189" s="22">
        <v>0</v>
      </c>
      <c r="H189" s="22">
        <v>0</v>
      </c>
      <c r="I189" s="22">
        <v>397</v>
      </c>
    </row>
    <row r="190" spans="2:9" s="21" customFormat="1" ht="12" customHeight="1" x14ac:dyDescent="0.2">
      <c r="B190" s="99"/>
      <c r="C190" s="92" t="s">
        <v>159</v>
      </c>
      <c r="D190" s="22">
        <v>507</v>
      </c>
      <c r="E190" s="22">
        <v>98</v>
      </c>
      <c r="F190" s="22">
        <v>39</v>
      </c>
      <c r="G190" s="22">
        <v>0</v>
      </c>
      <c r="H190" s="22">
        <v>0</v>
      </c>
      <c r="I190" s="22">
        <v>644</v>
      </c>
    </row>
    <row r="191" spans="2:9" s="21" customFormat="1" ht="12" customHeight="1" x14ac:dyDescent="0.2">
      <c r="B191" s="99"/>
      <c r="C191" s="92" t="s">
        <v>160</v>
      </c>
      <c r="D191" s="22">
        <v>576</v>
      </c>
      <c r="E191" s="22">
        <v>90</v>
      </c>
      <c r="F191" s="22">
        <v>25</v>
      </c>
      <c r="G191" s="22">
        <v>0</v>
      </c>
      <c r="H191" s="22">
        <v>0</v>
      </c>
      <c r="I191" s="22">
        <v>691</v>
      </c>
    </row>
    <row r="192" spans="2:9" s="21" customFormat="1" ht="12" customHeight="1" x14ac:dyDescent="0.2">
      <c r="B192" s="99"/>
      <c r="C192" s="92" t="s">
        <v>161</v>
      </c>
      <c r="D192" s="22">
        <v>121</v>
      </c>
      <c r="E192" s="22">
        <v>12</v>
      </c>
      <c r="F192" s="22">
        <v>4</v>
      </c>
      <c r="G192" s="22">
        <v>0</v>
      </c>
      <c r="H192" s="22">
        <v>0</v>
      </c>
      <c r="I192" s="22">
        <v>137</v>
      </c>
    </row>
    <row r="193" spans="1:9" s="21" customFormat="1" ht="12" customHeight="1" x14ac:dyDescent="0.2">
      <c r="B193" s="99"/>
      <c r="C193" s="92" t="s">
        <v>162</v>
      </c>
      <c r="D193" s="22">
        <v>83</v>
      </c>
      <c r="E193" s="22">
        <v>2</v>
      </c>
      <c r="F193" s="22">
        <v>2</v>
      </c>
      <c r="G193" s="22">
        <v>0</v>
      </c>
      <c r="H193" s="22">
        <v>0</v>
      </c>
      <c r="I193" s="22">
        <v>87</v>
      </c>
    </row>
    <row r="194" spans="1:9" s="21" customFormat="1" ht="12" customHeight="1" x14ac:dyDescent="0.2">
      <c r="B194" s="99"/>
      <c r="C194" s="92" t="s">
        <v>163</v>
      </c>
      <c r="D194" s="22">
        <v>684</v>
      </c>
      <c r="E194" s="22">
        <v>83</v>
      </c>
      <c r="F194" s="22">
        <v>19</v>
      </c>
      <c r="G194" s="22">
        <v>0</v>
      </c>
      <c r="H194" s="22">
        <v>0</v>
      </c>
      <c r="I194" s="22">
        <v>786</v>
      </c>
    </row>
    <row r="195" spans="1:9" s="21" customFormat="1" ht="12" customHeight="1" x14ac:dyDescent="0.2">
      <c r="B195" s="99"/>
      <c r="C195" s="92" t="s">
        <v>164</v>
      </c>
      <c r="D195" s="22">
        <v>1711</v>
      </c>
      <c r="E195" s="22">
        <v>572</v>
      </c>
      <c r="F195" s="22">
        <v>96</v>
      </c>
      <c r="G195" s="22">
        <v>0</v>
      </c>
      <c r="H195" s="22">
        <v>1</v>
      </c>
      <c r="I195" s="22">
        <v>2380</v>
      </c>
    </row>
    <row r="196" spans="1:9" s="21" customFormat="1" ht="12" customHeight="1" x14ac:dyDescent="0.2">
      <c r="B196" s="99"/>
      <c r="C196" s="92" t="s">
        <v>165</v>
      </c>
      <c r="D196" s="22">
        <v>61</v>
      </c>
      <c r="E196" s="22">
        <v>4</v>
      </c>
      <c r="F196" s="22">
        <v>0</v>
      </c>
      <c r="G196" s="22">
        <v>0</v>
      </c>
      <c r="H196" s="22">
        <v>0</v>
      </c>
      <c r="I196" s="22">
        <v>65</v>
      </c>
    </row>
    <row r="197" spans="1:9" s="21" customFormat="1" ht="12" customHeight="1" x14ac:dyDescent="0.2">
      <c r="B197" s="99"/>
      <c r="C197" s="92" t="s">
        <v>166</v>
      </c>
      <c r="D197" s="22">
        <v>871</v>
      </c>
      <c r="E197" s="22">
        <v>95</v>
      </c>
      <c r="F197" s="22">
        <v>22</v>
      </c>
      <c r="G197" s="22">
        <v>0</v>
      </c>
      <c r="H197" s="22">
        <v>0</v>
      </c>
      <c r="I197" s="22">
        <v>988</v>
      </c>
    </row>
    <row r="198" spans="1:9" s="21" customFormat="1" ht="12" customHeight="1" x14ac:dyDescent="0.2">
      <c r="B198" s="99"/>
      <c r="C198" s="92" t="s">
        <v>167</v>
      </c>
      <c r="D198" s="22">
        <v>546</v>
      </c>
      <c r="E198" s="22">
        <v>88</v>
      </c>
      <c r="F198" s="22">
        <v>22</v>
      </c>
      <c r="G198" s="22">
        <v>0</v>
      </c>
      <c r="H198" s="22">
        <v>0</v>
      </c>
      <c r="I198" s="22">
        <v>656</v>
      </c>
    </row>
    <row r="199" spans="1:9" s="21" customFormat="1" ht="12" customHeight="1" x14ac:dyDescent="0.2">
      <c r="B199" s="99"/>
      <c r="C199" s="99" t="s">
        <v>168</v>
      </c>
      <c r="D199" s="44">
        <v>288</v>
      </c>
      <c r="E199" s="44">
        <v>6</v>
      </c>
      <c r="F199" s="44">
        <v>6</v>
      </c>
      <c r="G199" s="44">
        <v>0</v>
      </c>
      <c r="H199" s="44">
        <v>0</v>
      </c>
      <c r="I199" s="44">
        <v>300</v>
      </c>
    </row>
    <row r="200" spans="1:9" s="21" customFormat="1" ht="12" customHeight="1" x14ac:dyDescent="0.2">
      <c r="A200" s="363"/>
      <c r="B200" s="363"/>
      <c r="C200" s="363"/>
      <c r="D200" s="363"/>
      <c r="E200" s="363"/>
      <c r="F200" s="363"/>
      <c r="G200" s="363"/>
      <c r="H200" s="363"/>
      <c r="I200" s="363"/>
    </row>
    <row r="201" spans="1:9" s="21" customFormat="1" ht="12" customHeight="1" x14ac:dyDescent="0.2">
      <c r="A201" s="357" t="s">
        <v>169</v>
      </c>
      <c r="B201" s="357"/>
      <c r="C201" s="357"/>
      <c r="D201" s="18">
        <f t="shared" ref="D201:I201" si="45">SUM(D202:D212)</f>
        <v>5198</v>
      </c>
      <c r="E201" s="18">
        <f t="shared" si="45"/>
        <v>457</v>
      </c>
      <c r="F201" s="18">
        <f t="shared" si="45"/>
        <v>140</v>
      </c>
      <c r="G201" s="18">
        <f t="shared" si="45"/>
        <v>0</v>
      </c>
      <c r="H201" s="18">
        <f t="shared" si="45"/>
        <v>1</v>
      </c>
      <c r="I201" s="18">
        <f t="shared" si="45"/>
        <v>5796</v>
      </c>
    </row>
    <row r="202" spans="1:9" s="21" customFormat="1" ht="12" customHeight="1" x14ac:dyDescent="0.2">
      <c r="B202" s="99"/>
      <c r="C202" s="98" t="s">
        <v>267</v>
      </c>
      <c r="D202" s="32">
        <v>513</v>
      </c>
      <c r="E202" s="32">
        <v>18</v>
      </c>
      <c r="F202" s="32">
        <v>9</v>
      </c>
      <c r="G202" s="32">
        <v>0</v>
      </c>
      <c r="H202" s="32">
        <v>0</v>
      </c>
      <c r="I202" s="32">
        <v>540</v>
      </c>
    </row>
    <row r="203" spans="1:9" s="21" customFormat="1" ht="12" customHeight="1" x14ac:dyDescent="0.2">
      <c r="B203" s="99"/>
      <c r="C203" s="92" t="s">
        <v>272</v>
      </c>
      <c r="D203" s="22">
        <v>236</v>
      </c>
      <c r="E203" s="22">
        <v>62</v>
      </c>
      <c r="F203" s="22">
        <v>8</v>
      </c>
      <c r="G203" s="22">
        <v>0</v>
      </c>
      <c r="H203" s="22">
        <v>0</v>
      </c>
      <c r="I203" s="22">
        <v>306</v>
      </c>
    </row>
    <row r="204" spans="1:9" s="21" customFormat="1" ht="12" customHeight="1" x14ac:dyDescent="0.2">
      <c r="B204" s="99"/>
      <c r="C204" s="92" t="s">
        <v>171</v>
      </c>
      <c r="D204" s="22">
        <v>66</v>
      </c>
      <c r="E204" s="22">
        <v>1</v>
      </c>
      <c r="F204" s="22">
        <v>5</v>
      </c>
      <c r="G204" s="22">
        <v>0</v>
      </c>
      <c r="H204" s="22">
        <v>0</v>
      </c>
      <c r="I204" s="22">
        <v>72</v>
      </c>
    </row>
    <row r="205" spans="1:9" s="21" customFormat="1" ht="12" customHeight="1" x14ac:dyDescent="0.2">
      <c r="B205" s="99"/>
      <c r="C205" s="92" t="s">
        <v>172</v>
      </c>
      <c r="D205" s="22">
        <v>52</v>
      </c>
      <c r="E205" s="22">
        <v>4</v>
      </c>
      <c r="F205" s="22">
        <v>0</v>
      </c>
      <c r="G205" s="22">
        <v>0</v>
      </c>
      <c r="H205" s="22">
        <v>0</v>
      </c>
      <c r="I205" s="22">
        <v>56</v>
      </c>
    </row>
    <row r="206" spans="1:9" s="21" customFormat="1" ht="12" customHeight="1" x14ac:dyDescent="0.2">
      <c r="B206" s="99"/>
      <c r="C206" s="92" t="s">
        <v>273</v>
      </c>
      <c r="D206" s="22">
        <v>460</v>
      </c>
      <c r="E206" s="22">
        <v>20</v>
      </c>
      <c r="F206" s="22">
        <v>5</v>
      </c>
      <c r="G206" s="22">
        <v>0</v>
      </c>
      <c r="H206" s="22">
        <v>1</v>
      </c>
      <c r="I206" s="22">
        <v>486</v>
      </c>
    </row>
    <row r="207" spans="1:9" s="21" customFormat="1" ht="12" customHeight="1" x14ac:dyDescent="0.2">
      <c r="B207" s="99"/>
      <c r="C207" s="92" t="s">
        <v>173</v>
      </c>
      <c r="D207" s="22">
        <v>64</v>
      </c>
      <c r="E207" s="22">
        <v>3</v>
      </c>
      <c r="F207" s="22">
        <v>2</v>
      </c>
      <c r="G207" s="22">
        <v>0</v>
      </c>
      <c r="H207" s="22">
        <v>0</v>
      </c>
      <c r="I207" s="22">
        <v>69</v>
      </c>
    </row>
    <row r="208" spans="1:9" s="21" customFormat="1" ht="12" customHeight="1" x14ac:dyDescent="0.2">
      <c r="B208" s="99"/>
      <c r="C208" s="92" t="s">
        <v>174</v>
      </c>
      <c r="D208" s="22">
        <v>364</v>
      </c>
      <c r="E208" s="22">
        <v>83</v>
      </c>
      <c r="F208" s="22">
        <v>29</v>
      </c>
      <c r="G208" s="22">
        <v>0</v>
      </c>
      <c r="H208" s="22">
        <v>0</v>
      </c>
      <c r="I208" s="22">
        <v>476</v>
      </c>
    </row>
    <row r="209" spans="1:9" s="21" customFormat="1" ht="12" customHeight="1" x14ac:dyDescent="0.2">
      <c r="B209" s="99"/>
      <c r="C209" s="92" t="s">
        <v>268</v>
      </c>
      <c r="D209" s="22">
        <v>732</v>
      </c>
      <c r="E209" s="22">
        <v>50</v>
      </c>
      <c r="F209" s="22">
        <v>30</v>
      </c>
      <c r="G209" s="22">
        <v>0</v>
      </c>
      <c r="H209" s="22">
        <v>0</v>
      </c>
      <c r="I209" s="22">
        <v>812</v>
      </c>
    </row>
    <row r="210" spans="1:9" s="21" customFormat="1" ht="12" customHeight="1" x14ac:dyDescent="0.2">
      <c r="B210" s="99"/>
      <c r="C210" s="92" t="s">
        <v>175</v>
      </c>
      <c r="D210" s="22">
        <v>558</v>
      </c>
      <c r="E210" s="22">
        <v>16</v>
      </c>
      <c r="F210" s="22">
        <v>5</v>
      </c>
      <c r="G210" s="22">
        <v>0</v>
      </c>
      <c r="H210" s="22">
        <v>0</v>
      </c>
      <c r="I210" s="22">
        <v>579</v>
      </c>
    </row>
    <row r="211" spans="1:9" s="21" customFormat="1" ht="12" customHeight="1" x14ac:dyDescent="0.2">
      <c r="B211" s="99"/>
      <c r="C211" s="92" t="s">
        <v>176</v>
      </c>
      <c r="D211" s="22">
        <v>38</v>
      </c>
      <c r="E211" s="22">
        <v>3</v>
      </c>
      <c r="F211" s="22">
        <v>1</v>
      </c>
      <c r="G211" s="22">
        <v>0</v>
      </c>
      <c r="H211" s="22">
        <v>0</v>
      </c>
      <c r="I211" s="22">
        <v>42</v>
      </c>
    </row>
    <row r="212" spans="1:9" s="21" customFormat="1" ht="12" customHeight="1" x14ac:dyDescent="0.2">
      <c r="B212" s="99"/>
      <c r="C212" s="99" t="s">
        <v>177</v>
      </c>
      <c r="D212" s="44">
        <v>2115</v>
      </c>
      <c r="E212" s="44">
        <v>197</v>
      </c>
      <c r="F212" s="44">
        <v>46</v>
      </c>
      <c r="G212" s="44">
        <v>0</v>
      </c>
      <c r="H212" s="44">
        <v>0</v>
      </c>
      <c r="I212" s="44">
        <v>2358</v>
      </c>
    </row>
    <row r="213" spans="1:9" s="21" customFormat="1" ht="12" customHeight="1" x14ac:dyDescent="0.2">
      <c r="A213" s="363"/>
      <c r="B213" s="363"/>
      <c r="C213" s="363"/>
      <c r="D213" s="363"/>
      <c r="E213" s="363"/>
      <c r="F213" s="363"/>
      <c r="G213" s="363"/>
      <c r="H213" s="363"/>
      <c r="I213" s="363"/>
    </row>
    <row r="214" spans="1:9" s="21" customFormat="1" ht="12" customHeight="1" x14ac:dyDescent="0.2">
      <c r="A214" s="357" t="s">
        <v>178</v>
      </c>
      <c r="B214" s="357"/>
      <c r="C214" s="357"/>
      <c r="D214" s="18">
        <f t="shared" ref="D214:I214" si="46">SUM(D215:D233)</f>
        <v>33641</v>
      </c>
      <c r="E214" s="18">
        <f t="shared" si="46"/>
        <v>10221</v>
      </c>
      <c r="F214" s="18">
        <f t="shared" si="46"/>
        <v>1979</v>
      </c>
      <c r="G214" s="18">
        <f t="shared" si="46"/>
        <v>1</v>
      </c>
      <c r="H214" s="18">
        <f t="shared" si="46"/>
        <v>14</v>
      </c>
      <c r="I214" s="18">
        <f t="shared" si="46"/>
        <v>45856</v>
      </c>
    </row>
    <row r="215" spans="1:9" s="21" customFormat="1" ht="12" customHeight="1" x14ac:dyDescent="0.2">
      <c r="B215" s="99"/>
      <c r="C215" s="98" t="s">
        <v>179</v>
      </c>
      <c r="D215" s="32">
        <v>2838</v>
      </c>
      <c r="E215" s="32">
        <v>1013</v>
      </c>
      <c r="F215" s="32">
        <v>165</v>
      </c>
      <c r="G215" s="32">
        <v>0</v>
      </c>
      <c r="H215" s="32">
        <v>2</v>
      </c>
      <c r="I215" s="32">
        <v>4018</v>
      </c>
    </row>
    <row r="216" spans="1:9" s="21" customFormat="1" ht="12" customHeight="1" x14ac:dyDescent="0.2">
      <c r="B216" s="99"/>
      <c r="C216" s="92" t="s">
        <v>180</v>
      </c>
      <c r="D216" s="22">
        <v>11625</v>
      </c>
      <c r="E216" s="22">
        <v>4288</v>
      </c>
      <c r="F216" s="22">
        <v>879</v>
      </c>
      <c r="G216" s="22">
        <v>1</v>
      </c>
      <c r="H216" s="22">
        <v>3</v>
      </c>
      <c r="I216" s="22">
        <v>16796</v>
      </c>
    </row>
    <row r="217" spans="1:9" s="21" customFormat="1" ht="12" customHeight="1" x14ac:dyDescent="0.2">
      <c r="B217" s="99"/>
      <c r="C217" s="92" t="s">
        <v>181</v>
      </c>
      <c r="D217" s="22">
        <v>1186</v>
      </c>
      <c r="E217" s="22">
        <v>600</v>
      </c>
      <c r="F217" s="22">
        <v>140</v>
      </c>
      <c r="G217" s="22">
        <v>0</v>
      </c>
      <c r="H217" s="22">
        <v>3</v>
      </c>
      <c r="I217" s="22">
        <v>1929</v>
      </c>
    </row>
    <row r="218" spans="1:9" s="21" customFormat="1" ht="12" customHeight="1" x14ac:dyDescent="0.2">
      <c r="B218" s="99"/>
      <c r="C218" s="92" t="s">
        <v>182</v>
      </c>
      <c r="D218" s="22">
        <v>2047</v>
      </c>
      <c r="E218" s="22">
        <v>323</v>
      </c>
      <c r="F218" s="22">
        <v>49</v>
      </c>
      <c r="G218" s="22">
        <v>0</v>
      </c>
      <c r="H218" s="22">
        <v>1</v>
      </c>
      <c r="I218" s="22">
        <v>2420</v>
      </c>
    </row>
    <row r="219" spans="1:9" s="21" customFormat="1" ht="12" customHeight="1" x14ac:dyDescent="0.2">
      <c r="B219" s="99"/>
      <c r="C219" s="92" t="s">
        <v>183</v>
      </c>
      <c r="D219" s="22">
        <v>5663</v>
      </c>
      <c r="E219" s="22">
        <v>1878</v>
      </c>
      <c r="F219" s="22">
        <v>329</v>
      </c>
      <c r="G219" s="22">
        <v>0</v>
      </c>
      <c r="H219" s="22">
        <v>1</v>
      </c>
      <c r="I219" s="22">
        <v>7871</v>
      </c>
    </row>
    <row r="220" spans="1:9" s="21" customFormat="1" ht="12" customHeight="1" x14ac:dyDescent="0.2">
      <c r="B220" s="99"/>
      <c r="C220" s="92" t="s">
        <v>184</v>
      </c>
      <c r="D220" s="22">
        <v>531</v>
      </c>
      <c r="E220" s="22">
        <v>43</v>
      </c>
      <c r="F220" s="22">
        <v>12</v>
      </c>
      <c r="G220" s="22">
        <v>0</v>
      </c>
      <c r="H220" s="22">
        <v>0</v>
      </c>
      <c r="I220" s="22">
        <v>586</v>
      </c>
    </row>
    <row r="221" spans="1:9" s="21" customFormat="1" ht="12" customHeight="1" x14ac:dyDescent="0.2">
      <c r="B221" s="99"/>
      <c r="C221" s="92" t="s">
        <v>185</v>
      </c>
      <c r="D221" s="22">
        <v>613</v>
      </c>
      <c r="E221" s="22">
        <v>61</v>
      </c>
      <c r="F221" s="22">
        <v>8</v>
      </c>
      <c r="G221" s="22">
        <v>0</v>
      </c>
      <c r="H221" s="22">
        <v>0</v>
      </c>
      <c r="I221" s="22">
        <v>682</v>
      </c>
    </row>
    <row r="222" spans="1:9" s="21" customFormat="1" ht="12" customHeight="1" x14ac:dyDescent="0.2">
      <c r="B222" s="99"/>
      <c r="C222" s="92" t="s">
        <v>186</v>
      </c>
      <c r="D222" s="22">
        <v>641</v>
      </c>
      <c r="E222" s="22">
        <v>93</v>
      </c>
      <c r="F222" s="22">
        <v>19</v>
      </c>
      <c r="G222" s="22">
        <v>0</v>
      </c>
      <c r="H222" s="22">
        <v>1</v>
      </c>
      <c r="I222" s="22">
        <v>754</v>
      </c>
    </row>
    <row r="223" spans="1:9" s="21" customFormat="1" ht="12" customHeight="1" x14ac:dyDescent="0.2">
      <c r="B223" s="99"/>
      <c r="C223" s="92" t="s">
        <v>187</v>
      </c>
      <c r="D223" s="22">
        <v>340</v>
      </c>
      <c r="E223" s="22">
        <v>19</v>
      </c>
      <c r="F223" s="22">
        <v>5</v>
      </c>
      <c r="G223" s="22">
        <v>0</v>
      </c>
      <c r="H223" s="22">
        <v>0</v>
      </c>
      <c r="I223" s="22">
        <v>364</v>
      </c>
    </row>
    <row r="224" spans="1:9" s="21" customFormat="1" ht="12" customHeight="1" x14ac:dyDescent="0.2">
      <c r="B224" s="99"/>
      <c r="C224" s="92" t="s">
        <v>188</v>
      </c>
      <c r="D224" s="22">
        <v>1009</v>
      </c>
      <c r="E224" s="22">
        <v>159</v>
      </c>
      <c r="F224" s="22">
        <v>37</v>
      </c>
      <c r="G224" s="22">
        <v>0</v>
      </c>
      <c r="H224" s="22">
        <v>1</v>
      </c>
      <c r="I224" s="22">
        <v>1206</v>
      </c>
    </row>
    <row r="225" spans="1:9" s="21" customFormat="1" ht="12" customHeight="1" x14ac:dyDescent="0.2">
      <c r="B225" s="99"/>
      <c r="C225" s="92" t="s">
        <v>189</v>
      </c>
      <c r="D225" s="22">
        <v>325</v>
      </c>
      <c r="E225" s="22">
        <v>11</v>
      </c>
      <c r="F225" s="22">
        <v>4</v>
      </c>
      <c r="G225" s="22">
        <v>0</v>
      </c>
      <c r="H225" s="22">
        <v>0</v>
      </c>
      <c r="I225" s="22">
        <v>340</v>
      </c>
    </row>
    <row r="226" spans="1:9" s="21" customFormat="1" ht="12" customHeight="1" x14ac:dyDescent="0.2">
      <c r="B226" s="99"/>
      <c r="C226" s="92" t="s">
        <v>190</v>
      </c>
      <c r="D226" s="22">
        <v>95</v>
      </c>
      <c r="E226" s="22">
        <v>15</v>
      </c>
      <c r="F226" s="22">
        <v>0</v>
      </c>
      <c r="G226" s="22">
        <v>0</v>
      </c>
      <c r="H226" s="22">
        <v>0</v>
      </c>
      <c r="I226" s="22">
        <v>110</v>
      </c>
    </row>
    <row r="227" spans="1:9" s="21" customFormat="1" ht="12" customHeight="1" x14ac:dyDescent="0.2">
      <c r="B227" s="99"/>
      <c r="C227" s="92" t="s">
        <v>191</v>
      </c>
      <c r="D227" s="22">
        <v>1827</v>
      </c>
      <c r="E227" s="22">
        <v>428</v>
      </c>
      <c r="F227" s="22">
        <v>120</v>
      </c>
      <c r="G227" s="22">
        <v>0</v>
      </c>
      <c r="H227" s="22">
        <v>2</v>
      </c>
      <c r="I227" s="22">
        <v>2377</v>
      </c>
    </row>
    <row r="228" spans="1:9" s="21" customFormat="1" ht="12" customHeight="1" x14ac:dyDescent="0.2">
      <c r="B228" s="99"/>
      <c r="C228" s="92" t="s">
        <v>192</v>
      </c>
      <c r="D228" s="22">
        <v>499</v>
      </c>
      <c r="E228" s="22">
        <v>34</v>
      </c>
      <c r="F228" s="22">
        <v>2</v>
      </c>
      <c r="G228" s="22">
        <v>0</v>
      </c>
      <c r="H228" s="22">
        <v>0</v>
      </c>
      <c r="I228" s="22">
        <v>535</v>
      </c>
    </row>
    <row r="229" spans="1:9" s="21" customFormat="1" ht="12" customHeight="1" x14ac:dyDescent="0.2">
      <c r="B229" s="99"/>
      <c r="C229" s="92" t="s">
        <v>193</v>
      </c>
      <c r="D229" s="22">
        <v>487</v>
      </c>
      <c r="E229" s="22">
        <v>44</v>
      </c>
      <c r="F229" s="22">
        <v>7</v>
      </c>
      <c r="G229" s="22">
        <v>0</v>
      </c>
      <c r="H229" s="22">
        <v>0</v>
      </c>
      <c r="I229" s="22">
        <v>538</v>
      </c>
    </row>
    <row r="230" spans="1:9" s="21" customFormat="1" ht="12" customHeight="1" x14ac:dyDescent="0.2">
      <c r="B230" s="99"/>
      <c r="C230" s="92" t="s">
        <v>290</v>
      </c>
      <c r="D230" s="22">
        <v>106</v>
      </c>
      <c r="E230" s="22">
        <v>9</v>
      </c>
      <c r="F230" s="22">
        <v>3</v>
      </c>
      <c r="G230" s="22">
        <v>0</v>
      </c>
      <c r="H230" s="22">
        <v>0</v>
      </c>
      <c r="I230" s="22">
        <v>118</v>
      </c>
    </row>
    <row r="231" spans="1:9" s="21" customFormat="1" ht="12" customHeight="1" x14ac:dyDescent="0.2">
      <c r="B231" s="99"/>
      <c r="C231" s="92" t="s">
        <v>194</v>
      </c>
      <c r="D231" s="22">
        <v>1537</v>
      </c>
      <c r="E231" s="22">
        <v>580</v>
      </c>
      <c r="F231" s="22">
        <v>94</v>
      </c>
      <c r="G231" s="22">
        <v>0</v>
      </c>
      <c r="H231" s="22">
        <v>0</v>
      </c>
      <c r="I231" s="22">
        <v>2211</v>
      </c>
    </row>
    <row r="232" spans="1:9" s="21" customFormat="1" ht="12" customHeight="1" x14ac:dyDescent="0.2">
      <c r="B232" s="99"/>
      <c r="C232" s="92" t="s">
        <v>195</v>
      </c>
      <c r="D232" s="22">
        <v>179</v>
      </c>
      <c r="E232" s="22">
        <v>9</v>
      </c>
      <c r="F232" s="22">
        <v>3</v>
      </c>
      <c r="G232" s="22">
        <v>0</v>
      </c>
      <c r="H232" s="22">
        <v>0</v>
      </c>
      <c r="I232" s="22">
        <v>191</v>
      </c>
    </row>
    <row r="233" spans="1:9" s="21" customFormat="1" ht="12" customHeight="1" x14ac:dyDescent="0.2">
      <c r="B233" s="99"/>
      <c r="C233" s="99" t="s">
        <v>196</v>
      </c>
      <c r="D233" s="44">
        <v>2093</v>
      </c>
      <c r="E233" s="44">
        <v>614</v>
      </c>
      <c r="F233" s="44">
        <v>103</v>
      </c>
      <c r="G233" s="44">
        <v>0</v>
      </c>
      <c r="H233" s="44">
        <v>0</v>
      </c>
      <c r="I233" s="44">
        <v>2810</v>
      </c>
    </row>
    <row r="234" spans="1:9" s="21" customFormat="1" ht="12" customHeight="1" x14ac:dyDescent="0.2">
      <c r="A234" s="363"/>
      <c r="B234" s="363"/>
      <c r="C234" s="363"/>
      <c r="D234" s="363"/>
      <c r="E234" s="363"/>
      <c r="F234" s="363"/>
      <c r="G234" s="363"/>
      <c r="H234" s="363"/>
      <c r="I234" s="363"/>
    </row>
    <row r="235" spans="1:9" s="21" customFormat="1" ht="12" customHeight="1" x14ac:dyDescent="0.2">
      <c r="A235" s="357" t="s">
        <v>197</v>
      </c>
      <c r="B235" s="357"/>
      <c r="C235" s="357"/>
      <c r="D235" s="18">
        <f t="shared" ref="D235:I235" si="47">SUM(D236:D241)</f>
        <v>8170</v>
      </c>
      <c r="E235" s="18">
        <f t="shared" si="47"/>
        <v>3175</v>
      </c>
      <c r="F235" s="18">
        <f t="shared" si="47"/>
        <v>557</v>
      </c>
      <c r="G235" s="18">
        <f t="shared" si="47"/>
        <v>0</v>
      </c>
      <c r="H235" s="18">
        <f t="shared" si="47"/>
        <v>10</v>
      </c>
      <c r="I235" s="18">
        <f t="shared" si="47"/>
        <v>11912</v>
      </c>
    </row>
    <row r="236" spans="1:9" s="21" customFormat="1" ht="12" customHeight="1" x14ac:dyDescent="0.2">
      <c r="B236" s="99"/>
      <c r="C236" s="98" t="s">
        <v>198</v>
      </c>
      <c r="D236" s="32">
        <v>3665</v>
      </c>
      <c r="E236" s="32">
        <v>1933</v>
      </c>
      <c r="F236" s="32">
        <v>335</v>
      </c>
      <c r="G236" s="32">
        <v>0</v>
      </c>
      <c r="H236" s="32">
        <v>2</v>
      </c>
      <c r="I236" s="32">
        <v>5935</v>
      </c>
    </row>
    <row r="237" spans="1:9" s="21" customFormat="1" ht="12" customHeight="1" x14ac:dyDescent="0.2">
      <c r="B237" s="99"/>
      <c r="C237" s="92" t="s">
        <v>199</v>
      </c>
      <c r="D237" s="22">
        <v>1916</v>
      </c>
      <c r="E237" s="22">
        <v>341</v>
      </c>
      <c r="F237" s="22">
        <v>56</v>
      </c>
      <c r="G237" s="22">
        <v>0</v>
      </c>
      <c r="H237" s="22">
        <v>2</v>
      </c>
      <c r="I237" s="22">
        <v>2315</v>
      </c>
    </row>
    <row r="238" spans="1:9" s="21" customFormat="1" ht="12" customHeight="1" x14ac:dyDescent="0.2">
      <c r="B238" s="99"/>
      <c r="C238" s="92" t="s">
        <v>200</v>
      </c>
      <c r="D238" s="22">
        <v>429</v>
      </c>
      <c r="E238" s="22">
        <v>133</v>
      </c>
      <c r="F238" s="22">
        <v>29</v>
      </c>
      <c r="G238" s="22">
        <v>0</v>
      </c>
      <c r="H238" s="22">
        <v>2</v>
      </c>
      <c r="I238" s="22">
        <v>593</v>
      </c>
    </row>
    <row r="239" spans="1:9" s="21" customFormat="1" ht="12" customHeight="1" x14ac:dyDescent="0.2">
      <c r="B239" s="99"/>
      <c r="C239" s="92" t="s">
        <v>201</v>
      </c>
      <c r="D239" s="22">
        <v>428</v>
      </c>
      <c r="E239" s="22">
        <v>75</v>
      </c>
      <c r="F239" s="22">
        <v>24</v>
      </c>
      <c r="G239" s="22">
        <v>0</v>
      </c>
      <c r="H239" s="22">
        <v>1</v>
      </c>
      <c r="I239" s="22">
        <v>528</v>
      </c>
    </row>
    <row r="240" spans="1:9" s="21" customFormat="1" ht="12" customHeight="1" x14ac:dyDescent="0.2">
      <c r="B240" s="99"/>
      <c r="C240" s="92" t="s">
        <v>202</v>
      </c>
      <c r="D240" s="22">
        <v>1126</v>
      </c>
      <c r="E240" s="22">
        <v>364</v>
      </c>
      <c r="F240" s="22">
        <v>64</v>
      </c>
      <c r="G240" s="22">
        <v>0</v>
      </c>
      <c r="H240" s="22">
        <v>2</v>
      </c>
      <c r="I240" s="22">
        <v>1556</v>
      </c>
    </row>
    <row r="241" spans="1:9" s="21" customFormat="1" ht="12" customHeight="1" x14ac:dyDescent="0.2">
      <c r="B241" s="99"/>
      <c r="C241" s="99" t="s">
        <v>203</v>
      </c>
      <c r="D241" s="44">
        <v>606</v>
      </c>
      <c r="E241" s="44">
        <v>329</v>
      </c>
      <c r="F241" s="44">
        <v>49</v>
      </c>
      <c r="G241" s="44">
        <v>0</v>
      </c>
      <c r="H241" s="44">
        <v>1</v>
      </c>
      <c r="I241" s="44">
        <v>985</v>
      </c>
    </row>
    <row r="242" spans="1:9" s="21" customFormat="1" ht="12" customHeight="1" x14ac:dyDescent="0.2">
      <c r="A242" s="363"/>
      <c r="B242" s="363"/>
      <c r="C242" s="363"/>
      <c r="D242" s="363"/>
      <c r="E242" s="363"/>
      <c r="F242" s="363"/>
      <c r="G242" s="363"/>
      <c r="H242" s="363"/>
      <c r="I242" s="363"/>
    </row>
    <row r="243" spans="1:9" s="21" customFormat="1" ht="12" customHeight="1" x14ac:dyDescent="0.2">
      <c r="A243" s="357" t="s">
        <v>204</v>
      </c>
      <c r="B243" s="357"/>
      <c r="C243" s="357"/>
      <c r="D243" s="18">
        <f t="shared" ref="D243:I243" si="48">SUM(D244:D252)</f>
        <v>5164</v>
      </c>
      <c r="E243" s="18">
        <f t="shared" si="48"/>
        <v>309</v>
      </c>
      <c r="F243" s="18">
        <f t="shared" si="48"/>
        <v>145</v>
      </c>
      <c r="G243" s="18">
        <f t="shared" si="48"/>
        <v>0</v>
      </c>
      <c r="H243" s="18">
        <f t="shared" si="48"/>
        <v>2</v>
      </c>
      <c r="I243" s="18">
        <f t="shared" si="48"/>
        <v>5620</v>
      </c>
    </row>
    <row r="244" spans="1:9" s="21" customFormat="1" ht="12" customHeight="1" x14ac:dyDescent="0.2">
      <c r="B244" s="99"/>
      <c r="C244" s="98" t="s">
        <v>205</v>
      </c>
      <c r="D244" s="32">
        <v>1662</v>
      </c>
      <c r="E244" s="32">
        <v>144</v>
      </c>
      <c r="F244" s="32">
        <v>58</v>
      </c>
      <c r="G244" s="32">
        <v>0</v>
      </c>
      <c r="H244" s="32">
        <v>0</v>
      </c>
      <c r="I244" s="32">
        <v>1864</v>
      </c>
    </row>
    <row r="245" spans="1:9" s="21" customFormat="1" ht="12" customHeight="1" x14ac:dyDescent="0.2">
      <c r="B245" s="99"/>
      <c r="C245" s="92" t="s">
        <v>274</v>
      </c>
      <c r="D245" s="22">
        <v>499</v>
      </c>
      <c r="E245" s="22">
        <v>23</v>
      </c>
      <c r="F245" s="22">
        <v>6</v>
      </c>
      <c r="G245" s="22">
        <v>0</v>
      </c>
      <c r="H245" s="22">
        <v>0</v>
      </c>
      <c r="I245" s="22">
        <v>528</v>
      </c>
    </row>
    <row r="246" spans="1:9" s="21" customFormat="1" ht="12" customHeight="1" x14ac:dyDescent="0.2">
      <c r="B246" s="99"/>
      <c r="C246" s="92" t="s">
        <v>275</v>
      </c>
      <c r="D246" s="22">
        <v>76</v>
      </c>
      <c r="E246" s="22">
        <v>0</v>
      </c>
      <c r="F246" s="22">
        <v>0</v>
      </c>
      <c r="G246" s="22">
        <v>0</v>
      </c>
      <c r="H246" s="22">
        <v>0</v>
      </c>
      <c r="I246" s="22">
        <v>76</v>
      </c>
    </row>
    <row r="247" spans="1:9" s="21" customFormat="1" ht="12" customHeight="1" x14ac:dyDescent="0.2">
      <c r="B247" s="99"/>
      <c r="C247" s="92" t="s">
        <v>276</v>
      </c>
      <c r="D247" s="22">
        <v>39</v>
      </c>
      <c r="E247" s="22">
        <v>0</v>
      </c>
      <c r="F247" s="22">
        <v>1</v>
      </c>
      <c r="G247" s="22">
        <v>0</v>
      </c>
      <c r="H247" s="22">
        <v>0</v>
      </c>
      <c r="I247" s="22">
        <v>40</v>
      </c>
    </row>
    <row r="248" spans="1:9" s="21" customFormat="1" ht="12" customHeight="1" x14ac:dyDescent="0.2">
      <c r="B248" s="99"/>
      <c r="C248" s="92" t="s">
        <v>207</v>
      </c>
      <c r="D248" s="22">
        <v>324</v>
      </c>
      <c r="E248" s="22">
        <v>15</v>
      </c>
      <c r="F248" s="22">
        <v>7</v>
      </c>
      <c r="G248" s="22">
        <v>0</v>
      </c>
      <c r="H248" s="22">
        <v>0</v>
      </c>
      <c r="I248" s="22">
        <v>346</v>
      </c>
    </row>
    <row r="249" spans="1:9" s="21" customFormat="1" ht="12" customHeight="1" x14ac:dyDescent="0.2">
      <c r="B249" s="99"/>
      <c r="C249" s="92" t="s">
        <v>208</v>
      </c>
      <c r="D249" s="22">
        <v>1178</v>
      </c>
      <c r="E249" s="22">
        <v>57</v>
      </c>
      <c r="F249" s="22">
        <v>41</v>
      </c>
      <c r="G249" s="22">
        <v>0</v>
      </c>
      <c r="H249" s="22">
        <v>0</v>
      </c>
      <c r="I249" s="22">
        <v>1276</v>
      </c>
    </row>
    <row r="250" spans="1:9" s="21" customFormat="1" ht="12" customHeight="1" x14ac:dyDescent="0.2">
      <c r="B250" s="99"/>
      <c r="C250" s="92" t="s">
        <v>277</v>
      </c>
      <c r="D250" s="22">
        <v>794</v>
      </c>
      <c r="E250" s="22">
        <v>50</v>
      </c>
      <c r="F250" s="22">
        <v>21</v>
      </c>
      <c r="G250" s="22">
        <v>0</v>
      </c>
      <c r="H250" s="22">
        <v>2</v>
      </c>
      <c r="I250" s="22">
        <v>867</v>
      </c>
    </row>
    <row r="251" spans="1:9" s="21" customFormat="1" ht="12" customHeight="1" x14ac:dyDescent="0.2">
      <c r="B251" s="99"/>
      <c r="C251" s="92" t="s">
        <v>209</v>
      </c>
      <c r="D251" s="22">
        <v>326</v>
      </c>
      <c r="E251" s="22">
        <v>5</v>
      </c>
      <c r="F251" s="22">
        <v>4</v>
      </c>
      <c r="G251" s="22">
        <v>0</v>
      </c>
      <c r="H251" s="22">
        <v>0</v>
      </c>
      <c r="I251" s="22">
        <v>335</v>
      </c>
    </row>
    <row r="252" spans="1:9" s="21" customFormat="1" ht="12" customHeight="1" x14ac:dyDescent="0.2">
      <c r="B252" s="99"/>
      <c r="C252" s="99" t="s">
        <v>278</v>
      </c>
      <c r="D252" s="44">
        <v>266</v>
      </c>
      <c r="E252" s="44">
        <v>15</v>
      </c>
      <c r="F252" s="44">
        <v>7</v>
      </c>
      <c r="G252" s="44">
        <v>0</v>
      </c>
      <c r="H252" s="44">
        <v>0</v>
      </c>
      <c r="I252" s="44">
        <v>288</v>
      </c>
    </row>
    <row r="253" spans="1:9" s="21" customFormat="1" ht="12" customHeight="1" x14ac:dyDescent="0.2">
      <c r="A253" s="363"/>
      <c r="B253" s="363"/>
      <c r="C253" s="363"/>
      <c r="D253" s="363"/>
      <c r="E253" s="363"/>
      <c r="F253" s="363"/>
      <c r="G253" s="363"/>
      <c r="H253" s="363"/>
      <c r="I253" s="363"/>
    </row>
    <row r="254" spans="1:9" s="21" customFormat="1" ht="12" customHeight="1" x14ac:dyDescent="0.2">
      <c r="A254" s="357" t="s">
        <v>210</v>
      </c>
      <c r="B254" s="357"/>
      <c r="C254" s="357"/>
      <c r="D254" s="18">
        <f t="shared" ref="D254:I254" si="49">SUM(D255:D275)</f>
        <v>7159</v>
      </c>
      <c r="E254" s="18">
        <f t="shared" si="49"/>
        <v>2012</v>
      </c>
      <c r="F254" s="18">
        <f t="shared" si="49"/>
        <v>937</v>
      </c>
      <c r="G254" s="18">
        <f t="shared" si="49"/>
        <v>0</v>
      </c>
      <c r="H254" s="18">
        <f t="shared" si="49"/>
        <v>5</v>
      </c>
      <c r="I254" s="18">
        <f t="shared" si="49"/>
        <v>10113</v>
      </c>
    </row>
    <row r="255" spans="1:9" s="21" customFormat="1" ht="12" customHeight="1" x14ac:dyDescent="0.2">
      <c r="B255" s="99"/>
      <c r="C255" s="98" t="s">
        <v>211</v>
      </c>
      <c r="D255" s="32">
        <v>1268</v>
      </c>
      <c r="E255" s="32">
        <v>271</v>
      </c>
      <c r="F255" s="32">
        <v>108</v>
      </c>
      <c r="G255" s="32">
        <v>0</v>
      </c>
      <c r="H255" s="32">
        <v>0</v>
      </c>
      <c r="I255" s="32">
        <v>1647</v>
      </c>
    </row>
    <row r="256" spans="1:9" s="21" customFormat="1" ht="12" customHeight="1" x14ac:dyDescent="0.2">
      <c r="B256" s="99"/>
      <c r="C256" s="92" t="s">
        <v>212</v>
      </c>
      <c r="D256" s="22">
        <v>83</v>
      </c>
      <c r="E256" s="22">
        <v>21</v>
      </c>
      <c r="F256" s="22">
        <v>1</v>
      </c>
      <c r="G256" s="22">
        <v>0</v>
      </c>
      <c r="H256" s="22">
        <v>0</v>
      </c>
      <c r="I256" s="22">
        <v>105</v>
      </c>
    </row>
    <row r="257" spans="2:9" s="21" customFormat="1" ht="12" customHeight="1" x14ac:dyDescent="0.2">
      <c r="B257" s="99"/>
      <c r="C257" s="92" t="s">
        <v>213</v>
      </c>
      <c r="D257" s="22">
        <v>63</v>
      </c>
      <c r="E257" s="22">
        <v>3</v>
      </c>
      <c r="F257" s="22">
        <v>4</v>
      </c>
      <c r="G257" s="22">
        <v>0</v>
      </c>
      <c r="H257" s="22">
        <v>0</v>
      </c>
      <c r="I257" s="22">
        <v>70</v>
      </c>
    </row>
    <row r="258" spans="2:9" s="21" customFormat="1" ht="12" customHeight="1" x14ac:dyDescent="0.2">
      <c r="B258" s="99"/>
      <c r="C258" s="92" t="s">
        <v>214</v>
      </c>
      <c r="D258" s="22">
        <v>617</v>
      </c>
      <c r="E258" s="22">
        <v>331</v>
      </c>
      <c r="F258" s="22">
        <v>133</v>
      </c>
      <c r="G258" s="22">
        <v>0</v>
      </c>
      <c r="H258" s="22">
        <v>0</v>
      </c>
      <c r="I258" s="22">
        <v>1081</v>
      </c>
    </row>
    <row r="259" spans="2:9" s="21" customFormat="1" ht="12" customHeight="1" x14ac:dyDescent="0.2">
      <c r="B259" s="99"/>
      <c r="C259" s="92" t="s">
        <v>279</v>
      </c>
      <c r="D259" s="22">
        <v>46</v>
      </c>
      <c r="E259" s="22">
        <v>11</v>
      </c>
      <c r="F259" s="22">
        <v>2</v>
      </c>
      <c r="G259" s="22">
        <v>0</v>
      </c>
      <c r="H259" s="22">
        <v>0</v>
      </c>
      <c r="I259" s="22">
        <v>59</v>
      </c>
    </row>
    <row r="260" spans="2:9" s="21" customFormat="1" ht="12" customHeight="1" x14ac:dyDescent="0.2">
      <c r="B260" s="99"/>
      <c r="C260" s="92" t="s">
        <v>215</v>
      </c>
      <c r="D260" s="22">
        <v>35</v>
      </c>
      <c r="E260" s="22">
        <v>0</v>
      </c>
      <c r="F260" s="22">
        <v>4</v>
      </c>
      <c r="G260" s="22">
        <v>0</v>
      </c>
      <c r="H260" s="22">
        <v>0</v>
      </c>
      <c r="I260" s="22">
        <v>39</v>
      </c>
    </row>
    <row r="261" spans="2:9" s="21" customFormat="1" ht="12" customHeight="1" x14ac:dyDescent="0.2">
      <c r="B261" s="99"/>
      <c r="C261" s="92" t="s">
        <v>216</v>
      </c>
      <c r="D261" s="22">
        <v>58</v>
      </c>
      <c r="E261" s="22">
        <v>0</v>
      </c>
      <c r="F261" s="22">
        <v>0</v>
      </c>
      <c r="G261" s="22">
        <v>0</v>
      </c>
      <c r="H261" s="22">
        <v>0</v>
      </c>
      <c r="I261" s="22">
        <v>58</v>
      </c>
    </row>
    <row r="262" spans="2:9" s="21" customFormat="1" ht="12" customHeight="1" x14ac:dyDescent="0.2">
      <c r="B262" s="99"/>
      <c r="C262" s="92" t="s">
        <v>217</v>
      </c>
      <c r="D262" s="22">
        <v>81</v>
      </c>
      <c r="E262" s="22">
        <v>8</v>
      </c>
      <c r="F262" s="22">
        <v>2</v>
      </c>
      <c r="G262" s="22">
        <v>0</v>
      </c>
      <c r="H262" s="22">
        <v>0</v>
      </c>
      <c r="I262" s="22">
        <v>91</v>
      </c>
    </row>
    <row r="263" spans="2:9" s="21" customFormat="1" ht="12" customHeight="1" x14ac:dyDescent="0.2">
      <c r="B263" s="99"/>
      <c r="C263" s="92" t="s">
        <v>280</v>
      </c>
      <c r="D263" s="22">
        <v>309</v>
      </c>
      <c r="E263" s="22">
        <v>50</v>
      </c>
      <c r="F263" s="22">
        <v>20</v>
      </c>
      <c r="G263" s="22">
        <v>0</v>
      </c>
      <c r="H263" s="22">
        <v>0</v>
      </c>
      <c r="I263" s="22">
        <v>379</v>
      </c>
    </row>
    <row r="264" spans="2:9" s="21" customFormat="1" ht="12" customHeight="1" x14ac:dyDescent="0.2">
      <c r="B264" s="99"/>
      <c r="C264" s="92" t="s">
        <v>218</v>
      </c>
      <c r="D264" s="22">
        <v>384</v>
      </c>
      <c r="E264" s="22">
        <v>14</v>
      </c>
      <c r="F264" s="22">
        <v>4</v>
      </c>
      <c r="G264" s="22">
        <v>0</v>
      </c>
      <c r="H264" s="22">
        <v>0</v>
      </c>
      <c r="I264" s="22">
        <v>402</v>
      </c>
    </row>
    <row r="265" spans="2:9" s="21" customFormat="1" ht="12" customHeight="1" x14ac:dyDescent="0.2">
      <c r="B265" s="99"/>
      <c r="C265" s="92" t="s">
        <v>219</v>
      </c>
      <c r="D265" s="22">
        <v>148</v>
      </c>
      <c r="E265" s="22">
        <v>21</v>
      </c>
      <c r="F265" s="22">
        <v>2</v>
      </c>
      <c r="G265" s="22">
        <v>0</v>
      </c>
      <c r="H265" s="22">
        <v>0</v>
      </c>
      <c r="I265" s="22">
        <v>171</v>
      </c>
    </row>
    <row r="266" spans="2:9" s="21" customFormat="1" ht="12" customHeight="1" x14ac:dyDescent="0.2">
      <c r="B266" s="99"/>
      <c r="C266" s="92" t="s">
        <v>220</v>
      </c>
      <c r="D266" s="22">
        <v>961</v>
      </c>
      <c r="E266" s="22">
        <v>453</v>
      </c>
      <c r="F266" s="22">
        <v>108</v>
      </c>
      <c r="G266" s="22">
        <v>0</v>
      </c>
      <c r="H266" s="22">
        <v>0</v>
      </c>
      <c r="I266" s="22">
        <v>1522</v>
      </c>
    </row>
    <row r="267" spans="2:9" s="21" customFormat="1" ht="12" customHeight="1" x14ac:dyDescent="0.2">
      <c r="B267" s="99"/>
      <c r="C267" s="92" t="s">
        <v>221</v>
      </c>
      <c r="D267" s="22">
        <v>710</v>
      </c>
      <c r="E267" s="22">
        <v>187</v>
      </c>
      <c r="F267" s="22">
        <v>43</v>
      </c>
      <c r="G267" s="22">
        <v>0</v>
      </c>
      <c r="H267" s="22">
        <v>3</v>
      </c>
      <c r="I267" s="22">
        <v>943</v>
      </c>
    </row>
    <row r="268" spans="2:9" s="21" customFormat="1" ht="12" customHeight="1" x14ac:dyDescent="0.2">
      <c r="B268" s="99"/>
      <c r="C268" s="92" t="s">
        <v>222</v>
      </c>
      <c r="D268" s="22">
        <v>213</v>
      </c>
      <c r="E268" s="22">
        <v>64</v>
      </c>
      <c r="F268" s="22">
        <v>136</v>
      </c>
      <c r="G268" s="22">
        <v>0</v>
      </c>
      <c r="H268" s="22">
        <v>0</v>
      </c>
      <c r="I268" s="22">
        <v>413</v>
      </c>
    </row>
    <row r="269" spans="2:9" s="21" customFormat="1" ht="12" customHeight="1" x14ac:dyDescent="0.2">
      <c r="B269" s="99"/>
      <c r="C269" s="92" t="s">
        <v>223</v>
      </c>
      <c r="D269" s="22">
        <v>102</v>
      </c>
      <c r="E269" s="22">
        <v>7</v>
      </c>
      <c r="F269" s="22">
        <v>2</v>
      </c>
      <c r="G269" s="22">
        <v>0</v>
      </c>
      <c r="H269" s="22">
        <v>0</v>
      </c>
      <c r="I269" s="22">
        <v>111</v>
      </c>
    </row>
    <row r="270" spans="2:9" s="21" customFormat="1" ht="12" customHeight="1" x14ac:dyDescent="0.2">
      <c r="B270" s="99"/>
      <c r="C270" s="92" t="s">
        <v>224</v>
      </c>
      <c r="D270" s="22">
        <v>295</v>
      </c>
      <c r="E270" s="22">
        <v>51</v>
      </c>
      <c r="F270" s="22">
        <v>15</v>
      </c>
      <c r="G270" s="22">
        <v>0</v>
      </c>
      <c r="H270" s="22">
        <v>0</v>
      </c>
      <c r="I270" s="22">
        <v>361</v>
      </c>
    </row>
    <row r="271" spans="2:9" s="21" customFormat="1" ht="12" customHeight="1" x14ac:dyDescent="0.2">
      <c r="B271" s="99"/>
      <c r="C271" s="92" t="s">
        <v>225</v>
      </c>
      <c r="D271" s="22">
        <v>461</v>
      </c>
      <c r="E271" s="22">
        <v>245</v>
      </c>
      <c r="F271" s="22">
        <v>286</v>
      </c>
      <c r="G271" s="22">
        <v>0</v>
      </c>
      <c r="H271" s="22">
        <v>0</v>
      </c>
      <c r="I271" s="22">
        <v>992</v>
      </c>
    </row>
    <row r="272" spans="2:9" s="21" customFormat="1" ht="12" customHeight="1" x14ac:dyDescent="0.2">
      <c r="B272" s="99"/>
      <c r="C272" s="92" t="s">
        <v>226</v>
      </c>
      <c r="D272" s="22">
        <v>328</v>
      </c>
      <c r="E272" s="22">
        <v>72</v>
      </c>
      <c r="F272" s="22">
        <v>26</v>
      </c>
      <c r="G272" s="22">
        <v>0</v>
      </c>
      <c r="H272" s="22">
        <v>2</v>
      </c>
      <c r="I272" s="22">
        <v>428</v>
      </c>
    </row>
    <row r="273" spans="1:9" s="21" customFormat="1" ht="12" customHeight="1" x14ac:dyDescent="0.2">
      <c r="B273" s="99"/>
      <c r="C273" s="92" t="s">
        <v>227</v>
      </c>
      <c r="D273" s="22">
        <v>857</v>
      </c>
      <c r="E273" s="22">
        <v>202</v>
      </c>
      <c r="F273" s="22">
        <v>40</v>
      </c>
      <c r="G273" s="22">
        <v>0</v>
      </c>
      <c r="H273" s="22">
        <v>0</v>
      </c>
      <c r="I273" s="22">
        <v>1099</v>
      </c>
    </row>
    <row r="274" spans="1:9" s="21" customFormat="1" ht="12" customHeight="1" x14ac:dyDescent="0.2">
      <c r="B274" s="99"/>
      <c r="C274" s="92" t="s">
        <v>281</v>
      </c>
      <c r="D274" s="22">
        <v>64</v>
      </c>
      <c r="E274" s="22">
        <v>1</v>
      </c>
      <c r="F274" s="22">
        <v>1</v>
      </c>
      <c r="G274" s="22">
        <v>0</v>
      </c>
      <c r="H274" s="22">
        <v>0</v>
      </c>
      <c r="I274" s="22">
        <v>66</v>
      </c>
    </row>
    <row r="275" spans="1:9" s="21" customFormat="1" ht="12" customHeight="1" x14ac:dyDescent="0.2">
      <c r="B275" s="99"/>
      <c r="C275" s="99" t="s">
        <v>228</v>
      </c>
      <c r="D275" s="44">
        <v>76</v>
      </c>
      <c r="E275" s="44">
        <v>0</v>
      </c>
      <c r="F275" s="44">
        <v>0</v>
      </c>
      <c r="G275" s="44">
        <v>0</v>
      </c>
      <c r="H275" s="44">
        <v>0</v>
      </c>
      <c r="I275" s="44">
        <v>76</v>
      </c>
    </row>
    <row r="276" spans="1:9" s="21" customFormat="1" ht="12" customHeight="1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</row>
    <row r="277" spans="1:9" s="21" customFormat="1" ht="12" customHeight="1" x14ac:dyDescent="0.2">
      <c r="A277" s="364"/>
      <c r="B277" s="364"/>
      <c r="C277" s="364"/>
      <c r="D277" s="364"/>
      <c r="E277" s="364"/>
      <c r="F277" s="364"/>
      <c r="G277" s="364"/>
      <c r="H277" s="364"/>
      <c r="I277" s="364"/>
    </row>
    <row r="278" spans="1:9" s="21" customFormat="1" ht="12" customHeight="1" x14ac:dyDescent="0.2">
      <c r="A278" s="357" t="s">
        <v>282</v>
      </c>
      <c r="B278" s="357"/>
      <c r="C278" s="357"/>
      <c r="D278" s="357"/>
      <c r="E278" s="357"/>
      <c r="F278" s="357"/>
      <c r="G278" s="357"/>
      <c r="H278" s="357"/>
      <c r="I278" s="357"/>
    </row>
    <row r="279" spans="1:9" s="21" customFormat="1" ht="12" customHeight="1" x14ac:dyDescent="0.2">
      <c r="B279" s="99"/>
      <c r="C279" s="98" t="s">
        <v>230</v>
      </c>
      <c r="D279" s="32">
        <f t="shared" ref="D279:I279" si="50">SUM(D58:D81)</f>
        <v>37530</v>
      </c>
      <c r="E279" s="32">
        <f t="shared" si="50"/>
        <v>7409</v>
      </c>
      <c r="F279" s="32">
        <f t="shared" si="50"/>
        <v>2153</v>
      </c>
      <c r="G279" s="32">
        <f t="shared" si="50"/>
        <v>222</v>
      </c>
      <c r="H279" s="32">
        <f t="shared" si="50"/>
        <v>13</v>
      </c>
      <c r="I279" s="32">
        <f t="shared" si="50"/>
        <v>47327</v>
      </c>
    </row>
    <row r="280" spans="1:9" s="21" customFormat="1" ht="12" customHeight="1" x14ac:dyDescent="0.2">
      <c r="B280" s="99"/>
      <c r="C280" s="92" t="s">
        <v>231</v>
      </c>
      <c r="D280" s="22">
        <f t="shared" ref="D280:I280" si="51">SUM(D84:D157)</f>
        <v>97652</v>
      </c>
      <c r="E280" s="22">
        <f t="shared" si="51"/>
        <v>27479</v>
      </c>
      <c r="F280" s="22">
        <f t="shared" si="51"/>
        <v>8524</v>
      </c>
      <c r="G280" s="22">
        <f t="shared" si="51"/>
        <v>43</v>
      </c>
      <c r="H280" s="22">
        <f t="shared" si="51"/>
        <v>55</v>
      </c>
      <c r="I280" s="22">
        <f t="shared" si="51"/>
        <v>133753</v>
      </c>
    </row>
    <row r="281" spans="1:9" s="21" customFormat="1" ht="12" customHeight="1" x14ac:dyDescent="0.2">
      <c r="B281" s="99"/>
      <c r="C281" s="92" t="s">
        <v>232</v>
      </c>
      <c r="D281" s="22">
        <f t="shared" ref="D281:I281" si="52">SUM(D160:D199)</f>
        <v>45542</v>
      </c>
      <c r="E281" s="22">
        <f t="shared" si="52"/>
        <v>11225</v>
      </c>
      <c r="F281" s="22">
        <f t="shared" si="52"/>
        <v>2775</v>
      </c>
      <c r="G281" s="22">
        <f t="shared" si="52"/>
        <v>0</v>
      </c>
      <c r="H281" s="22">
        <f t="shared" si="52"/>
        <v>12</v>
      </c>
      <c r="I281" s="22">
        <f t="shared" si="52"/>
        <v>59554</v>
      </c>
    </row>
    <row r="282" spans="1:9" s="21" customFormat="1" ht="12" customHeight="1" x14ac:dyDescent="0.2">
      <c r="B282" s="99"/>
      <c r="C282" s="92" t="s">
        <v>233</v>
      </c>
      <c r="D282" s="22">
        <f t="shared" ref="D282:I282" si="53">SUM(D202:D212)</f>
        <v>5198</v>
      </c>
      <c r="E282" s="22">
        <f t="shared" si="53"/>
        <v>457</v>
      </c>
      <c r="F282" s="22">
        <f t="shared" si="53"/>
        <v>140</v>
      </c>
      <c r="G282" s="22">
        <f t="shared" si="53"/>
        <v>0</v>
      </c>
      <c r="H282" s="22">
        <f t="shared" si="53"/>
        <v>1</v>
      </c>
      <c r="I282" s="22">
        <f t="shared" si="53"/>
        <v>5796</v>
      </c>
    </row>
    <row r="283" spans="1:9" s="21" customFormat="1" ht="12" customHeight="1" x14ac:dyDescent="0.2">
      <c r="B283" s="99"/>
      <c r="C283" s="92" t="s">
        <v>234</v>
      </c>
      <c r="D283" s="22">
        <f t="shared" ref="D283:I283" si="54">SUM(D215:D233)</f>
        <v>33641</v>
      </c>
      <c r="E283" s="22">
        <f t="shared" si="54"/>
        <v>10221</v>
      </c>
      <c r="F283" s="22">
        <f t="shared" si="54"/>
        <v>1979</v>
      </c>
      <c r="G283" s="22">
        <f t="shared" si="54"/>
        <v>1</v>
      </c>
      <c r="H283" s="22">
        <f t="shared" si="54"/>
        <v>14</v>
      </c>
      <c r="I283" s="22">
        <f t="shared" si="54"/>
        <v>45856</v>
      </c>
    </row>
    <row r="284" spans="1:9" s="21" customFormat="1" ht="12" customHeight="1" x14ac:dyDescent="0.2">
      <c r="B284" s="99"/>
      <c r="C284" s="92" t="s">
        <v>235</v>
      </c>
      <c r="D284" s="22">
        <f t="shared" ref="D284:I284" si="55">SUM(D236:D241)</f>
        <v>8170</v>
      </c>
      <c r="E284" s="22">
        <f t="shared" si="55"/>
        <v>3175</v>
      </c>
      <c r="F284" s="22">
        <f t="shared" si="55"/>
        <v>557</v>
      </c>
      <c r="G284" s="22">
        <f t="shared" si="55"/>
        <v>0</v>
      </c>
      <c r="H284" s="22">
        <f t="shared" si="55"/>
        <v>10</v>
      </c>
      <c r="I284" s="22">
        <f t="shared" si="55"/>
        <v>11912</v>
      </c>
    </row>
    <row r="285" spans="1:9" s="21" customFormat="1" ht="12" customHeight="1" x14ac:dyDescent="0.2">
      <c r="B285" s="99"/>
      <c r="C285" s="92" t="s">
        <v>236</v>
      </c>
      <c r="D285" s="22">
        <f t="shared" ref="D285:I285" si="56">SUM(D244:D252)</f>
        <v>5164</v>
      </c>
      <c r="E285" s="22">
        <f t="shared" si="56"/>
        <v>309</v>
      </c>
      <c r="F285" s="22">
        <f t="shared" si="56"/>
        <v>145</v>
      </c>
      <c r="G285" s="22">
        <f t="shared" si="56"/>
        <v>0</v>
      </c>
      <c r="H285" s="22">
        <f t="shared" si="56"/>
        <v>2</v>
      </c>
      <c r="I285" s="22">
        <f t="shared" si="56"/>
        <v>5620</v>
      </c>
    </row>
    <row r="286" spans="1:9" s="21" customFormat="1" ht="12" customHeight="1" x14ac:dyDescent="0.2">
      <c r="B286" s="99"/>
      <c r="C286" s="92" t="s">
        <v>237</v>
      </c>
      <c r="D286" s="22">
        <f t="shared" ref="D286:I286" si="57">SUM(D255:D275)</f>
        <v>7159</v>
      </c>
      <c r="E286" s="22">
        <f t="shared" si="57"/>
        <v>2012</v>
      </c>
      <c r="F286" s="22">
        <f t="shared" si="57"/>
        <v>937</v>
      </c>
      <c r="G286" s="22">
        <f t="shared" si="57"/>
        <v>0</v>
      </c>
      <c r="H286" s="22">
        <f t="shared" si="57"/>
        <v>5</v>
      </c>
      <c r="I286" s="22">
        <f t="shared" si="57"/>
        <v>10113</v>
      </c>
    </row>
    <row r="287" spans="1:9" s="21" customFormat="1" ht="12" customHeight="1" x14ac:dyDescent="0.2">
      <c r="B287" s="99"/>
      <c r="C287" s="102" t="s">
        <v>271</v>
      </c>
      <c r="D287" s="16">
        <f t="shared" ref="D287:I287" si="58">SUM(D279:D286)</f>
        <v>240056</v>
      </c>
      <c r="E287" s="16">
        <f t="shared" si="58"/>
        <v>62287</v>
      </c>
      <c r="F287" s="16">
        <f t="shared" si="58"/>
        <v>17210</v>
      </c>
      <c r="G287" s="16">
        <f t="shared" si="58"/>
        <v>266</v>
      </c>
      <c r="H287" s="16">
        <f t="shared" si="58"/>
        <v>112</v>
      </c>
      <c r="I287" s="16">
        <f t="shared" si="58"/>
        <v>319931</v>
      </c>
    </row>
    <row r="288" spans="1:9" s="21" customFormat="1" ht="12" customHeight="1" x14ac:dyDescent="0.2">
      <c r="A288" s="364"/>
      <c r="B288" s="364"/>
      <c r="C288" s="364"/>
      <c r="D288" s="364"/>
      <c r="E288" s="364"/>
      <c r="F288" s="364"/>
      <c r="G288" s="364"/>
      <c r="H288" s="364"/>
      <c r="I288" s="364"/>
    </row>
    <row r="289" spans="1:9" s="21" customFormat="1" ht="12" customHeight="1" x14ac:dyDescent="0.2">
      <c r="A289" s="357" t="s">
        <v>364</v>
      </c>
      <c r="B289" s="357"/>
      <c r="C289" s="357"/>
      <c r="D289" s="357"/>
      <c r="E289" s="357"/>
      <c r="F289" s="357"/>
      <c r="G289" s="357"/>
      <c r="H289" s="357"/>
      <c r="I289" s="357"/>
    </row>
    <row r="290" spans="1:9" s="21" customFormat="1" ht="12" customHeight="1" x14ac:dyDescent="0.2">
      <c r="B290" s="99"/>
      <c r="C290" s="98" t="s">
        <v>234</v>
      </c>
      <c r="D290" s="32">
        <f t="shared" ref="D290:I290" si="59">D215+D216+D217+D218+D219+D220+D221+D222+D224+D227+D228+D231+D233+D237+D167+D229</f>
        <v>35107</v>
      </c>
      <c r="E290" s="32">
        <f t="shared" si="59"/>
        <v>10629</v>
      </c>
      <c r="F290" s="32">
        <f t="shared" si="59"/>
        <v>2044</v>
      </c>
      <c r="G290" s="32">
        <f t="shared" si="59"/>
        <v>1</v>
      </c>
      <c r="H290" s="32">
        <f t="shared" si="59"/>
        <v>17</v>
      </c>
      <c r="I290" s="32">
        <f t="shared" si="59"/>
        <v>47798</v>
      </c>
    </row>
    <row r="291" spans="1:9" s="21" customFormat="1" ht="12" customHeight="1" x14ac:dyDescent="0.2">
      <c r="B291" s="99"/>
      <c r="C291" s="92" t="s">
        <v>238</v>
      </c>
      <c r="D291" s="22">
        <f t="shared" ref="D291:I291" si="60">D58+D59+D60+D64+D65+D66+D67+D68+D69+D70+D72+D73+D75+D76+D77+D78+D79+D80+D81+D98</f>
        <v>36778</v>
      </c>
      <c r="E291" s="22">
        <f t="shared" si="60"/>
        <v>7385</v>
      </c>
      <c r="F291" s="22">
        <f t="shared" si="60"/>
        <v>2150</v>
      </c>
      <c r="G291" s="22">
        <f t="shared" si="60"/>
        <v>222</v>
      </c>
      <c r="H291" s="22">
        <f t="shared" si="60"/>
        <v>13</v>
      </c>
      <c r="I291" s="22">
        <f t="shared" si="60"/>
        <v>46548</v>
      </c>
    </row>
    <row r="292" spans="1:9" s="21" customFormat="1" ht="12" customHeight="1" x14ac:dyDescent="0.2">
      <c r="B292" s="99"/>
      <c r="C292" s="92" t="s">
        <v>232</v>
      </c>
      <c r="D292" s="22">
        <f t="shared" ref="D292:I292" si="61">D160+D163+D166+D169+D173+D179+D180+D183+D185+D187+D190+D194+D195+D197+D202+D209+D212+D172+D176+D178+D181</f>
        <v>42949</v>
      </c>
      <c r="E292" s="22">
        <f t="shared" si="61"/>
        <v>10798</v>
      </c>
      <c r="F292" s="22">
        <f t="shared" si="61"/>
        <v>2592</v>
      </c>
      <c r="G292" s="22">
        <f t="shared" si="61"/>
        <v>0</v>
      </c>
      <c r="H292" s="22">
        <f t="shared" si="61"/>
        <v>11</v>
      </c>
      <c r="I292" s="22">
        <f t="shared" si="61"/>
        <v>56350</v>
      </c>
    </row>
    <row r="293" spans="1:9" s="21" customFormat="1" ht="12" customHeight="1" x14ac:dyDescent="0.2">
      <c r="B293" s="99"/>
      <c r="C293" s="92" t="s">
        <v>231</v>
      </c>
      <c r="D293" s="22">
        <f t="shared" ref="D293:I293" si="62">+D84+D85+D87+D89+D90+D91+D95+D93+D100+D99+D104+D101+D106+D103+D107+D105+D108+D114+D112+D111+D115+D116+D118+D119+D120+D121+D122+D124+D123+D125+D126+D128+D127+D130+D129+D133+D136+D135+D138+D137+D139+D140+D141+D142+D143+D145+D146+D149+D148+D150+D151+D153+D154+D156+D157</f>
        <v>90460</v>
      </c>
      <c r="E293" s="22">
        <f t="shared" si="62"/>
        <v>26654</v>
      </c>
      <c r="F293" s="22">
        <f t="shared" si="62"/>
        <v>8308</v>
      </c>
      <c r="G293" s="22">
        <f t="shared" si="62"/>
        <v>43</v>
      </c>
      <c r="H293" s="22">
        <f t="shared" si="62"/>
        <v>54</v>
      </c>
      <c r="I293" s="22">
        <f t="shared" si="62"/>
        <v>125519</v>
      </c>
    </row>
    <row r="294" spans="1:9" s="21" customFormat="1" ht="12" customHeight="1" x14ac:dyDescent="0.2">
      <c r="B294" s="99"/>
      <c r="C294" s="102" t="s">
        <v>283</v>
      </c>
      <c r="D294" s="16">
        <f t="shared" ref="D294:I294" si="63">SUM(D290:D293)</f>
        <v>205294</v>
      </c>
      <c r="E294" s="16">
        <f t="shared" si="63"/>
        <v>55466</v>
      </c>
      <c r="F294" s="16">
        <f t="shared" si="63"/>
        <v>15094</v>
      </c>
      <c r="G294" s="16">
        <f t="shared" si="63"/>
        <v>266</v>
      </c>
      <c r="H294" s="16">
        <f t="shared" si="63"/>
        <v>95</v>
      </c>
      <c r="I294" s="16">
        <f t="shared" si="63"/>
        <v>276215</v>
      </c>
    </row>
    <row r="295" spans="1:9" s="54" customFormat="1" ht="5.25" x14ac:dyDescent="0.15">
      <c r="A295" s="317"/>
      <c r="B295" s="317"/>
      <c r="C295" s="317"/>
      <c r="D295" s="317"/>
      <c r="E295" s="317"/>
      <c r="F295" s="317"/>
      <c r="G295" s="317"/>
      <c r="H295" s="317"/>
      <c r="I295" s="317"/>
    </row>
    <row r="296" spans="1:9" s="34" customFormat="1" ht="12" customHeight="1" x14ac:dyDescent="0.2">
      <c r="A296" s="286" t="s">
        <v>363</v>
      </c>
      <c r="B296" s="286"/>
      <c r="C296" s="286"/>
      <c r="D296" s="286"/>
      <c r="E296" s="286"/>
      <c r="F296" s="286"/>
      <c r="G296" s="286"/>
      <c r="H296" s="286"/>
      <c r="I296" s="286"/>
    </row>
    <row r="297" spans="1:9" s="54" customFormat="1" ht="5.25" customHeight="1" x14ac:dyDescent="0.15">
      <c r="A297" s="317"/>
      <c r="B297" s="317"/>
      <c r="C297" s="317"/>
      <c r="D297" s="317"/>
      <c r="E297" s="317"/>
      <c r="F297" s="317"/>
      <c r="G297" s="317"/>
      <c r="H297" s="317"/>
      <c r="I297" s="317"/>
    </row>
    <row r="298" spans="1:9" s="34" customFormat="1" ht="11.25" x14ac:dyDescent="0.2">
      <c r="A298" s="286" t="s">
        <v>240</v>
      </c>
      <c r="B298" s="286"/>
      <c r="C298" s="286"/>
      <c r="D298" s="286"/>
      <c r="E298" s="286"/>
      <c r="F298" s="286"/>
      <c r="G298" s="286"/>
      <c r="H298" s="286"/>
      <c r="I298" s="286"/>
    </row>
    <row r="299" spans="1:9" s="54" customFormat="1" ht="5.25" customHeight="1" x14ac:dyDescent="0.15">
      <c r="A299" s="365"/>
      <c r="B299" s="365"/>
      <c r="C299" s="365"/>
      <c r="D299" s="365"/>
      <c r="E299" s="365"/>
      <c r="F299" s="365"/>
      <c r="G299" s="365"/>
      <c r="H299" s="365"/>
      <c r="I299" s="365"/>
    </row>
    <row r="300" spans="1:9" s="36" customFormat="1" ht="11.25" customHeight="1" x14ac:dyDescent="0.2">
      <c r="A300" s="286" t="s">
        <v>351</v>
      </c>
      <c r="B300" s="286"/>
      <c r="C300" s="286"/>
      <c r="D300" s="286"/>
      <c r="E300" s="286"/>
      <c r="F300" s="286"/>
      <c r="G300" s="286"/>
      <c r="H300" s="286"/>
      <c r="I300" s="286"/>
    </row>
    <row r="301" spans="1:9" s="36" customFormat="1" ht="11.25" customHeight="1" x14ac:dyDescent="0.2">
      <c r="A301" s="286" t="s">
        <v>352</v>
      </c>
      <c r="B301" s="286"/>
      <c r="C301" s="286"/>
      <c r="D301" s="286"/>
      <c r="E301" s="286"/>
      <c r="F301" s="286"/>
      <c r="G301" s="286"/>
      <c r="H301" s="286"/>
      <c r="I301" s="286"/>
    </row>
  </sheetData>
  <mergeCells count="61">
    <mergeCell ref="A301:I301"/>
    <mergeCell ref="A299:I299"/>
    <mergeCell ref="A288:I288"/>
    <mergeCell ref="A289:I289"/>
    <mergeCell ref="A297:I297"/>
    <mergeCell ref="A298:I298"/>
    <mergeCell ref="A300:I300"/>
    <mergeCell ref="A295:I295"/>
    <mergeCell ref="A296:I296"/>
    <mergeCell ref="A254:C254"/>
    <mergeCell ref="A276:I276"/>
    <mergeCell ref="A277:I277"/>
    <mergeCell ref="A278:I278"/>
    <mergeCell ref="A235:C235"/>
    <mergeCell ref="A242:I242"/>
    <mergeCell ref="A243:C243"/>
    <mergeCell ref="A253:I253"/>
    <mergeCell ref="A201:C201"/>
    <mergeCell ref="A213:I213"/>
    <mergeCell ref="A214:C214"/>
    <mergeCell ref="A234:I234"/>
    <mergeCell ref="A83:C83"/>
    <mergeCell ref="A158:I158"/>
    <mergeCell ref="A159:C159"/>
    <mergeCell ref="A200:I200"/>
    <mergeCell ref="A55:I55"/>
    <mergeCell ref="A56:C56"/>
    <mergeCell ref="A57:C57"/>
    <mergeCell ref="A82:I82"/>
    <mergeCell ref="A51:C51"/>
    <mergeCell ref="B52:C52"/>
    <mergeCell ref="B53:C53"/>
    <mergeCell ref="B54:C54"/>
    <mergeCell ref="B41:C41"/>
    <mergeCell ref="B42:C42"/>
    <mergeCell ref="B46:C46"/>
    <mergeCell ref="A50:I50"/>
    <mergeCell ref="B37:C37"/>
    <mergeCell ref="B38:C38"/>
    <mergeCell ref="A39:I39"/>
    <mergeCell ref="A40:C40"/>
    <mergeCell ref="B30:C30"/>
    <mergeCell ref="B31:C31"/>
    <mergeCell ref="A35:I35"/>
    <mergeCell ref="A36:C36"/>
    <mergeCell ref="B22:C22"/>
    <mergeCell ref="B23:C23"/>
    <mergeCell ref="B24:C24"/>
    <mergeCell ref="B27:C27"/>
    <mergeCell ref="A20:I20"/>
    <mergeCell ref="A21:C21"/>
    <mergeCell ref="D5:I5"/>
    <mergeCell ref="D6:I6"/>
    <mergeCell ref="A10:C10"/>
    <mergeCell ref="B11:C11"/>
    <mergeCell ref="B19:C19"/>
    <mergeCell ref="A1:I1"/>
    <mergeCell ref="A2:I2"/>
    <mergeCell ref="A3:I3"/>
    <mergeCell ref="A4:I4"/>
    <mergeCell ref="B15:C15"/>
  </mergeCells>
  <phoneticPr fontId="0" type="noConversion"/>
  <pageMargins left="0" right="0" top="0" bottom="0" header="0" footer="0"/>
  <pageSetup paperSize="9" scale="90" orientation="portrait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oglio10"/>
  <dimension ref="A1:J335"/>
  <sheetViews>
    <sheetView workbookViewId="0">
      <selection sqref="A1:J1"/>
    </sheetView>
  </sheetViews>
  <sheetFormatPr defaultRowHeight="12.75" x14ac:dyDescent="0.2"/>
  <cols>
    <col min="1" max="1" width="1.7109375" style="105" customWidth="1"/>
    <col min="2" max="2" width="1.7109375" customWidth="1"/>
    <col min="3" max="3" width="25.7109375" customWidth="1"/>
    <col min="5" max="5" width="10.140625" customWidth="1"/>
    <col min="7" max="7" width="12.85546875" customWidth="1"/>
    <col min="8" max="8" width="10.7109375" customWidth="1"/>
  </cols>
  <sheetData>
    <row r="1" spans="1:10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</row>
    <row r="2" spans="1:10" s="3" customFormat="1" ht="27.75" customHeight="1" x14ac:dyDescent="0.2">
      <c r="A2" s="368" t="s">
        <v>331</v>
      </c>
      <c r="B2" s="368"/>
      <c r="C2" s="368"/>
      <c r="D2" s="368"/>
      <c r="E2" s="368"/>
      <c r="F2" s="368"/>
      <c r="G2" s="368"/>
      <c r="H2" s="368"/>
      <c r="I2" s="368"/>
      <c r="J2" s="368"/>
    </row>
    <row r="3" spans="1:10" s="3" customFormat="1" ht="15" customHeight="1" x14ac:dyDescent="0.2">
      <c r="A3" s="359"/>
      <c r="B3" s="359"/>
      <c r="C3" s="359"/>
      <c r="D3" s="359"/>
      <c r="E3" s="359"/>
      <c r="F3" s="359"/>
      <c r="G3" s="359"/>
      <c r="H3" s="359"/>
      <c r="I3" s="359"/>
      <c r="J3" s="359"/>
    </row>
    <row r="4" spans="1:10" s="4" customFormat="1" ht="15" customHeight="1" x14ac:dyDescent="0.25">
      <c r="A4" s="360"/>
      <c r="B4" s="360"/>
      <c r="C4" s="360"/>
      <c r="D4" s="360"/>
      <c r="E4" s="360"/>
      <c r="F4" s="360"/>
      <c r="G4" s="360"/>
      <c r="H4" s="360"/>
      <c r="I4" s="360"/>
      <c r="J4" s="360"/>
    </row>
    <row r="5" spans="1:10" s="1" customFormat="1" ht="12" customHeight="1" x14ac:dyDescent="0.2">
      <c r="A5" s="81"/>
      <c r="B5" s="81"/>
      <c r="C5" s="81"/>
      <c r="D5" s="353">
        <v>2003</v>
      </c>
      <c r="E5" s="354"/>
      <c r="F5" s="354"/>
      <c r="G5" s="354"/>
      <c r="H5" s="354"/>
      <c r="I5" s="369"/>
      <c r="J5" s="82">
        <v>2002</v>
      </c>
    </row>
    <row r="6" spans="1:10" s="1" customFormat="1" ht="12" customHeight="1" x14ac:dyDescent="0.2">
      <c r="A6" s="84"/>
      <c r="B6" s="84"/>
      <c r="C6" s="84"/>
      <c r="D6" s="355"/>
      <c r="E6" s="356"/>
      <c r="F6" s="356"/>
      <c r="G6" s="356"/>
      <c r="H6" s="356"/>
      <c r="I6" s="370"/>
      <c r="J6" s="85"/>
    </row>
    <row r="7" spans="1:10" s="1" customFormat="1" ht="12" customHeight="1" x14ac:dyDescent="0.2">
      <c r="A7" s="84"/>
      <c r="D7" s="45" t="s">
        <v>2</v>
      </c>
      <c r="E7" s="45" t="s">
        <v>3</v>
      </c>
      <c r="F7" s="45"/>
      <c r="G7" s="45"/>
      <c r="H7" s="45"/>
      <c r="I7" s="45"/>
      <c r="J7" s="45"/>
    </row>
    <row r="8" spans="1:10" s="1" customFormat="1" ht="12" customHeight="1" x14ac:dyDescent="0.2">
      <c r="A8" s="84"/>
      <c r="E8" s="87"/>
      <c r="F8" s="87"/>
      <c r="G8" s="87" t="s">
        <v>4</v>
      </c>
      <c r="H8" s="87" t="s">
        <v>5</v>
      </c>
      <c r="I8" s="87"/>
      <c r="J8" s="87"/>
    </row>
    <row r="9" spans="1:10" s="87" customFormat="1" ht="12" customHeight="1" x14ac:dyDescent="0.2">
      <c r="A9" s="88"/>
      <c r="B9" s="104"/>
      <c r="C9" s="104"/>
      <c r="D9" s="90"/>
      <c r="E9" s="90" t="s">
        <v>6</v>
      </c>
      <c r="F9" s="90" t="s">
        <v>7</v>
      </c>
      <c r="G9" s="90" t="s">
        <v>8</v>
      </c>
      <c r="H9" s="90" t="s">
        <v>9</v>
      </c>
      <c r="I9" s="91" t="s">
        <v>1</v>
      </c>
      <c r="J9" s="90"/>
    </row>
    <row r="10" spans="1:10" s="21" customFormat="1" ht="11.25" customHeight="1" x14ac:dyDescent="0.2">
      <c r="A10" s="357" t="s">
        <v>11</v>
      </c>
      <c r="B10" s="357"/>
      <c r="C10" s="357"/>
      <c r="D10" s="18">
        <f t="shared" ref="D10:J10" si="0">D11+D15+D19</f>
        <v>21468</v>
      </c>
      <c r="E10" s="18">
        <f t="shared" si="0"/>
        <v>5698</v>
      </c>
      <c r="F10" s="18">
        <f t="shared" si="0"/>
        <v>1354</v>
      </c>
      <c r="G10" s="18">
        <f t="shared" si="0"/>
        <v>0</v>
      </c>
      <c r="H10" s="18">
        <f t="shared" si="0"/>
        <v>9</v>
      </c>
      <c r="I10" s="18">
        <f t="shared" si="0"/>
        <v>28529</v>
      </c>
      <c r="J10" s="18">
        <f t="shared" si="0"/>
        <v>28399</v>
      </c>
    </row>
    <row r="11" spans="1:10" s="21" customFormat="1" ht="11.25" customHeight="1" x14ac:dyDescent="0.2">
      <c r="A11" s="19"/>
      <c r="B11" s="358" t="s">
        <v>12</v>
      </c>
      <c r="C11" s="358"/>
      <c r="D11" s="22">
        <f t="shared" ref="D11:J11" si="1">D12+D13+D14</f>
        <v>7133</v>
      </c>
      <c r="E11" s="22">
        <f t="shared" si="1"/>
        <v>2081</v>
      </c>
      <c r="F11" s="22">
        <f t="shared" si="1"/>
        <v>710</v>
      </c>
      <c r="G11" s="22">
        <f t="shared" si="1"/>
        <v>0</v>
      </c>
      <c r="H11" s="22">
        <f t="shared" si="1"/>
        <v>5</v>
      </c>
      <c r="I11" s="22">
        <f t="shared" si="1"/>
        <v>9929</v>
      </c>
      <c r="J11" s="22">
        <f t="shared" si="1"/>
        <v>9877</v>
      </c>
    </row>
    <row r="12" spans="1:10" s="21" customFormat="1" ht="11.25" customHeight="1" x14ac:dyDescent="0.2">
      <c r="A12" s="19"/>
      <c r="B12" s="95"/>
      <c r="C12" s="94" t="s">
        <v>13</v>
      </c>
      <c r="D12" s="22">
        <f t="shared" ref="D12:J12" si="2">D289+D291+D299+D306+D307</f>
        <v>2654</v>
      </c>
      <c r="E12" s="22">
        <f t="shared" si="2"/>
        <v>615</v>
      </c>
      <c r="F12" s="22">
        <f t="shared" si="2"/>
        <v>150</v>
      </c>
      <c r="G12" s="22">
        <f t="shared" si="2"/>
        <v>0</v>
      </c>
      <c r="H12" s="22">
        <f t="shared" si="2"/>
        <v>0</v>
      </c>
      <c r="I12" s="22">
        <f t="shared" si="2"/>
        <v>3419</v>
      </c>
      <c r="J12" s="22">
        <f t="shared" si="2"/>
        <v>3467</v>
      </c>
    </row>
    <row r="13" spans="1:10" s="21" customFormat="1" ht="11.25" customHeight="1" x14ac:dyDescent="0.2">
      <c r="A13" s="19"/>
      <c r="B13" s="95"/>
      <c r="C13" s="94" t="s">
        <v>14</v>
      </c>
      <c r="D13" s="22">
        <f t="shared" ref="D13:J13" si="3">D290+D293+D294+D295+D296+D297+D298+D300+D302+D303+D308+D309</f>
        <v>2400</v>
      </c>
      <c r="E13" s="22">
        <f t="shared" si="3"/>
        <v>638</v>
      </c>
      <c r="F13" s="22">
        <f t="shared" si="3"/>
        <v>232</v>
      </c>
      <c r="G13" s="22">
        <f t="shared" si="3"/>
        <v>0</v>
      </c>
      <c r="H13" s="22">
        <f t="shared" si="3"/>
        <v>2</v>
      </c>
      <c r="I13" s="22">
        <f t="shared" si="3"/>
        <v>3272</v>
      </c>
      <c r="J13" s="22">
        <f t="shared" si="3"/>
        <v>3252</v>
      </c>
    </row>
    <row r="14" spans="1:10" s="21" customFormat="1" ht="11.25" customHeight="1" x14ac:dyDescent="0.2">
      <c r="A14" s="19"/>
      <c r="B14" s="96"/>
      <c r="C14" s="96" t="s">
        <v>15</v>
      </c>
      <c r="D14" s="22">
        <f t="shared" ref="D14:J14" si="4">D292+D301+D304+D305</f>
        <v>2079</v>
      </c>
      <c r="E14" s="22">
        <f t="shared" si="4"/>
        <v>828</v>
      </c>
      <c r="F14" s="22">
        <f t="shared" si="4"/>
        <v>328</v>
      </c>
      <c r="G14" s="22">
        <f t="shared" si="4"/>
        <v>0</v>
      </c>
      <c r="H14" s="22">
        <f t="shared" si="4"/>
        <v>3</v>
      </c>
      <c r="I14" s="22">
        <f t="shared" si="4"/>
        <v>3238</v>
      </c>
      <c r="J14" s="22">
        <f t="shared" si="4"/>
        <v>3158</v>
      </c>
    </row>
    <row r="15" spans="1:10" s="21" customFormat="1" ht="11.25" customHeight="1" x14ac:dyDescent="0.2">
      <c r="A15" s="19"/>
      <c r="B15" s="358" t="s">
        <v>16</v>
      </c>
      <c r="C15" s="358"/>
      <c r="D15" s="22">
        <f t="shared" ref="D15:J15" si="5">D16+D17+D18</f>
        <v>5131</v>
      </c>
      <c r="E15" s="22">
        <f t="shared" si="5"/>
        <v>304</v>
      </c>
      <c r="F15" s="22">
        <f t="shared" si="5"/>
        <v>100</v>
      </c>
      <c r="G15" s="22">
        <f t="shared" si="5"/>
        <v>0</v>
      </c>
      <c r="H15" s="22">
        <f t="shared" si="5"/>
        <v>0</v>
      </c>
      <c r="I15" s="22">
        <f t="shared" si="5"/>
        <v>5535</v>
      </c>
      <c r="J15" s="22">
        <f t="shared" si="5"/>
        <v>5495</v>
      </c>
    </row>
    <row r="16" spans="1:10" s="21" customFormat="1" ht="11.25" customHeight="1" x14ac:dyDescent="0.2">
      <c r="A16" s="19"/>
      <c r="B16" s="95"/>
      <c r="C16" s="94" t="s">
        <v>17</v>
      </c>
      <c r="D16" s="22">
        <f t="shared" ref="D16:J16" si="6">D270+D271+D275+D282+D286</f>
        <v>1647</v>
      </c>
      <c r="E16" s="22">
        <f t="shared" si="6"/>
        <v>84</v>
      </c>
      <c r="F16" s="22">
        <f t="shared" si="6"/>
        <v>25</v>
      </c>
      <c r="G16" s="22">
        <f t="shared" si="6"/>
        <v>0</v>
      </c>
      <c r="H16" s="22">
        <f t="shared" si="6"/>
        <v>0</v>
      </c>
      <c r="I16" s="22">
        <f t="shared" si="6"/>
        <v>1756</v>
      </c>
      <c r="J16" s="22">
        <f t="shared" si="6"/>
        <v>1752</v>
      </c>
    </row>
    <row r="17" spans="1:10" s="21" customFormat="1" ht="11.25" customHeight="1" x14ac:dyDescent="0.2">
      <c r="A17" s="19"/>
      <c r="B17" s="95"/>
      <c r="C17" s="94" t="s">
        <v>18</v>
      </c>
      <c r="D17" s="22">
        <f t="shared" ref="D17:J17" si="7">D272+D273+D274+D276+D277+D278+D281+D283+D284</f>
        <v>1663</v>
      </c>
      <c r="E17" s="22">
        <f t="shared" si="7"/>
        <v>139</v>
      </c>
      <c r="F17" s="22">
        <f t="shared" si="7"/>
        <v>37</v>
      </c>
      <c r="G17" s="22">
        <f t="shared" si="7"/>
        <v>0</v>
      </c>
      <c r="H17" s="22">
        <f t="shared" si="7"/>
        <v>0</v>
      </c>
      <c r="I17" s="22">
        <f t="shared" si="7"/>
        <v>1839</v>
      </c>
      <c r="J17" s="22">
        <f t="shared" si="7"/>
        <v>1811</v>
      </c>
    </row>
    <row r="18" spans="1:10" s="21" customFormat="1" ht="11.25" customHeight="1" x14ac:dyDescent="0.2">
      <c r="A18" s="19"/>
      <c r="B18" s="96"/>
      <c r="C18" s="94" t="s">
        <v>19</v>
      </c>
      <c r="D18" s="22">
        <f t="shared" ref="D18:J18" si="8">D279+D280+D285</f>
        <v>1821</v>
      </c>
      <c r="E18" s="22">
        <f t="shared" si="8"/>
        <v>81</v>
      </c>
      <c r="F18" s="22">
        <f t="shared" si="8"/>
        <v>38</v>
      </c>
      <c r="G18" s="22">
        <f t="shared" si="8"/>
        <v>0</v>
      </c>
      <c r="H18" s="22">
        <f t="shared" si="8"/>
        <v>0</v>
      </c>
      <c r="I18" s="22">
        <f t="shared" si="8"/>
        <v>1940</v>
      </c>
      <c r="J18" s="22">
        <f t="shared" si="8"/>
        <v>1932</v>
      </c>
    </row>
    <row r="19" spans="1:10" s="21" customFormat="1" ht="11.25" customHeight="1" x14ac:dyDescent="0.2">
      <c r="A19" s="19"/>
      <c r="B19" s="364" t="s">
        <v>20</v>
      </c>
      <c r="C19" s="364"/>
      <c r="D19" s="44">
        <f t="shared" ref="D19:J19" si="9">D262+D263+D264+D246+D265+D266+D252+D267+D255</f>
        <v>9204</v>
      </c>
      <c r="E19" s="44">
        <f t="shared" si="9"/>
        <v>3313</v>
      </c>
      <c r="F19" s="44">
        <f t="shared" si="9"/>
        <v>544</v>
      </c>
      <c r="G19" s="44">
        <f t="shared" si="9"/>
        <v>0</v>
      </c>
      <c r="H19" s="44">
        <f t="shared" si="9"/>
        <v>4</v>
      </c>
      <c r="I19" s="44">
        <f t="shared" si="9"/>
        <v>13065</v>
      </c>
      <c r="J19" s="44">
        <f t="shared" si="9"/>
        <v>13027</v>
      </c>
    </row>
    <row r="20" spans="1:10" s="21" customFormat="1" ht="11.25" customHeight="1" x14ac:dyDescent="0.2">
      <c r="A20" s="357"/>
      <c r="B20" s="357"/>
      <c r="C20" s="357"/>
      <c r="D20" s="357"/>
      <c r="E20" s="357"/>
      <c r="F20" s="357"/>
      <c r="G20" s="357"/>
      <c r="H20" s="357"/>
      <c r="I20" s="357"/>
      <c r="J20" s="357"/>
    </row>
    <row r="21" spans="1:10" s="21" customFormat="1" ht="11.25" customHeight="1" x14ac:dyDescent="0.2">
      <c r="A21" s="357" t="s">
        <v>21</v>
      </c>
      <c r="B21" s="357"/>
      <c r="C21" s="357"/>
      <c r="D21" s="18">
        <f t="shared" ref="D21:J21" si="10">D22+D23+D24+D27+D30+D31</f>
        <v>49743</v>
      </c>
      <c r="E21" s="18">
        <f t="shared" si="10"/>
        <v>11682</v>
      </c>
      <c r="F21" s="18">
        <f t="shared" si="10"/>
        <v>2759</v>
      </c>
      <c r="G21" s="18">
        <f t="shared" si="10"/>
        <v>0</v>
      </c>
      <c r="H21" s="18">
        <f t="shared" si="10"/>
        <v>12</v>
      </c>
      <c r="I21" s="18">
        <f t="shared" si="10"/>
        <v>64196</v>
      </c>
      <c r="J21" s="18">
        <f t="shared" si="10"/>
        <v>63748</v>
      </c>
    </row>
    <row r="22" spans="1:10" s="21" customFormat="1" ht="11.25" customHeight="1" x14ac:dyDescent="0.2">
      <c r="A22" s="19"/>
      <c r="B22" s="358" t="s">
        <v>22</v>
      </c>
      <c r="C22" s="358"/>
      <c r="D22" s="22">
        <f t="shared" ref="D22:J22" si="11">D175+D178+D179+D194+D195+D198+D200+D202+D205</f>
        <v>28536</v>
      </c>
      <c r="E22" s="22">
        <f t="shared" si="11"/>
        <v>8682</v>
      </c>
      <c r="F22" s="22">
        <f t="shared" si="11"/>
        <v>2072</v>
      </c>
      <c r="G22" s="22">
        <f t="shared" si="11"/>
        <v>0</v>
      </c>
      <c r="H22" s="22">
        <f t="shared" si="11"/>
        <v>8</v>
      </c>
      <c r="I22" s="22">
        <f t="shared" si="11"/>
        <v>39298</v>
      </c>
      <c r="J22" s="22">
        <f t="shared" si="11"/>
        <v>39044</v>
      </c>
    </row>
    <row r="23" spans="1:10" s="21" customFormat="1" ht="11.25" customHeight="1" x14ac:dyDescent="0.2">
      <c r="A23" s="19"/>
      <c r="B23" s="358" t="s">
        <v>23</v>
      </c>
      <c r="C23" s="358"/>
      <c r="D23" s="22">
        <f t="shared" ref="D23:J23" si="12">D180+D186+D190+D196+D204+D206+D207+D213</f>
        <v>3225</v>
      </c>
      <c r="E23" s="22">
        <f t="shared" si="12"/>
        <v>500</v>
      </c>
      <c r="F23" s="22">
        <f t="shared" si="12"/>
        <v>132</v>
      </c>
      <c r="G23" s="22">
        <f t="shared" si="12"/>
        <v>0</v>
      </c>
      <c r="H23" s="22">
        <f t="shared" si="12"/>
        <v>3</v>
      </c>
      <c r="I23" s="22">
        <f t="shared" si="12"/>
        <v>3860</v>
      </c>
      <c r="J23" s="22">
        <f t="shared" si="12"/>
        <v>3776</v>
      </c>
    </row>
    <row r="24" spans="1:10" s="21" customFormat="1" ht="11.25" customHeight="1" x14ac:dyDescent="0.2">
      <c r="A24" s="19"/>
      <c r="B24" s="358" t="s">
        <v>24</v>
      </c>
      <c r="C24" s="358"/>
      <c r="D24" s="22">
        <f t="shared" ref="D24:J24" si="13">D25+D26</f>
        <v>8882</v>
      </c>
      <c r="E24" s="22">
        <f t="shared" si="13"/>
        <v>1699</v>
      </c>
      <c r="F24" s="22">
        <f t="shared" si="13"/>
        <v>319</v>
      </c>
      <c r="G24" s="22">
        <f t="shared" si="13"/>
        <v>0</v>
      </c>
      <c r="H24" s="22">
        <f t="shared" si="13"/>
        <v>0</v>
      </c>
      <c r="I24" s="22">
        <f t="shared" si="13"/>
        <v>10900</v>
      </c>
      <c r="J24" s="22">
        <f t="shared" si="13"/>
        <v>10829</v>
      </c>
    </row>
    <row r="25" spans="1:10" s="21" customFormat="1" ht="11.25" customHeight="1" x14ac:dyDescent="0.2">
      <c r="A25" s="19"/>
      <c r="B25" s="95"/>
      <c r="C25" s="94" t="s">
        <v>25</v>
      </c>
      <c r="D25" s="22">
        <f t="shared" ref="D25:J25" si="14">D177+D183+D185+D197+D208+D214</f>
        <v>898</v>
      </c>
      <c r="E25" s="22">
        <f t="shared" si="14"/>
        <v>25</v>
      </c>
      <c r="F25" s="22">
        <f t="shared" si="14"/>
        <v>15</v>
      </c>
      <c r="G25" s="22">
        <f t="shared" si="14"/>
        <v>0</v>
      </c>
      <c r="H25" s="22">
        <f t="shared" si="14"/>
        <v>0</v>
      </c>
      <c r="I25" s="22">
        <f t="shared" si="14"/>
        <v>938</v>
      </c>
      <c r="J25" s="22">
        <f t="shared" si="14"/>
        <v>961</v>
      </c>
    </row>
    <row r="26" spans="1:10" s="21" customFormat="1" ht="11.25" customHeight="1" x14ac:dyDescent="0.2">
      <c r="A26" s="19"/>
      <c r="B26" s="96"/>
      <c r="C26" s="96" t="s">
        <v>26</v>
      </c>
      <c r="D26" s="22">
        <f t="shared" ref="D26:J26" si="15">D184+D187+D188+D193+D210</f>
        <v>7984</v>
      </c>
      <c r="E26" s="22">
        <f t="shared" si="15"/>
        <v>1674</v>
      </c>
      <c r="F26" s="22">
        <f t="shared" si="15"/>
        <v>304</v>
      </c>
      <c r="G26" s="22">
        <f t="shared" si="15"/>
        <v>0</v>
      </c>
      <c r="H26" s="22">
        <f t="shared" si="15"/>
        <v>0</v>
      </c>
      <c r="I26" s="22">
        <f t="shared" si="15"/>
        <v>9962</v>
      </c>
      <c r="J26" s="22">
        <f t="shared" si="15"/>
        <v>9868</v>
      </c>
    </row>
    <row r="27" spans="1:10" s="21" customFormat="1" ht="11.25" customHeight="1" x14ac:dyDescent="0.2">
      <c r="A27" s="19"/>
      <c r="B27" s="358" t="s">
        <v>27</v>
      </c>
      <c r="C27" s="358"/>
      <c r="D27" s="22">
        <f t="shared" ref="D27:J27" si="16">D28+D29</f>
        <v>3232</v>
      </c>
      <c r="E27" s="22">
        <f t="shared" si="16"/>
        <v>286</v>
      </c>
      <c r="F27" s="22">
        <f t="shared" si="16"/>
        <v>81</v>
      </c>
      <c r="G27" s="22">
        <f t="shared" si="16"/>
        <v>0</v>
      </c>
      <c r="H27" s="22">
        <f t="shared" si="16"/>
        <v>0</v>
      </c>
      <c r="I27" s="22">
        <f t="shared" si="16"/>
        <v>3599</v>
      </c>
      <c r="J27" s="22">
        <f t="shared" si="16"/>
        <v>3566</v>
      </c>
    </row>
    <row r="28" spans="1:10" s="21" customFormat="1" ht="11.25" customHeight="1" x14ac:dyDescent="0.2">
      <c r="A28" s="19"/>
      <c r="B28" s="95"/>
      <c r="C28" s="94" t="s">
        <v>28</v>
      </c>
      <c r="D28" s="22">
        <f t="shared" ref="D28:J28" si="17">D176+D191+D203</f>
        <v>1055</v>
      </c>
      <c r="E28" s="22">
        <f t="shared" si="17"/>
        <v>74</v>
      </c>
      <c r="F28" s="22">
        <f t="shared" si="17"/>
        <v>21</v>
      </c>
      <c r="G28" s="22">
        <f t="shared" si="17"/>
        <v>0</v>
      </c>
      <c r="H28" s="22">
        <f t="shared" si="17"/>
        <v>0</v>
      </c>
      <c r="I28" s="22">
        <f t="shared" si="17"/>
        <v>1150</v>
      </c>
      <c r="J28" s="22">
        <f t="shared" si="17"/>
        <v>1157</v>
      </c>
    </row>
    <row r="29" spans="1:10" s="21" customFormat="1" ht="11.25" customHeight="1" x14ac:dyDescent="0.2">
      <c r="A29" s="19"/>
      <c r="B29" s="96"/>
      <c r="C29" s="96" t="s">
        <v>29</v>
      </c>
      <c r="D29" s="22">
        <f t="shared" ref="D29:J29" si="18">D181+D209+D212</f>
        <v>2177</v>
      </c>
      <c r="E29" s="22">
        <f t="shared" si="18"/>
        <v>212</v>
      </c>
      <c r="F29" s="22">
        <f t="shared" si="18"/>
        <v>60</v>
      </c>
      <c r="G29" s="22">
        <f t="shared" si="18"/>
        <v>0</v>
      </c>
      <c r="H29" s="22">
        <f t="shared" si="18"/>
        <v>0</v>
      </c>
      <c r="I29" s="22">
        <f t="shared" si="18"/>
        <v>2449</v>
      </c>
      <c r="J29" s="22">
        <f t="shared" si="18"/>
        <v>2409</v>
      </c>
    </row>
    <row r="30" spans="1:10" s="21" customFormat="1" ht="11.25" customHeight="1" x14ac:dyDescent="0.2">
      <c r="A30" s="19"/>
      <c r="B30" s="358" t="s">
        <v>30</v>
      </c>
      <c r="C30" s="358"/>
      <c r="D30" s="22">
        <f t="shared" ref="D30:J30" si="19">D189+D192+D199+D201+D211</f>
        <v>737</v>
      </c>
      <c r="E30" s="22">
        <f t="shared" si="19"/>
        <v>44</v>
      </c>
      <c r="F30" s="22">
        <f t="shared" si="19"/>
        <v>14</v>
      </c>
      <c r="G30" s="22">
        <f t="shared" si="19"/>
        <v>0</v>
      </c>
      <c r="H30" s="22">
        <f t="shared" si="19"/>
        <v>0</v>
      </c>
      <c r="I30" s="22">
        <f t="shared" si="19"/>
        <v>795</v>
      </c>
      <c r="J30" s="22">
        <f t="shared" si="19"/>
        <v>809</v>
      </c>
    </row>
    <row r="31" spans="1:10" s="21" customFormat="1" ht="11.25" customHeight="1" x14ac:dyDescent="0.2">
      <c r="A31" s="19"/>
      <c r="B31" s="358" t="s">
        <v>31</v>
      </c>
      <c r="C31" s="358"/>
      <c r="D31" s="22">
        <f t="shared" ref="D31:J31" si="20">D32+D33+D34</f>
        <v>5131</v>
      </c>
      <c r="E31" s="22">
        <f t="shared" si="20"/>
        <v>471</v>
      </c>
      <c r="F31" s="22">
        <f t="shared" si="20"/>
        <v>141</v>
      </c>
      <c r="G31" s="22">
        <f t="shared" si="20"/>
        <v>0</v>
      </c>
      <c r="H31" s="22">
        <f t="shared" si="20"/>
        <v>1</v>
      </c>
      <c r="I31" s="22">
        <f t="shared" si="20"/>
        <v>5744</v>
      </c>
      <c r="J31" s="22">
        <f t="shared" si="20"/>
        <v>5724</v>
      </c>
    </row>
    <row r="32" spans="1:10" s="21" customFormat="1" ht="11.25" customHeight="1" x14ac:dyDescent="0.2">
      <c r="A32" s="19"/>
      <c r="B32" s="95"/>
      <c r="C32" s="94" t="s">
        <v>32</v>
      </c>
      <c r="D32" s="22">
        <f t="shared" ref="D32:J32" si="21">D221+D222+D228+D234+D236+D237</f>
        <v>560</v>
      </c>
      <c r="E32" s="22">
        <f t="shared" si="21"/>
        <v>17</v>
      </c>
      <c r="F32" s="22">
        <f t="shared" si="21"/>
        <v>6</v>
      </c>
      <c r="G32" s="22">
        <f t="shared" si="21"/>
        <v>0</v>
      </c>
      <c r="H32" s="22">
        <f t="shared" si="21"/>
        <v>0</v>
      </c>
      <c r="I32" s="22">
        <f t="shared" si="21"/>
        <v>583</v>
      </c>
      <c r="J32" s="22">
        <f t="shared" si="21"/>
        <v>583</v>
      </c>
    </row>
    <row r="33" spans="1:10" s="21" customFormat="1" ht="11.25" customHeight="1" x14ac:dyDescent="0.2">
      <c r="A33" s="19"/>
      <c r="B33" s="95"/>
      <c r="C33" s="96" t="s">
        <v>33</v>
      </c>
      <c r="D33" s="22">
        <f t="shared" ref="D33:J33" si="22">D220+D223+D225+D231</f>
        <v>218</v>
      </c>
      <c r="E33" s="22">
        <f t="shared" si="22"/>
        <v>10</v>
      </c>
      <c r="F33" s="22">
        <f t="shared" si="22"/>
        <v>7</v>
      </c>
      <c r="G33" s="22">
        <f t="shared" si="22"/>
        <v>0</v>
      </c>
      <c r="H33" s="22">
        <f t="shared" si="22"/>
        <v>0</v>
      </c>
      <c r="I33" s="22">
        <f t="shared" si="22"/>
        <v>235</v>
      </c>
      <c r="J33" s="22">
        <f t="shared" si="22"/>
        <v>238</v>
      </c>
    </row>
    <row r="34" spans="1:10" s="21" customFormat="1" ht="11.25" customHeight="1" x14ac:dyDescent="0.2">
      <c r="A34" s="19"/>
      <c r="B34" s="95"/>
      <c r="C34" s="95" t="s">
        <v>34</v>
      </c>
      <c r="D34" s="44">
        <f t="shared" ref="D34:J34" si="23">D217+D218+D219+D224+D226+D227+D229+D230+D232+D233+D235+D238</f>
        <v>4353</v>
      </c>
      <c r="E34" s="44">
        <f t="shared" si="23"/>
        <v>444</v>
      </c>
      <c r="F34" s="44">
        <f t="shared" si="23"/>
        <v>128</v>
      </c>
      <c r="G34" s="44">
        <f t="shared" si="23"/>
        <v>0</v>
      </c>
      <c r="H34" s="44">
        <f t="shared" si="23"/>
        <v>1</v>
      </c>
      <c r="I34" s="44">
        <f t="shared" si="23"/>
        <v>4926</v>
      </c>
      <c r="J34" s="44">
        <f t="shared" si="23"/>
        <v>4903</v>
      </c>
    </row>
    <row r="35" spans="1:10" s="21" customFormat="1" ht="11.25" customHeight="1" x14ac:dyDescent="0.2">
      <c r="A35" s="357"/>
      <c r="B35" s="357"/>
      <c r="C35" s="357"/>
      <c r="D35" s="357"/>
      <c r="E35" s="357"/>
      <c r="F35" s="357"/>
      <c r="G35" s="357"/>
      <c r="H35" s="357"/>
      <c r="I35" s="357"/>
      <c r="J35" s="357"/>
    </row>
    <row r="36" spans="1:10" s="21" customFormat="1" ht="11.25" customHeight="1" x14ac:dyDescent="0.2">
      <c r="A36" s="357" t="s">
        <v>35</v>
      </c>
      <c r="B36" s="357"/>
      <c r="C36" s="357"/>
      <c r="D36" s="18">
        <f t="shared" ref="D36:J36" si="24">D37+D38</f>
        <v>32201</v>
      </c>
      <c r="E36" s="18">
        <f t="shared" si="24"/>
        <v>10228</v>
      </c>
      <c r="F36" s="18">
        <f t="shared" si="24"/>
        <v>1871</v>
      </c>
      <c r="G36" s="18">
        <f t="shared" si="24"/>
        <v>1</v>
      </c>
      <c r="H36" s="18">
        <f t="shared" si="24"/>
        <v>15</v>
      </c>
      <c r="I36" s="18">
        <f t="shared" si="24"/>
        <v>44316</v>
      </c>
      <c r="J36" s="18">
        <f t="shared" si="24"/>
        <v>44076</v>
      </c>
    </row>
    <row r="37" spans="1:10" s="21" customFormat="1" ht="11.25" customHeight="1" x14ac:dyDescent="0.2">
      <c r="A37" s="19"/>
      <c r="B37" s="358" t="s">
        <v>36</v>
      </c>
      <c r="C37" s="358"/>
      <c r="D37" s="22">
        <f t="shared" ref="D37:J37" si="25">D241+D242+D244+D245+D247+D250+D253+D254+D258+D259</f>
        <v>28178</v>
      </c>
      <c r="E37" s="22">
        <f t="shared" si="25"/>
        <v>8824</v>
      </c>
      <c r="F37" s="22">
        <f t="shared" si="25"/>
        <v>1603</v>
      </c>
      <c r="G37" s="22">
        <f t="shared" si="25"/>
        <v>1</v>
      </c>
      <c r="H37" s="22">
        <f t="shared" si="25"/>
        <v>13</v>
      </c>
      <c r="I37" s="22">
        <f t="shared" si="25"/>
        <v>38619</v>
      </c>
      <c r="J37" s="22">
        <f t="shared" si="25"/>
        <v>38433</v>
      </c>
    </row>
    <row r="38" spans="1:10" s="21" customFormat="1" ht="11.25" customHeight="1" x14ac:dyDescent="0.2">
      <c r="A38" s="19"/>
      <c r="B38" s="352" t="s">
        <v>37</v>
      </c>
      <c r="C38" s="352"/>
      <c r="D38" s="44">
        <f t="shared" ref="D38:J38" si="26">D243+D182+D248+D256+D257</f>
        <v>4023</v>
      </c>
      <c r="E38" s="44">
        <f t="shared" si="26"/>
        <v>1404</v>
      </c>
      <c r="F38" s="44">
        <f t="shared" si="26"/>
        <v>268</v>
      </c>
      <c r="G38" s="44">
        <f t="shared" si="26"/>
        <v>0</v>
      </c>
      <c r="H38" s="44">
        <f t="shared" si="26"/>
        <v>2</v>
      </c>
      <c r="I38" s="44">
        <f t="shared" si="26"/>
        <v>5697</v>
      </c>
      <c r="J38" s="44">
        <f t="shared" si="26"/>
        <v>5643</v>
      </c>
    </row>
    <row r="39" spans="1:10" s="21" customFormat="1" ht="11.25" customHeight="1" x14ac:dyDescent="0.2">
      <c r="A39" s="357"/>
      <c r="B39" s="357"/>
      <c r="C39" s="357"/>
      <c r="D39" s="357"/>
      <c r="E39" s="357"/>
      <c r="F39" s="357"/>
      <c r="G39" s="357"/>
      <c r="H39" s="357"/>
      <c r="I39" s="357"/>
      <c r="J39" s="357"/>
    </row>
    <row r="40" spans="1:10" s="21" customFormat="1" ht="11.25" customHeight="1" x14ac:dyDescent="0.2">
      <c r="A40" s="357" t="s">
        <v>38</v>
      </c>
      <c r="B40" s="357"/>
      <c r="C40" s="357"/>
      <c r="D40" s="18">
        <f t="shared" ref="D40:J40" si="27">D41+D42+D46</f>
        <v>93522</v>
      </c>
      <c r="E40" s="18">
        <f t="shared" si="27"/>
        <v>27196</v>
      </c>
      <c r="F40" s="18">
        <f t="shared" si="27"/>
        <v>7810</v>
      </c>
      <c r="G40" s="18">
        <f t="shared" si="27"/>
        <v>43</v>
      </c>
      <c r="H40" s="18">
        <f t="shared" si="27"/>
        <v>67</v>
      </c>
      <c r="I40" s="18">
        <f t="shared" si="27"/>
        <v>128638</v>
      </c>
      <c r="J40" s="18">
        <f t="shared" si="27"/>
        <v>127685</v>
      </c>
    </row>
    <row r="41" spans="1:10" s="21" customFormat="1" ht="11.25" customHeight="1" x14ac:dyDescent="0.2">
      <c r="A41" s="19"/>
      <c r="B41" s="358" t="s">
        <v>39</v>
      </c>
      <c r="C41" s="358"/>
      <c r="D41" s="22">
        <f t="shared" ref="D41:J41" si="28">D88+D93+D102+D106+D107+D109+D111+D112+D113+D118+D121+D122+D124+D126+D127+D128+D131+D133+D137+D139+D142+D144+D146+D150+D151+D152+D155+D156+D160+D164+D168+D170+D171</f>
        <v>57379</v>
      </c>
      <c r="E41" s="22">
        <f t="shared" si="28"/>
        <v>21067</v>
      </c>
      <c r="F41" s="22">
        <f t="shared" si="28"/>
        <v>6603</v>
      </c>
      <c r="G41" s="22">
        <f t="shared" si="28"/>
        <v>42</v>
      </c>
      <c r="H41" s="22">
        <f t="shared" si="28"/>
        <v>56</v>
      </c>
      <c r="I41" s="22">
        <f t="shared" si="28"/>
        <v>85147</v>
      </c>
      <c r="J41" s="22">
        <f t="shared" si="28"/>
        <v>84632</v>
      </c>
    </row>
    <row r="42" spans="1:10" s="21" customFormat="1" ht="11.25" customHeight="1" x14ac:dyDescent="0.2">
      <c r="A42" s="19"/>
      <c r="B42" s="358" t="s">
        <v>40</v>
      </c>
      <c r="C42" s="358"/>
      <c r="D42" s="22">
        <f t="shared" ref="D42:J42" si="29">D43+D44+D45</f>
        <v>19552</v>
      </c>
      <c r="E42" s="22">
        <f t="shared" si="29"/>
        <v>2722</v>
      </c>
      <c r="F42" s="22">
        <f t="shared" si="29"/>
        <v>522</v>
      </c>
      <c r="G42" s="22">
        <f t="shared" si="29"/>
        <v>0</v>
      </c>
      <c r="H42" s="22">
        <f t="shared" si="29"/>
        <v>5</v>
      </c>
      <c r="I42" s="22">
        <f t="shared" si="29"/>
        <v>22801</v>
      </c>
      <c r="J42" s="22">
        <f t="shared" si="29"/>
        <v>22515</v>
      </c>
    </row>
    <row r="43" spans="1:10" s="21" customFormat="1" ht="11.25" customHeight="1" x14ac:dyDescent="0.2">
      <c r="A43" s="19"/>
      <c r="B43" s="95"/>
      <c r="C43" s="94" t="s">
        <v>41</v>
      </c>
      <c r="D43" s="22">
        <f t="shared" ref="D43:J43" si="30">D94+D98+D108+D129+D249+D135+D251+D140+D158+D162+D165</f>
        <v>9051</v>
      </c>
      <c r="E43" s="22">
        <f t="shared" si="30"/>
        <v>1814</v>
      </c>
      <c r="F43" s="22">
        <f t="shared" si="30"/>
        <v>305</v>
      </c>
      <c r="G43" s="22">
        <f t="shared" si="30"/>
        <v>0</v>
      </c>
      <c r="H43" s="22">
        <f t="shared" si="30"/>
        <v>5</v>
      </c>
      <c r="I43" s="22">
        <f t="shared" si="30"/>
        <v>11175</v>
      </c>
      <c r="J43" s="22">
        <f t="shared" si="30"/>
        <v>11013</v>
      </c>
    </row>
    <row r="44" spans="1:10" s="21" customFormat="1" ht="11.25" customHeight="1" x14ac:dyDescent="0.2">
      <c r="A44" s="19"/>
      <c r="B44" s="95"/>
      <c r="C44" s="94" t="s">
        <v>42</v>
      </c>
      <c r="D44" s="22">
        <f t="shared" ref="D44:J44" si="31">D96+D110+D119+D132+D149+D153+D163+D172</f>
        <v>9720</v>
      </c>
      <c r="E44" s="22">
        <f t="shared" si="31"/>
        <v>855</v>
      </c>
      <c r="F44" s="22">
        <f t="shared" si="31"/>
        <v>199</v>
      </c>
      <c r="G44" s="22">
        <f t="shared" si="31"/>
        <v>0</v>
      </c>
      <c r="H44" s="22">
        <f t="shared" si="31"/>
        <v>0</v>
      </c>
      <c r="I44" s="22">
        <f t="shared" si="31"/>
        <v>10774</v>
      </c>
      <c r="J44" s="22">
        <f t="shared" si="31"/>
        <v>10658</v>
      </c>
    </row>
    <row r="45" spans="1:10" s="21" customFormat="1" ht="11.25" customHeight="1" x14ac:dyDescent="0.2">
      <c r="A45" s="19"/>
      <c r="B45" s="96"/>
      <c r="C45" s="96" t="s">
        <v>43</v>
      </c>
      <c r="D45" s="22">
        <f t="shared" ref="D45:J45" si="32">D100+D115+D116+D166</f>
        <v>781</v>
      </c>
      <c r="E45" s="22">
        <f t="shared" si="32"/>
        <v>53</v>
      </c>
      <c r="F45" s="22">
        <f t="shared" si="32"/>
        <v>18</v>
      </c>
      <c r="G45" s="22">
        <f t="shared" si="32"/>
        <v>0</v>
      </c>
      <c r="H45" s="22">
        <f t="shared" si="32"/>
        <v>0</v>
      </c>
      <c r="I45" s="22">
        <f t="shared" si="32"/>
        <v>852</v>
      </c>
      <c r="J45" s="22">
        <f t="shared" si="32"/>
        <v>844</v>
      </c>
    </row>
    <row r="46" spans="1:10" s="21" customFormat="1" ht="11.25" customHeight="1" x14ac:dyDescent="0.2">
      <c r="A46" s="19"/>
      <c r="B46" s="358" t="s">
        <v>44</v>
      </c>
      <c r="C46" s="358"/>
      <c r="D46" s="22">
        <f t="shared" ref="D46:J46" si="33">D47+D48+D49</f>
        <v>16591</v>
      </c>
      <c r="E46" s="22">
        <f t="shared" si="33"/>
        <v>3407</v>
      </c>
      <c r="F46" s="22">
        <f t="shared" si="33"/>
        <v>685</v>
      </c>
      <c r="G46" s="22">
        <f t="shared" si="33"/>
        <v>1</v>
      </c>
      <c r="H46" s="22">
        <f t="shared" si="33"/>
        <v>6</v>
      </c>
      <c r="I46" s="22">
        <f t="shared" si="33"/>
        <v>20690</v>
      </c>
      <c r="J46" s="22">
        <f t="shared" si="33"/>
        <v>20538</v>
      </c>
    </row>
    <row r="47" spans="1:10" s="21" customFormat="1" ht="11.25" customHeight="1" x14ac:dyDescent="0.2">
      <c r="A47" s="19"/>
      <c r="B47" s="95"/>
      <c r="C47" s="94" t="s">
        <v>45</v>
      </c>
      <c r="D47" s="22">
        <f t="shared" ref="D47:J47" si="34">D89+D91+D103+D105+D125+D130+D141+D145+D169</f>
        <v>2189</v>
      </c>
      <c r="E47" s="22">
        <f t="shared" si="34"/>
        <v>201</v>
      </c>
      <c r="F47" s="22">
        <f t="shared" si="34"/>
        <v>40</v>
      </c>
      <c r="G47" s="22">
        <f t="shared" si="34"/>
        <v>1</v>
      </c>
      <c r="H47" s="22">
        <f t="shared" si="34"/>
        <v>1</v>
      </c>
      <c r="I47" s="22">
        <f t="shared" si="34"/>
        <v>2432</v>
      </c>
      <c r="J47" s="22">
        <f t="shared" si="34"/>
        <v>2407</v>
      </c>
    </row>
    <row r="48" spans="1:10" s="21" customFormat="1" ht="11.25" customHeight="1" x14ac:dyDescent="0.2">
      <c r="A48" s="19"/>
      <c r="B48" s="95"/>
      <c r="C48" s="94" t="s">
        <v>46</v>
      </c>
      <c r="D48" s="22">
        <f t="shared" ref="D48:J48" si="35">D92+D95+D120+D123+D143+D148+D157+D161</f>
        <v>4830</v>
      </c>
      <c r="E48" s="22">
        <f t="shared" si="35"/>
        <v>600</v>
      </c>
      <c r="F48" s="22">
        <f t="shared" si="35"/>
        <v>141</v>
      </c>
      <c r="G48" s="22">
        <f t="shared" si="35"/>
        <v>0</v>
      </c>
      <c r="H48" s="22">
        <f t="shared" si="35"/>
        <v>1</v>
      </c>
      <c r="I48" s="22">
        <f t="shared" si="35"/>
        <v>5572</v>
      </c>
      <c r="J48" s="22">
        <f t="shared" si="35"/>
        <v>5526</v>
      </c>
    </row>
    <row r="49" spans="1:10" s="21" customFormat="1" ht="11.25" customHeight="1" x14ac:dyDescent="0.2">
      <c r="A49" s="19"/>
      <c r="B49" s="95"/>
      <c r="C49" s="95" t="s">
        <v>47</v>
      </c>
      <c r="D49" s="44">
        <f t="shared" ref="D49:J49" si="36">D87+D97+D101+D114+D117+D134+D147+D154+D167</f>
        <v>9572</v>
      </c>
      <c r="E49" s="44">
        <f t="shared" si="36"/>
        <v>2606</v>
      </c>
      <c r="F49" s="44">
        <f t="shared" si="36"/>
        <v>504</v>
      </c>
      <c r="G49" s="44">
        <f t="shared" si="36"/>
        <v>0</v>
      </c>
      <c r="H49" s="44">
        <f t="shared" si="36"/>
        <v>4</v>
      </c>
      <c r="I49" s="44">
        <f t="shared" si="36"/>
        <v>12686</v>
      </c>
      <c r="J49" s="44">
        <f t="shared" si="36"/>
        <v>12605</v>
      </c>
    </row>
    <row r="50" spans="1:10" s="21" customFormat="1" ht="11.25" customHeight="1" x14ac:dyDescent="0.2">
      <c r="A50" s="357"/>
      <c r="B50" s="357"/>
      <c r="C50" s="357"/>
      <c r="D50" s="357"/>
      <c r="E50" s="357"/>
      <c r="F50" s="357"/>
      <c r="G50" s="357"/>
      <c r="H50" s="357"/>
      <c r="I50" s="357"/>
      <c r="J50" s="357"/>
    </row>
    <row r="51" spans="1:10" s="21" customFormat="1" ht="11.25" customHeight="1" x14ac:dyDescent="0.2">
      <c r="A51" s="357" t="s">
        <v>48</v>
      </c>
      <c r="B51" s="357"/>
      <c r="C51" s="357"/>
      <c r="D51" s="18">
        <f t="shared" ref="D51:J51" si="37">D52+D53+D54</f>
        <v>41028</v>
      </c>
      <c r="E51" s="18">
        <f t="shared" si="37"/>
        <v>8089</v>
      </c>
      <c r="F51" s="18">
        <f t="shared" si="37"/>
        <v>2262</v>
      </c>
      <c r="G51" s="18">
        <f t="shared" si="37"/>
        <v>238</v>
      </c>
      <c r="H51" s="18">
        <f t="shared" si="37"/>
        <v>19</v>
      </c>
      <c r="I51" s="18">
        <f t="shared" si="37"/>
        <v>51636</v>
      </c>
      <c r="J51" s="18">
        <f t="shared" si="37"/>
        <v>51348</v>
      </c>
    </row>
    <row r="52" spans="1:10" s="21" customFormat="1" ht="11.25" customHeight="1" x14ac:dyDescent="0.2">
      <c r="A52" s="19"/>
      <c r="B52" s="358" t="s">
        <v>49</v>
      </c>
      <c r="C52" s="358"/>
      <c r="D52" s="22">
        <f t="shared" ref="D52:J52" si="38">D59+D67+D74+D84</f>
        <v>13392</v>
      </c>
      <c r="E52" s="22">
        <f t="shared" si="38"/>
        <v>3813</v>
      </c>
      <c r="F52" s="22">
        <f t="shared" si="38"/>
        <v>831</v>
      </c>
      <c r="G52" s="22">
        <f t="shared" si="38"/>
        <v>230</v>
      </c>
      <c r="H52" s="22">
        <f t="shared" si="38"/>
        <v>9</v>
      </c>
      <c r="I52" s="22">
        <f t="shared" si="38"/>
        <v>18275</v>
      </c>
      <c r="J52" s="22">
        <f t="shared" si="38"/>
        <v>18224</v>
      </c>
    </row>
    <row r="53" spans="1:10" s="21" customFormat="1" ht="11.25" customHeight="1" x14ac:dyDescent="0.2">
      <c r="A53" s="19"/>
      <c r="B53" s="358" t="s">
        <v>50</v>
      </c>
      <c r="C53" s="358"/>
      <c r="D53" s="22">
        <f t="shared" ref="D53:J53" si="39">D90+D58+D60+D99+D104+D64+D68+D69+D70+D136+D138+D71+D72+D77+D78+D79+D159+D81+D82+D83</f>
        <v>24081</v>
      </c>
      <c r="E53" s="22">
        <f t="shared" si="39"/>
        <v>4001</v>
      </c>
      <c r="F53" s="22">
        <f t="shared" si="39"/>
        <v>1364</v>
      </c>
      <c r="G53" s="22">
        <f t="shared" si="39"/>
        <v>8</v>
      </c>
      <c r="H53" s="22">
        <f t="shared" si="39"/>
        <v>8</v>
      </c>
      <c r="I53" s="22">
        <f t="shared" si="39"/>
        <v>29462</v>
      </c>
      <c r="J53" s="22">
        <f t="shared" si="39"/>
        <v>29264</v>
      </c>
    </row>
    <row r="54" spans="1:10" s="21" customFormat="1" ht="11.25" customHeight="1" x14ac:dyDescent="0.2">
      <c r="A54" s="19"/>
      <c r="B54" s="352" t="s">
        <v>51</v>
      </c>
      <c r="C54" s="352"/>
      <c r="D54" s="44">
        <f t="shared" ref="D54:J54" si="40">D61+D62+D63+D65+D66+D73+D75+D76+D80</f>
        <v>3555</v>
      </c>
      <c r="E54" s="44">
        <f t="shared" si="40"/>
        <v>275</v>
      </c>
      <c r="F54" s="44">
        <f t="shared" si="40"/>
        <v>67</v>
      </c>
      <c r="G54" s="44">
        <f t="shared" si="40"/>
        <v>0</v>
      </c>
      <c r="H54" s="44">
        <f t="shared" si="40"/>
        <v>2</v>
      </c>
      <c r="I54" s="44">
        <f t="shared" si="40"/>
        <v>3899</v>
      </c>
      <c r="J54" s="44">
        <f t="shared" si="40"/>
        <v>3860</v>
      </c>
    </row>
    <row r="55" spans="1:10" s="21" customFormat="1" ht="11.25" customHeight="1" x14ac:dyDescent="0.2">
      <c r="A55" s="357"/>
      <c r="B55" s="357"/>
      <c r="C55" s="357"/>
      <c r="D55" s="357"/>
      <c r="E55" s="357"/>
      <c r="F55" s="357"/>
      <c r="G55" s="357"/>
      <c r="H55" s="357"/>
      <c r="I55" s="357"/>
      <c r="J55" s="357"/>
    </row>
    <row r="56" spans="1:10" s="19" customFormat="1" ht="11.25" customHeight="1" x14ac:dyDescent="0.2">
      <c r="A56" s="357" t="s">
        <v>271</v>
      </c>
      <c r="B56" s="357"/>
      <c r="C56" s="357"/>
      <c r="D56" s="18">
        <f t="shared" ref="D56:J56" si="41">D10+D21+D36+D40+D51</f>
        <v>237962</v>
      </c>
      <c r="E56" s="18">
        <f t="shared" si="41"/>
        <v>62893</v>
      </c>
      <c r="F56" s="18">
        <f t="shared" si="41"/>
        <v>16056</v>
      </c>
      <c r="G56" s="18">
        <f t="shared" si="41"/>
        <v>282</v>
      </c>
      <c r="H56" s="18">
        <f t="shared" si="41"/>
        <v>122</v>
      </c>
      <c r="I56" s="18">
        <f t="shared" si="41"/>
        <v>317315</v>
      </c>
      <c r="J56" s="18">
        <f t="shared" si="41"/>
        <v>315256</v>
      </c>
    </row>
    <row r="57" spans="1:10" s="19" customFormat="1" ht="11.25" customHeight="1" x14ac:dyDescent="0.2">
      <c r="A57" s="362" t="s">
        <v>52</v>
      </c>
      <c r="B57" s="362"/>
      <c r="C57" s="362"/>
      <c r="D57" s="18">
        <f t="shared" ref="D57:J57" si="42">SUM(D58:D84)</f>
        <v>37314</v>
      </c>
      <c r="E57" s="18">
        <f t="shared" si="42"/>
        <v>7490</v>
      </c>
      <c r="F57" s="18">
        <f t="shared" si="42"/>
        <v>1977</v>
      </c>
      <c r="G57" s="18">
        <f t="shared" si="42"/>
        <v>237</v>
      </c>
      <c r="H57" s="18">
        <f t="shared" si="42"/>
        <v>18</v>
      </c>
      <c r="I57" s="18">
        <f t="shared" si="42"/>
        <v>47036</v>
      </c>
      <c r="J57" s="18">
        <f t="shared" si="42"/>
        <v>46734</v>
      </c>
    </row>
    <row r="58" spans="1:10" s="21" customFormat="1" ht="11.25" customHeight="1" x14ac:dyDescent="0.2">
      <c r="A58" s="19"/>
      <c r="B58" s="99"/>
      <c r="C58" s="92" t="s">
        <v>242</v>
      </c>
      <c r="D58" s="22">
        <v>954</v>
      </c>
      <c r="E58" s="22">
        <v>93</v>
      </c>
      <c r="F58" s="22">
        <v>31</v>
      </c>
      <c r="G58" s="22">
        <v>0</v>
      </c>
      <c r="H58" s="22">
        <v>0</v>
      </c>
      <c r="I58" s="22">
        <v>1078</v>
      </c>
      <c r="J58" s="22">
        <v>1042</v>
      </c>
    </row>
    <row r="59" spans="1:10" s="21" customFormat="1" ht="11.25" customHeight="1" x14ac:dyDescent="0.2">
      <c r="A59" s="19"/>
      <c r="B59" s="99"/>
      <c r="C59" s="92" t="s">
        <v>53</v>
      </c>
      <c r="D59" s="22">
        <v>2778</v>
      </c>
      <c r="E59" s="22">
        <v>515</v>
      </c>
      <c r="F59" s="22">
        <v>121</v>
      </c>
      <c r="G59" s="22">
        <v>12</v>
      </c>
      <c r="H59" s="22">
        <v>0</v>
      </c>
      <c r="I59" s="22">
        <v>3426</v>
      </c>
      <c r="J59" s="22">
        <v>3415</v>
      </c>
    </row>
    <row r="60" spans="1:10" s="21" customFormat="1" ht="11.25" customHeight="1" x14ac:dyDescent="0.2">
      <c r="A60" s="19"/>
      <c r="B60" s="99"/>
      <c r="C60" s="92" t="s">
        <v>54</v>
      </c>
      <c r="D60" s="22">
        <v>536</v>
      </c>
      <c r="E60" s="22">
        <v>44</v>
      </c>
      <c r="F60" s="22">
        <v>12</v>
      </c>
      <c r="G60" s="22">
        <v>0</v>
      </c>
      <c r="H60" s="22">
        <v>0</v>
      </c>
      <c r="I60" s="22">
        <v>592</v>
      </c>
      <c r="J60" s="22">
        <v>570</v>
      </c>
    </row>
    <row r="61" spans="1:10" s="21" customFormat="1" ht="11.25" customHeight="1" x14ac:dyDescent="0.2">
      <c r="A61" s="19"/>
      <c r="B61" s="99"/>
      <c r="C61" s="92" t="s">
        <v>243</v>
      </c>
      <c r="D61" s="22">
        <v>182</v>
      </c>
      <c r="E61" s="22">
        <v>9</v>
      </c>
      <c r="F61" s="22">
        <v>4</v>
      </c>
      <c r="G61" s="22">
        <v>0</v>
      </c>
      <c r="H61" s="22">
        <v>0</v>
      </c>
      <c r="I61" s="22">
        <v>195</v>
      </c>
      <c r="J61" s="22">
        <v>194</v>
      </c>
    </row>
    <row r="62" spans="1:10" s="21" customFormat="1" ht="11.25" customHeight="1" x14ac:dyDescent="0.2">
      <c r="A62" s="19"/>
      <c r="B62" s="99"/>
      <c r="C62" s="92" t="s">
        <v>244</v>
      </c>
      <c r="D62" s="22">
        <v>165</v>
      </c>
      <c r="E62" s="22">
        <v>13</v>
      </c>
      <c r="F62" s="22">
        <v>8</v>
      </c>
      <c r="G62" s="22">
        <v>0</v>
      </c>
      <c r="H62" s="22">
        <v>1</v>
      </c>
      <c r="I62" s="22">
        <v>187</v>
      </c>
      <c r="J62" s="22">
        <v>179</v>
      </c>
    </row>
    <row r="63" spans="1:10" s="21" customFormat="1" ht="11.25" customHeight="1" x14ac:dyDescent="0.2">
      <c r="A63" s="19"/>
      <c r="B63" s="99"/>
      <c r="C63" s="92" t="s">
        <v>245</v>
      </c>
      <c r="D63" s="22">
        <v>341</v>
      </c>
      <c r="E63" s="22">
        <v>16</v>
      </c>
      <c r="F63" s="22">
        <v>5</v>
      </c>
      <c r="G63" s="22">
        <v>0</v>
      </c>
      <c r="H63" s="22">
        <v>0</v>
      </c>
      <c r="I63" s="22">
        <v>362</v>
      </c>
      <c r="J63" s="22">
        <v>366</v>
      </c>
    </row>
    <row r="64" spans="1:10" s="21" customFormat="1" ht="11.25" customHeight="1" x14ac:dyDescent="0.2">
      <c r="A64" s="19"/>
      <c r="B64" s="99"/>
      <c r="C64" s="92" t="s">
        <v>246</v>
      </c>
      <c r="D64" s="22">
        <v>580</v>
      </c>
      <c r="E64" s="22">
        <v>123</v>
      </c>
      <c r="F64" s="22">
        <v>29</v>
      </c>
      <c r="G64" s="22">
        <v>0</v>
      </c>
      <c r="H64" s="22">
        <v>0</v>
      </c>
      <c r="I64" s="22">
        <v>732</v>
      </c>
      <c r="J64" s="22">
        <v>719</v>
      </c>
    </row>
    <row r="65" spans="1:10" s="21" customFormat="1" ht="11.25" customHeight="1" x14ac:dyDescent="0.2">
      <c r="A65" s="19"/>
      <c r="B65" s="99"/>
      <c r="C65" s="92" t="s">
        <v>291</v>
      </c>
      <c r="D65" s="22">
        <v>57</v>
      </c>
      <c r="E65" s="22">
        <v>3</v>
      </c>
      <c r="F65" s="22">
        <v>3</v>
      </c>
      <c r="G65" s="22">
        <v>0</v>
      </c>
      <c r="H65" s="22">
        <v>0</v>
      </c>
      <c r="I65" s="22">
        <v>63</v>
      </c>
      <c r="J65" s="22">
        <v>67</v>
      </c>
    </row>
    <row r="66" spans="1:10" s="21" customFormat="1" ht="11.25" customHeight="1" x14ac:dyDescent="0.2">
      <c r="A66" s="19"/>
      <c r="B66" s="99"/>
      <c r="C66" s="92" t="s">
        <v>56</v>
      </c>
      <c r="D66" s="22">
        <v>1619</v>
      </c>
      <c r="E66" s="22">
        <v>137</v>
      </c>
      <c r="F66" s="22">
        <v>38</v>
      </c>
      <c r="G66" s="22">
        <v>0</v>
      </c>
      <c r="H66" s="22">
        <v>1</v>
      </c>
      <c r="I66" s="22">
        <v>1795</v>
      </c>
      <c r="J66" s="22">
        <v>1774</v>
      </c>
    </row>
    <row r="67" spans="1:10" s="21" customFormat="1" ht="11.25" customHeight="1" x14ac:dyDescent="0.2">
      <c r="A67" s="19"/>
      <c r="B67" s="99"/>
      <c r="C67" s="92" t="s">
        <v>57</v>
      </c>
      <c r="D67" s="22">
        <v>5045</v>
      </c>
      <c r="E67" s="22">
        <v>2080</v>
      </c>
      <c r="F67" s="22">
        <v>428</v>
      </c>
      <c r="G67" s="22">
        <v>177</v>
      </c>
      <c r="H67" s="22">
        <v>8</v>
      </c>
      <c r="I67" s="22">
        <v>7738</v>
      </c>
      <c r="J67" s="22">
        <v>7768</v>
      </c>
    </row>
    <row r="68" spans="1:10" s="21" customFormat="1" ht="11.25" customHeight="1" x14ac:dyDescent="0.2">
      <c r="A68" s="19"/>
      <c r="B68" s="99"/>
      <c r="C68" s="92" t="s">
        <v>58</v>
      </c>
      <c r="D68" s="22">
        <v>2198</v>
      </c>
      <c r="E68" s="22">
        <v>308</v>
      </c>
      <c r="F68" s="22">
        <v>109</v>
      </c>
      <c r="G68" s="22">
        <v>1</v>
      </c>
      <c r="H68" s="22">
        <v>1</v>
      </c>
      <c r="I68" s="22">
        <v>2617</v>
      </c>
      <c r="J68" s="22">
        <v>2604</v>
      </c>
    </row>
    <row r="69" spans="1:10" s="21" customFormat="1" ht="11.25" customHeight="1" x14ac:dyDescent="0.2">
      <c r="A69" s="19"/>
      <c r="B69" s="99"/>
      <c r="C69" s="92" t="s">
        <v>247</v>
      </c>
      <c r="D69" s="22">
        <v>714</v>
      </c>
      <c r="E69" s="22">
        <v>109</v>
      </c>
      <c r="F69" s="22">
        <v>42</v>
      </c>
      <c r="G69" s="22">
        <v>0</v>
      </c>
      <c r="H69" s="22">
        <v>0</v>
      </c>
      <c r="I69" s="22">
        <v>865</v>
      </c>
      <c r="J69" s="22">
        <v>871</v>
      </c>
    </row>
    <row r="70" spans="1:10" s="21" customFormat="1" ht="11.25" customHeight="1" x14ac:dyDescent="0.2">
      <c r="A70" s="19"/>
      <c r="B70" s="99"/>
      <c r="C70" s="92" t="s">
        <v>59</v>
      </c>
      <c r="D70" s="22">
        <v>1328</v>
      </c>
      <c r="E70" s="22">
        <v>168</v>
      </c>
      <c r="F70" s="22">
        <v>41</v>
      </c>
      <c r="G70" s="22">
        <v>0</v>
      </c>
      <c r="H70" s="22">
        <v>0</v>
      </c>
      <c r="I70" s="22">
        <v>1537</v>
      </c>
      <c r="J70" s="22">
        <v>1523</v>
      </c>
    </row>
    <row r="71" spans="1:10" s="21" customFormat="1" ht="11.25" customHeight="1" x14ac:dyDescent="0.2">
      <c r="A71" s="19"/>
      <c r="B71" s="99"/>
      <c r="C71" s="92" t="s">
        <v>60</v>
      </c>
      <c r="D71" s="22">
        <v>4732</v>
      </c>
      <c r="E71" s="22">
        <v>997</v>
      </c>
      <c r="F71" s="22">
        <v>388</v>
      </c>
      <c r="G71" s="22">
        <v>1</v>
      </c>
      <c r="H71" s="22">
        <v>3</v>
      </c>
      <c r="I71" s="22">
        <v>6121</v>
      </c>
      <c r="J71" s="22">
        <v>6094</v>
      </c>
    </row>
    <row r="72" spans="1:10" s="21" customFormat="1" ht="11.25" customHeight="1" x14ac:dyDescent="0.2">
      <c r="A72" s="19"/>
      <c r="B72" s="99"/>
      <c r="C72" s="92" t="s">
        <v>61</v>
      </c>
      <c r="D72" s="22">
        <v>294</v>
      </c>
      <c r="E72" s="22">
        <v>16</v>
      </c>
      <c r="F72" s="22">
        <v>1</v>
      </c>
      <c r="G72" s="22">
        <v>0</v>
      </c>
      <c r="H72" s="22">
        <v>0</v>
      </c>
      <c r="I72" s="22">
        <v>311</v>
      </c>
      <c r="J72" s="22">
        <v>315</v>
      </c>
    </row>
    <row r="73" spans="1:10" s="21" customFormat="1" ht="11.25" customHeight="1" x14ac:dyDescent="0.2">
      <c r="A73" s="19"/>
      <c r="B73" s="99"/>
      <c r="C73" s="92" t="s">
        <v>292</v>
      </c>
      <c r="D73" s="22">
        <v>88</v>
      </c>
      <c r="E73" s="22">
        <v>8</v>
      </c>
      <c r="F73" s="22">
        <v>1</v>
      </c>
      <c r="G73" s="22">
        <v>0</v>
      </c>
      <c r="H73" s="22">
        <v>0</v>
      </c>
      <c r="I73" s="22">
        <v>97</v>
      </c>
      <c r="J73" s="22">
        <v>92</v>
      </c>
    </row>
    <row r="74" spans="1:10" s="21" customFormat="1" ht="11.25" customHeight="1" x14ac:dyDescent="0.2">
      <c r="A74" s="19"/>
      <c r="B74" s="99"/>
      <c r="C74" s="92" t="s">
        <v>62</v>
      </c>
      <c r="D74" s="22">
        <v>3354</v>
      </c>
      <c r="E74" s="22">
        <v>731</v>
      </c>
      <c r="F74" s="22">
        <v>179</v>
      </c>
      <c r="G74" s="22">
        <v>0</v>
      </c>
      <c r="H74" s="22">
        <v>1</v>
      </c>
      <c r="I74" s="22">
        <v>4265</v>
      </c>
      <c r="J74" s="22">
        <v>4228</v>
      </c>
    </row>
    <row r="75" spans="1:10" s="21" customFormat="1" ht="11.25" customHeight="1" x14ac:dyDescent="0.2">
      <c r="A75" s="19"/>
      <c r="B75" s="99"/>
      <c r="C75" s="92" t="s">
        <v>248</v>
      </c>
      <c r="D75" s="22">
        <v>651</v>
      </c>
      <c r="E75" s="22">
        <v>55</v>
      </c>
      <c r="F75" s="22">
        <v>3</v>
      </c>
      <c r="G75" s="22">
        <v>0</v>
      </c>
      <c r="H75" s="22">
        <v>0</v>
      </c>
      <c r="I75" s="22">
        <v>709</v>
      </c>
      <c r="J75" s="22">
        <v>708</v>
      </c>
    </row>
    <row r="76" spans="1:10" s="21" customFormat="1" ht="11.25" customHeight="1" x14ac:dyDescent="0.2">
      <c r="A76" s="19"/>
      <c r="B76" s="99"/>
      <c r="C76" s="92" t="s">
        <v>249</v>
      </c>
      <c r="D76" s="22">
        <v>210</v>
      </c>
      <c r="E76" s="22">
        <v>13</v>
      </c>
      <c r="F76" s="22">
        <v>2</v>
      </c>
      <c r="G76" s="22">
        <v>0</v>
      </c>
      <c r="H76" s="22">
        <v>0</v>
      </c>
      <c r="I76" s="22">
        <v>225</v>
      </c>
      <c r="J76" s="22">
        <v>220</v>
      </c>
    </row>
    <row r="77" spans="1:10" s="21" customFormat="1" ht="11.25" customHeight="1" x14ac:dyDescent="0.2">
      <c r="A77" s="19"/>
      <c r="B77" s="99"/>
      <c r="C77" s="92" t="s">
        <v>63</v>
      </c>
      <c r="D77" s="22">
        <v>2040</v>
      </c>
      <c r="E77" s="22">
        <v>311</v>
      </c>
      <c r="F77" s="22">
        <v>57</v>
      </c>
      <c r="G77" s="22">
        <v>4</v>
      </c>
      <c r="H77" s="22">
        <v>0</v>
      </c>
      <c r="I77" s="22">
        <v>2412</v>
      </c>
      <c r="J77" s="22">
        <v>2427</v>
      </c>
    </row>
    <row r="78" spans="1:10" s="21" customFormat="1" ht="11.25" customHeight="1" x14ac:dyDescent="0.2">
      <c r="A78" s="19"/>
      <c r="B78" s="99"/>
      <c r="C78" s="92" t="s">
        <v>250</v>
      </c>
      <c r="D78" s="22">
        <v>1142</v>
      </c>
      <c r="E78" s="22">
        <v>179</v>
      </c>
      <c r="F78" s="22">
        <v>38</v>
      </c>
      <c r="G78" s="22">
        <v>1</v>
      </c>
      <c r="H78" s="22">
        <v>1</v>
      </c>
      <c r="I78" s="22">
        <v>1361</v>
      </c>
      <c r="J78" s="22">
        <v>1349</v>
      </c>
    </row>
    <row r="79" spans="1:10" s="21" customFormat="1" ht="11.25" customHeight="1" x14ac:dyDescent="0.2">
      <c r="A79" s="19"/>
      <c r="B79" s="99"/>
      <c r="C79" s="92" t="s">
        <v>64</v>
      </c>
      <c r="D79" s="22">
        <v>2005</v>
      </c>
      <c r="E79" s="22">
        <v>284</v>
      </c>
      <c r="F79" s="22">
        <v>104</v>
      </c>
      <c r="G79" s="22">
        <v>0</v>
      </c>
      <c r="H79" s="22">
        <v>0</v>
      </c>
      <c r="I79" s="22">
        <v>2393</v>
      </c>
      <c r="J79" s="22">
        <v>2382</v>
      </c>
    </row>
    <row r="80" spans="1:10" s="21" customFormat="1" ht="11.25" customHeight="1" x14ac:dyDescent="0.2">
      <c r="A80" s="19"/>
      <c r="B80" s="99"/>
      <c r="C80" s="92" t="s">
        <v>251</v>
      </c>
      <c r="D80" s="22">
        <v>242</v>
      </c>
      <c r="E80" s="22">
        <v>21</v>
      </c>
      <c r="F80" s="22">
        <v>3</v>
      </c>
      <c r="G80" s="22">
        <v>0</v>
      </c>
      <c r="H80" s="22">
        <v>0</v>
      </c>
      <c r="I80" s="22">
        <v>266</v>
      </c>
      <c r="J80" s="22">
        <v>260</v>
      </c>
    </row>
    <row r="81" spans="1:10" s="21" customFormat="1" ht="11.25" customHeight="1" x14ac:dyDescent="0.2">
      <c r="A81" s="19"/>
      <c r="B81" s="99"/>
      <c r="C81" s="92" t="s">
        <v>293</v>
      </c>
      <c r="D81" s="22">
        <v>478</v>
      </c>
      <c r="E81" s="22">
        <v>21</v>
      </c>
      <c r="F81" s="22">
        <v>19</v>
      </c>
      <c r="G81" s="22">
        <v>0</v>
      </c>
      <c r="H81" s="22">
        <v>0</v>
      </c>
      <c r="I81" s="22">
        <v>518</v>
      </c>
      <c r="J81" s="22">
        <v>511</v>
      </c>
    </row>
    <row r="82" spans="1:10" s="21" customFormat="1" ht="11.25" customHeight="1" x14ac:dyDescent="0.2">
      <c r="A82" s="19"/>
      <c r="B82" s="99"/>
      <c r="C82" s="92" t="s">
        <v>65</v>
      </c>
      <c r="D82" s="22">
        <v>2979</v>
      </c>
      <c r="E82" s="22">
        <v>732</v>
      </c>
      <c r="F82" s="22">
        <v>200</v>
      </c>
      <c r="G82" s="22">
        <v>0</v>
      </c>
      <c r="H82" s="22">
        <v>2</v>
      </c>
      <c r="I82" s="22">
        <v>3913</v>
      </c>
      <c r="J82" s="22">
        <v>3833</v>
      </c>
    </row>
    <row r="83" spans="1:10" s="21" customFormat="1" ht="11.25" customHeight="1" x14ac:dyDescent="0.2">
      <c r="A83" s="19"/>
      <c r="B83" s="99"/>
      <c r="C83" s="92" t="s">
        <v>252</v>
      </c>
      <c r="D83" s="22">
        <v>387</v>
      </c>
      <c r="E83" s="22">
        <v>17</v>
      </c>
      <c r="F83" s="22">
        <v>8</v>
      </c>
      <c r="G83" s="22">
        <v>0</v>
      </c>
      <c r="H83" s="22">
        <v>0</v>
      </c>
      <c r="I83" s="22">
        <v>412</v>
      </c>
      <c r="J83" s="22">
        <v>410</v>
      </c>
    </row>
    <row r="84" spans="1:10" s="21" customFormat="1" ht="11.25" customHeight="1" x14ac:dyDescent="0.2">
      <c r="A84" s="19"/>
      <c r="B84" s="99"/>
      <c r="C84" s="99" t="s">
        <v>66</v>
      </c>
      <c r="D84" s="44">
        <v>2215</v>
      </c>
      <c r="E84" s="44">
        <v>487</v>
      </c>
      <c r="F84" s="44">
        <v>103</v>
      </c>
      <c r="G84" s="44">
        <v>41</v>
      </c>
      <c r="H84" s="44">
        <v>0</v>
      </c>
      <c r="I84" s="44">
        <v>2846</v>
      </c>
      <c r="J84" s="44">
        <v>2813</v>
      </c>
    </row>
    <row r="85" spans="1:10" s="21" customFormat="1" ht="11.25" customHeight="1" x14ac:dyDescent="0.2">
      <c r="A85" s="357"/>
      <c r="B85" s="357"/>
      <c r="C85" s="357"/>
      <c r="D85" s="357"/>
      <c r="E85" s="357"/>
      <c r="F85" s="357"/>
      <c r="G85" s="357"/>
      <c r="H85" s="357"/>
      <c r="I85" s="357"/>
      <c r="J85" s="357"/>
    </row>
    <row r="86" spans="1:10" s="19" customFormat="1" ht="11.25" customHeight="1" x14ac:dyDescent="0.2">
      <c r="A86" s="357" t="s">
        <v>67</v>
      </c>
      <c r="B86" s="357"/>
      <c r="C86" s="357"/>
      <c r="D86" s="18">
        <f t="shared" ref="D86:J86" si="43">SUM(D87:D172)</f>
        <v>96564</v>
      </c>
      <c r="E86" s="18">
        <f t="shared" si="43"/>
        <v>27755</v>
      </c>
      <c r="F86" s="18">
        <f t="shared" si="43"/>
        <v>8085</v>
      </c>
      <c r="G86" s="18">
        <f t="shared" si="43"/>
        <v>44</v>
      </c>
      <c r="H86" s="18">
        <f t="shared" si="43"/>
        <v>67</v>
      </c>
      <c r="I86" s="18">
        <f t="shared" si="43"/>
        <v>132515</v>
      </c>
      <c r="J86" s="18">
        <f t="shared" si="43"/>
        <v>131597</v>
      </c>
    </row>
    <row r="87" spans="1:10" s="21" customFormat="1" ht="11.25" customHeight="1" x14ac:dyDescent="0.2">
      <c r="A87" s="19"/>
      <c r="B87" s="99"/>
      <c r="C87" s="92" t="s">
        <v>68</v>
      </c>
      <c r="D87" s="22">
        <v>2626</v>
      </c>
      <c r="E87" s="22">
        <v>955</v>
      </c>
      <c r="F87" s="22">
        <v>158</v>
      </c>
      <c r="G87" s="22">
        <v>0</v>
      </c>
      <c r="H87" s="22">
        <v>1</v>
      </c>
      <c r="I87" s="22">
        <v>3740</v>
      </c>
      <c r="J87" s="22">
        <v>3752</v>
      </c>
    </row>
    <row r="88" spans="1:10" s="21" customFormat="1" ht="11.25" customHeight="1" x14ac:dyDescent="0.2">
      <c r="A88" s="19"/>
      <c r="B88" s="99"/>
      <c r="C88" s="92" t="s">
        <v>294</v>
      </c>
      <c r="D88" s="22">
        <v>383</v>
      </c>
      <c r="E88" s="22">
        <v>35</v>
      </c>
      <c r="F88" s="22">
        <v>16</v>
      </c>
      <c r="G88" s="22">
        <v>0</v>
      </c>
      <c r="H88" s="22">
        <v>0</v>
      </c>
      <c r="I88" s="22">
        <v>434</v>
      </c>
      <c r="J88" s="22">
        <v>430</v>
      </c>
    </row>
    <row r="89" spans="1:10" s="21" customFormat="1" ht="11.25" customHeight="1" x14ac:dyDescent="0.2">
      <c r="A89" s="19"/>
      <c r="B89" s="99"/>
      <c r="C89" s="92" t="s">
        <v>70</v>
      </c>
      <c r="D89" s="22">
        <v>245</v>
      </c>
      <c r="E89" s="22">
        <v>25</v>
      </c>
      <c r="F89" s="22">
        <v>2</v>
      </c>
      <c r="G89" s="22">
        <v>0</v>
      </c>
      <c r="H89" s="22">
        <v>0</v>
      </c>
      <c r="I89" s="22">
        <v>272</v>
      </c>
      <c r="J89" s="22">
        <v>285</v>
      </c>
    </row>
    <row r="90" spans="1:10" s="21" customFormat="1" ht="11.25" customHeight="1" x14ac:dyDescent="0.2">
      <c r="A90" s="19"/>
      <c r="B90" s="99"/>
      <c r="C90" s="92" t="s">
        <v>71</v>
      </c>
      <c r="D90" s="22">
        <v>857</v>
      </c>
      <c r="E90" s="22">
        <v>68</v>
      </c>
      <c r="F90" s="22">
        <v>42</v>
      </c>
      <c r="G90" s="22">
        <v>0</v>
      </c>
      <c r="H90" s="22">
        <v>0</v>
      </c>
      <c r="I90" s="22">
        <v>967</v>
      </c>
      <c r="J90" s="22">
        <v>982</v>
      </c>
    </row>
    <row r="91" spans="1:10" s="21" customFormat="1" ht="11.25" customHeight="1" x14ac:dyDescent="0.2">
      <c r="A91" s="19"/>
      <c r="B91" s="99"/>
      <c r="C91" s="92" t="s">
        <v>285</v>
      </c>
      <c r="D91" s="22">
        <v>418</v>
      </c>
      <c r="E91" s="22">
        <v>29</v>
      </c>
      <c r="F91" s="22">
        <v>13</v>
      </c>
      <c r="G91" s="22">
        <v>1</v>
      </c>
      <c r="H91" s="22">
        <v>0</v>
      </c>
      <c r="I91" s="22">
        <v>461</v>
      </c>
      <c r="J91" s="22">
        <v>448</v>
      </c>
    </row>
    <row r="92" spans="1:10" s="21" customFormat="1" ht="11.25" customHeight="1" x14ac:dyDescent="0.2">
      <c r="A92" s="19"/>
      <c r="B92" s="99"/>
      <c r="C92" s="92" t="s">
        <v>72</v>
      </c>
      <c r="D92" s="22">
        <v>266</v>
      </c>
      <c r="E92" s="22">
        <v>20</v>
      </c>
      <c r="F92" s="22">
        <v>1</v>
      </c>
      <c r="G92" s="22">
        <v>0</v>
      </c>
      <c r="H92" s="22">
        <v>0</v>
      </c>
      <c r="I92" s="22">
        <v>287</v>
      </c>
      <c r="J92" s="22">
        <v>295</v>
      </c>
    </row>
    <row r="93" spans="1:10" s="21" customFormat="1" ht="11.25" customHeight="1" x14ac:dyDescent="0.2">
      <c r="A93" s="19"/>
      <c r="B93" s="99"/>
      <c r="C93" s="92" t="s">
        <v>258</v>
      </c>
      <c r="D93" s="22">
        <v>1194</v>
      </c>
      <c r="E93" s="22">
        <v>394</v>
      </c>
      <c r="F93" s="22">
        <v>80</v>
      </c>
      <c r="G93" s="22">
        <v>1</v>
      </c>
      <c r="H93" s="22">
        <v>0</v>
      </c>
      <c r="I93" s="22">
        <v>1669</v>
      </c>
      <c r="J93" s="22">
        <v>1658</v>
      </c>
    </row>
    <row r="94" spans="1:10" s="21" customFormat="1" ht="11.25" customHeight="1" x14ac:dyDescent="0.2">
      <c r="A94" s="19"/>
      <c r="B94" s="99"/>
      <c r="C94" s="92" t="s">
        <v>73</v>
      </c>
      <c r="D94" s="22">
        <v>1053</v>
      </c>
      <c r="E94" s="22">
        <v>206</v>
      </c>
      <c r="F94" s="22">
        <v>36</v>
      </c>
      <c r="G94" s="22">
        <v>0</v>
      </c>
      <c r="H94" s="22">
        <v>1</v>
      </c>
      <c r="I94" s="22">
        <v>1296</v>
      </c>
      <c r="J94" s="22">
        <v>1272</v>
      </c>
    </row>
    <row r="95" spans="1:10" s="21" customFormat="1" ht="11.25" customHeight="1" x14ac:dyDescent="0.2">
      <c r="A95" s="19"/>
      <c r="B95" s="99"/>
      <c r="C95" s="92" t="s">
        <v>74</v>
      </c>
      <c r="D95" s="22">
        <v>513</v>
      </c>
      <c r="E95" s="22">
        <v>34</v>
      </c>
      <c r="F95" s="22">
        <v>8</v>
      </c>
      <c r="G95" s="22">
        <v>0</v>
      </c>
      <c r="H95" s="22">
        <v>0</v>
      </c>
      <c r="I95" s="22">
        <v>555</v>
      </c>
      <c r="J95" s="22">
        <v>571</v>
      </c>
    </row>
    <row r="96" spans="1:10" s="21" customFormat="1" ht="11.25" customHeight="1" x14ac:dyDescent="0.2">
      <c r="A96" s="19"/>
      <c r="B96" s="99"/>
      <c r="C96" s="92" t="s">
        <v>259</v>
      </c>
      <c r="D96" s="22">
        <v>301</v>
      </c>
      <c r="E96" s="22">
        <v>11</v>
      </c>
      <c r="F96" s="22">
        <v>3</v>
      </c>
      <c r="G96" s="22">
        <v>0</v>
      </c>
      <c r="H96" s="22">
        <v>0</v>
      </c>
      <c r="I96" s="22">
        <v>315</v>
      </c>
      <c r="J96" s="22">
        <v>314</v>
      </c>
    </row>
    <row r="97" spans="1:10" s="21" customFormat="1" ht="11.25" customHeight="1" x14ac:dyDescent="0.2">
      <c r="A97" s="19"/>
      <c r="B97" s="99"/>
      <c r="C97" s="92" t="s">
        <v>75</v>
      </c>
      <c r="D97" s="22">
        <v>1315</v>
      </c>
      <c r="E97" s="22">
        <v>266</v>
      </c>
      <c r="F97" s="22">
        <v>77</v>
      </c>
      <c r="G97" s="22">
        <v>0</v>
      </c>
      <c r="H97" s="22">
        <v>2</v>
      </c>
      <c r="I97" s="22">
        <v>1660</v>
      </c>
      <c r="J97" s="22">
        <v>1624</v>
      </c>
    </row>
    <row r="98" spans="1:10" s="21" customFormat="1" ht="11.25" customHeight="1" x14ac:dyDescent="0.2">
      <c r="A98" s="19"/>
      <c r="B98" s="99"/>
      <c r="C98" s="92" t="s">
        <v>76</v>
      </c>
      <c r="D98" s="22">
        <v>479</v>
      </c>
      <c r="E98" s="22">
        <v>79</v>
      </c>
      <c r="F98" s="22">
        <v>19</v>
      </c>
      <c r="G98" s="22">
        <v>0</v>
      </c>
      <c r="H98" s="22">
        <v>0</v>
      </c>
      <c r="I98" s="22">
        <v>577</v>
      </c>
      <c r="J98" s="22">
        <v>550</v>
      </c>
    </row>
    <row r="99" spans="1:10" s="21" customFormat="1" ht="11.25" customHeight="1" x14ac:dyDescent="0.2">
      <c r="A99" s="19"/>
      <c r="B99" s="99"/>
      <c r="C99" s="92" t="s">
        <v>77</v>
      </c>
      <c r="D99" s="22">
        <v>538</v>
      </c>
      <c r="E99" s="22">
        <v>155</v>
      </c>
      <c r="F99" s="22">
        <v>67</v>
      </c>
      <c r="G99" s="22">
        <v>1</v>
      </c>
      <c r="H99" s="22">
        <v>0</v>
      </c>
      <c r="I99" s="22">
        <v>761</v>
      </c>
      <c r="J99" s="22">
        <v>758</v>
      </c>
    </row>
    <row r="100" spans="1:10" s="21" customFormat="1" ht="11.25" customHeight="1" x14ac:dyDescent="0.2">
      <c r="A100" s="19"/>
      <c r="B100" s="99"/>
      <c r="C100" s="92" t="s">
        <v>78</v>
      </c>
      <c r="D100" s="22">
        <v>105</v>
      </c>
      <c r="E100" s="22">
        <v>11</v>
      </c>
      <c r="F100" s="22">
        <v>8</v>
      </c>
      <c r="G100" s="22">
        <v>0</v>
      </c>
      <c r="H100" s="22">
        <v>0</v>
      </c>
      <c r="I100" s="22">
        <v>124</v>
      </c>
      <c r="J100" s="22">
        <v>109</v>
      </c>
    </row>
    <row r="101" spans="1:10" s="21" customFormat="1" ht="11.25" customHeight="1" x14ac:dyDescent="0.2">
      <c r="A101" s="19"/>
      <c r="B101" s="99"/>
      <c r="C101" s="92" t="s">
        <v>295</v>
      </c>
      <c r="D101" s="22">
        <v>314</v>
      </c>
      <c r="E101" s="22">
        <v>43</v>
      </c>
      <c r="F101" s="22">
        <v>11</v>
      </c>
      <c r="G101" s="22">
        <v>0</v>
      </c>
      <c r="H101" s="22">
        <v>0</v>
      </c>
      <c r="I101" s="22">
        <v>368</v>
      </c>
      <c r="J101" s="22">
        <v>370</v>
      </c>
    </row>
    <row r="102" spans="1:10" s="21" customFormat="1" ht="11.25" customHeight="1" x14ac:dyDescent="0.2">
      <c r="A102" s="19"/>
      <c r="B102" s="99"/>
      <c r="C102" s="92" t="s">
        <v>296</v>
      </c>
      <c r="D102" s="22">
        <v>3646</v>
      </c>
      <c r="E102" s="22">
        <v>1049</v>
      </c>
      <c r="F102" s="22">
        <v>224</v>
      </c>
      <c r="G102" s="22">
        <v>0</v>
      </c>
      <c r="H102" s="22">
        <v>7</v>
      </c>
      <c r="I102" s="22">
        <v>4926</v>
      </c>
      <c r="J102" s="22">
        <v>4909</v>
      </c>
    </row>
    <row r="103" spans="1:10" s="21" customFormat="1" ht="11.25" customHeight="1" x14ac:dyDescent="0.2">
      <c r="A103" s="19"/>
      <c r="B103" s="99"/>
      <c r="C103" s="92" t="s">
        <v>286</v>
      </c>
      <c r="D103" s="22">
        <v>280</v>
      </c>
      <c r="E103" s="22">
        <v>14</v>
      </c>
      <c r="F103" s="22">
        <v>2</v>
      </c>
      <c r="G103" s="22">
        <v>0</v>
      </c>
      <c r="H103" s="22">
        <v>0</v>
      </c>
      <c r="I103" s="22">
        <v>296</v>
      </c>
      <c r="J103" s="22">
        <v>286</v>
      </c>
    </row>
    <row r="104" spans="1:10" s="21" customFormat="1" ht="11.25" customHeight="1" x14ac:dyDescent="0.2">
      <c r="A104" s="19"/>
      <c r="B104" s="99"/>
      <c r="C104" s="92" t="s">
        <v>79</v>
      </c>
      <c r="D104" s="22">
        <v>409</v>
      </c>
      <c r="E104" s="22">
        <v>35</v>
      </c>
      <c r="F104" s="22">
        <v>24</v>
      </c>
      <c r="G104" s="22">
        <v>0</v>
      </c>
      <c r="H104" s="22">
        <v>0</v>
      </c>
      <c r="I104" s="22">
        <v>468</v>
      </c>
      <c r="J104" s="22">
        <v>474</v>
      </c>
    </row>
    <row r="105" spans="1:10" s="21" customFormat="1" ht="11.25" customHeight="1" x14ac:dyDescent="0.2">
      <c r="A105" s="19"/>
      <c r="B105" s="99"/>
      <c r="C105" s="92" t="s">
        <v>80</v>
      </c>
      <c r="D105" s="22">
        <v>537</v>
      </c>
      <c r="E105" s="22">
        <v>90</v>
      </c>
      <c r="F105" s="22">
        <v>15</v>
      </c>
      <c r="G105" s="22">
        <v>0</v>
      </c>
      <c r="H105" s="22">
        <v>0</v>
      </c>
      <c r="I105" s="22">
        <v>642</v>
      </c>
      <c r="J105" s="22">
        <v>635</v>
      </c>
    </row>
    <row r="106" spans="1:10" s="21" customFormat="1" ht="11.25" customHeight="1" x14ac:dyDescent="0.2">
      <c r="A106" s="19"/>
      <c r="B106" s="99"/>
      <c r="C106" s="92" t="s">
        <v>81</v>
      </c>
      <c r="D106" s="22">
        <v>987</v>
      </c>
      <c r="E106" s="22">
        <v>340</v>
      </c>
      <c r="F106" s="22">
        <v>47</v>
      </c>
      <c r="G106" s="22">
        <v>0</v>
      </c>
      <c r="H106" s="22">
        <v>0</v>
      </c>
      <c r="I106" s="22">
        <v>1374</v>
      </c>
      <c r="J106" s="22">
        <v>1377</v>
      </c>
    </row>
    <row r="107" spans="1:10" s="21" customFormat="1" ht="11.25" customHeight="1" x14ac:dyDescent="0.2">
      <c r="A107" s="19"/>
      <c r="B107" s="99"/>
      <c r="C107" s="92" t="s">
        <v>82</v>
      </c>
      <c r="D107" s="22">
        <v>1520</v>
      </c>
      <c r="E107" s="22">
        <v>194</v>
      </c>
      <c r="F107" s="22">
        <v>38</v>
      </c>
      <c r="G107" s="22">
        <v>0</v>
      </c>
      <c r="H107" s="22">
        <v>1</v>
      </c>
      <c r="I107" s="22">
        <v>1753</v>
      </c>
      <c r="J107" s="22">
        <v>1694</v>
      </c>
    </row>
    <row r="108" spans="1:10" s="21" customFormat="1" ht="11.25" customHeight="1" x14ac:dyDescent="0.2">
      <c r="A108" s="19"/>
      <c r="B108" s="99"/>
      <c r="C108" s="92" t="s">
        <v>83</v>
      </c>
      <c r="D108" s="22">
        <v>606</v>
      </c>
      <c r="E108" s="22">
        <v>42</v>
      </c>
      <c r="F108" s="22">
        <v>3</v>
      </c>
      <c r="G108" s="22">
        <v>0</v>
      </c>
      <c r="H108" s="22">
        <v>0</v>
      </c>
      <c r="I108" s="22">
        <v>651</v>
      </c>
      <c r="J108" s="22">
        <v>635</v>
      </c>
    </row>
    <row r="109" spans="1:10" s="21" customFormat="1" ht="11.25" customHeight="1" x14ac:dyDescent="0.2">
      <c r="A109" s="19"/>
      <c r="B109" s="99"/>
      <c r="C109" s="92" t="s">
        <v>84</v>
      </c>
      <c r="D109" s="22">
        <v>1508</v>
      </c>
      <c r="E109" s="22">
        <v>245</v>
      </c>
      <c r="F109" s="22">
        <v>64</v>
      </c>
      <c r="G109" s="22">
        <v>0</v>
      </c>
      <c r="H109" s="22">
        <v>2</v>
      </c>
      <c r="I109" s="22">
        <v>1819</v>
      </c>
      <c r="J109" s="22">
        <v>1817</v>
      </c>
    </row>
    <row r="110" spans="1:10" s="21" customFormat="1" ht="11.25" customHeight="1" x14ac:dyDescent="0.2">
      <c r="A110" s="19"/>
      <c r="B110" s="99"/>
      <c r="C110" s="92" t="s">
        <v>85</v>
      </c>
      <c r="D110" s="22">
        <v>4103</v>
      </c>
      <c r="E110" s="22">
        <v>335</v>
      </c>
      <c r="F110" s="22">
        <v>75</v>
      </c>
      <c r="G110" s="22">
        <v>0</v>
      </c>
      <c r="H110" s="22">
        <v>0</v>
      </c>
      <c r="I110" s="22">
        <v>4513</v>
      </c>
      <c r="J110" s="22">
        <v>4438</v>
      </c>
    </row>
    <row r="111" spans="1:10" s="21" customFormat="1" ht="11.25" customHeight="1" x14ac:dyDescent="0.2">
      <c r="A111" s="19"/>
      <c r="B111" s="99"/>
      <c r="C111" s="92" t="s">
        <v>260</v>
      </c>
      <c r="D111" s="22">
        <v>451</v>
      </c>
      <c r="E111" s="22">
        <v>53</v>
      </c>
      <c r="F111" s="22">
        <v>20</v>
      </c>
      <c r="G111" s="22">
        <v>0</v>
      </c>
      <c r="H111" s="22">
        <v>0</v>
      </c>
      <c r="I111" s="22">
        <v>524</v>
      </c>
      <c r="J111" s="22">
        <v>521</v>
      </c>
    </row>
    <row r="112" spans="1:10" s="21" customFormat="1" ht="11.25" customHeight="1" x14ac:dyDescent="0.2">
      <c r="A112" s="19"/>
      <c r="B112" s="99"/>
      <c r="C112" s="92" t="s">
        <v>86</v>
      </c>
      <c r="D112" s="22">
        <v>85</v>
      </c>
      <c r="E112" s="22">
        <v>22</v>
      </c>
      <c r="F112" s="22">
        <v>3</v>
      </c>
      <c r="G112" s="22">
        <v>0</v>
      </c>
      <c r="H112" s="22">
        <v>0</v>
      </c>
      <c r="I112" s="22">
        <v>110</v>
      </c>
      <c r="J112" s="22">
        <v>105</v>
      </c>
    </row>
    <row r="113" spans="1:10" s="21" customFormat="1" ht="11.25" customHeight="1" x14ac:dyDescent="0.2">
      <c r="A113" s="19"/>
      <c r="B113" s="99"/>
      <c r="C113" s="92" t="s">
        <v>87</v>
      </c>
      <c r="D113" s="22">
        <v>567</v>
      </c>
      <c r="E113" s="22">
        <v>86</v>
      </c>
      <c r="F113" s="22">
        <v>34</v>
      </c>
      <c r="G113" s="22">
        <v>0</v>
      </c>
      <c r="H113" s="22">
        <v>0</v>
      </c>
      <c r="I113" s="22">
        <v>687</v>
      </c>
      <c r="J113" s="22">
        <v>693</v>
      </c>
    </row>
    <row r="114" spans="1:10" s="21" customFormat="1" ht="11.25" customHeight="1" x14ac:dyDescent="0.2">
      <c r="A114" s="19"/>
      <c r="B114" s="99"/>
      <c r="C114" s="92" t="s">
        <v>88</v>
      </c>
      <c r="D114" s="22">
        <v>2755</v>
      </c>
      <c r="E114" s="22">
        <v>833</v>
      </c>
      <c r="F114" s="22">
        <v>148</v>
      </c>
      <c r="G114" s="22">
        <v>0</v>
      </c>
      <c r="H114" s="22">
        <v>1</v>
      </c>
      <c r="I114" s="22">
        <v>3737</v>
      </c>
      <c r="J114" s="22">
        <v>3666</v>
      </c>
    </row>
    <row r="115" spans="1:10" s="21" customFormat="1" ht="11.25" customHeight="1" x14ac:dyDescent="0.2">
      <c r="A115" s="19"/>
      <c r="B115" s="99"/>
      <c r="C115" s="92" t="s">
        <v>89</v>
      </c>
      <c r="D115" s="22">
        <v>51</v>
      </c>
      <c r="E115" s="22">
        <v>8</v>
      </c>
      <c r="F115" s="22">
        <v>0</v>
      </c>
      <c r="G115" s="22">
        <v>0</v>
      </c>
      <c r="H115" s="22">
        <v>0</v>
      </c>
      <c r="I115" s="22">
        <v>59</v>
      </c>
      <c r="J115" s="22">
        <v>65</v>
      </c>
    </row>
    <row r="116" spans="1:10" s="21" customFormat="1" ht="11.25" customHeight="1" x14ac:dyDescent="0.2">
      <c r="A116" s="19"/>
      <c r="B116" s="99"/>
      <c r="C116" s="92" t="s">
        <v>90</v>
      </c>
      <c r="D116" s="22">
        <v>96</v>
      </c>
      <c r="E116" s="22">
        <v>5</v>
      </c>
      <c r="F116" s="22">
        <v>3</v>
      </c>
      <c r="G116" s="22">
        <v>0</v>
      </c>
      <c r="H116" s="22">
        <v>0</v>
      </c>
      <c r="I116" s="22">
        <v>104</v>
      </c>
      <c r="J116" s="22">
        <v>104</v>
      </c>
    </row>
    <row r="117" spans="1:10" s="21" customFormat="1" ht="11.25" customHeight="1" x14ac:dyDescent="0.2">
      <c r="A117" s="19"/>
      <c r="B117" s="99"/>
      <c r="C117" s="92" t="s">
        <v>297</v>
      </c>
      <c r="D117" s="22">
        <v>207</v>
      </c>
      <c r="E117" s="22">
        <v>29</v>
      </c>
      <c r="F117" s="22">
        <v>5</v>
      </c>
      <c r="G117" s="22">
        <v>0</v>
      </c>
      <c r="H117" s="22">
        <v>0</v>
      </c>
      <c r="I117" s="22">
        <v>241</v>
      </c>
      <c r="J117" s="22">
        <v>232</v>
      </c>
    </row>
    <row r="118" spans="1:10" s="21" customFormat="1" ht="11.25" customHeight="1" x14ac:dyDescent="0.2">
      <c r="A118" s="19"/>
      <c r="B118" s="99"/>
      <c r="C118" s="92" t="s">
        <v>92</v>
      </c>
      <c r="D118" s="22">
        <v>1550</v>
      </c>
      <c r="E118" s="22">
        <v>135</v>
      </c>
      <c r="F118" s="22">
        <v>26</v>
      </c>
      <c r="G118" s="22">
        <v>0</v>
      </c>
      <c r="H118" s="22">
        <v>0</v>
      </c>
      <c r="I118" s="22">
        <v>1711</v>
      </c>
      <c r="J118" s="22">
        <v>1707</v>
      </c>
    </row>
    <row r="119" spans="1:10" s="21" customFormat="1" ht="11.25" customHeight="1" x14ac:dyDescent="0.2">
      <c r="A119" s="19"/>
      <c r="B119" s="99"/>
      <c r="C119" s="92" t="s">
        <v>261</v>
      </c>
      <c r="D119" s="22">
        <v>134</v>
      </c>
      <c r="E119" s="22">
        <v>6</v>
      </c>
      <c r="F119" s="22">
        <v>1</v>
      </c>
      <c r="G119" s="22">
        <v>0</v>
      </c>
      <c r="H119" s="22">
        <v>0</v>
      </c>
      <c r="I119" s="22">
        <v>141</v>
      </c>
      <c r="J119" s="22">
        <v>140</v>
      </c>
    </row>
    <row r="120" spans="1:10" s="21" customFormat="1" ht="11.25" customHeight="1" x14ac:dyDescent="0.2">
      <c r="A120" s="19"/>
      <c r="B120" s="99"/>
      <c r="C120" s="92" t="s">
        <v>93</v>
      </c>
      <c r="D120" s="22">
        <v>716</v>
      </c>
      <c r="E120" s="22">
        <v>83</v>
      </c>
      <c r="F120" s="22">
        <v>31</v>
      </c>
      <c r="G120" s="22">
        <v>0</v>
      </c>
      <c r="H120" s="22">
        <v>0</v>
      </c>
      <c r="I120" s="22">
        <v>830</v>
      </c>
      <c r="J120" s="22">
        <v>825</v>
      </c>
    </row>
    <row r="121" spans="1:10" s="21" customFormat="1" ht="11.25" customHeight="1" x14ac:dyDescent="0.2">
      <c r="A121" s="19"/>
      <c r="B121" s="99"/>
      <c r="C121" s="92" t="s">
        <v>298</v>
      </c>
      <c r="D121" s="22">
        <v>97</v>
      </c>
      <c r="E121" s="22">
        <v>17</v>
      </c>
      <c r="F121" s="22">
        <v>1</v>
      </c>
      <c r="G121" s="22">
        <v>0</v>
      </c>
      <c r="H121" s="22">
        <v>0</v>
      </c>
      <c r="I121" s="22">
        <v>115</v>
      </c>
      <c r="J121" s="22">
        <v>118</v>
      </c>
    </row>
    <row r="122" spans="1:10" s="21" customFormat="1" ht="11.25" customHeight="1" x14ac:dyDescent="0.2">
      <c r="A122" s="19"/>
      <c r="B122" s="99"/>
      <c r="C122" s="92" t="s">
        <v>94</v>
      </c>
      <c r="D122" s="22">
        <v>1111</v>
      </c>
      <c r="E122" s="22">
        <v>136</v>
      </c>
      <c r="F122" s="22">
        <v>31</v>
      </c>
      <c r="G122" s="22">
        <v>0</v>
      </c>
      <c r="H122" s="22">
        <v>0</v>
      </c>
      <c r="I122" s="22">
        <v>1278</v>
      </c>
      <c r="J122" s="22">
        <v>1264</v>
      </c>
    </row>
    <row r="123" spans="1:10" s="21" customFormat="1" ht="11.25" customHeight="1" x14ac:dyDescent="0.2">
      <c r="A123" s="19"/>
      <c r="B123" s="99"/>
      <c r="C123" s="92" t="s">
        <v>95</v>
      </c>
      <c r="D123" s="22">
        <v>492</v>
      </c>
      <c r="E123" s="22">
        <v>58</v>
      </c>
      <c r="F123" s="22">
        <v>8</v>
      </c>
      <c r="G123" s="22">
        <v>0</v>
      </c>
      <c r="H123" s="22">
        <v>0</v>
      </c>
      <c r="I123" s="22">
        <v>558</v>
      </c>
      <c r="J123" s="22">
        <v>553</v>
      </c>
    </row>
    <row r="124" spans="1:10" s="21" customFormat="1" ht="11.25" customHeight="1" x14ac:dyDescent="0.2">
      <c r="A124" s="19"/>
      <c r="B124" s="99"/>
      <c r="C124" s="92" t="s">
        <v>299</v>
      </c>
      <c r="D124" s="22">
        <v>1154</v>
      </c>
      <c r="E124" s="22">
        <v>152</v>
      </c>
      <c r="F124" s="22">
        <v>42</v>
      </c>
      <c r="G124" s="22">
        <v>0</v>
      </c>
      <c r="H124" s="22">
        <v>0</v>
      </c>
      <c r="I124" s="22">
        <v>1348</v>
      </c>
      <c r="J124" s="22">
        <v>1348</v>
      </c>
    </row>
    <row r="125" spans="1:10" s="21" customFormat="1" ht="11.25" customHeight="1" x14ac:dyDescent="0.2">
      <c r="A125" s="19"/>
      <c r="B125" s="99"/>
      <c r="C125" s="92" t="s">
        <v>287</v>
      </c>
      <c r="D125" s="22">
        <v>81</v>
      </c>
      <c r="E125" s="22">
        <v>3</v>
      </c>
      <c r="F125" s="22">
        <v>0</v>
      </c>
      <c r="G125" s="22">
        <v>0</v>
      </c>
      <c r="H125" s="22">
        <v>0</v>
      </c>
      <c r="I125" s="22">
        <v>84</v>
      </c>
      <c r="J125" s="22">
        <v>95</v>
      </c>
    </row>
    <row r="126" spans="1:10" s="21" customFormat="1" ht="11.25" customHeight="1" x14ac:dyDescent="0.2">
      <c r="A126" s="19"/>
      <c r="B126" s="99"/>
      <c r="C126" s="92" t="s">
        <v>300</v>
      </c>
      <c r="D126" s="22">
        <v>177</v>
      </c>
      <c r="E126" s="22">
        <v>19</v>
      </c>
      <c r="F126" s="22">
        <v>14</v>
      </c>
      <c r="G126" s="22">
        <v>0</v>
      </c>
      <c r="H126" s="22">
        <v>0</v>
      </c>
      <c r="I126" s="22">
        <v>210</v>
      </c>
      <c r="J126" s="22">
        <v>206</v>
      </c>
    </row>
    <row r="127" spans="1:10" s="21" customFormat="1" ht="11.25" customHeight="1" x14ac:dyDescent="0.2">
      <c r="A127" s="19"/>
      <c r="B127" s="99"/>
      <c r="C127" s="92" t="s">
        <v>301</v>
      </c>
      <c r="D127" s="22">
        <v>1125</v>
      </c>
      <c r="E127" s="22">
        <v>212</v>
      </c>
      <c r="F127" s="22">
        <v>56</v>
      </c>
      <c r="G127" s="22">
        <v>1</v>
      </c>
      <c r="H127" s="22">
        <v>2</v>
      </c>
      <c r="I127" s="22">
        <v>1396</v>
      </c>
      <c r="J127" s="22">
        <v>1421</v>
      </c>
    </row>
    <row r="128" spans="1:10" s="21" customFormat="1" ht="11.25" customHeight="1" x14ac:dyDescent="0.2">
      <c r="A128" s="19"/>
      <c r="B128" s="99"/>
      <c r="C128" s="92" t="s">
        <v>96</v>
      </c>
      <c r="D128" s="22">
        <v>248</v>
      </c>
      <c r="E128" s="22">
        <v>121</v>
      </c>
      <c r="F128" s="22">
        <v>12</v>
      </c>
      <c r="G128" s="22">
        <v>0</v>
      </c>
      <c r="H128" s="22">
        <v>0</v>
      </c>
      <c r="I128" s="22">
        <v>381</v>
      </c>
      <c r="J128" s="22">
        <v>378</v>
      </c>
    </row>
    <row r="129" spans="1:10" s="21" customFormat="1" ht="11.25" customHeight="1" x14ac:dyDescent="0.2">
      <c r="A129" s="19"/>
      <c r="B129" s="99"/>
      <c r="C129" s="92" t="s">
        <v>97</v>
      </c>
      <c r="D129" s="22">
        <v>883</v>
      </c>
      <c r="E129" s="22">
        <v>147</v>
      </c>
      <c r="F129" s="22">
        <v>28</v>
      </c>
      <c r="G129" s="22">
        <v>0</v>
      </c>
      <c r="H129" s="22">
        <v>0</v>
      </c>
      <c r="I129" s="22">
        <v>1058</v>
      </c>
      <c r="J129" s="22">
        <v>1049</v>
      </c>
    </row>
    <row r="130" spans="1:10" s="21" customFormat="1" ht="11.25" customHeight="1" x14ac:dyDescent="0.2">
      <c r="A130" s="19"/>
      <c r="B130" s="99"/>
      <c r="C130" s="92" t="s">
        <v>262</v>
      </c>
      <c r="D130" s="22">
        <v>65</v>
      </c>
      <c r="E130" s="22">
        <v>5</v>
      </c>
      <c r="F130" s="22">
        <v>1</v>
      </c>
      <c r="G130" s="22">
        <v>0</v>
      </c>
      <c r="H130" s="22">
        <v>0</v>
      </c>
      <c r="I130" s="22">
        <v>71</v>
      </c>
      <c r="J130" s="22">
        <v>72</v>
      </c>
    </row>
    <row r="131" spans="1:10" s="21" customFormat="1" ht="11.25" customHeight="1" x14ac:dyDescent="0.2">
      <c r="A131" s="19"/>
      <c r="B131" s="99"/>
      <c r="C131" s="92" t="s">
        <v>98</v>
      </c>
      <c r="D131" s="22">
        <v>957</v>
      </c>
      <c r="E131" s="22">
        <v>617</v>
      </c>
      <c r="F131" s="22">
        <v>72</v>
      </c>
      <c r="G131" s="22">
        <v>0</v>
      </c>
      <c r="H131" s="22">
        <v>2</v>
      </c>
      <c r="I131" s="22">
        <v>1648</v>
      </c>
      <c r="J131" s="22">
        <v>1648</v>
      </c>
    </row>
    <row r="132" spans="1:10" s="21" customFormat="1" ht="11.25" customHeight="1" x14ac:dyDescent="0.2">
      <c r="A132" s="19"/>
      <c r="B132" s="99"/>
      <c r="C132" s="92" t="s">
        <v>263</v>
      </c>
      <c r="D132" s="22">
        <v>708</v>
      </c>
      <c r="E132" s="22">
        <v>68</v>
      </c>
      <c r="F132" s="22">
        <v>16</v>
      </c>
      <c r="G132" s="22">
        <v>0</v>
      </c>
      <c r="H132" s="22">
        <v>0</v>
      </c>
      <c r="I132" s="22">
        <v>792</v>
      </c>
      <c r="J132" s="22">
        <v>786</v>
      </c>
    </row>
    <row r="133" spans="1:10" s="21" customFormat="1" ht="11.25" customHeight="1" x14ac:dyDescent="0.2">
      <c r="A133" s="19"/>
      <c r="B133" s="99"/>
      <c r="C133" s="92" t="s">
        <v>99</v>
      </c>
      <c r="D133" s="22">
        <v>16051</v>
      </c>
      <c r="E133" s="22">
        <v>7460</v>
      </c>
      <c r="F133" s="22">
        <v>2734</v>
      </c>
      <c r="G133" s="22">
        <v>32</v>
      </c>
      <c r="H133" s="22">
        <v>20</v>
      </c>
      <c r="I133" s="22">
        <v>26297</v>
      </c>
      <c r="J133" s="22">
        <v>26159</v>
      </c>
    </row>
    <row r="134" spans="1:10" s="21" customFormat="1" ht="11.25" customHeight="1" x14ac:dyDescent="0.2">
      <c r="A134" s="19"/>
      <c r="B134" s="99"/>
      <c r="C134" s="92" t="s">
        <v>100</v>
      </c>
      <c r="D134" s="22">
        <v>1110</v>
      </c>
      <c r="E134" s="22">
        <v>219</v>
      </c>
      <c r="F134" s="22">
        <v>47</v>
      </c>
      <c r="G134" s="22">
        <v>0</v>
      </c>
      <c r="H134" s="22">
        <v>0</v>
      </c>
      <c r="I134" s="22">
        <v>1376</v>
      </c>
      <c r="J134" s="22">
        <v>1411</v>
      </c>
    </row>
    <row r="135" spans="1:10" s="21" customFormat="1" ht="11.25" customHeight="1" x14ac:dyDescent="0.2">
      <c r="A135" s="19"/>
      <c r="B135" s="99"/>
      <c r="C135" s="92" t="s">
        <v>101</v>
      </c>
      <c r="D135" s="22">
        <v>927</v>
      </c>
      <c r="E135" s="22">
        <v>174</v>
      </c>
      <c r="F135" s="22">
        <v>30</v>
      </c>
      <c r="G135" s="22">
        <v>0</v>
      </c>
      <c r="H135" s="22">
        <v>0</v>
      </c>
      <c r="I135" s="22">
        <v>1131</v>
      </c>
      <c r="J135" s="22">
        <v>1117</v>
      </c>
    </row>
    <row r="136" spans="1:10" s="21" customFormat="1" ht="11.25" customHeight="1" x14ac:dyDescent="0.2">
      <c r="A136" s="19"/>
      <c r="B136" s="99"/>
      <c r="C136" s="92" t="s">
        <v>102</v>
      </c>
      <c r="D136" s="22">
        <v>430</v>
      </c>
      <c r="E136" s="22">
        <v>95</v>
      </c>
      <c r="F136" s="22">
        <v>29</v>
      </c>
      <c r="G136" s="22">
        <v>0</v>
      </c>
      <c r="H136" s="22">
        <v>1</v>
      </c>
      <c r="I136" s="22">
        <v>555</v>
      </c>
      <c r="J136" s="22">
        <v>557</v>
      </c>
    </row>
    <row r="137" spans="1:10" s="21" customFormat="1" ht="11.25" customHeight="1" x14ac:dyDescent="0.2">
      <c r="A137" s="19"/>
      <c r="B137" s="99"/>
      <c r="C137" s="92" t="s">
        <v>103</v>
      </c>
      <c r="D137" s="22">
        <v>3575</v>
      </c>
      <c r="E137" s="22">
        <v>1667</v>
      </c>
      <c r="F137" s="22">
        <v>482</v>
      </c>
      <c r="G137" s="22">
        <v>7</v>
      </c>
      <c r="H137" s="22">
        <v>0</v>
      </c>
      <c r="I137" s="22">
        <v>5731</v>
      </c>
      <c r="J137" s="22">
        <v>5735</v>
      </c>
    </row>
    <row r="138" spans="1:10" s="21" customFormat="1" ht="11.25" customHeight="1" x14ac:dyDescent="0.2">
      <c r="A138" s="19"/>
      <c r="B138" s="99"/>
      <c r="C138" s="92" t="s">
        <v>104</v>
      </c>
      <c r="D138" s="22">
        <v>886</v>
      </c>
      <c r="E138" s="22">
        <v>178</v>
      </c>
      <c r="F138" s="22">
        <v>84</v>
      </c>
      <c r="G138" s="22">
        <v>0</v>
      </c>
      <c r="H138" s="22">
        <v>0</v>
      </c>
      <c r="I138" s="22">
        <v>1148</v>
      </c>
      <c r="J138" s="22">
        <v>1139</v>
      </c>
    </row>
    <row r="139" spans="1:10" s="21" customFormat="1" ht="11.25" customHeight="1" x14ac:dyDescent="0.2">
      <c r="A139" s="19"/>
      <c r="B139" s="99"/>
      <c r="C139" s="92" t="s">
        <v>105</v>
      </c>
      <c r="D139" s="22">
        <v>1093</v>
      </c>
      <c r="E139" s="22">
        <v>391</v>
      </c>
      <c r="F139" s="22">
        <v>157</v>
      </c>
      <c r="G139" s="22">
        <v>0</v>
      </c>
      <c r="H139" s="22">
        <v>1</v>
      </c>
      <c r="I139" s="22">
        <v>1642</v>
      </c>
      <c r="J139" s="22">
        <v>1582</v>
      </c>
    </row>
    <row r="140" spans="1:10" s="21" customFormat="1" ht="11.25" customHeight="1" x14ac:dyDescent="0.2">
      <c r="A140" s="19"/>
      <c r="B140" s="99"/>
      <c r="C140" s="92" t="s">
        <v>106</v>
      </c>
      <c r="D140" s="22">
        <v>817</v>
      </c>
      <c r="E140" s="22">
        <v>98</v>
      </c>
      <c r="F140" s="22">
        <v>25</v>
      </c>
      <c r="G140" s="22">
        <v>0</v>
      </c>
      <c r="H140" s="22">
        <v>2</v>
      </c>
      <c r="I140" s="22">
        <v>942</v>
      </c>
      <c r="J140" s="22">
        <v>947</v>
      </c>
    </row>
    <row r="141" spans="1:10" s="21" customFormat="1" ht="11.25" customHeight="1" x14ac:dyDescent="0.2">
      <c r="A141" s="19"/>
      <c r="B141" s="99"/>
      <c r="C141" s="92" t="s">
        <v>107</v>
      </c>
      <c r="D141" s="22">
        <v>221</v>
      </c>
      <c r="E141" s="22">
        <v>23</v>
      </c>
      <c r="F141" s="22">
        <v>3</v>
      </c>
      <c r="G141" s="22">
        <v>0</v>
      </c>
      <c r="H141" s="22">
        <v>1</v>
      </c>
      <c r="I141" s="22">
        <v>248</v>
      </c>
      <c r="J141" s="22">
        <v>233</v>
      </c>
    </row>
    <row r="142" spans="1:10" s="21" customFormat="1" ht="11.25" customHeight="1" x14ac:dyDescent="0.2">
      <c r="A142" s="19"/>
      <c r="B142" s="99"/>
      <c r="C142" s="92" t="s">
        <v>302</v>
      </c>
      <c r="D142" s="22">
        <v>1514</v>
      </c>
      <c r="E142" s="22">
        <v>327</v>
      </c>
      <c r="F142" s="22">
        <v>402</v>
      </c>
      <c r="G142" s="22">
        <v>0</v>
      </c>
      <c r="H142" s="22">
        <v>0</v>
      </c>
      <c r="I142" s="22">
        <v>2243</v>
      </c>
      <c r="J142" s="22">
        <v>2203</v>
      </c>
    </row>
    <row r="143" spans="1:10" s="21" customFormat="1" ht="11.25" customHeight="1" x14ac:dyDescent="0.2">
      <c r="A143" s="19"/>
      <c r="B143" s="99"/>
      <c r="C143" s="92" t="s">
        <v>108</v>
      </c>
      <c r="D143" s="22">
        <v>660</v>
      </c>
      <c r="E143" s="22">
        <v>106</v>
      </c>
      <c r="F143" s="22">
        <v>29</v>
      </c>
      <c r="G143" s="22">
        <v>0</v>
      </c>
      <c r="H143" s="22">
        <v>0</v>
      </c>
      <c r="I143" s="22">
        <v>795</v>
      </c>
      <c r="J143" s="22">
        <v>793</v>
      </c>
    </row>
    <row r="144" spans="1:10" s="21" customFormat="1" ht="11.25" customHeight="1" x14ac:dyDescent="0.2">
      <c r="A144" s="19"/>
      <c r="B144" s="99"/>
      <c r="C144" s="92" t="s">
        <v>109</v>
      </c>
      <c r="D144" s="22">
        <v>521</v>
      </c>
      <c r="E144" s="22">
        <v>140</v>
      </c>
      <c r="F144" s="22">
        <v>62</v>
      </c>
      <c r="G144" s="22">
        <v>0</v>
      </c>
      <c r="H144" s="22">
        <v>1</v>
      </c>
      <c r="I144" s="22">
        <v>724</v>
      </c>
      <c r="J144" s="22">
        <v>724</v>
      </c>
    </row>
    <row r="145" spans="1:10" s="21" customFormat="1" ht="11.25" customHeight="1" x14ac:dyDescent="0.2">
      <c r="A145" s="19"/>
      <c r="B145" s="99"/>
      <c r="C145" s="92" t="s">
        <v>288</v>
      </c>
      <c r="D145" s="22">
        <v>137</v>
      </c>
      <c r="E145" s="22">
        <v>6</v>
      </c>
      <c r="F145" s="22">
        <v>2</v>
      </c>
      <c r="G145" s="22">
        <v>0</v>
      </c>
      <c r="H145" s="22">
        <v>0</v>
      </c>
      <c r="I145" s="22">
        <v>145</v>
      </c>
      <c r="J145" s="22">
        <v>143</v>
      </c>
    </row>
    <row r="146" spans="1:10" s="21" customFormat="1" ht="11.25" customHeight="1" x14ac:dyDescent="0.2">
      <c r="A146" s="19"/>
      <c r="B146" s="99"/>
      <c r="C146" s="92" t="s">
        <v>110</v>
      </c>
      <c r="D146" s="22">
        <v>645</v>
      </c>
      <c r="E146" s="22">
        <v>122</v>
      </c>
      <c r="F146" s="22">
        <v>22</v>
      </c>
      <c r="G146" s="22">
        <v>0</v>
      </c>
      <c r="H146" s="22">
        <v>0</v>
      </c>
      <c r="I146" s="22">
        <v>789</v>
      </c>
      <c r="J146" s="22">
        <v>797</v>
      </c>
    </row>
    <row r="147" spans="1:10" s="21" customFormat="1" ht="11.25" customHeight="1" x14ac:dyDescent="0.2">
      <c r="A147" s="19"/>
      <c r="B147" s="99"/>
      <c r="C147" s="92" t="s">
        <v>111</v>
      </c>
      <c r="D147" s="22">
        <v>287</v>
      </c>
      <c r="E147" s="22">
        <v>51</v>
      </c>
      <c r="F147" s="22">
        <v>11</v>
      </c>
      <c r="G147" s="22">
        <v>0</v>
      </c>
      <c r="H147" s="22">
        <v>0</v>
      </c>
      <c r="I147" s="22">
        <v>349</v>
      </c>
      <c r="J147" s="22">
        <v>342</v>
      </c>
    </row>
    <row r="148" spans="1:10" s="21" customFormat="1" ht="11.25" customHeight="1" x14ac:dyDescent="0.2">
      <c r="A148" s="19"/>
      <c r="B148" s="99"/>
      <c r="C148" s="92" t="s">
        <v>112</v>
      </c>
      <c r="D148" s="22">
        <v>720</v>
      </c>
      <c r="E148" s="22">
        <v>55</v>
      </c>
      <c r="F148" s="22">
        <v>18</v>
      </c>
      <c r="G148" s="22">
        <v>0</v>
      </c>
      <c r="H148" s="22">
        <v>1</v>
      </c>
      <c r="I148" s="22">
        <v>794</v>
      </c>
      <c r="J148" s="22">
        <v>773</v>
      </c>
    </row>
    <row r="149" spans="1:10" s="21" customFormat="1" ht="11.25" customHeight="1" x14ac:dyDescent="0.2">
      <c r="A149" s="19"/>
      <c r="B149" s="99"/>
      <c r="C149" s="92" t="s">
        <v>113</v>
      </c>
      <c r="D149" s="22">
        <v>1068</v>
      </c>
      <c r="E149" s="22">
        <v>121</v>
      </c>
      <c r="F149" s="22">
        <v>32</v>
      </c>
      <c r="G149" s="22">
        <v>0</v>
      </c>
      <c r="H149" s="22">
        <v>0</v>
      </c>
      <c r="I149" s="22">
        <v>1221</v>
      </c>
      <c r="J149" s="22">
        <v>1228</v>
      </c>
    </row>
    <row r="150" spans="1:10" s="21" customFormat="1" ht="11.25" customHeight="1" x14ac:dyDescent="0.2">
      <c r="A150" s="19"/>
      <c r="B150" s="99"/>
      <c r="C150" s="92" t="s">
        <v>303</v>
      </c>
      <c r="D150" s="22">
        <v>363</v>
      </c>
      <c r="E150" s="22">
        <v>167</v>
      </c>
      <c r="F150" s="22">
        <v>34</v>
      </c>
      <c r="G150" s="22">
        <v>0</v>
      </c>
      <c r="H150" s="22">
        <v>0</v>
      </c>
      <c r="I150" s="22">
        <v>564</v>
      </c>
      <c r="J150" s="22">
        <v>575</v>
      </c>
    </row>
    <row r="151" spans="1:10" s="21" customFormat="1" ht="11.25" customHeight="1" x14ac:dyDescent="0.2">
      <c r="A151" s="19"/>
      <c r="B151" s="99"/>
      <c r="C151" s="92" t="s">
        <v>114</v>
      </c>
      <c r="D151" s="22">
        <v>1748</v>
      </c>
      <c r="E151" s="22">
        <v>1237</v>
      </c>
      <c r="F151" s="22">
        <v>488</v>
      </c>
      <c r="G151" s="22">
        <v>0</v>
      </c>
      <c r="H151" s="22">
        <v>3</v>
      </c>
      <c r="I151" s="22">
        <v>3476</v>
      </c>
      <c r="J151" s="22">
        <v>3407</v>
      </c>
    </row>
    <row r="152" spans="1:10" s="21" customFormat="1" ht="11.25" customHeight="1" x14ac:dyDescent="0.2">
      <c r="A152" s="19"/>
      <c r="B152" s="99"/>
      <c r="C152" s="92" t="s">
        <v>304</v>
      </c>
      <c r="D152" s="22">
        <v>773</v>
      </c>
      <c r="E152" s="22">
        <v>340</v>
      </c>
      <c r="F152" s="22">
        <v>97</v>
      </c>
      <c r="G152" s="22">
        <v>0</v>
      </c>
      <c r="H152" s="22">
        <v>4</v>
      </c>
      <c r="I152" s="22">
        <v>1214</v>
      </c>
      <c r="J152" s="22">
        <v>1166</v>
      </c>
    </row>
    <row r="153" spans="1:10" s="21" customFormat="1" ht="11.25" customHeight="1" x14ac:dyDescent="0.2">
      <c r="A153" s="19"/>
      <c r="B153" s="99"/>
      <c r="C153" s="92" t="s">
        <v>115</v>
      </c>
      <c r="D153" s="22">
        <v>1394</v>
      </c>
      <c r="E153" s="22">
        <v>156</v>
      </c>
      <c r="F153" s="22">
        <v>27</v>
      </c>
      <c r="G153" s="22">
        <v>0</v>
      </c>
      <c r="H153" s="22">
        <v>0</v>
      </c>
      <c r="I153" s="22">
        <v>1577</v>
      </c>
      <c r="J153" s="22">
        <v>1566</v>
      </c>
    </row>
    <row r="154" spans="1:10" s="21" customFormat="1" ht="11.25" customHeight="1" x14ac:dyDescent="0.2">
      <c r="A154" s="19"/>
      <c r="B154" s="99"/>
      <c r="C154" s="92" t="s">
        <v>116</v>
      </c>
      <c r="D154" s="22">
        <v>593</v>
      </c>
      <c r="E154" s="22">
        <v>176</v>
      </c>
      <c r="F154" s="22">
        <v>35</v>
      </c>
      <c r="G154" s="22">
        <v>0</v>
      </c>
      <c r="H154" s="22">
        <v>0</v>
      </c>
      <c r="I154" s="22">
        <v>804</v>
      </c>
      <c r="J154" s="22">
        <v>800</v>
      </c>
    </row>
    <row r="155" spans="1:10" s="21" customFormat="1" ht="11.25" customHeight="1" x14ac:dyDescent="0.2">
      <c r="A155" s="19"/>
      <c r="B155" s="99"/>
      <c r="C155" s="92" t="s">
        <v>117</v>
      </c>
      <c r="D155" s="22">
        <v>1145</v>
      </c>
      <c r="E155" s="22">
        <v>241</v>
      </c>
      <c r="F155" s="22">
        <v>69</v>
      </c>
      <c r="G155" s="22">
        <v>0</v>
      </c>
      <c r="H155" s="22">
        <v>1</v>
      </c>
      <c r="I155" s="22">
        <v>1456</v>
      </c>
      <c r="J155" s="22">
        <v>1408</v>
      </c>
    </row>
    <row r="156" spans="1:10" s="21" customFormat="1" ht="11.25" customHeight="1" x14ac:dyDescent="0.2">
      <c r="A156" s="19"/>
      <c r="B156" s="99"/>
      <c r="C156" s="92" t="s">
        <v>305</v>
      </c>
      <c r="D156" s="22">
        <v>4937</v>
      </c>
      <c r="E156" s="22">
        <v>2172</v>
      </c>
      <c r="F156" s="22">
        <v>462</v>
      </c>
      <c r="G156" s="22">
        <v>0</v>
      </c>
      <c r="H156" s="22">
        <v>5</v>
      </c>
      <c r="I156" s="22">
        <v>7576</v>
      </c>
      <c r="J156" s="22">
        <v>7559</v>
      </c>
    </row>
    <row r="157" spans="1:10" s="21" customFormat="1" ht="11.25" customHeight="1" x14ac:dyDescent="0.2">
      <c r="A157" s="19"/>
      <c r="B157" s="99"/>
      <c r="C157" s="92" t="s">
        <v>118</v>
      </c>
      <c r="D157" s="22">
        <v>913</v>
      </c>
      <c r="E157" s="22">
        <v>168</v>
      </c>
      <c r="F157" s="22">
        <v>34</v>
      </c>
      <c r="G157" s="22">
        <v>0</v>
      </c>
      <c r="H157" s="22">
        <v>0</v>
      </c>
      <c r="I157" s="22">
        <v>1115</v>
      </c>
      <c r="J157" s="22">
        <v>1081</v>
      </c>
    </row>
    <row r="158" spans="1:10" s="21" customFormat="1" ht="11.25" customHeight="1" x14ac:dyDescent="0.2">
      <c r="A158" s="19"/>
      <c r="B158" s="99"/>
      <c r="C158" s="92" t="s">
        <v>119</v>
      </c>
      <c r="D158" s="22">
        <v>1183</v>
      </c>
      <c r="E158" s="22">
        <v>245</v>
      </c>
      <c r="F158" s="22">
        <v>38</v>
      </c>
      <c r="G158" s="22">
        <v>0</v>
      </c>
      <c r="H158" s="22">
        <v>0</v>
      </c>
      <c r="I158" s="22">
        <v>1466</v>
      </c>
      <c r="J158" s="22">
        <v>1468</v>
      </c>
    </row>
    <row r="159" spans="1:10" s="21" customFormat="1" ht="11.25" customHeight="1" x14ac:dyDescent="0.2">
      <c r="A159" s="19"/>
      <c r="B159" s="99"/>
      <c r="C159" s="92" t="s">
        <v>120</v>
      </c>
      <c r="D159" s="22">
        <v>594</v>
      </c>
      <c r="E159" s="22">
        <v>68</v>
      </c>
      <c r="F159" s="22">
        <v>39</v>
      </c>
      <c r="G159" s="22">
        <v>0</v>
      </c>
      <c r="H159" s="22">
        <v>0</v>
      </c>
      <c r="I159" s="22">
        <v>701</v>
      </c>
      <c r="J159" s="22">
        <v>704</v>
      </c>
    </row>
    <row r="160" spans="1:10" s="21" customFormat="1" ht="11.25" customHeight="1" x14ac:dyDescent="0.2">
      <c r="A160" s="19"/>
      <c r="B160" s="99"/>
      <c r="C160" s="92" t="s">
        <v>121</v>
      </c>
      <c r="D160" s="22">
        <v>1487</v>
      </c>
      <c r="E160" s="22">
        <v>459</v>
      </c>
      <c r="F160" s="22">
        <v>100</v>
      </c>
      <c r="G160" s="22">
        <v>0</v>
      </c>
      <c r="H160" s="22">
        <v>0</v>
      </c>
      <c r="I160" s="22">
        <v>2046</v>
      </c>
      <c r="J160" s="22">
        <v>2028</v>
      </c>
    </row>
    <row r="161" spans="1:10" s="21" customFormat="1" ht="11.25" customHeight="1" x14ac:dyDescent="0.2">
      <c r="A161" s="19"/>
      <c r="B161" s="99"/>
      <c r="C161" s="92" t="s">
        <v>122</v>
      </c>
      <c r="D161" s="22">
        <v>550</v>
      </c>
      <c r="E161" s="22">
        <v>76</v>
      </c>
      <c r="F161" s="22">
        <v>12</v>
      </c>
      <c r="G161" s="22">
        <v>0</v>
      </c>
      <c r="H161" s="22">
        <v>0</v>
      </c>
      <c r="I161" s="22">
        <v>638</v>
      </c>
      <c r="J161" s="22">
        <v>635</v>
      </c>
    </row>
    <row r="162" spans="1:10" s="21" customFormat="1" ht="11.25" customHeight="1" x14ac:dyDescent="0.2">
      <c r="A162" s="19"/>
      <c r="B162" s="99"/>
      <c r="C162" s="92" t="s">
        <v>123</v>
      </c>
      <c r="D162" s="22">
        <v>357</v>
      </c>
      <c r="E162" s="22">
        <v>71</v>
      </c>
      <c r="F162" s="22">
        <v>17</v>
      </c>
      <c r="G162" s="22">
        <v>0</v>
      </c>
      <c r="H162" s="22">
        <v>0</v>
      </c>
      <c r="I162" s="22">
        <v>445</v>
      </c>
      <c r="J162" s="22">
        <v>436</v>
      </c>
    </row>
    <row r="163" spans="1:10" s="21" customFormat="1" ht="11.25" customHeight="1" x14ac:dyDescent="0.2">
      <c r="A163" s="19"/>
      <c r="B163" s="99"/>
      <c r="C163" s="92" t="s">
        <v>124</v>
      </c>
      <c r="D163" s="22">
        <v>1544</v>
      </c>
      <c r="E163" s="22">
        <v>114</v>
      </c>
      <c r="F163" s="22">
        <v>34</v>
      </c>
      <c r="G163" s="22">
        <v>0</v>
      </c>
      <c r="H163" s="22">
        <v>0</v>
      </c>
      <c r="I163" s="22">
        <v>1692</v>
      </c>
      <c r="J163" s="22">
        <v>1667</v>
      </c>
    </row>
    <row r="164" spans="1:10" s="21" customFormat="1" ht="11.25" customHeight="1" x14ac:dyDescent="0.2">
      <c r="A164" s="19"/>
      <c r="B164" s="99"/>
      <c r="C164" s="92" t="s">
        <v>125</v>
      </c>
      <c r="D164" s="22">
        <v>1147</v>
      </c>
      <c r="E164" s="22">
        <v>224</v>
      </c>
      <c r="F164" s="22">
        <v>195</v>
      </c>
      <c r="G164" s="22">
        <v>0</v>
      </c>
      <c r="H164" s="22">
        <v>0</v>
      </c>
      <c r="I164" s="22">
        <v>1566</v>
      </c>
      <c r="J164" s="22">
        <v>1637</v>
      </c>
    </row>
    <row r="165" spans="1:10" s="21" customFormat="1" ht="11.25" customHeight="1" x14ac:dyDescent="0.2">
      <c r="A165" s="19"/>
      <c r="B165" s="99"/>
      <c r="C165" s="92" t="s">
        <v>126</v>
      </c>
      <c r="D165" s="22">
        <v>2074</v>
      </c>
      <c r="E165" s="22">
        <v>712</v>
      </c>
      <c r="F165" s="22">
        <v>99</v>
      </c>
      <c r="G165" s="22">
        <v>0</v>
      </c>
      <c r="H165" s="22">
        <v>1</v>
      </c>
      <c r="I165" s="22">
        <v>2886</v>
      </c>
      <c r="J165" s="22">
        <v>2837</v>
      </c>
    </row>
    <row r="166" spans="1:10" s="21" customFormat="1" ht="11.25" customHeight="1" x14ac:dyDescent="0.2">
      <c r="A166" s="19"/>
      <c r="B166" s="99"/>
      <c r="C166" s="92" t="s">
        <v>127</v>
      </c>
      <c r="D166" s="22">
        <v>529</v>
      </c>
      <c r="E166" s="22">
        <v>29</v>
      </c>
      <c r="F166" s="22">
        <v>7</v>
      </c>
      <c r="G166" s="22">
        <v>0</v>
      </c>
      <c r="H166" s="22">
        <v>0</v>
      </c>
      <c r="I166" s="22">
        <v>565</v>
      </c>
      <c r="J166" s="22">
        <v>566</v>
      </c>
    </row>
    <row r="167" spans="1:10" s="21" customFormat="1" ht="11.25" customHeight="1" x14ac:dyDescent="0.2">
      <c r="A167" s="19"/>
      <c r="B167" s="99"/>
      <c r="C167" s="92" t="s">
        <v>128</v>
      </c>
      <c r="D167" s="22">
        <v>365</v>
      </c>
      <c r="E167" s="22">
        <v>34</v>
      </c>
      <c r="F167" s="22">
        <v>12</v>
      </c>
      <c r="G167" s="22">
        <v>0</v>
      </c>
      <c r="H167" s="22">
        <v>0</v>
      </c>
      <c r="I167" s="22">
        <v>411</v>
      </c>
      <c r="J167" s="22">
        <v>408</v>
      </c>
    </row>
    <row r="168" spans="1:10" s="21" customFormat="1" ht="11.25" customHeight="1" x14ac:dyDescent="0.2">
      <c r="A168" s="19"/>
      <c r="B168" s="99"/>
      <c r="C168" s="92" t="s">
        <v>129</v>
      </c>
      <c r="D168" s="22">
        <v>1308</v>
      </c>
      <c r="E168" s="22">
        <v>351</v>
      </c>
      <c r="F168" s="22">
        <v>50</v>
      </c>
      <c r="G168" s="22">
        <v>0</v>
      </c>
      <c r="H168" s="22">
        <v>2</v>
      </c>
      <c r="I168" s="22">
        <v>1711</v>
      </c>
      <c r="J168" s="22">
        <v>1688</v>
      </c>
    </row>
    <row r="169" spans="1:10" s="21" customFormat="1" ht="11.25" customHeight="1" x14ac:dyDescent="0.2">
      <c r="A169" s="19"/>
      <c r="B169" s="99"/>
      <c r="C169" s="92" t="s">
        <v>289</v>
      </c>
      <c r="D169" s="22">
        <v>205</v>
      </c>
      <c r="E169" s="22">
        <v>6</v>
      </c>
      <c r="F169" s="22">
        <v>2</v>
      </c>
      <c r="G169" s="22">
        <v>0</v>
      </c>
      <c r="H169" s="22">
        <v>0</v>
      </c>
      <c r="I169" s="22">
        <v>213</v>
      </c>
      <c r="J169" s="22">
        <v>210</v>
      </c>
    </row>
    <row r="170" spans="1:10" s="21" customFormat="1" ht="11.25" customHeight="1" x14ac:dyDescent="0.2">
      <c r="A170" s="19"/>
      <c r="B170" s="99"/>
      <c r="C170" s="92" t="s">
        <v>130</v>
      </c>
      <c r="D170" s="22">
        <v>212</v>
      </c>
      <c r="E170" s="22">
        <v>47</v>
      </c>
      <c r="F170" s="22">
        <v>25</v>
      </c>
      <c r="G170" s="22">
        <v>0</v>
      </c>
      <c r="H170" s="22">
        <v>0</v>
      </c>
      <c r="I170" s="22">
        <v>284</v>
      </c>
      <c r="J170" s="22">
        <v>276</v>
      </c>
    </row>
    <row r="171" spans="1:10" s="21" customFormat="1" ht="11.25" customHeight="1" x14ac:dyDescent="0.2">
      <c r="A171" s="19"/>
      <c r="B171" s="99"/>
      <c r="C171" s="92" t="s">
        <v>306</v>
      </c>
      <c r="D171" s="22">
        <v>4100</v>
      </c>
      <c r="E171" s="22">
        <v>1895</v>
      </c>
      <c r="F171" s="22">
        <v>444</v>
      </c>
      <c r="G171" s="22">
        <v>1</v>
      </c>
      <c r="H171" s="22">
        <v>5</v>
      </c>
      <c r="I171" s="22">
        <v>6445</v>
      </c>
      <c r="J171" s="22">
        <v>6394</v>
      </c>
    </row>
    <row r="172" spans="1:10" s="21" customFormat="1" ht="11.25" customHeight="1" x14ac:dyDescent="0.2">
      <c r="A172" s="19"/>
      <c r="B172" s="99"/>
      <c r="C172" s="99" t="s">
        <v>264</v>
      </c>
      <c r="D172" s="44">
        <v>468</v>
      </c>
      <c r="E172" s="44">
        <v>44</v>
      </c>
      <c r="F172" s="44">
        <v>11</v>
      </c>
      <c r="G172" s="44">
        <v>0</v>
      </c>
      <c r="H172" s="44">
        <v>0</v>
      </c>
      <c r="I172" s="44">
        <v>523</v>
      </c>
      <c r="J172" s="44">
        <v>519</v>
      </c>
    </row>
    <row r="173" spans="1:10" s="21" customFormat="1" ht="11.25" customHeight="1" x14ac:dyDescent="0.2">
      <c r="A173" s="357"/>
      <c r="B173" s="357"/>
      <c r="C173" s="357"/>
      <c r="D173" s="357"/>
      <c r="E173" s="357"/>
      <c r="F173" s="357"/>
      <c r="G173" s="357"/>
      <c r="H173" s="357"/>
      <c r="I173" s="357"/>
      <c r="J173" s="357"/>
    </row>
    <row r="174" spans="1:10" s="19" customFormat="1" ht="11.25" customHeight="1" x14ac:dyDescent="0.2">
      <c r="A174" s="362" t="s">
        <v>131</v>
      </c>
      <c r="B174" s="362"/>
      <c r="C174" s="362"/>
      <c r="D174" s="18">
        <f t="shared" ref="D174:J174" si="44">SUM(D175:D214)</f>
        <v>45234</v>
      </c>
      <c r="E174" s="18">
        <f t="shared" si="44"/>
        <v>11342</v>
      </c>
      <c r="F174" s="18">
        <f t="shared" si="44"/>
        <v>2640</v>
      </c>
      <c r="G174" s="18">
        <f t="shared" si="44"/>
        <v>0</v>
      </c>
      <c r="H174" s="18">
        <f t="shared" si="44"/>
        <v>12</v>
      </c>
      <c r="I174" s="18">
        <f t="shared" si="44"/>
        <v>59228</v>
      </c>
      <c r="J174" s="18">
        <f t="shared" si="44"/>
        <v>58780</v>
      </c>
    </row>
    <row r="175" spans="1:10" s="21" customFormat="1" ht="11.25" customHeight="1" x14ac:dyDescent="0.2">
      <c r="A175" s="19"/>
      <c r="B175" s="99"/>
      <c r="C175" s="92" t="s">
        <v>132</v>
      </c>
      <c r="D175" s="22">
        <v>3770</v>
      </c>
      <c r="E175" s="22">
        <v>1070</v>
      </c>
      <c r="F175" s="22">
        <v>361</v>
      </c>
      <c r="G175" s="22">
        <v>0</v>
      </c>
      <c r="H175" s="22">
        <v>0</v>
      </c>
      <c r="I175" s="22">
        <v>5201</v>
      </c>
      <c r="J175" s="22">
        <v>5132</v>
      </c>
    </row>
    <row r="176" spans="1:10" s="21" customFormat="1" ht="11.25" customHeight="1" x14ac:dyDescent="0.2">
      <c r="A176" s="19"/>
      <c r="B176" s="99"/>
      <c r="C176" s="92" t="s">
        <v>253</v>
      </c>
      <c r="D176" s="22">
        <v>116</v>
      </c>
      <c r="E176" s="22">
        <v>5</v>
      </c>
      <c r="F176" s="22">
        <v>2</v>
      </c>
      <c r="G176" s="22">
        <v>0</v>
      </c>
      <c r="H176" s="22">
        <v>0</v>
      </c>
      <c r="I176" s="22">
        <v>123</v>
      </c>
      <c r="J176" s="22">
        <v>133</v>
      </c>
    </row>
    <row r="177" spans="1:10" s="21" customFormat="1" ht="11.25" customHeight="1" x14ac:dyDescent="0.2">
      <c r="A177" s="19"/>
      <c r="B177" s="99"/>
      <c r="C177" s="92" t="s">
        <v>133</v>
      </c>
      <c r="D177" s="22">
        <v>206</v>
      </c>
      <c r="E177" s="22">
        <v>12</v>
      </c>
      <c r="F177" s="22">
        <v>6</v>
      </c>
      <c r="G177" s="22">
        <v>0</v>
      </c>
      <c r="H177" s="22">
        <v>0</v>
      </c>
      <c r="I177" s="22">
        <v>224</v>
      </c>
      <c r="J177" s="22">
        <v>222</v>
      </c>
    </row>
    <row r="178" spans="1:10" s="21" customFormat="1" ht="11.25" customHeight="1" x14ac:dyDescent="0.2">
      <c r="A178" s="19"/>
      <c r="B178" s="99"/>
      <c r="C178" s="92" t="s">
        <v>134</v>
      </c>
      <c r="D178" s="22">
        <v>428</v>
      </c>
      <c r="E178" s="22">
        <v>58</v>
      </c>
      <c r="F178" s="22">
        <v>17</v>
      </c>
      <c r="G178" s="22">
        <v>0</v>
      </c>
      <c r="H178" s="22">
        <v>0</v>
      </c>
      <c r="I178" s="22">
        <v>503</v>
      </c>
      <c r="J178" s="22">
        <v>485</v>
      </c>
    </row>
    <row r="179" spans="1:10" s="21" customFormat="1" ht="11.25" customHeight="1" x14ac:dyDescent="0.2">
      <c r="A179" s="19"/>
      <c r="B179" s="99"/>
      <c r="C179" s="92" t="s">
        <v>135</v>
      </c>
      <c r="D179" s="22">
        <v>1564</v>
      </c>
      <c r="E179" s="22">
        <v>212</v>
      </c>
      <c r="F179" s="22">
        <v>111</v>
      </c>
      <c r="G179" s="22">
        <v>0</v>
      </c>
      <c r="H179" s="22">
        <v>1</v>
      </c>
      <c r="I179" s="22">
        <v>1888</v>
      </c>
      <c r="J179" s="22">
        <v>1854</v>
      </c>
    </row>
    <row r="180" spans="1:10" s="21" customFormat="1" ht="11.25" customHeight="1" x14ac:dyDescent="0.2">
      <c r="A180" s="19"/>
      <c r="B180" s="99"/>
      <c r="C180" s="92" t="s">
        <v>136</v>
      </c>
      <c r="D180" s="22">
        <v>104</v>
      </c>
      <c r="E180" s="22">
        <v>8</v>
      </c>
      <c r="F180" s="22">
        <v>7</v>
      </c>
      <c r="G180" s="22">
        <v>0</v>
      </c>
      <c r="H180" s="22">
        <v>0</v>
      </c>
      <c r="I180" s="22">
        <v>119</v>
      </c>
      <c r="J180" s="22">
        <v>112</v>
      </c>
    </row>
    <row r="181" spans="1:10" s="21" customFormat="1" ht="11.25" customHeight="1" x14ac:dyDescent="0.2">
      <c r="A181" s="19"/>
      <c r="B181" s="99"/>
      <c r="C181" s="92" t="s">
        <v>137</v>
      </c>
      <c r="D181" s="22">
        <v>635</v>
      </c>
      <c r="E181" s="22">
        <v>36</v>
      </c>
      <c r="F181" s="22">
        <v>15</v>
      </c>
      <c r="G181" s="22">
        <v>0</v>
      </c>
      <c r="H181" s="22">
        <v>0</v>
      </c>
      <c r="I181" s="22">
        <v>686</v>
      </c>
      <c r="J181" s="22">
        <v>688</v>
      </c>
    </row>
    <row r="182" spans="1:10" s="21" customFormat="1" ht="11.25" customHeight="1" x14ac:dyDescent="0.2">
      <c r="A182" s="19"/>
      <c r="B182" s="99"/>
      <c r="C182" s="92" t="s">
        <v>139</v>
      </c>
      <c r="D182" s="22">
        <v>622</v>
      </c>
      <c r="E182" s="22">
        <v>131</v>
      </c>
      <c r="F182" s="22">
        <v>22</v>
      </c>
      <c r="G182" s="22">
        <v>0</v>
      </c>
      <c r="H182" s="22">
        <v>1</v>
      </c>
      <c r="I182" s="22">
        <v>776</v>
      </c>
      <c r="J182" s="22">
        <v>756</v>
      </c>
    </row>
    <row r="183" spans="1:10" s="21" customFormat="1" ht="11.25" customHeight="1" x14ac:dyDescent="0.2">
      <c r="A183" s="19"/>
      <c r="B183" s="99"/>
      <c r="C183" s="92" t="s">
        <v>140</v>
      </c>
      <c r="D183" s="22">
        <v>20</v>
      </c>
      <c r="E183" s="22">
        <v>0</v>
      </c>
      <c r="F183" s="22">
        <v>0</v>
      </c>
      <c r="G183" s="22">
        <v>0</v>
      </c>
      <c r="H183" s="22">
        <v>0</v>
      </c>
      <c r="I183" s="22">
        <v>20</v>
      </c>
      <c r="J183" s="22">
        <v>24</v>
      </c>
    </row>
    <row r="184" spans="1:10" s="21" customFormat="1" ht="11.25" customHeight="1" x14ac:dyDescent="0.2">
      <c r="A184" s="19"/>
      <c r="B184" s="99"/>
      <c r="C184" s="92" t="s">
        <v>265</v>
      </c>
      <c r="D184" s="22">
        <v>1085</v>
      </c>
      <c r="E184" s="22">
        <v>101</v>
      </c>
      <c r="F184" s="22">
        <v>22</v>
      </c>
      <c r="G184" s="22">
        <v>0</v>
      </c>
      <c r="H184" s="22">
        <v>0</v>
      </c>
      <c r="I184" s="22">
        <v>1208</v>
      </c>
      <c r="J184" s="22">
        <v>1185</v>
      </c>
    </row>
    <row r="185" spans="1:10" s="21" customFormat="1" ht="11.25" customHeight="1" x14ac:dyDescent="0.2">
      <c r="A185" s="19"/>
      <c r="B185" s="99"/>
      <c r="C185" s="92" t="s">
        <v>142</v>
      </c>
      <c r="D185" s="22">
        <v>106</v>
      </c>
      <c r="E185" s="22">
        <v>0</v>
      </c>
      <c r="F185" s="22">
        <v>0</v>
      </c>
      <c r="G185" s="22">
        <v>0</v>
      </c>
      <c r="H185" s="22">
        <v>0</v>
      </c>
      <c r="I185" s="22">
        <v>106</v>
      </c>
      <c r="J185" s="22">
        <v>107</v>
      </c>
    </row>
    <row r="186" spans="1:10" s="21" customFormat="1" ht="11.25" customHeight="1" x14ac:dyDescent="0.2">
      <c r="A186" s="19"/>
      <c r="B186" s="99"/>
      <c r="C186" s="92" t="s">
        <v>143</v>
      </c>
      <c r="D186" s="22">
        <v>240</v>
      </c>
      <c r="E186" s="22">
        <v>31</v>
      </c>
      <c r="F186" s="22">
        <v>12</v>
      </c>
      <c r="G186" s="22">
        <v>0</v>
      </c>
      <c r="H186" s="22">
        <v>0</v>
      </c>
      <c r="I186" s="22">
        <v>283</v>
      </c>
      <c r="J186" s="22">
        <v>278</v>
      </c>
    </row>
    <row r="187" spans="1:10" s="21" customFormat="1" ht="11.25" customHeight="1" x14ac:dyDescent="0.2">
      <c r="A187" s="19"/>
      <c r="B187" s="99"/>
      <c r="C187" s="92" t="s">
        <v>266</v>
      </c>
      <c r="D187" s="22">
        <v>989</v>
      </c>
      <c r="E187" s="22">
        <v>157</v>
      </c>
      <c r="F187" s="22">
        <v>20</v>
      </c>
      <c r="G187" s="22">
        <v>0</v>
      </c>
      <c r="H187" s="22">
        <v>0</v>
      </c>
      <c r="I187" s="22">
        <v>1166</v>
      </c>
      <c r="J187" s="22">
        <v>1162</v>
      </c>
    </row>
    <row r="188" spans="1:10" s="21" customFormat="1" ht="11.25" customHeight="1" x14ac:dyDescent="0.2">
      <c r="A188" s="19"/>
      <c r="B188" s="99"/>
      <c r="C188" s="92" t="s">
        <v>144</v>
      </c>
      <c r="D188" s="22">
        <v>3345</v>
      </c>
      <c r="E188" s="22">
        <v>627</v>
      </c>
      <c r="F188" s="22">
        <v>107</v>
      </c>
      <c r="G188" s="22">
        <v>0</v>
      </c>
      <c r="H188" s="22">
        <v>0</v>
      </c>
      <c r="I188" s="22">
        <v>4079</v>
      </c>
      <c r="J188" s="22">
        <v>4005</v>
      </c>
    </row>
    <row r="189" spans="1:10" s="21" customFormat="1" ht="11.25" customHeight="1" x14ac:dyDescent="0.2">
      <c r="A189" s="19"/>
      <c r="B189" s="99"/>
      <c r="C189" s="92" t="s">
        <v>145</v>
      </c>
      <c r="D189" s="22">
        <v>32</v>
      </c>
      <c r="E189" s="22">
        <v>1</v>
      </c>
      <c r="F189" s="22">
        <v>0</v>
      </c>
      <c r="G189" s="22">
        <v>0</v>
      </c>
      <c r="H189" s="22">
        <v>0</v>
      </c>
      <c r="I189" s="22">
        <v>33</v>
      </c>
      <c r="J189" s="22">
        <v>34</v>
      </c>
    </row>
    <row r="190" spans="1:10" s="21" customFormat="1" ht="11.25" customHeight="1" x14ac:dyDescent="0.2">
      <c r="A190" s="19"/>
      <c r="B190" s="99"/>
      <c r="C190" s="92" t="s">
        <v>146</v>
      </c>
      <c r="D190" s="22">
        <v>34</v>
      </c>
      <c r="E190" s="22">
        <v>1</v>
      </c>
      <c r="F190" s="22">
        <v>0</v>
      </c>
      <c r="G190" s="22">
        <v>0</v>
      </c>
      <c r="H190" s="22">
        <v>0</v>
      </c>
      <c r="I190" s="22">
        <v>35</v>
      </c>
      <c r="J190" s="22">
        <v>35</v>
      </c>
    </row>
    <row r="191" spans="1:10" s="21" customFormat="1" ht="11.25" customHeight="1" x14ac:dyDescent="0.2">
      <c r="A191" s="19"/>
      <c r="B191" s="99"/>
      <c r="C191" s="92" t="s">
        <v>254</v>
      </c>
      <c r="D191" s="22">
        <v>837</v>
      </c>
      <c r="E191" s="22">
        <v>62</v>
      </c>
      <c r="F191" s="22">
        <v>10</v>
      </c>
      <c r="G191" s="22">
        <v>0</v>
      </c>
      <c r="H191" s="22">
        <v>0</v>
      </c>
      <c r="I191" s="22">
        <v>909</v>
      </c>
      <c r="J191" s="22">
        <v>913</v>
      </c>
    </row>
    <row r="192" spans="1:10" s="21" customFormat="1" ht="11.25" customHeight="1" x14ac:dyDescent="0.2">
      <c r="A192" s="19"/>
      <c r="B192" s="99"/>
      <c r="C192" s="92" t="s">
        <v>147</v>
      </c>
      <c r="D192" s="22">
        <v>308</v>
      </c>
      <c r="E192" s="22">
        <v>25</v>
      </c>
      <c r="F192" s="22">
        <v>7</v>
      </c>
      <c r="G192" s="22">
        <v>0</v>
      </c>
      <c r="H192" s="22">
        <v>0</v>
      </c>
      <c r="I192" s="22">
        <v>340</v>
      </c>
      <c r="J192" s="22">
        <v>345</v>
      </c>
    </row>
    <row r="193" spans="1:10" s="21" customFormat="1" ht="11.25" customHeight="1" x14ac:dyDescent="0.2">
      <c r="A193" s="19"/>
      <c r="B193" s="99"/>
      <c r="C193" s="92" t="s">
        <v>148</v>
      </c>
      <c r="D193" s="22">
        <v>884</v>
      </c>
      <c r="E193" s="22">
        <v>216</v>
      </c>
      <c r="F193" s="22">
        <v>54</v>
      </c>
      <c r="G193" s="22">
        <v>0</v>
      </c>
      <c r="H193" s="22">
        <v>0</v>
      </c>
      <c r="I193" s="22">
        <v>1154</v>
      </c>
      <c r="J193" s="22">
        <v>1139</v>
      </c>
    </row>
    <row r="194" spans="1:10" s="21" customFormat="1" ht="11.25" customHeight="1" x14ac:dyDescent="0.2">
      <c r="A194" s="19"/>
      <c r="B194" s="99"/>
      <c r="C194" s="92" t="s">
        <v>149</v>
      </c>
      <c r="D194" s="22">
        <v>9476</v>
      </c>
      <c r="E194" s="22">
        <v>4118</v>
      </c>
      <c r="F194" s="22">
        <v>884</v>
      </c>
      <c r="G194" s="22">
        <v>0</v>
      </c>
      <c r="H194" s="22">
        <v>4</v>
      </c>
      <c r="I194" s="22">
        <v>14482</v>
      </c>
      <c r="J194" s="22">
        <v>14426</v>
      </c>
    </row>
    <row r="195" spans="1:10" s="21" customFormat="1" ht="11.25" customHeight="1" x14ac:dyDescent="0.2">
      <c r="A195" s="19"/>
      <c r="B195" s="99"/>
      <c r="C195" s="92" t="s">
        <v>150</v>
      </c>
      <c r="D195" s="22">
        <v>4897</v>
      </c>
      <c r="E195" s="22">
        <v>1143</v>
      </c>
      <c r="F195" s="22">
        <v>209</v>
      </c>
      <c r="G195" s="22">
        <v>0</v>
      </c>
      <c r="H195" s="22">
        <v>1</v>
      </c>
      <c r="I195" s="22">
        <v>6250</v>
      </c>
      <c r="J195" s="22">
        <v>6122</v>
      </c>
    </row>
    <row r="196" spans="1:10" s="21" customFormat="1" ht="11.25" customHeight="1" x14ac:dyDescent="0.2">
      <c r="A196" s="19"/>
      <c r="B196" s="99"/>
      <c r="C196" s="92" t="s">
        <v>151</v>
      </c>
      <c r="D196" s="22">
        <v>1267</v>
      </c>
      <c r="E196" s="22">
        <v>222</v>
      </c>
      <c r="F196" s="22">
        <v>56</v>
      </c>
      <c r="G196" s="22">
        <v>0</v>
      </c>
      <c r="H196" s="22">
        <v>2</v>
      </c>
      <c r="I196" s="22">
        <v>1547</v>
      </c>
      <c r="J196" s="22">
        <v>1526</v>
      </c>
    </row>
    <row r="197" spans="1:10" s="21" customFormat="1" ht="11.25" customHeight="1" x14ac:dyDescent="0.2">
      <c r="A197" s="19"/>
      <c r="B197" s="99"/>
      <c r="C197" s="92" t="s">
        <v>152</v>
      </c>
      <c r="D197" s="22">
        <v>195</v>
      </c>
      <c r="E197" s="22">
        <v>5</v>
      </c>
      <c r="F197" s="22">
        <v>2</v>
      </c>
      <c r="G197" s="22">
        <v>0</v>
      </c>
      <c r="H197" s="22">
        <v>0</v>
      </c>
      <c r="I197" s="22">
        <v>202</v>
      </c>
      <c r="J197" s="22">
        <v>204</v>
      </c>
    </row>
    <row r="198" spans="1:10" s="21" customFormat="1" ht="11.25" customHeight="1" x14ac:dyDescent="0.2">
      <c r="A198" s="19"/>
      <c r="B198" s="99"/>
      <c r="C198" s="92" t="s">
        <v>153</v>
      </c>
      <c r="D198" s="22">
        <v>5194</v>
      </c>
      <c r="E198" s="22">
        <v>1249</v>
      </c>
      <c r="F198" s="22">
        <v>254</v>
      </c>
      <c r="G198" s="22">
        <v>0</v>
      </c>
      <c r="H198" s="22">
        <v>2</v>
      </c>
      <c r="I198" s="22">
        <v>6699</v>
      </c>
      <c r="J198" s="22">
        <v>6695</v>
      </c>
    </row>
    <row r="199" spans="1:10" s="21" customFormat="1" ht="11.25" customHeight="1" x14ac:dyDescent="0.2">
      <c r="A199" s="19"/>
      <c r="B199" s="99"/>
      <c r="C199" s="92" t="s">
        <v>154</v>
      </c>
      <c r="D199" s="22">
        <v>57</v>
      </c>
      <c r="E199" s="22">
        <v>3</v>
      </c>
      <c r="F199" s="22">
        <v>2</v>
      </c>
      <c r="G199" s="22">
        <v>0</v>
      </c>
      <c r="H199" s="22">
        <v>0</v>
      </c>
      <c r="I199" s="22">
        <v>62</v>
      </c>
      <c r="J199" s="22">
        <v>61</v>
      </c>
    </row>
    <row r="200" spans="1:10" s="21" customFormat="1" ht="11.25" customHeight="1" x14ac:dyDescent="0.2">
      <c r="A200" s="19"/>
      <c r="B200" s="99"/>
      <c r="C200" s="92" t="s">
        <v>155</v>
      </c>
      <c r="D200" s="22">
        <v>2038</v>
      </c>
      <c r="E200" s="22">
        <v>626</v>
      </c>
      <c r="F200" s="22">
        <v>192</v>
      </c>
      <c r="G200" s="22">
        <v>0</v>
      </c>
      <c r="H200" s="22">
        <v>0</v>
      </c>
      <c r="I200" s="22">
        <v>2856</v>
      </c>
      <c r="J200" s="22">
        <v>2880</v>
      </c>
    </row>
    <row r="201" spans="1:10" s="21" customFormat="1" ht="11.25" customHeight="1" x14ac:dyDescent="0.2">
      <c r="A201" s="19"/>
      <c r="B201" s="99"/>
      <c r="C201" s="92" t="s">
        <v>156</v>
      </c>
      <c r="D201" s="22">
        <v>279</v>
      </c>
      <c r="E201" s="22">
        <v>11</v>
      </c>
      <c r="F201" s="22">
        <v>5</v>
      </c>
      <c r="G201" s="22">
        <v>0</v>
      </c>
      <c r="H201" s="22">
        <v>0</v>
      </c>
      <c r="I201" s="22">
        <v>295</v>
      </c>
      <c r="J201" s="22">
        <v>299</v>
      </c>
    </row>
    <row r="202" spans="1:10" s="21" customFormat="1" ht="11.25" customHeight="1" x14ac:dyDescent="0.2">
      <c r="A202" s="19"/>
      <c r="B202" s="99"/>
      <c r="C202" s="92" t="s">
        <v>157</v>
      </c>
      <c r="D202" s="22">
        <v>646</v>
      </c>
      <c r="E202" s="22">
        <v>106</v>
      </c>
      <c r="F202" s="22">
        <v>17</v>
      </c>
      <c r="G202" s="22">
        <v>0</v>
      </c>
      <c r="H202" s="22">
        <v>0</v>
      </c>
      <c r="I202" s="22">
        <v>769</v>
      </c>
      <c r="J202" s="22">
        <v>789</v>
      </c>
    </row>
    <row r="203" spans="1:10" s="21" customFormat="1" ht="11.25" customHeight="1" x14ac:dyDescent="0.2">
      <c r="A203" s="19"/>
      <c r="B203" s="99"/>
      <c r="C203" s="92" t="s">
        <v>255</v>
      </c>
      <c r="D203" s="22">
        <v>102</v>
      </c>
      <c r="E203" s="22">
        <v>7</v>
      </c>
      <c r="F203" s="22">
        <v>9</v>
      </c>
      <c r="G203" s="22">
        <v>0</v>
      </c>
      <c r="H203" s="22">
        <v>0</v>
      </c>
      <c r="I203" s="22">
        <v>118</v>
      </c>
      <c r="J203" s="22">
        <v>111</v>
      </c>
    </row>
    <row r="204" spans="1:10" s="21" customFormat="1" ht="11.25" customHeight="1" x14ac:dyDescent="0.2">
      <c r="A204" s="19"/>
      <c r="B204" s="99"/>
      <c r="C204" s="92" t="s">
        <v>158</v>
      </c>
      <c r="D204" s="22">
        <v>336</v>
      </c>
      <c r="E204" s="22">
        <v>50</v>
      </c>
      <c r="F204" s="22">
        <v>5</v>
      </c>
      <c r="G204" s="22">
        <v>0</v>
      </c>
      <c r="H204" s="22">
        <v>0</v>
      </c>
      <c r="I204" s="22">
        <v>391</v>
      </c>
      <c r="J204" s="22">
        <v>392</v>
      </c>
    </row>
    <row r="205" spans="1:10" s="21" customFormat="1" ht="11.25" customHeight="1" x14ac:dyDescent="0.2">
      <c r="A205" s="19"/>
      <c r="B205" s="99"/>
      <c r="C205" s="92" t="s">
        <v>159</v>
      </c>
      <c r="D205" s="22">
        <v>523</v>
      </c>
      <c r="E205" s="22">
        <v>100</v>
      </c>
      <c r="F205" s="22">
        <v>27</v>
      </c>
      <c r="G205" s="22">
        <v>0</v>
      </c>
      <c r="H205" s="22">
        <v>0</v>
      </c>
      <c r="I205" s="22">
        <v>650</v>
      </c>
      <c r="J205" s="22">
        <v>661</v>
      </c>
    </row>
    <row r="206" spans="1:10" s="21" customFormat="1" ht="11.25" customHeight="1" x14ac:dyDescent="0.2">
      <c r="A206" s="19"/>
      <c r="B206" s="99"/>
      <c r="C206" s="92" t="s">
        <v>160</v>
      </c>
      <c r="D206" s="22">
        <v>566</v>
      </c>
      <c r="E206" s="22">
        <v>87</v>
      </c>
      <c r="F206" s="22">
        <v>21</v>
      </c>
      <c r="G206" s="22">
        <v>0</v>
      </c>
      <c r="H206" s="22">
        <v>1</v>
      </c>
      <c r="I206" s="22">
        <v>675</v>
      </c>
      <c r="J206" s="22">
        <v>643</v>
      </c>
    </row>
    <row r="207" spans="1:10" s="21" customFormat="1" ht="11.25" customHeight="1" x14ac:dyDescent="0.2">
      <c r="A207" s="19"/>
      <c r="B207" s="99"/>
      <c r="C207" s="92" t="s">
        <v>161</v>
      </c>
      <c r="D207" s="22">
        <v>129</v>
      </c>
      <c r="E207" s="22">
        <v>13</v>
      </c>
      <c r="F207" s="22">
        <v>3</v>
      </c>
      <c r="G207" s="22">
        <v>0</v>
      </c>
      <c r="H207" s="22">
        <v>0</v>
      </c>
      <c r="I207" s="22">
        <v>145</v>
      </c>
      <c r="J207" s="22">
        <v>138</v>
      </c>
    </row>
    <row r="208" spans="1:10" s="21" customFormat="1" ht="11.25" customHeight="1" x14ac:dyDescent="0.2">
      <c r="A208" s="19"/>
      <c r="B208" s="99"/>
      <c r="C208" s="92" t="s">
        <v>162</v>
      </c>
      <c r="D208" s="22">
        <v>83</v>
      </c>
      <c r="E208" s="22">
        <v>2</v>
      </c>
      <c r="F208" s="22">
        <v>2</v>
      </c>
      <c r="G208" s="22">
        <v>0</v>
      </c>
      <c r="H208" s="22">
        <v>0</v>
      </c>
      <c r="I208" s="22">
        <v>87</v>
      </c>
      <c r="J208" s="22">
        <v>87</v>
      </c>
    </row>
    <row r="209" spans="1:10" s="21" customFormat="1" ht="11.25" customHeight="1" x14ac:dyDescent="0.2">
      <c r="A209" s="19"/>
      <c r="B209" s="99"/>
      <c r="C209" s="92" t="s">
        <v>163</v>
      </c>
      <c r="D209" s="22">
        <v>676</v>
      </c>
      <c r="E209" s="22">
        <v>84</v>
      </c>
      <c r="F209" s="22">
        <v>22</v>
      </c>
      <c r="G209" s="22">
        <v>0</v>
      </c>
      <c r="H209" s="22">
        <v>0</v>
      </c>
      <c r="I209" s="22">
        <v>782</v>
      </c>
      <c r="J209" s="22">
        <v>753</v>
      </c>
    </row>
    <row r="210" spans="1:10" s="21" customFormat="1" ht="11.25" customHeight="1" x14ac:dyDescent="0.2">
      <c r="A210" s="19"/>
      <c r="B210" s="99"/>
      <c r="C210" s="92" t="s">
        <v>164</v>
      </c>
      <c r="D210" s="22">
        <v>1681</v>
      </c>
      <c r="E210" s="22">
        <v>573</v>
      </c>
      <c r="F210" s="22">
        <v>101</v>
      </c>
      <c r="G210" s="22">
        <v>0</v>
      </c>
      <c r="H210" s="22">
        <v>0</v>
      </c>
      <c r="I210" s="22">
        <v>2355</v>
      </c>
      <c r="J210" s="22">
        <v>2377</v>
      </c>
    </row>
    <row r="211" spans="1:10" s="21" customFormat="1" ht="11.25" customHeight="1" x14ac:dyDescent="0.2">
      <c r="A211" s="19"/>
      <c r="B211" s="99"/>
      <c r="C211" s="92" t="s">
        <v>165</v>
      </c>
      <c r="D211" s="22">
        <v>61</v>
      </c>
      <c r="E211" s="22">
        <v>4</v>
      </c>
      <c r="F211" s="22">
        <v>0</v>
      </c>
      <c r="G211" s="22">
        <v>0</v>
      </c>
      <c r="H211" s="22">
        <v>0</v>
      </c>
      <c r="I211" s="22">
        <v>65</v>
      </c>
      <c r="J211" s="22">
        <v>70</v>
      </c>
    </row>
    <row r="212" spans="1:10" s="21" customFormat="1" ht="11.25" customHeight="1" x14ac:dyDescent="0.2">
      <c r="A212" s="19"/>
      <c r="B212" s="99"/>
      <c r="C212" s="92" t="s">
        <v>166</v>
      </c>
      <c r="D212" s="22">
        <v>866</v>
      </c>
      <c r="E212" s="22">
        <v>92</v>
      </c>
      <c r="F212" s="22">
        <v>23</v>
      </c>
      <c r="G212" s="22">
        <v>0</v>
      </c>
      <c r="H212" s="22">
        <v>0</v>
      </c>
      <c r="I212" s="22">
        <v>981</v>
      </c>
      <c r="J212" s="22">
        <v>968</v>
      </c>
    </row>
    <row r="213" spans="1:10" s="21" customFormat="1" ht="11.25" customHeight="1" x14ac:dyDescent="0.2">
      <c r="A213" s="19"/>
      <c r="B213" s="99"/>
      <c r="C213" s="92" t="s">
        <v>167</v>
      </c>
      <c r="D213" s="22">
        <v>549</v>
      </c>
      <c r="E213" s="22">
        <v>88</v>
      </c>
      <c r="F213" s="22">
        <v>28</v>
      </c>
      <c r="G213" s="22">
        <v>0</v>
      </c>
      <c r="H213" s="22">
        <v>0</v>
      </c>
      <c r="I213" s="22">
        <v>665</v>
      </c>
      <c r="J213" s="22">
        <v>652</v>
      </c>
    </row>
    <row r="214" spans="1:10" s="21" customFormat="1" ht="11.25" customHeight="1" x14ac:dyDescent="0.2">
      <c r="A214" s="19"/>
      <c r="B214" s="99"/>
      <c r="C214" s="99" t="s">
        <v>168</v>
      </c>
      <c r="D214" s="44">
        <v>288</v>
      </c>
      <c r="E214" s="44">
        <v>6</v>
      </c>
      <c r="F214" s="44">
        <v>5</v>
      </c>
      <c r="G214" s="44">
        <v>0</v>
      </c>
      <c r="H214" s="44">
        <v>0</v>
      </c>
      <c r="I214" s="44">
        <v>299</v>
      </c>
      <c r="J214" s="44">
        <v>317</v>
      </c>
    </row>
    <row r="215" spans="1:10" s="21" customFormat="1" ht="11.25" customHeight="1" x14ac:dyDescent="0.2">
      <c r="A215" s="357"/>
      <c r="B215" s="357"/>
      <c r="C215" s="357"/>
      <c r="D215" s="357"/>
      <c r="E215" s="357"/>
      <c r="F215" s="357"/>
      <c r="G215" s="357"/>
      <c r="H215" s="357"/>
      <c r="I215" s="357"/>
      <c r="J215" s="357"/>
    </row>
    <row r="216" spans="1:10" s="19" customFormat="1" ht="11.25" customHeight="1" x14ac:dyDescent="0.2">
      <c r="A216" s="357" t="s">
        <v>169</v>
      </c>
      <c r="B216" s="357"/>
      <c r="C216" s="357"/>
      <c r="D216" s="18">
        <f t="shared" ref="D216:J216" si="45">SUM(D217:D238)</f>
        <v>5131</v>
      </c>
      <c r="E216" s="18">
        <f t="shared" si="45"/>
        <v>471</v>
      </c>
      <c r="F216" s="18">
        <f t="shared" si="45"/>
        <v>141</v>
      </c>
      <c r="G216" s="18">
        <f t="shared" si="45"/>
        <v>0</v>
      </c>
      <c r="H216" s="18">
        <f t="shared" si="45"/>
        <v>1</v>
      </c>
      <c r="I216" s="18">
        <f t="shared" si="45"/>
        <v>5744</v>
      </c>
      <c r="J216" s="18">
        <f t="shared" si="45"/>
        <v>5724</v>
      </c>
    </row>
    <row r="217" spans="1:10" s="21" customFormat="1" ht="11.25" customHeight="1" x14ac:dyDescent="0.2">
      <c r="A217" s="19"/>
      <c r="B217" s="99"/>
      <c r="C217" s="92" t="s">
        <v>307</v>
      </c>
      <c r="D217" s="22">
        <v>356</v>
      </c>
      <c r="E217" s="22">
        <v>24</v>
      </c>
      <c r="F217" s="22">
        <v>4</v>
      </c>
      <c r="G217" s="22">
        <v>0</v>
      </c>
      <c r="H217" s="22">
        <v>0</v>
      </c>
      <c r="I217" s="22">
        <v>384</v>
      </c>
      <c r="J217" s="22">
        <v>388</v>
      </c>
    </row>
    <row r="218" spans="1:10" s="21" customFormat="1" ht="11.25" customHeight="1" x14ac:dyDescent="0.2">
      <c r="A218" s="19"/>
      <c r="B218" s="99"/>
      <c r="C218" s="92" t="s">
        <v>267</v>
      </c>
      <c r="D218" s="22">
        <v>496</v>
      </c>
      <c r="E218" s="22">
        <v>20</v>
      </c>
      <c r="F218" s="22">
        <v>13</v>
      </c>
      <c r="G218" s="22">
        <v>0</v>
      </c>
      <c r="H218" s="22">
        <v>0</v>
      </c>
      <c r="I218" s="22">
        <v>529</v>
      </c>
      <c r="J218" s="22">
        <v>524</v>
      </c>
    </row>
    <row r="219" spans="1:10" s="21" customFormat="1" ht="11.25" customHeight="1" x14ac:dyDescent="0.2">
      <c r="A219" s="19"/>
      <c r="B219" s="99"/>
      <c r="C219" s="92" t="s">
        <v>272</v>
      </c>
      <c r="D219" s="22">
        <v>243</v>
      </c>
      <c r="E219" s="22">
        <v>60</v>
      </c>
      <c r="F219" s="22">
        <v>12</v>
      </c>
      <c r="G219" s="22">
        <v>0</v>
      </c>
      <c r="H219" s="22">
        <v>0</v>
      </c>
      <c r="I219" s="22">
        <v>315</v>
      </c>
      <c r="J219" s="22">
        <v>311</v>
      </c>
    </row>
    <row r="220" spans="1:10" s="21" customFormat="1" ht="11.25" customHeight="1" x14ac:dyDescent="0.2">
      <c r="A220" s="19"/>
      <c r="B220" s="99"/>
      <c r="C220" s="92" t="s">
        <v>171</v>
      </c>
      <c r="D220" s="22">
        <v>67</v>
      </c>
      <c r="E220" s="22">
        <v>1</v>
      </c>
      <c r="F220" s="22">
        <v>6</v>
      </c>
      <c r="G220" s="22">
        <v>0</v>
      </c>
      <c r="H220" s="22">
        <v>0</v>
      </c>
      <c r="I220" s="22">
        <v>74</v>
      </c>
      <c r="J220" s="22">
        <v>76</v>
      </c>
    </row>
    <row r="221" spans="1:10" s="21" customFormat="1" ht="11.25" customHeight="1" x14ac:dyDescent="0.2">
      <c r="A221" s="19"/>
      <c r="B221" s="99"/>
      <c r="C221" s="92" t="s">
        <v>308</v>
      </c>
      <c r="D221" s="22">
        <v>91</v>
      </c>
      <c r="E221" s="22">
        <v>0</v>
      </c>
      <c r="F221" s="22">
        <v>1</v>
      </c>
      <c r="G221" s="22">
        <v>0</v>
      </c>
      <c r="H221" s="22">
        <v>0</v>
      </c>
      <c r="I221" s="22">
        <v>92</v>
      </c>
      <c r="J221" s="22">
        <v>92</v>
      </c>
    </row>
    <row r="222" spans="1:10" s="21" customFormat="1" ht="11.25" customHeight="1" x14ac:dyDescent="0.2">
      <c r="A222" s="19"/>
      <c r="B222" s="99"/>
      <c r="C222" s="92" t="s">
        <v>309</v>
      </c>
      <c r="D222" s="22">
        <v>52</v>
      </c>
      <c r="E222" s="22">
        <v>1</v>
      </c>
      <c r="F222" s="22">
        <v>0</v>
      </c>
      <c r="G222" s="22">
        <v>0</v>
      </c>
      <c r="H222" s="22">
        <v>0</v>
      </c>
      <c r="I222" s="22">
        <v>53</v>
      </c>
      <c r="J222" s="22">
        <v>54</v>
      </c>
    </row>
    <row r="223" spans="1:10" s="21" customFormat="1" ht="11.25" customHeight="1" x14ac:dyDescent="0.2">
      <c r="A223" s="19"/>
      <c r="B223" s="99"/>
      <c r="C223" s="92" t="s">
        <v>172</v>
      </c>
      <c r="D223" s="22">
        <v>52</v>
      </c>
      <c r="E223" s="22">
        <v>3</v>
      </c>
      <c r="F223" s="22">
        <v>0</v>
      </c>
      <c r="G223" s="22">
        <v>0</v>
      </c>
      <c r="H223" s="22">
        <v>0</v>
      </c>
      <c r="I223" s="22">
        <v>55</v>
      </c>
      <c r="J223" s="22">
        <v>55</v>
      </c>
    </row>
    <row r="224" spans="1:10" s="21" customFormat="1" ht="11.25" customHeight="1" x14ac:dyDescent="0.2">
      <c r="A224" s="19"/>
      <c r="B224" s="99"/>
      <c r="C224" s="92" t="s">
        <v>273</v>
      </c>
      <c r="D224" s="22">
        <v>447</v>
      </c>
      <c r="E224" s="22">
        <v>21</v>
      </c>
      <c r="F224" s="22">
        <v>7</v>
      </c>
      <c r="G224" s="22">
        <v>0</v>
      </c>
      <c r="H224" s="22">
        <v>0</v>
      </c>
      <c r="I224" s="22">
        <v>475</v>
      </c>
      <c r="J224" s="22">
        <v>496</v>
      </c>
    </row>
    <row r="225" spans="1:10" s="21" customFormat="1" ht="11.25" customHeight="1" x14ac:dyDescent="0.2">
      <c r="A225" s="19"/>
      <c r="B225" s="99"/>
      <c r="C225" s="92" t="s">
        <v>173</v>
      </c>
      <c r="D225" s="22">
        <v>65</v>
      </c>
      <c r="E225" s="22">
        <v>3</v>
      </c>
      <c r="F225" s="22">
        <v>1</v>
      </c>
      <c r="G225" s="22">
        <v>0</v>
      </c>
      <c r="H225" s="22">
        <v>0</v>
      </c>
      <c r="I225" s="22">
        <v>69</v>
      </c>
      <c r="J225" s="22">
        <v>68</v>
      </c>
    </row>
    <row r="226" spans="1:10" s="21" customFormat="1" ht="11.25" customHeight="1" x14ac:dyDescent="0.2">
      <c r="A226" s="19"/>
      <c r="B226" s="99"/>
      <c r="C226" s="92" t="s">
        <v>174</v>
      </c>
      <c r="D226" s="22">
        <v>358</v>
      </c>
      <c r="E226" s="22">
        <v>93</v>
      </c>
      <c r="F226" s="22">
        <v>30</v>
      </c>
      <c r="G226" s="22">
        <v>0</v>
      </c>
      <c r="H226" s="22">
        <v>0</v>
      </c>
      <c r="I226" s="22">
        <v>481</v>
      </c>
      <c r="J226" s="22">
        <v>484</v>
      </c>
    </row>
    <row r="227" spans="1:10" s="21" customFormat="1" ht="11.25" customHeight="1" x14ac:dyDescent="0.2">
      <c r="A227" s="19"/>
      <c r="B227" s="99"/>
      <c r="C227" s="92" t="s">
        <v>310</v>
      </c>
      <c r="D227" s="22">
        <v>95</v>
      </c>
      <c r="E227" s="22">
        <v>3</v>
      </c>
      <c r="F227" s="22">
        <v>1</v>
      </c>
      <c r="G227" s="22">
        <v>0</v>
      </c>
      <c r="H227" s="22">
        <v>0</v>
      </c>
      <c r="I227" s="22">
        <v>99</v>
      </c>
      <c r="J227" s="22">
        <v>95</v>
      </c>
    </row>
    <row r="228" spans="1:10" s="21" customFormat="1" ht="11.25" customHeight="1" x14ac:dyDescent="0.2">
      <c r="A228" s="19"/>
      <c r="B228" s="99"/>
      <c r="C228" s="92" t="s">
        <v>311</v>
      </c>
      <c r="D228" s="22">
        <v>46</v>
      </c>
      <c r="E228" s="22">
        <v>3</v>
      </c>
      <c r="F228" s="22">
        <v>1</v>
      </c>
      <c r="G228" s="22">
        <v>0</v>
      </c>
      <c r="H228" s="22">
        <v>0</v>
      </c>
      <c r="I228" s="22">
        <v>50</v>
      </c>
      <c r="J228" s="22">
        <v>51</v>
      </c>
    </row>
    <row r="229" spans="1:10" s="21" customFormat="1" ht="11.25" customHeight="1" x14ac:dyDescent="0.2">
      <c r="A229" s="19"/>
      <c r="B229" s="99"/>
      <c r="C229" s="92" t="s">
        <v>312</v>
      </c>
      <c r="D229" s="22">
        <v>189</v>
      </c>
      <c r="E229" s="22">
        <v>20</v>
      </c>
      <c r="F229" s="22">
        <v>1</v>
      </c>
      <c r="G229" s="22">
        <v>0</v>
      </c>
      <c r="H229" s="22">
        <v>0</v>
      </c>
      <c r="I229" s="22">
        <v>210</v>
      </c>
      <c r="J229" s="22">
        <v>204</v>
      </c>
    </row>
    <row r="230" spans="1:10" s="21" customFormat="1" ht="11.25" customHeight="1" x14ac:dyDescent="0.2">
      <c r="A230" s="19"/>
      <c r="B230" s="99"/>
      <c r="C230" s="92" t="s">
        <v>268</v>
      </c>
      <c r="D230" s="22">
        <v>729</v>
      </c>
      <c r="E230" s="22">
        <v>51</v>
      </c>
      <c r="F230" s="22">
        <v>26</v>
      </c>
      <c r="G230" s="22">
        <v>0</v>
      </c>
      <c r="H230" s="22">
        <v>0</v>
      </c>
      <c r="I230" s="22">
        <v>806</v>
      </c>
      <c r="J230" s="22">
        <v>795</v>
      </c>
    </row>
    <row r="231" spans="1:10" s="21" customFormat="1" ht="11.25" customHeight="1" x14ac:dyDescent="0.2">
      <c r="A231" s="19"/>
      <c r="B231" s="99"/>
      <c r="C231" s="92" t="s">
        <v>176</v>
      </c>
      <c r="D231" s="22">
        <v>34</v>
      </c>
      <c r="E231" s="22">
        <v>3</v>
      </c>
      <c r="F231" s="22">
        <v>0</v>
      </c>
      <c r="G231" s="22">
        <v>0</v>
      </c>
      <c r="H231" s="22">
        <v>0</v>
      </c>
      <c r="I231" s="22">
        <v>37</v>
      </c>
      <c r="J231" s="22">
        <v>39</v>
      </c>
    </row>
    <row r="232" spans="1:10" s="21" customFormat="1" ht="11.25" customHeight="1" x14ac:dyDescent="0.2">
      <c r="A232" s="19"/>
      <c r="B232" s="99"/>
      <c r="C232" s="92" t="s">
        <v>313</v>
      </c>
      <c r="D232" s="22">
        <v>177</v>
      </c>
      <c r="E232" s="22">
        <v>13</v>
      </c>
      <c r="F232" s="22">
        <v>1</v>
      </c>
      <c r="G232" s="22">
        <v>0</v>
      </c>
      <c r="H232" s="22">
        <v>0</v>
      </c>
      <c r="I232" s="22">
        <v>191</v>
      </c>
      <c r="J232" s="22">
        <v>192</v>
      </c>
    </row>
    <row r="233" spans="1:10" s="21" customFormat="1" ht="11.25" customHeight="1" x14ac:dyDescent="0.2">
      <c r="A233" s="19"/>
      <c r="B233" s="99"/>
      <c r="C233" s="92" t="s">
        <v>177</v>
      </c>
      <c r="D233" s="22">
        <v>713</v>
      </c>
      <c r="E233" s="22">
        <v>74</v>
      </c>
      <c r="F233" s="22">
        <v>14</v>
      </c>
      <c r="G233" s="22">
        <v>0</v>
      </c>
      <c r="H233" s="22">
        <v>1</v>
      </c>
      <c r="I233" s="22">
        <v>802</v>
      </c>
      <c r="J233" s="22">
        <v>800</v>
      </c>
    </row>
    <row r="234" spans="1:10" s="21" customFormat="1" ht="11.25" customHeight="1" x14ac:dyDescent="0.2">
      <c r="A234" s="19"/>
      <c r="B234" s="99"/>
      <c r="C234" s="92" t="s">
        <v>314</v>
      </c>
      <c r="D234" s="22">
        <v>85</v>
      </c>
      <c r="E234" s="22">
        <v>2</v>
      </c>
      <c r="F234" s="22">
        <v>0</v>
      </c>
      <c r="G234" s="22">
        <v>0</v>
      </c>
      <c r="H234" s="22">
        <v>0</v>
      </c>
      <c r="I234" s="22">
        <v>87</v>
      </c>
      <c r="J234" s="22">
        <v>85</v>
      </c>
    </row>
    <row r="235" spans="1:10" s="21" customFormat="1" ht="11.25" customHeight="1" x14ac:dyDescent="0.2">
      <c r="A235" s="19"/>
      <c r="B235" s="99"/>
      <c r="C235" s="92" t="s">
        <v>315</v>
      </c>
      <c r="D235" s="22">
        <v>335</v>
      </c>
      <c r="E235" s="22">
        <v>28</v>
      </c>
      <c r="F235" s="22">
        <v>13</v>
      </c>
      <c r="G235" s="22">
        <v>0</v>
      </c>
      <c r="H235" s="22">
        <v>0</v>
      </c>
      <c r="I235" s="22">
        <v>376</v>
      </c>
      <c r="J235" s="22">
        <v>351</v>
      </c>
    </row>
    <row r="236" spans="1:10" s="21" customFormat="1" ht="11.25" customHeight="1" x14ac:dyDescent="0.2">
      <c r="A236" s="19"/>
      <c r="B236" s="99"/>
      <c r="C236" s="92" t="s">
        <v>316</v>
      </c>
      <c r="D236" s="22">
        <v>180</v>
      </c>
      <c r="E236" s="22">
        <v>7</v>
      </c>
      <c r="F236" s="22">
        <v>2</v>
      </c>
      <c r="G236" s="22">
        <v>0</v>
      </c>
      <c r="H236" s="22">
        <v>0</v>
      </c>
      <c r="I236" s="22">
        <v>189</v>
      </c>
      <c r="J236" s="22">
        <v>192</v>
      </c>
    </row>
    <row r="237" spans="1:10" s="21" customFormat="1" ht="11.25" customHeight="1" x14ac:dyDescent="0.2">
      <c r="A237" s="19"/>
      <c r="B237" s="99"/>
      <c r="C237" s="92" t="s">
        <v>317</v>
      </c>
      <c r="D237" s="22">
        <v>106</v>
      </c>
      <c r="E237" s="22">
        <v>4</v>
      </c>
      <c r="F237" s="22">
        <v>2</v>
      </c>
      <c r="G237" s="22">
        <v>0</v>
      </c>
      <c r="H237" s="22">
        <v>0</v>
      </c>
      <c r="I237" s="22">
        <v>112</v>
      </c>
      <c r="J237" s="22">
        <v>109</v>
      </c>
    </row>
    <row r="238" spans="1:10" s="21" customFormat="1" ht="11.25" customHeight="1" x14ac:dyDescent="0.2">
      <c r="A238" s="19"/>
      <c r="B238" s="99"/>
      <c r="C238" s="99" t="s">
        <v>318</v>
      </c>
      <c r="D238" s="44">
        <v>215</v>
      </c>
      <c r="E238" s="44">
        <v>37</v>
      </c>
      <c r="F238" s="44">
        <v>6</v>
      </c>
      <c r="G238" s="44">
        <v>0</v>
      </c>
      <c r="H238" s="44">
        <v>0</v>
      </c>
      <c r="I238" s="44">
        <v>258</v>
      </c>
      <c r="J238" s="44">
        <v>263</v>
      </c>
    </row>
    <row r="239" spans="1:10" s="21" customFormat="1" ht="11.25" customHeight="1" x14ac:dyDescent="0.2">
      <c r="A239" s="357"/>
      <c r="B239" s="357"/>
      <c r="C239" s="357"/>
      <c r="D239" s="357"/>
      <c r="E239" s="357"/>
      <c r="F239" s="357"/>
      <c r="G239" s="357"/>
      <c r="H239" s="357"/>
      <c r="I239" s="357"/>
      <c r="J239" s="357"/>
    </row>
    <row r="240" spans="1:10" s="19" customFormat="1" ht="11.25" customHeight="1" x14ac:dyDescent="0.2">
      <c r="A240" s="357" t="s">
        <v>178</v>
      </c>
      <c r="B240" s="357"/>
      <c r="C240" s="357"/>
      <c r="D240" s="18">
        <f t="shared" ref="D240:J240" si="46">SUM(D241:D259)</f>
        <v>33342</v>
      </c>
      <c r="E240" s="18">
        <f t="shared" si="46"/>
        <v>10240</v>
      </c>
      <c r="F240" s="18">
        <f t="shared" si="46"/>
        <v>1877</v>
      </c>
      <c r="G240" s="18">
        <f t="shared" si="46"/>
        <v>1</v>
      </c>
      <c r="H240" s="18">
        <f t="shared" si="46"/>
        <v>15</v>
      </c>
      <c r="I240" s="18">
        <f t="shared" si="46"/>
        <v>45475</v>
      </c>
      <c r="J240" s="18">
        <f t="shared" si="46"/>
        <v>45221</v>
      </c>
    </row>
    <row r="241" spans="1:10" s="21" customFormat="1" ht="11.25" customHeight="1" x14ac:dyDescent="0.2">
      <c r="A241" s="19"/>
      <c r="B241" s="99"/>
      <c r="C241" s="92" t="s">
        <v>179</v>
      </c>
      <c r="D241" s="22">
        <v>2858</v>
      </c>
      <c r="E241" s="22">
        <v>1007</v>
      </c>
      <c r="F241" s="22">
        <v>158</v>
      </c>
      <c r="G241" s="22">
        <v>0</v>
      </c>
      <c r="H241" s="22">
        <v>2</v>
      </c>
      <c r="I241" s="22">
        <v>4025</v>
      </c>
      <c r="J241" s="22">
        <v>3947</v>
      </c>
    </row>
    <row r="242" spans="1:10" s="21" customFormat="1" ht="11.25" customHeight="1" x14ac:dyDescent="0.2">
      <c r="A242" s="19"/>
      <c r="B242" s="99"/>
      <c r="C242" s="92" t="s">
        <v>180</v>
      </c>
      <c r="D242" s="22">
        <v>11545</v>
      </c>
      <c r="E242" s="22">
        <v>4305</v>
      </c>
      <c r="F242" s="22">
        <v>837</v>
      </c>
      <c r="G242" s="22">
        <v>1</v>
      </c>
      <c r="H242" s="22">
        <v>5</v>
      </c>
      <c r="I242" s="22">
        <v>16693</v>
      </c>
      <c r="J242" s="22">
        <v>16862</v>
      </c>
    </row>
    <row r="243" spans="1:10" s="21" customFormat="1" ht="11.25" customHeight="1" x14ac:dyDescent="0.2">
      <c r="A243" s="19"/>
      <c r="B243" s="99"/>
      <c r="C243" s="92" t="s">
        <v>181</v>
      </c>
      <c r="D243" s="22">
        <v>1155</v>
      </c>
      <c r="E243" s="22">
        <v>581</v>
      </c>
      <c r="F243" s="22">
        <v>138</v>
      </c>
      <c r="G243" s="22">
        <v>0</v>
      </c>
      <c r="H243" s="22">
        <v>1</v>
      </c>
      <c r="I243" s="22">
        <v>1875</v>
      </c>
      <c r="J243" s="22">
        <v>1868</v>
      </c>
    </row>
    <row r="244" spans="1:10" s="21" customFormat="1" ht="11.25" customHeight="1" x14ac:dyDescent="0.2">
      <c r="A244" s="19"/>
      <c r="B244" s="99"/>
      <c r="C244" s="92" t="s">
        <v>182</v>
      </c>
      <c r="D244" s="22">
        <v>2023</v>
      </c>
      <c r="E244" s="22">
        <v>319</v>
      </c>
      <c r="F244" s="22">
        <v>34</v>
      </c>
      <c r="G244" s="22">
        <v>0</v>
      </c>
      <c r="H244" s="22">
        <v>1</v>
      </c>
      <c r="I244" s="22">
        <v>2377</v>
      </c>
      <c r="J244" s="22">
        <v>2346</v>
      </c>
    </row>
    <row r="245" spans="1:10" s="21" customFormat="1" ht="11.25" customHeight="1" x14ac:dyDescent="0.2">
      <c r="A245" s="19"/>
      <c r="B245" s="99"/>
      <c r="C245" s="92" t="s">
        <v>183</v>
      </c>
      <c r="D245" s="22">
        <v>5625</v>
      </c>
      <c r="E245" s="22">
        <v>1859</v>
      </c>
      <c r="F245" s="22">
        <v>324</v>
      </c>
      <c r="G245" s="22">
        <v>0</v>
      </c>
      <c r="H245" s="22">
        <v>5</v>
      </c>
      <c r="I245" s="22">
        <v>7813</v>
      </c>
      <c r="J245" s="22">
        <v>7707</v>
      </c>
    </row>
    <row r="246" spans="1:10" s="21" customFormat="1" ht="11.25" customHeight="1" x14ac:dyDescent="0.2">
      <c r="A246" s="19"/>
      <c r="B246" s="99"/>
      <c r="C246" s="92" t="s">
        <v>184</v>
      </c>
      <c r="D246" s="22">
        <v>521</v>
      </c>
      <c r="E246" s="22">
        <v>42</v>
      </c>
      <c r="F246" s="22">
        <v>13</v>
      </c>
      <c r="G246" s="22">
        <v>0</v>
      </c>
      <c r="H246" s="22">
        <v>0</v>
      </c>
      <c r="I246" s="22">
        <v>576</v>
      </c>
      <c r="J246" s="22">
        <v>559</v>
      </c>
    </row>
    <row r="247" spans="1:10" s="21" customFormat="1" ht="11.25" customHeight="1" x14ac:dyDescent="0.2">
      <c r="A247" s="19"/>
      <c r="B247" s="99"/>
      <c r="C247" s="92" t="s">
        <v>185</v>
      </c>
      <c r="D247" s="22">
        <v>608</v>
      </c>
      <c r="E247" s="22">
        <v>56</v>
      </c>
      <c r="F247" s="22">
        <v>8</v>
      </c>
      <c r="G247" s="22">
        <v>0</v>
      </c>
      <c r="H247" s="22">
        <v>0</v>
      </c>
      <c r="I247" s="22">
        <v>672</v>
      </c>
      <c r="J247" s="22">
        <v>666</v>
      </c>
    </row>
    <row r="248" spans="1:10" s="21" customFormat="1" ht="11.25" customHeight="1" x14ac:dyDescent="0.2">
      <c r="A248" s="19"/>
      <c r="B248" s="99"/>
      <c r="C248" s="92" t="s">
        <v>186</v>
      </c>
      <c r="D248" s="22">
        <v>617</v>
      </c>
      <c r="E248" s="22">
        <v>94</v>
      </c>
      <c r="F248" s="22">
        <v>21</v>
      </c>
      <c r="G248" s="22">
        <v>0</v>
      </c>
      <c r="H248" s="22">
        <v>0</v>
      </c>
      <c r="I248" s="22">
        <v>732</v>
      </c>
      <c r="J248" s="22">
        <v>710</v>
      </c>
    </row>
    <row r="249" spans="1:10" s="21" customFormat="1" ht="11.25" customHeight="1" x14ac:dyDescent="0.2">
      <c r="A249" s="19"/>
      <c r="B249" s="99"/>
      <c r="C249" s="92" t="s">
        <v>187</v>
      </c>
      <c r="D249" s="22">
        <v>341</v>
      </c>
      <c r="E249" s="22">
        <v>29</v>
      </c>
      <c r="F249" s="22">
        <v>7</v>
      </c>
      <c r="G249" s="22">
        <v>0</v>
      </c>
      <c r="H249" s="22">
        <v>1</v>
      </c>
      <c r="I249" s="22">
        <v>378</v>
      </c>
      <c r="J249" s="22">
        <v>371</v>
      </c>
    </row>
    <row r="250" spans="1:10" s="21" customFormat="1" ht="11.25" customHeight="1" x14ac:dyDescent="0.2">
      <c r="A250" s="19"/>
      <c r="B250" s="99"/>
      <c r="C250" s="92" t="s">
        <v>188</v>
      </c>
      <c r="D250" s="22">
        <v>998</v>
      </c>
      <c r="E250" s="22">
        <v>163</v>
      </c>
      <c r="F250" s="22">
        <v>35</v>
      </c>
      <c r="G250" s="22">
        <v>0</v>
      </c>
      <c r="H250" s="22">
        <v>0</v>
      </c>
      <c r="I250" s="22">
        <v>1196</v>
      </c>
      <c r="J250" s="22">
        <v>1183</v>
      </c>
    </row>
    <row r="251" spans="1:10" s="21" customFormat="1" ht="11.25" customHeight="1" x14ac:dyDescent="0.2">
      <c r="A251" s="19"/>
      <c r="B251" s="99"/>
      <c r="C251" s="92" t="s">
        <v>189</v>
      </c>
      <c r="D251" s="22">
        <v>331</v>
      </c>
      <c r="E251" s="22">
        <v>11</v>
      </c>
      <c r="F251" s="22">
        <v>3</v>
      </c>
      <c r="G251" s="22">
        <v>0</v>
      </c>
      <c r="H251" s="22">
        <v>0</v>
      </c>
      <c r="I251" s="22">
        <v>345</v>
      </c>
      <c r="J251" s="22">
        <v>331</v>
      </c>
    </row>
    <row r="252" spans="1:10" s="21" customFormat="1" ht="11.25" customHeight="1" x14ac:dyDescent="0.2">
      <c r="A252" s="19"/>
      <c r="B252" s="99"/>
      <c r="C252" s="92" t="s">
        <v>190</v>
      </c>
      <c r="D252" s="22">
        <v>95</v>
      </c>
      <c r="E252" s="22">
        <v>17</v>
      </c>
      <c r="F252" s="22">
        <v>0</v>
      </c>
      <c r="G252" s="22">
        <v>0</v>
      </c>
      <c r="H252" s="22">
        <v>0</v>
      </c>
      <c r="I252" s="22">
        <v>112</v>
      </c>
      <c r="J252" s="22">
        <v>110</v>
      </c>
    </row>
    <row r="253" spans="1:10" s="21" customFormat="1" ht="11.25" customHeight="1" x14ac:dyDescent="0.2">
      <c r="A253" s="19"/>
      <c r="B253" s="99"/>
      <c r="C253" s="92" t="s">
        <v>191</v>
      </c>
      <c r="D253" s="22">
        <v>1794</v>
      </c>
      <c r="E253" s="22">
        <v>435</v>
      </c>
      <c r="F253" s="22">
        <v>107</v>
      </c>
      <c r="G253" s="22">
        <v>0</v>
      </c>
      <c r="H253" s="22">
        <v>0</v>
      </c>
      <c r="I253" s="22">
        <v>2336</v>
      </c>
      <c r="J253" s="22">
        <v>2279</v>
      </c>
    </row>
    <row r="254" spans="1:10" s="21" customFormat="1" ht="11.25" customHeight="1" x14ac:dyDescent="0.2">
      <c r="A254" s="19"/>
      <c r="B254" s="99"/>
      <c r="C254" s="92" t="s">
        <v>192</v>
      </c>
      <c r="D254" s="22">
        <v>498</v>
      </c>
      <c r="E254" s="22">
        <v>36</v>
      </c>
      <c r="F254" s="22">
        <v>2</v>
      </c>
      <c r="G254" s="22">
        <v>0</v>
      </c>
      <c r="H254" s="22">
        <v>0</v>
      </c>
      <c r="I254" s="22">
        <v>536</v>
      </c>
      <c r="J254" s="22">
        <v>514</v>
      </c>
    </row>
    <row r="255" spans="1:10" s="21" customFormat="1" ht="11.25" customHeight="1" x14ac:dyDescent="0.2">
      <c r="A255" s="19"/>
      <c r="B255" s="99"/>
      <c r="C255" s="92" t="s">
        <v>193</v>
      </c>
      <c r="D255" s="22">
        <v>475</v>
      </c>
      <c r="E255" s="22">
        <v>44</v>
      </c>
      <c r="F255" s="22">
        <v>5</v>
      </c>
      <c r="G255" s="22">
        <v>0</v>
      </c>
      <c r="H255" s="22">
        <v>0</v>
      </c>
      <c r="I255" s="22">
        <v>524</v>
      </c>
      <c r="J255" s="22">
        <v>530</v>
      </c>
    </row>
    <row r="256" spans="1:10" s="21" customFormat="1" ht="11.25" customHeight="1" x14ac:dyDescent="0.2">
      <c r="A256" s="19"/>
      <c r="B256" s="99"/>
      <c r="C256" s="92" t="s">
        <v>290</v>
      </c>
      <c r="D256" s="22">
        <v>106</v>
      </c>
      <c r="E256" s="22">
        <v>11</v>
      </c>
      <c r="F256" s="22">
        <v>4</v>
      </c>
      <c r="G256" s="22">
        <v>0</v>
      </c>
      <c r="H256" s="22">
        <v>0</v>
      </c>
      <c r="I256" s="22">
        <v>121</v>
      </c>
      <c r="J256" s="22">
        <v>112</v>
      </c>
    </row>
    <row r="257" spans="1:10" s="21" customFormat="1" ht="11.25" customHeight="1" x14ac:dyDescent="0.2">
      <c r="A257" s="19"/>
      <c r="B257" s="99"/>
      <c r="C257" s="92" t="s">
        <v>194</v>
      </c>
      <c r="D257" s="22">
        <v>1523</v>
      </c>
      <c r="E257" s="22">
        <v>587</v>
      </c>
      <c r="F257" s="22">
        <v>83</v>
      </c>
      <c r="G257" s="22">
        <v>0</v>
      </c>
      <c r="H257" s="22">
        <v>0</v>
      </c>
      <c r="I257" s="22">
        <v>2193</v>
      </c>
      <c r="J257" s="22">
        <v>2197</v>
      </c>
    </row>
    <row r="258" spans="1:10" s="21" customFormat="1" ht="11.25" customHeight="1" x14ac:dyDescent="0.2">
      <c r="A258" s="19"/>
      <c r="B258" s="99"/>
      <c r="C258" s="92" t="s">
        <v>195</v>
      </c>
      <c r="D258" s="22">
        <v>168</v>
      </c>
      <c r="E258" s="22">
        <v>9</v>
      </c>
      <c r="F258" s="22">
        <v>2</v>
      </c>
      <c r="G258" s="22">
        <v>0</v>
      </c>
      <c r="H258" s="22">
        <v>0</v>
      </c>
      <c r="I258" s="22">
        <v>179</v>
      </c>
      <c r="J258" s="22">
        <v>179</v>
      </c>
    </row>
    <row r="259" spans="1:10" s="21" customFormat="1" ht="11.25" customHeight="1" x14ac:dyDescent="0.2">
      <c r="A259" s="19"/>
      <c r="B259" s="99"/>
      <c r="C259" s="99" t="s">
        <v>196</v>
      </c>
      <c r="D259" s="44">
        <v>2061</v>
      </c>
      <c r="E259" s="44">
        <v>635</v>
      </c>
      <c r="F259" s="44">
        <v>96</v>
      </c>
      <c r="G259" s="44">
        <v>0</v>
      </c>
      <c r="H259" s="44">
        <v>0</v>
      </c>
      <c r="I259" s="44">
        <v>2792</v>
      </c>
      <c r="J259" s="44">
        <v>2750</v>
      </c>
    </row>
    <row r="260" spans="1:10" s="21" customFormat="1" ht="11.25" customHeight="1" x14ac:dyDescent="0.2">
      <c r="A260" s="357"/>
      <c r="B260" s="357"/>
      <c r="C260" s="357"/>
      <c r="D260" s="357"/>
      <c r="E260" s="357"/>
      <c r="F260" s="357"/>
      <c r="G260" s="357"/>
      <c r="H260" s="357"/>
      <c r="I260" s="357"/>
      <c r="J260" s="357"/>
    </row>
    <row r="261" spans="1:10" s="19" customFormat="1" ht="11.25" customHeight="1" x14ac:dyDescent="0.2">
      <c r="A261" s="357" t="s">
        <v>197</v>
      </c>
      <c r="B261" s="357"/>
      <c r="C261" s="357"/>
      <c r="D261" s="18">
        <f t="shared" ref="D261:J261" si="47">SUM(D262:D267)</f>
        <v>8113</v>
      </c>
      <c r="E261" s="18">
        <f t="shared" si="47"/>
        <v>3210</v>
      </c>
      <c r="F261" s="18">
        <f t="shared" si="47"/>
        <v>526</v>
      </c>
      <c r="G261" s="18">
        <f t="shared" si="47"/>
        <v>0</v>
      </c>
      <c r="H261" s="18">
        <f t="shared" si="47"/>
        <v>4</v>
      </c>
      <c r="I261" s="18">
        <f t="shared" si="47"/>
        <v>11853</v>
      </c>
      <c r="J261" s="18">
        <f t="shared" si="47"/>
        <v>11828</v>
      </c>
    </row>
    <row r="262" spans="1:10" s="21" customFormat="1" ht="11.25" customHeight="1" x14ac:dyDescent="0.2">
      <c r="A262" s="19"/>
      <c r="B262" s="99"/>
      <c r="C262" s="92" t="s">
        <v>198</v>
      </c>
      <c r="D262" s="22">
        <v>3665</v>
      </c>
      <c r="E262" s="22">
        <v>1957</v>
      </c>
      <c r="F262" s="22">
        <v>322</v>
      </c>
      <c r="G262" s="22">
        <v>0</v>
      </c>
      <c r="H262" s="22">
        <v>3</v>
      </c>
      <c r="I262" s="22">
        <v>5947</v>
      </c>
      <c r="J262" s="22">
        <v>5926</v>
      </c>
    </row>
    <row r="263" spans="1:10" s="21" customFormat="1" ht="11.25" customHeight="1" x14ac:dyDescent="0.2">
      <c r="A263" s="19"/>
      <c r="B263" s="99"/>
      <c r="C263" s="92" t="s">
        <v>199</v>
      </c>
      <c r="D263" s="22">
        <v>1863</v>
      </c>
      <c r="E263" s="22">
        <v>339</v>
      </c>
      <c r="F263" s="22">
        <v>54</v>
      </c>
      <c r="G263" s="22">
        <v>0</v>
      </c>
      <c r="H263" s="22">
        <v>1</v>
      </c>
      <c r="I263" s="22">
        <v>2257</v>
      </c>
      <c r="J263" s="22">
        <v>2251</v>
      </c>
    </row>
    <row r="264" spans="1:10" s="21" customFormat="1" ht="11.25" customHeight="1" x14ac:dyDescent="0.2">
      <c r="A264" s="19"/>
      <c r="B264" s="99"/>
      <c r="C264" s="92" t="s">
        <v>200</v>
      </c>
      <c r="D264" s="22">
        <v>435</v>
      </c>
      <c r="E264" s="22">
        <v>147</v>
      </c>
      <c r="F264" s="22">
        <v>15</v>
      </c>
      <c r="G264" s="22">
        <v>0</v>
      </c>
      <c r="H264" s="22">
        <v>0</v>
      </c>
      <c r="I264" s="22">
        <v>597</v>
      </c>
      <c r="J264" s="22">
        <v>610</v>
      </c>
    </row>
    <row r="265" spans="1:10" s="21" customFormat="1" ht="11.25" customHeight="1" x14ac:dyDescent="0.2">
      <c r="A265" s="19"/>
      <c r="B265" s="99"/>
      <c r="C265" s="92" t="s">
        <v>201</v>
      </c>
      <c r="D265" s="22">
        <v>434</v>
      </c>
      <c r="E265" s="22">
        <v>72</v>
      </c>
      <c r="F265" s="22">
        <v>24</v>
      </c>
      <c r="G265" s="22">
        <v>0</v>
      </c>
      <c r="H265" s="22">
        <v>0</v>
      </c>
      <c r="I265" s="22">
        <v>530</v>
      </c>
      <c r="J265" s="22">
        <v>516</v>
      </c>
    </row>
    <row r="266" spans="1:10" s="21" customFormat="1" ht="11.25" customHeight="1" x14ac:dyDescent="0.2">
      <c r="A266" s="19"/>
      <c r="B266" s="99"/>
      <c r="C266" s="92" t="s">
        <v>202</v>
      </c>
      <c r="D266" s="22">
        <v>1119</v>
      </c>
      <c r="E266" s="22">
        <v>363</v>
      </c>
      <c r="F266" s="22">
        <v>58</v>
      </c>
      <c r="G266" s="22">
        <v>0</v>
      </c>
      <c r="H266" s="22">
        <v>0</v>
      </c>
      <c r="I266" s="22">
        <v>1540</v>
      </c>
      <c r="J266" s="22">
        <v>1526</v>
      </c>
    </row>
    <row r="267" spans="1:10" s="21" customFormat="1" ht="11.25" customHeight="1" x14ac:dyDescent="0.2">
      <c r="A267" s="19"/>
      <c r="B267" s="99"/>
      <c r="C267" s="99" t="s">
        <v>203</v>
      </c>
      <c r="D267" s="44">
        <v>597</v>
      </c>
      <c r="E267" s="44">
        <v>332</v>
      </c>
      <c r="F267" s="44">
        <v>53</v>
      </c>
      <c r="G267" s="44">
        <v>0</v>
      </c>
      <c r="H267" s="44">
        <v>0</v>
      </c>
      <c r="I267" s="44">
        <v>982</v>
      </c>
      <c r="J267" s="44">
        <v>999</v>
      </c>
    </row>
    <row r="268" spans="1:10" s="21" customFormat="1" ht="11.25" customHeight="1" x14ac:dyDescent="0.2">
      <c r="A268" s="357"/>
      <c r="B268" s="357"/>
      <c r="C268" s="357"/>
      <c r="D268" s="357"/>
      <c r="E268" s="357"/>
      <c r="F268" s="357"/>
      <c r="G268" s="357"/>
      <c r="H268" s="357"/>
      <c r="I268" s="357"/>
      <c r="J268" s="357"/>
    </row>
    <row r="269" spans="1:10" s="19" customFormat="1" ht="11.25" customHeight="1" x14ac:dyDescent="0.2">
      <c r="A269" s="357" t="s">
        <v>204</v>
      </c>
      <c r="B269" s="357"/>
      <c r="C269" s="357"/>
      <c r="D269" s="18">
        <f t="shared" ref="D269:J269" si="48">SUM(D270:D286)</f>
        <v>5131</v>
      </c>
      <c r="E269" s="18">
        <f t="shared" si="48"/>
        <v>304</v>
      </c>
      <c r="F269" s="18">
        <f t="shared" si="48"/>
        <v>100</v>
      </c>
      <c r="G269" s="18">
        <f t="shared" si="48"/>
        <v>0</v>
      </c>
      <c r="H269" s="18">
        <f t="shared" si="48"/>
        <v>0</v>
      </c>
      <c r="I269" s="18">
        <f t="shared" si="48"/>
        <v>5535</v>
      </c>
      <c r="J269" s="18">
        <f t="shared" si="48"/>
        <v>5495</v>
      </c>
    </row>
    <row r="270" spans="1:10" s="21" customFormat="1" ht="11.25" customHeight="1" x14ac:dyDescent="0.2">
      <c r="A270" s="19"/>
      <c r="B270" s="99"/>
      <c r="C270" s="92" t="s">
        <v>274</v>
      </c>
      <c r="D270" s="22">
        <v>479</v>
      </c>
      <c r="E270" s="22">
        <v>21</v>
      </c>
      <c r="F270" s="22">
        <v>4</v>
      </c>
      <c r="G270" s="22">
        <v>0</v>
      </c>
      <c r="H270" s="22">
        <v>0</v>
      </c>
      <c r="I270" s="22">
        <v>504</v>
      </c>
      <c r="J270" s="22">
        <v>507</v>
      </c>
    </row>
    <row r="271" spans="1:10" s="21" customFormat="1" ht="11.25" customHeight="1" x14ac:dyDescent="0.2">
      <c r="A271" s="19"/>
      <c r="B271" s="99"/>
      <c r="C271" s="92" t="s">
        <v>275</v>
      </c>
      <c r="D271" s="22">
        <v>78</v>
      </c>
      <c r="E271" s="22">
        <v>0</v>
      </c>
      <c r="F271" s="22">
        <v>0</v>
      </c>
      <c r="G271" s="22">
        <v>0</v>
      </c>
      <c r="H271" s="22">
        <v>0</v>
      </c>
      <c r="I271" s="22">
        <v>78</v>
      </c>
      <c r="J271" s="22">
        <v>78</v>
      </c>
    </row>
    <row r="272" spans="1:10" s="21" customFormat="1" ht="11.25" customHeight="1" x14ac:dyDescent="0.2">
      <c r="A272" s="19"/>
      <c r="B272" s="99"/>
      <c r="C272" s="92" t="s">
        <v>319</v>
      </c>
      <c r="D272" s="22">
        <v>87</v>
      </c>
      <c r="E272" s="22">
        <v>4</v>
      </c>
      <c r="F272" s="22">
        <v>0</v>
      </c>
      <c r="G272" s="22">
        <v>0</v>
      </c>
      <c r="H272" s="22">
        <v>0</v>
      </c>
      <c r="I272" s="22">
        <v>91</v>
      </c>
      <c r="J272" s="22">
        <v>85</v>
      </c>
    </row>
    <row r="273" spans="1:10" s="21" customFormat="1" ht="11.25" customHeight="1" x14ac:dyDescent="0.2">
      <c r="A273" s="19"/>
      <c r="B273" s="99"/>
      <c r="C273" s="92" t="s">
        <v>320</v>
      </c>
      <c r="D273" s="22">
        <v>407</v>
      </c>
      <c r="E273" s="22">
        <v>54</v>
      </c>
      <c r="F273" s="22">
        <v>18</v>
      </c>
      <c r="G273" s="22">
        <v>0</v>
      </c>
      <c r="H273" s="22">
        <v>0</v>
      </c>
      <c r="I273" s="22">
        <v>479</v>
      </c>
      <c r="J273" s="22">
        <v>461</v>
      </c>
    </row>
    <row r="274" spans="1:10" s="21" customFormat="1" ht="11.25" customHeight="1" x14ac:dyDescent="0.2">
      <c r="A274" s="19"/>
      <c r="B274" s="99"/>
      <c r="C274" s="92" t="s">
        <v>321</v>
      </c>
      <c r="D274" s="22">
        <v>382</v>
      </c>
      <c r="E274" s="22">
        <v>52</v>
      </c>
      <c r="F274" s="22">
        <v>7</v>
      </c>
      <c r="G274" s="22">
        <v>0</v>
      </c>
      <c r="H274" s="22">
        <v>0</v>
      </c>
      <c r="I274" s="22">
        <v>441</v>
      </c>
      <c r="J274" s="22">
        <v>434</v>
      </c>
    </row>
    <row r="275" spans="1:10" s="21" customFormat="1" ht="11.25" customHeight="1" x14ac:dyDescent="0.2">
      <c r="A275" s="19"/>
      <c r="B275" s="99"/>
      <c r="C275" s="92" t="s">
        <v>276</v>
      </c>
      <c r="D275" s="22">
        <v>40</v>
      </c>
      <c r="E275" s="22">
        <v>0</v>
      </c>
      <c r="F275" s="22">
        <v>1</v>
      </c>
      <c r="G275" s="22">
        <v>0</v>
      </c>
      <c r="H275" s="22">
        <v>0</v>
      </c>
      <c r="I275" s="22">
        <v>41</v>
      </c>
      <c r="J275" s="22">
        <v>42</v>
      </c>
    </row>
    <row r="276" spans="1:10" s="21" customFormat="1" ht="11.25" customHeight="1" x14ac:dyDescent="0.2">
      <c r="A276" s="19"/>
      <c r="B276" s="99"/>
      <c r="C276" s="92" t="s">
        <v>322</v>
      </c>
      <c r="D276" s="22">
        <v>26</v>
      </c>
      <c r="E276" s="22">
        <v>0</v>
      </c>
      <c r="F276" s="22">
        <v>1</v>
      </c>
      <c r="G276" s="22">
        <v>0</v>
      </c>
      <c r="H276" s="22">
        <v>0</v>
      </c>
      <c r="I276" s="22">
        <v>27</v>
      </c>
      <c r="J276" s="22">
        <v>25</v>
      </c>
    </row>
    <row r="277" spans="1:10" s="21" customFormat="1" ht="11.25" customHeight="1" x14ac:dyDescent="0.2">
      <c r="A277" s="19"/>
      <c r="B277" s="99"/>
      <c r="C277" s="92" t="s">
        <v>323</v>
      </c>
      <c r="D277" s="22">
        <v>278</v>
      </c>
      <c r="E277" s="22">
        <v>18</v>
      </c>
      <c r="F277" s="22">
        <v>7</v>
      </c>
      <c r="G277" s="22">
        <v>0</v>
      </c>
      <c r="H277" s="22">
        <v>0</v>
      </c>
      <c r="I277" s="22">
        <v>303</v>
      </c>
      <c r="J277" s="22">
        <v>301</v>
      </c>
    </row>
    <row r="278" spans="1:10" s="21" customFormat="1" ht="11.25" customHeight="1" x14ac:dyDescent="0.2">
      <c r="A278" s="19"/>
      <c r="B278" s="99"/>
      <c r="C278" s="92" t="s">
        <v>324</v>
      </c>
      <c r="D278" s="22">
        <v>66</v>
      </c>
      <c r="E278" s="22">
        <v>1</v>
      </c>
      <c r="F278" s="22">
        <v>0</v>
      </c>
      <c r="G278" s="22">
        <v>0</v>
      </c>
      <c r="H278" s="22">
        <v>0</v>
      </c>
      <c r="I278" s="22">
        <v>67</v>
      </c>
      <c r="J278" s="22">
        <v>69</v>
      </c>
    </row>
    <row r="279" spans="1:10" s="21" customFormat="1" ht="11.25" customHeight="1" x14ac:dyDescent="0.2">
      <c r="A279" s="19"/>
      <c r="B279" s="99"/>
      <c r="C279" s="92" t="s">
        <v>207</v>
      </c>
      <c r="D279" s="22">
        <v>312</v>
      </c>
      <c r="E279" s="22">
        <v>14</v>
      </c>
      <c r="F279" s="22">
        <v>6</v>
      </c>
      <c r="G279" s="22">
        <v>0</v>
      </c>
      <c r="H279" s="22">
        <v>0</v>
      </c>
      <c r="I279" s="22">
        <v>332</v>
      </c>
      <c r="J279" s="22">
        <v>326</v>
      </c>
    </row>
    <row r="280" spans="1:10" s="21" customFormat="1" ht="11.25" customHeight="1" x14ac:dyDescent="0.2">
      <c r="A280" s="19"/>
      <c r="B280" s="99"/>
      <c r="C280" s="92" t="s">
        <v>208</v>
      </c>
      <c r="D280" s="22">
        <v>1172</v>
      </c>
      <c r="E280" s="22">
        <v>61</v>
      </c>
      <c r="F280" s="22">
        <v>29</v>
      </c>
      <c r="G280" s="22">
        <v>0</v>
      </c>
      <c r="H280" s="22">
        <v>0</v>
      </c>
      <c r="I280" s="22">
        <v>1262</v>
      </c>
      <c r="J280" s="22">
        <v>1260</v>
      </c>
    </row>
    <row r="281" spans="1:10" s="21" customFormat="1" ht="11.25" customHeight="1" x14ac:dyDescent="0.2">
      <c r="A281" s="19"/>
      <c r="B281" s="99"/>
      <c r="C281" s="92" t="s">
        <v>325</v>
      </c>
      <c r="D281" s="22">
        <v>41</v>
      </c>
      <c r="E281" s="22">
        <v>1</v>
      </c>
      <c r="F281" s="22">
        <v>0</v>
      </c>
      <c r="G281" s="22">
        <v>0</v>
      </c>
      <c r="H281" s="22">
        <v>0</v>
      </c>
      <c r="I281" s="22">
        <v>42</v>
      </c>
      <c r="J281" s="22">
        <v>43</v>
      </c>
    </row>
    <row r="282" spans="1:10" s="21" customFormat="1" ht="11.25" customHeight="1" x14ac:dyDescent="0.2">
      <c r="A282" s="19"/>
      <c r="B282" s="99"/>
      <c r="C282" s="92" t="s">
        <v>277</v>
      </c>
      <c r="D282" s="22">
        <v>787</v>
      </c>
      <c r="E282" s="22">
        <v>48</v>
      </c>
      <c r="F282" s="22">
        <v>16</v>
      </c>
      <c r="G282" s="22">
        <v>0</v>
      </c>
      <c r="H282" s="22">
        <v>0</v>
      </c>
      <c r="I282" s="22">
        <v>851</v>
      </c>
      <c r="J282" s="22">
        <v>844</v>
      </c>
    </row>
    <row r="283" spans="1:10" s="21" customFormat="1" ht="11.25" customHeight="1" x14ac:dyDescent="0.2">
      <c r="A283" s="19"/>
      <c r="B283" s="99"/>
      <c r="C283" s="92" t="s">
        <v>326</v>
      </c>
      <c r="D283" s="22">
        <v>232</v>
      </c>
      <c r="E283" s="22">
        <v>0</v>
      </c>
      <c r="F283" s="22">
        <v>1</v>
      </c>
      <c r="G283" s="22">
        <v>0</v>
      </c>
      <c r="H283" s="22">
        <v>0</v>
      </c>
      <c r="I283" s="22">
        <v>233</v>
      </c>
      <c r="J283" s="22">
        <v>236</v>
      </c>
    </row>
    <row r="284" spans="1:10" s="21" customFormat="1" ht="11.25" customHeight="1" x14ac:dyDescent="0.2">
      <c r="A284" s="19"/>
      <c r="B284" s="99"/>
      <c r="C284" s="92" t="s">
        <v>327</v>
      </c>
      <c r="D284" s="22">
        <v>144</v>
      </c>
      <c r="E284" s="22">
        <v>9</v>
      </c>
      <c r="F284" s="22">
        <v>3</v>
      </c>
      <c r="G284" s="22">
        <v>0</v>
      </c>
      <c r="H284" s="22">
        <v>0</v>
      </c>
      <c r="I284" s="22">
        <v>156</v>
      </c>
      <c r="J284" s="22">
        <v>157</v>
      </c>
    </row>
    <row r="285" spans="1:10" s="21" customFormat="1" ht="11.25" customHeight="1" x14ac:dyDescent="0.2">
      <c r="A285" s="19"/>
      <c r="B285" s="99"/>
      <c r="C285" s="92" t="s">
        <v>209</v>
      </c>
      <c r="D285" s="22">
        <v>337</v>
      </c>
      <c r="E285" s="22">
        <v>6</v>
      </c>
      <c r="F285" s="22">
        <v>3</v>
      </c>
      <c r="G285" s="22">
        <v>0</v>
      </c>
      <c r="H285" s="22">
        <v>0</v>
      </c>
      <c r="I285" s="22">
        <v>346</v>
      </c>
      <c r="J285" s="22">
        <v>346</v>
      </c>
    </row>
    <row r="286" spans="1:10" s="21" customFormat="1" ht="11.25" customHeight="1" x14ac:dyDescent="0.2">
      <c r="A286" s="19"/>
      <c r="B286" s="99"/>
      <c r="C286" s="99" t="s">
        <v>278</v>
      </c>
      <c r="D286" s="44">
        <v>263</v>
      </c>
      <c r="E286" s="44">
        <v>15</v>
      </c>
      <c r="F286" s="44">
        <v>4</v>
      </c>
      <c r="G286" s="44">
        <v>0</v>
      </c>
      <c r="H286" s="44">
        <v>0</v>
      </c>
      <c r="I286" s="44">
        <v>282</v>
      </c>
      <c r="J286" s="44">
        <v>281</v>
      </c>
    </row>
    <row r="287" spans="1:10" s="21" customFormat="1" ht="11.25" customHeight="1" x14ac:dyDescent="0.2">
      <c r="A287" s="357"/>
      <c r="B287" s="357"/>
      <c r="C287" s="357"/>
      <c r="D287" s="357"/>
      <c r="E287" s="357"/>
      <c r="F287" s="357"/>
      <c r="G287" s="357"/>
      <c r="H287" s="357"/>
      <c r="I287" s="357"/>
      <c r="J287" s="357"/>
    </row>
    <row r="288" spans="1:10" s="19" customFormat="1" ht="11.25" customHeight="1" x14ac:dyDescent="0.2">
      <c r="A288" s="357" t="s">
        <v>210</v>
      </c>
      <c r="B288" s="357"/>
      <c r="C288" s="357"/>
      <c r="D288" s="18">
        <f t="shared" ref="D288:J288" si="49">SUM(D289:D309)</f>
        <v>7133</v>
      </c>
      <c r="E288" s="18">
        <f t="shared" si="49"/>
        <v>2081</v>
      </c>
      <c r="F288" s="18">
        <f t="shared" si="49"/>
        <v>710</v>
      </c>
      <c r="G288" s="18">
        <f t="shared" si="49"/>
        <v>0</v>
      </c>
      <c r="H288" s="18">
        <f t="shared" si="49"/>
        <v>5</v>
      </c>
      <c r="I288" s="18">
        <f t="shared" si="49"/>
        <v>9929</v>
      </c>
      <c r="J288" s="18">
        <f t="shared" si="49"/>
        <v>9877</v>
      </c>
    </row>
    <row r="289" spans="1:10" s="21" customFormat="1" ht="11.25" customHeight="1" x14ac:dyDescent="0.2">
      <c r="A289" s="19"/>
      <c r="B289" s="99"/>
      <c r="C289" s="92" t="s">
        <v>211</v>
      </c>
      <c r="D289" s="22">
        <v>1260</v>
      </c>
      <c r="E289" s="22">
        <v>292</v>
      </c>
      <c r="F289" s="22">
        <v>98</v>
      </c>
      <c r="G289" s="22">
        <v>0</v>
      </c>
      <c r="H289" s="22">
        <v>0</v>
      </c>
      <c r="I289" s="22">
        <v>1650</v>
      </c>
      <c r="J289" s="22">
        <v>1660</v>
      </c>
    </row>
    <row r="290" spans="1:10" s="21" customFormat="1" ht="11.25" customHeight="1" x14ac:dyDescent="0.2">
      <c r="A290" s="19"/>
      <c r="B290" s="99"/>
      <c r="C290" s="92" t="s">
        <v>212</v>
      </c>
      <c r="D290" s="22">
        <v>81</v>
      </c>
      <c r="E290" s="22">
        <v>20</v>
      </c>
      <c r="F290" s="22">
        <v>1</v>
      </c>
      <c r="G290" s="22">
        <v>0</v>
      </c>
      <c r="H290" s="22">
        <v>0</v>
      </c>
      <c r="I290" s="22">
        <v>102</v>
      </c>
      <c r="J290" s="22">
        <v>105</v>
      </c>
    </row>
    <row r="291" spans="1:10" s="21" customFormat="1" ht="11.25" customHeight="1" x14ac:dyDescent="0.2">
      <c r="A291" s="19"/>
      <c r="B291" s="99"/>
      <c r="C291" s="92" t="s">
        <v>213</v>
      </c>
      <c r="D291" s="22">
        <v>64</v>
      </c>
      <c r="E291" s="22">
        <v>3</v>
      </c>
      <c r="F291" s="22">
        <v>1</v>
      </c>
      <c r="G291" s="22">
        <v>0</v>
      </c>
      <c r="H291" s="22">
        <v>0</v>
      </c>
      <c r="I291" s="22">
        <v>68</v>
      </c>
      <c r="J291" s="22">
        <v>80</v>
      </c>
    </row>
    <row r="292" spans="1:10" s="21" customFormat="1" ht="11.25" customHeight="1" x14ac:dyDescent="0.2">
      <c r="A292" s="19"/>
      <c r="B292" s="99"/>
      <c r="C292" s="92" t="s">
        <v>214</v>
      </c>
      <c r="D292" s="22">
        <v>623</v>
      </c>
      <c r="E292" s="22">
        <v>330</v>
      </c>
      <c r="F292" s="22">
        <v>93</v>
      </c>
      <c r="G292" s="22">
        <v>0</v>
      </c>
      <c r="H292" s="22">
        <v>1</v>
      </c>
      <c r="I292" s="22">
        <v>1047</v>
      </c>
      <c r="J292" s="22">
        <v>1038</v>
      </c>
    </row>
    <row r="293" spans="1:10" s="21" customFormat="1" ht="11.25" customHeight="1" x14ac:dyDescent="0.2">
      <c r="A293" s="19"/>
      <c r="B293" s="99"/>
      <c r="C293" s="92" t="s">
        <v>279</v>
      </c>
      <c r="D293" s="22">
        <v>42</v>
      </c>
      <c r="E293" s="22">
        <v>9</v>
      </c>
      <c r="F293" s="22">
        <v>0</v>
      </c>
      <c r="G293" s="22">
        <v>0</v>
      </c>
      <c r="H293" s="22">
        <v>0</v>
      </c>
      <c r="I293" s="22">
        <v>51</v>
      </c>
      <c r="J293" s="22">
        <v>49</v>
      </c>
    </row>
    <row r="294" spans="1:10" s="21" customFormat="1" ht="11.25" customHeight="1" x14ac:dyDescent="0.2">
      <c r="A294" s="19"/>
      <c r="B294" s="99"/>
      <c r="C294" s="92" t="s">
        <v>215</v>
      </c>
      <c r="D294" s="22">
        <v>38</v>
      </c>
      <c r="E294" s="22">
        <v>0</v>
      </c>
      <c r="F294" s="22">
        <v>1</v>
      </c>
      <c r="G294" s="22">
        <v>0</v>
      </c>
      <c r="H294" s="22">
        <v>0</v>
      </c>
      <c r="I294" s="22">
        <v>39</v>
      </c>
      <c r="J294" s="22">
        <v>37</v>
      </c>
    </row>
    <row r="295" spans="1:10" s="21" customFormat="1" ht="11.25" customHeight="1" x14ac:dyDescent="0.2">
      <c r="A295" s="19"/>
      <c r="B295" s="99"/>
      <c r="C295" s="92" t="s">
        <v>216</v>
      </c>
      <c r="D295" s="22">
        <v>56</v>
      </c>
      <c r="E295" s="22">
        <v>1</v>
      </c>
      <c r="F295" s="22">
        <v>1</v>
      </c>
      <c r="G295" s="22">
        <v>0</v>
      </c>
      <c r="H295" s="22">
        <v>0</v>
      </c>
      <c r="I295" s="22">
        <v>58</v>
      </c>
      <c r="J295" s="22">
        <v>58</v>
      </c>
    </row>
    <row r="296" spans="1:10" s="21" customFormat="1" ht="11.25" customHeight="1" x14ac:dyDescent="0.2">
      <c r="A296" s="19"/>
      <c r="B296" s="99"/>
      <c r="C296" s="92" t="s">
        <v>217</v>
      </c>
      <c r="D296" s="22">
        <v>80</v>
      </c>
      <c r="E296" s="22">
        <v>8</v>
      </c>
      <c r="F296" s="22">
        <v>0</v>
      </c>
      <c r="G296" s="22">
        <v>0</v>
      </c>
      <c r="H296" s="22">
        <v>0</v>
      </c>
      <c r="I296" s="22">
        <v>88</v>
      </c>
      <c r="J296" s="22">
        <v>89</v>
      </c>
    </row>
    <row r="297" spans="1:10" s="21" customFormat="1" ht="11.25" customHeight="1" x14ac:dyDescent="0.2">
      <c r="A297" s="19"/>
      <c r="B297" s="99"/>
      <c r="C297" s="92" t="s">
        <v>280</v>
      </c>
      <c r="D297" s="22">
        <v>311</v>
      </c>
      <c r="E297" s="22">
        <v>56</v>
      </c>
      <c r="F297" s="22">
        <v>30</v>
      </c>
      <c r="G297" s="22">
        <v>0</v>
      </c>
      <c r="H297" s="22">
        <v>1</v>
      </c>
      <c r="I297" s="22">
        <v>398</v>
      </c>
      <c r="J297" s="22">
        <v>400</v>
      </c>
    </row>
    <row r="298" spans="1:10" s="21" customFormat="1" ht="11.25" customHeight="1" x14ac:dyDescent="0.2">
      <c r="A298" s="19"/>
      <c r="B298" s="99"/>
      <c r="C298" s="92" t="s">
        <v>218</v>
      </c>
      <c r="D298" s="22">
        <v>380</v>
      </c>
      <c r="E298" s="22">
        <v>17</v>
      </c>
      <c r="F298" s="22">
        <v>11</v>
      </c>
      <c r="G298" s="22">
        <v>0</v>
      </c>
      <c r="H298" s="22">
        <v>0</v>
      </c>
      <c r="I298" s="22">
        <v>408</v>
      </c>
      <c r="J298" s="22">
        <v>407</v>
      </c>
    </row>
    <row r="299" spans="1:10" s="21" customFormat="1" ht="11.25" customHeight="1" x14ac:dyDescent="0.2">
      <c r="A299" s="19"/>
      <c r="B299" s="99"/>
      <c r="C299" s="92" t="s">
        <v>219</v>
      </c>
      <c r="D299" s="22">
        <v>152</v>
      </c>
      <c r="E299" s="22">
        <v>22</v>
      </c>
      <c r="F299" s="22">
        <v>1</v>
      </c>
      <c r="G299" s="22">
        <v>0</v>
      </c>
      <c r="H299" s="22">
        <v>0</v>
      </c>
      <c r="I299" s="22">
        <v>175</v>
      </c>
      <c r="J299" s="22">
        <v>175</v>
      </c>
    </row>
    <row r="300" spans="1:10" s="21" customFormat="1" ht="11.25" customHeight="1" x14ac:dyDescent="0.2">
      <c r="A300" s="19"/>
      <c r="B300" s="99"/>
      <c r="C300" s="92" t="s">
        <v>220</v>
      </c>
      <c r="D300" s="22">
        <v>962</v>
      </c>
      <c r="E300" s="22">
        <v>450</v>
      </c>
      <c r="F300" s="22">
        <v>94</v>
      </c>
      <c r="G300" s="22">
        <v>0</v>
      </c>
      <c r="H300" s="22">
        <v>1</v>
      </c>
      <c r="I300" s="22">
        <v>1507</v>
      </c>
      <c r="J300" s="22">
        <v>1529</v>
      </c>
    </row>
    <row r="301" spans="1:10" s="21" customFormat="1" ht="11.25" customHeight="1" x14ac:dyDescent="0.2">
      <c r="A301" s="19"/>
      <c r="B301" s="99"/>
      <c r="C301" s="92" t="s">
        <v>221</v>
      </c>
      <c r="D301" s="22">
        <v>703</v>
      </c>
      <c r="E301" s="22">
        <v>200</v>
      </c>
      <c r="F301" s="22">
        <v>31</v>
      </c>
      <c r="G301" s="22">
        <v>0</v>
      </c>
      <c r="H301" s="22">
        <v>1</v>
      </c>
      <c r="I301" s="22">
        <v>935</v>
      </c>
      <c r="J301" s="22">
        <v>945</v>
      </c>
    </row>
    <row r="302" spans="1:10" s="21" customFormat="1" ht="11.25" customHeight="1" x14ac:dyDescent="0.2">
      <c r="A302" s="19"/>
      <c r="B302" s="99"/>
      <c r="C302" s="92" t="s">
        <v>222</v>
      </c>
      <c r="D302" s="22">
        <v>209</v>
      </c>
      <c r="E302" s="22">
        <v>69</v>
      </c>
      <c r="F302" s="22">
        <v>91</v>
      </c>
      <c r="G302" s="22">
        <v>0</v>
      </c>
      <c r="H302" s="22">
        <v>0</v>
      </c>
      <c r="I302" s="22">
        <v>369</v>
      </c>
      <c r="J302" s="22">
        <v>333</v>
      </c>
    </row>
    <row r="303" spans="1:10" s="21" customFormat="1" ht="11.25" customHeight="1" x14ac:dyDescent="0.2">
      <c r="A303" s="19"/>
      <c r="B303" s="99"/>
      <c r="C303" s="92" t="s">
        <v>223</v>
      </c>
      <c r="D303" s="22">
        <v>101</v>
      </c>
      <c r="E303" s="22">
        <v>6</v>
      </c>
      <c r="F303" s="22">
        <v>2</v>
      </c>
      <c r="G303" s="22">
        <v>0</v>
      </c>
      <c r="H303" s="22">
        <v>0</v>
      </c>
      <c r="I303" s="22">
        <v>109</v>
      </c>
      <c r="J303" s="22">
        <v>107</v>
      </c>
    </row>
    <row r="304" spans="1:10" s="21" customFormat="1" ht="11.25" customHeight="1" x14ac:dyDescent="0.2">
      <c r="A304" s="19"/>
      <c r="B304" s="99"/>
      <c r="C304" s="92" t="s">
        <v>224</v>
      </c>
      <c r="D304" s="22">
        <v>301</v>
      </c>
      <c r="E304" s="22">
        <v>52</v>
      </c>
      <c r="F304" s="22">
        <v>15</v>
      </c>
      <c r="G304" s="22">
        <v>0</v>
      </c>
      <c r="H304" s="22">
        <v>0</v>
      </c>
      <c r="I304" s="22">
        <v>368</v>
      </c>
      <c r="J304" s="22">
        <v>368</v>
      </c>
    </row>
    <row r="305" spans="1:10" s="21" customFormat="1" ht="11.25" customHeight="1" x14ac:dyDescent="0.2">
      <c r="A305" s="19"/>
      <c r="B305" s="99"/>
      <c r="C305" s="92" t="s">
        <v>225</v>
      </c>
      <c r="D305" s="22">
        <v>452</v>
      </c>
      <c r="E305" s="22">
        <v>246</v>
      </c>
      <c r="F305" s="22">
        <v>189</v>
      </c>
      <c r="G305" s="22">
        <v>0</v>
      </c>
      <c r="H305" s="22">
        <v>1</v>
      </c>
      <c r="I305" s="22">
        <v>888</v>
      </c>
      <c r="J305" s="22">
        <v>807</v>
      </c>
    </row>
    <row r="306" spans="1:10" s="21" customFormat="1" ht="11.25" customHeight="1" x14ac:dyDescent="0.2">
      <c r="A306" s="19"/>
      <c r="B306" s="99"/>
      <c r="C306" s="92" t="s">
        <v>226</v>
      </c>
      <c r="D306" s="22">
        <v>322</v>
      </c>
      <c r="E306" s="22">
        <v>72</v>
      </c>
      <c r="F306" s="22">
        <v>21</v>
      </c>
      <c r="G306" s="22">
        <v>0</v>
      </c>
      <c r="H306" s="22">
        <v>0</v>
      </c>
      <c r="I306" s="22">
        <v>415</v>
      </c>
      <c r="J306" s="22">
        <v>432</v>
      </c>
    </row>
    <row r="307" spans="1:10" s="21" customFormat="1" ht="11.25" customHeight="1" x14ac:dyDescent="0.2">
      <c r="A307" s="19"/>
      <c r="B307" s="99"/>
      <c r="C307" s="92" t="s">
        <v>227</v>
      </c>
      <c r="D307" s="22">
        <v>856</v>
      </c>
      <c r="E307" s="22">
        <v>226</v>
      </c>
      <c r="F307" s="22">
        <v>29</v>
      </c>
      <c r="G307" s="22">
        <v>0</v>
      </c>
      <c r="H307" s="22">
        <v>0</v>
      </c>
      <c r="I307" s="22">
        <v>1111</v>
      </c>
      <c r="J307" s="22">
        <v>1120</v>
      </c>
    </row>
    <row r="308" spans="1:10" s="21" customFormat="1" ht="11.25" customHeight="1" x14ac:dyDescent="0.2">
      <c r="A308" s="19"/>
      <c r="B308" s="99"/>
      <c r="C308" s="92" t="s">
        <v>281</v>
      </c>
      <c r="D308" s="22">
        <v>60</v>
      </c>
      <c r="E308" s="22">
        <v>1</v>
      </c>
      <c r="F308" s="22">
        <v>1</v>
      </c>
      <c r="G308" s="22">
        <v>0</v>
      </c>
      <c r="H308" s="22">
        <v>0</v>
      </c>
      <c r="I308" s="22">
        <v>62</v>
      </c>
      <c r="J308" s="22">
        <v>59</v>
      </c>
    </row>
    <row r="309" spans="1:10" s="21" customFormat="1" ht="11.25" customHeight="1" x14ac:dyDescent="0.2">
      <c r="A309" s="19"/>
      <c r="B309" s="99"/>
      <c r="C309" s="99" t="s">
        <v>228</v>
      </c>
      <c r="D309" s="44">
        <v>80</v>
      </c>
      <c r="E309" s="44">
        <v>1</v>
      </c>
      <c r="F309" s="44">
        <v>0</v>
      </c>
      <c r="G309" s="44">
        <v>0</v>
      </c>
      <c r="H309" s="44">
        <v>0</v>
      </c>
      <c r="I309" s="44">
        <v>81</v>
      </c>
      <c r="J309" s="44">
        <v>79</v>
      </c>
    </row>
    <row r="310" spans="1:10" s="21" customFormat="1" ht="11.25" customHeight="1" x14ac:dyDescent="0.2">
      <c r="A310" s="272"/>
      <c r="B310" s="272"/>
      <c r="C310" s="272"/>
      <c r="D310" s="272"/>
      <c r="E310" s="272"/>
      <c r="F310" s="272"/>
      <c r="G310" s="272"/>
      <c r="H310" s="272"/>
      <c r="I310" s="272"/>
      <c r="J310" s="272"/>
    </row>
    <row r="311" spans="1:10" s="21" customFormat="1" ht="11.25" customHeight="1" x14ac:dyDescent="0.2">
      <c r="A311" s="357" t="s">
        <v>282</v>
      </c>
      <c r="B311" s="357"/>
      <c r="C311" s="357"/>
      <c r="D311" s="357"/>
      <c r="E311" s="357"/>
      <c r="F311" s="357"/>
      <c r="G311" s="357"/>
      <c r="H311" s="357"/>
      <c r="I311" s="357"/>
      <c r="J311" s="357"/>
    </row>
    <row r="312" spans="1:10" s="21" customFormat="1" ht="11.25" customHeight="1" x14ac:dyDescent="0.2">
      <c r="A312" s="19"/>
      <c r="B312" s="99"/>
      <c r="C312" s="92" t="s">
        <v>230</v>
      </c>
      <c r="D312" s="22">
        <f t="shared" ref="D312:J312" si="50">SUM(D58:D84)</f>
        <v>37314</v>
      </c>
      <c r="E312" s="22">
        <f t="shared" si="50"/>
        <v>7490</v>
      </c>
      <c r="F312" s="22">
        <f t="shared" si="50"/>
        <v>1977</v>
      </c>
      <c r="G312" s="22">
        <f t="shared" si="50"/>
        <v>237</v>
      </c>
      <c r="H312" s="22">
        <f t="shared" si="50"/>
        <v>18</v>
      </c>
      <c r="I312" s="22">
        <f t="shared" si="50"/>
        <v>47036</v>
      </c>
      <c r="J312" s="22">
        <f t="shared" si="50"/>
        <v>46734</v>
      </c>
    </row>
    <row r="313" spans="1:10" s="21" customFormat="1" ht="11.25" customHeight="1" x14ac:dyDescent="0.2">
      <c r="A313" s="19"/>
      <c r="B313" s="99"/>
      <c r="C313" s="92" t="s">
        <v>231</v>
      </c>
      <c r="D313" s="22">
        <f t="shared" ref="D313:J313" si="51">SUM(D87:D172)</f>
        <v>96564</v>
      </c>
      <c r="E313" s="22">
        <f t="shared" si="51"/>
        <v>27755</v>
      </c>
      <c r="F313" s="22">
        <f t="shared" si="51"/>
        <v>8085</v>
      </c>
      <c r="G313" s="22">
        <f t="shared" si="51"/>
        <v>44</v>
      </c>
      <c r="H313" s="22">
        <f t="shared" si="51"/>
        <v>67</v>
      </c>
      <c r="I313" s="22">
        <f t="shared" si="51"/>
        <v>132515</v>
      </c>
      <c r="J313" s="22">
        <f t="shared" si="51"/>
        <v>131597</v>
      </c>
    </row>
    <row r="314" spans="1:10" s="21" customFormat="1" ht="11.25" customHeight="1" x14ac:dyDescent="0.2">
      <c r="A314" s="19"/>
      <c r="B314" s="99"/>
      <c r="C314" s="92" t="s">
        <v>232</v>
      </c>
      <c r="D314" s="22">
        <f t="shared" ref="D314:J314" si="52">SUM(D175:D214)</f>
        <v>45234</v>
      </c>
      <c r="E314" s="22">
        <f t="shared" si="52"/>
        <v>11342</v>
      </c>
      <c r="F314" s="22">
        <f t="shared" si="52"/>
        <v>2640</v>
      </c>
      <c r="G314" s="22">
        <f t="shared" si="52"/>
        <v>0</v>
      </c>
      <c r="H314" s="22">
        <f t="shared" si="52"/>
        <v>12</v>
      </c>
      <c r="I314" s="22">
        <f t="shared" si="52"/>
        <v>59228</v>
      </c>
      <c r="J314" s="22">
        <f t="shared" si="52"/>
        <v>58780</v>
      </c>
    </row>
    <row r="315" spans="1:10" s="21" customFormat="1" ht="11.25" customHeight="1" x14ac:dyDescent="0.2">
      <c r="A315" s="19"/>
      <c r="B315" s="99"/>
      <c r="C315" s="92" t="s">
        <v>233</v>
      </c>
      <c r="D315" s="22">
        <f t="shared" ref="D315:J315" si="53">SUM(D217:D238)</f>
        <v>5131</v>
      </c>
      <c r="E315" s="22">
        <f t="shared" si="53"/>
        <v>471</v>
      </c>
      <c r="F315" s="22">
        <f t="shared" si="53"/>
        <v>141</v>
      </c>
      <c r="G315" s="22">
        <f t="shared" si="53"/>
        <v>0</v>
      </c>
      <c r="H315" s="22">
        <f t="shared" si="53"/>
        <v>1</v>
      </c>
      <c r="I315" s="22">
        <f t="shared" si="53"/>
        <v>5744</v>
      </c>
      <c r="J315" s="22">
        <f t="shared" si="53"/>
        <v>5724</v>
      </c>
    </row>
    <row r="316" spans="1:10" s="21" customFormat="1" ht="11.25" customHeight="1" x14ac:dyDescent="0.2">
      <c r="A316" s="19"/>
      <c r="B316" s="99"/>
      <c r="C316" s="92" t="s">
        <v>234</v>
      </c>
      <c r="D316" s="22">
        <f t="shared" ref="D316:J316" si="54">SUM(D241:D259)</f>
        <v>33342</v>
      </c>
      <c r="E316" s="22">
        <f t="shared" si="54"/>
        <v>10240</v>
      </c>
      <c r="F316" s="22">
        <f t="shared" si="54"/>
        <v>1877</v>
      </c>
      <c r="G316" s="22">
        <f t="shared" si="54"/>
        <v>1</v>
      </c>
      <c r="H316" s="22">
        <f t="shared" si="54"/>
        <v>15</v>
      </c>
      <c r="I316" s="22">
        <f t="shared" si="54"/>
        <v>45475</v>
      </c>
      <c r="J316" s="22">
        <f t="shared" si="54"/>
        <v>45221</v>
      </c>
    </row>
    <row r="317" spans="1:10" s="21" customFormat="1" ht="11.25" customHeight="1" x14ac:dyDescent="0.2">
      <c r="A317" s="19"/>
      <c r="B317" s="99"/>
      <c r="C317" s="92" t="s">
        <v>235</v>
      </c>
      <c r="D317" s="22">
        <f t="shared" ref="D317:J317" si="55">SUM(D262:D267)</f>
        <v>8113</v>
      </c>
      <c r="E317" s="22">
        <f t="shared" si="55"/>
        <v>3210</v>
      </c>
      <c r="F317" s="22">
        <f t="shared" si="55"/>
        <v>526</v>
      </c>
      <c r="G317" s="22">
        <f t="shared" si="55"/>
        <v>0</v>
      </c>
      <c r="H317" s="22">
        <f t="shared" si="55"/>
        <v>4</v>
      </c>
      <c r="I317" s="22">
        <f t="shared" si="55"/>
        <v>11853</v>
      </c>
      <c r="J317" s="22">
        <f t="shared" si="55"/>
        <v>11828</v>
      </c>
    </row>
    <row r="318" spans="1:10" s="21" customFormat="1" ht="11.25" customHeight="1" x14ac:dyDescent="0.2">
      <c r="A318" s="19"/>
      <c r="B318" s="99"/>
      <c r="C318" s="92" t="s">
        <v>236</v>
      </c>
      <c r="D318" s="22">
        <f t="shared" ref="D318:J318" si="56">SUM(D270:D286)</f>
        <v>5131</v>
      </c>
      <c r="E318" s="22">
        <f t="shared" si="56"/>
        <v>304</v>
      </c>
      <c r="F318" s="22">
        <f t="shared" si="56"/>
        <v>100</v>
      </c>
      <c r="G318" s="22">
        <f t="shared" si="56"/>
        <v>0</v>
      </c>
      <c r="H318" s="22">
        <f t="shared" si="56"/>
        <v>0</v>
      </c>
      <c r="I318" s="22">
        <f t="shared" si="56"/>
        <v>5535</v>
      </c>
      <c r="J318" s="22">
        <f t="shared" si="56"/>
        <v>5495</v>
      </c>
    </row>
    <row r="319" spans="1:10" s="21" customFormat="1" ht="11.25" customHeight="1" x14ac:dyDescent="0.2">
      <c r="A319" s="19"/>
      <c r="B319" s="99"/>
      <c r="C319" s="92" t="s">
        <v>237</v>
      </c>
      <c r="D319" s="22">
        <f t="shared" ref="D319:J319" si="57">SUM(D289:D309)</f>
        <v>7133</v>
      </c>
      <c r="E319" s="22">
        <f t="shared" si="57"/>
        <v>2081</v>
      </c>
      <c r="F319" s="22">
        <f t="shared" si="57"/>
        <v>710</v>
      </c>
      <c r="G319" s="22">
        <f t="shared" si="57"/>
        <v>0</v>
      </c>
      <c r="H319" s="22">
        <f t="shared" si="57"/>
        <v>5</v>
      </c>
      <c r="I319" s="22">
        <f t="shared" si="57"/>
        <v>9929</v>
      </c>
      <c r="J319" s="22">
        <f t="shared" si="57"/>
        <v>9877</v>
      </c>
    </row>
    <row r="320" spans="1:10" s="21" customFormat="1" ht="11.25" customHeight="1" x14ac:dyDescent="0.2">
      <c r="A320" s="19"/>
      <c r="B320" s="99"/>
      <c r="C320" s="102" t="s">
        <v>271</v>
      </c>
      <c r="D320" s="16">
        <f t="shared" ref="D320:J320" si="58">SUM(D312:D319)</f>
        <v>237962</v>
      </c>
      <c r="E320" s="16">
        <f t="shared" si="58"/>
        <v>62893</v>
      </c>
      <c r="F320" s="16">
        <f t="shared" si="58"/>
        <v>16056</v>
      </c>
      <c r="G320" s="16">
        <f t="shared" si="58"/>
        <v>282</v>
      </c>
      <c r="H320" s="16">
        <f t="shared" si="58"/>
        <v>122</v>
      </c>
      <c r="I320" s="16">
        <f t="shared" si="58"/>
        <v>317315</v>
      </c>
      <c r="J320" s="16">
        <f t="shared" si="58"/>
        <v>315256</v>
      </c>
    </row>
    <row r="321" spans="1:10" s="21" customFormat="1" ht="11.25" customHeight="1" x14ac:dyDescent="0.2">
      <c r="A321" s="272"/>
      <c r="B321" s="272"/>
      <c r="C321" s="272"/>
      <c r="D321" s="272"/>
      <c r="E321" s="272"/>
      <c r="F321" s="272"/>
      <c r="G321" s="272"/>
      <c r="H321" s="272"/>
      <c r="I321" s="272"/>
      <c r="J321" s="272"/>
    </row>
    <row r="322" spans="1:10" s="21" customFormat="1" ht="11.25" customHeight="1" x14ac:dyDescent="0.2">
      <c r="A322" s="357" t="s">
        <v>364</v>
      </c>
      <c r="B322" s="357"/>
      <c r="C322" s="357"/>
      <c r="D322" s="357"/>
      <c r="E322" s="357"/>
      <c r="F322" s="357"/>
      <c r="G322" s="357"/>
      <c r="H322" s="357"/>
      <c r="I322" s="357"/>
      <c r="J322" s="357"/>
    </row>
    <row r="323" spans="1:10" s="21" customFormat="1" ht="11.25" customHeight="1" x14ac:dyDescent="0.2">
      <c r="A323" s="19"/>
      <c r="B323" s="99"/>
      <c r="C323" s="92" t="s">
        <v>234</v>
      </c>
      <c r="D323" s="22">
        <f t="shared" ref="D323:J323" si="59">D241+D242+D243+D244+D245+D246+D247+D248+D250+D253+D254+D257+D259+D263+D182+D255</f>
        <v>34786</v>
      </c>
      <c r="E323" s="22">
        <f t="shared" si="59"/>
        <v>10633</v>
      </c>
      <c r="F323" s="22">
        <f t="shared" si="59"/>
        <v>1937</v>
      </c>
      <c r="G323" s="22">
        <f t="shared" si="59"/>
        <v>1</v>
      </c>
      <c r="H323" s="22">
        <f t="shared" si="59"/>
        <v>16</v>
      </c>
      <c r="I323" s="22">
        <f t="shared" si="59"/>
        <v>47373</v>
      </c>
      <c r="J323" s="22">
        <f t="shared" si="59"/>
        <v>47125</v>
      </c>
    </row>
    <row r="324" spans="1:10" s="21" customFormat="1" ht="11.25" customHeight="1" x14ac:dyDescent="0.2">
      <c r="A324" s="19"/>
      <c r="B324" s="99"/>
      <c r="C324" s="92" t="s">
        <v>238</v>
      </c>
      <c r="D324" s="22">
        <f t="shared" ref="D324:J324" si="60">D58+D59+D60+D64+D66+D67+D68+D69+D70+D71+D74+D75+D77+D78+D79+D80+D81+D82+D83+D84+D104</f>
        <v>36386</v>
      </c>
      <c r="E324" s="22">
        <f t="shared" si="60"/>
        <v>7447</v>
      </c>
      <c r="F324" s="22">
        <f t="shared" si="60"/>
        <v>1977</v>
      </c>
      <c r="G324" s="22">
        <f t="shared" si="60"/>
        <v>237</v>
      </c>
      <c r="H324" s="22">
        <f t="shared" si="60"/>
        <v>17</v>
      </c>
      <c r="I324" s="22">
        <f t="shared" si="60"/>
        <v>46064</v>
      </c>
      <c r="J324" s="22">
        <f t="shared" si="60"/>
        <v>45775</v>
      </c>
    </row>
    <row r="325" spans="1:10" s="21" customFormat="1" ht="11.25" customHeight="1" x14ac:dyDescent="0.2">
      <c r="A325" s="19"/>
      <c r="B325" s="99"/>
      <c r="C325" s="92" t="s">
        <v>232</v>
      </c>
      <c r="D325" s="22">
        <f t="shared" ref="D325:J325" si="61">D175+D178+D181+D184+D188+D194+D195+D198+D200+D202+D205+D209+D210+D212+D217+D218+D230+D232+D233+D235+D187+D191+D193+D196</f>
        <v>42043</v>
      </c>
      <c r="E325" s="22">
        <f t="shared" si="61"/>
        <v>10850</v>
      </c>
      <c r="F325" s="22">
        <f t="shared" si="61"/>
        <v>2462</v>
      </c>
      <c r="G325" s="22">
        <f t="shared" si="61"/>
        <v>0</v>
      </c>
      <c r="H325" s="22">
        <f t="shared" si="61"/>
        <v>10</v>
      </c>
      <c r="I325" s="22">
        <f t="shared" si="61"/>
        <v>55365</v>
      </c>
      <c r="J325" s="22">
        <f t="shared" si="61"/>
        <v>54956</v>
      </c>
    </row>
    <row r="326" spans="1:10" s="21" customFormat="1" ht="11.25" customHeight="1" x14ac:dyDescent="0.2">
      <c r="A326" s="19"/>
      <c r="B326" s="99"/>
      <c r="C326" s="92" t="s">
        <v>231</v>
      </c>
      <c r="D326" s="22">
        <f t="shared" ref="D326:J326" si="62">+D87+D88+D89+D91+D93+D94+D95+D99+D97+D102+D101+D106+D105+D110+D107+D112+D109+D113+D111+D117+D114+D120+D118+D121+D122+D123+D124+D126+D127+D128+D129+D130+D131+D132+D134+D133+D135+D136+D138+D137+D140+D139+D144+D142+D147+D146+D149+D148+D150+D151+D152+D153+D154+D155+D156+D157+D159+D160+D163+D162+D164+D165+D167+D168+D171+D170+D172</f>
        <v>89414</v>
      </c>
      <c r="E326" s="22">
        <f t="shared" si="62"/>
        <v>26962</v>
      </c>
      <c r="F326" s="22">
        <f t="shared" si="62"/>
        <v>7886</v>
      </c>
      <c r="G326" s="22">
        <f t="shared" si="62"/>
        <v>44</v>
      </c>
      <c r="H326" s="22">
        <f t="shared" si="62"/>
        <v>66</v>
      </c>
      <c r="I326" s="22">
        <f t="shared" si="62"/>
        <v>124372</v>
      </c>
      <c r="J326" s="22">
        <f t="shared" si="62"/>
        <v>123500</v>
      </c>
    </row>
    <row r="327" spans="1:10" s="21" customFormat="1" ht="11.25" customHeight="1" x14ac:dyDescent="0.2">
      <c r="A327" s="19"/>
      <c r="B327" s="99"/>
      <c r="C327" s="102" t="s">
        <v>283</v>
      </c>
      <c r="D327" s="16">
        <f t="shared" ref="D327:J327" si="63">SUM(D323:D326)</f>
        <v>202629</v>
      </c>
      <c r="E327" s="16">
        <f t="shared" si="63"/>
        <v>55892</v>
      </c>
      <c r="F327" s="16">
        <f t="shared" si="63"/>
        <v>14262</v>
      </c>
      <c r="G327" s="16">
        <f t="shared" si="63"/>
        <v>282</v>
      </c>
      <c r="H327" s="16">
        <f t="shared" si="63"/>
        <v>109</v>
      </c>
      <c r="I327" s="16">
        <f t="shared" si="63"/>
        <v>273174</v>
      </c>
      <c r="J327" s="16">
        <f t="shared" si="63"/>
        <v>271356</v>
      </c>
    </row>
    <row r="328" spans="1:10" s="54" customFormat="1" ht="5.25" customHeight="1" x14ac:dyDescent="0.15">
      <c r="A328" s="317"/>
      <c r="B328" s="317"/>
      <c r="C328" s="317"/>
      <c r="D328" s="317"/>
      <c r="E328" s="317"/>
      <c r="F328" s="317"/>
      <c r="G328" s="317"/>
      <c r="H328" s="317"/>
      <c r="I328" s="317"/>
      <c r="J328" s="317"/>
    </row>
    <row r="329" spans="1:10" s="34" customFormat="1" ht="11.25" x14ac:dyDescent="0.2">
      <c r="A329" s="286" t="s">
        <v>328</v>
      </c>
      <c r="B329" s="286"/>
      <c r="C329" s="286"/>
      <c r="D329" s="286"/>
      <c r="E329" s="286"/>
      <c r="F329" s="286"/>
      <c r="G329" s="286"/>
      <c r="H329" s="286"/>
      <c r="I329" s="286"/>
      <c r="J329" s="286"/>
    </row>
    <row r="330" spans="1:10" s="34" customFormat="1" ht="12" customHeight="1" x14ac:dyDescent="0.2">
      <c r="A330" s="286" t="s">
        <v>363</v>
      </c>
      <c r="B330" s="286"/>
      <c r="C330" s="286"/>
      <c r="D330" s="286"/>
      <c r="E330" s="286"/>
      <c r="F330" s="286"/>
      <c r="G330" s="286"/>
      <c r="H330" s="286"/>
      <c r="I330" s="286"/>
    </row>
    <row r="331" spans="1:10" s="54" customFormat="1" ht="5.25" customHeight="1" x14ac:dyDescent="0.2">
      <c r="A331" s="314"/>
      <c r="B331" s="314"/>
      <c r="C331" s="314"/>
      <c r="D331" s="314"/>
      <c r="E331" s="314"/>
      <c r="F331" s="314"/>
      <c r="G331" s="314"/>
      <c r="H331" s="314"/>
      <c r="I331" s="314"/>
      <c r="J331" s="314"/>
    </row>
    <row r="332" spans="1:10" s="34" customFormat="1" ht="11.25" x14ac:dyDescent="0.2">
      <c r="A332" s="286" t="s">
        <v>240</v>
      </c>
      <c r="B332" s="286"/>
      <c r="C332" s="286"/>
      <c r="D332" s="286"/>
      <c r="E332" s="286"/>
      <c r="F332" s="286"/>
      <c r="G332" s="286"/>
      <c r="H332" s="286"/>
      <c r="I332" s="286"/>
      <c r="J332" s="286"/>
    </row>
    <row r="333" spans="1:10" s="56" customFormat="1" ht="5.25" customHeight="1" x14ac:dyDescent="0.15">
      <c r="A333" s="371"/>
      <c r="B333" s="371"/>
      <c r="C333" s="371"/>
      <c r="D333" s="371"/>
      <c r="E333" s="371"/>
      <c r="F333" s="371"/>
      <c r="G333" s="371"/>
      <c r="H333" s="371"/>
      <c r="I333" s="371"/>
      <c r="J333" s="371"/>
    </row>
    <row r="334" spans="1:10" s="57" customFormat="1" ht="11.25" customHeight="1" x14ac:dyDescent="0.2">
      <c r="A334" s="286" t="s">
        <v>351</v>
      </c>
      <c r="B334" s="286"/>
      <c r="C334" s="286"/>
      <c r="D334" s="286"/>
      <c r="E334" s="286"/>
      <c r="F334" s="286"/>
      <c r="G334" s="286"/>
      <c r="H334" s="286"/>
      <c r="I334" s="286"/>
      <c r="J334" s="286"/>
    </row>
    <row r="335" spans="1:10" s="57" customFormat="1" ht="11.25" customHeight="1" x14ac:dyDescent="0.2">
      <c r="A335" s="286" t="s">
        <v>352</v>
      </c>
      <c r="B335" s="286"/>
      <c r="C335" s="286"/>
      <c r="D335" s="286"/>
      <c r="E335" s="286"/>
      <c r="F335" s="286"/>
      <c r="G335" s="286"/>
      <c r="H335" s="286"/>
      <c r="I335" s="286"/>
      <c r="J335" s="286"/>
    </row>
  </sheetData>
  <mergeCells count="61">
    <mergeCell ref="A332:J332"/>
    <mergeCell ref="A333:J333"/>
    <mergeCell ref="A334:J334"/>
    <mergeCell ref="A335:J335"/>
    <mergeCell ref="A322:J322"/>
    <mergeCell ref="A328:J328"/>
    <mergeCell ref="A329:J329"/>
    <mergeCell ref="A331:J331"/>
    <mergeCell ref="A330:I330"/>
    <mergeCell ref="A288:C288"/>
    <mergeCell ref="A310:J310"/>
    <mergeCell ref="A311:J311"/>
    <mergeCell ref="A321:J321"/>
    <mergeCell ref="A261:C261"/>
    <mergeCell ref="A268:J268"/>
    <mergeCell ref="A269:C269"/>
    <mergeCell ref="A287:J287"/>
    <mergeCell ref="A216:C216"/>
    <mergeCell ref="A239:J239"/>
    <mergeCell ref="A240:C240"/>
    <mergeCell ref="A260:J260"/>
    <mergeCell ref="A86:C86"/>
    <mergeCell ref="A173:J173"/>
    <mergeCell ref="A174:C174"/>
    <mergeCell ref="A215:J215"/>
    <mergeCell ref="A55:J55"/>
    <mergeCell ref="A56:C56"/>
    <mergeCell ref="A57:C57"/>
    <mergeCell ref="A85:J85"/>
    <mergeCell ref="A51:C51"/>
    <mergeCell ref="B52:C52"/>
    <mergeCell ref="B53:C53"/>
    <mergeCell ref="B54:C54"/>
    <mergeCell ref="B41:C41"/>
    <mergeCell ref="B42:C42"/>
    <mergeCell ref="B46:C46"/>
    <mergeCell ref="A50:J50"/>
    <mergeCell ref="B37:C37"/>
    <mergeCell ref="B38:C38"/>
    <mergeCell ref="A39:J39"/>
    <mergeCell ref="A40:C40"/>
    <mergeCell ref="B30:C30"/>
    <mergeCell ref="B31:C31"/>
    <mergeCell ref="A35:J35"/>
    <mergeCell ref="A36:C36"/>
    <mergeCell ref="B22:C22"/>
    <mergeCell ref="B23:C23"/>
    <mergeCell ref="B24:C24"/>
    <mergeCell ref="B27:C27"/>
    <mergeCell ref="A20:J20"/>
    <mergeCell ref="A21:C21"/>
    <mergeCell ref="D5:I5"/>
    <mergeCell ref="D6:I6"/>
    <mergeCell ref="A10:C10"/>
    <mergeCell ref="B11:C11"/>
    <mergeCell ref="B19:C19"/>
    <mergeCell ref="A1:J1"/>
    <mergeCell ref="A2:J2"/>
    <mergeCell ref="A3:J3"/>
    <mergeCell ref="A4:J4"/>
    <mergeCell ref="B15:C15"/>
  </mergeCells>
  <phoneticPr fontId="0" type="noConversion"/>
  <pageMargins left="0" right="0" top="0" bottom="0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23</vt:i4>
      </vt:variant>
      <vt:variant>
        <vt:lpstr>Intervalli denominati</vt:lpstr>
      </vt:variant>
      <vt:variant>
        <vt:i4>17</vt:i4>
      </vt:variant>
    </vt:vector>
  </HeadingPairs>
  <TitlesOfParts>
    <vt:vector size="4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2002-2003</vt:lpstr>
      <vt:lpstr>'2021'!Area_stampa</vt:lpstr>
      <vt:lpstr>'2022'!Area_stampa</vt:lpstr>
      <vt:lpstr>'2023'!Area_stampa</vt:lpstr>
      <vt:lpstr>'2024'!Area_stampa</vt:lpstr>
      <vt:lpstr>'2002-2003'!Titoli_stampa</vt:lpstr>
      <vt:lpstr>'2004'!Titoli_stampa</vt:lpstr>
      <vt:lpstr>'2005'!Titoli_stampa</vt:lpstr>
      <vt:lpstr>'2006'!Titoli_stampa</vt:lpstr>
      <vt:lpstr>'2007'!Titoli_stampa</vt:lpstr>
      <vt:lpstr>'2008'!Titoli_stampa</vt:lpstr>
      <vt:lpstr>'2009'!Titoli_stampa</vt:lpstr>
      <vt:lpstr>'2010'!Titoli_stampa</vt:lpstr>
      <vt:lpstr>'2011'!Titoli_stampa</vt:lpstr>
      <vt:lpstr>'2012'!Titoli_stampa</vt:lpstr>
      <vt:lpstr>'2013'!Titoli_stampa</vt:lpstr>
      <vt:lpstr>'2014'!Titoli_stampa</vt:lpstr>
      <vt:lpstr>'2015'!Titoli_stampa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Popolazione residente permanente al 31 dicembre, secondo la nazionalità e lo statuto, 2009</dc:title>
  <dc:creator>Borioli Matteo</dc:creator>
  <cp:lastModifiedBy>Charpié Antoine</cp:lastModifiedBy>
  <cp:lastPrinted>2012-02-06T12:37:21Z</cp:lastPrinted>
  <dcterms:created xsi:type="dcterms:W3CDTF">2000-10-02T13:15:38Z</dcterms:created>
  <dcterms:modified xsi:type="dcterms:W3CDTF">2026-08-12T08:21:20Z</dcterms:modified>
</cp:coreProperties>
</file>